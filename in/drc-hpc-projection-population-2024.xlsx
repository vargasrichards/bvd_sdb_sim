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chec\Desktop\evd\sim_ifrc\in\"/>
    </mc:Choice>
  </mc:AlternateContent>
  <xr:revisionPtr revIDLastSave="0" documentId="13_ncr:1_{AB3ABFD2-FF6F-4730-BAB2-6F5A3DACD5B8}" xr6:coauthVersionLast="47" xr6:coauthVersionMax="47" xr10:uidLastSave="{00000000-0000-0000-0000-000000000000}"/>
  <bookViews>
    <workbookView xWindow="-120" yWindow="-120" windowWidth="20730" windowHeight="11160" xr2:uid="{9118D121-22D0-4731-8E6D-86A2D75040AF}"/>
  </bookViews>
  <sheets>
    <sheet name="001_population_health_zone_zs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520" i="2" l="1"/>
  <c r="AW520" i="2"/>
  <c r="AV520" i="2"/>
  <c r="AU520" i="2"/>
  <c r="AT520" i="2"/>
  <c r="AS520" i="2"/>
  <c r="AR520" i="2"/>
  <c r="AQ520" i="2"/>
  <c r="AN520" i="2"/>
  <c r="AJ520" i="2"/>
  <c r="AI520" i="2"/>
  <c r="AH520" i="2"/>
  <c r="AD520" i="2"/>
  <c r="AB520" i="2"/>
  <c r="AA520" i="2"/>
  <c r="Z520" i="2"/>
  <c r="Y520" i="2"/>
  <c r="X520" i="2"/>
  <c r="W520" i="2"/>
  <c r="V520" i="2"/>
  <c r="U520" i="2"/>
  <c r="T520" i="2"/>
  <c r="S520" i="2"/>
  <c r="P520" i="2"/>
  <c r="L520" i="2"/>
  <c r="K520" i="2"/>
  <c r="J520" i="2"/>
  <c r="AP520" i="2"/>
  <c r="AX519" i="2"/>
  <c r="AW519" i="2"/>
  <c r="AT519" i="2"/>
  <c r="AP519" i="2"/>
  <c r="AL519" i="2"/>
  <c r="AK519" i="2"/>
  <c r="AF519" i="2"/>
  <c r="AE519" i="2"/>
  <c r="AD519" i="2"/>
  <c r="AB519" i="2"/>
  <c r="AA519" i="2"/>
  <c r="Z519" i="2"/>
  <c r="Y519" i="2"/>
  <c r="X519" i="2"/>
  <c r="W519" i="2"/>
  <c r="V519" i="2"/>
  <c r="U519" i="2"/>
  <c r="M519" i="2"/>
  <c r="L519" i="2"/>
  <c r="AS519" i="2"/>
  <c r="AX518" i="2"/>
  <c r="AW518" i="2"/>
  <c r="AV518" i="2"/>
  <c r="AU518" i="2"/>
  <c r="AR518" i="2"/>
  <c r="AN518" i="2"/>
  <c r="AM518" i="2"/>
  <c r="AG518" i="2"/>
  <c r="AA518" i="2"/>
  <c r="T518" i="2"/>
  <c r="P518" i="2"/>
  <c r="O518" i="2"/>
  <c r="J518" i="2"/>
  <c r="H518" i="2"/>
  <c r="AX517" i="2"/>
  <c r="AW517" i="2"/>
  <c r="AO517" i="2"/>
  <c r="AN517" i="2"/>
  <c r="AI517" i="2"/>
  <c r="AH517" i="2"/>
  <c r="AG517" i="2"/>
  <c r="AF517" i="2"/>
  <c r="AE517" i="2"/>
  <c r="AD517" i="2"/>
  <c r="AB517" i="2"/>
  <c r="AA517" i="2"/>
  <c r="Z517" i="2"/>
  <c r="Y517" i="2"/>
  <c r="V517" i="2"/>
  <c r="R517" i="2"/>
  <c r="Q517" i="2"/>
  <c r="P517" i="2"/>
  <c r="L517" i="2"/>
  <c r="K517" i="2"/>
  <c r="J517" i="2"/>
  <c r="I517" i="2"/>
  <c r="AJ517" i="2"/>
  <c r="AV516" i="2"/>
  <c r="AR516" i="2"/>
  <c r="AQ516" i="2"/>
  <c r="AL516" i="2"/>
  <c r="AK516" i="2"/>
  <c r="AJ516" i="2"/>
  <c r="AI516" i="2"/>
  <c r="AH516" i="2"/>
  <c r="AG516" i="2"/>
  <c r="AF516" i="2"/>
  <c r="AE516" i="2"/>
  <c r="AD516" i="2"/>
  <c r="AB516" i="2"/>
  <c r="AA516" i="2"/>
  <c r="S516" i="2"/>
  <c r="R516" i="2"/>
  <c r="M516" i="2"/>
  <c r="L516" i="2"/>
  <c r="J516" i="2"/>
  <c r="I516" i="2"/>
  <c r="H516" i="2"/>
  <c r="AN515" i="2"/>
  <c r="AG515" i="2"/>
  <c r="AD515" i="2"/>
  <c r="P515" i="2"/>
  <c r="AU514" i="2"/>
  <c r="AT514" i="2"/>
  <c r="AN514" i="2"/>
  <c r="AL514" i="2"/>
  <c r="AK514" i="2"/>
  <c r="AJ514" i="2"/>
  <c r="AH514" i="2"/>
  <c r="AG514" i="2"/>
  <c r="AF514" i="2"/>
  <c r="AE514" i="2"/>
  <c r="AB514" i="2"/>
  <c r="X514" i="2"/>
  <c r="W514" i="2"/>
  <c r="V514" i="2"/>
  <c r="R514" i="2"/>
  <c r="Q514" i="2"/>
  <c r="P514" i="2"/>
  <c r="O514" i="2"/>
  <c r="L514" i="2"/>
  <c r="K514" i="2"/>
  <c r="H514" i="2"/>
  <c r="AI514" i="2"/>
  <c r="AX513" i="2"/>
  <c r="AW513" i="2"/>
  <c r="AV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D513" i="2"/>
  <c r="Z513" i="2"/>
  <c r="Y513" i="2"/>
  <c r="X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AE513" i="2"/>
  <c r="AX512" i="2"/>
  <c r="AT512" i="2"/>
  <c r="AS512" i="2"/>
  <c r="AR512" i="2"/>
  <c r="AQ512" i="2"/>
  <c r="AP512" i="2"/>
  <c r="AO512" i="2"/>
  <c r="AN512" i="2"/>
  <c r="AM512" i="2"/>
  <c r="AL512" i="2"/>
  <c r="AK512" i="2"/>
  <c r="AJ512" i="2"/>
  <c r="AI512" i="2"/>
  <c r="AF512" i="2"/>
  <c r="AB512" i="2"/>
  <c r="AA512" i="2"/>
  <c r="Z512" i="2"/>
  <c r="V512" i="2"/>
  <c r="U512" i="2"/>
  <c r="T512" i="2"/>
  <c r="S512" i="2"/>
  <c r="R512" i="2"/>
  <c r="Q512" i="2"/>
  <c r="P512" i="2"/>
  <c r="O512" i="2"/>
  <c r="N512" i="2"/>
  <c r="M512" i="2"/>
  <c r="L512" i="2"/>
  <c r="K512" i="2"/>
  <c r="H512" i="2"/>
  <c r="AH512" i="2"/>
  <c r="AV511" i="2"/>
  <c r="AU511" i="2"/>
  <c r="AT511" i="2"/>
  <c r="AS511" i="2"/>
  <c r="AR511" i="2"/>
  <c r="AQ511" i="2"/>
  <c r="AP511" i="2"/>
  <c r="AO511" i="2"/>
  <c r="AN511" i="2"/>
  <c r="AM511" i="2"/>
  <c r="AL511" i="2"/>
  <c r="AK511" i="2"/>
  <c r="AJ511" i="2"/>
  <c r="AI511" i="2"/>
  <c r="AH511" i="2"/>
  <c r="AG511" i="2"/>
  <c r="AF511" i="2"/>
  <c r="AD511" i="2"/>
  <c r="AB511" i="2"/>
  <c r="X511" i="2"/>
  <c r="W511" i="2"/>
  <c r="V511" i="2"/>
  <c r="U511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AE511" i="2"/>
  <c r="AX510" i="2"/>
  <c r="AU510" i="2"/>
  <c r="AS510" i="2"/>
  <c r="AR510" i="2"/>
  <c r="AQ510" i="2"/>
  <c r="AO510" i="2"/>
  <c r="AN510" i="2"/>
  <c r="AM510" i="2"/>
  <c r="AJ510" i="2"/>
  <c r="AI510" i="2"/>
  <c r="AH510" i="2"/>
  <c r="AF510" i="2"/>
  <c r="AE510" i="2"/>
  <c r="AD510" i="2"/>
  <c r="Z510" i="2"/>
  <c r="X510" i="2"/>
  <c r="U510" i="2"/>
  <c r="T510" i="2"/>
  <c r="Q510" i="2"/>
  <c r="O510" i="2"/>
  <c r="L510" i="2"/>
  <c r="K510" i="2"/>
  <c r="H510" i="2"/>
  <c r="AX509" i="2"/>
  <c r="AW509" i="2"/>
  <c r="AV509" i="2"/>
  <c r="AU509" i="2"/>
  <c r="AT509" i="2"/>
  <c r="AS509" i="2"/>
  <c r="AR509" i="2"/>
  <c r="AQ509" i="2"/>
  <c r="AP509" i="2"/>
  <c r="AO509" i="2"/>
  <c r="AN509" i="2"/>
  <c r="AM509" i="2"/>
  <c r="AL509" i="2"/>
  <c r="AK509" i="2"/>
  <c r="AJ509" i="2"/>
  <c r="AI509" i="2"/>
  <c r="AH509" i="2"/>
  <c r="AG509" i="2"/>
  <c r="AF509" i="2"/>
  <c r="AB509" i="2"/>
  <c r="AA509" i="2"/>
  <c r="Z509" i="2"/>
  <c r="Y509" i="2"/>
  <c r="X509" i="2"/>
  <c r="W509" i="2"/>
  <c r="V509" i="2"/>
  <c r="U509" i="2"/>
  <c r="T509" i="2"/>
  <c r="S509" i="2"/>
  <c r="R509" i="2"/>
  <c r="Q509" i="2"/>
  <c r="P509" i="2"/>
  <c r="O509" i="2"/>
  <c r="N509" i="2"/>
  <c r="M509" i="2"/>
  <c r="L509" i="2"/>
  <c r="K509" i="2"/>
  <c r="J509" i="2"/>
  <c r="I509" i="2"/>
  <c r="H509" i="2"/>
  <c r="AE509" i="2"/>
  <c r="AX508" i="2"/>
  <c r="AW508" i="2"/>
  <c r="AV508" i="2"/>
  <c r="AU508" i="2"/>
  <c r="AT508" i="2"/>
  <c r="AS508" i="2"/>
  <c r="AR508" i="2"/>
  <c r="AQ508" i="2"/>
  <c r="AP508" i="2"/>
  <c r="AO508" i="2"/>
  <c r="AN508" i="2"/>
  <c r="AM508" i="2"/>
  <c r="AL508" i="2"/>
  <c r="AK508" i="2"/>
  <c r="AJ508" i="2"/>
  <c r="AI508" i="2"/>
  <c r="AH508" i="2"/>
  <c r="AD508" i="2"/>
  <c r="AB508" i="2"/>
  <c r="AA508" i="2"/>
  <c r="Z508" i="2"/>
  <c r="Y508" i="2"/>
  <c r="X508" i="2"/>
  <c r="W508" i="2"/>
  <c r="V508" i="2"/>
  <c r="U508" i="2"/>
  <c r="T508" i="2"/>
  <c r="S508" i="2"/>
  <c r="R508" i="2"/>
  <c r="Q508" i="2"/>
  <c r="P508" i="2"/>
  <c r="O508" i="2"/>
  <c r="N508" i="2"/>
  <c r="M508" i="2"/>
  <c r="L508" i="2"/>
  <c r="K508" i="2"/>
  <c r="J508" i="2"/>
  <c r="AG508" i="2"/>
  <c r="AX507" i="2"/>
  <c r="AV507" i="2"/>
  <c r="AU507" i="2"/>
  <c r="AS507" i="2"/>
  <c r="AE507" i="2"/>
  <c r="AD507" i="2"/>
  <c r="U507" i="2"/>
  <c r="P507" i="2"/>
  <c r="AR506" i="2"/>
  <c r="AN506" i="2"/>
  <c r="AM506" i="2"/>
  <c r="AL506" i="2"/>
  <c r="AG506" i="2"/>
  <c r="AF506" i="2"/>
  <c r="AE506" i="2"/>
  <c r="AD506" i="2"/>
  <c r="AA506" i="2"/>
  <c r="Z506" i="2"/>
  <c r="W506" i="2"/>
  <c r="V506" i="2"/>
  <c r="R506" i="2"/>
  <c r="O506" i="2"/>
  <c r="J506" i="2"/>
  <c r="AV506" i="2"/>
  <c r="AX505" i="2"/>
  <c r="AW505" i="2"/>
  <c r="AV505" i="2"/>
  <c r="AT505" i="2"/>
  <c r="AP505" i="2"/>
  <c r="AO505" i="2"/>
  <c r="AI505" i="2"/>
  <c r="AG505" i="2"/>
  <c r="AF505" i="2"/>
  <c r="AE505" i="2"/>
  <c r="AB505" i="2"/>
  <c r="AA505" i="2"/>
  <c r="Z505" i="2"/>
  <c r="Y505" i="2"/>
  <c r="X505" i="2"/>
  <c r="V505" i="2"/>
  <c r="U505" i="2"/>
  <c r="T505" i="2"/>
  <c r="R505" i="2"/>
  <c r="Q505" i="2"/>
  <c r="P505" i="2"/>
  <c r="J505" i="2"/>
  <c r="I505" i="2"/>
  <c r="AH505" i="2"/>
  <c r="AV503" i="2"/>
  <c r="AL503" i="2"/>
  <c r="AJ503" i="2"/>
  <c r="AI503" i="2"/>
  <c r="AH503" i="2"/>
  <c r="AG503" i="2"/>
  <c r="AF503" i="2"/>
  <c r="AE503" i="2"/>
  <c r="AD503" i="2"/>
  <c r="U503" i="2"/>
  <c r="P503" i="2"/>
  <c r="O503" i="2"/>
  <c r="N503" i="2"/>
  <c r="L503" i="2"/>
  <c r="K503" i="2"/>
  <c r="I503" i="2"/>
  <c r="AN503" i="2"/>
  <c r="AU502" i="2"/>
  <c r="AT502" i="2"/>
  <c r="AN502" i="2"/>
  <c r="AL502" i="2"/>
  <c r="AK502" i="2"/>
  <c r="AJ502" i="2"/>
  <c r="AH502" i="2"/>
  <c r="AG502" i="2"/>
  <c r="AF502" i="2"/>
  <c r="AE502" i="2"/>
  <c r="AD502" i="2"/>
  <c r="AB502" i="2"/>
  <c r="AA502" i="2"/>
  <c r="Z502" i="2"/>
  <c r="X502" i="2"/>
  <c r="W502" i="2"/>
  <c r="V502" i="2"/>
  <c r="P502" i="2"/>
  <c r="O502" i="2"/>
  <c r="L502" i="2"/>
  <c r="J502" i="2"/>
  <c r="I502" i="2"/>
  <c r="H502" i="2"/>
  <c r="AX501" i="2"/>
  <c r="AW501" i="2"/>
  <c r="AV501" i="2"/>
  <c r="AR501" i="2"/>
  <c r="AQ501" i="2"/>
  <c r="AP501" i="2"/>
  <c r="AO501" i="2"/>
  <c r="AL501" i="2"/>
  <c r="AK501" i="2"/>
  <c r="AH501" i="2"/>
  <c r="AF501" i="2"/>
  <c r="AE501" i="2"/>
  <c r="AD501" i="2"/>
  <c r="AB501" i="2"/>
  <c r="Z501" i="2"/>
  <c r="Y501" i="2"/>
  <c r="X501" i="2"/>
  <c r="T501" i="2"/>
  <c r="S501" i="2"/>
  <c r="R501" i="2"/>
  <c r="Q501" i="2"/>
  <c r="P501" i="2"/>
  <c r="O501" i="2"/>
  <c r="N501" i="2"/>
  <c r="M501" i="2"/>
  <c r="J501" i="2"/>
  <c r="I501" i="2"/>
  <c r="AG501" i="2"/>
  <c r="AX500" i="2"/>
  <c r="AT500" i="2"/>
  <c r="AS500" i="2"/>
  <c r="AR500" i="2"/>
  <c r="AQ500" i="2"/>
  <c r="AP500" i="2"/>
  <c r="AO500" i="2"/>
  <c r="AN500" i="2"/>
  <c r="AM500" i="2"/>
  <c r="AL500" i="2"/>
  <c r="AK500" i="2"/>
  <c r="AJ500" i="2"/>
  <c r="AI500" i="2"/>
  <c r="AF500" i="2"/>
  <c r="AE500" i="2"/>
  <c r="AB500" i="2"/>
  <c r="AA500" i="2"/>
  <c r="Z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AG500" i="2"/>
  <c r="AV499" i="2"/>
  <c r="AT499" i="2"/>
  <c r="AS499" i="2"/>
  <c r="AO499" i="2"/>
  <c r="AM499" i="2"/>
  <c r="AL499" i="2"/>
  <c r="AK499" i="2"/>
  <c r="AJ499" i="2"/>
  <c r="AH499" i="2"/>
  <c r="S499" i="2"/>
  <c r="R499" i="2"/>
  <c r="Q499" i="2"/>
  <c r="N499" i="2"/>
  <c r="M499" i="2"/>
  <c r="L499" i="2"/>
  <c r="K499" i="2"/>
  <c r="H499" i="2"/>
  <c r="AI499" i="2"/>
  <c r="AV498" i="2"/>
  <c r="AR498" i="2"/>
  <c r="AK498" i="2"/>
  <c r="AI498" i="2"/>
  <c r="AH498" i="2"/>
  <c r="AG498" i="2"/>
  <c r="AF498" i="2"/>
  <c r="AE498" i="2"/>
  <c r="AD498" i="2"/>
  <c r="Z498" i="2"/>
  <c r="Y498" i="2"/>
  <c r="T498" i="2"/>
  <c r="Q498" i="2"/>
  <c r="O498" i="2"/>
  <c r="N498" i="2"/>
  <c r="M498" i="2"/>
  <c r="K498" i="2"/>
  <c r="I498" i="2"/>
  <c r="AN498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AE497" i="2"/>
  <c r="AX496" i="2"/>
  <c r="AW496" i="2"/>
  <c r="AV496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D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AG496" i="2"/>
  <c r="AX495" i="2"/>
  <c r="AW495" i="2"/>
  <c r="AV495" i="2"/>
  <c r="AU495" i="2"/>
  <c r="AT495" i="2"/>
  <c r="AS495" i="2"/>
  <c r="AR495" i="2"/>
  <c r="AQ495" i="2"/>
  <c r="AP495" i="2"/>
  <c r="AM495" i="2"/>
  <c r="AL495" i="2"/>
  <c r="AJ495" i="2"/>
  <c r="AF495" i="2"/>
  <c r="AE495" i="2"/>
  <c r="AD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L495" i="2"/>
  <c r="H495" i="2"/>
  <c r="AX494" i="2"/>
  <c r="AW494" i="2"/>
  <c r="AV494" i="2"/>
  <c r="AU494" i="2"/>
  <c r="AT494" i="2"/>
  <c r="AS494" i="2"/>
  <c r="AR494" i="2"/>
  <c r="AQ494" i="2"/>
  <c r="AP494" i="2"/>
  <c r="AO494" i="2"/>
  <c r="AN494" i="2"/>
  <c r="AM494" i="2"/>
  <c r="AL494" i="2"/>
  <c r="AF494" i="2"/>
  <c r="AE494" i="2"/>
  <c r="AB494" i="2"/>
  <c r="AA494" i="2"/>
  <c r="Z494" i="2"/>
  <c r="Y494" i="2"/>
  <c r="X494" i="2"/>
  <c r="W494" i="2"/>
  <c r="V494" i="2"/>
  <c r="U494" i="2"/>
  <c r="T494" i="2"/>
  <c r="S494" i="2"/>
  <c r="R494" i="2"/>
  <c r="Q494" i="2"/>
  <c r="P494" i="2"/>
  <c r="O494" i="2"/>
  <c r="N494" i="2"/>
  <c r="J494" i="2"/>
  <c r="I494" i="2"/>
  <c r="H494" i="2"/>
  <c r="AG494" i="2"/>
  <c r="AV493" i="2"/>
  <c r="AS493" i="2"/>
  <c r="AR493" i="2"/>
  <c r="AQ493" i="2"/>
  <c r="AO493" i="2"/>
  <c r="AN493" i="2"/>
  <c r="AJ493" i="2"/>
  <c r="AI493" i="2"/>
  <c r="AF493" i="2"/>
  <c r="AE493" i="2"/>
  <c r="AB493" i="2"/>
  <c r="AA493" i="2"/>
  <c r="X493" i="2"/>
  <c r="V493" i="2"/>
  <c r="T493" i="2"/>
  <c r="M493" i="2"/>
  <c r="L493" i="2"/>
  <c r="J493" i="2"/>
  <c r="I493" i="2"/>
  <c r="H493" i="2"/>
  <c r="AS492" i="2"/>
  <c r="AP492" i="2"/>
  <c r="AM492" i="2"/>
  <c r="AK492" i="2"/>
  <c r="AI492" i="2"/>
  <c r="Z492" i="2"/>
  <c r="R492" i="2"/>
  <c r="N492" i="2"/>
  <c r="J492" i="2"/>
  <c r="H492" i="2"/>
  <c r="AR491" i="2"/>
  <c r="AO491" i="2"/>
  <c r="AL491" i="2"/>
  <c r="AK491" i="2"/>
  <c r="AJ491" i="2"/>
  <c r="AH491" i="2"/>
  <c r="AG491" i="2"/>
  <c r="AF491" i="2"/>
  <c r="AE491" i="2"/>
  <c r="AB491" i="2"/>
  <c r="AA491" i="2"/>
  <c r="X491" i="2"/>
  <c r="W491" i="2"/>
  <c r="T491" i="2"/>
  <c r="P491" i="2"/>
  <c r="N491" i="2"/>
  <c r="I491" i="2"/>
  <c r="H491" i="2"/>
  <c r="AI491" i="2"/>
  <c r="AV490" i="2"/>
  <c r="AU490" i="2"/>
  <c r="AM490" i="2"/>
  <c r="AL490" i="2"/>
  <c r="AJ490" i="2"/>
  <c r="AI490" i="2"/>
  <c r="AH490" i="2"/>
  <c r="AG490" i="2"/>
  <c r="AE490" i="2"/>
  <c r="AB490" i="2"/>
  <c r="AA490" i="2"/>
  <c r="Z490" i="2"/>
  <c r="Y490" i="2"/>
  <c r="V490" i="2"/>
  <c r="S490" i="2"/>
  <c r="P490" i="2"/>
  <c r="N490" i="2"/>
  <c r="M490" i="2"/>
  <c r="L490" i="2"/>
  <c r="J490" i="2"/>
  <c r="I490" i="2"/>
  <c r="AF490" i="2"/>
  <c r="AW489" i="2"/>
  <c r="AL489" i="2"/>
  <c r="AK489" i="2"/>
  <c r="AJ489" i="2"/>
  <c r="AH489" i="2"/>
  <c r="AG489" i="2"/>
  <c r="AF489" i="2"/>
  <c r="AE489" i="2"/>
  <c r="AD489" i="2"/>
  <c r="AB489" i="2"/>
  <c r="AA489" i="2"/>
  <c r="X489" i="2"/>
  <c r="U489" i="2"/>
  <c r="R489" i="2"/>
  <c r="Q489" i="2"/>
  <c r="N489" i="2"/>
  <c r="L489" i="2"/>
  <c r="J489" i="2"/>
  <c r="AN489" i="2"/>
  <c r="AX488" i="2"/>
  <c r="AU488" i="2"/>
  <c r="AT488" i="2"/>
  <c r="AS488" i="2"/>
  <c r="AP488" i="2"/>
  <c r="AO488" i="2"/>
  <c r="AL488" i="2"/>
  <c r="AJ488" i="2"/>
  <c r="AI488" i="2"/>
  <c r="AH488" i="2"/>
  <c r="AF488" i="2"/>
  <c r="AE488" i="2"/>
  <c r="AD488" i="2"/>
  <c r="AB488" i="2"/>
  <c r="AA488" i="2"/>
  <c r="Z488" i="2"/>
  <c r="W488" i="2"/>
  <c r="V488" i="2"/>
  <c r="U488" i="2"/>
  <c r="T488" i="2"/>
  <c r="S488" i="2"/>
  <c r="P488" i="2"/>
  <c r="O488" i="2"/>
  <c r="L488" i="2"/>
  <c r="J488" i="2"/>
  <c r="I488" i="2"/>
  <c r="H488" i="2"/>
  <c r="AW487" i="2"/>
  <c r="AT487" i="2"/>
  <c r="AR487" i="2"/>
  <c r="AF487" i="2"/>
  <c r="X487" i="2"/>
  <c r="AX486" i="2"/>
  <c r="AW486" i="2"/>
  <c r="AV486" i="2"/>
  <c r="AU486" i="2"/>
  <c r="AT486" i="2"/>
  <c r="AS486" i="2"/>
  <c r="AR486" i="2"/>
  <c r="AQ486" i="2"/>
  <c r="AP486" i="2"/>
  <c r="AO486" i="2"/>
  <c r="AL486" i="2"/>
  <c r="AK486" i="2"/>
  <c r="AH486" i="2"/>
  <c r="AF486" i="2"/>
  <c r="AE486" i="2"/>
  <c r="AD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L486" i="2"/>
  <c r="K486" i="2"/>
  <c r="H486" i="2"/>
  <c r="AB486" i="2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AE485" i="2"/>
  <c r="AT484" i="2"/>
  <c r="AR484" i="2"/>
  <c r="AQ484" i="2"/>
  <c r="AO484" i="2"/>
  <c r="AM484" i="2"/>
  <c r="X484" i="2"/>
  <c r="S484" i="2"/>
  <c r="R484" i="2"/>
  <c r="N484" i="2"/>
  <c r="J484" i="2"/>
  <c r="AX483" i="2"/>
  <c r="AW483" i="2"/>
  <c r="AV483" i="2"/>
  <c r="AU483" i="2"/>
  <c r="AT483" i="2"/>
  <c r="AS483" i="2"/>
  <c r="AR483" i="2"/>
  <c r="AQ483" i="2"/>
  <c r="AP483" i="2"/>
  <c r="AO483" i="2"/>
  <c r="AN483" i="2"/>
  <c r="AM483" i="2"/>
  <c r="AL483" i="2"/>
  <c r="AK483" i="2"/>
  <c r="AF483" i="2"/>
  <c r="AE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I483" i="2"/>
  <c r="H483" i="2"/>
  <c r="AD483" i="2"/>
  <c r="AW482" i="2"/>
  <c r="AV482" i="2"/>
  <c r="AU482" i="2"/>
  <c r="AT482" i="2"/>
  <c r="AS482" i="2"/>
  <c r="AR482" i="2"/>
  <c r="AP482" i="2"/>
  <c r="AM482" i="2"/>
  <c r="AL482" i="2"/>
  <c r="AI482" i="2"/>
  <c r="AH482" i="2"/>
  <c r="AG482" i="2"/>
  <c r="AD482" i="2"/>
  <c r="Z482" i="2"/>
  <c r="X482" i="2"/>
  <c r="W482" i="2"/>
  <c r="V482" i="2"/>
  <c r="U482" i="2"/>
  <c r="R482" i="2"/>
  <c r="Q482" i="2"/>
  <c r="P482" i="2"/>
  <c r="O482" i="2"/>
  <c r="N482" i="2"/>
  <c r="K482" i="2"/>
  <c r="I482" i="2"/>
  <c r="AX481" i="2"/>
  <c r="AV481" i="2"/>
  <c r="AU481" i="2"/>
  <c r="AT481" i="2"/>
  <c r="AS481" i="2"/>
  <c r="AR481" i="2"/>
  <c r="AQ481" i="2"/>
  <c r="AP481" i="2"/>
  <c r="AO481" i="2"/>
  <c r="AK481" i="2"/>
  <c r="AJ481" i="2"/>
  <c r="AI481" i="2"/>
  <c r="AH481" i="2"/>
  <c r="AG481" i="2"/>
  <c r="AF481" i="2"/>
  <c r="AE481" i="2"/>
  <c r="AA481" i="2"/>
  <c r="X481" i="2"/>
  <c r="V481" i="2"/>
  <c r="U481" i="2"/>
  <c r="T481" i="2"/>
  <c r="S481" i="2"/>
  <c r="R481" i="2"/>
  <c r="Q481" i="2"/>
  <c r="P481" i="2"/>
  <c r="M481" i="2"/>
  <c r="L481" i="2"/>
  <c r="K481" i="2"/>
  <c r="J481" i="2"/>
  <c r="I481" i="2"/>
  <c r="H481" i="2"/>
  <c r="AB481" i="2"/>
  <c r="AV480" i="2"/>
  <c r="AT480" i="2"/>
  <c r="AS480" i="2"/>
  <c r="AQ480" i="2"/>
  <c r="AK480" i="2"/>
  <c r="AJ480" i="2"/>
  <c r="AI480" i="2"/>
  <c r="AH480" i="2"/>
  <c r="AG480" i="2"/>
  <c r="AF480" i="2"/>
  <c r="AE480" i="2"/>
  <c r="AD480" i="2"/>
  <c r="Z480" i="2"/>
  <c r="Y480" i="2"/>
  <c r="S480" i="2"/>
  <c r="R480" i="2"/>
  <c r="O480" i="2"/>
  <c r="N480" i="2"/>
  <c r="M480" i="2"/>
  <c r="L480" i="2"/>
  <c r="J480" i="2"/>
  <c r="L479" i="2"/>
  <c r="AW478" i="2"/>
  <c r="AM478" i="2"/>
  <c r="AL478" i="2"/>
  <c r="AI478" i="2"/>
  <c r="AD478" i="2"/>
  <c r="S478" i="2"/>
  <c r="L478" i="2"/>
  <c r="K478" i="2"/>
  <c r="J478" i="2"/>
  <c r="AV477" i="2"/>
  <c r="AU477" i="2"/>
  <c r="AT477" i="2"/>
  <c r="AS477" i="2"/>
  <c r="AR477" i="2"/>
  <c r="AQ477" i="2"/>
  <c r="AO477" i="2"/>
  <c r="AJ477" i="2"/>
  <c r="AH477" i="2"/>
  <c r="AG477" i="2"/>
  <c r="AF477" i="2"/>
  <c r="AB477" i="2"/>
  <c r="AA477" i="2"/>
  <c r="X477" i="2"/>
  <c r="W477" i="2"/>
  <c r="T477" i="2"/>
  <c r="S477" i="2"/>
  <c r="R477" i="2"/>
  <c r="Q477" i="2"/>
  <c r="P477" i="2"/>
  <c r="O477" i="2"/>
  <c r="M477" i="2"/>
  <c r="H477" i="2"/>
  <c r="AE477" i="2"/>
  <c r="AX476" i="2"/>
  <c r="AW476" i="2"/>
  <c r="AV476" i="2"/>
  <c r="AU476" i="2"/>
  <c r="AT476" i="2"/>
  <c r="AS476" i="2"/>
  <c r="AR476" i="2"/>
  <c r="AQ476" i="2"/>
  <c r="AP476" i="2"/>
  <c r="AO476" i="2"/>
  <c r="AN476" i="2"/>
  <c r="AM476" i="2"/>
  <c r="AL476" i="2"/>
  <c r="AK476" i="2"/>
  <c r="AJ476" i="2"/>
  <c r="AI476" i="2"/>
  <c r="AH476" i="2"/>
  <c r="AG476" i="2"/>
  <c r="AF476" i="2"/>
  <c r="AD476" i="2"/>
  <c r="Z476" i="2"/>
  <c r="Y476" i="2"/>
  <c r="X476" i="2"/>
  <c r="W476" i="2"/>
  <c r="V476" i="2"/>
  <c r="U476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AE476" i="2"/>
  <c r="AW475" i="2"/>
  <c r="AX474" i="2"/>
  <c r="AW474" i="2"/>
  <c r="AV474" i="2"/>
  <c r="AU474" i="2"/>
  <c r="AT474" i="2"/>
  <c r="AS474" i="2"/>
  <c r="AR474" i="2"/>
  <c r="AQ474" i="2"/>
  <c r="AP474" i="2"/>
  <c r="AO474" i="2"/>
  <c r="AN474" i="2"/>
  <c r="AM474" i="2"/>
  <c r="AL474" i="2"/>
  <c r="AK474" i="2"/>
  <c r="AJ474" i="2"/>
  <c r="AH474" i="2"/>
  <c r="AG474" i="2"/>
  <c r="AD474" i="2"/>
  <c r="AB474" i="2"/>
  <c r="AA474" i="2"/>
  <c r="Z474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J474" i="2"/>
  <c r="I474" i="2"/>
  <c r="AI474" i="2"/>
  <c r="AW473" i="2"/>
  <c r="AP473" i="2"/>
  <c r="AO473" i="2"/>
  <c r="AL473" i="2"/>
  <c r="AJ473" i="2"/>
  <c r="AB473" i="2"/>
  <c r="Q473" i="2"/>
  <c r="L473" i="2"/>
  <c r="K473" i="2"/>
  <c r="H473" i="2"/>
  <c r="AU472" i="2"/>
  <c r="AS472" i="2"/>
  <c r="AH472" i="2"/>
  <c r="X472" i="2"/>
  <c r="W472" i="2"/>
  <c r="V472" i="2"/>
  <c r="U472" i="2"/>
  <c r="T472" i="2"/>
  <c r="R472" i="2"/>
  <c r="AV472" i="2"/>
  <c r="AV471" i="2"/>
  <c r="AU471" i="2"/>
  <c r="AT471" i="2"/>
  <c r="AS471" i="2"/>
  <c r="AR471" i="2"/>
  <c r="AQ471" i="2"/>
  <c r="AN471" i="2"/>
  <c r="AG471" i="2"/>
  <c r="AE471" i="2"/>
  <c r="AD471" i="2"/>
  <c r="AB471" i="2"/>
  <c r="AA471" i="2"/>
  <c r="Z471" i="2"/>
  <c r="Y471" i="2"/>
  <c r="X471" i="2"/>
  <c r="U471" i="2"/>
  <c r="T471" i="2"/>
  <c r="S471" i="2"/>
  <c r="R471" i="2"/>
  <c r="P471" i="2"/>
  <c r="O471" i="2"/>
  <c r="K471" i="2"/>
  <c r="AF471" i="2"/>
  <c r="AU470" i="2"/>
  <c r="AR470" i="2"/>
  <c r="AO470" i="2"/>
  <c r="AL470" i="2"/>
  <c r="AK470" i="2"/>
  <c r="AA470" i="2"/>
  <c r="Z470" i="2"/>
  <c r="Y470" i="2"/>
  <c r="V470" i="2"/>
  <c r="K470" i="2"/>
  <c r="J470" i="2"/>
  <c r="AW470" i="2"/>
  <c r="AN469" i="2"/>
  <c r="AI469" i="2"/>
  <c r="X469" i="2"/>
  <c r="W469" i="2"/>
  <c r="V469" i="2"/>
  <c r="P469" i="2"/>
  <c r="M469" i="2"/>
  <c r="J469" i="2"/>
  <c r="AX468" i="2"/>
  <c r="AW468" i="2"/>
  <c r="AV468" i="2"/>
  <c r="AT468" i="2"/>
  <c r="AS468" i="2"/>
  <c r="AP468" i="2"/>
  <c r="AO468" i="2"/>
  <c r="AN468" i="2"/>
  <c r="AM468" i="2"/>
  <c r="AL468" i="2"/>
  <c r="AK468" i="2"/>
  <c r="AJ468" i="2"/>
  <c r="AG468" i="2"/>
  <c r="AF468" i="2"/>
  <c r="AE468" i="2"/>
  <c r="AD468" i="2"/>
  <c r="AB468" i="2"/>
  <c r="Z468" i="2"/>
  <c r="X468" i="2"/>
  <c r="V468" i="2"/>
  <c r="U468" i="2"/>
  <c r="R468" i="2"/>
  <c r="Q468" i="2"/>
  <c r="P468" i="2"/>
  <c r="O468" i="2"/>
  <c r="N468" i="2"/>
  <c r="M468" i="2"/>
  <c r="L468" i="2"/>
  <c r="K468" i="2"/>
  <c r="J468" i="2"/>
  <c r="I468" i="2"/>
  <c r="AA468" i="2"/>
  <c r="AP467" i="2"/>
  <c r="AO467" i="2"/>
  <c r="AL467" i="2"/>
  <c r="AK467" i="2"/>
  <c r="AJ467" i="2"/>
  <c r="AG467" i="2"/>
  <c r="X467" i="2"/>
  <c r="W467" i="2"/>
  <c r="S467" i="2"/>
  <c r="O467" i="2"/>
  <c r="N467" i="2"/>
  <c r="M467" i="2"/>
  <c r="L467" i="2"/>
  <c r="K467" i="2"/>
  <c r="I467" i="2"/>
  <c r="H467" i="2"/>
  <c r="AM467" i="2"/>
  <c r="AU466" i="2"/>
  <c r="AK466" i="2"/>
  <c r="AJ466" i="2"/>
  <c r="AG466" i="2"/>
  <c r="AF466" i="2"/>
  <c r="AE466" i="2"/>
  <c r="AD466" i="2"/>
  <c r="Z466" i="2"/>
  <c r="Y466" i="2"/>
  <c r="T466" i="2"/>
  <c r="P466" i="2"/>
  <c r="M466" i="2"/>
  <c r="AX465" i="2"/>
  <c r="AW465" i="2"/>
  <c r="AV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D465" i="2"/>
  <c r="AB465" i="2"/>
  <c r="AA465" i="2"/>
  <c r="Z465" i="2"/>
  <c r="Y465" i="2"/>
  <c r="X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AE465" i="2"/>
  <c r="AX464" i="2"/>
  <c r="AV464" i="2"/>
  <c r="AS464" i="2"/>
  <c r="AR464" i="2"/>
  <c r="AP464" i="2"/>
  <c r="AL464" i="2"/>
  <c r="AK464" i="2"/>
  <c r="AJ464" i="2"/>
  <c r="U464" i="2"/>
  <c r="T464" i="2"/>
  <c r="S464" i="2"/>
  <c r="R464" i="2"/>
  <c r="Q464" i="2"/>
  <c r="P464" i="2"/>
  <c r="M464" i="2"/>
  <c r="L464" i="2"/>
  <c r="AO464" i="2"/>
  <c r="AM463" i="2"/>
  <c r="Z463" i="2"/>
  <c r="N463" i="2"/>
  <c r="M463" i="2"/>
  <c r="AX462" i="2"/>
  <c r="AW462" i="2"/>
  <c r="AU462" i="2"/>
  <c r="AT462" i="2"/>
  <c r="AS462" i="2"/>
  <c r="AP462" i="2"/>
  <c r="AO462" i="2"/>
  <c r="AN462" i="2"/>
  <c r="AH462" i="2"/>
  <c r="AG462" i="2"/>
  <c r="AF462" i="2"/>
  <c r="AE462" i="2"/>
  <c r="AD462" i="2"/>
  <c r="AB462" i="2"/>
  <c r="Z462" i="2"/>
  <c r="Y462" i="2"/>
  <c r="W462" i="2"/>
  <c r="V462" i="2"/>
  <c r="U462" i="2"/>
  <c r="S462" i="2"/>
  <c r="R462" i="2"/>
  <c r="Q462" i="2"/>
  <c r="N462" i="2"/>
  <c r="K462" i="2"/>
  <c r="J462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Y461" i="2" s="1"/>
  <c r="AH461" i="2"/>
  <c r="AG461" i="2"/>
  <c r="AF461" i="2"/>
  <c r="AD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AE461" i="2"/>
  <c r="AX460" i="2"/>
  <c r="AW460" i="2"/>
  <c r="AV460" i="2"/>
  <c r="AU460" i="2"/>
  <c r="AT460" i="2"/>
  <c r="AS460" i="2"/>
  <c r="AR460" i="2"/>
  <c r="AQ460" i="2"/>
  <c r="AP460" i="2"/>
  <c r="AN460" i="2"/>
  <c r="AM460" i="2"/>
  <c r="AL460" i="2"/>
  <c r="AK460" i="2"/>
  <c r="AJ460" i="2"/>
  <c r="AI460" i="2"/>
  <c r="AH460" i="2"/>
  <c r="AF460" i="2"/>
  <c r="AD460" i="2"/>
  <c r="AB460" i="2"/>
  <c r="AA460" i="2"/>
  <c r="Z460" i="2"/>
  <c r="Y460" i="2"/>
  <c r="X460" i="2"/>
  <c r="W460" i="2"/>
  <c r="V460" i="2"/>
  <c r="U460" i="2"/>
  <c r="T460" i="2"/>
  <c r="S460" i="2"/>
  <c r="R460" i="2"/>
  <c r="P460" i="2"/>
  <c r="O460" i="2"/>
  <c r="N460" i="2"/>
  <c r="M460" i="2"/>
  <c r="L460" i="2"/>
  <c r="K460" i="2"/>
  <c r="J460" i="2"/>
  <c r="H460" i="2"/>
  <c r="AO460" i="2"/>
  <c r="AV459" i="2"/>
  <c r="AT459" i="2"/>
  <c r="AP459" i="2"/>
  <c r="AN459" i="2"/>
  <c r="AL459" i="2"/>
  <c r="AJ459" i="2"/>
  <c r="AI459" i="2"/>
  <c r="AB459" i="2"/>
  <c r="X459" i="2"/>
  <c r="W459" i="2"/>
  <c r="V459" i="2"/>
  <c r="U459" i="2"/>
  <c r="R459" i="2"/>
  <c r="Q459" i="2"/>
  <c r="M459" i="2"/>
  <c r="J459" i="2"/>
  <c r="AM459" i="2"/>
  <c r="AV458" i="2"/>
  <c r="AU458" i="2"/>
  <c r="AO458" i="2"/>
  <c r="AN458" i="2"/>
  <c r="AK458" i="2"/>
  <c r="AG458" i="2"/>
  <c r="AF458" i="2"/>
  <c r="AA458" i="2"/>
  <c r="R458" i="2"/>
  <c r="N458" i="2"/>
  <c r="L458" i="2"/>
  <c r="AX457" i="2"/>
  <c r="AR457" i="2"/>
  <c r="AQ457" i="2"/>
  <c r="AN457" i="2"/>
  <c r="AM457" i="2"/>
  <c r="AL457" i="2"/>
  <c r="AI457" i="2"/>
  <c r="AH457" i="2"/>
  <c r="AG457" i="2"/>
  <c r="AE457" i="2"/>
  <c r="Z457" i="2"/>
  <c r="Y457" i="2"/>
  <c r="R457" i="2"/>
  <c r="Q457" i="2"/>
  <c r="P457" i="2"/>
  <c r="O457" i="2"/>
  <c r="N457" i="2"/>
  <c r="L457" i="2"/>
  <c r="I457" i="2"/>
  <c r="H457" i="2"/>
  <c r="AO457" i="2"/>
  <c r="AX456" i="2"/>
  <c r="AV456" i="2"/>
  <c r="AU456" i="2"/>
  <c r="AQ456" i="2"/>
  <c r="AO456" i="2"/>
  <c r="AN456" i="2"/>
  <c r="AL456" i="2"/>
  <c r="AI456" i="2"/>
  <c r="AG456" i="2"/>
  <c r="AF456" i="2"/>
  <c r="AE456" i="2"/>
  <c r="AB456" i="2"/>
  <c r="W456" i="2"/>
  <c r="V456" i="2"/>
  <c r="U456" i="2"/>
  <c r="P456" i="2"/>
  <c r="N456" i="2"/>
  <c r="M456" i="2"/>
  <c r="L456" i="2"/>
  <c r="K456" i="2"/>
  <c r="J456" i="2"/>
  <c r="I456" i="2"/>
  <c r="AT455" i="2"/>
  <c r="AM455" i="2"/>
  <c r="AL455" i="2"/>
  <c r="AI455" i="2"/>
  <c r="AE455" i="2"/>
  <c r="X455" i="2"/>
  <c r="U455" i="2"/>
  <c r="AX454" i="2"/>
  <c r="AS454" i="2"/>
  <c r="AP454" i="2"/>
  <c r="AK454" i="2"/>
  <c r="AJ454" i="2"/>
  <c r="AI454" i="2"/>
  <c r="AG454" i="2"/>
  <c r="AF454" i="2"/>
  <c r="AE454" i="2"/>
  <c r="Z454" i="2"/>
  <c r="X454" i="2"/>
  <c r="W454" i="2"/>
  <c r="V454" i="2"/>
  <c r="R454" i="2"/>
  <c r="Q454" i="2"/>
  <c r="L454" i="2"/>
  <c r="K454" i="2"/>
  <c r="H454" i="2"/>
  <c r="AL454" i="2"/>
  <c r="AX453" i="2"/>
  <c r="AW453" i="2"/>
  <c r="AV453" i="2"/>
  <c r="AU453" i="2"/>
  <c r="AT453" i="2"/>
  <c r="AS453" i="2"/>
  <c r="AR453" i="2"/>
  <c r="AQ453" i="2"/>
  <c r="AP453" i="2"/>
  <c r="AO453" i="2"/>
  <c r="AN453" i="2"/>
  <c r="AM453" i="2"/>
  <c r="AL453" i="2"/>
  <c r="AK453" i="2"/>
  <c r="AJ453" i="2"/>
  <c r="AI453" i="2"/>
  <c r="AH453" i="2"/>
  <c r="AG453" i="2"/>
  <c r="AF453" i="2"/>
  <c r="AD453" i="2"/>
  <c r="AB453" i="2"/>
  <c r="AA453" i="2"/>
  <c r="Z453" i="2"/>
  <c r="Y453" i="2"/>
  <c r="X453" i="2"/>
  <c r="W453" i="2"/>
  <c r="V453" i="2"/>
  <c r="U453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H453" i="2"/>
  <c r="AE453" i="2"/>
  <c r="AW452" i="2"/>
  <c r="AV452" i="2"/>
  <c r="AU452" i="2"/>
  <c r="AR452" i="2"/>
  <c r="AQ452" i="2"/>
  <c r="AL452" i="2"/>
  <c r="AK452" i="2"/>
  <c r="AJ452" i="2"/>
  <c r="AI452" i="2"/>
  <c r="AH452" i="2"/>
  <c r="AF452" i="2"/>
  <c r="AE452" i="2"/>
  <c r="AD452" i="2"/>
  <c r="AB452" i="2"/>
  <c r="AA452" i="2"/>
  <c r="Z452" i="2"/>
  <c r="X452" i="2"/>
  <c r="W452" i="2"/>
  <c r="V452" i="2"/>
  <c r="S452" i="2"/>
  <c r="R452" i="2"/>
  <c r="Q452" i="2"/>
  <c r="N452" i="2"/>
  <c r="M452" i="2"/>
  <c r="L452" i="2"/>
  <c r="K452" i="2"/>
  <c r="J452" i="2"/>
  <c r="H452" i="2"/>
  <c r="AW451" i="2"/>
  <c r="AV451" i="2"/>
  <c r="AR451" i="2"/>
  <c r="AQ451" i="2"/>
  <c r="AP451" i="2"/>
  <c r="AL451" i="2"/>
  <c r="AK451" i="2"/>
  <c r="AJ451" i="2"/>
  <c r="AH451" i="2"/>
  <c r="AG451" i="2"/>
  <c r="AF451" i="2"/>
  <c r="AE451" i="2"/>
  <c r="AD451" i="2"/>
  <c r="AB451" i="2"/>
  <c r="AA451" i="2"/>
  <c r="Z451" i="2"/>
  <c r="V451" i="2"/>
  <c r="S451" i="2"/>
  <c r="R451" i="2"/>
  <c r="Q451" i="2"/>
  <c r="N451" i="2"/>
  <c r="M451" i="2"/>
  <c r="J451" i="2"/>
  <c r="I451" i="2"/>
  <c r="H451" i="2"/>
  <c r="AW450" i="2"/>
  <c r="AV450" i="2"/>
  <c r="AU450" i="2"/>
  <c r="AR450" i="2"/>
  <c r="AQ450" i="2"/>
  <c r="AP450" i="2"/>
  <c r="AL450" i="2"/>
  <c r="AJ450" i="2"/>
  <c r="AI450" i="2"/>
  <c r="AH450" i="2"/>
  <c r="AG450" i="2"/>
  <c r="AF450" i="2"/>
  <c r="AE450" i="2"/>
  <c r="AD450" i="2"/>
  <c r="AB450" i="2"/>
  <c r="AA450" i="2"/>
  <c r="Z450" i="2"/>
  <c r="X450" i="2"/>
  <c r="W450" i="2"/>
  <c r="V450" i="2"/>
  <c r="S450" i="2"/>
  <c r="R450" i="2"/>
  <c r="Q450" i="2"/>
  <c r="N450" i="2"/>
  <c r="L450" i="2"/>
  <c r="K450" i="2"/>
  <c r="J450" i="2"/>
  <c r="I450" i="2"/>
  <c r="H450" i="2"/>
  <c r="AW449" i="2"/>
  <c r="AV449" i="2"/>
  <c r="AR449" i="2"/>
  <c r="AQ449" i="2"/>
  <c r="AP449" i="2"/>
  <c r="AK449" i="2"/>
  <c r="AJ449" i="2"/>
  <c r="AI449" i="2"/>
  <c r="AH449" i="2"/>
  <c r="AG449" i="2"/>
  <c r="AF449" i="2"/>
  <c r="AE449" i="2"/>
  <c r="AD449" i="2"/>
  <c r="AB449" i="2"/>
  <c r="AA449" i="2"/>
  <c r="Z449" i="2"/>
  <c r="V449" i="2"/>
  <c r="S449" i="2"/>
  <c r="R449" i="2"/>
  <c r="Q449" i="2"/>
  <c r="M449" i="2"/>
  <c r="L449" i="2"/>
  <c r="J449" i="2"/>
  <c r="I449" i="2"/>
  <c r="H449" i="2"/>
  <c r="AW448" i="2"/>
  <c r="AV448" i="2"/>
  <c r="AU448" i="2"/>
  <c r="AR448" i="2"/>
  <c r="AQ448" i="2"/>
  <c r="AP448" i="2"/>
  <c r="AK448" i="2"/>
  <c r="AJ448" i="2"/>
  <c r="AI448" i="2"/>
  <c r="AH448" i="2"/>
  <c r="AG448" i="2"/>
  <c r="AF448" i="2"/>
  <c r="AE448" i="2"/>
  <c r="AD448" i="2"/>
  <c r="AB448" i="2"/>
  <c r="AA448" i="2"/>
  <c r="Z448" i="2"/>
  <c r="X448" i="2"/>
  <c r="W448" i="2"/>
  <c r="V448" i="2"/>
  <c r="S448" i="2"/>
  <c r="R448" i="2"/>
  <c r="P448" i="2"/>
  <c r="M448" i="2"/>
  <c r="L448" i="2"/>
  <c r="K448" i="2"/>
  <c r="J448" i="2"/>
  <c r="I448" i="2"/>
  <c r="H448" i="2"/>
  <c r="AW447" i="2"/>
  <c r="AV447" i="2"/>
  <c r="AR447" i="2"/>
  <c r="AQ447" i="2"/>
  <c r="AL447" i="2"/>
  <c r="AK447" i="2"/>
  <c r="AJ447" i="2"/>
  <c r="AH447" i="2"/>
  <c r="AG447" i="2"/>
  <c r="AF447" i="2"/>
  <c r="AB447" i="2"/>
  <c r="AA447" i="2"/>
  <c r="T447" i="2"/>
  <c r="S447" i="2"/>
  <c r="O447" i="2"/>
  <c r="N447" i="2"/>
  <c r="L447" i="2"/>
  <c r="K447" i="2"/>
  <c r="H447" i="2"/>
  <c r="AT446" i="2"/>
  <c r="AM446" i="2"/>
  <c r="AL446" i="2"/>
  <c r="AI446" i="2"/>
  <c r="AA446" i="2"/>
  <c r="Q446" i="2"/>
  <c r="O446" i="2"/>
  <c r="N446" i="2"/>
  <c r="AJ446" i="2"/>
  <c r="AQ445" i="2"/>
  <c r="AP445" i="2"/>
  <c r="AA445" i="2"/>
  <c r="V445" i="2"/>
  <c r="S445" i="2"/>
  <c r="L445" i="2"/>
  <c r="AX444" i="2"/>
  <c r="AS444" i="2"/>
  <c r="AR444" i="2"/>
  <c r="AQ444" i="2"/>
  <c r="AP444" i="2"/>
  <c r="AO444" i="2"/>
  <c r="AN444" i="2"/>
  <c r="AL444" i="2"/>
  <c r="AK444" i="2"/>
  <c r="AI444" i="2"/>
  <c r="AH444" i="2"/>
  <c r="AG444" i="2"/>
  <c r="AE444" i="2"/>
  <c r="AD444" i="2"/>
  <c r="Z444" i="2"/>
  <c r="Y444" i="2"/>
  <c r="X444" i="2"/>
  <c r="U444" i="2"/>
  <c r="T444" i="2"/>
  <c r="S444" i="2"/>
  <c r="R444" i="2"/>
  <c r="O444" i="2"/>
  <c r="N444" i="2"/>
  <c r="M444" i="2"/>
  <c r="K444" i="2"/>
  <c r="J444" i="2"/>
  <c r="I444" i="2"/>
  <c r="AR443" i="2"/>
  <c r="AQ443" i="2"/>
  <c r="AX443" i="2"/>
  <c r="AX442" i="2"/>
  <c r="AW442" i="2"/>
  <c r="AV442" i="2"/>
  <c r="AU442" i="2"/>
  <c r="AT442" i="2"/>
  <c r="AS442" i="2"/>
  <c r="AR442" i="2"/>
  <c r="AQ442" i="2"/>
  <c r="AP442" i="2"/>
  <c r="AO442" i="2"/>
  <c r="AM442" i="2"/>
  <c r="AL442" i="2"/>
  <c r="AK442" i="2"/>
  <c r="AI442" i="2"/>
  <c r="AH442" i="2"/>
  <c r="AG442" i="2"/>
  <c r="AF442" i="2"/>
  <c r="AD442" i="2"/>
  <c r="AB442" i="2"/>
  <c r="AA442" i="2"/>
  <c r="Z442" i="2"/>
  <c r="Y442" i="2"/>
  <c r="X442" i="2"/>
  <c r="W442" i="2"/>
  <c r="V442" i="2"/>
  <c r="U442" i="2"/>
  <c r="T442" i="2"/>
  <c r="S442" i="2"/>
  <c r="R442" i="2"/>
  <c r="Q442" i="2"/>
  <c r="O442" i="2"/>
  <c r="N442" i="2"/>
  <c r="M442" i="2"/>
  <c r="K442" i="2"/>
  <c r="J442" i="2"/>
  <c r="I442" i="2"/>
  <c r="H442" i="2"/>
  <c r="AN442" i="2"/>
  <c r="AT441" i="2"/>
  <c r="AN441" i="2"/>
  <c r="AI441" i="2"/>
  <c r="Z441" i="2"/>
  <c r="AQ440" i="2"/>
  <c r="AM440" i="2"/>
  <c r="AH440" i="2"/>
  <c r="AG440" i="2"/>
  <c r="AB440" i="2"/>
  <c r="Y440" i="2"/>
  <c r="X440" i="2"/>
  <c r="U440" i="2"/>
  <c r="S440" i="2"/>
  <c r="O440" i="2"/>
  <c r="N440" i="2"/>
  <c r="M440" i="2"/>
  <c r="P439" i="2"/>
  <c r="AX438" i="2"/>
  <c r="AW438" i="2"/>
  <c r="AU438" i="2"/>
  <c r="AT438" i="2"/>
  <c r="AS438" i="2"/>
  <c r="AQ438" i="2"/>
  <c r="AP438" i="2"/>
  <c r="AO438" i="2"/>
  <c r="AN438" i="2"/>
  <c r="AL438" i="2"/>
  <c r="AK438" i="2"/>
  <c r="AJ438" i="2"/>
  <c r="AG438" i="2"/>
  <c r="AF438" i="2"/>
  <c r="AE438" i="2"/>
  <c r="AD438" i="2"/>
  <c r="AB438" i="2"/>
  <c r="AA438" i="2"/>
  <c r="Z438" i="2"/>
  <c r="Y438" i="2"/>
  <c r="W438" i="2"/>
  <c r="V438" i="2"/>
  <c r="U438" i="2"/>
  <c r="S438" i="2"/>
  <c r="R438" i="2"/>
  <c r="Q438" i="2"/>
  <c r="P438" i="2"/>
  <c r="N438" i="2"/>
  <c r="M438" i="2"/>
  <c r="L438" i="2"/>
  <c r="K438" i="2"/>
  <c r="J438" i="2"/>
  <c r="I438" i="2"/>
  <c r="AV437" i="2"/>
  <c r="AU437" i="2"/>
  <c r="AS437" i="2"/>
  <c r="AQ437" i="2"/>
  <c r="AP437" i="2"/>
  <c r="AM437" i="2"/>
  <c r="AL437" i="2"/>
  <c r="AK437" i="2"/>
  <c r="AJ437" i="2"/>
  <c r="AH437" i="2"/>
  <c r="AG437" i="2"/>
  <c r="AF437" i="2"/>
  <c r="AB437" i="2"/>
  <c r="AA437" i="2"/>
  <c r="Y437" i="2"/>
  <c r="X437" i="2"/>
  <c r="W437" i="2"/>
  <c r="T437" i="2"/>
  <c r="S437" i="2"/>
  <c r="R437" i="2"/>
  <c r="O437" i="2"/>
  <c r="N437" i="2"/>
  <c r="M437" i="2"/>
  <c r="L437" i="2"/>
  <c r="K437" i="2"/>
  <c r="J437" i="2"/>
  <c r="I437" i="2"/>
  <c r="AX436" i="2"/>
  <c r="AW436" i="2"/>
  <c r="AU436" i="2"/>
  <c r="AT436" i="2"/>
  <c r="AS436" i="2"/>
  <c r="AL436" i="2"/>
  <c r="AA436" i="2"/>
  <c r="U436" i="2"/>
  <c r="T436" i="2"/>
  <c r="Q436" i="2"/>
  <c r="O436" i="2"/>
  <c r="N436" i="2"/>
  <c r="M436" i="2"/>
  <c r="AX434" i="2"/>
  <c r="AW434" i="2"/>
  <c r="AV434" i="2"/>
  <c r="AU434" i="2"/>
  <c r="AR434" i="2"/>
  <c r="AQ434" i="2"/>
  <c r="AP434" i="2"/>
  <c r="AO434" i="2"/>
  <c r="AN434" i="2"/>
  <c r="AM434" i="2"/>
  <c r="AK434" i="2"/>
  <c r="AJ434" i="2"/>
  <c r="AI434" i="2"/>
  <c r="AG434" i="2"/>
  <c r="AE434" i="2"/>
  <c r="AD434" i="2"/>
  <c r="AA434" i="2"/>
  <c r="Z434" i="2"/>
  <c r="Y434" i="2"/>
  <c r="X434" i="2"/>
  <c r="W434" i="2"/>
  <c r="V434" i="2"/>
  <c r="U434" i="2"/>
  <c r="R434" i="2"/>
  <c r="Q434" i="2"/>
  <c r="P434" i="2"/>
  <c r="O434" i="2"/>
  <c r="N434" i="2"/>
  <c r="M434" i="2"/>
  <c r="K434" i="2"/>
  <c r="J434" i="2"/>
  <c r="I434" i="2"/>
  <c r="AT432" i="2"/>
  <c r="AP432" i="2"/>
  <c r="AO432" i="2"/>
  <c r="AK432" i="2"/>
  <c r="AG432" i="2"/>
  <c r="AF432" i="2"/>
  <c r="AD432" i="2"/>
  <c r="P432" i="2"/>
  <c r="K432" i="2"/>
  <c r="AO431" i="2"/>
  <c r="AK431" i="2"/>
  <c r="AJ431" i="2"/>
  <c r="AG431" i="2"/>
  <c r="AF431" i="2"/>
  <c r="AB431" i="2"/>
  <c r="AA431" i="2"/>
  <c r="Y431" i="2"/>
  <c r="U431" i="2"/>
  <c r="O431" i="2"/>
  <c r="AX430" i="2"/>
  <c r="AW430" i="2"/>
  <c r="AU430" i="2"/>
  <c r="AT430" i="2"/>
  <c r="AS430" i="2"/>
  <c r="AP430" i="2"/>
  <c r="AO430" i="2"/>
  <c r="AJ430" i="2"/>
  <c r="AF430" i="2"/>
  <c r="AB430" i="2"/>
  <c r="AA430" i="2"/>
  <c r="Z430" i="2"/>
  <c r="Y430" i="2"/>
  <c r="X430" i="2"/>
  <c r="U430" i="2"/>
  <c r="T430" i="2"/>
  <c r="O430" i="2"/>
  <c r="N430" i="2"/>
  <c r="M430" i="2"/>
  <c r="L430" i="2"/>
  <c r="K430" i="2"/>
  <c r="AH430" i="2"/>
  <c r="AX429" i="2"/>
  <c r="AW429" i="2"/>
  <c r="AV429" i="2"/>
  <c r="AU429" i="2"/>
  <c r="AT429" i="2"/>
  <c r="AS429" i="2"/>
  <c r="AO429" i="2"/>
  <c r="AN429" i="2"/>
  <c r="AM429" i="2"/>
  <c r="AL429" i="2"/>
  <c r="AK429" i="2"/>
  <c r="AJ429" i="2"/>
  <c r="AH429" i="2"/>
  <c r="AG429" i="2"/>
  <c r="AF429" i="2"/>
  <c r="AD429" i="2"/>
  <c r="AB429" i="2"/>
  <c r="AA429" i="2"/>
  <c r="Z429" i="2"/>
  <c r="Y429" i="2"/>
  <c r="X429" i="2"/>
  <c r="W429" i="2"/>
  <c r="V429" i="2"/>
  <c r="U429" i="2"/>
  <c r="T429" i="2"/>
  <c r="Q429" i="2"/>
  <c r="P429" i="2"/>
  <c r="O429" i="2"/>
  <c r="N429" i="2"/>
  <c r="M429" i="2"/>
  <c r="L429" i="2"/>
  <c r="J429" i="2"/>
  <c r="I429" i="2"/>
  <c r="H429" i="2"/>
  <c r="AP429" i="2"/>
  <c r="AM428" i="2"/>
  <c r="AG428" i="2"/>
  <c r="AE428" i="2"/>
  <c r="AD428" i="2"/>
  <c r="AB428" i="2"/>
  <c r="AA428" i="2"/>
  <c r="N428" i="2"/>
  <c r="K428" i="2"/>
  <c r="J428" i="2"/>
  <c r="AX428" i="2"/>
  <c r="AK427" i="2"/>
  <c r="AG427" i="2"/>
  <c r="AD427" i="2"/>
  <c r="Z427" i="2"/>
  <c r="Y427" i="2"/>
  <c r="M427" i="2"/>
  <c r="J427" i="2"/>
  <c r="I427" i="2"/>
  <c r="AX427" i="2"/>
  <c r="AX426" i="2"/>
  <c r="AU426" i="2"/>
  <c r="AT426" i="2"/>
  <c r="AS426" i="2"/>
  <c r="AR426" i="2"/>
  <c r="AM426" i="2"/>
  <c r="AJ426" i="2"/>
  <c r="AG426" i="2"/>
  <c r="AF426" i="2"/>
  <c r="AE426" i="2"/>
  <c r="AD426" i="2"/>
  <c r="Z426" i="2"/>
  <c r="W426" i="2"/>
  <c r="U426" i="2"/>
  <c r="T426" i="2"/>
  <c r="S426" i="2"/>
  <c r="R426" i="2"/>
  <c r="P426" i="2"/>
  <c r="L426" i="2"/>
  <c r="I426" i="2"/>
  <c r="AU425" i="2"/>
  <c r="AT425" i="2"/>
  <c r="AR425" i="2"/>
  <c r="AP425" i="2"/>
  <c r="AO425" i="2"/>
  <c r="AN425" i="2"/>
  <c r="AM425" i="2"/>
  <c r="AJ425" i="2"/>
  <c r="AI425" i="2"/>
  <c r="AG425" i="2"/>
  <c r="AF425" i="2"/>
  <c r="AE425" i="2"/>
  <c r="AD425" i="2"/>
  <c r="AB425" i="2"/>
  <c r="Y425" i="2"/>
  <c r="X425" i="2"/>
  <c r="W425" i="2"/>
  <c r="T425" i="2"/>
  <c r="R425" i="2"/>
  <c r="P425" i="2"/>
  <c r="O425" i="2"/>
  <c r="N425" i="2"/>
  <c r="M425" i="2"/>
  <c r="L425" i="2"/>
  <c r="I425" i="2"/>
  <c r="H425" i="2"/>
  <c r="AX424" i="2"/>
  <c r="AW424" i="2"/>
  <c r="AV424" i="2"/>
  <c r="AU424" i="2"/>
  <c r="AT424" i="2"/>
  <c r="AR424" i="2"/>
  <c r="AP424" i="2"/>
  <c r="AO424" i="2"/>
  <c r="AM424" i="2"/>
  <c r="AL424" i="2"/>
  <c r="AK424" i="2"/>
  <c r="AJ424" i="2"/>
  <c r="AI424" i="2"/>
  <c r="AG424" i="2"/>
  <c r="AF424" i="2"/>
  <c r="AE424" i="2"/>
  <c r="AD424" i="2"/>
  <c r="AA424" i="2"/>
  <c r="Z424" i="2"/>
  <c r="Y424" i="2"/>
  <c r="X424" i="2"/>
  <c r="W424" i="2"/>
  <c r="V424" i="2"/>
  <c r="T424" i="2"/>
  <c r="S424" i="2"/>
  <c r="R424" i="2"/>
  <c r="Q424" i="2"/>
  <c r="O424" i="2"/>
  <c r="N424" i="2"/>
  <c r="L424" i="2"/>
  <c r="K424" i="2"/>
  <c r="J424" i="2"/>
  <c r="I424" i="2"/>
  <c r="H424" i="2"/>
  <c r="AX423" i="2"/>
  <c r="AW423" i="2"/>
  <c r="AV423" i="2"/>
  <c r="AU423" i="2"/>
  <c r="AT423" i="2"/>
  <c r="AS423" i="2"/>
  <c r="AR423" i="2"/>
  <c r="AQ423" i="2"/>
  <c r="AP423" i="2"/>
  <c r="AO423" i="2"/>
  <c r="AN423" i="2"/>
  <c r="AM423" i="2"/>
  <c r="AL423" i="2"/>
  <c r="AK423" i="2"/>
  <c r="AJ423" i="2"/>
  <c r="AI423" i="2"/>
  <c r="AH423" i="2"/>
  <c r="AG423" i="2"/>
  <c r="AF423" i="2"/>
  <c r="AD423" i="2"/>
  <c r="AB423" i="2"/>
  <c r="AA423" i="2"/>
  <c r="Z423" i="2"/>
  <c r="Y423" i="2"/>
  <c r="X423" i="2"/>
  <c r="W423" i="2"/>
  <c r="V423" i="2"/>
  <c r="U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AE423" i="2"/>
  <c r="AX422" i="2"/>
  <c r="AT422" i="2"/>
  <c r="AS422" i="2"/>
  <c r="AR422" i="2"/>
  <c r="AQ422" i="2"/>
  <c r="AP422" i="2"/>
  <c r="AM422" i="2"/>
  <c r="AL422" i="2"/>
  <c r="AJ422" i="2"/>
  <c r="AI422" i="2"/>
  <c r="AH422" i="2"/>
  <c r="AE422" i="2"/>
  <c r="AD422" i="2"/>
  <c r="Z422" i="2"/>
  <c r="V422" i="2"/>
  <c r="S422" i="2"/>
  <c r="R422" i="2"/>
  <c r="Q422" i="2"/>
  <c r="P422" i="2"/>
  <c r="O422" i="2"/>
  <c r="L422" i="2"/>
  <c r="K422" i="2"/>
  <c r="AX421" i="2"/>
  <c r="AW421" i="2"/>
  <c r="AV421" i="2"/>
  <c r="AU421" i="2"/>
  <c r="AT421" i="2"/>
  <c r="AS421" i="2"/>
  <c r="AR421" i="2"/>
  <c r="AQ421" i="2"/>
  <c r="AP421" i="2"/>
  <c r="AO421" i="2"/>
  <c r="AN421" i="2"/>
  <c r="AM421" i="2"/>
  <c r="AL421" i="2"/>
  <c r="AK421" i="2"/>
  <c r="AG421" i="2"/>
  <c r="AF421" i="2"/>
  <c r="AE421" i="2"/>
  <c r="AD421" i="2"/>
  <c r="AB421" i="2"/>
  <c r="Z421" i="2"/>
  <c r="Y421" i="2"/>
  <c r="X421" i="2"/>
  <c r="W421" i="2"/>
  <c r="V421" i="2"/>
  <c r="U421" i="2"/>
  <c r="T421" i="2"/>
  <c r="S421" i="2"/>
  <c r="R421" i="2"/>
  <c r="Q421" i="2"/>
  <c r="P421" i="2"/>
  <c r="O421" i="2"/>
  <c r="N421" i="2"/>
  <c r="M421" i="2"/>
  <c r="L421" i="2"/>
  <c r="I421" i="2"/>
  <c r="H421" i="2"/>
  <c r="AR420" i="2"/>
  <c r="AO420" i="2"/>
  <c r="AL420" i="2"/>
  <c r="AI420" i="2"/>
  <c r="AH420" i="2"/>
  <c r="AG420" i="2"/>
  <c r="AF420" i="2"/>
  <c r="AB420" i="2"/>
  <c r="V420" i="2"/>
  <c r="N420" i="2"/>
  <c r="I420" i="2"/>
  <c r="H420" i="2"/>
  <c r="AX419" i="2"/>
  <c r="AW419" i="2"/>
  <c r="AV419" i="2"/>
  <c r="AU419" i="2"/>
  <c r="AT419" i="2"/>
  <c r="AS419" i="2"/>
  <c r="AR419" i="2"/>
  <c r="AQ419" i="2"/>
  <c r="AP419" i="2"/>
  <c r="AO419" i="2"/>
  <c r="AN419" i="2"/>
  <c r="AK419" i="2"/>
  <c r="AJ419" i="2"/>
  <c r="AI419" i="2"/>
  <c r="AH419" i="2"/>
  <c r="AG419" i="2"/>
  <c r="AF419" i="2"/>
  <c r="AD419" i="2"/>
  <c r="AB419" i="2"/>
  <c r="AA419" i="2"/>
  <c r="Z419" i="2"/>
  <c r="Y419" i="2"/>
  <c r="X419" i="2"/>
  <c r="W419" i="2"/>
  <c r="V419" i="2"/>
  <c r="U419" i="2"/>
  <c r="T419" i="2"/>
  <c r="S419" i="2"/>
  <c r="R419" i="2"/>
  <c r="Q419" i="2"/>
  <c r="P419" i="2"/>
  <c r="M419" i="2"/>
  <c r="L419" i="2"/>
  <c r="K419" i="2"/>
  <c r="J419" i="2"/>
  <c r="I419" i="2"/>
  <c r="H419" i="2"/>
  <c r="AM419" i="2"/>
  <c r="AU418" i="2"/>
  <c r="AM418" i="2"/>
  <c r="AB418" i="2"/>
  <c r="M418" i="2"/>
  <c r="AV418" i="2"/>
  <c r="AX417" i="2"/>
  <c r="AW417" i="2"/>
  <c r="AV417" i="2"/>
  <c r="AU417" i="2"/>
  <c r="AR417" i="2"/>
  <c r="AO417" i="2"/>
  <c r="AM417" i="2"/>
  <c r="AL417" i="2"/>
  <c r="AK417" i="2"/>
  <c r="AJ417" i="2"/>
  <c r="AI417" i="2"/>
  <c r="AF417" i="2"/>
  <c r="AE417" i="2"/>
  <c r="AD417" i="2"/>
  <c r="AB417" i="2"/>
  <c r="AA417" i="2"/>
  <c r="Z417" i="2"/>
  <c r="Y417" i="2"/>
  <c r="X417" i="2"/>
  <c r="W417" i="2"/>
  <c r="V417" i="2"/>
  <c r="U417" i="2"/>
  <c r="P417" i="2"/>
  <c r="O417" i="2"/>
  <c r="M417" i="2"/>
  <c r="L417" i="2"/>
  <c r="K417" i="2"/>
  <c r="J417" i="2"/>
  <c r="I417" i="2"/>
  <c r="AX416" i="2"/>
  <c r="AW416" i="2"/>
  <c r="AU416" i="2"/>
  <c r="AT416" i="2"/>
  <c r="AN416" i="2"/>
  <c r="AM416" i="2"/>
  <c r="AK416" i="2"/>
  <c r="AJ416" i="2"/>
  <c r="AI416" i="2"/>
  <c r="AH416" i="2"/>
  <c r="AG416" i="2"/>
  <c r="Y416" i="2"/>
  <c r="X416" i="2"/>
  <c r="W416" i="2"/>
  <c r="V416" i="2"/>
  <c r="S416" i="2"/>
  <c r="R416" i="2"/>
  <c r="Q416" i="2"/>
  <c r="N416" i="2"/>
  <c r="M416" i="2"/>
  <c r="K416" i="2"/>
  <c r="I416" i="2"/>
  <c r="H416" i="2"/>
  <c r="AX415" i="2"/>
  <c r="AW415" i="2"/>
  <c r="AV415" i="2"/>
  <c r="AS415" i="2"/>
  <c r="AO415" i="2"/>
  <c r="AL415" i="2"/>
  <c r="AK415" i="2"/>
  <c r="AI415" i="2"/>
  <c r="AH415" i="2"/>
  <c r="AG415" i="2"/>
  <c r="AF415" i="2"/>
  <c r="AE415" i="2"/>
  <c r="AB415" i="2"/>
  <c r="AA415" i="2"/>
  <c r="X415" i="2"/>
  <c r="U415" i="2"/>
  <c r="T415" i="2"/>
  <c r="S415" i="2"/>
  <c r="R415" i="2"/>
  <c r="Q415" i="2"/>
  <c r="P415" i="2"/>
  <c r="O415" i="2"/>
  <c r="L415" i="2"/>
  <c r="K415" i="2"/>
  <c r="I415" i="2"/>
  <c r="AP415" i="2"/>
  <c r="AD414" i="2"/>
  <c r="AU413" i="2"/>
  <c r="AP413" i="2"/>
  <c r="AK413" i="2"/>
  <c r="AD413" i="2"/>
  <c r="AB413" i="2"/>
  <c r="Y413" i="2"/>
  <c r="V413" i="2"/>
  <c r="U413" i="2"/>
  <c r="R413" i="2"/>
  <c r="AX412" i="2"/>
  <c r="AW412" i="2"/>
  <c r="AV412" i="2"/>
  <c r="AU412" i="2"/>
  <c r="AT412" i="2"/>
  <c r="AS412" i="2"/>
  <c r="AR412" i="2"/>
  <c r="AQ412" i="2"/>
  <c r="AP412" i="2"/>
  <c r="AO412" i="2"/>
  <c r="AN412" i="2"/>
  <c r="AM412" i="2"/>
  <c r="AL412" i="2"/>
  <c r="AK412" i="2"/>
  <c r="AJ412" i="2"/>
  <c r="AI412" i="2"/>
  <c r="AH412" i="2"/>
  <c r="AF412" i="2"/>
  <c r="AE412" i="2"/>
  <c r="AD412" i="2"/>
  <c r="AA412" i="2"/>
  <c r="Z412" i="2"/>
  <c r="Y412" i="2"/>
  <c r="X412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AB412" i="2"/>
  <c r="AX411" i="2"/>
  <c r="AW411" i="2"/>
  <c r="AV411" i="2"/>
  <c r="AU411" i="2"/>
  <c r="AT411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AG411" i="2"/>
  <c r="AF411" i="2"/>
  <c r="AD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AE411" i="2"/>
  <c r="AH410" i="2"/>
  <c r="W410" i="2"/>
  <c r="R410" i="2"/>
  <c r="M410" i="2"/>
  <c r="AX409" i="2"/>
  <c r="AW409" i="2"/>
  <c r="AV409" i="2"/>
  <c r="AU409" i="2"/>
  <c r="AN409" i="2"/>
  <c r="AK409" i="2"/>
  <c r="AJ409" i="2"/>
  <c r="AG409" i="2"/>
  <c r="AE409" i="2"/>
  <c r="AD409" i="2"/>
  <c r="W409" i="2"/>
  <c r="V409" i="2"/>
  <c r="U409" i="2"/>
  <c r="T409" i="2"/>
  <c r="Q409" i="2"/>
  <c r="P409" i="2"/>
  <c r="AX408" i="2"/>
  <c r="T408" i="2"/>
  <c r="K408" i="2"/>
  <c r="AW407" i="2"/>
  <c r="AV407" i="2"/>
  <c r="AP407" i="2"/>
  <c r="AI407" i="2"/>
  <c r="AH407" i="2"/>
  <c r="AG407" i="2"/>
  <c r="V407" i="2"/>
  <c r="R407" i="2"/>
  <c r="P407" i="2"/>
  <c r="AF406" i="2"/>
  <c r="AK405" i="2"/>
  <c r="AJ405" i="2"/>
  <c r="AG405" i="2"/>
  <c r="AE405" i="2"/>
  <c r="AD405" i="2"/>
  <c r="Z405" i="2"/>
  <c r="Y405" i="2"/>
  <c r="X405" i="2"/>
  <c r="N405" i="2"/>
  <c r="AX404" i="2"/>
  <c r="AW404" i="2"/>
  <c r="AV404" i="2"/>
  <c r="AU404" i="2"/>
  <c r="AT404" i="2"/>
  <c r="AQ404" i="2"/>
  <c r="AO404" i="2"/>
  <c r="AN404" i="2"/>
  <c r="AL404" i="2"/>
  <c r="AK404" i="2"/>
  <c r="AJ404" i="2"/>
  <c r="AI404" i="2"/>
  <c r="AH404" i="2"/>
  <c r="AF404" i="2"/>
  <c r="AE404" i="2"/>
  <c r="AD404" i="2"/>
  <c r="AB404" i="2"/>
  <c r="AA404" i="2"/>
  <c r="Z404" i="2"/>
  <c r="Y404" i="2"/>
  <c r="X404" i="2"/>
  <c r="W404" i="2"/>
  <c r="V404" i="2"/>
  <c r="S404" i="2"/>
  <c r="R404" i="2"/>
  <c r="Q404" i="2"/>
  <c r="O404" i="2"/>
  <c r="N404" i="2"/>
  <c r="L404" i="2"/>
  <c r="K404" i="2"/>
  <c r="J404" i="2"/>
  <c r="I404" i="2"/>
  <c r="H404" i="2"/>
  <c r="AX403" i="2"/>
  <c r="AW403" i="2"/>
  <c r="AV403" i="2"/>
  <c r="AS403" i="2"/>
  <c r="AR403" i="2"/>
  <c r="AQ403" i="2"/>
  <c r="AP403" i="2"/>
  <c r="AO403" i="2"/>
  <c r="AM403" i="2"/>
  <c r="AH403" i="2"/>
  <c r="AG403" i="2"/>
  <c r="AF403" i="2"/>
  <c r="AD403" i="2"/>
  <c r="AB403" i="2"/>
  <c r="AA403" i="2"/>
  <c r="Z403" i="2"/>
  <c r="Y403" i="2"/>
  <c r="X403" i="2"/>
  <c r="U403" i="2"/>
  <c r="T403" i="2"/>
  <c r="S403" i="2"/>
  <c r="R403" i="2"/>
  <c r="Q403" i="2"/>
  <c r="P403" i="2"/>
  <c r="O403" i="2"/>
  <c r="M403" i="2"/>
  <c r="L403" i="2"/>
  <c r="J403" i="2"/>
  <c r="I403" i="2"/>
  <c r="AI403" i="2"/>
  <c r="AX402" i="2"/>
  <c r="AU402" i="2"/>
  <c r="AT402" i="2"/>
  <c r="AS402" i="2"/>
  <c r="AN402" i="2"/>
  <c r="AJ402" i="2"/>
  <c r="AH402" i="2"/>
  <c r="AG402" i="2"/>
  <c r="AF402" i="2"/>
  <c r="AE402" i="2"/>
  <c r="AD402" i="2"/>
  <c r="W402" i="2"/>
  <c r="V402" i="2"/>
  <c r="U402" i="2"/>
  <c r="T402" i="2"/>
  <c r="S402" i="2"/>
  <c r="R402" i="2"/>
  <c r="Q402" i="2"/>
  <c r="P402" i="2"/>
  <c r="J402" i="2"/>
  <c r="AW401" i="2"/>
  <c r="AV401" i="2"/>
  <c r="AU401" i="2"/>
  <c r="AT401" i="2"/>
  <c r="AS401" i="2"/>
  <c r="AR401" i="2"/>
  <c r="AQ401" i="2"/>
  <c r="AP401" i="2"/>
  <c r="AO401" i="2"/>
  <c r="AN401" i="2"/>
  <c r="AM401" i="2"/>
  <c r="AL401" i="2"/>
  <c r="AK401" i="2"/>
  <c r="AI401" i="2"/>
  <c r="AH401" i="2"/>
  <c r="AF401" i="2"/>
  <c r="AE401" i="2"/>
  <c r="AD401" i="2"/>
  <c r="AB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I401" i="2"/>
  <c r="H401" i="2"/>
  <c r="AU400" i="2"/>
  <c r="AS400" i="2"/>
  <c r="AR400" i="2"/>
  <c r="AQ400" i="2"/>
  <c r="AP400" i="2"/>
  <c r="AL400" i="2"/>
  <c r="AK400" i="2"/>
  <c r="AJ400" i="2"/>
  <c r="AI400" i="2"/>
  <c r="AG400" i="2"/>
  <c r="U400" i="2"/>
  <c r="R400" i="2"/>
  <c r="Q400" i="2"/>
  <c r="P400" i="2"/>
  <c r="O400" i="2"/>
  <c r="N400" i="2"/>
  <c r="M400" i="2"/>
  <c r="I400" i="2"/>
  <c r="AT400" i="2"/>
  <c r="AX399" i="2"/>
  <c r="AW399" i="2"/>
  <c r="AV399" i="2"/>
  <c r="AU399" i="2"/>
  <c r="AT399" i="2"/>
  <c r="AS399" i="2"/>
  <c r="AR399" i="2"/>
  <c r="AQ399" i="2"/>
  <c r="AP399" i="2"/>
  <c r="AO399" i="2"/>
  <c r="AN399" i="2"/>
  <c r="AM399" i="2"/>
  <c r="AL399" i="2"/>
  <c r="AK399" i="2"/>
  <c r="AJ399" i="2"/>
  <c r="AI399" i="2"/>
  <c r="AH399" i="2"/>
  <c r="AG399" i="2"/>
  <c r="AF399" i="2"/>
  <c r="AD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AE399" i="2"/>
  <c r="AX398" i="2"/>
  <c r="AW398" i="2"/>
  <c r="AU398" i="2"/>
  <c r="AP398" i="2"/>
  <c r="AM398" i="2"/>
  <c r="AL398" i="2"/>
  <c r="AK398" i="2"/>
  <c r="AJ398" i="2"/>
  <c r="AI398" i="2"/>
  <c r="X398" i="2"/>
  <c r="W398" i="2"/>
  <c r="U398" i="2"/>
  <c r="T398" i="2"/>
  <c r="S398" i="2"/>
  <c r="R398" i="2"/>
  <c r="M398" i="2"/>
  <c r="J398" i="2"/>
  <c r="AU397" i="2"/>
  <c r="AT397" i="2"/>
  <c r="AS397" i="2"/>
  <c r="AR397" i="2"/>
  <c r="AQ397" i="2"/>
  <c r="AP397" i="2"/>
  <c r="AO397" i="2"/>
  <c r="AN397" i="2"/>
  <c r="AM397" i="2"/>
  <c r="AL397" i="2"/>
  <c r="AJ397" i="2"/>
  <c r="AG397" i="2"/>
  <c r="AF397" i="2"/>
  <c r="AE397" i="2"/>
  <c r="AD397" i="2"/>
  <c r="AB397" i="2"/>
  <c r="AA397" i="2"/>
  <c r="Y397" i="2"/>
  <c r="X397" i="2"/>
  <c r="W397" i="2"/>
  <c r="S397" i="2"/>
  <c r="R397" i="2"/>
  <c r="Q397" i="2"/>
  <c r="P397" i="2"/>
  <c r="O397" i="2"/>
  <c r="N397" i="2"/>
  <c r="M397" i="2"/>
  <c r="L397" i="2"/>
  <c r="I397" i="2"/>
  <c r="H397" i="2"/>
  <c r="AV396" i="2"/>
  <c r="AU396" i="2"/>
  <c r="AT396" i="2"/>
  <c r="AS396" i="2"/>
  <c r="AO396" i="2"/>
  <c r="AN396" i="2"/>
  <c r="AM396" i="2"/>
  <c r="AL396" i="2"/>
  <c r="AI396" i="2"/>
  <c r="AH396" i="2"/>
  <c r="AG396" i="2"/>
  <c r="AF396" i="2"/>
  <c r="Z396" i="2"/>
  <c r="V396" i="2"/>
  <c r="U396" i="2"/>
  <c r="T396" i="2"/>
  <c r="S396" i="2"/>
  <c r="R396" i="2"/>
  <c r="Q396" i="2"/>
  <c r="K396" i="2"/>
  <c r="J396" i="2"/>
  <c r="AX395" i="2"/>
  <c r="AW395" i="2"/>
  <c r="AU395" i="2"/>
  <c r="AT395" i="2"/>
  <c r="AS395" i="2"/>
  <c r="AR395" i="2"/>
  <c r="AQ395" i="2"/>
  <c r="AP395" i="2"/>
  <c r="AO395" i="2"/>
  <c r="AN395" i="2"/>
  <c r="AK395" i="2"/>
  <c r="AG395" i="2"/>
  <c r="AF395" i="2"/>
  <c r="AE395" i="2"/>
  <c r="AD395" i="2"/>
  <c r="AB395" i="2"/>
  <c r="AA395" i="2"/>
  <c r="Z395" i="2"/>
  <c r="X395" i="2"/>
  <c r="W395" i="2"/>
  <c r="U395" i="2"/>
  <c r="T395" i="2"/>
  <c r="S395" i="2"/>
  <c r="R395" i="2"/>
  <c r="Q395" i="2"/>
  <c r="P395" i="2"/>
  <c r="M395" i="2"/>
  <c r="L395" i="2"/>
  <c r="K395" i="2"/>
  <c r="J395" i="2"/>
  <c r="I395" i="2"/>
  <c r="AH395" i="2"/>
  <c r="AV394" i="2"/>
  <c r="AU394" i="2"/>
  <c r="AJ394" i="2"/>
  <c r="AI394" i="2"/>
  <c r="AH394" i="2"/>
  <c r="AG394" i="2"/>
  <c r="AF394" i="2"/>
  <c r="AE394" i="2"/>
  <c r="AA394" i="2"/>
  <c r="Z394" i="2"/>
  <c r="S394" i="2"/>
  <c r="K394" i="2"/>
  <c r="H394" i="2"/>
  <c r="AW393" i="2"/>
  <c r="AV393" i="2"/>
  <c r="AT393" i="2"/>
  <c r="AS393" i="2"/>
  <c r="AO393" i="2"/>
  <c r="AN393" i="2"/>
  <c r="AM393" i="2"/>
  <c r="AL393" i="2"/>
  <c r="AK393" i="2"/>
  <c r="AJ393" i="2"/>
  <c r="AH393" i="2"/>
  <c r="AG393" i="2"/>
  <c r="AF393" i="2"/>
  <c r="AE393" i="2"/>
  <c r="AD393" i="2"/>
  <c r="AB393" i="2"/>
  <c r="AA393" i="2"/>
  <c r="Z393" i="2"/>
  <c r="Y393" i="2"/>
  <c r="T393" i="2"/>
  <c r="Q393" i="2"/>
  <c r="O393" i="2"/>
  <c r="N393" i="2"/>
  <c r="M393" i="2"/>
  <c r="L393" i="2"/>
  <c r="K393" i="2"/>
  <c r="J393" i="2"/>
  <c r="I393" i="2"/>
  <c r="H393" i="2"/>
  <c r="AW392" i="2"/>
  <c r="AV392" i="2"/>
  <c r="AN392" i="2"/>
  <c r="AM392" i="2"/>
  <c r="AL392" i="2"/>
  <c r="AK392" i="2"/>
  <c r="AJ392" i="2"/>
  <c r="AI392" i="2"/>
  <c r="AB392" i="2"/>
  <c r="Z392" i="2"/>
  <c r="Y392" i="2"/>
  <c r="X392" i="2"/>
  <c r="W392" i="2"/>
  <c r="V392" i="2"/>
  <c r="S392" i="2"/>
  <c r="R392" i="2"/>
  <c r="K392" i="2"/>
  <c r="I392" i="2"/>
  <c r="H392" i="2"/>
  <c r="AV391" i="2"/>
  <c r="AS391" i="2"/>
  <c r="AN391" i="2"/>
  <c r="AJ391" i="2"/>
  <c r="AI391" i="2"/>
  <c r="M391" i="2"/>
  <c r="AX390" i="2"/>
  <c r="AU390" i="2"/>
  <c r="AT390" i="2"/>
  <c r="AS390" i="2"/>
  <c r="AR390" i="2"/>
  <c r="AQ390" i="2"/>
  <c r="AP390" i="2"/>
  <c r="AO390" i="2"/>
  <c r="AN390" i="2"/>
  <c r="AL390" i="2"/>
  <c r="AK390" i="2"/>
  <c r="AJ390" i="2"/>
  <c r="AF390" i="2"/>
  <c r="AE390" i="2"/>
  <c r="AD390" i="2"/>
  <c r="AB390" i="2"/>
  <c r="AA390" i="2"/>
  <c r="Z390" i="2"/>
  <c r="W390" i="2"/>
  <c r="V390" i="2"/>
  <c r="U390" i="2"/>
  <c r="T390" i="2"/>
  <c r="S390" i="2"/>
  <c r="R390" i="2"/>
  <c r="Q390" i="2"/>
  <c r="P390" i="2"/>
  <c r="O390" i="2"/>
  <c r="N390" i="2"/>
  <c r="L390" i="2"/>
  <c r="K390" i="2"/>
  <c r="J390" i="2"/>
  <c r="I390" i="2"/>
  <c r="AG390" i="2"/>
  <c r="AU389" i="2"/>
  <c r="AT389" i="2"/>
  <c r="AN389" i="2"/>
  <c r="AM389" i="2"/>
  <c r="AL389" i="2"/>
  <c r="AJ389" i="2"/>
  <c r="AI389" i="2"/>
  <c r="AH389" i="2"/>
  <c r="AG389" i="2"/>
  <c r="AF389" i="2"/>
  <c r="V389" i="2"/>
  <c r="S389" i="2"/>
  <c r="Q389" i="2"/>
  <c r="AW389" i="2"/>
  <c r="AW388" i="2"/>
  <c r="AV388" i="2"/>
  <c r="AU388" i="2"/>
  <c r="AT388" i="2"/>
  <c r="AO388" i="2"/>
  <c r="AK388" i="2"/>
  <c r="AH388" i="2"/>
  <c r="AG388" i="2"/>
  <c r="AF388" i="2"/>
  <c r="AE388" i="2"/>
  <c r="V388" i="2"/>
  <c r="U388" i="2"/>
  <c r="T388" i="2"/>
  <c r="S388" i="2"/>
  <c r="R388" i="2"/>
  <c r="Q388" i="2"/>
  <c r="P388" i="2"/>
  <c r="O388" i="2"/>
  <c r="H388" i="2"/>
  <c r="AL388" i="2"/>
  <c r="AX387" i="2"/>
  <c r="AY387" i="2" s="1"/>
  <c r="AW387" i="2"/>
  <c r="AV387" i="2"/>
  <c r="AU387" i="2"/>
  <c r="AT387" i="2"/>
  <c r="AS387" i="2"/>
  <c r="AR387" i="2"/>
  <c r="AQ387" i="2"/>
  <c r="AP387" i="2"/>
  <c r="AO387" i="2"/>
  <c r="AN387" i="2"/>
  <c r="AM387" i="2"/>
  <c r="AL387" i="2"/>
  <c r="AK387" i="2"/>
  <c r="AJ387" i="2"/>
  <c r="AI387" i="2"/>
  <c r="AH387" i="2"/>
  <c r="AG387" i="2"/>
  <c r="AF387" i="2"/>
  <c r="AD387" i="2"/>
  <c r="AB387" i="2"/>
  <c r="AA387" i="2"/>
  <c r="Z387" i="2"/>
  <c r="Y387" i="2"/>
  <c r="X387" i="2"/>
  <c r="W387" i="2"/>
  <c r="V387" i="2"/>
  <c r="U387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H387" i="2"/>
  <c r="AE387" i="2"/>
  <c r="AP386" i="2"/>
  <c r="AO386" i="2"/>
  <c r="AK385" i="2"/>
  <c r="AJ385" i="2"/>
  <c r="AB385" i="2"/>
  <c r="AA385" i="2"/>
  <c r="AX384" i="2"/>
  <c r="AW384" i="2"/>
  <c r="AV384" i="2"/>
  <c r="AU384" i="2"/>
  <c r="AT384" i="2"/>
  <c r="AP384" i="2"/>
  <c r="AO384" i="2"/>
  <c r="AN384" i="2"/>
  <c r="AJ384" i="2"/>
  <c r="AH384" i="2"/>
  <c r="AF384" i="2"/>
  <c r="AE384" i="2"/>
  <c r="AB384" i="2"/>
  <c r="AA384" i="2"/>
  <c r="Z384" i="2"/>
  <c r="Y384" i="2"/>
  <c r="X384" i="2"/>
  <c r="T384" i="2"/>
  <c r="P384" i="2"/>
  <c r="O384" i="2"/>
  <c r="N384" i="2"/>
  <c r="L384" i="2"/>
  <c r="K384" i="2"/>
  <c r="J384" i="2"/>
  <c r="I384" i="2"/>
  <c r="AL384" i="2"/>
  <c r="AX383" i="2"/>
  <c r="AW383" i="2"/>
  <c r="AV383" i="2"/>
  <c r="AU383" i="2"/>
  <c r="AT383" i="2"/>
  <c r="AS383" i="2"/>
  <c r="AR383" i="2"/>
  <c r="AK383" i="2"/>
  <c r="AJ383" i="2"/>
  <c r="AI383" i="2"/>
  <c r="AH383" i="2"/>
  <c r="AF383" i="2"/>
  <c r="AE383" i="2"/>
  <c r="AD383" i="2"/>
  <c r="AA383" i="2"/>
  <c r="Z383" i="2"/>
  <c r="Y383" i="2"/>
  <c r="X383" i="2"/>
  <c r="W383" i="2"/>
  <c r="V383" i="2"/>
  <c r="U383" i="2"/>
  <c r="T383" i="2"/>
  <c r="S383" i="2"/>
  <c r="R383" i="2"/>
  <c r="M383" i="2"/>
  <c r="L383" i="2"/>
  <c r="K383" i="2"/>
  <c r="J383" i="2"/>
  <c r="AX382" i="2"/>
  <c r="AW382" i="2"/>
  <c r="AV382" i="2"/>
  <c r="AU382" i="2"/>
  <c r="AP382" i="2"/>
  <c r="AI382" i="2"/>
  <c r="AF382" i="2"/>
  <c r="AE382" i="2"/>
  <c r="AD382" i="2"/>
  <c r="X382" i="2"/>
  <c r="W382" i="2"/>
  <c r="V382" i="2"/>
  <c r="U382" i="2"/>
  <c r="T382" i="2"/>
  <c r="S382" i="2"/>
  <c r="R382" i="2"/>
  <c r="P382" i="2"/>
  <c r="H382" i="2"/>
  <c r="AJ382" i="2"/>
  <c r="AI381" i="2"/>
  <c r="AH381" i="2"/>
  <c r="AX380" i="2"/>
  <c r="AW380" i="2"/>
  <c r="AV380" i="2"/>
  <c r="AU380" i="2"/>
  <c r="AT380" i="2"/>
  <c r="AR380" i="2"/>
  <c r="AQ380" i="2"/>
  <c r="AP380" i="2"/>
  <c r="AO380" i="2"/>
  <c r="AN380" i="2"/>
  <c r="AH380" i="2"/>
  <c r="AG380" i="2"/>
  <c r="AF380" i="2"/>
  <c r="AE380" i="2"/>
  <c r="AD380" i="2"/>
  <c r="AB380" i="2"/>
  <c r="AA380" i="2"/>
  <c r="Z380" i="2"/>
  <c r="Y380" i="2"/>
  <c r="X380" i="2"/>
  <c r="W380" i="2"/>
  <c r="V380" i="2"/>
  <c r="T380" i="2"/>
  <c r="S380" i="2"/>
  <c r="R380" i="2"/>
  <c r="Q380" i="2"/>
  <c r="P380" i="2"/>
  <c r="O380" i="2"/>
  <c r="K380" i="2"/>
  <c r="J380" i="2"/>
  <c r="I380" i="2"/>
  <c r="AX379" i="2"/>
  <c r="AW379" i="2"/>
  <c r="AV379" i="2"/>
  <c r="AP379" i="2"/>
  <c r="AO379" i="2"/>
  <c r="AJ379" i="2"/>
  <c r="AH379" i="2"/>
  <c r="AG379" i="2"/>
  <c r="AF379" i="2"/>
  <c r="AE379" i="2"/>
  <c r="AA379" i="2"/>
  <c r="Z379" i="2"/>
  <c r="Y379" i="2"/>
  <c r="X379" i="2"/>
  <c r="V379" i="2"/>
  <c r="U379" i="2"/>
  <c r="T379" i="2"/>
  <c r="S379" i="2"/>
  <c r="K379" i="2"/>
  <c r="J379" i="2"/>
  <c r="H379" i="2"/>
  <c r="AV378" i="2"/>
  <c r="AU378" i="2"/>
  <c r="AT378" i="2"/>
  <c r="AS378" i="2"/>
  <c r="AR378" i="2"/>
  <c r="AQ378" i="2"/>
  <c r="AP378" i="2"/>
  <c r="AO378" i="2"/>
  <c r="AG378" i="2"/>
  <c r="AF378" i="2"/>
  <c r="AD378" i="2"/>
  <c r="AB378" i="2"/>
  <c r="AA378" i="2"/>
  <c r="Z378" i="2"/>
  <c r="X378" i="2"/>
  <c r="T378" i="2"/>
  <c r="S378" i="2"/>
  <c r="R378" i="2"/>
  <c r="Q378" i="2"/>
  <c r="P378" i="2"/>
  <c r="O378" i="2"/>
  <c r="K378" i="2"/>
  <c r="J378" i="2"/>
  <c r="AH378" i="2"/>
  <c r="AW377" i="2"/>
  <c r="AV377" i="2"/>
  <c r="AX376" i="2"/>
  <c r="AW376" i="2"/>
  <c r="AV376" i="2"/>
  <c r="AU376" i="2"/>
  <c r="AT376" i="2"/>
  <c r="AS376" i="2"/>
  <c r="AR376" i="2"/>
  <c r="AQ376" i="2"/>
  <c r="AP376" i="2"/>
  <c r="AO376" i="2"/>
  <c r="AN376" i="2"/>
  <c r="AH376" i="2"/>
  <c r="AG376" i="2"/>
  <c r="AF376" i="2"/>
  <c r="AE376" i="2"/>
  <c r="AD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K376" i="2"/>
  <c r="J376" i="2"/>
  <c r="I376" i="2"/>
  <c r="AX375" i="2"/>
  <c r="AW375" i="2"/>
  <c r="AV375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Y375" i="2" s="1"/>
  <c r="AH375" i="2"/>
  <c r="AG375" i="2"/>
  <c r="AF375" i="2"/>
  <c r="AD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AE375" i="2"/>
  <c r="AX374" i="2"/>
  <c r="AW374" i="2"/>
  <c r="AV374" i="2"/>
  <c r="AQ374" i="2"/>
  <c r="AP374" i="2"/>
  <c r="AK374" i="2"/>
  <c r="AI374" i="2"/>
  <c r="AH374" i="2"/>
  <c r="AF374" i="2"/>
  <c r="AE374" i="2"/>
  <c r="AA374" i="2"/>
  <c r="Z374" i="2"/>
  <c r="Y374" i="2"/>
  <c r="X374" i="2"/>
  <c r="W374" i="2"/>
  <c r="V374" i="2"/>
  <c r="U374" i="2"/>
  <c r="T374" i="2"/>
  <c r="L374" i="2"/>
  <c r="K374" i="2"/>
  <c r="H374" i="2"/>
  <c r="AW373" i="2"/>
  <c r="AV373" i="2"/>
  <c r="AU373" i="2"/>
  <c r="AT373" i="2"/>
  <c r="AS373" i="2"/>
  <c r="AR373" i="2"/>
  <c r="AQ373" i="2"/>
  <c r="AP373" i="2"/>
  <c r="AO373" i="2"/>
  <c r="AK373" i="2"/>
  <c r="AJ373" i="2"/>
  <c r="AG373" i="2"/>
  <c r="AF373" i="2"/>
  <c r="AE373" i="2"/>
  <c r="AD373" i="2"/>
  <c r="AB373" i="2"/>
  <c r="AA373" i="2"/>
  <c r="Z373" i="2"/>
  <c r="Y373" i="2"/>
  <c r="U373" i="2"/>
  <c r="T373" i="2"/>
  <c r="S373" i="2"/>
  <c r="R373" i="2"/>
  <c r="Q373" i="2"/>
  <c r="P373" i="2"/>
  <c r="L373" i="2"/>
  <c r="K373" i="2"/>
  <c r="J373" i="2"/>
  <c r="I373" i="2"/>
  <c r="H373" i="2"/>
  <c r="AK372" i="2"/>
  <c r="AJ372" i="2"/>
  <c r="Z372" i="2"/>
  <c r="X372" i="2"/>
  <c r="W372" i="2"/>
  <c r="AW371" i="2"/>
  <c r="AT371" i="2"/>
  <c r="AS371" i="2"/>
  <c r="AH371" i="2"/>
  <c r="AG371" i="2"/>
  <c r="AF371" i="2"/>
  <c r="AE371" i="2"/>
  <c r="AD371" i="2"/>
  <c r="J371" i="2"/>
  <c r="AO370" i="2"/>
  <c r="AN370" i="2"/>
  <c r="AM370" i="2"/>
  <c r="AI370" i="2"/>
  <c r="AH370" i="2"/>
  <c r="AG370" i="2"/>
  <c r="AE370" i="2"/>
  <c r="AD370" i="2"/>
  <c r="AB370" i="2"/>
  <c r="W370" i="2"/>
  <c r="V370" i="2"/>
  <c r="T370" i="2"/>
  <c r="R370" i="2"/>
  <c r="Q370" i="2"/>
  <c r="P370" i="2"/>
  <c r="O370" i="2"/>
  <c r="K370" i="2"/>
  <c r="J370" i="2"/>
  <c r="AP370" i="2"/>
  <c r="AW369" i="2"/>
  <c r="AV369" i="2"/>
  <c r="AT369" i="2"/>
  <c r="AR369" i="2"/>
  <c r="AP369" i="2"/>
  <c r="AO369" i="2"/>
  <c r="AK369" i="2"/>
  <c r="AJ369" i="2"/>
  <c r="AI369" i="2"/>
  <c r="AH369" i="2"/>
  <c r="AG369" i="2"/>
  <c r="AF369" i="2"/>
  <c r="AE369" i="2"/>
  <c r="AD369" i="2"/>
  <c r="Y369" i="2"/>
  <c r="X369" i="2"/>
  <c r="V369" i="2"/>
  <c r="R369" i="2"/>
  <c r="Q369" i="2"/>
  <c r="M369" i="2"/>
  <c r="L369" i="2"/>
  <c r="K369" i="2"/>
  <c r="J369" i="2"/>
  <c r="I369" i="2"/>
  <c r="H369" i="2"/>
  <c r="AX368" i="2"/>
  <c r="AW368" i="2"/>
  <c r="AV368" i="2"/>
  <c r="AU368" i="2"/>
  <c r="AT368" i="2"/>
  <c r="AS368" i="2"/>
  <c r="AR368" i="2"/>
  <c r="AQ368" i="2"/>
  <c r="AM368" i="2"/>
  <c r="AL368" i="2"/>
  <c r="AK368" i="2"/>
  <c r="AJ368" i="2"/>
  <c r="AI368" i="2"/>
  <c r="AH368" i="2"/>
  <c r="AG368" i="2"/>
  <c r="AF368" i="2"/>
  <c r="AA368" i="2"/>
  <c r="Z368" i="2"/>
  <c r="Y368" i="2"/>
  <c r="X368" i="2"/>
  <c r="W368" i="2"/>
  <c r="V368" i="2"/>
  <c r="U368" i="2"/>
  <c r="T368" i="2"/>
  <c r="S368" i="2"/>
  <c r="O368" i="2"/>
  <c r="N368" i="2"/>
  <c r="M368" i="2"/>
  <c r="L368" i="2"/>
  <c r="K368" i="2"/>
  <c r="J368" i="2"/>
  <c r="I368" i="2"/>
  <c r="H368" i="2"/>
  <c r="AP368" i="2"/>
  <c r="AX367" i="2"/>
  <c r="AW367" i="2"/>
  <c r="AV367" i="2"/>
  <c r="AU367" i="2"/>
  <c r="AT367" i="2"/>
  <c r="AS367" i="2"/>
  <c r="AO367" i="2"/>
  <c r="AN367" i="2"/>
  <c r="AM367" i="2"/>
  <c r="AL367" i="2"/>
  <c r="AK367" i="2"/>
  <c r="AJ367" i="2"/>
  <c r="AI367" i="2"/>
  <c r="AH367" i="2"/>
  <c r="AB367" i="2"/>
  <c r="Z367" i="2"/>
  <c r="Y367" i="2"/>
  <c r="X367" i="2"/>
  <c r="W367" i="2"/>
  <c r="V367" i="2"/>
  <c r="U367" i="2"/>
  <c r="Q367" i="2"/>
  <c r="P367" i="2"/>
  <c r="O367" i="2"/>
  <c r="N367" i="2"/>
  <c r="M367" i="2"/>
  <c r="L367" i="2"/>
  <c r="K367" i="2"/>
  <c r="J367" i="2"/>
  <c r="AR367" i="2"/>
  <c r="AM366" i="2"/>
  <c r="AL366" i="2"/>
  <c r="AB366" i="2"/>
  <c r="AA366" i="2"/>
  <c r="Z366" i="2"/>
  <c r="L366" i="2"/>
  <c r="AX365" i="2"/>
  <c r="AW365" i="2"/>
  <c r="AS365" i="2"/>
  <c r="AR365" i="2"/>
  <c r="AQ365" i="2"/>
  <c r="AP365" i="2"/>
  <c r="AO365" i="2"/>
  <c r="AN365" i="2"/>
  <c r="AM365" i="2"/>
  <c r="AL365" i="2"/>
  <c r="AI365" i="2"/>
  <c r="AG365" i="2"/>
  <c r="AF365" i="2"/>
  <c r="AD365" i="2"/>
  <c r="AB365" i="2"/>
  <c r="AA365" i="2"/>
  <c r="Z365" i="2"/>
  <c r="Y365" i="2"/>
  <c r="U365" i="2"/>
  <c r="T365" i="2"/>
  <c r="S365" i="2"/>
  <c r="R365" i="2"/>
  <c r="Q365" i="2"/>
  <c r="P365" i="2"/>
  <c r="O365" i="2"/>
  <c r="N365" i="2"/>
  <c r="K365" i="2"/>
  <c r="I365" i="2"/>
  <c r="H365" i="2"/>
  <c r="AV365" i="2"/>
  <c r="AP364" i="2"/>
  <c r="AO364" i="2"/>
  <c r="AN364" i="2"/>
  <c r="AH364" i="2"/>
  <c r="AF364" i="2"/>
  <c r="AW363" i="2"/>
  <c r="AV363" i="2"/>
  <c r="AU363" i="2"/>
  <c r="AP363" i="2"/>
  <c r="AK363" i="2"/>
  <c r="AJ363" i="2"/>
  <c r="AH363" i="2"/>
  <c r="AG363" i="2"/>
  <c r="AD363" i="2"/>
  <c r="Y363" i="2"/>
  <c r="X363" i="2"/>
  <c r="W363" i="2"/>
  <c r="V363" i="2"/>
  <c r="U363" i="2"/>
  <c r="T363" i="2"/>
  <c r="S363" i="2"/>
  <c r="R363" i="2"/>
  <c r="M363" i="2"/>
  <c r="L363" i="2"/>
  <c r="J363" i="2"/>
  <c r="AQ363" i="2"/>
  <c r="AX362" i="2"/>
  <c r="AW362" i="2"/>
  <c r="AV362" i="2"/>
  <c r="AS362" i="2"/>
  <c r="AM362" i="2"/>
  <c r="AL362" i="2"/>
  <c r="AJ362" i="2"/>
  <c r="AI362" i="2"/>
  <c r="AH362" i="2"/>
  <c r="AG362" i="2"/>
  <c r="AF362" i="2"/>
  <c r="AE362" i="2"/>
  <c r="AA362" i="2"/>
  <c r="Z362" i="2"/>
  <c r="Y362" i="2"/>
  <c r="T362" i="2"/>
  <c r="O362" i="2"/>
  <c r="N362" i="2"/>
  <c r="L362" i="2"/>
  <c r="K362" i="2"/>
  <c r="H362" i="2"/>
  <c r="AX361" i="2"/>
  <c r="AW361" i="2"/>
  <c r="AV361" i="2"/>
  <c r="AU361" i="2"/>
  <c r="AT361" i="2"/>
  <c r="AS361" i="2"/>
  <c r="AR361" i="2"/>
  <c r="AQ361" i="2"/>
  <c r="AP361" i="2"/>
  <c r="AO361" i="2"/>
  <c r="AN361" i="2"/>
  <c r="AM361" i="2"/>
  <c r="AL361" i="2"/>
  <c r="AK361" i="2"/>
  <c r="AJ361" i="2"/>
  <c r="AI361" i="2"/>
  <c r="AH361" i="2"/>
  <c r="AG361" i="2"/>
  <c r="AD361" i="2"/>
  <c r="AB361" i="2"/>
  <c r="AA361" i="2"/>
  <c r="Z361" i="2"/>
  <c r="Y361" i="2"/>
  <c r="X361" i="2"/>
  <c r="W361" i="2"/>
  <c r="V361" i="2"/>
  <c r="U361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AF361" i="2"/>
  <c r="AW360" i="2"/>
  <c r="AV360" i="2"/>
  <c r="AS360" i="2"/>
  <c r="AQ360" i="2"/>
  <c r="AP360" i="2"/>
  <c r="AN360" i="2"/>
  <c r="AM360" i="2"/>
  <c r="R360" i="2"/>
  <c r="P360" i="2"/>
  <c r="O360" i="2"/>
  <c r="N360" i="2"/>
  <c r="M360" i="2"/>
  <c r="AX360" i="2"/>
  <c r="AX359" i="2"/>
  <c r="AU359" i="2"/>
  <c r="AS359" i="2"/>
  <c r="AR359" i="2"/>
  <c r="AP359" i="2"/>
  <c r="AM359" i="2"/>
  <c r="AL359" i="2"/>
  <c r="AK359" i="2"/>
  <c r="AG359" i="2"/>
  <c r="AF359" i="2"/>
  <c r="AE359" i="2"/>
  <c r="AD359" i="2"/>
  <c r="AB359" i="2"/>
  <c r="AA359" i="2"/>
  <c r="Z359" i="2"/>
  <c r="W359" i="2"/>
  <c r="U359" i="2"/>
  <c r="O359" i="2"/>
  <c r="N359" i="2"/>
  <c r="M359" i="2"/>
  <c r="I359" i="2"/>
  <c r="H359" i="2"/>
  <c r="AN359" i="2"/>
  <c r="AT358" i="2"/>
  <c r="AR358" i="2"/>
  <c r="AP358" i="2"/>
  <c r="AO358" i="2"/>
  <c r="AB358" i="2"/>
  <c r="Y358" i="2"/>
  <c r="R358" i="2"/>
  <c r="Q358" i="2"/>
  <c r="P358" i="2"/>
  <c r="AW358" i="2"/>
  <c r="AV357" i="2"/>
  <c r="AU357" i="2"/>
  <c r="AT357" i="2"/>
  <c r="AS357" i="2"/>
  <c r="AR357" i="2"/>
  <c r="AO357" i="2"/>
  <c r="AJ357" i="2"/>
  <c r="AI357" i="2"/>
  <c r="AH357" i="2"/>
  <c r="AG357" i="2"/>
  <c r="AF357" i="2"/>
  <c r="AE357" i="2"/>
  <c r="AD357" i="2"/>
  <c r="AA357" i="2"/>
  <c r="Y357" i="2"/>
  <c r="X357" i="2"/>
  <c r="W357" i="2"/>
  <c r="R357" i="2"/>
  <c r="Q357" i="2"/>
  <c r="M357" i="2"/>
  <c r="L357" i="2"/>
  <c r="K357" i="2"/>
  <c r="H357" i="2"/>
  <c r="AX356" i="2"/>
  <c r="AW356" i="2"/>
  <c r="AV356" i="2"/>
  <c r="AU356" i="2"/>
  <c r="AT356" i="2"/>
  <c r="AS356" i="2"/>
  <c r="AR356" i="2"/>
  <c r="AQ356" i="2"/>
  <c r="AM356" i="2"/>
  <c r="AL356" i="2"/>
  <c r="AK356" i="2"/>
  <c r="AJ356" i="2"/>
  <c r="AI356" i="2"/>
  <c r="AH356" i="2"/>
  <c r="AG356" i="2"/>
  <c r="AF356" i="2"/>
  <c r="AA356" i="2"/>
  <c r="Z356" i="2"/>
  <c r="Y356" i="2"/>
  <c r="X356" i="2"/>
  <c r="W356" i="2"/>
  <c r="V356" i="2"/>
  <c r="U356" i="2"/>
  <c r="T356" i="2"/>
  <c r="S356" i="2"/>
  <c r="O356" i="2"/>
  <c r="N356" i="2"/>
  <c r="M356" i="2"/>
  <c r="L356" i="2"/>
  <c r="K356" i="2"/>
  <c r="J356" i="2"/>
  <c r="I356" i="2"/>
  <c r="H356" i="2"/>
  <c r="AP356" i="2"/>
  <c r="AI355" i="2"/>
  <c r="AH355" i="2"/>
  <c r="AB354" i="2"/>
  <c r="Z354" i="2"/>
  <c r="Y354" i="2"/>
  <c r="I353" i="2"/>
  <c r="H353" i="2"/>
  <c r="AU352" i="2"/>
  <c r="AT352" i="2"/>
  <c r="AS352" i="2"/>
  <c r="AR352" i="2"/>
  <c r="AQ352" i="2"/>
  <c r="AP352" i="2"/>
  <c r="AO352" i="2"/>
  <c r="AK352" i="2"/>
  <c r="AI352" i="2"/>
  <c r="AH352" i="2"/>
  <c r="AG352" i="2"/>
  <c r="AF352" i="2"/>
  <c r="AE352" i="2"/>
  <c r="AD352" i="2"/>
  <c r="AB352" i="2"/>
  <c r="AA352" i="2"/>
  <c r="W352" i="2"/>
  <c r="V352" i="2"/>
  <c r="U352" i="2"/>
  <c r="T352" i="2"/>
  <c r="S352" i="2"/>
  <c r="R352" i="2"/>
  <c r="Q352" i="2"/>
  <c r="P352" i="2"/>
  <c r="M352" i="2"/>
  <c r="K352" i="2"/>
  <c r="J352" i="2"/>
  <c r="I352" i="2"/>
  <c r="H352" i="2"/>
  <c r="AW351" i="2"/>
  <c r="AV351" i="2"/>
  <c r="AU351" i="2"/>
  <c r="AT351" i="2"/>
  <c r="AS351" i="2"/>
  <c r="AR351" i="2"/>
  <c r="AQ351" i="2"/>
  <c r="AP351" i="2"/>
  <c r="AM351" i="2"/>
  <c r="AI351" i="2"/>
  <c r="AH351" i="2"/>
  <c r="AG351" i="2"/>
  <c r="AF351" i="2"/>
  <c r="AE351" i="2"/>
  <c r="AD351" i="2"/>
  <c r="Y351" i="2"/>
  <c r="W351" i="2"/>
  <c r="V351" i="2"/>
  <c r="U351" i="2"/>
  <c r="T351" i="2"/>
  <c r="S351" i="2"/>
  <c r="R351" i="2"/>
  <c r="O351" i="2"/>
  <c r="M351" i="2"/>
  <c r="L351" i="2"/>
  <c r="K351" i="2"/>
  <c r="J351" i="2"/>
  <c r="I351" i="2"/>
  <c r="H351" i="2"/>
  <c r="AJ351" i="2"/>
  <c r="AX350" i="2"/>
  <c r="AW350" i="2"/>
  <c r="AV350" i="2"/>
  <c r="AU350" i="2"/>
  <c r="AT350" i="2"/>
  <c r="AO350" i="2"/>
  <c r="AK350" i="2"/>
  <c r="AJ350" i="2"/>
  <c r="AI350" i="2"/>
  <c r="AH350" i="2"/>
  <c r="AG350" i="2"/>
  <c r="AF350" i="2"/>
  <c r="AE350" i="2"/>
  <c r="AA350" i="2"/>
  <c r="Z350" i="2"/>
  <c r="Y350" i="2"/>
  <c r="T350" i="2"/>
  <c r="Q350" i="2"/>
  <c r="O350" i="2"/>
  <c r="N350" i="2"/>
  <c r="J350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D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AF349" i="2"/>
  <c r="AX348" i="2"/>
  <c r="AW348" i="2"/>
  <c r="AV348" i="2"/>
  <c r="AU348" i="2"/>
  <c r="AS348" i="2"/>
  <c r="AQ348" i="2"/>
  <c r="AL348" i="2"/>
  <c r="AK348" i="2"/>
  <c r="AJ348" i="2"/>
  <c r="AI348" i="2"/>
  <c r="AE348" i="2"/>
  <c r="AD348" i="2"/>
  <c r="AB348" i="2"/>
  <c r="AA348" i="2"/>
  <c r="Z348" i="2"/>
  <c r="Y348" i="2"/>
  <c r="X348" i="2"/>
  <c r="W348" i="2"/>
  <c r="U348" i="2"/>
  <c r="S348" i="2"/>
  <c r="R348" i="2"/>
  <c r="Q348" i="2"/>
  <c r="P348" i="2"/>
  <c r="O348" i="2"/>
  <c r="N348" i="2"/>
  <c r="K348" i="2"/>
  <c r="AQ347" i="2"/>
  <c r="AP347" i="2"/>
  <c r="AO347" i="2"/>
  <c r="AN347" i="2"/>
  <c r="AM347" i="2"/>
  <c r="Z347" i="2"/>
  <c r="Y347" i="2"/>
  <c r="X347" i="2"/>
  <c r="W347" i="2"/>
  <c r="S347" i="2"/>
  <c r="AW346" i="2"/>
  <c r="AU346" i="2"/>
  <c r="AM346" i="2"/>
  <c r="AI346" i="2"/>
  <c r="AH346" i="2"/>
  <c r="AG346" i="2"/>
  <c r="AF346" i="2"/>
  <c r="AD346" i="2"/>
  <c r="AB346" i="2"/>
  <c r="AA346" i="2"/>
  <c r="Z346" i="2"/>
  <c r="T346" i="2"/>
  <c r="S346" i="2"/>
  <c r="R346" i="2"/>
  <c r="Q346" i="2"/>
  <c r="P346" i="2"/>
  <c r="J346" i="2"/>
  <c r="I346" i="2"/>
  <c r="H346" i="2"/>
  <c r="AS346" i="2"/>
  <c r="AA345" i="2"/>
  <c r="X345" i="2"/>
  <c r="W345" i="2"/>
  <c r="J345" i="2"/>
  <c r="I345" i="2"/>
  <c r="AX344" i="2"/>
  <c r="AW344" i="2"/>
  <c r="AV344" i="2"/>
  <c r="AU344" i="2"/>
  <c r="AT344" i="2"/>
  <c r="AS344" i="2"/>
  <c r="AR344" i="2"/>
  <c r="AQ344" i="2"/>
  <c r="AM344" i="2"/>
  <c r="AL344" i="2"/>
  <c r="AG344" i="2"/>
  <c r="AF344" i="2"/>
  <c r="AE344" i="2"/>
  <c r="AD344" i="2"/>
  <c r="AA344" i="2"/>
  <c r="Y344" i="2"/>
  <c r="X344" i="2"/>
  <c r="W344" i="2"/>
  <c r="V344" i="2"/>
  <c r="U344" i="2"/>
  <c r="T344" i="2"/>
  <c r="S344" i="2"/>
  <c r="O344" i="2"/>
  <c r="N344" i="2"/>
  <c r="M344" i="2"/>
  <c r="L344" i="2"/>
  <c r="K344" i="2"/>
  <c r="J344" i="2"/>
  <c r="AH344" i="2"/>
  <c r="AO343" i="2"/>
  <c r="H343" i="2"/>
  <c r="AQ342" i="2"/>
  <c r="AO342" i="2"/>
  <c r="AL342" i="2"/>
  <c r="AK342" i="2"/>
  <c r="AJ342" i="2"/>
  <c r="AI342" i="2"/>
  <c r="AH342" i="2"/>
  <c r="AG342" i="2"/>
  <c r="AE342" i="2"/>
  <c r="R342" i="2"/>
  <c r="Q342" i="2"/>
  <c r="P342" i="2"/>
  <c r="O342" i="2"/>
  <c r="N342" i="2"/>
  <c r="I342" i="2"/>
  <c r="AM342" i="2"/>
  <c r="AW341" i="2"/>
  <c r="AS341" i="2"/>
  <c r="AI341" i="2"/>
  <c r="K341" i="2"/>
  <c r="H341" i="2"/>
  <c r="AU340" i="2"/>
  <c r="AT340" i="2"/>
  <c r="AS340" i="2"/>
  <c r="AR340" i="2"/>
  <c r="AQ340" i="2"/>
  <c r="AP340" i="2"/>
  <c r="AO340" i="2"/>
  <c r="AN340" i="2"/>
  <c r="AM340" i="2"/>
  <c r="AI340" i="2"/>
  <c r="AG340" i="2"/>
  <c r="AF340" i="2"/>
  <c r="AE340" i="2"/>
  <c r="AD340" i="2"/>
  <c r="AB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H340" i="2"/>
  <c r="AA340" i="2"/>
  <c r="AW339" i="2"/>
  <c r="AV339" i="2"/>
  <c r="AT339" i="2"/>
  <c r="AS339" i="2"/>
  <c r="AR339" i="2"/>
  <c r="AQ339" i="2"/>
  <c r="AP339" i="2"/>
  <c r="AO339" i="2"/>
  <c r="AN339" i="2"/>
  <c r="AM339" i="2"/>
  <c r="AK339" i="2"/>
  <c r="AJ339" i="2"/>
  <c r="AI339" i="2"/>
  <c r="AH339" i="2"/>
  <c r="AE339" i="2"/>
  <c r="Y339" i="2"/>
  <c r="X339" i="2"/>
  <c r="W339" i="2"/>
  <c r="V339" i="2"/>
  <c r="U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AW338" i="2"/>
  <c r="AV338" i="2"/>
  <c r="AU338" i="2"/>
  <c r="AT338" i="2"/>
  <c r="AS338" i="2"/>
  <c r="AN338" i="2"/>
  <c r="AI338" i="2"/>
  <c r="AH338" i="2"/>
  <c r="AG338" i="2"/>
  <c r="AF338" i="2"/>
  <c r="AE338" i="2"/>
  <c r="AA338" i="2"/>
  <c r="R338" i="2"/>
  <c r="Q338" i="2"/>
  <c r="O338" i="2"/>
  <c r="N338" i="2"/>
  <c r="M338" i="2"/>
  <c r="I338" i="2"/>
  <c r="AK338" i="2"/>
  <c r="AX337" i="2"/>
  <c r="AW337" i="2"/>
  <c r="AV337" i="2"/>
  <c r="AU337" i="2"/>
  <c r="AT337" i="2"/>
  <c r="AS337" i="2"/>
  <c r="AR337" i="2"/>
  <c r="AQ337" i="2"/>
  <c r="AP337" i="2"/>
  <c r="AO337" i="2"/>
  <c r="AN337" i="2"/>
  <c r="AM337" i="2"/>
  <c r="AL337" i="2"/>
  <c r="AK337" i="2"/>
  <c r="AJ337" i="2"/>
  <c r="AI337" i="2"/>
  <c r="AH337" i="2"/>
  <c r="AG337" i="2"/>
  <c r="AD33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AF337" i="2"/>
  <c r="AX336" i="2"/>
  <c r="AU336" i="2"/>
  <c r="AT336" i="2"/>
  <c r="AS336" i="2"/>
  <c r="AR336" i="2"/>
  <c r="AQ336" i="2"/>
  <c r="AP336" i="2"/>
  <c r="AN336" i="2"/>
  <c r="AL336" i="2"/>
  <c r="AK336" i="2"/>
  <c r="AJ336" i="2"/>
  <c r="AI336" i="2"/>
  <c r="AE336" i="2"/>
  <c r="AD336" i="2"/>
  <c r="AB336" i="2"/>
  <c r="AA336" i="2"/>
  <c r="Z336" i="2"/>
  <c r="Y336" i="2"/>
  <c r="X336" i="2"/>
  <c r="W336" i="2"/>
  <c r="T336" i="2"/>
  <c r="S336" i="2"/>
  <c r="R336" i="2"/>
  <c r="Q336" i="2"/>
  <c r="P336" i="2"/>
  <c r="O336" i="2"/>
  <c r="N336" i="2"/>
  <c r="M336" i="2"/>
  <c r="K336" i="2"/>
  <c r="AX335" i="2"/>
  <c r="AT335" i="2"/>
  <c r="AM335" i="2"/>
  <c r="AL335" i="2"/>
  <c r="AK335" i="2"/>
  <c r="AG335" i="2"/>
  <c r="AE335" i="2"/>
  <c r="AD335" i="2"/>
  <c r="X335" i="2"/>
  <c r="W335" i="2"/>
  <c r="V335" i="2"/>
  <c r="U335" i="2"/>
  <c r="T335" i="2"/>
  <c r="N335" i="2"/>
  <c r="T334" i="2"/>
  <c r="I334" i="2"/>
  <c r="AX333" i="2"/>
  <c r="AW333" i="2"/>
  <c r="AV333" i="2"/>
  <c r="AU333" i="2"/>
  <c r="AT333" i="2"/>
  <c r="AS333" i="2"/>
  <c r="AR333" i="2"/>
  <c r="AQ333" i="2"/>
  <c r="AP333" i="2"/>
  <c r="AO333" i="2"/>
  <c r="AK333" i="2"/>
  <c r="AJ333" i="2"/>
  <c r="AI333" i="2"/>
  <c r="AF333" i="2"/>
  <c r="AE333" i="2"/>
  <c r="AD333" i="2"/>
  <c r="AB333" i="2"/>
  <c r="AA333" i="2"/>
  <c r="Z333" i="2"/>
  <c r="Y333" i="2"/>
  <c r="W333" i="2"/>
  <c r="V333" i="2"/>
  <c r="U333" i="2"/>
  <c r="T333" i="2"/>
  <c r="S333" i="2"/>
  <c r="R333" i="2"/>
  <c r="Q333" i="2"/>
  <c r="M333" i="2"/>
  <c r="L333" i="2"/>
  <c r="K333" i="2"/>
  <c r="J333" i="2"/>
  <c r="I333" i="2"/>
  <c r="H333" i="2"/>
  <c r="AG333" i="2"/>
  <c r="AX332" i="2"/>
  <c r="AW332" i="2"/>
  <c r="AV332" i="2"/>
  <c r="AT332" i="2"/>
  <c r="AM332" i="2"/>
  <c r="AI332" i="2"/>
  <c r="AH332" i="2"/>
  <c r="AG332" i="2"/>
  <c r="AF332" i="2"/>
  <c r="AE332" i="2"/>
  <c r="AB332" i="2"/>
  <c r="AA332" i="2"/>
  <c r="U332" i="2"/>
  <c r="S332" i="2"/>
  <c r="O332" i="2"/>
  <c r="N332" i="2"/>
  <c r="M332" i="2"/>
  <c r="I332" i="2"/>
  <c r="AJ332" i="2"/>
  <c r="AX331" i="2"/>
  <c r="AV331" i="2"/>
  <c r="AU331" i="2"/>
  <c r="AK331" i="2"/>
  <c r="AJ331" i="2"/>
  <c r="AI331" i="2"/>
  <c r="AH331" i="2"/>
  <c r="AG331" i="2"/>
  <c r="V331" i="2"/>
  <c r="U331" i="2"/>
  <c r="P331" i="2"/>
  <c r="O331" i="2"/>
  <c r="H331" i="2"/>
  <c r="AM330" i="2"/>
  <c r="AK330" i="2"/>
  <c r="AI330" i="2"/>
  <c r="AB330" i="2"/>
  <c r="AX329" i="2"/>
  <c r="AW329" i="2"/>
  <c r="AS329" i="2"/>
  <c r="AR329" i="2"/>
  <c r="AQ329" i="2"/>
  <c r="AL329" i="2"/>
  <c r="AH329" i="2"/>
  <c r="AG329" i="2"/>
  <c r="AE329" i="2"/>
  <c r="AD329" i="2"/>
  <c r="AB329" i="2"/>
  <c r="AA329" i="2"/>
  <c r="R329" i="2"/>
  <c r="Q329" i="2"/>
  <c r="P329" i="2"/>
  <c r="O329" i="2"/>
  <c r="M329" i="2"/>
  <c r="I329" i="2"/>
  <c r="AI329" i="2"/>
  <c r="AT328" i="2"/>
  <c r="AS328" i="2"/>
  <c r="AM328" i="2"/>
  <c r="AL328" i="2"/>
  <c r="AJ328" i="2"/>
  <c r="AI328" i="2"/>
  <c r="AH328" i="2"/>
  <c r="T328" i="2"/>
  <c r="S328" i="2"/>
  <c r="Q328" i="2"/>
  <c r="P328" i="2"/>
  <c r="I328" i="2"/>
  <c r="H328" i="2"/>
  <c r="AW327" i="2"/>
  <c r="AU327" i="2"/>
  <c r="AT327" i="2"/>
  <c r="AS327" i="2"/>
  <c r="AR327" i="2"/>
  <c r="AQ327" i="2"/>
  <c r="AP327" i="2"/>
  <c r="AO327" i="2"/>
  <c r="AN327" i="2"/>
  <c r="AM327" i="2"/>
  <c r="AL327" i="2"/>
  <c r="AK327" i="2"/>
  <c r="AD327" i="2"/>
  <c r="Y327" i="2"/>
  <c r="X327" i="2"/>
  <c r="W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AI327" i="2"/>
  <c r="AW326" i="2"/>
  <c r="AV326" i="2"/>
  <c r="AU326" i="2"/>
  <c r="AT326" i="2"/>
  <c r="AS326" i="2"/>
  <c r="AN326" i="2"/>
  <c r="AI326" i="2"/>
  <c r="AH326" i="2"/>
  <c r="AG326" i="2"/>
  <c r="AF326" i="2"/>
  <c r="AE326" i="2"/>
  <c r="AA326" i="2"/>
  <c r="T326" i="2"/>
  <c r="S326" i="2"/>
  <c r="R326" i="2"/>
  <c r="P326" i="2"/>
  <c r="O326" i="2"/>
  <c r="K326" i="2"/>
  <c r="AX325" i="2"/>
  <c r="AW325" i="2"/>
  <c r="AV325" i="2"/>
  <c r="AU325" i="2"/>
  <c r="AT325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D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AF325" i="2"/>
  <c r="AX324" i="2"/>
  <c r="AW324" i="2"/>
  <c r="AV324" i="2"/>
  <c r="AU324" i="2"/>
  <c r="AT324" i="2"/>
  <c r="AP324" i="2"/>
  <c r="AO324" i="2"/>
  <c r="AM324" i="2"/>
  <c r="AL324" i="2"/>
  <c r="AK324" i="2"/>
  <c r="AI324" i="2"/>
  <c r="AF324" i="2"/>
  <c r="AE324" i="2"/>
  <c r="AD324" i="2"/>
  <c r="AB324" i="2"/>
  <c r="AA324" i="2"/>
  <c r="Z324" i="2"/>
  <c r="Y324" i="2"/>
  <c r="X324" i="2"/>
  <c r="W324" i="2"/>
  <c r="V324" i="2"/>
  <c r="U324" i="2"/>
  <c r="T324" i="2"/>
  <c r="S324" i="2"/>
  <c r="O324" i="2"/>
  <c r="M324" i="2"/>
  <c r="L324" i="2"/>
  <c r="K324" i="2"/>
  <c r="H324" i="2"/>
  <c r="AW323" i="2"/>
  <c r="AV323" i="2"/>
  <c r="AU323" i="2"/>
  <c r="AT323" i="2"/>
  <c r="AS323" i="2"/>
  <c r="AR323" i="2"/>
  <c r="AK323" i="2"/>
  <c r="AH323" i="2"/>
  <c r="U323" i="2"/>
  <c r="T323" i="2"/>
  <c r="S323" i="2"/>
  <c r="R323" i="2"/>
  <c r="Q323" i="2"/>
  <c r="AX322" i="2"/>
  <c r="AW322" i="2"/>
  <c r="AV322" i="2"/>
  <c r="AU322" i="2"/>
  <c r="AT322" i="2"/>
  <c r="AS322" i="2"/>
  <c r="AR322" i="2"/>
  <c r="AQ322" i="2"/>
  <c r="AP322" i="2"/>
  <c r="AO322" i="2"/>
  <c r="AN322" i="2"/>
  <c r="AM322" i="2"/>
  <c r="AJ322" i="2"/>
  <c r="AF322" i="2"/>
  <c r="AE322" i="2"/>
  <c r="AD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L322" i="2"/>
  <c r="K322" i="2"/>
  <c r="J322" i="2"/>
  <c r="AX321" i="2"/>
  <c r="AW321" i="2"/>
  <c r="AV321" i="2"/>
  <c r="AU321" i="2"/>
  <c r="AT321" i="2"/>
  <c r="AS321" i="2"/>
  <c r="AR321" i="2"/>
  <c r="AQ321" i="2"/>
  <c r="AP321" i="2"/>
  <c r="AO321" i="2"/>
  <c r="AL321" i="2"/>
  <c r="AK321" i="2"/>
  <c r="AJ321" i="2"/>
  <c r="AI321" i="2"/>
  <c r="AH321" i="2"/>
  <c r="AF321" i="2"/>
  <c r="AE321" i="2"/>
  <c r="AD321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N321" i="2"/>
  <c r="M321" i="2"/>
  <c r="L321" i="2"/>
  <c r="K321" i="2"/>
  <c r="J321" i="2"/>
  <c r="I321" i="2"/>
  <c r="H321" i="2"/>
  <c r="AX320" i="2"/>
  <c r="AV320" i="2"/>
  <c r="AU320" i="2"/>
  <c r="AT320" i="2"/>
  <c r="AS320" i="2"/>
  <c r="AR320" i="2"/>
  <c r="AQ320" i="2"/>
  <c r="AN320" i="2"/>
  <c r="AM320" i="2"/>
  <c r="AL320" i="2"/>
  <c r="AK320" i="2"/>
  <c r="AJ320" i="2"/>
  <c r="AI320" i="2"/>
  <c r="AH320" i="2"/>
  <c r="AB320" i="2"/>
  <c r="AA320" i="2"/>
  <c r="Z320" i="2"/>
  <c r="Y320" i="2"/>
  <c r="X320" i="2"/>
  <c r="V320" i="2"/>
  <c r="U320" i="2"/>
  <c r="T320" i="2"/>
  <c r="S320" i="2"/>
  <c r="P320" i="2"/>
  <c r="O320" i="2"/>
  <c r="N320" i="2"/>
  <c r="M320" i="2"/>
  <c r="L320" i="2"/>
  <c r="K320" i="2"/>
  <c r="J320" i="2"/>
  <c r="I320" i="2"/>
  <c r="H320" i="2"/>
  <c r="AF320" i="2"/>
  <c r="AX319" i="2"/>
  <c r="AW319" i="2"/>
  <c r="AV319" i="2"/>
  <c r="AP319" i="2"/>
  <c r="AL319" i="2"/>
  <c r="AK319" i="2"/>
  <c r="AJ319" i="2"/>
  <c r="AI319" i="2"/>
  <c r="AH319" i="2"/>
  <c r="W319" i="2"/>
  <c r="V319" i="2"/>
  <c r="P319" i="2"/>
  <c r="L319" i="2"/>
  <c r="K319" i="2"/>
  <c r="I319" i="2"/>
  <c r="H319" i="2"/>
  <c r="AX318" i="2"/>
  <c r="AW318" i="2"/>
  <c r="AV318" i="2"/>
  <c r="AU318" i="2"/>
  <c r="AR318" i="2"/>
  <c r="AN318" i="2"/>
  <c r="AJ318" i="2"/>
  <c r="AI318" i="2"/>
  <c r="AH318" i="2"/>
  <c r="W318" i="2"/>
  <c r="T318" i="2"/>
  <c r="S318" i="2"/>
  <c r="R318" i="2"/>
  <c r="N318" i="2"/>
  <c r="I318" i="2"/>
  <c r="H318" i="2"/>
  <c r="AT317" i="2"/>
  <c r="AS317" i="2"/>
  <c r="AR317" i="2"/>
  <c r="AQ317" i="2"/>
  <c r="AP317" i="2"/>
  <c r="AL317" i="2"/>
  <c r="AH317" i="2"/>
  <c r="AB317" i="2"/>
  <c r="T317" i="2"/>
  <c r="S317" i="2"/>
  <c r="R317" i="2"/>
  <c r="Q317" i="2"/>
  <c r="L317" i="2"/>
  <c r="H317" i="2"/>
  <c r="AR316" i="2"/>
  <c r="AQ316" i="2"/>
  <c r="AP316" i="2"/>
  <c r="AO316" i="2"/>
  <c r="AN316" i="2"/>
  <c r="AJ316" i="2"/>
  <c r="AI316" i="2"/>
  <c r="AH316" i="2"/>
  <c r="AF316" i="2"/>
  <c r="AE316" i="2"/>
  <c r="AD316" i="2"/>
  <c r="AB316" i="2"/>
  <c r="AA316" i="2"/>
  <c r="X316" i="2"/>
  <c r="R316" i="2"/>
  <c r="Q316" i="2"/>
  <c r="P316" i="2"/>
  <c r="O316" i="2"/>
  <c r="N316" i="2"/>
  <c r="J316" i="2"/>
  <c r="I316" i="2"/>
  <c r="H316" i="2"/>
  <c r="AG315" i="2"/>
  <c r="AF315" i="2"/>
  <c r="AX314" i="2"/>
  <c r="AW314" i="2"/>
  <c r="AV314" i="2"/>
  <c r="AU314" i="2"/>
  <c r="AT314" i="2"/>
  <c r="AN314" i="2"/>
  <c r="AM314" i="2"/>
  <c r="AL314" i="2"/>
  <c r="AK314" i="2"/>
  <c r="AJ314" i="2"/>
  <c r="AF314" i="2"/>
  <c r="AE314" i="2"/>
  <c r="AB314" i="2"/>
  <c r="Z314" i="2"/>
  <c r="Y314" i="2"/>
  <c r="X314" i="2"/>
  <c r="W314" i="2"/>
  <c r="V314" i="2"/>
  <c r="U314" i="2"/>
  <c r="T314" i="2"/>
  <c r="N314" i="2"/>
  <c r="M314" i="2"/>
  <c r="L314" i="2"/>
  <c r="K314" i="2"/>
  <c r="J314" i="2"/>
  <c r="AD314" i="2"/>
  <c r="AX313" i="2"/>
  <c r="AW313" i="2"/>
  <c r="AV313" i="2"/>
  <c r="AU313" i="2"/>
  <c r="AT313" i="2"/>
  <c r="AS313" i="2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D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AE313" i="2"/>
  <c r="AL312" i="2"/>
  <c r="AK312" i="2"/>
  <c r="AJ312" i="2"/>
  <c r="AG312" i="2"/>
  <c r="AF312" i="2"/>
  <c r="AE312" i="2"/>
  <c r="AD312" i="2"/>
  <c r="X312" i="2"/>
  <c r="W312" i="2"/>
  <c r="V312" i="2"/>
  <c r="P312" i="2"/>
  <c r="O312" i="2"/>
  <c r="AM312" i="2"/>
  <c r="AX311" i="2"/>
  <c r="AW311" i="2"/>
  <c r="AL311" i="2"/>
  <c r="AI311" i="2"/>
  <c r="AH311" i="2"/>
  <c r="AG311" i="2"/>
  <c r="AF311" i="2"/>
  <c r="AE311" i="2"/>
  <c r="AD311" i="2"/>
  <c r="AB311" i="2"/>
  <c r="AA311" i="2"/>
  <c r="Z311" i="2"/>
  <c r="Y311" i="2"/>
  <c r="X311" i="2"/>
  <c r="R311" i="2"/>
  <c r="Q311" i="2"/>
  <c r="P311" i="2"/>
  <c r="O311" i="2"/>
  <c r="N311" i="2"/>
  <c r="K311" i="2"/>
  <c r="AM311" i="2"/>
  <c r="AJ310" i="2"/>
  <c r="AI310" i="2"/>
  <c r="AH310" i="2"/>
  <c r="AG310" i="2"/>
  <c r="AF310" i="2"/>
  <c r="AE310" i="2"/>
  <c r="AD310" i="2"/>
  <c r="S310" i="2"/>
  <c r="R310" i="2"/>
  <c r="Q310" i="2"/>
  <c r="P310" i="2"/>
  <c r="M310" i="2"/>
  <c r="AK310" i="2"/>
  <c r="AT309" i="2"/>
  <c r="AS309" i="2"/>
  <c r="AR309" i="2"/>
  <c r="AJ309" i="2"/>
  <c r="AI309" i="2"/>
  <c r="AH309" i="2"/>
  <c r="AG309" i="2"/>
  <c r="AF309" i="2"/>
  <c r="AE309" i="2"/>
  <c r="AD309" i="2"/>
  <c r="AB309" i="2"/>
  <c r="V309" i="2"/>
  <c r="U309" i="2"/>
  <c r="T309" i="2"/>
  <c r="S309" i="2"/>
  <c r="R309" i="2"/>
  <c r="O309" i="2"/>
  <c r="N309" i="2"/>
  <c r="M309" i="2"/>
  <c r="L309" i="2"/>
  <c r="K309" i="2"/>
  <c r="AK309" i="2"/>
  <c r="AV308" i="2"/>
  <c r="AU308" i="2"/>
  <c r="AT308" i="2"/>
  <c r="AJ308" i="2"/>
  <c r="AI308" i="2"/>
  <c r="AH308" i="2"/>
  <c r="AG308" i="2"/>
  <c r="AF308" i="2"/>
  <c r="AE308" i="2"/>
  <c r="AD308" i="2"/>
  <c r="Q308" i="2"/>
  <c r="P308" i="2"/>
  <c r="O308" i="2"/>
  <c r="N308" i="2"/>
  <c r="M308" i="2"/>
  <c r="AK308" i="2"/>
  <c r="AX307" i="2"/>
  <c r="AW307" i="2"/>
  <c r="AV307" i="2"/>
  <c r="AU307" i="2"/>
  <c r="AT307" i="2"/>
  <c r="AR307" i="2"/>
  <c r="AQ307" i="2"/>
  <c r="AP307" i="2"/>
  <c r="AO307" i="2"/>
  <c r="AN307" i="2"/>
  <c r="AM307" i="2"/>
  <c r="AL307" i="2"/>
  <c r="AK307" i="2"/>
  <c r="AJ307" i="2"/>
  <c r="AI307" i="2"/>
  <c r="AH307" i="2"/>
  <c r="AG307" i="2"/>
  <c r="AF307" i="2"/>
  <c r="Z307" i="2"/>
  <c r="Y307" i="2"/>
  <c r="X307" i="2"/>
  <c r="W307" i="2"/>
  <c r="V307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H307" i="2"/>
  <c r="AE307" i="2"/>
  <c r="AX306" i="2"/>
  <c r="AW306" i="2"/>
  <c r="AV306" i="2"/>
  <c r="AU306" i="2"/>
  <c r="AT306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D306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AE306" i="2"/>
  <c r="AX305" i="2"/>
  <c r="AW305" i="2"/>
  <c r="AV305" i="2"/>
  <c r="AU305" i="2"/>
  <c r="AT305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F305" i="2"/>
  <c r="AD305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H305" i="2"/>
  <c r="AG305" i="2"/>
  <c r="AX304" i="2"/>
  <c r="AW304" i="2"/>
  <c r="AV304" i="2"/>
  <c r="AU304" i="2"/>
  <c r="AM304" i="2"/>
  <c r="AL304" i="2"/>
  <c r="AK304" i="2"/>
  <c r="AF304" i="2"/>
  <c r="AE304" i="2"/>
  <c r="AD304" i="2"/>
  <c r="V304" i="2"/>
  <c r="U304" i="2"/>
  <c r="T304" i="2"/>
  <c r="S304" i="2"/>
  <c r="R304" i="2"/>
  <c r="AX302" i="2"/>
  <c r="AW302" i="2"/>
  <c r="AV302" i="2"/>
  <c r="AU302" i="2"/>
  <c r="AT302" i="2"/>
  <c r="AS302" i="2"/>
  <c r="AR302" i="2"/>
  <c r="AQ302" i="2"/>
  <c r="AP302" i="2"/>
  <c r="AO302" i="2"/>
  <c r="AN302" i="2"/>
  <c r="AJ302" i="2"/>
  <c r="AI302" i="2"/>
  <c r="AH302" i="2"/>
  <c r="AG302" i="2"/>
  <c r="AF302" i="2"/>
  <c r="AD302" i="2"/>
  <c r="AB302" i="2"/>
  <c r="AA302" i="2"/>
  <c r="Z302" i="2"/>
  <c r="Y302" i="2"/>
  <c r="X302" i="2"/>
  <c r="W302" i="2"/>
  <c r="V302" i="2"/>
  <c r="U302" i="2"/>
  <c r="T302" i="2"/>
  <c r="S302" i="2"/>
  <c r="R302" i="2"/>
  <c r="Q302" i="2"/>
  <c r="P302" i="2"/>
  <c r="L302" i="2"/>
  <c r="K302" i="2"/>
  <c r="J302" i="2"/>
  <c r="I302" i="2"/>
  <c r="H302" i="2"/>
  <c r="AM302" i="2"/>
  <c r="AK301" i="2"/>
  <c r="AJ301" i="2"/>
  <c r="AH301" i="2"/>
  <c r="AG301" i="2"/>
  <c r="AG300" i="2"/>
  <c r="AF300" i="2"/>
  <c r="U300" i="2"/>
  <c r="AU299" i="2"/>
  <c r="AT299" i="2"/>
  <c r="AR299" i="2"/>
  <c r="AP299" i="2"/>
  <c r="AO299" i="2"/>
  <c r="AE299" i="2"/>
  <c r="AD299" i="2"/>
  <c r="AB299" i="2"/>
  <c r="AA299" i="2"/>
  <c r="T299" i="2"/>
  <c r="R299" i="2"/>
  <c r="Q299" i="2"/>
  <c r="P299" i="2"/>
  <c r="O299" i="2"/>
  <c r="AF299" i="2"/>
  <c r="AQ298" i="2"/>
  <c r="AP298" i="2"/>
  <c r="AO298" i="2"/>
  <c r="AN298" i="2"/>
  <c r="AM298" i="2"/>
  <c r="AF298" i="2"/>
  <c r="AE298" i="2"/>
  <c r="AD298" i="2"/>
  <c r="AB298" i="2"/>
  <c r="AA298" i="2"/>
  <c r="Z298" i="2"/>
  <c r="Y298" i="2"/>
  <c r="Q298" i="2"/>
  <c r="P298" i="2"/>
  <c r="O298" i="2"/>
  <c r="N298" i="2"/>
  <c r="M298" i="2"/>
  <c r="AX297" i="2"/>
  <c r="AV297" i="2"/>
  <c r="AO297" i="2"/>
  <c r="AN297" i="2"/>
  <c r="AM297" i="2"/>
  <c r="AL297" i="2"/>
  <c r="AK297" i="2"/>
  <c r="AI297" i="2"/>
  <c r="AE297" i="2"/>
  <c r="AD297" i="2"/>
  <c r="AB297" i="2"/>
  <c r="AA297" i="2"/>
  <c r="Z297" i="2"/>
  <c r="X297" i="2"/>
  <c r="V297" i="2"/>
  <c r="U297" i="2"/>
  <c r="O297" i="2"/>
  <c r="N297" i="2"/>
  <c r="M297" i="2"/>
  <c r="L297" i="2"/>
  <c r="K297" i="2"/>
  <c r="I297" i="2"/>
  <c r="AF297" i="2"/>
  <c r="AX296" i="2"/>
  <c r="AW296" i="2"/>
  <c r="AV296" i="2"/>
  <c r="AU296" i="2"/>
  <c r="AO296" i="2"/>
  <c r="AN296" i="2"/>
  <c r="AM296" i="2"/>
  <c r="AL296" i="2"/>
  <c r="AK296" i="2"/>
  <c r="AD296" i="2"/>
  <c r="AB296" i="2"/>
  <c r="AA296" i="2"/>
  <c r="Z296" i="2"/>
  <c r="Y296" i="2"/>
  <c r="X296" i="2"/>
  <c r="W296" i="2"/>
  <c r="Q296" i="2"/>
  <c r="P296" i="2"/>
  <c r="O296" i="2"/>
  <c r="N296" i="2"/>
  <c r="M296" i="2"/>
  <c r="AT296" i="2"/>
  <c r="AX295" i="2"/>
  <c r="AW295" i="2"/>
  <c r="AQ295" i="2"/>
  <c r="AP295" i="2"/>
  <c r="AO295" i="2"/>
  <c r="AN295" i="2"/>
  <c r="AM295" i="2"/>
  <c r="AD295" i="2"/>
  <c r="AB295" i="2"/>
  <c r="AA295" i="2"/>
  <c r="Z295" i="2"/>
  <c r="Y295" i="2"/>
  <c r="S295" i="2"/>
  <c r="R295" i="2"/>
  <c r="Q295" i="2"/>
  <c r="P295" i="2"/>
  <c r="O295" i="2"/>
  <c r="AV295" i="2"/>
  <c r="AS294" i="2"/>
  <c r="AR294" i="2"/>
  <c r="AQ294" i="2"/>
  <c r="AP294" i="2"/>
  <c r="AO294" i="2"/>
  <c r="AE294" i="2"/>
  <c r="AD294" i="2"/>
  <c r="AB294" i="2"/>
  <c r="AA294" i="2"/>
  <c r="U294" i="2"/>
  <c r="T294" i="2"/>
  <c r="S294" i="2"/>
  <c r="R294" i="2"/>
  <c r="Q294" i="2"/>
  <c r="AT292" i="2"/>
  <c r="AS292" i="2"/>
  <c r="AI292" i="2"/>
  <c r="AH292" i="2"/>
  <c r="I292" i="2"/>
  <c r="AX291" i="2"/>
  <c r="AW291" i="2"/>
  <c r="AV291" i="2"/>
  <c r="AU291" i="2"/>
  <c r="AT291" i="2"/>
  <c r="AS291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AF291" i="2"/>
  <c r="AX290" i="2"/>
  <c r="AW290" i="2"/>
  <c r="AV290" i="2"/>
  <c r="AU290" i="2"/>
  <c r="AT290" i="2"/>
  <c r="AS290" i="2"/>
  <c r="AR290" i="2"/>
  <c r="AQ290" i="2"/>
  <c r="AP290" i="2"/>
  <c r="AO290" i="2"/>
  <c r="AN290" i="2"/>
  <c r="AM290" i="2"/>
  <c r="AL290" i="2"/>
  <c r="AK290" i="2"/>
  <c r="AJ290" i="2"/>
  <c r="AI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I290" i="2"/>
  <c r="AH290" i="2"/>
  <c r="AO289" i="2"/>
  <c r="AN289" i="2"/>
  <c r="AM289" i="2"/>
  <c r="AL289" i="2"/>
  <c r="AK289" i="2"/>
  <c r="AE289" i="2"/>
  <c r="AD289" i="2"/>
  <c r="AB289" i="2"/>
  <c r="AA289" i="2"/>
  <c r="Q289" i="2"/>
  <c r="P289" i="2"/>
  <c r="O289" i="2"/>
  <c r="N289" i="2"/>
  <c r="M289" i="2"/>
  <c r="AQ288" i="2"/>
  <c r="AP288" i="2"/>
  <c r="AO288" i="2"/>
  <c r="AN288" i="2"/>
  <c r="AM288" i="2"/>
  <c r="AG288" i="2"/>
  <c r="AF288" i="2"/>
  <c r="AE288" i="2"/>
  <c r="AD288" i="2"/>
  <c r="S288" i="2"/>
  <c r="R288" i="2"/>
  <c r="Q288" i="2"/>
  <c r="P288" i="2"/>
  <c r="O288" i="2"/>
  <c r="I288" i="2"/>
  <c r="H288" i="2"/>
  <c r="AQ287" i="2"/>
  <c r="Q287" i="2"/>
  <c r="K287" i="2"/>
  <c r="J287" i="2"/>
  <c r="H287" i="2"/>
  <c r="AX286" i="2"/>
  <c r="AW286" i="2"/>
  <c r="AV286" i="2"/>
  <c r="AU286" i="2"/>
  <c r="AT286" i="2"/>
  <c r="AS286" i="2"/>
  <c r="AR286" i="2"/>
  <c r="AQ286" i="2"/>
  <c r="AK286" i="2"/>
  <c r="AJ286" i="2"/>
  <c r="AI286" i="2"/>
  <c r="AH286" i="2"/>
  <c r="AG286" i="2"/>
  <c r="AA286" i="2"/>
  <c r="Z286" i="2"/>
  <c r="Y286" i="2"/>
  <c r="X286" i="2"/>
  <c r="W286" i="2"/>
  <c r="V286" i="2"/>
  <c r="U286" i="2"/>
  <c r="T286" i="2"/>
  <c r="S286" i="2"/>
  <c r="M286" i="2"/>
  <c r="L286" i="2"/>
  <c r="K286" i="2"/>
  <c r="J286" i="2"/>
  <c r="I286" i="2"/>
  <c r="AP286" i="2"/>
  <c r="AX285" i="2"/>
  <c r="AW285" i="2"/>
  <c r="AV285" i="2"/>
  <c r="AU285" i="2"/>
  <c r="AT285" i="2"/>
  <c r="AS285" i="2"/>
  <c r="AM285" i="2"/>
  <c r="AL285" i="2"/>
  <c r="AK285" i="2"/>
  <c r="AJ285" i="2"/>
  <c r="AI285" i="2"/>
  <c r="AG285" i="2"/>
  <c r="AB285" i="2"/>
  <c r="AA285" i="2"/>
  <c r="Z285" i="2"/>
  <c r="Y285" i="2"/>
  <c r="X285" i="2"/>
  <c r="W285" i="2"/>
  <c r="V285" i="2"/>
  <c r="U285" i="2"/>
  <c r="O285" i="2"/>
  <c r="N285" i="2"/>
  <c r="M285" i="2"/>
  <c r="L285" i="2"/>
  <c r="K285" i="2"/>
  <c r="I285" i="2"/>
  <c r="AR285" i="2"/>
  <c r="AX284" i="2"/>
  <c r="AW284" i="2"/>
  <c r="AV284" i="2"/>
  <c r="AU284" i="2"/>
  <c r="AO284" i="2"/>
  <c r="AN284" i="2"/>
  <c r="AM284" i="2"/>
  <c r="AL284" i="2"/>
  <c r="AK284" i="2"/>
  <c r="AD284" i="2"/>
  <c r="AB284" i="2"/>
  <c r="AA284" i="2"/>
  <c r="Z284" i="2"/>
  <c r="Y284" i="2"/>
  <c r="X284" i="2"/>
  <c r="W284" i="2"/>
  <c r="Q284" i="2"/>
  <c r="P284" i="2"/>
  <c r="O284" i="2"/>
  <c r="N284" i="2"/>
  <c r="M284" i="2"/>
  <c r="AT284" i="2"/>
  <c r="AX283" i="2"/>
  <c r="AW283" i="2"/>
  <c r="AQ283" i="2"/>
  <c r="AP283" i="2"/>
  <c r="AO283" i="2"/>
  <c r="AN283" i="2"/>
  <c r="AM283" i="2"/>
  <c r="AD283" i="2"/>
  <c r="AB283" i="2"/>
  <c r="AA283" i="2"/>
  <c r="Z283" i="2"/>
  <c r="Y283" i="2"/>
  <c r="S283" i="2"/>
  <c r="R283" i="2"/>
  <c r="Q283" i="2"/>
  <c r="P283" i="2"/>
  <c r="O283" i="2"/>
  <c r="AV283" i="2"/>
  <c r="AS282" i="2"/>
  <c r="AR282" i="2"/>
  <c r="AQ282" i="2"/>
  <c r="AP282" i="2"/>
  <c r="AO282" i="2"/>
  <c r="AF282" i="2"/>
  <c r="AE282" i="2"/>
  <c r="AD282" i="2"/>
  <c r="T282" i="2"/>
  <c r="S282" i="2"/>
  <c r="R282" i="2"/>
  <c r="Q282" i="2"/>
  <c r="AU281" i="2"/>
  <c r="AT281" i="2"/>
  <c r="AS281" i="2"/>
  <c r="AR281" i="2"/>
  <c r="AQ281" i="2"/>
  <c r="AH281" i="2"/>
  <c r="AG281" i="2"/>
  <c r="AF281" i="2"/>
  <c r="AE281" i="2"/>
  <c r="AD281" i="2"/>
  <c r="T281" i="2"/>
  <c r="S281" i="2"/>
  <c r="J281" i="2"/>
  <c r="I281" i="2"/>
  <c r="AU280" i="2"/>
  <c r="AT280" i="2"/>
  <c r="AS280" i="2"/>
  <c r="AJ280" i="2"/>
  <c r="AI280" i="2"/>
  <c r="AH280" i="2"/>
  <c r="AG280" i="2"/>
  <c r="AF280" i="2"/>
  <c r="AE280" i="2"/>
  <c r="Y280" i="2"/>
  <c r="L280" i="2"/>
  <c r="K280" i="2"/>
  <c r="J280" i="2"/>
  <c r="I280" i="2"/>
  <c r="AW280" i="2"/>
  <c r="AX279" i="2"/>
  <c r="AW279" i="2"/>
  <c r="AV279" i="2"/>
  <c r="AU279" i="2"/>
  <c r="AS279" i="2"/>
  <c r="AR279" i="2"/>
  <c r="AQ279" i="2"/>
  <c r="AP279" i="2"/>
  <c r="AO279" i="2"/>
  <c r="AN279" i="2"/>
  <c r="AM279" i="2"/>
  <c r="AL279" i="2"/>
  <c r="AK279" i="2"/>
  <c r="AJ279" i="2"/>
  <c r="AI279" i="2"/>
  <c r="AH279" i="2"/>
  <c r="AG279" i="2"/>
  <c r="AA279" i="2"/>
  <c r="Z279" i="2"/>
  <c r="Y279" i="2"/>
  <c r="X279" i="2"/>
  <c r="W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AF279" i="2"/>
  <c r="AX278" i="2"/>
  <c r="AW278" i="2"/>
  <c r="AU278" i="2"/>
  <c r="AT278" i="2"/>
  <c r="AS278" i="2"/>
  <c r="AR278" i="2"/>
  <c r="AQ278" i="2"/>
  <c r="AP278" i="2"/>
  <c r="AO278" i="2"/>
  <c r="AN278" i="2"/>
  <c r="AM278" i="2"/>
  <c r="AL278" i="2"/>
  <c r="AK278" i="2"/>
  <c r="AJ278" i="2"/>
  <c r="AI278" i="2"/>
  <c r="AB278" i="2"/>
  <c r="AA278" i="2"/>
  <c r="Z278" i="2"/>
  <c r="Y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AH278" i="2"/>
  <c r="AR277" i="2"/>
  <c r="AQ277" i="2"/>
  <c r="AP277" i="2"/>
  <c r="AO277" i="2"/>
  <c r="AE277" i="2"/>
  <c r="AD277" i="2"/>
  <c r="AB277" i="2"/>
  <c r="N277" i="2"/>
  <c r="M277" i="2"/>
  <c r="AT276" i="2"/>
  <c r="AS276" i="2"/>
  <c r="AN276" i="2"/>
  <c r="AM276" i="2"/>
  <c r="AG276" i="2"/>
  <c r="AF276" i="2"/>
  <c r="Q276" i="2"/>
  <c r="O276" i="2"/>
  <c r="I276" i="2"/>
  <c r="H276" i="2"/>
  <c r="AV275" i="2"/>
  <c r="AR275" i="2"/>
  <c r="AQ275" i="2"/>
  <c r="AP275" i="2"/>
  <c r="AO275" i="2"/>
  <c r="AI275" i="2"/>
  <c r="AH275" i="2"/>
  <c r="AG275" i="2"/>
  <c r="AF275" i="2"/>
  <c r="AE275" i="2"/>
  <c r="X275" i="2"/>
  <c r="W275" i="2"/>
  <c r="V275" i="2"/>
  <c r="U275" i="2"/>
  <c r="T275" i="2"/>
  <c r="S275" i="2"/>
  <c r="R275" i="2"/>
  <c r="Q275" i="2"/>
  <c r="K275" i="2"/>
  <c r="J275" i="2"/>
  <c r="I275" i="2"/>
  <c r="H275" i="2"/>
  <c r="AT275" i="2"/>
  <c r="AX274" i="2"/>
  <c r="AW274" i="2"/>
  <c r="AV274" i="2"/>
  <c r="AU274" i="2"/>
  <c r="AT274" i="2"/>
  <c r="AS274" i="2"/>
  <c r="AR274" i="2"/>
  <c r="AQ274" i="2"/>
  <c r="AK274" i="2"/>
  <c r="AJ274" i="2"/>
  <c r="AI274" i="2"/>
  <c r="AH274" i="2"/>
  <c r="AG274" i="2"/>
  <c r="AA274" i="2"/>
  <c r="Z274" i="2"/>
  <c r="Y274" i="2"/>
  <c r="X274" i="2"/>
  <c r="W274" i="2"/>
  <c r="V274" i="2"/>
  <c r="U274" i="2"/>
  <c r="T274" i="2"/>
  <c r="S274" i="2"/>
  <c r="M274" i="2"/>
  <c r="L274" i="2"/>
  <c r="K274" i="2"/>
  <c r="J274" i="2"/>
  <c r="I274" i="2"/>
  <c r="AP274" i="2"/>
  <c r="AX273" i="2"/>
  <c r="AW273" i="2"/>
  <c r="AV273" i="2"/>
  <c r="AU273" i="2"/>
  <c r="AT273" i="2"/>
  <c r="AS273" i="2"/>
  <c r="AM273" i="2"/>
  <c r="AL273" i="2"/>
  <c r="AK273" i="2"/>
  <c r="AJ273" i="2"/>
  <c r="AI273" i="2"/>
  <c r="AG273" i="2"/>
  <c r="AB273" i="2"/>
  <c r="AA273" i="2"/>
  <c r="Z273" i="2"/>
  <c r="Y273" i="2"/>
  <c r="X273" i="2"/>
  <c r="W273" i="2"/>
  <c r="V273" i="2"/>
  <c r="U273" i="2"/>
  <c r="O273" i="2"/>
  <c r="N273" i="2"/>
  <c r="M273" i="2"/>
  <c r="L273" i="2"/>
  <c r="K273" i="2"/>
  <c r="I273" i="2"/>
  <c r="AR273" i="2"/>
  <c r="AX272" i="2"/>
  <c r="AW272" i="2"/>
  <c r="AV272" i="2"/>
  <c r="AU272" i="2"/>
  <c r="AO272" i="2"/>
  <c r="AN272" i="2"/>
  <c r="AM272" i="2"/>
  <c r="AL272" i="2"/>
  <c r="AK272" i="2"/>
  <c r="AD272" i="2"/>
  <c r="AB272" i="2"/>
  <c r="AA272" i="2"/>
  <c r="Z272" i="2"/>
  <c r="Y272" i="2"/>
  <c r="X272" i="2"/>
  <c r="W272" i="2"/>
  <c r="Q272" i="2"/>
  <c r="P272" i="2"/>
  <c r="O272" i="2"/>
  <c r="N272" i="2"/>
  <c r="M272" i="2"/>
  <c r="AT272" i="2"/>
  <c r="AX271" i="2"/>
  <c r="AN271" i="2"/>
  <c r="AM271" i="2"/>
  <c r="I271" i="2"/>
  <c r="AS270" i="2"/>
  <c r="U270" i="2"/>
  <c r="AU269" i="2"/>
  <c r="AQ269" i="2"/>
  <c r="AK269" i="2"/>
  <c r="AJ269" i="2"/>
  <c r="AI269" i="2"/>
  <c r="AH269" i="2"/>
  <c r="AG269" i="2"/>
  <c r="AF269" i="2"/>
  <c r="AE269" i="2"/>
  <c r="AD269" i="2"/>
  <c r="W269" i="2"/>
  <c r="M269" i="2"/>
  <c r="L269" i="2"/>
  <c r="K269" i="2"/>
  <c r="J269" i="2"/>
  <c r="H269" i="2"/>
  <c r="AS269" i="2"/>
  <c r="AM268" i="2"/>
  <c r="AJ268" i="2"/>
  <c r="AI268" i="2"/>
  <c r="Y268" i="2"/>
  <c r="X268" i="2"/>
  <c r="W268" i="2"/>
  <c r="V268" i="2"/>
  <c r="AX267" i="2"/>
  <c r="AW267" i="2"/>
  <c r="AV267" i="2"/>
  <c r="AU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A267" i="2"/>
  <c r="Z267" i="2"/>
  <c r="Y267" i="2"/>
  <c r="X267" i="2"/>
  <c r="W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AF267" i="2"/>
  <c r="AX266" i="2"/>
  <c r="AY266" i="2" s="1"/>
  <c r="AW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B266" i="2"/>
  <c r="AA266" i="2"/>
  <c r="Z266" i="2"/>
  <c r="Y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AH266" i="2"/>
  <c r="AW265" i="2"/>
  <c r="AS265" i="2"/>
  <c r="AR265" i="2"/>
  <c r="AB265" i="2"/>
  <c r="AA265" i="2"/>
  <c r="Y265" i="2"/>
  <c r="T265" i="2"/>
  <c r="S265" i="2"/>
  <c r="N265" i="2"/>
  <c r="AP264" i="2"/>
  <c r="AO264" i="2"/>
  <c r="AN264" i="2"/>
  <c r="AG264" i="2"/>
  <c r="AF264" i="2"/>
  <c r="Y264" i="2"/>
  <c r="W264" i="2"/>
  <c r="V264" i="2"/>
  <c r="U264" i="2"/>
  <c r="AQ264" i="2"/>
  <c r="AW263" i="2"/>
  <c r="AV263" i="2"/>
  <c r="AU263" i="2"/>
  <c r="AT263" i="2"/>
  <c r="AS263" i="2"/>
  <c r="AP263" i="2"/>
  <c r="AO263" i="2"/>
  <c r="AI263" i="2"/>
  <c r="AH263" i="2"/>
  <c r="AG263" i="2"/>
  <c r="AF263" i="2"/>
  <c r="AE263" i="2"/>
  <c r="AA263" i="2"/>
  <c r="Y263" i="2"/>
  <c r="X263" i="2"/>
  <c r="W263" i="2"/>
  <c r="V263" i="2"/>
  <c r="U263" i="2"/>
  <c r="T263" i="2"/>
  <c r="S263" i="2"/>
  <c r="R263" i="2"/>
  <c r="Q263" i="2"/>
  <c r="K263" i="2"/>
  <c r="J263" i="2"/>
  <c r="I263" i="2"/>
  <c r="H263" i="2"/>
  <c r="AQ263" i="2"/>
  <c r="AX262" i="2"/>
  <c r="AW262" i="2"/>
  <c r="AV262" i="2"/>
  <c r="AR262" i="2"/>
  <c r="AQ262" i="2"/>
  <c r="AK262" i="2"/>
  <c r="AJ262" i="2"/>
  <c r="AI262" i="2"/>
  <c r="AH262" i="2"/>
  <c r="AG262" i="2"/>
  <c r="AE262" i="2"/>
  <c r="AA262" i="2"/>
  <c r="Z262" i="2"/>
  <c r="U262" i="2"/>
  <c r="T262" i="2"/>
  <c r="S262" i="2"/>
  <c r="M262" i="2"/>
  <c r="L262" i="2"/>
  <c r="K262" i="2"/>
  <c r="AX261" i="2"/>
  <c r="AV261" i="2"/>
  <c r="AG261" i="2"/>
  <c r="M261" i="2"/>
  <c r="L261" i="2"/>
  <c r="K261" i="2"/>
  <c r="AW261" i="2"/>
  <c r="AX260" i="2"/>
  <c r="AW260" i="2"/>
  <c r="AV260" i="2"/>
  <c r="AO260" i="2"/>
  <c r="AK260" i="2"/>
  <c r="AI260" i="2"/>
  <c r="AG260" i="2"/>
  <c r="AE260" i="2"/>
  <c r="AD260" i="2"/>
  <c r="AB260" i="2"/>
  <c r="AA260" i="2"/>
  <c r="Z260" i="2"/>
  <c r="Y260" i="2"/>
  <c r="X260" i="2"/>
  <c r="N260" i="2"/>
  <c r="M260" i="2"/>
  <c r="K260" i="2"/>
  <c r="I260" i="2"/>
  <c r="AN260" i="2"/>
  <c r="AR258" i="2"/>
  <c r="AQ258" i="2"/>
  <c r="AP258" i="2"/>
  <c r="AO258" i="2"/>
  <c r="AK258" i="2"/>
  <c r="AG258" i="2"/>
  <c r="AF258" i="2"/>
  <c r="AE258" i="2"/>
  <c r="AD258" i="2"/>
  <c r="AB258" i="2"/>
  <c r="AA258" i="2"/>
  <c r="U258" i="2"/>
  <c r="T258" i="2"/>
  <c r="S258" i="2"/>
  <c r="R258" i="2"/>
  <c r="K258" i="2"/>
  <c r="J258" i="2"/>
  <c r="I258" i="2"/>
  <c r="H258" i="2"/>
  <c r="AJ258" i="2"/>
  <c r="AO257" i="2"/>
  <c r="AL257" i="2"/>
  <c r="V257" i="2"/>
  <c r="K257" i="2"/>
  <c r="I257" i="2"/>
  <c r="H257" i="2"/>
  <c r="AM257" i="2"/>
  <c r="AW256" i="2"/>
  <c r="AQ256" i="2"/>
  <c r="AO256" i="2"/>
  <c r="AN256" i="2"/>
  <c r="AM256" i="2"/>
  <c r="AK256" i="2"/>
  <c r="AG256" i="2"/>
  <c r="AF256" i="2"/>
  <c r="AE256" i="2"/>
  <c r="Y256" i="2"/>
  <c r="X256" i="2"/>
  <c r="W256" i="2"/>
  <c r="V256" i="2"/>
  <c r="U256" i="2"/>
  <c r="S256" i="2"/>
  <c r="Q256" i="2"/>
  <c r="P256" i="2"/>
  <c r="K256" i="2"/>
  <c r="J256" i="2"/>
  <c r="I256" i="2"/>
  <c r="H256" i="2"/>
  <c r="AJ256" i="2"/>
  <c r="AX255" i="2"/>
  <c r="AW255" i="2"/>
  <c r="AV255" i="2"/>
  <c r="AU255" i="2"/>
  <c r="AS255" i="2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A255" i="2"/>
  <c r="Z255" i="2"/>
  <c r="Y255" i="2"/>
  <c r="X255" i="2"/>
  <c r="W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AF255" i="2"/>
  <c r="AX254" i="2"/>
  <c r="AW254" i="2"/>
  <c r="AU254" i="2"/>
  <c r="AT254" i="2"/>
  <c r="AS254" i="2"/>
  <c r="AR254" i="2"/>
  <c r="AQ254" i="2"/>
  <c r="AP254" i="2"/>
  <c r="AO254" i="2"/>
  <c r="AN254" i="2"/>
  <c r="AM254" i="2"/>
  <c r="AL254" i="2"/>
  <c r="AK254" i="2"/>
  <c r="AJ254" i="2"/>
  <c r="AI254" i="2"/>
  <c r="AB254" i="2"/>
  <c r="AA254" i="2"/>
  <c r="Z254" i="2"/>
  <c r="Y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AH254" i="2"/>
  <c r="AW253" i="2"/>
  <c r="AV253" i="2"/>
  <c r="AU253" i="2"/>
  <c r="AT253" i="2"/>
  <c r="AS253" i="2"/>
  <c r="AR253" i="2"/>
  <c r="AQ253" i="2"/>
  <c r="AN253" i="2"/>
  <c r="AM253" i="2"/>
  <c r="AL253" i="2"/>
  <c r="AK253" i="2"/>
  <c r="AE253" i="2"/>
  <c r="AD253" i="2"/>
  <c r="AB253" i="2"/>
  <c r="AA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AO253" i="2"/>
  <c r="AM252" i="2"/>
  <c r="AF252" i="2"/>
  <c r="AE252" i="2"/>
  <c r="AD252" i="2"/>
  <c r="X252" i="2"/>
  <c r="W252" i="2"/>
  <c r="V252" i="2"/>
  <c r="U252" i="2"/>
  <c r="H252" i="2"/>
  <c r="AX251" i="2"/>
  <c r="AW251" i="2"/>
  <c r="AR251" i="2"/>
  <c r="AQ251" i="2"/>
  <c r="AP251" i="2"/>
  <c r="X251" i="2"/>
  <c r="V251" i="2"/>
  <c r="U251" i="2"/>
  <c r="T251" i="2"/>
  <c r="S251" i="2"/>
  <c r="I251" i="2"/>
  <c r="H251" i="2"/>
  <c r="AK250" i="2"/>
  <c r="AJ250" i="2"/>
  <c r="AI250" i="2"/>
  <c r="AA250" i="2"/>
  <c r="AW249" i="2"/>
  <c r="AV249" i="2"/>
  <c r="AU249" i="2"/>
  <c r="AT249" i="2"/>
  <c r="AS249" i="2"/>
  <c r="AM249" i="2"/>
  <c r="AK249" i="2"/>
  <c r="AJ249" i="2"/>
  <c r="AI249" i="2"/>
  <c r="AG249" i="2"/>
  <c r="AF249" i="2"/>
  <c r="AE249" i="2"/>
  <c r="AD249" i="2"/>
  <c r="AB249" i="2"/>
  <c r="AA249" i="2"/>
  <c r="Z249" i="2"/>
  <c r="Y249" i="2"/>
  <c r="X249" i="2"/>
  <c r="N249" i="2"/>
  <c r="M249" i="2"/>
  <c r="L249" i="2"/>
  <c r="K249" i="2"/>
  <c r="I249" i="2"/>
  <c r="H249" i="2"/>
  <c r="AX248" i="2"/>
  <c r="AW248" i="2"/>
  <c r="AV248" i="2"/>
  <c r="AU248" i="2"/>
  <c r="AO248" i="2"/>
  <c r="AN248" i="2"/>
  <c r="AM248" i="2"/>
  <c r="AG248" i="2"/>
  <c r="AF248" i="2"/>
  <c r="AE248" i="2"/>
  <c r="AD248" i="2"/>
  <c r="AB248" i="2"/>
  <c r="AA248" i="2"/>
  <c r="Z248" i="2"/>
  <c r="Y248" i="2"/>
  <c r="X248" i="2"/>
  <c r="W248" i="2"/>
  <c r="Q248" i="2"/>
  <c r="P248" i="2"/>
  <c r="O248" i="2"/>
  <c r="N248" i="2"/>
  <c r="M248" i="2"/>
  <c r="K248" i="2"/>
  <c r="J248" i="2"/>
  <c r="I248" i="2"/>
  <c r="H248" i="2"/>
  <c r="AK248" i="2"/>
  <c r="AX247" i="2"/>
  <c r="AK247" i="2"/>
  <c r="AJ247" i="2"/>
  <c r="AF247" i="2"/>
  <c r="AD247" i="2"/>
  <c r="AB247" i="2"/>
  <c r="R247" i="2"/>
  <c r="Q247" i="2"/>
  <c r="P247" i="2"/>
  <c r="O247" i="2"/>
  <c r="AS246" i="2"/>
  <c r="AR246" i="2"/>
  <c r="AQ246" i="2"/>
  <c r="AK246" i="2"/>
  <c r="AJ246" i="2"/>
  <c r="U246" i="2"/>
  <c r="S246" i="2"/>
  <c r="R246" i="2"/>
  <c r="Q246" i="2"/>
  <c r="O246" i="2"/>
  <c r="N246" i="2"/>
  <c r="M246" i="2"/>
  <c r="L246" i="2"/>
  <c r="AN245" i="2"/>
  <c r="AM245" i="2"/>
  <c r="AL245" i="2"/>
  <c r="AK245" i="2"/>
  <c r="AJ245" i="2"/>
  <c r="AI245" i="2"/>
  <c r="AH245" i="2"/>
  <c r="U245" i="2"/>
  <c r="S245" i="2"/>
  <c r="K245" i="2"/>
  <c r="J245" i="2"/>
  <c r="I245" i="2"/>
  <c r="H245" i="2"/>
  <c r="AO245" i="2"/>
  <c r="AW244" i="2"/>
  <c r="AV244" i="2"/>
  <c r="AU244" i="2"/>
  <c r="AO244" i="2"/>
  <c r="AN244" i="2"/>
  <c r="AM244" i="2"/>
  <c r="AL244" i="2"/>
  <c r="AJ244" i="2"/>
  <c r="AF244" i="2"/>
  <c r="AE244" i="2"/>
  <c r="Y244" i="2"/>
  <c r="X244" i="2"/>
  <c r="W244" i="2"/>
  <c r="V244" i="2"/>
  <c r="U244" i="2"/>
  <c r="S244" i="2"/>
  <c r="R244" i="2"/>
  <c r="Q244" i="2"/>
  <c r="P244" i="2"/>
  <c r="K244" i="2"/>
  <c r="J244" i="2"/>
  <c r="I244" i="2"/>
  <c r="H244" i="2"/>
  <c r="AI244" i="2"/>
  <c r="AX243" i="2"/>
  <c r="AW243" i="2"/>
  <c r="AV243" i="2"/>
  <c r="AU243" i="2"/>
  <c r="AS243" i="2"/>
  <c r="AR243" i="2"/>
  <c r="AQ243" i="2"/>
  <c r="AP243" i="2"/>
  <c r="AO243" i="2"/>
  <c r="AN243" i="2"/>
  <c r="AM243" i="2"/>
  <c r="AL243" i="2"/>
  <c r="AK243" i="2"/>
  <c r="AJ243" i="2"/>
  <c r="AI243" i="2"/>
  <c r="AH243" i="2"/>
  <c r="AG243" i="2"/>
  <c r="AA243" i="2"/>
  <c r="Z243" i="2"/>
  <c r="Y243" i="2"/>
  <c r="X243" i="2"/>
  <c r="W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AF243" i="2"/>
  <c r="AX242" i="2"/>
  <c r="AW242" i="2"/>
  <c r="AU242" i="2"/>
  <c r="AT242" i="2"/>
  <c r="AS242" i="2"/>
  <c r="AR242" i="2"/>
  <c r="AQ242" i="2"/>
  <c r="AP242" i="2"/>
  <c r="AO242" i="2"/>
  <c r="AN242" i="2"/>
  <c r="AM242" i="2"/>
  <c r="AL242" i="2"/>
  <c r="AK242" i="2"/>
  <c r="AJ242" i="2"/>
  <c r="AI242" i="2"/>
  <c r="AB242" i="2"/>
  <c r="AA242" i="2"/>
  <c r="Z242" i="2"/>
  <c r="Y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AH242" i="2"/>
  <c r="AW241" i="2"/>
  <c r="AV241" i="2"/>
  <c r="AU241" i="2"/>
  <c r="AT241" i="2"/>
  <c r="AS241" i="2"/>
  <c r="AK241" i="2"/>
  <c r="Y241" i="2"/>
  <c r="X241" i="2"/>
  <c r="W241" i="2"/>
  <c r="V241" i="2"/>
  <c r="U241" i="2"/>
  <c r="T241" i="2"/>
  <c r="I241" i="2"/>
  <c r="AX240" i="2"/>
  <c r="AW240" i="2"/>
  <c r="AV240" i="2"/>
  <c r="AU240" i="2"/>
  <c r="AT240" i="2"/>
  <c r="AS240" i="2"/>
  <c r="AR240" i="2"/>
  <c r="AQ240" i="2"/>
  <c r="AP240" i="2"/>
  <c r="AO240" i="2"/>
  <c r="AN240" i="2"/>
  <c r="AM240" i="2"/>
  <c r="AK240" i="2"/>
  <c r="AI240" i="2"/>
  <c r="AH240" i="2"/>
  <c r="AG240" i="2"/>
  <c r="AE240" i="2"/>
  <c r="AD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AQ239" i="2"/>
  <c r="Z239" i="2"/>
  <c r="M239" i="2"/>
  <c r="L239" i="2"/>
  <c r="AS239" i="2"/>
  <c r="AO238" i="2"/>
  <c r="W238" i="2"/>
  <c r="V238" i="2"/>
  <c r="U238" i="2"/>
  <c r="R238" i="2"/>
  <c r="N238" i="2"/>
  <c r="H238" i="2"/>
  <c r="AX237" i="2"/>
  <c r="AW237" i="2"/>
  <c r="AV237" i="2"/>
  <c r="AU237" i="2"/>
  <c r="AT237" i="2"/>
  <c r="AS237" i="2"/>
  <c r="AR237" i="2"/>
  <c r="AQ237" i="2"/>
  <c r="AP237" i="2"/>
  <c r="AO237" i="2"/>
  <c r="AN237" i="2"/>
  <c r="AI237" i="2"/>
  <c r="AH237" i="2"/>
  <c r="AG237" i="2"/>
  <c r="AF237" i="2"/>
  <c r="AD237" i="2"/>
  <c r="Z237" i="2"/>
  <c r="Y237" i="2"/>
  <c r="X237" i="2"/>
  <c r="W237" i="2"/>
  <c r="V237" i="2"/>
  <c r="U237" i="2"/>
  <c r="T237" i="2"/>
  <c r="S237" i="2"/>
  <c r="R237" i="2"/>
  <c r="Q237" i="2"/>
  <c r="P237" i="2"/>
  <c r="K237" i="2"/>
  <c r="J237" i="2"/>
  <c r="I237" i="2"/>
  <c r="H237" i="2"/>
  <c r="AM237" i="2"/>
  <c r="AX236" i="2"/>
  <c r="AW236" i="2"/>
  <c r="AV236" i="2"/>
  <c r="AU236" i="2"/>
  <c r="AT236" i="2"/>
  <c r="AS236" i="2"/>
  <c r="AR236" i="2"/>
  <c r="AQ236" i="2"/>
  <c r="AP236" i="2"/>
  <c r="AK236" i="2"/>
  <c r="AJ236" i="2"/>
  <c r="AI236" i="2"/>
  <c r="AH236" i="2"/>
  <c r="AG236" i="2"/>
  <c r="AF236" i="2"/>
  <c r="AD236" i="2"/>
  <c r="AB236" i="2"/>
  <c r="AA236" i="2"/>
  <c r="Z236" i="2"/>
  <c r="Y236" i="2"/>
  <c r="X236" i="2"/>
  <c r="W236" i="2"/>
  <c r="V236" i="2"/>
  <c r="U236" i="2"/>
  <c r="T236" i="2"/>
  <c r="S236" i="2"/>
  <c r="R236" i="2"/>
  <c r="M236" i="2"/>
  <c r="L236" i="2"/>
  <c r="K236" i="2"/>
  <c r="J236" i="2"/>
  <c r="I236" i="2"/>
  <c r="H236" i="2"/>
  <c r="AO236" i="2"/>
  <c r="AX235" i="2"/>
  <c r="AW235" i="2"/>
  <c r="AV235" i="2"/>
  <c r="AU235" i="2"/>
  <c r="AT235" i="2"/>
  <c r="AS235" i="2"/>
  <c r="AR235" i="2"/>
  <c r="AM235" i="2"/>
  <c r="AL235" i="2"/>
  <c r="AK235" i="2"/>
  <c r="AJ235" i="2"/>
  <c r="AI235" i="2"/>
  <c r="AH235" i="2"/>
  <c r="AD235" i="2"/>
  <c r="AB235" i="2"/>
  <c r="AA235" i="2"/>
  <c r="Z235" i="2"/>
  <c r="Y235" i="2"/>
  <c r="X235" i="2"/>
  <c r="W235" i="2"/>
  <c r="V235" i="2"/>
  <c r="U235" i="2"/>
  <c r="T235" i="2"/>
  <c r="O235" i="2"/>
  <c r="N235" i="2"/>
  <c r="M235" i="2"/>
  <c r="L235" i="2"/>
  <c r="K235" i="2"/>
  <c r="J235" i="2"/>
  <c r="H235" i="2"/>
  <c r="AQ235" i="2"/>
  <c r="AV234" i="2"/>
  <c r="AT234" i="2"/>
  <c r="AO234" i="2"/>
  <c r="AN234" i="2"/>
  <c r="AM234" i="2"/>
  <c r="Z234" i="2"/>
  <c r="Y234" i="2"/>
  <c r="X234" i="2"/>
  <c r="W234" i="2"/>
  <c r="Q234" i="2"/>
  <c r="M234" i="2"/>
  <c r="H234" i="2"/>
  <c r="AO233" i="2"/>
  <c r="AM233" i="2"/>
  <c r="AL233" i="2"/>
  <c r="AG233" i="2"/>
  <c r="AA233" i="2"/>
  <c r="X233" i="2"/>
  <c r="AR232" i="2"/>
  <c r="AP232" i="2"/>
  <c r="AO232" i="2"/>
  <c r="AA232" i="2"/>
  <c r="J232" i="2"/>
  <c r="I232" i="2"/>
  <c r="H232" i="2"/>
  <c r="AN232" i="2"/>
  <c r="AQ231" i="2"/>
  <c r="AP231" i="2"/>
  <c r="AN231" i="2"/>
  <c r="AL231" i="2"/>
  <c r="AJ231" i="2"/>
  <c r="AF231" i="2"/>
  <c r="AD231" i="2"/>
  <c r="AB231" i="2"/>
  <c r="W231" i="2"/>
  <c r="V231" i="2"/>
  <c r="K231" i="2"/>
  <c r="J231" i="2"/>
  <c r="I231" i="2"/>
  <c r="H231" i="2"/>
  <c r="AV230" i="2"/>
  <c r="AT230" i="2"/>
  <c r="AS230" i="2"/>
  <c r="AR230" i="2"/>
  <c r="AP230" i="2"/>
  <c r="AN230" i="2"/>
  <c r="AM230" i="2"/>
  <c r="AH230" i="2"/>
  <c r="AG230" i="2"/>
  <c r="AF230" i="2"/>
  <c r="AE230" i="2"/>
  <c r="AD230" i="2"/>
  <c r="Y230" i="2"/>
  <c r="X230" i="2"/>
  <c r="W230" i="2"/>
  <c r="V230" i="2"/>
  <c r="P230" i="2"/>
  <c r="N230" i="2"/>
  <c r="M230" i="2"/>
  <c r="L230" i="2"/>
  <c r="K230" i="2"/>
  <c r="J230" i="2"/>
  <c r="I230" i="2"/>
  <c r="AJ230" i="2"/>
  <c r="AX229" i="2"/>
  <c r="AW229" i="2"/>
  <c r="AV229" i="2"/>
  <c r="AU229" i="2"/>
  <c r="AT229" i="2"/>
  <c r="AS229" i="2"/>
  <c r="AR229" i="2"/>
  <c r="AQ229" i="2"/>
  <c r="AP229" i="2"/>
  <c r="AO229" i="2"/>
  <c r="AN229" i="2"/>
  <c r="AM229" i="2"/>
  <c r="AL229" i="2"/>
  <c r="AK229" i="2"/>
  <c r="AJ229" i="2"/>
  <c r="AI229" i="2"/>
  <c r="AH229" i="2"/>
  <c r="AG229" i="2"/>
  <c r="AF229" i="2"/>
  <c r="AA229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AE229" i="2"/>
  <c r="AX228" i="2"/>
  <c r="AW228" i="2"/>
  <c r="AV228" i="2"/>
  <c r="AU228" i="2"/>
  <c r="AT228" i="2"/>
  <c r="AS228" i="2"/>
  <c r="AR228" i="2"/>
  <c r="AQ228" i="2"/>
  <c r="AP228" i="2"/>
  <c r="AO228" i="2"/>
  <c r="AN228" i="2"/>
  <c r="AM228" i="2"/>
  <c r="AL228" i="2"/>
  <c r="AK228" i="2"/>
  <c r="AJ228" i="2"/>
  <c r="AI228" i="2"/>
  <c r="AH228" i="2"/>
  <c r="AG228" i="2"/>
  <c r="AF228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AE228" i="2"/>
  <c r="AN227" i="2"/>
  <c r="X227" i="2"/>
  <c r="W227" i="2"/>
  <c r="M227" i="2"/>
  <c r="L227" i="2"/>
  <c r="AP227" i="2"/>
  <c r="AW226" i="2"/>
  <c r="AU226" i="2"/>
  <c r="AT226" i="2"/>
  <c r="AS226" i="2"/>
  <c r="AR226" i="2"/>
  <c r="AQ226" i="2"/>
  <c r="AP226" i="2"/>
  <c r="AG226" i="2"/>
  <c r="AF226" i="2"/>
  <c r="AE226" i="2"/>
  <c r="AD226" i="2"/>
  <c r="AB226" i="2"/>
  <c r="Z226" i="2"/>
  <c r="Y226" i="2"/>
  <c r="X226" i="2"/>
  <c r="T226" i="2"/>
  <c r="R226" i="2"/>
  <c r="Q226" i="2"/>
  <c r="P226" i="2"/>
  <c r="O226" i="2"/>
  <c r="N226" i="2"/>
  <c r="I226" i="2"/>
  <c r="AM226" i="2"/>
  <c r="AP225" i="2"/>
  <c r="AN225" i="2"/>
  <c r="AI225" i="2"/>
  <c r="AF225" i="2"/>
  <c r="J225" i="2"/>
  <c r="AX224" i="2"/>
  <c r="AW224" i="2"/>
  <c r="AV224" i="2"/>
  <c r="AU224" i="2"/>
  <c r="AT224" i="2"/>
  <c r="AS224" i="2"/>
  <c r="AR224" i="2"/>
  <c r="AQ224" i="2"/>
  <c r="AP224" i="2"/>
  <c r="AK224" i="2"/>
  <c r="AJ224" i="2"/>
  <c r="AH224" i="2"/>
  <c r="AG224" i="2"/>
  <c r="AF224" i="2"/>
  <c r="AE224" i="2"/>
  <c r="AD224" i="2"/>
  <c r="AB224" i="2"/>
  <c r="AA224" i="2"/>
  <c r="Z224" i="2"/>
  <c r="Y224" i="2"/>
  <c r="X224" i="2"/>
  <c r="W224" i="2"/>
  <c r="V224" i="2"/>
  <c r="U224" i="2"/>
  <c r="T224" i="2"/>
  <c r="S224" i="2"/>
  <c r="R224" i="2"/>
  <c r="M224" i="2"/>
  <c r="L224" i="2"/>
  <c r="K224" i="2"/>
  <c r="J224" i="2"/>
  <c r="I224" i="2"/>
  <c r="H224" i="2"/>
  <c r="AI223" i="2"/>
  <c r="AH223" i="2"/>
  <c r="AG223" i="2"/>
  <c r="AF223" i="2"/>
  <c r="AE223" i="2"/>
  <c r="U223" i="2"/>
  <c r="T223" i="2"/>
  <c r="AV222" i="2"/>
  <c r="AT222" i="2"/>
  <c r="AO222" i="2"/>
  <c r="AN222" i="2"/>
  <c r="AM222" i="2"/>
  <c r="AL222" i="2"/>
  <c r="AK222" i="2"/>
  <c r="AF222" i="2"/>
  <c r="AE222" i="2"/>
  <c r="AD222" i="2"/>
  <c r="AB222" i="2"/>
  <c r="AA222" i="2"/>
  <c r="Z222" i="2"/>
  <c r="Y222" i="2"/>
  <c r="X222" i="2"/>
  <c r="P222" i="2"/>
  <c r="N222" i="2"/>
  <c r="M222" i="2"/>
  <c r="L222" i="2"/>
  <c r="K222" i="2"/>
  <c r="J222" i="2"/>
  <c r="I222" i="2"/>
  <c r="AH222" i="2"/>
  <c r="AQ221" i="2"/>
  <c r="AP221" i="2"/>
  <c r="AL221" i="2"/>
  <c r="AJ221" i="2"/>
  <c r="AI221" i="2"/>
  <c r="R221" i="2"/>
  <c r="Q221" i="2"/>
  <c r="P221" i="2"/>
  <c r="O221" i="2"/>
  <c r="N221" i="2"/>
  <c r="J221" i="2"/>
  <c r="H221" i="2"/>
  <c r="AX220" i="2"/>
  <c r="AS220" i="2"/>
  <c r="AR220" i="2"/>
  <c r="AQ220" i="2"/>
  <c r="AP220" i="2"/>
  <c r="AO220" i="2"/>
  <c r="AN220" i="2"/>
  <c r="AM220" i="2"/>
  <c r="AL220" i="2"/>
  <c r="AK220" i="2"/>
  <c r="AJ220" i="2"/>
  <c r="AH220" i="2"/>
  <c r="AG220" i="2"/>
  <c r="AF220" i="2"/>
  <c r="AE220" i="2"/>
  <c r="AD220" i="2"/>
  <c r="AB220" i="2"/>
  <c r="AA220" i="2"/>
  <c r="Z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AU219" i="2"/>
  <c r="AT219" i="2"/>
  <c r="AS219" i="2"/>
  <c r="AR219" i="2"/>
  <c r="AL219" i="2"/>
  <c r="AJ219" i="2"/>
  <c r="AI219" i="2"/>
  <c r="AH219" i="2"/>
  <c r="AD219" i="2"/>
  <c r="T219" i="2"/>
  <c r="S219" i="2"/>
  <c r="R219" i="2"/>
  <c r="Q219" i="2"/>
  <c r="P219" i="2"/>
  <c r="AW218" i="2"/>
  <c r="AV218" i="2"/>
  <c r="AR218" i="2"/>
  <c r="AP218" i="2"/>
  <c r="AO218" i="2"/>
  <c r="AN218" i="2"/>
  <c r="AM218" i="2"/>
  <c r="AL218" i="2"/>
  <c r="AK218" i="2"/>
  <c r="AF218" i="2"/>
  <c r="AE218" i="2"/>
  <c r="AD218" i="2"/>
  <c r="Y218" i="2"/>
  <c r="X218" i="2"/>
  <c r="W218" i="2"/>
  <c r="V218" i="2"/>
  <c r="U218" i="2"/>
  <c r="T218" i="2"/>
  <c r="P218" i="2"/>
  <c r="N218" i="2"/>
  <c r="M218" i="2"/>
  <c r="L218" i="2"/>
  <c r="K218" i="2"/>
  <c r="J218" i="2"/>
  <c r="I218" i="2"/>
  <c r="AH218" i="2"/>
  <c r="AX217" i="2"/>
  <c r="AW217" i="2"/>
  <c r="AV217" i="2"/>
  <c r="AU217" i="2"/>
  <c r="AT217" i="2"/>
  <c r="AS217" i="2"/>
  <c r="AR217" i="2"/>
  <c r="AQ217" i="2"/>
  <c r="AP217" i="2"/>
  <c r="AO217" i="2"/>
  <c r="AN217" i="2"/>
  <c r="AM217" i="2"/>
  <c r="AL217" i="2"/>
  <c r="AK217" i="2"/>
  <c r="AJ217" i="2"/>
  <c r="AI217" i="2"/>
  <c r="AH217" i="2"/>
  <c r="AG217" i="2"/>
  <c r="AF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AE217" i="2"/>
  <c r="AX216" i="2"/>
  <c r="AW216" i="2"/>
  <c r="AV216" i="2"/>
  <c r="AU216" i="2"/>
  <c r="AT216" i="2"/>
  <c r="AS216" i="2"/>
  <c r="AR216" i="2"/>
  <c r="AQ216" i="2"/>
  <c r="AP216" i="2"/>
  <c r="AO216" i="2"/>
  <c r="AN216" i="2"/>
  <c r="AM216" i="2"/>
  <c r="AL216" i="2"/>
  <c r="AK216" i="2"/>
  <c r="AJ216" i="2"/>
  <c r="AI216" i="2"/>
  <c r="AH216" i="2"/>
  <c r="AG216" i="2"/>
  <c r="AF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AE216" i="2"/>
  <c r="AR215" i="2"/>
  <c r="AQ215" i="2"/>
  <c r="AP215" i="2"/>
  <c r="AO215" i="2"/>
  <c r="AN215" i="2"/>
  <c r="AM215" i="2"/>
  <c r="AL215" i="2"/>
  <c r="AD215" i="2"/>
  <c r="AB215" i="2"/>
  <c r="X215" i="2"/>
  <c r="Q215" i="2"/>
  <c r="P215" i="2"/>
  <c r="O215" i="2"/>
  <c r="N215" i="2"/>
  <c r="M215" i="2"/>
  <c r="AT215" i="2"/>
  <c r="AV214" i="2"/>
  <c r="AT214" i="2"/>
  <c r="AS214" i="2"/>
  <c r="AN214" i="2"/>
  <c r="AK214" i="2"/>
  <c r="Y214" i="2"/>
  <c r="W214" i="2"/>
  <c r="V214" i="2"/>
  <c r="U214" i="2"/>
  <c r="T214" i="2"/>
  <c r="AU214" i="2"/>
  <c r="AV213" i="2"/>
  <c r="AT213" i="2"/>
  <c r="AS213" i="2"/>
  <c r="AR213" i="2"/>
  <c r="AQ213" i="2"/>
  <c r="AP213" i="2"/>
  <c r="AO213" i="2"/>
  <c r="AN213" i="2"/>
  <c r="AM213" i="2"/>
  <c r="AG213" i="2"/>
  <c r="AF213" i="2"/>
  <c r="AE213" i="2"/>
  <c r="AD213" i="2"/>
  <c r="AB213" i="2"/>
  <c r="AA213" i="2"/>
  <c r="Z213" i="2"/>
  <c r="Y213" i="2"/>
  <c r="U213" i="2"/>
  <c r="S213" i="2"/>
  <c r="R213" i="2"/>
  <c r="Q213" i="2"/>
  <c r="P213" i="2"/>
  <c r="O213" i="2"/>
  <c r="K213" i="2"/>
  <c r="J213" i="2"/>
  <c r="I213" i="2"/>
  <c r="AW212" i="2"/>
  <c r="AV212" i="2"/>
  <c r="AB212" i="2"/>
  <c r="AA212" i="2"/>
  <c r="Z212" i="2"/>
  <c r="W212" i="2"/>
  <c r="J212" i="2"/>
  <c r="I212" i="2"/>
  <c r="H212" i="2"/>
  <c r="AX211" i="2"/>
  <c r="AV211" i="2"/>
  <c r="AU211" i="2"/>
  <c r="AT211" i="2"/>
  <c r="AS211" i="2"/>
  <c r="AR211" i="2"/>
  <c r="AK211" i="2"/>
  <c r="AI211" i="2"/>
  <c r="AH211" i="2"/>
  <c r="AG211" i="2"/>
  <c r="AF211" i="2"/>
  <c r="Y211" i="2"/>
  <c r="X211" i="2"/>
  <c r="V211" i="2"/>
  <c r="U211" i="2"/>
  <c r="T211" i="2"/>
  <c r="S211" i="2"/>
  <c r="O211" i="2"/>
  <c r="J211" i="2"/>
  <c r="H211" i="2"/>
  <c r="AX210" i="2"/>
  <c r="AW210" i="2"/>
  <c r="AV210" i="2"/>
  <c r="AU210" i="2"/>
  <c r="AT210" i="2"/>
  <c r="AS210" i="2"/>
  <c r="AO210" i="2"/>
  <c r="AN210" i="2"/>
  <c r="AM210" i="2"/>
  <c r="AL210" i="2"/>
  <c r="AK210" i="2"/>
  <c r="AI210" i="2"/>
  <c r="AG210" i="2"/>
  <c r="AF210" i="2"/>
  <c r="AE210" i="2"/>
  <c r="AD210" i="2"/>
  <c r="AB210" i="2"/>
  <c r="AA210" i="2"/>
  <c r="Z210" i="2"/>
  <c r="Y210" i="2"/>
  <c r="X210" i="2"/>
  <c r="W210" i="2"/>
  <c r="V210" i="2"/>
  <c r="U210" i="2"/>
  <c r="Q210" i="2"/>
  <c r="P210" i="2"/>
  <c r="O210" i="2"/>
  <c r="N210" i="2"/>
  <c r="M210" i="2"/>
  <c r="L210" i="2"/>
  <c r="K210" i="2"/>
  <c r="J210" i="2"/>
  <c r="H210" i="2"/>
  <c r="AO209" i="2"/>
  <c r="AL209" i="2"/>
  <c r="AK209" i="2"/>
  <c r="AJ209" i="2"/>
  <c r="AI209" i="2"/>
  <c r="AH209" i="2"/>
  <c r="AG209" i="2"/>
  <c r="AA209" i="2"/>
  <c r="Z209" i="2"/>
  <c r="S209" i="2"/>
  <c r="M209" i="2"/>
  <c r="L209" i="2"/>
  <c r="K209" i="2"/>
  <c r="J209" i="2"/>
  <c r="I209" i="2"/>
  <c r="AN209" i="2"/>
  <c r="AS208" i="2"/>
  <c r="AQ208" i="2"/>
  <c r="AP208" i="2"/>
  <c r="AK208" i="2"/>
  <c r="AJ208" i="2"/>
  <c r="AH208" i="2"/>
  <c r="Y208" i="2"/>
  <c r="T208" i="2"/>
  <c r="S208" i="2"/>
  <c r="R208" i="2"/>
  <c r="Q208" i="2"/>
  <c r="AR208" i="2"/>
  <c r="AS207" i="2"/>
  <c r="AQ207" i="2"/>
  <c r="AP207" i="2"/>
  <c r="AO207" i="2"/>
  <c r="AN207" i="2"/>
  <c r="AM207" i="2"/>
  <c r="AL207" i="2"/>
  <c r="AK207" i="2"/>
  <c r="AJ207" i="2"/>
  <c r="AG207" i="2"/>
  <c r="AF207" i="2"/>
  <c r="AE207" i="2"/>
  <c r="AD207" i="2"/>
  <c r="AB207" i="2"/>
  <c r="AA207" i="2"/>
  <c r="W207" i="2"/>
  <c r="V207" i="2"/>
  <c r="R207" i="2"/>
  <c r="P207" i="2"/>
  <c r="O207" i="2"/>
  <c r="N207" i="2"/>
  <c r="M207" i="2"/>
  <c r="L207" i="2"/>
  <c r="K207" i="2"/>
  <c r="J207" i="2"/>
  <c r="I207" i="2"/>
  <c r="AV206" i="2"/>
  <c r="AU206" i="2"/>
  <c r="Y206" i="2"/>
  <c r="H206" i="2"/>
  <c r="AW206" i="2"/>
  <c r="AV205" i="2"/>
  <c r="AU205" i="2"/>
  <c r="AS205" i="2"/>
  <c r="AR205" i="2"/>
  <c r="AQ205" i="2"/>
  <c r="AP205" i="2"/>
  <c r="AO205" i="2"/>
  <c r="AK205" i="2"/>
  <c r="AI205" i="2"/>
  <c r="AH205" i="2"/>
  <c r="AG205" i="2"/>
  <c r="AF205" i="2"/>
  <c r="V205" i="2"/>
  <c r="U205" i="2"/>
  <c r="S205" i="2"/>
  <c r="R205" i="2"/>
  <c r="Q205" i="2"/>
  <c r="P205" i="2"/>
  <c r="O205" i="2"/>
  <c r="J205" i="2"/>
  <c r="H205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AE204" i="2"/>
  <c r="AX203" i="2"/>
  <c r="AW203" i="2"/>
  <c r="AV203" i="2"/>
  <c r="AU203" i="2"/>
  <c r="AT203" i="2"/>
  <c r="AS203" i="2"/>
  <c r="AR203" i="2"/>
  <c r="AQ203" i="2"/>
  <c r="AP203" i="2"/>
  <c r="AO203" i="2"/>
  <c r="AN203" i="2"/>
  <c r="AM203" i="2"/>
  <c r="AL203" i="2"/>
  <c r="AJ203" i="2"/>
  <c r="AH203" i="2"/>
  <c r="AE203" i="2"/>
  <c r="AD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J203" i="2"/>
  <c r="AX202" i="2"/>
  <c r="AW202" i="2"/>
  <c r="AV202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F202" i="2"/>
  <c r="AE202" i="2"/>
  <c r="AD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I202" i="2"/>
  <c r="H202" i="2"/>
  <c r="AX201" i="2"/>
  <c r="AW201" i="2"/>
  <c r="AV201" i="2"/>
  <c r="AU201" i="2"/>
  <c r="AM201" i="2"/>
  <c r="AI201" i="2"/>
  <c r="AH201" i="2"/>
  <c r="AG201" i="2"/>
  <c r="AF201" i="2"/>
  <c r="AB201" i="2"/>
  <c r="Z201" i="2"/>
  <c r="T201" i="2"/>
  <c r="S201" i="2"/>
  <c r="Q201" i="2"/>
  <c r="P201" i="2"/>
  <c r="O201" i="2"/>
  <c r="AL201" i="2"/>
  <c r="AX200" i="2"/>
  <c r="AW200" i="2"/>
  <c r="AV200" i="2"/>
  <c r="AU200" i="2"/>
  <c r="AT200" i="2"/>
  <c r="AS200" i="2"/>
  <c r="AJ200" i="2"/>
  <c r="AI200" i="2"/>
  <c r="AH200" i="2"/>
  <c r="AG200" i="2"/>
  <c r="AF200" i="2"/>
  <c r="Z200" i="2"/>
  <c r="V200" i="2"/>
  <c r="U200" i="2"/>
  <c r="T200" i="2"/>
  <c r="S200" i="2"/>
  <c r="R200" i="2"/>
  <c r="Q200" i="2"/>
  <c r="M200" i="2"/>
  <c r="L200" i="2"/>
  <c r="K200" i="2"/>
  <c r="AK200" i="2"/>
  <c r="AX199" i="2"/>
  <c r="AV199" i="2"/>
  <c r="AU199" i="2"/>
  <c r="AK199" i="2"/>
  <c r="AI199" i="2"/>
  <c r="AH199" i="2"/>
  <c r="AG199" i="2"/>
  <c r="AF199" i="2"/>
  <c r="AE199" i="2"/>
  <c r="AD199" i="2"/>
  <c r="T199" i="2"/>
  <c r="S199" i="2"/>
  <c r="R199" i="2"/>
  <c r="O199" i="2"/>
  <c r="N199" i="2"/>
  <c r="AJ199" i="2"/>
  <c r="AV198" i="2"/>
  <c r="AT198" i="2"/>
  <c r="AS198" i="2"/>
  <c r="AK198" i="2"/>
  <c r="AI198" i="2"/>
  <c r="AH198" i="2"/>
  <c r="AG198" i="2"/>
  <c r="AF198" i="2"/>
  <c r="Z198" i="2"/>
  <c r="V198" i="2"/>
  <c r="T198" i="2"/>
  <c r="Q198" i="2"/>
  <c r="P198" i="2"/>
  <c r="O198" i="2"/>
  <c r="N198" i="2"/>
  <c r="M198" i="2"/>
  <c r="L198" i="2"/>
  <c r="AL198" i="2"/>
  <c r="AL197" i="2"/>
  <c r="AJ197" i="2"/>
  <c r="AI197" i="2"/>
  <c r="AG197" i="2"/>
  <c r="AF197" i="2"/>
  <c r="AE197" i="2"/>
  <c r="AD197" i="2"/>
  <c r="X197" i="2"/>
  <c r="R197" i="2"/>
  <c r="P197" i="2"/>
  <c r="O197" i="2"/>
  <c r="N197" i="2"/>
  <c r="AK197" i="2"/>
  <c r="AX196" i="2"/>
  <c r="AW196" i="2"/>
  <c r="AN196" i="2"/>
  <c r="AM196" i="2"/>
  <c r="AK196" i="2"/>
  <c r="AJ196" i="2"/>
  <c r="AI196" i="2"/>
  <c r="AH196" i="2"/>
  <c r="AG196" i="2"/>
  <c r="AD196" i="2"/>
  <c r="AB196" i="2"/>
  <c r="AA196" i="2"/>
  <c r="Z196" i="2"/>
  <c r="Y196" i="2"/>
  <c r="X196" i="2"/>
  <c r="U196" i="2"/>
  <c r="T196" i="2"/>
  <c r="P196" i="2"/>
  <c r="N196" i="2"/>
  <c r="M196" i="2"/>
  <c r="L196" i="2"/>
  <c r="I196" i="2"/>
  <c r="H196" i="2"/>
  <c r="AE196" i="2"/>
  <c r="AR195" i="2"/>
  <c r="AN195" i="2"/>
  <c r="AK195" i="2"/>
  <c r="AJ195" i="2"/>
  <c r="AI195" i="2"/>
  <c r="AH195" i="2"/>
  <c r="AG195" i="2"/>
  <c r="AF195" i="2"/>
  <c r="W195" i="2"/>
  <c r="V195" i="2"/>
  <c r="U195" i="2"/>
  <c r="T195" i="2"/>
  <c r="S195" i="2"/>
  <c r="I195" i="2"/>
  <c r="H195" i="2"/>
  <c r="AV194" i="2"/>
  <c r="AP194" i="2"/>
  <c r="AL194" i="2"/>
  <c r="AJ194" i="2"/>
  <c r="AI194" i="2"/>
  <c r="AH194" i="2"/>
  <c r="V194" i="2"/>
  <c r="U194" i="2"/>
  <c r="T194" i="2"/>
  <c r="AR193" i="2"/>
  <c r="AQ193" i="2"/>
  <c r="AO193" i="2"/>
  <c r="AN193" i="2"/>
  <c r="AJ193" i="2"/>
  <c r="AH193" i="2"/>
  <c r="AG193" i="2"/>
  <c r="AF193" i="2"/>
  <c r="W193" i="2"/>
  <c r="V193" i="2"/>
  <c r="U193" i="2"/>
  <c r="T193" i="2"/>
  <c r="S193" i="2"/>
  <c r="J193" i="2"/>
  <c r="H193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AE192" i="2"/>
  <c r="AX191" i="2"/>
  <c r="AW191" i="2"/>
  <c r="AV191" i="2"/>
  <c r="AU191" i="2"/>
  <c r="AT191" i="2"/>
  <c r="AS191" i="2"/>
  <c r="AR191" i="2"/>
  <c r="AQ191" i="2"/>
  <c r="AP191" i="2"/>
  <c r="AO191" i="2"/>
  <c r="AN191" i="2"/>
  <c r="AM191" i="2"/>
  <c r="AL191" i="2"/>
  <c r="AJ191" i="2"/>
  <c r="AH191" i="2"/>
  <c r="AE191" i="2"/>
  <c r="AD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K191" i="2"/>
  <c r="I191" i="2"/>
  <c r="AX190" i="2"/>
  <c r="AW190" i="2"/>
  <c r="AV190" i="2"/>
  <c r="AU190" i="2"/>
  <c r="AT190" i="2"/>
  <c r="AS190" i="2"/>
  <c r="AR190" i="2"/>
  <c r="AQ190" i="2"/>
  <c r="AP190" i="2"/>
  <c r="AO190" i="2"/>
  <c r="AN190" i="2"/>
  <c r="AM190" i="2"/>
  <c r="AL190" i="2"/>
  <c r="AJ190" i="2"/>
  <c r="AG190" i="2"/>
  <c r="AE190" i="2"/>
  <c r="AD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K190" i="2"/>
  <c r="H190" i="2"/>
  <c r="AX189" i="2"/>
  <c r="AW189" i="2"/>
  <c r="AV189" i="2"/>
  <c r="AU189" i="2"/>
  <c r="AT189" i="2"/>
  <c r="AS189" i="2"/>
  <c r="AR189" i="2"/>
  <c r="AQ189" i="2"/>
  <c r="AP189" i="2"/>
  <c r="AO189" i="2"/>
  <c r="AN189" i="2"/>
  <c r="AM189" i="2"/>
  <c r="AL189" i="2"/>
  <c r="AI189" i="2"/>
  <c r="AG189" i="2"/>
  <c r="AE189" i="2"/>
  <c r="AD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J189" i="2"/>
  <c r="H189" i="2"/>
  <c r="AX188" i="2"/>
  <c r="AW188" i="2"/>
  <c r="AV188" i="2"/>
  <c r="AU188" i="2"/>
  <c r="AT188" i="2"/>
  <c r="AS188" i="2"/>
  <c r="AR188" i="2"/>
  <c r="AQ188" i="2"/>
  <c r="AP188" i="2"/>
  <c r="AO188" i="2"/>
  <c r="AN188" i="2"/>
  <c r="AM188" i="2"/>
  <c r="AK188" i="2"/>
  <c r="AI188" i="2"/>
  <c r="AG188" i="2"/>
  <c r="AE188" i="2"/>
  <c r="AD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M188" i="2"/>
  <c r="L188" i="2"/>
  <c r="J188" i="2"/>
  <c r="H188" i="2"/>
  <c r="AX187" i="2"/>
  <c r="AW187" i="2"/>
  <c r="AV187" i="2"/>
  <c r="AU187" i="2"/>
  <c r="AT187" i="2"/>
  <c r="AS187" i="2"/>
  <c r="AR187" i="2"/>
  <c r="AQ187" i="2"/>
  <c r="AP187" i="2"/>
  <c r="AO187" i="2"/>
  <c r="AM187" i="2"/>
  <c r="AL187" i="2"/>
  <c r="AK187" i="2"/>
  <c r="AI187" i="2"/>
  <c r="AG187" i="2"/>
  <c r="AE187" i="2"/>
  <c r="AD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O187" i="2"/>
  <c r="N187" i="2"/>
  <c r="M187" i="2"/>
  <c r="L187" i="2"/>
  <c r="J187" i="2"/>
  <c r="H187" i="2"/>
  <c r="AX186" i="2"/>
  <c r="AW186" i="2"/>
  <c r="AV186" i="2"/>
  <c r="AU186" i="2"/>
  <c r="AT186" i="2"/>
  <c r="AS186" i="2"/>
  <c r="AR186" i="2"/>
  <c r="AQ186" i="2"/>
  <c r="AO186" i="2"/>
  <c r="AN186" i="2"/>
  <c r="AM186" i="2"/>
  <c r="AL186" i="2"/>
  <c r="AK186" i="2"/>
  <c r="AI186" i="2"/>
  <c r="AG186" i="2"/>
  <c r="AE186" i="2"/>
  <c r="AD186" i="2"/>
  <c r="AB186" i="2"/>
  <c r="AA186" i="2"/>
  <c r="Z186" i="2"/>
  <c r="Y186" i="2"/>
  <c r="X186" i="2"/>
  <c r="W186" i="2"/>
  <c r="V186" i="2"/>
  <c r="U186" i="2"/>
  <c r="T186" i="2"/>
  <c r="S186" i="2"/>
  <c r="Q186" i="2"/>
  <c r="P186" i="2"/>
  <c r="O186" i="2"/>
  <c r="N186" i="2"/>
  <c r="M186" i="2"/>
  <c r="L186" i="2"/>
  <c r="J186" i="2"/>
  <c r="H186" i="2"/>
  <c r="AT185" i="2"/>
  <c r="AQ185" i="2"/>
  <c r="AF185" i="2"/>
  <c r="P185" i="2"/>
  <c r="AV185" i="2"/>
  <c r="AX184" i="2"/>
  <c r="AW184" i="2"/>
  <c r="AV184" i="2"/>
  <c r="AU184" i="2"/>
  <c r="AT184" i="2"/>
  <c r="AS184" i="2"/>
  <c r="AR184" i="2"/>
  <c r="AQ184" i="2"/>
  <c r="AP184" i="2"/>
  <c r="AO184" i="2"/>
  <c r="AN184" i="2"/>
  <c r="AL184" i="2"/>
  <c r="AG184" i="2"/>
  <c r="AF184" i="2"/>
  <c r="AE184" i="2"/>
  <c r="AD184" i="2"/>
  <c r="AB184" i="2"/>
  <c r="AA184" i="2"/>
  <c r="Z184" i="2"/>
  <c r="X184" i="2"/>
  <c r="W184" i="2"/>
  <c r="V184" i="2"/>
  <c r="U184" i="2"/>
  <c r="T184" i="2"/>
  <c r="S184" i="2"/>
  <c r="R184" i="2"/>
  <c r="Q184" i="2"/>
  <c r="P184" i="2"/>
  <c r="N184" i="2"/>
  <c r="L184" i="2"/>
  <c r="J184" i="2"/>
  <c r="I184" i="2"/>
  <c r="Y184" i="2"/>
  <c r="AX183" i="2"/>
  <c r="AW183" i="2"/>
  <c r="AP183" i="2"/>
  <c r="AL183" i="2"/>
  <c r="AJ183" i="2"/>
  <c r="AI183" i="2"/>
  <c r="AF183" i="2"/>
  <c r="Z183" i="2"/>
  <c r="Y183" i="2"/>
  <c r="X183" i="2"/>
  <c r="W183" i="2"/>
  <c r="V183" i="2"/>
  <c r="L183" i="2"/>
  <c r="J183" i="2"/>
  <c r="I183" i="2"/>
  <c r="H183" i="2"/>
  <c r="AG183" i="2"/>
  <c r="AW182" i="2"/>
  <c r="AV182" i="2"/>
  <c r="AU182" i="2"/>
  <c r="AT182" i="2"/>
  <c r="AS182" i="2"/>
  <c r="AJ182" i="2"/>
  <c r="AI182" i="2"/>
  <c r="AG182" i="2"/>
  <c r="AF182" i="2"/>
  <c r="AE182" i="2"/>
  <c r="AD182" i="2"/>
  <c r="AB182" i="2"/>
  <c r="V182" i="2"/>
  <c r="U182" i="2"/>
  <c r="T182" i="2"/>
  <c r="R182" i="2"/>
  <c r="P182" i="2"/>
  <c r="I182" i="2"/>
  <c r="H182" i="2"/>
  <c r="AV181" i="2"/>
  <c r="AU181" i="2"/>
  <c r="AR181" i="2"/>
  <c r="AP181" i="2"/>
  <c r="AN181" i="2"/>
  <c r="AM181" i="2"/>
  <c r="AL181" i="2"/>
  <c r="AI181" i="2"/>
  <c r="AG181" i="2"/>
  <c r="AF181" i="2"/>
  <c r="AE181" i="2"/>
  <c r="AD181" i="2"/>
  <c r="AB181" i="2"/>
  <c r="AA181" i="2"/>
  <c r="Z181" i="2"/>
  <c r="Y181" i="2"/>
  <c r="X181" i="2"/>
  <c r="T181" i="2"/>
  <c r="R181" i="2"/>
  <c r="O181" i="2"/>
  <c r="N181" i="2"/>
  <c r="M181" i="2"/>
  <c r="L181" i="2"/>
  <c r="K181" i="2"/>
  <c r="H181" i="2"/>
  <c r="AR179" i="2"/>
  <c r="AE179" i="2"/>
  <c r="AD179" i="2"/>
  <c r="T179" i="2"/>
  <c r="R179" i="2"/>
  <c r="Q179" i="2"/>
  <c r="P179" i="2"/>
  <c r="M179" i="2"/>
  <c r="AX179" i="2"/>
  <c r="AX178" i="2"/>
  <c r="AV178" i="2"/>
  <c r="AT178" i="2"/>
  <c r="AS178" i="2"/>
  <c r="AR178" i="2"/>
  <c r="AQ178" i="2"/>
  <c r="AP178" i="2"/>
  <c r="AO178" i="2"/>
  <c r="AN178" i="2"/>
  <c r="AM178" i="2"/>
  <c r="AL178" i="2"/>
  <c r="AK178" i="2"/>
  <c r="AJ178" i="2"/>
  <c r="AG178" i="2"/>
  <c r="AF178" i="2"/>
  <c r="AE178" i="2"/>
  <c r="AD178" i="2"/>
  <c r="AB178" i="2"/>
  <c r="Z178" i="2"/>
  <c r="X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V178" i="2"/>
  <c r="AX177" i="2"/>
  <c r="AV177" i="2"/>
  <c r="AU177" i="2"/>
  <c r="AT177" i="2"/>
  <c r="AM177" i="2"/>
  <c r="AK177" i="2"/>
  <c r="AJ177" i="2"/>
  <c r="AI177" i="2"/>
  <c r="AF177" i="2"/>
  <c r="W177" i="2"/>
  <c r="V177" i="2"/>
  <c r="U177" i="2"/>
  <c r="T177" i="2"/>
  <c r="S177" i="2"/>
  <c r="L177" i="2"/>
  <c r="J177" i="2"/>
  <c r="I177" i="2"/>
  <c r="H177" i="2"/>
  <c r="AG177" i="2"/>
  <c r="AX176" i="2"/>
  <c r="AW176" i="2"/>
  <c r="AV176" i="2"/>
  <c r="AU176" i="2"/>
  <c r="AT176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D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AE176" i="2"/>
  <c r="AX175" i="2"/>
  <c r="AW175" i="2"/>
  <c r="AV175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F175" i="2"/>
  <c r="AD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H175" i="2"/>
  <c r="AG175" i="2"/>
  <c r="AX174" i="2"/>
  <c r="AW174" i="2"/>
  <c r="AV174" i="2"/>
  <c r="AU174" i="2"/>
  <c r="AS174" i="2"/>
  <c r="AR174" i="2"/>
  <c r="AQ174" i="2"/>
  <c r="AP174" i="2"/>
  <c r="AO174" i="2"/>
  <c r="AN174" i="2"/>
  <c r="AM174" i="2"/>
  <c r="AL174" i="2"/>
  <c r="AK174" i="2"/>
  <c r="AH174" i="2"/>
  <c r="AF174" i="2"/>
  <c r="AD174" i="2"/>
  <c r="AB174" i="2"/>
  <c r="AA174" i="2"/>
  <c r="Z174" i="2"/>
  <c r="Y174" i="2"/>
  <c r="X174" i="2"/>
  <c r="W174" i="2"/>
  <c r="V174" i="2"/>
  <c r="U174" i="2"/>
  <c r="T174" i="2"/>
  <c r="R174" i="2"/>
  <c r="Q174" i="2"/>
  <c r="P174" i="2"/>
  <c r="O174" i="2"/>
  <c r="N174" i="2"/>
  <c r="M174" i="2"/>
  <c r="L174" i="2"/>
  <c r="J174" i="2"/>
  <c r="H174" i="2"/>
  <c r="AV173" i="2"/>
  <c r="Y173" i="2"/>
  <c r="W173" i="2"/>
  <c r="T173" i="2"/>
  <c r="AW173" i="2"/>
  <c r="AW172" i="2"/>
  <c r="AU172" i="2"/>
  <c r="AT172" i="2"/>
  <c r="AS172" i="2"/>
  <c r="AR172" i="2"/>
  <c r="AQ172" i="2"/>
  <c r="AP172" i="2"/>
  <c r="AH172" i="2"/>
  <c r="AG172" i="2"/>
  <c r="AF172" i="2"/>
  <c r="AE172" i="2"/>
  <c r="AD172" i="2"/>
  <c r="W172" i="2"/>
  <c r="U172" i="2"/>
  <c r="T172" i="2"/>
  <c r="S172" i="2"/>
  <c r="R172" i="2"/>
  <c r="Q172" i="2"/>
  <c r="H172" i="2"/>
  <c r="AX171" i="2"/>
  <c r="AW171" i="2"/>
  <c r="AV171" i="2"/>
  <c r="AU171" i="2"/>
  <c r="AT171" i="2"/>
  <c r="AS171" i="2"/>
  <c r="AR171" i="2"/>
  <c r="AQ171" i="2"/>
  <c r="AP171" i="2"/>
  <c r="AN171" i="2"/>
  <c r="AL171" i="2"/>
  <c r="AI171" i="2"/>
  <c r="AH171" i="2"/>
  <c r="AF171" i="2"/>
  <c r="AE171" i="2"/>
  <c r="AD171" i="2"/>
  <c r="AB171" i="2"/>
  <c r="Z171" i="2"/>
  <c r="Y171" i="2"/>
  <c r="X171" i="2"/>
  <c r="W171" i="2"/>
  <c r="V171" i="2"/>
  <c r="U171" i="2"/>
  <c r="T171" i="2"/>
  <c r="S171" i="2"/>
  <c r="R171" i="2"/>
  <c r="P171" i="2"/>
  <c r="N171" i="2"/>
  <c r="M171" i="2"/>
  <c r="L171" i="2"/>
  <c r="I171" i="2"/>
  <c r="H171" i="2"/>
  <c r="AA171" i="2"/>
  <c r="AT170" i="2"/>
  <c r="AS170" i="2"/>
  <c r="AP170" i="2"/>
  <c r="AN170" i="2"/>
  <c r="AM170" i="2"/>
  <c r="AL170" i="2"/>
  <c r="AK170" i="2"/>
  <c r="AJ170" i="2"/>
  <c r="AD170" i="2"/>
  <c r="AB170" i="2"/>
  <c r="AA170" i="2"/>
  <c r="Z170" i="2"/>
  <c r="T170" i="2"/>
  <c r="R170" i="2"/>
  <c r="O170" i="2"/>
  <c r="N170" i="2"/>
  <c r="M170" i="2"/>
  <c r="L170" i="2"/>
  <c r="K170" i="2"/>
  <c r="J170" i="2"/>
  <c r="AF170" i="2"/>
  <c r="AX169" i="2"/>
  <c r="AW169" i="2"/>
  <c r="AV169" i="2"/>
  <c r="AU169" i="2"/>
  <c r="AT169" i="2"/>
  <c r="AR169" i="2"/>
  <c r="AP169" i="2"/>
  <c r="AO169" i="2"/>
  <c r="AN169" i="2"/>
  <c r="AM169" i="2"/>
  <c r="AL169" i="2"/>
  <c r="AK169" i="2"/>
  <c r="AJ169" i="2"/>
  <c r="AI169" i="2"/>
  <c r="AH169" i="2"/>
  <c r="AF169" i="2"/>
  <c r="AE169" i="2"/>
  <c r="AD169" i="2"/>
  <c r="AB169" i="2"/>
  <c r="AA169" i="2"/>
  <c r="Z169" i="2"/>
  <c r="Y169" i="2"/>
  <c r="X169" i="2"/>
  <c r="W169" i="2"/>
  <c r="V169" i="2"/>
  <c r="T169" i="2"/>
  <c r="R169" i="2"/>
  <c r="Q169" i="2"/>
  <c r="P169" i="2"/>
  <c r="O169" i="2"/>
  <c r="N169" i="2"/>
  <c r="M169" i="2"/>
  <c r="L169" i="2"/>
  <c r="K169" i="2"/>
  <c r="J169" i="2"/>
  <c r="I169" i="2"/>
  <c r="H169" i="2"/>
  <c r="AW168" i="2"/>
  <c r="AV168" i="2"/>
  <c r="AM168" i="2"/>
  <c r="AK168" i="2"/>
  <c r="Z168" i="2"/>
  <c r="Y168" i="2"/>
  <c r="X168" i="2"/>
  <c r="V168" i="2"/>
  <c r="T168" i="2"/>
  <c r="N168" i="2"/>
  <c r="M168" i="2"/>
  <c r="K168" i="2"/>
  <c r="J168" i="2"/>
  <c r="H168" i="2"/>
  <c r="AX168" i="2"/>
  <c r="AV167" i="2"/>
  <c r="AT167" i="2"/>
  <c r="AR167" i="2"/>
  <c r="AL167" i="2"/>
  <c r="AE167" i="2"/>
  <c r="AD167" i="2"/>
  <c r="V167" i="2"/>
  <c r="U167" i="2"/>
  <c r="T167" i="2"/>
  <c r="S167" i="2"/>
  <c r="R167" i="2"/>
  <c r="L167" i="2"/>
  <c r="K167" i="2"/>
  <c r="H167" i="2"/>
  <c r="AX167" i="2"/>
  <c r="AT166" i="2"/>
  <c r="AR166" i="2"/>
  <c r="AQ166" i="2"/>
  <c r="AE166" i="2"/>
  <c r="AD166" i="2"/>
  <c r="AB166" i="2"/>
  <c r="T166" i="2"/>
  <c r="S166" i="2"/>
  <c r="R166" i="2"/>
  <c r="Q166" i="2"/>
  <c r="P166" i="2"/>
  <c r="I166" i="2"/>
  <c r="AS166" i="2"/>
  <c r="AR165" i="2"/>
  <c r="AQ165" i="2"/>
  <c r="AE165" i="2"/>
  <c r="AD165" i="2"/>
  <c r="AB165" i="2"/>
  <c r="Z165" i="2"/>
  <c r="Y165" i="2"/>
  <c r="X165" i="2"/>
  <c r="R165" i="2"/>
  <c r="Q165" i="2"/>
  <c r="P165" i="2"/>
  <c r="N165" i="2"/>
  <c r="H165" i="2"/>
  <c r="AX165" i="2"/>
  <c r="AX164" i="2"/>
  <c r="AW164" i="2"/>
  <c r="AV164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D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AE164" i="2"/>
  <c r="AX163" i="2"/>
  <c r="AW163" i="2"/>
  <c r="AV163" i="2"/>
  <c r="AU163" i="2"/>
  <c r="AT163" i="2"/>
  <c r="AS163" i="2"/>
  <c r="AR163" i="2"/>
  <c r="AQ163" i="2"/>
  <c r="AP163" i="2"/>
  <c r="AO163" i="2"/>
  <c r="AN163" i="2"/>
  <c r="AM163" i="2"/>
  <c r="AL163" i="2"/>
  <c r="AK163" i="2"/>
  <c r="AJ163" i="2"/>
  <c r="AI163" i="2"/>
  <c r="AH163" i="2"/>
  <c r="AF163" i="2"/>
  <c r="AD163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H163" i="2"/>
  <c r="AG163" i="2"/>
  <c r="AX162" i="2"/>
  <c r="AW162" i="2"/>
  <c r="AV162" i="2"/>
  <c r="AU162" i="2"/>
  <c r="AT162" i="2"/>
  <c r="AR162" i="2"/>
  <c r="AQ162" i="2"/>
  <c r="AP162" i="2"/>
  <c r="AO162" i="2"/>
  <c r="AN162" i="2"/>
  <c r="AM162" i="2"/>
  <c r="AL162" i="2"/>
  <c r="AK162" i="2"/>
  <c r="AJ162" i="2"/>
  <c r="AF162" i="2"/>
  <c r="AE162" i="2"/>
  <c r="AD162" i="2"/>
  <c r="AB162" i="2"/>
  <c r="AA162" i="2"/>
  <c r="Z162" i="2"/>
  <c r="Y162" i="2"/>
  <c r="X162" i="2"/>
  <c r="W162" i="2"/>
  <c r="V162" i="2"/>
  <c r="U162" i="2"/>
  <c r="T162" i="2"/>
  <c r="R162" i="2"/>
  <c r="Q162" i="2"/>
  <c r="P162" i="2"/>
  <c r="O162" i="2"/>
  <c r="N162" i="2"/>
  <c r="M162" i="2"/>
  <c r="L162" i="2"/>
  <c r="J162" i="2"/>
  <c r="H162" i="2"/>
  <c r="AX161" i="2"/>
  <c r="AW161" i="2"/>
  <c r="AT161" i="2"/>
  <c r="AH161" i="2"/>
  <c r="AG161" i="2"/>
  <c r="Y161" i="2"/>
  <c r="S161" i="2"/>
  <c r="R161" i="2"/>
  <c r="O161" i="2"/>
  <c r="J161" i="2"/>
  <c r="I161" i="2"/>
  <c r="H161" i="2"/>
  <c r="AU161" i="2"/>
  <c r="AX160" i="2"/>
  <c r="AR160" i="2"/>
  <c r="AQ160" i="2"/>
  <c r="AL160" i="2"/>
  <c r="AH160" i="2"/>
  <c r="W160" i="2"/>
  <c r="V160" i="2"/>
  <c r="U160" i="2"/>
  <c r="T160" i="2"/>
  <c r="S160" i="2"/>
  <c r="R160" i="2"/>
  <c r="Q160" i="2"/>
  <c r="P160" i="2"/>
  <c r="K160" i="2"/>
  <c r="AU160" i="2"/>
  <c r="AX159" i="2"/>
  <c r="AW159" i="2"/>
  <c r="AV159" i="2"/>
  <c r="AU159" i="2"/>
  <c r="AT159" i="2"/>
  <c r="AS159" i="2"/>
  <c r="AR159" i="2"/>
  <c r="AQ159" i="2"/>
  <c r="AP159" i="2"/>
  <c r="AN159" i="2"/>
  <c r="AL159" i="2"/>
  <c r="AI159" i="2"/>
  <c r="AH159" i="2"/>
  <c r="AF159" i="2"/>
  <c r="AE159" i="2"/>
  <c r="AD159" i="2"/>
  <c r="AB159" i="2"/>
  <c r="Y159" i="2"/>
  <c r="X159" i="2"/>
  <c r="W159" i="2"/>
  <c r="V159" i="2"/>
  <c r="U159" i="2"/>
  <c r="T159" i="2"/>
  <c r="S159" i="2"/>
  <c r="R159" i="2"/>
  <c r="P159" i="2"/>
  <c r="N159" i="2"/>
  <c r="M159" i="2"/>
  <c r="L159" i="2"/>
  <c r="I159" i="2"/>
  <c r="H159" i="2"/>
  <c r="AA159" i="2"/>
  <c r="Z158" i="2"/>
  <c r="M158" i="2"/>
  <c r="L158" i="2"/>
  <c r="AX157" i="2"/>
  <c r="AW157" i="2"/>
  <c r="AV157" i="2"/>
  <c r="AU157" i="2"/>
  <c r="AT157" i="2"/>
  <c r="AR157" i="2"/>
  <c r="AP157" i="2"/>
  <c r="AO157" i="2"/>
  <c r="AN157" i="2"/>
  <c r="AM157" i="2"/>
  <c r="AL157" i="2"/>
  <c r="AK157" i="2"/>
  <c r="AJ157" i="2"/>
  <c r="AI157" i="2"/>
  <c r="AH157" i="2"/>
  <c r="AF157" i="2"/>
  <c r="AE157" i="2"/>
  <c r="AD157" i="2"/>
  <c r="AB157" i="2"/>
  <c r="AA157" i="2"/>
  <c r="Z157" i="2"/>
  <c r="Y157" i="2"/>
  <c r="X157" i="2"/>
  <c r="W157" i="2"/>
  <c r="V157" i="2"/>
  <c r="T157" i="2"/>
  <c r="R157" i="2"/>
  <c r="Q157" i="2"/>
  <c r="P157" i="2"/>
  <c r="O157" i="2"/>
  <c r="N157" i="2"/>
  <c r="M157" i="2"/>
  <c r="L157" i="2"/>
  <c r="K157" i="2"/>
  <c r="J157" i="2"/>
  <c r="I157" i="2"/>
  <c r="H157" i="2"/>
  <c r="AX156" i="2"/>
  <c r="AW156" i="2"/>
  <c r="AV156" i="2"/>
  <c r="AQ156" i="2"/>
  <c r="AO156" i="2"/>
  <c r="AN156" i="2"/>
  <c r="AK156" i="2"/>
  <c r="AJ156" i="2"/>
  <c r="AH156" i="2"/>
  <c r="AG156" i="2"/>
  <c r="X156" i="2"/>
  <c r="V156" i="2"/>
  <c r="T156" i="2"/>
  <c r="Q156" i="2"/>
  <c r="P156" i="2"/>
  <c r="O156" i="2"/>
  <c r="N156" i="2"/>
  <c r="M156" i="2"/>
  <c r="L156" i="2"/>
  <c r="J156" i="2"/>
  <c r="I156" i="2"/>
  <c r="AI156" i="2"/>
  <c r="AM155" i="2"/>
  <c r="AL155" i="2"/>
  <c r="AK155" i="2"/>
  <c r="AI155" i="2"/>
  <c r="AH155" i="2"/>
  <c r="T155" i="2"/>
  <c r="S155" i="2"/>
  <c r="N155" i="2"/>
  <c r="H155" i="2"/>
  <c r="AX154" i="2"/>
  <c r="AV154" i="2"/>
  <c r="AT154" i="2"/>
  <c r="AS154" i="2"/>
  <c r="AQ154" i="2"/>
  <c r="AP154" i="2"/>
  <c r="AK154" i="2"/>
  <c r="AJ154" i="2"/>
  <c r="AI154" i="2"/>
  <c r="AH154" i="2"/>
  <c r="AG154" i="2"/>
  <c r="W154" i="2"/>
  <c r="V154" i="2"/>
  <c r="T154" i="2"/>
  <c r="S154" i="2"/>
  <c r="R154" i="2"/>
  <c r="Q154" i="2"/>
  <c r="P154" i="2"/>
  <c r="M154" i="2"/>
  <c r="L154" i="2"/>
  <c r="J154" i="2"/>
  <c r="I154" i="2"/>
  <c r="AX153" i="2"/>
  <c r="AO153" i="2"/>
  <c r="AN153" i="2"/>
  <c r="AK153" i="2"/>
  <c r="AI153" i="2"/>
  <c r="AH153" i="2"/>
  <c r="AX152" i="2"/>
  <c r="AW152" i="2"/>
  <c r="AV152" i="2"/>
  <c r="AU152" i="2"/>
  <c r="AT152" i="2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D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AE152" i="2"/>
  <c r="AX151" i="2"/>
  <c r="AW151" i="2"/>
  <c r="AV151" i="2"/>
  <c r="AU151" i="2"/>
  <c r="AT151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F151" i="2"/>
  <c r="AD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H151" i="2"/>
  <c r="AG151" i="2"/>
  <c r="AX150" i="2"/>
  <c r="AW150" i="2"/>
  <c r="AV150" i="2"/>
  <c r="AU150" i="2"/>
  <c r="AT150" i="2"/>
  <c r="AK150" i="2"/>
  <c r="AJ150" i="2"/>
  <c r="AE150" i="2"/>
  <c r="AD150" i="2"/>
  <c r="X150" i="2"/>
  <c r="W150" i="2"/>
  <c r="V150" i="2"/>
  <c r="U150" i="2"/>
  <c r="R150" i="2"/>
  <c r="Q150" i="2"/>
  <c r="O150" i="2"/>
  <c r="N150" i="2"/>
  <c r="M150" i="2"/>
  <c r="AM150" i="2"/>
  <c r="AN149" i="2"/>
  <c r="AM149" i="2"/>
  <c r="AL149" i="2"/>
  <c r="AJ149" i="2"/>
  <c r="Y149" i="2"/>
  <c r="AT148" i="2"/>
  <c r="AS148" i="2"/>
  <c r="AH148" i="2"/>
  <c r="S148" i="2"/>
  <c r="AP148" i="2"/>
  <c r="AR147" i="2"/>
  <c r="AQ147" i="2"/>
  <c r="AN147" i="2"/>
  <c r="AG147" i="2"/>
  <c r="AF147" i="2"/>
  <c r="AE147" i="2"/>
  <c r="AD147" i="2"/>
  <c r="AB147" i="2"/>
  <c r="R147" i="2"/>
  <c r="Q147" i="2"/>
  <c r="M147" i="2"/>
  <c r="AX146" i="2"/>
  <c r="AW146" i="2"/>
  <c r="AV146" i="2"/>
  <c r="AT146" i="2"/>
  <c r="AS146" i="2"/>
  <c r="AR146" i="2"/>
  <c r="AQ146" i="2"/>
  <c r="AP146" i="2"/>
  <c r="AN146" i="2"/>
  <c r="AM146" i="2"/>
  <c r="AL146" i="2"/>
  <c r="AK146" i="2"/>
  <c r="AJ146" i="2"/>
  <c r="AE146" i="2"/>
  <c r="AD146" i="2"/>
  <c r="AB146" i="2"/>
  <c r="Z146" i="2"/>
  <c r="Y146" i="2"/>
  <c r="X146" i="2"/>
  <c r="W146" i="2"/>
  <c r="V146" i="2"/>
  <c r="T146" i="2"/>
  <c r="S146" i="2"/>
  <c r="R146" i="2"/>
  <c r="P146" i="2"/>
  <c r="O146" i="2"/>
  <c r="N146" i="2"/>
  <c r="M146" i="2"/>
  <c r="L146" i="2"/>
  <c r="K146" i="2"/>
  <c r="J146" i="2"/>
  <c r="H146" i="2"/>
  <c r="AF146" i="2"/>
  <c r="AX145" i="2"/>
  <c r="AW145" i="2"/>
  <c r="AV145" i="2"/>
  <c r="AU145" i="2"/>
  <c r="AT145" i="2"/>
  <c r="AS145" i="2"/>
  <c r="AR145" i="2"/>
  <c r="AP145" i="2"/>
  <c r="AO145" i="2"/>
  <c r="AN145" i="2"/>
  <c r="AM145" i="2"/>
  <c r="AL145" i="2"/>
  <c r="AK145" i="2"/>
  <c r="AJ145" i="2"/>
  <c r="AI145" i="2"/>
  <c r="AH145" i="2"/>
  <c r="AF145" i="2"/>
  <c r="AE145" i="2"/>
  <c r="AB145" i="2"/>
  <c r="AA145" i="2"/>
  <c r="Z145" i="2"/>
  <c r="Y145" i="2"/>
  <c r="X145" i="2"/>
  <c r="W145" i="2"/>
  <c r="V145" i="2"/>
  <c r="U145" i="2"/>
  <c r="T145" i="2"/>
  <c r="R145" i="2"/>
  <c r="Q145" i="2"/>
  <c r="P145" i="2"/>
  <c r="O145" i="2"/>
  <c r="N145" i="2"/>
  <c r="M145" i="2"/>
  <c r="L145" i="2"/>
  <c r="K145" i="2"/>
  <c r="J145" i="2"/>
  <c r="I145" i="2"/>
  <c r="H145" i="2"/>
  <c r="AD145" i="2"/>
  <c r="AX144" i="2"/>
  <c r="AW144" i="2"/>
  <c r="AV144" i="2"/>
  <c r="AU144" i="2"/>
  <c r="AT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D144" i="2"/>
  <c r="AB144" i="2"/>
  <c r="AA144" i="2"/>
  <c r="Z144" i="2"/>
  <c r="Y144" i="2"/>
  <c r="X144" i="2"/>
  <c r="W144" i="2"/>
  <c r="V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AE144" i="2"/>
  <c r="AX143" i="2"/>
  <c r="AW143" i="2"/>
  <c r="AV143" i="2"/>
  <c r="AT143" i="2"/>
  <c r="AS143" i="2"/>
  <c r="AR143" i="2"/>
  <c r="AQ143" i="2"/>
  <c r="AP143" i="2"/>
  <c r="AN143" i="2"/>
  <c r="AM143" i="2"/>
  <c r="AJ143" i="2"/>
  <c r="AI143" i="2"/>
  <c r="AF143" i="2"/>
  <c r="AE143" i="2"/>
  <c r="Y143" i="2"/>
  <c r="X143" i="2"/>
  <c r="V143" i="2"/>
  <c r="U143" i="2"/>
  <c r="T143" i="2"/>
  <c r="S143" i="2"/>
  <c r="R143" i="2"/>
  <c r="Q143" i="2"/>
  <c r="P143" i="2"/>
  <c r="N143" i="2"/>
  <c r="M143" i="2"/>
  <c r="J143" i="2"/>
  <c r="H143" i="2"/>
  <c r="AV142" i="2"/>
  <c r="AU142" i="2"/>
  <c r="AT142" i="2"/>
  <c r="AS142" i="2"/>
  <c r="AR142" i="2"/>
  <c r="AQ142" i="2"/>
  <c r="AN142" i="2"/>
  <c r="AH142" i="2"/>
  <c r="AG142" i="2"/>
  <c r="AD142" i="2"/>
  <c r="X142" i="2"/>
  <c r="W142" i="2"/>
  <c r="V142" i="2"/>
  <c r="U142" i="2"/>
  <c r="T142" i="2"/>
  <c r="S142" i="2"/>
  <c r="P142" i="2"/>
  <c r="J142" i="2"/>
  <c r="I142" i="2"/>
  <c r="AW142" i="2"/>
  <c r="AX141" i="2"/>
  <c r="AW141" i="2"/>
  <c r="AV141" i="2"/>
  <c r="AU141" i="2"/>
  <c r="AT141" i="2"/>
  <c r="AS141" i="2"/>
  <c r="AR141" i="2"/>
  <c r="AQ141" i="2"/>
  <c r="AP141" i="2"/>
  <c r="AN141" i="2"/>
  <c r="AM141" i="2"/>
  <c r="AL141" i="2"/>
  <c r="AK141" i="2"/>
  <c r="AJ141" i="2"/>
  <c r="AI141" i="2"/>
  <c r="AH141" i="2"/>
  <c r="AG141" i="2"/>
  <c r="AF141" i="2"/>
  <c r="Z141" i="2"/>
  <c r="Y141" i="2"/>
  <c r="X141" i="2"/>
  <c r="W141" i="2"/>
  <c r="V141" i="2"/>
  <c r="U141" i="2"/>
  <c r="T141" i="2"/>
  <c r="S141" i="2"/>
  <c r="R141" i="2"/>
  <c r="P141" i="2"/>
  <c r="O141" i="2"/>
  <c r="N141" i="2"/>
  <c r="M141" i="2"/>
  <c r="L141" i="2"/>
  <c r="K141" i="2"/>
  <c r="J141" i="2"/>
  <c r="I141" i="2"/>
  <c r="H141" i="2"/>
  <c r="AE141" i="2"/>
  <c r="AX140" i="2"/>
  <c r="AW140" i="2"/>
  <c r="AV140" i="2"/>
  <c r="AU140" i="2"/>
  <c r="AT140" i="2"/>
  <c r="AS140" i="2"/>
  <c r="AR140" i="2"/>
  <c r="AP140" i="2"/>
  <c r="AO140" i="2"/>
  <c r="AN140" i="2"/>
  <c r="AM140" i="2"/>
  <c r="AL140" i="2"/>
  <c r="AK140" i="2"/>
  <c r="AJ140" i="2"/>
  <c r="AI140" i="2"/>
  <c r="AH140" i="2"/>
  <c r="AG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AF140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G139" i="2"/>
  <c r="AF139" i="2"/>
  <c r="AD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I139" i="2"/>
  <c r="H139" i="2"/>
  <c r="AH139" i="2"/>
  <c r="AP138" i="2"/>
  <c r="AB138" i="2"/>
  <c r="AA138" i="2"/>
  <c r="Q138" i="2"/>
  <c r="N138" i="2"/>
  <c r="AR137" i="2"/>
  <c r="AQ137" i="2"/>
  <c r="AN137" i="2"/>
  <c r="AH137" i="2"/>
  <c r="AG137" i="2"/>
  <c r="AE137" i="2"/>
  <c r="J137" i="2"/>
  <c r="I137" i="2"/>
  <c r="H137" i="2"/>
  <c r="AF137" i="2"/>
  <c r="AT136" i="2"/>
  <c r="AS136" i="2"/>
  <c r="AP136" i="2"/>
  <c r="AJ136" i="2"/>
  <c r="AH136" i="2"/>
  <c r="AG136" i="2"/>
  <c r="AF136" i="2"/>
  <c r="AE136" i="2"/>
  <c r="V136" i="2"/>
  <c r="U136" i="2"/>
  <c r="R136" i="2"/>
  <c r="L136" i="2"/>
  <c r="AI136" i="2"/>
  <c r="AV135" i="2"/>
  <c r="AU135" i="2"/>
  <c r="AS135" i="2"/>
  <c r="AR135" i="2"/>
  <c r="AL135" i="2"/>
  <c r="AK135" i="2"/>
  <c r="AJ135" i="2"/>
  <c r="AI135" i="2"/>
  <c r="AH135" i="2"/>
  <c r="AG135" i="2"/>
  <c r="AF135" i="2"/>
  <c r="AD135" i="2"/>
  <c r="X135" i="2"/>
  <c r="W135" i="2"/>
  <c r="U135" i="2"/>
  <c r="T135" i="2"/>
  <c r="N135" i="2"/>
  <c r="M135" i="2"/>
  <c r="L135" i="2"/>
  <c r="K135" i="2"/>
  <c r="J135" i="2"/>
  <c r="I135" i="2"/>
  <c r="H135" i="2"/>
  <c r="AQ135" i="2"/>
  <c r="AX134" i="2"/>
  <c r="AW134" i="2"/>
  <c r="AV134" i="2"/>
  <c r="AU134" i="2"/>
  <c r="AT134" i="2"/>
  <c r="AS134" i="2"/>
  <c r="AN134" i="2"/>
  <c r="AM134" i="2"/>
  <c r="AL134" i="2"/>
  <c r="AK134" i="2"/>
  <c r="AJ134" i="2"/>
  <c r="AI134" i="2"/>
  <c r="AH134" i="2"/>
  <c r="AG134" i="2"/>
  <c r="AF134" i="2"/>
  <c r="AD134" i="2"/>
  <c r="AB134" i="2"/>
  <c r="AA134" i="2"/>
  <c r="Z134" i="2"/>
  <c r="Y134" i="2"/>
  <c r="X134" i="2"/>
  <c r="W134" i="2"/>
  <c r="V134" i="2"/>
  <c r="U134" i="2"/>
  <c r="P134" i="2"/>
  <c r="O134" i="2"/>
  <c r="N134" i="2"/>
  <c r="M134" i="2"/>
  <c r="L134" i="2"/>
  <c r="K134" i="2"/>
  <c r="J134" i="2"/>
  <c r="I134" i="2"/>
  <c r="H134" i="2"/>
  <c r="AR134" i="2"/>
  <c r="AW133" i="2"/>
  <c r="AV133" i="2"/>
  <c r="AP133" i="2"/>
  <c r="AO133" i="2"/>
  <c r="AN133" i="2"/>
  <c r="AM133" i="2"/>
  <c r="AL133" i="2"/>
  <c r="AK133" i="2"/>
  <c r="AJ133" i="2"/>
  <c r="AI133" i="2"/>
  <c r="AH133" i="2"/>
  <c r="AB133" i="2"/>
  <c r="AA133" i="2"/>
  <c r="Y133" i="2"/>
  <c r="X133" i="2"/>
  <c r="R133" i="2"/>
  <c r="Q133" i="2"/>
  <c r="P133" i="2"/>
  <c r="O133" i="2"/>
  <c r="N133" i="2"/>
  <c r="M133" i="2"/>
  <c r="L133" i="2"/>
  <c r="K133" i="2"/>
  <c r="J133" i="2"/>
  <c r="AU133" i="2"/>
  <c r="AX132" i="2"/>
  <c r="AR132" i="2"/>
  <c r="AQ132" i="2"/>
  <c r="AP132" i="2"/>
  <c r="AO132" i="2"/>
  <c r="AN132" i="2"/>
  <c r="AM132" i="2"/>
  <c r="AL132" i="2"/>
  <c r="AK132" i="2"/>
  <c r="AJ132" i="2"/>
  <c r="AH132" i="2"/>
  <c r="AG132" i="2"/>
  <c r="AF132" i="2"/>
  <c r="AD132" i="2"/>
  <c r="AB132" i="2"/>
  <c r="AA132" i="2"/>
  <c r="Z132" i="2"/>
  <c r="T132" i="2"/>
  <c r="S132" i="2"/>
  <c r="R132" i="2"/>
  <c r="Q132" i="2"/>
  <c r="P132" i="2"/>
  <c r="O132" i="2"/>
  <c r="N132" i="2"/>
  <c r="M132" i="2"/>
  <c r="L132" i="2"/>
  <c r="J132" i="2"/>
  <c r="I132" i="2"/>
  <c r="H132" i="2"/>
  <c r="AW132" i="2"/>
  <c r="AT131" i="2"/>
  <c r="AS131" i="2"/>
  <c r="AR131" i="2"/>
  <c r="AQ131" i="2"/>
  <c r="AP131" i="2"/>
  <c r="AO131" i="2"/>
  <c r="AF131" i="2"/>
  <c r="AE131" i="2"/>
  <c r="AB131" i="2"/>
  <c r="V131" i="2"/>
  <c r="U131" i="2"/>
  <c r="T131" i="2"/>
  <c r="S131" i="2"/>
  <c r="R131" i="2"/>
  <c r="Q131" i="2"/>
  <c r="H131" i="2"/>
  <c r="AV130" i="2"/>
  <c r="AU130" i="2"/>
  <c r="AT130" i="2"/>
  <c r="AS130" i="2"/>
  <c r="AR130" i="2"/>
  <c r="AQ130" i="2"/>
  <c r="AH130" i="2"/>
  <c r="AG130" i="2"/>
  <c r="AD130" i="2"/>
  <c r="X130" i="2"/>
  <c r="W130" i="2"/>
  <c r="V130" i="2"/>
  <c r="U130" i="2"/>
  <c r="T130" i="2"/>
  <c r="S130" i="2"/>
  <c r="P130" i="2"/>
  <c r="J130" i="2"/>
  <c r="I130" i="2"/>
  <c r="AB130" i="2"/>
  <c r="AX129" i="2"/>
  <c r="AW129" i="2"/>
  <c r="AV129" i="2"/>
  <c r="AU129" i="2"/>
  <c r="AT129" i="2"/>
  <c r="AS129" i="2"/>
  <c r="AR129" i="2"/>
  <c r="AQ129" i="2"/>
  <c r="AP129" i="2"/>
  <c r="AN129" i="2"/>
  <c r="AM129" i="2"/>
  <c r="AL129" i="2"/>
  <c r="AK129" i="2"/>
  <c r="AJ129" i="2"/>
  <c r="AI129" i="2"/>
  <c r="AH129" i="2"/>
  <c r="AG129" i="2"/>
  <c r="AF129" i="2"/>
  <c r="Z129" i="2"/>
  <c r="Y129" i="2"/>
  <c r="X129" i="2"/>
  <c r="W129" i="2"/>
  <c r="V129" i="2"/>
  <c r="U129" i="2"/>
  <c r="T129" i="2"/>
  <c r="S129" i="2"/>
  <c r="R129" i="2"/>
  <c r="P129" i="2"/>
  <c r="O129" i="2"/>
  <c r="N129" i="2"/>
  <c r="M129" i="2"/>
  <c r="L129" i="2"/>
  <c r="K129" i="2"/>
  <c r="J129" i="2"/>
  <c r="I129" i="2"/>
  <c r="H129" i="2"/>
  <c r="AE129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AF128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D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I127" i="2"/>
  <c r="AH127" i="2"/>
  <c r="AX126" i="2"/>
  <c r="AV126" i="2"/>
  <c r="AP126" i="2"/>
  <c r="AO126" i="2"/>
  <c r="AM126" i="2"/>
  <c r="AL126" i="2"/>
  <c r="AF126" i="2"/>
  <c r="AE126" i="2"/>
  <c r="AD126" i="2"/>
  <c r="AB126" i="2"/>
  <c r="AA126" i="2"/>
  <c r="Z126" i="2"/>
  <c r="X126" i="2"/>
  <c r="R126" i="2"/>
  <c r="AD125" i="2"/>
  <c r="T125" i="2"/>
  <c r="H125" i="2"/>
  <c r="AX125" i="2"/>
  <c r="AG124" i="2"/>
  <c r="AF124" i="2"/>
  <c r="L124" i="2"/>
  <c r="K124" i="2"/>
  <c r="H124" i="2"/>
  <c r="AT124" i="2"/>
  <c r="AS123" i="2"/>
  <c r="AR123" i="2"/>
  <c r="AL123" i="2"/>
  <c r="AK123" i="2"/>
  <c r="AJ123" i="2"/>
  <c r="AI123" i="2"/>
  <c r="AG123" i="2"/>
  <c r="U123" i="2"/>
  <c r="T123" i="2"/>
  <c r="N123" i="2"/>
  <c r="M123" i="2"/>
  <c r="L123" i="2"/>
  <c r="K123" i="2"/>
  <c r="J123" i="2"/>
  <c r="I123" i="2"/>
  <c r="H123" i="2"/>
  <c r="AU123" i="2"/>
  <c r="AX122" i="2"/>
  <c r="AW122" i="2"/>
  <c r="AV122" i="2"/>
  <c r="AU122" i="2"/>
  <c r="AT122" i="2"/>
  <c r="AS122" i="2"/>
  <c r="AN122" i="2"/>
  <c r="AM122" i="2"/>
  <c r="AL122" i="2"/>
  <c r="AK122" i="2"/>
  <c r="AJ122" i="2"/>
  <c r="AI122" i="2"/>
  <c r="AH122" i="2"/>
  <c r="AG122" i="2"/>
  <c r="AF122" i="2"/>
  <c r="AD122" i="2"/>
  <c r="AB122" i="2"/>
  <c r="AA122" i="2"/>
  <c r="Z122" i="2"/>
  <c r="Y122" i="2"/>
  <c r="X122" i="2"/>
  <c r="W122" i="2"/>
  <c r="V122" i="2"/>
  <c r="U122" i="2"/>
  <c r="P122" i="2"/>
  <c r="O122" i="2"/>
  <c r="N122" i="2"/>
  <c r="M122" i="2"/>
  <c r="L122" i="2"/>
  <c r="K122" i="2"/>
  <c r="J122" i="2"/>
  <c r="I122" i="2"/>
  <c r="H122" i="2"/>
  <c r="AR122" i="2"/>
  <c r="AW121" i="2"/>
  <c r="AV121" i="2"/>
  <c r="AP121" i="2"/>
  <c r="AO121" i="2"/>
  <c r="AN121" i="2"/>
  <c r="AM121" i="2"/>
  <c r="AL121" i="2"/>
  <c r="AK121" i="2"/>
  <c r="AJ121" i="2"/>
  <c r="AI121" i="2"/>
  <c r="AH121" i="2"/>
  <c r="AB121" i="2"/>
  <c r="AA121" i="2"/>
  <c r="Y121" i="2"/>
  <c r="X121" i="2"/>
  <c r="R121" i="2"/>
  <c r="Q121" i="2"/>
  <c r="P121" i="2"/>
  <c r="O121" i="2"/>
  <c r="N121" i="2"/>
  <c r="M121" i="2"/>
  <c r="L121" i="2"/>
  <c r="K121" i="2"/>
  <c r="J121" i="2"/>
  <c r="AU121" i="2"/>
  <c r="AX120" i="2"/>
  <c r="AR120" i="2"/>
  <c r="AQ120" i="2"/>
  <c r="AP120" i="2"/>
  <c r="AO120" i="2"/>
  <c r="AN120" i="2"/>
  <c r="AM120" i="2"/>
  <c r="AL120" i="2"/>
  <c r="AK120" i="2"/>
  <c r="AJ120" i="2"/>
  <c r="AH120" i="2"/>
  <c r="AG120" i="2"/>
  <c r="AF120" i="2"/>
  <c r="AD120" i="2"/>
  <c r="AB120" i="2"/>
  <c r="AA120" i="2"/>
  <c r="Z120" i="2"/>
  <c r="T120" i="2"/>
  <c r="S120" i="2"/>
  <c r="R120" i="2"/>
  <c r="Q120" i="2"/>
  <c r="P120" i="2"/>
  <c r="O120" i="2"/>
  <c r="N120" i="2"/>
  <c r="M120" i="2"/>
  <c r="L120" i="2"/>
  <c r="J120" i="2"/>
  <c r="I120" i="2"/>
  <c r="H120" i="2"/>
  <c r="AW120" i="2"/>
  <c r="AR118" i="2"/>
  <c r="AQ118" i="2"/>
  <c r="AP118" i="2"/>
  <c r="AO118" i="2"/>
  <c r="AN118" i="2"/>
  <c r="AH118" i="2"/>
  <c r="AG118" i="2"/>
  <c r="AE118" i="2"/>
  <c r="AD118" i="2"/>
  <c r="X118" i="2"/>
  <c r="W118" i="2"/>
  <c r="V118" i="2"/>
  <c r="U118" i="2"/>
  <c r="T118" i="2"/>
  <c r="S118" i="2"/>
  <c r="R118" i="2"/>
  <c r="Q118" i="2"/>
  <c r="P118" i="2"/>
  <c r="J118" i="2"/>
  <c r="I118" i="2"/>
  <c r="AU118" i="2"/>
  <c r="AX117" i="2"/>
  <c r="AW117" i="2"/>
  <c r="AV117" i="2"/>
  <c r="AU117" i="2"/>
  <c r="AT117" i="2"/>
  <c r="AS117" i="2"/>
  <c r="AR117" i="2"/>
  <c r="AQ117" i="2"/>
  <c r="AP117" i="2"/>
  <c r="AN117" i="2"/>
  <c r="AM117" i="2"/>
  <c r="AL117" i="2"/>
  <c r="AK117" i="2"/>
  <c r="AJ117" i="2"/>
  <c r="AI117" i="2"/>
  <c r="AH117" i="2"/>
  <c r="AG117" i="2"/>
  <c r="AF117" i="2"/>
  <c r="Z117" i="2"/>
  <c r="Y117" i="2"/>
  <c r="X117" i="2"/>
  <c r="W117" i="2"/>
  <c r="V117" i="2"/>
  <c r="U117" i="2"/>
  <c r="T117" i="2"/>
  <c r="S117" i="2"/>
  <c r="R117" i="2"/>
  <c r="P117" i="2"/>
  <c r="O117" i="2"/>
  <c r="N117" i="2"/>
  <c r="M117" i="2"/>
  <c r="L117" i="2"/>
  <c r="K117" i="2"/>
  <c r="J117" i="2"/>
  <c r="I117" i="2"/>
  <c r="H117" i="2"/>
  <c r="AE117" i="2"/>
  <c r="AX116" i="2"/>
  <c r="AW116" i="2"/>
  <c r="AV116" i="2"/>
  <c r="AU116" i="2"/>
  <c r="AT116" i="2"/>
  <c r="AS116" i="2"/>
  <c r="AR116" i="2"/>
  <c r="AP116" i="2"/>
  <c r="AO116" i="2"/>
  <c r="AN116" i="2"/>
  <c r="AM116" i="2"/>
  <c r="AL116" i="2"/>
  <c r="AK116" i="2"/>
  <c r="AJ116" i="2"/>
  <c r="AI116" i="2"/>
  <c r="AH116" i="2"/>
  <c r="AG116" i="2"/>
  <c r="AB116" i="2"/>
  <c r="AA116" i="2"/>
  <c r="Z116" i="2"/>
  <c r="Y116" i="2"/>
  <c r="X116" i="2"/>
  <c r="W116" i="2"/>
  <c r="V116" i="2"/>
  <c r="U116" i="2"/>
  <c r="T116" i="2"/>
  <c r="R116" i="2"/>
  <c r="Q116" i="2"/>
  <c r="P116" i="2"/>
  <c r="O116" i="2"/>
  <c r="N116" i="2"/>
  <c r="M116" i="2"/>
  <c r="L116" i="2"/>
  <c r="K116" i="2"/>
  <c r="J116" i="2"/>
  <c r="I116" i="2"/>
  <c r="AF116" i="2"/>
  <c r="AX115" i="2"/>
  <c r="AW115" i="2"/>
  <c r="AV115" i="2"/>
  <c r="AU115" i="2"/>
  <c r="AT115" i="2"/>
  <c r="AR115" i="2"/>
  <c r="AQ115" i="2"/>
  <c r="AP115" i="2"/>
  <c r="AO115" i="2"/>
  <c r="AN115" i="2"/>
  <c r="AM115" i="2"/>
  <c r="AL115" i="2"/>
  <c r="AK115" i="2"/>
  <c r="AJ115" i="2"/>
  <c r="AI115" i="2"/>
  <c r="AD115" i="2"/>
  <c r="AB115" i="2"/>
  <c r="AA115" i="2"/>
  <c r="Z115" i="2"/>
  <c r="Y115" i="2"/>
  <c r="X115" i="2"/>
  <c r="W115" i="2"/>
  <c r="V115" i="2"/>
  <c r="T115" i="2"/>
  <c r="S115" i="2"/>
  <c r="R115" i="2"/>
  <c r="Q115" i="2"/>
  <c r="P115" i="2"/>
  <c r="O115" i="2"/>
  <c r="N115" i="2"/>
  <c r="M115" i="2"/>
  <c r="L115" i="2"/>
  <c r="K115" i="2"/>
  <c r="AH115" i="2"/>
  <c r="AX114" i="2"/>
  <c r="AW114" i="2"/>
  <c r="AS114" i="2"/>
  <c r="AB114" i="2"/>
  <c r="Y114" i="2"/>
  <c r="Q114" i="2"/>
  <c r="P114" i="2"/>
  <c r="H114" i="2"/>
  <c r="AP114" i="2"/>
  <c r="AX113" i="2"/>
  <c r="AV113" i="2"/>
  <c r="AU113" i="2"/>
  <c r="AT113" i="2"/>
  <c r="AR113" i="2"/>
  <c r="AP113" i="2"/>
  <c r="AE113" i="2"/>
  <c r="AD113" i="2"/>
  <c r="AB113" i="2"/>
  <c r="AA113" i="2"/>
  <c r="Z113" i="2"/>
  <c r="X113" i="2"/>
  <c r="W113" i="2"/>
  <c r="V113" i="2"/>
  <c r="T113" i="2"/>
  <c r="R113" i="2"/>
  <c r="Q113" i="2"/>
  <c r="P113" i="2"/>
  <c r="J113" i="2"/>
  <c r="I113" i="2"/>
  <c r="H113" i="2"/>
  <c r="AW112" i="2"/>
  <c r="AV112" i="2"/>
  <c r="AR112" i="2"/>
  <c r="AQ112" i="2"/>
  <c r="AB112" i="2"/>
  <c r="X112" i="2"/>
  <c r="AX111" i="2"/>
  <c r="AV111" i="2"/>
  <c r="AU111" i="2"/>
  <c r="AT111" i="2"/>
  <c r="AS111" i="2"/>
  <c r="AR111" i="2"/>
  <c r="AK111" i="2"/>
  <c r="AE111" i="2"/>
  <c r="AD111" i="2"/>
  <c r="AB111" i="2"/>
  <c r="AA111" i="2"/>
  <c r="Z111" i="2"/>
  <c r="X111" i="2"/>
  <c r="W111" i="2"/>
  <c r="V111" i="2"/>
  <c r="U111" i="2"/>
  <c r="T111" i="2"/>
  <c r="M111" i="2"/>
  <c r="L111" i="2"/>
  <c r="K111" i="2"/>
  <c r="J111" i="2"/>
  <c r="I111" i="2"/>
  <c r="H111" i="2"/>
  <c r="AX110" i="2"/>
  <c r="AW110" i="2"/>
  <c r="AV110" i="2"/>
  <c r="AU110" i="2"/>
  <c r="AT110" i="2"/>
  <c r="AS110" i="2"/>
  <c r="AN110" i="2"/>
  <c r="AM110" i="2"/>
  <c r="AL110" i="2"/>
  <c r="AK110" i="2"/>
  <c r="AJ110" i="2"/>
  <c r="AI110" i="2"/>
  <c r="AH110" i="2"/>
  <c r="AG110" i="2"/>
  <c r="AF110" i="2"/>
  <c r="AD110" i="2"/>
  <c r="AB110" i="2"/>
  <c r="AA110" i="2"/>
  <c r="Z110" i="2"/>
  <c r="Y110" i="2"/>
  <c r="X110" i="2"/>
  <c r="W110" i="2"/>
  <c r="V110" i="2"/>
  <c r="U110" i="2"/>
  <c r="P110" i="2"/>
  <c r="O110" i="2"/>
  <c r="N110" i="2"/>
  <c r="M110" i="2"/>
  <c r="L110" i="2"/>
  <c r="K110" i="2"/>
  <c r="J110" i="2"/>
  <c r="I110" i="2"/>
  <c r="H110" i="2"/>
  <c r="AR110" i="2"/>
  <c r="AX109" i="2"/>
  <c r="AW109" i="2"/>
  <c r="AV109" i="2"/>
  <c r="AP109" i="2"/>
  <c r="AO109" i="2"/>
  <c r="AN109" i="2"/>
  <c r="AL109" i="2"/>
  <c r="AK109" i="2"/>
  <c r="AJ109" i="2"/>
  <c r="AI109" i="2"/>
  <c r="AH109" i="2"/>
  <c r="AF109" i="2"/>
  <c r="AE109" i="2"/>
  <c r="AD109" i="2"/>
  <c r="AB109" i="2"/>
  <c r="AA109" i="2"/>
  <c r="Z109" i="2"/>
  <c r="Y109" i="2"/>
  <c r="X109" i="2"/>
  <c r="R109" i="2"/>
  <c r="Q109" i="2"/>
  <c r="P109" i="2"/>
  <c r="O109" i="2"/>
  <c r="N109" i="2"/>
  <c r="M109" i="2"/>
  <c r="L109" i="2"/>
  <c r="K109" i="2"/>
  <c r="J109" i="2"/>
  <c r="H109" i="2"/>
  <c r="AX108" i="2"/>
  <c r="AR108" i="2"/>
  <c r="AQ108" i="2"/>
  <c r="AP108" i="2"/>
  <c r="AO108" i="2"/>
  <c r="AN108" i="2"/>
  <c r="AM108" i="2"/>
  <c r="AK108" i="2"/>
  <c r="AJ108" i="2"/>
  <c r="AH108" i="2"/>
  <c r="AG108" i="2"/>
  <c r="AF108" i="2"/>
  <c r="AE108" i="2"/>
  <c r="AD108" i="2"/>
  <c r="R108" i="2"/>
  <c r="Q108" i="2"/>
  <c r="P108" i="2"/>
  <c r="O108" i="2"/>
  <c r="N108" i="2"/>
  <c r="M108" i="2"/>
  <c r="L108" i="2"/>
  <c r="J108" i="2"/>
  <c r="I108" i="2"/>
  <c r="H108" i="2"/>
  <c r="AR107" i="2"/>
  <c r="AL107" i="2"/>
  <c r="AV106" i="2"/>
  <c r="AU106" i="2"/>
  <c r="AK106" i="2"/>
  <c r="AJ106" i="2"/>
  <c r="AG106" i="2"/>
  <c r="V106" i="2"/>
  <c r="AX105" i="2"/>
  <c r="AW105" i="2"/>
  <c r="AV105" i="2"/>
  <c r="AU105" i="2"/>
  <c r="AT105" i="2"/>
  <c r="AS105" i="2"/>
  <c r="AR105" i="2"/>
  <c r="AQ105" i="2"/>
  <c r="AP105" i="2"/>
  <c r="AN105" i="2"/>
  <c r="AM105" i="2"/>
  <c r="AL105" i="2"/>
  <c r="AK105" i="2"/>
  <c r="AJ105" i="2"/>
  <c r="AI105" i="2"/>
  <c r="AH105" i="2"/>
  <c r="AG105" i="2"/>
  <c r="AF105" i="2"/>
  <c r="Z105" i="2"/>
  <c r="Y105" i="2"/>
  <c r="X105" i="2"/>
  <c r="W105" i="2"/>
  <c r="V105" i="2"/>
  <c r="U105" i="2"/>
  <c r="T105" i="2"/>
  <c r="S105" i="2"/>
  <c r="R105" i="2"/>
  <c r="P105" i="2"/>
  <c r="O105" i="2"/>
  <c r="N105" i="2"/>
  <c r="M105" i="2"/>
  <c r="L105" i="2"/>
  <c r="K105" i="2"/>
  <c r="J105" i="2"/>
  <c r="I105" i="2"/>
  <c r="H105" i="2"/>
  <c r="AE105" i="2"/>
  <c r="AX104" i="2"/>
  <c r="AW104" i="2"/>
  <c r="AV104" i="2"/>
  <c r="AU104" i="2"/>
  <c r="AT104" i="2"/>
  <c r="AS104" i="2"/>
  <c r="AR104" i="2"/>
  <c r="AP104" i="2"/>
  <c r="AO104" i="2"/>
  <c r="AN104" i="2"/>
  <c r="AM104" i="2"/>
  <c r="AL104" i="2"/>
  <c r="AK104" i="2"/>
  <c r="AJ104" i="2"/>
  <c r="AI104" i="2"/>
  <c r="AH104" i="2"/>
  <c r="AG104" i="2"/>
  <c r="AB104" i="2"/>
  <c r="AA104" i="2"/>
  <c r="Z104" i="2"/>
  <c r="Y104" i="2"/>
  <c r="X104" i="2"/>
  <c r="W104" i="2"/>
  <c r="V104" i="2"/>
  <c r="U104" i="2"/>
  <c r="T104" i="2"/>
  <c r="R104" i="2"/>
  <c r="Q104" i="2"/>
  <c r="P104" i="2"/>
  <c r="O104" i="2"/>
  <c r="N104" i="2"/>
  <c r="M104" i="2"/>
  <c r="L104" i="2"/>
  <c r="K104" i="2"/>
  <c r="J104" i="2"/>
  <c r="I104" i="2"/>
  <c r="H104" i="2"/>
  <c r="AF104" i="2"/>
  <c r="AX103" i="2"/>
  <c r="AW103" i="2"/>
  <c r="AV103" i="2"/>
  <c r="AU103" i="2"/>
  <c r="AT103" i="2"/>
  <c r="AR103" i="2"/>
  <c r="AQ103" i="2"/>
  <c r="AP103" i="2"/>
  <c r="AO103" i="2"/>
  <c r="AN103" i="2"/>
  <c r="AM103" i="2"/>
  <c r="AL103" i="2"/>
  <c r="AK103" i="2"/>
  <c r="AJ103" i="2"/>
  <c r="AI103" i="2"/>
  <c r="AH103" i="2"/>
  <c r="AD103" i="2"/>
  <c r="AB103" i="2"/>
  <c r="AA103" i="2"/>
  <c r="Z103" i="2"/>
  <c r="Y103" i="2"/>
  <c r="X103" i="2"/>
  <c r="W103" i="2"/>
  <c r="V103" i="2"/>
  <c r="T103" i="2"/>
  <c r="S103" i="2"/>
  <c r="R103" i="2"/>
  <c r="Q103" i="2"/>
  <c r="P103" i="2"/>
  <c r="O103" i="2"/>
  <c r="N103" i="2"/>
  <c r="M103" i="2"/>
  <c r="L103" i="2"/>
  <c r="K103" i="2"/>
  <c r="J103" i="2"/>
  <c r="AG103" i="2"/>
  <c r="AP102" i="2"/>
  <c r="AB102" i="2"/>
  <c r="AA102" i="2"/>
  <c r="X102" i="2"/>
  <c r="H102" i="2"/>
  <c r="AX101" i="2"/>
  <c r="AV101" i="2"/>
  <c r="AU101" i="2"/>
  <c r="AT101" i="2"/>
  <c r="AS101" i="2"/>
  <c r="AR101" i="2"/>
  <c r="AQ101" i="2"/>
  <c r="AP101" i="2"/>
  <c r="AH101" i="2"/>
  <c r="AG101" i="2"/>
  <c r="AF101" i="2"/>
  <c r="AE101" i="2"/>
  <c r="AD101" i="2"/>
  <c r="AB101" i="2"/>
  <c r="AA101" i="2"/>
  <c r="Z101" i="2"/>
  <c r="X101" i="2"/>
  <c r="W101" i="2"/>
  <c r="V101" i="2"/>
  <c r="U101" i="2"/>
  <c r="T101" i="2"/>
  <c r="S101" i="2"/>
  <c r="R101" i="2"/>
  <c r="Q101" i="2"/>
  <c r="P101" i="2"/>
  <c r="O101" i="2"/>
  <c r="J101" i="2"/>
  <c r="I101" i="2"/>
  <c r="AM101" i="2"/>
  <c r="AE100" i="2"/>
  <c r="X100" i="2"/>
  <c r="W100" i="2"/>
  <c r="T100" i="2"/>
  <c r="S100" i="2"/>
  <c r="AS99" i="2"/>
  <c r="AR99" i="2"/>
  <c r="AQ99" i="2"/>
  <c r="AP99" i="2"/>
  <c r="AL99" i="2"/>
  <c r="AK99" i="2"/>
  <c r="AJ99" i="2"/>
  <c r="AH99" i="2"/>
  <c r="AG99" i="2"/>
  <c r="AE99" i="2"/>
  <c r="AD99" i="2"/>
  <c r="AB99" i="2"/>
  <c r="AA99" i="2"/>
  <c r="Z99" i="2"/>
  <c r="Y99" i="2"/>
  <c r="W99" i="2"/>
  <c r="N99" i="2"/>
  <c r="M99" i="2"/>
  <c r="L99" i="2"/>
  <c r="K99" i="2"/>
  <c r="J99" i="2"/>
  <c r="I99" i="2"/>
  <c r="H99" i="2"/>
  <c r="AF99" i="2"/>
  <c r="AV98" i="2"/>
  <c r="AS98" i="2"/>
  <c r="AJ98" i="2"/>
  <c r="AI98" i="2"/>
  <c r="V98" i="2"/>
  <c r="AX98" i="2"/>
  <c r="AX97" i="2"/>
  <c r="AW97" i="2"/>
  <c r="AV97" i="2"/>
  <c r="AU97" i="2"/>
  <c r="AT97" i="2"/>
  <c r="AQ97" i="2"/>
  <c r="AK97" i="2"/>
  <c r="AJ97" i="2"/>
  <c r="AI97" i="2"/>
  <c r="AG97" i="2"/>
  <c r="AF97" i="2"/>
  <c r="Z97" i="2"/>
  <c r="Y97" i="2"/>
  <c r="X97" i="2"/>
  <c r="W97" i="2"/>
  <c r="V97" i="2"/>
  <c r="S97" i="2"/>
  <c r="M97" i="2"/>
  <c r="L97" i="2"/>
  <c r="K97" i="2"/>
  <c r="I97" i="2"/>
  <c r="H97" i="2"/>
  <c r="AP97" i="2"/>
  <c r="AX96" i="2"/>
  <c r="AW96" i="2"/>
  <c r="AV96" i="2"/>
  <c r="AS96" i="2"/>
  <c r="AM96" i="2"/>
  <c r="AL96" i="2"/>
  <c r="AK96" i="2"/>
  <c r="AI96" i="2"/>
  <c r="AH96" i="2"/>
  <c r="AG96" i="2"/>
  <c r="AB96" i="2"/>
  <c r="AA96" i="2"/>
  <c r="Z96" i="2"/>
  <c r="Y96" i="2"/>
  <c r="X96" i="2"/>
  <c r="U96" i="2"/>
  <c r="O96" i="2"/>
  <c r="N96" i="2"/>
  <c r="M96" i="2"/>
  <c r="K96" i="2"/>
  <c r="J96" i="2"/>
  <c r="I96" i="2"/>
  <c r="AR96" i="2"/>
  <c r="AX95" i="2"/>
  <c r="AW95" i="2"/>
  <c r="AV95" i="2"/>
  <c r="AU95" i="2"/>
  <c r="AO95" i="2"/>
  <c r="AN95" i="2"/>
  <c r="AM95" i="2"/>
  <c r="AL95" i="2"/>
  <c r="AK95" i="2"/>
  <c r="AJ95" i="2"/>
  <c r="AI95" i="2"/>
  <c r="AH95" i="2"/>
  <c r="AG95" i="2"/>
  <c r="AF95" i="2"/>
  <c r="AD95" i="2"/>
  <c r="AB95" i="2"/>
  <c r="AA95" i="2"/>
  <c r="Z95" i="2"/>
  <c r="Y95" i="2"/>
  <c r="X95" i="2"/>
  <c r="W95" i="2"/>
  <c r="Q95" i="2"/>
  <c r="P95" i="2"/>
  <c r="O95" i="2"/>
  <c r="N95" i="2"/>
  <c r="M95" i="2"/>
  <c r="L95" i="2"/>
  <c r="K95" i="2"/>
  <c r="J95" i="2"/>
  <c r="I95" i="2"/>
  <c r="H95" i="2"/>
  <c r="AT95" i="2"/>
  <c r="AW94" i="2"/>
  <c r="AQ94" i="2"/>
  <c r="AP94" i="2"/>
  <c r="AO94" i="2"/>
  <c r="AM94" i="2"/>
  <c r="AL94" i="2"/>
  <c r="AF94" i="2"/>
  <c r="AD94" i="2"/>
  <c r="AB94" i="2"/>
  <c r="Y94" i="2"/>
  <c r="S94" i="2"/>
  <c r="R94" i="2"/>
  <c r="Q94" i="2"/>
  <c r="O94" i="2"/>
  <c r="N94" i="2"/>
  <c r="H94" i="2"/>
  <c r="AV94" i="2"/>
  <c r="AS93" i="2"/>
  <c r="AR93" i="2"/>
  <c r="AO93" i="2"/>
  <c r="AN93" i="2"/>
  <c r="T93" i="2"/>
  <c r="S93" i="2"/>
  <c r="Q93" i="2"/>
  <c r="P93" i="2"/>
  <c r="H93" i="2"/>
  <c r="AQ93" i="2"/>
  <c r="AU92" i="2"/>
  <c r="AT92" i="2"/>
  <c r="AS92" i="2"/>
  <c r="AQ92" i="2"/>
  <c r="AP92" i="2"/>
  <c r="AO92" i="2"/>
  <c r="AJ92" i="2"/>
  <c r="AI92" i="2"/>
  <c r="AH92" i="2"/>
  <c r="AG92" i="2"/>
  <c r="AF92" i="2"/>
  <c r="W92" i="2"/>
  <c r="V92" i="2"/>
  <c r="U92" i="2"/>
  <c r="S92" i="2"/>
  <c r="R92" i="2"/>
  <c r="Q92" i="2"/>
  <c r="L92" i="2"/>
  <c r="K92" i="2"/>
  <c r="J92" i="2"/>
  <c r="I92" i="2"/>
  <c r="H92" i="2"/>
  <c r="AB92" i="2"/>
  <c r="AW91" i="2"/>
  <c r="AV91" i="2"/>
  <c r="AU91" i="2"/>
  <c r="AS91" i="2"/>
  <c r="AR91" i="2"/>
  <c r="AL91" i="2"/>
  <c r="AI91" i="2"/>
  <c r="AH91" i="2"/>
  <c r="T91" i="2"/>
  <c r="N91" i="2"/>
  <c r="L91" i="2"/>
  <c r="K91" i="2"/>
  <c r="J91" i="2"/>
  <c r="AJ91" i="2"/>
  <c r="AX90" i="2"/>
  <c r="AW90" i="2"/>
  <c r="AV90" i="2"/>
  <c r="AU90" i="2"/>
  <c r="AT90" i="2"/>
  <c r="AS90" i="2"/>
  <c r="AR90" i="2"/>
  <c r="AQ90" i="2"/>
  <c r="AP90" i="2"/>
  <c r="AN90" i="2"/>
  <c r="AM90" i="2"/>
  <c r="AL90" i="2"/>
  <c r="AK90" i="2"/>
  <c r="AJ90" i="2"/>
  <c r="AI90" i="2"/>
  <c r="AH90" i="2"/>
  <c r="AG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AF90" i="2"/>
  <c r="AX89" i="2"/>
  <c r="AW89" i="2"/>
  <c r="AV89" i="2"/>
  <c r="AU89" i="2"/>
  <c r="AT89" i="2"/>
  <c r="AS89" i="2"/>
  <c r="AR89" i="2"/>
  <c r="AP89" i="2"/>
  <c r="AO89" i="2"/>
  <c r="AN89" i="2"/>
  <c r="AM89" i="2"/>
  <c r="AL89" i="2"/>
  <c r="AK89" i="2"/>
  <c r="AJ89" i="2"/>
  <c r="AI89" i="2"/>
  <c r="AB89" i="2"/>
  <c r="AA89" i="2"/>
  <c r="Z89" i="2"/>
  <c r="Y89" i="2"/>
  <c r="X89" i="2"/>
  <c r="W89" i="2"/>
  <c r="V89" i="2"/>
  <c r="U89" i="2"/>
  <c r="T89" i="2"/>
  <c r="R89" i="2"/>
  <c r="Q89" i="2"/>
  <c r="P89" i="2"/>
  <c r="O89" i="2"/>
  <c r="N89" i="2"/>
  <c r="M89" i="2"/>
  <c r="L89" i="2"/>
  <c r="K89" i="2"/>
  <c r="AH89" i="2"/>
  <c r="AR88" i="2"/>
  <c r="AQ88" i="2"/>
  <c r="AD88" i="2"/>
  <c r="AA88" i="2"/>
  <c r="Z88" i="2"/>
  <c r="T88" i="2"/>
  <c r="P88" i="2"/>
  <c r="M88" i="2"/>
  <c r="AX88" i="2"/>
  <c r="AT87" i="2"/>
  <c r="AR87" i="2"/>
  <c r="AQ87" i="2"/>
  <c r="AB87" i="2"/>
  <c r="V87" i="2"/>
  <c r="U87" i="2"/>
  <c r="T87" i="2"/>
  <c r="I87" i="2"/>
  <c r="H87" i="2"/>
  <c r="AS87" i="2"/>
  <c r="AV86" i="2"/>
  <c r="AU86" i="2"/>
  <c r="AS86" i="2"/>
  <c r="AR86" i="2"/>
  <c r="AD86" i="2"/>
  <c r="X86" i="2"/>
  <c r="W86" i="2"/>
  <c r="V86" i="2"/>
  <c r="U86" i="2"/>
  <c r="J86" i="2"/>
  <c r="I86" i="2"/>
  <c r="AT86" i="2"/>
  <c r="AX85" i="2"/>
  <c r="AW85" i="2"/>
  <c r="AV85" i="2"/>
  <c r="AU85" i="2"/>
  <c r="AT85" i="2"/>
  <c r="AQ85" i="2"/>
  <c r="AK85" i="2"/>
  <c r="AJ85" i="2"/>
  <c r="AI85" i="2"/>
  <c r="AG85" i="2"/>
  <c r="AF85" i="2"/>
  <c r="Z85" i="2"/>
  <c r="Y85" i="2"/>
  <c r="X85" i="2"/>
  <c r="W85" i="2"/>
  <c r="V85" i="2"/>
  <c r="S85" i="2"/>
  <c r="M85" i="2"/>
  <c r="L85" i="2"/>
  <c r="K85" i="2"/>
  <c r="I85" i="2"/>
  <c r="H85" i="2"/>
  <c r="AP85" i="2"/>
  <c r="AX84" i="2"/>
  <c r="AW84" i="2"/>
  <c r="AV84" i="2"/>
  <c r="AS84" i="2"/>
  <c r="AM84" i="2"/>
  <c r="AL84" i="2"/>
  <c r="AK84" i="2"/>
  <c r="AI84" i="2"/>
  <c r="AH84" i="2"/>
  <c r="AG84" i="2"/>
  <c r="AB84" i="2"/>
  <c r="AA84" i="2"/>
  <c r="Z84" i="2"/>
  <c r="Y84" i="2"/>
  <c r="X84" i="2"/>
  <c r="U84" i="2"/>
  <c r="O84" i="2"/>
  <c r="N84" i="2"/>
  <c r="M84" i="2"/>
  <c r="K84" i="2"/>
  <c r="J84" i="2"/>
  <c r="I84" i="2"/>
  <c r="AR84" i="2"/>
  <c r="AX83" i="2"/>
  <c r="AW83" i="2"/>
  <c r="AV83" i="2"/>
  <c r="AU83" i="2"/>
  <c r="AO83" i="2"/>
  <c r="AN83" i="2"/>
  <c r="AM83" i="2"/>
  <c r="AL83" i="2"/>
  <c r="AK83" i="2"/>
  <c r="AJ83" i="2"/>
  <c r="AI83" i="2"/>
  <c r="AH83" i="2"/>
  <c r="AG83" i="2"/>
  <c r="AF83" i="2"/>
  <c r="AD83" i="2"/>
  <c r="AB83" i="2"/>
  <c r="AA83" i="2"/>
  <c r="Z83" i="2"/>
  <c r="Y83" i="2"/>
  <c r="X83" i="2"/>
  <c r="W83" i="2"/>
  <c r="Q83" i="2"/>
  <c r="P83" i="2"/>
  <c r="O83" i="2"/>
  <c r="N83" i="2"/>
  <c r="M83" i="2"/>
  <c r="L83" i="2"/>
  <c r="K83" i="2"/>
  <c r="J83" i="2"/>
  <c r="I83" i="2"/>
  <c r="H83" i="2"/>
  <c r="AT83" i="2"/>
  <c r="AM82" i="2"/>
  <c r="AL82" i="2"/>
  <c r="AK82" i="2"/>
  <c r="AF82" i="2"/>
  <c r="AW82" i="2"/>
  <c r="AS81" i="2"/>
  <c r="AR81" i="2"/>
  <c r="AQ81" i="2"/>
  <c r="AO81" i="2"/>
  <c r="AN81" i="2"/>
  <c r="AM81" i="2"/>
  <c r="AH81" i="2"/>
  <c r="AG81" i="2"/>
  <c r="AF81" i="2"/>
  <c r="AE81" i="2"/>
  <c r="AA81" i="2"/>
  <c r="U81" i="2"/>
  <c r="T81" i="2"/>
  <c r="S81" i="2"/>
  <c r="Q81" i="2"/>
  <c r="P81" i="2"/>
  <c r="O81" i="2"/>
  <c r="J81" i="2"/>
  <c r="I81" i="2"/>
  <c r="H81" i="2"/>
  <c r="AU80" i="2"/>
  <c r="AT80" i="2"/>
  <c r="AS80" i="2"/>
  <c r="AQ80" i="2"/>
  <c r="AP80" i="2"/>
  <c r="AO80" i="2"/>
  <c r="AM80" i="2"/>
  <c r="AJ80" i="2"/>
  <c r="AI80" i="2"/>
  <c r="AH80" i="2"/>
  <c r="AG80" i="2"/>
  <c r="AF80" i="2"/>
  <c r="W80" i="2"/>
  <c r="V80" i="2"/>
  <c r="U80" i="2"/>
  <c r="S80" i="2"/>
  <c r="R80" i="2"/>
  <c r="Q80" i="2"/>
  <c r="O80" i="2"/>
  <c r="N80" i="2"/>
  <c r="L80" i="2"/>
  <c r="K80" i="2"/>
  <c r="J80" i="2"/>
  <c r="I80" i="2"/>
  <c r="H80" i="2"/>
  <c r="AB80" i="2"/>
  <c r="AW79" i="2"/>
  <c r="AV79" i="2"/>
  <c r="AU79" i="2"/>
  <c r="AS79" i="2"/>
  <c r="AR79" i="2"/>
  <c r="AO79" i="2"/>
  <c r="AN79" i="2"/>
  <c r="AL79" i="2"/>
  <c r="AK79" i="2"/>
  <c r="AJ79" i="2"/>
  <c r="AI79" i="2"/>
  <c r="AH79" i="2"/>
  <c r="AG79" i="2"/>
  <c r="AE79" i="2"/>
  <c r="Y79" i="2"/>
  <c r="W79" i="2"/>
  <c r="U79" i="2"/>
  <c r="T79" i="2"/>
  <c r="S79" i="2"/>
  <c r="Q79" i="2"/>
  <c r="P79" i="2"/>
  <c r="N79" i="2"/>
  <c r="M79" i="2"/>
  <c r="L79" i="2"/>
  <c r="K79" i="2"/>
  <c r="J79" i="2"/>
  <c r="I79" i="2"/>
  <c r="X79" i="2"/>
  <c r="AX78" i="2"/>
  <c r="AW78" i="2"/>
  <c r="AV78" i="2"/>
  <c r="AU78" i="2"/>
  <c r="AT78" i="2"/>
  <c r="AS78" i="2"/>
  <c r="AR78" i="2"/>
  <c r="AQ78" i="2"/>
  <c r="AP78" i="2"/>
  <c r="AN78" i="2"/>
  <c r="AM78" i="2"/>
  <c r="AL78" i="2"/>
  <c r="AK78" i="2"/>
  <c r="AJ78" i="2"/>
  <c r="AI78" i="2"/>
  <c r="AH78" i="2"/>
  <c r="AG78" i="2"/>
  <c r="AA78" i="2"/>
  <c r="Z78" i="2"/>
  <c r="Y78" i="2"/>
  <c r="X78" i="2"/>
  <c r="W78" i="2"/>
  <c r="V78" i="2"/>
  <c r="U78" i="2"/>
  <c r="T78" i="2"/>
  <c r="S78" i="2"/>
  <c r="R78" i="2"/>
  <c r="P78" i="2"/>
  <c r="O78" i="2"/>
  <c r="N78" i="2"/>
  <c r="M78" i="2"/>
  <c r="L78" i="2"/>
  <c r="K78" i="2"/>
  <c r="J78" i="2"/>
  <c r="I78" i="2"/>
  <c r="AF78" i="2"/>
  <c r="AX77" i="2"/>
  <c r="AW77" i="2"/>
  <c r="AV77" i="2"/>
  <c r="AU77" i="2"/>
  <c r="AT77" i="2"/>
  <c r="AS77" i="2"/>
  <c r="AR77" i="2"/>
  <c r="AP77" i="2"/>
  <c r="AO77" i="2"/>
  <c r="AN77" i="2"/>
  <c r="AM77" i="2"/>
  <c r="AL77" i="2"/>
  <c r="AK77" i="2"/>
  <c r="AJ77" i="2"/>
  <c r="AI77" i="2"/>
  <c r="AB77" i="2"/>
  <c r="AA77" i="2"/>
  <c r="Z77" i="2"/>
  <c r="Y77" i="2"/>
  <c r="X77" i="2"/>
  <c r="W77" i="2"/>
  <c r="V77" i="2"/>
  <c r="U77" i="2"/>
  <c r="T77" i="2"/>
  <c r="R77" i="2"/>
  <c r="Q77" i="2"/>
  <c r="P77" i="2"/>
  <c r="O77" i="2"/>
  <c r="N77" i="2"/>
  <c r="M77" i="2"/>
  <c r="L77" i="2"/>
  <c r="K77" i="2"/>
  <c r="AH77" i="2"/>
  <c r="AQ76" i="2"/>
  <c r="AP76" i="2"/>
  <c r="AO76" i="2"/>
  <c r="AN76" i="2"/>
  <c r="AM76" i="2"/>
  <c r="AE76" i="2"/>
  <c r="AD76" i="2"/>
  <c r="W76" i="2"/>
  <c r="V76" i="2"/>
  <c r="T76" i="2"/>
  <c r="S76" i="2"/>
  <c r="R76" i="2"/>
  <c r="AR76" i="2"/>
  <c r="AW75" i="2"/>
  <c r="AV75" i="2"/>
  <c r="AT75" i="2"/>
  <c r="AR75" i="2"/>
  <c r="AQ75" i="2"/>
  <c r="AP75" i="2"/>
  <c r="AO75" i="2"/>
  <c r="AM75" i="2"/>
  <c r="AG75" i="2"/>
  <c r="AF75" i="2"/>
  <c r="AE75" i="2"/>
  <c r="AD75" i="2"/>
  <c r="AA75" i="2"/>
  <c r="Y75" i="2"/>
  <c r="X75" i="2"/>
  <c r="V75" i="2"/>
  <c r="U75" i="2"/>
  <c r="T75" i="2"/>
  <c r="S75" i="2"/>
  <c r="R75" i="2"/>
  <c r="Q75" i="2"/>
  <c r="O75" i="2"/>
  <c r="I75" i="2"/>
  <c r="H75" i="2"/>
  <c r="AB75" i="2"/>
  <c r="AX74" i="2"/>
  <c r="AV74" i="2"/>
  <c r="AU74" i="2"/>
  <c r="AT74" i="2"/>
  <c r="AQ74" i="2"/>
  <c r="AO74" i="2"/>
  <c r="AI74" i="2"/>
  <c r="AH74" i="2"/>
  <c r="AG74" i="2"/>
  <c r="AF74" i="2"/>
  <c r="AE74" i="2"/>
  <c r="AD74" i="2"/>
  <c r="AA74" i="2"/>
  <c r="Z74" i="2"/>
  <c r="X74" i="2"/>
  <c r="V74" i="2"/>
  <c r="Q74" i="2"/>
  <c r="K74" i="2"/>
  <c r="J74" i="2"/>
  <c r="I74" i="2"/>
  <c r="H74" i="2"/>
  <c r="AR74" i="2"/>
  <c r="AV73" i="2"/>
  <c r="AU73" i="2"/>
  <c r="AT73" i="2"/>
  <c r="AS73" i="2"/>
  <c r="AJ73" i="2"/>
  <c r="AD73" i="2"/>
  <c r="AB73" i="2"/>
  <c r="Z73" i="2"/>
  <c r="Y73" i="2"/>
  <c r="L73" i="2"/>
  <c r="K73" i="2"/>
  <c r="J73" i="2"/>
  <c r="I73" i="2"/>
  <c r="AW72" i="2"/>
  <c r="AV72" i="2"/>
  <c r="AU72" i="2"/>
  <c r="AT72" i="2"/>
  <c r="AS72" i="2"/>
  <c r="AJ72" i="2"/>
  <c r="AI72" i="2"/>
  <c r="AG72" i="2"/>
  <c r="AF72" i="2"/>
  <c r="AE72" i="2"/>
  <c r="AD72" i="2"/>
  <c r="AB72" i="2"/>
  <c r="Z72" i="2"/>
  <c r="Y72" i="2"/>
  <c r="N72" i="2"/>
  <c r="M72" i="2"/>
  <c r="L72" i="2"/>
  <c r="K72" i="2"/>
  <c r="J72" i="2"/>
  <c r="AH72" i="2"/>
  <c r="AX71" i="2"/>
  <c r="AW71" i="2"/>
  <c r="AV71" i="2"/>
  <c r="AU71" i="2"/>
  <c r="AO71" i="2"/>
  <c r="AN71" i="2"/>
  <c r="AL71" i="2"/>
  <c r="AJ71" i="2"/>
  <c r="AH71" i="2"/>
  <c r="AG71" i="2"/>
  <c r="AF71" i="2"/>
  <c r="AD71" i="2"/>
  <c r="AB71" i="2"/>
  <c r="Z71" i="2"/>
  <c r="Y71" i="2"/>
  <c r="X71" i="2"/>
  <c r="W71" i="2"/>
  <c r="Q71" i="2"/>
  <c r="P71" i="2"/>
  <c r="O71" i="2"/>
  <c r="N71" i="2"/>
  <c r="M71" i="2"/>
  <c r="L71" i="2"/>
  <c r="K71" i="2"/>
  <c r="J71" i="2"/>
  <c r="H71" i="2"/>
  <c r="AI71" i="2"/>
  <c r="AX70" i="2"/>
  <c r="AW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H70" i="2"/>
  <c r="AF70" i="2"/>
  <c r="AD70" i="2"/>
  <c r="AB70" i="2"/>
  <c r="AA70" i="2"/>
  <c r="Z70" i="2"/>
  <c r="Y70" i="2"/>
  <c r="W70" i="2"/>
  <c r="V70" i="2"/>
  <c r="U70" i="2"/>
  <c r="T70" i="2"/>
  <c r="S70" i="2"/>
  <c r="R70" i="2"/>
  <c r="Q70" i="2"/>
  <c r="P70" i="2"/>
  <c r="O70" i="2"/>
  <c r="N70" i="2"/>
  <c r="M70" i="2"/>
  <c r="L70" i="2"/>
  <c r="J70" i="2"/>
  <c r="I70" i="2"/>
  <c r="H70" i="2"/>
  <c r="AI70" i="2"/>
  <c r="AR69" i="2"/>
  <c r="AQ69" i="2"/>
  <c r="AP69" i="2"/>
  <c r="AO69" i="2"/>
  <c r="AL69" i="2"/>
  <c r="AF69" i="2"/>
  <c r="AB69" i="2"/>
  <c r="T69" i="2"/>
  <c r="S69" i="2"/>
  <c r="R69" i="2"/>
  <c r="Q69" i="2"/>
  <c r="N69" i="2"/>
  <c r="H69" i="2"/>
  <c r="AK69" i="2"/>
  <c r="AT68" i="2"/>
  <c r="AX67" i="2"/>
  <c r="AW67" i="2"/>
  <c r="AV67" i="2"/>
  <c r="AU67" i="2"/>
  <c r="AT67" i="2"/>
  <c r="AS67" i="2"/>
  <c r="AR67" i="2"/>
  <c r="AQ67" i="2"/>
  <c r="AP67" i="2"/>
  <c r="AN67" i="2"/>
  <c r="AJ67" i="2"/>
  <c r="AI67" i="2"/>
  <c r="AH67" i="2"/>
  <c r="AG67" i="2"/>
  <c r="AF67" i="2"/>
  <c r="AB67" i="2"/>
  <c r="AA67" i="2"/>
  <c r="Z67" i="2"/>
  <c r="Y67" i="2"/>
  <c r="X67" i="2"/>
  <c r="W67" i="2"/>
  <c r="V67" i="2"/>
  <c r="U67" i="2"/>
  <c r="T67" i="2"/>
  <c r="S67" i="2"/>
  <c r="R67" i="2"/>
  <c r="P67" i="2"/>
  <c r="L67" i="2"/>
  <c r="K67" i="2"/>
  <c r="J67" i="2"/>
  <c r="I67" i="2"/>
  <c r="H67" i="2"/>
  <c r="AO67" i="2"/>
  <c r="AX66" i="2"/>
  <c r="AW66" i="2"/>
  <c r="AV66" i="2"/>
  <c r="AU66" i="2"/>
  <c r="AS66" i="2"/>
  <c r="AR66" i="2"/>
  <c r="AL66" i="2"/>
  <c r="AK66" i="2"/>
  <c r="AJ66" i="2"/>
  <c r="AI66" i="2"/>
  <c r="AH66" i="2"/>
  <c r="AD66" i="2"/>
  <c r="AB66" i="2"/>
  <c r="AA66" i="2"/>
  <c r="Z66" i="2"/>
  <c r="Y66" i="2"/>
  <c r="X66" i="2"/>
  <c r="W66" i="2"/>
  <c r="U66" i="2"/>
  <c r="T66" i="2"/>
  <c r="N66" i="2"/>
  <c r="M66" i="2"/>
  <c r="L66" i="2"/>
  <c r="K66" i="2"/>
  <c r="J66" i="2"/>
  <c r="AQ66" i="2"/>
  <c r="AX65" i="2"/>
  <c r="AW65" i="2"/>
  <c r="AU65" i="2"/>
  <c r="AT65" i="2"/>
  <c r="AN65" i="2"/>
  <c r="AM65" i="2"/>
  <c r="AL65" i="2"/>
  <c r="AK65" i="2"/>
  <c r="AJ65" i="2"/>
  <c r="AF65" i="2"/>
  <c r="AB65" i="2"/>
  <c r="AA65" i="2"/>
  <c r="Z65" i="2"/>
  <c r="Y65" i="2"/>
  <c r="W65" i="2"/>
  <c r="V65" i="2"/>
  <c r="P65" i="2"/>
  <c r="O65" i="2"/>
  <c r="N65" i="2"/>
  <c r="M65" i="2"/>
  <c r="L65" i="2"/>
  <c r="H65" i="2"/>
  <c r="AS65" i="2"/>
  <c r="AW64" i="2"/>
  <c r="AV64" i="2"/>
  <c r="AP64" i="2"/>
  <c r="AO64" i="2"/>
  <c r="AN64" i="2"/>
  <c r="AM64" i="2"/>
  <c r="AL64" i="2"/>
  <c r="AD64" i="2"/>
  <c r="AB64" i="2"/>
  <c r="AA64" i="2"/>
  <c r="Y64" i="2"/>
  <c r="X64" i="2"/>
  <c r="R64" i="2"/>
  <c r="Q64" i="2"/>
  <c r="P64" i="2"/>
  <c r="O64" i="2"/>
  <c r="N64" i="2"/>
  <c r="AU64" i="2"/>
  <c r="AX63" i="2"/>
  <c r="AO63" i="2"/>
  <c r="AN63" i="2"/>
  <c r="AF63" i="2"/>
  <c r="AE63" i="2"/>
  <c r="AD63" i="2"/>
  <c r="Z63" i="2"/>
  <c r="Q63" i="2"/>
  <c r="AQ62" i="2"/>
  <c r="AH62" i="2"/>
  <c r="AG62" i="2"/>
  <c r="AF62" i="2"/>
  <c r="AB62" i="2"/>
  <c r="H62" i="2"/>
  <c r="AV61" i="2"/>
  <c r="AU61" i="2"/>
  <c r="AT61" i="2"/>
  <c r="AS61" i="2"/>
  <c r="AR61" i="2"/>
  <c r="AJ61" i="2"/>
  <c r="AI61" i="2"/>
  <c r="AH61" i="2"/>
  <c r="AG61" i="2"/>
  <c r="AD61" i="2"/>
  <c r="X61" i="2"/>
  <c r="W61" i="2"/>
  <c r="V61" i="2"/>
  <c r="U61" i="2"/>
  <c r="T61" i="2"/>
  <c r="L61" i="2"/>
  <c r="K61" i="2"/>
  <c r="J61" i="2"/>
  <c r="I61" i="2"/>
  <c r="AB61" i="2"/>
  <c r="AX60" i="2"/>
  <c r="AW60" i="2"/>
  <c r="AV60" i="2"/>
  <c r="AU60" i="2"/>
  <c r="AT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D60" i="2"/>
  <c r="Z60" i="2"/>
  <c r="Y60" i="2"/>
  <c r="X60" i="2"/>
  <c r="W60" i="2"/>
  <c r="V60" i="2"/>
  <c r="S60" i="2"/>
  <c r="R60" i="2"/>
  <c r="Q60" i="2"/>
  <c r="P60" i="2"/>
  <c r="O60" i="2"/>
  <c r="N60" i="2"/>
  <c r="M60" i="2"/>
  <c r="L60" i="2"/>
  <c r="K60" i="2"/>
  <c r="J60" i="2"/>
  <c r="I60" i="2"/>
  <c r="H60" i="2"/>
  <c r="AE60" i="2"/>
  <c r="AX59" i="2"/>
  <c r="AW59" i="2"/>
  <c r="AV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F59" i="2"/>
  <c r="AB59" i="2"/>
  <c r="AA59" i="2"/>
  <c r="Z59" i="2"/>
  <c r="Y59" i="2"/>
  <c r="X59" i="2"/>
  <c r="U59" i="2"/>
  <c r="T59" i="2"/>
  <c r="S59" i="2"/>
  <c r="R59" i="2"/>
  <c r="Q59" i="2"/>
  <c r="P59" i="2"/>
  <c r="O59" i="2"/>
  <c r="N59" i="2"/>
  <c r="M59" i="2"/>
  <c r="L59" i="2"/>
  <c r="K59" i="2"/>
  <c r="J59" i="2"/>
  <c r="H59" i="2"/>
  <c r="AG59" i="2"/>
  <c r="AX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H58" i="2"/>
  <c r="AD58" i="2"/>
  <c r="AB58" i="2"/>
  <c r="AA58" i="2"/>
  <c r="Z58" i="2"/>
  <c r="W58" i="2"/>
  <c r="V58" i="2"/>
  <c r="U58" i="2"/>
  <c r="T58" i="2"/>
  <c r="S58" i="2"/>
  <c r="R58" i="2"/>
  <c r="Q58" i="2"/>
  <c r="P58" i="2"/>
  <c r="O58" i="2"/>
  <c r="N58" i="2"/>
  <c r="M58" i="2"/>
  <c r="L58" i="2"/>
  <c r="J58" i="2"/>
  <c r="AI58" i="2"/>
  <c r="AR57" i="2"/>
  <c r="AQ57" i="2"/>
  <c r="AP57" i="2"/>
  <c r="AO57" i="2"/>
  <c r="AL57" i="2"/>
  <c r="AF57" i="2"/>
  <c r="AB57" i="2"/>
  <c r="T57" i="2"/>
  <c r="S57" i="2"/>
  <c r="R57" i="2"/>
  <c r="Q57" i="2"/>
  <c r="N57" i="2"/>
  <c r="H57" i="2"/>
  <c r="AK57" i="2"/>
  <c r="AR56" i="2"/>
  <c r="AQ56" i="2"/>
  <c r="AH56" i="2"/>
  <c r="AE56" i="2"/>
  <c r="AD56" i="2"/>
  <c r="U56" i="2"/>
  <c r="AX55" i="2"/>
  <c r="AW55" i="2"/>
  <c r="AV55" i="2"/>
  <c r="AU55" i="2"/>
  <c r="AT55" i="2"/>
  <c r="AS55" i="2"/>
  <c r="AR55" i="2"/>
  <c r="AQ55" i="2"/>
  <c r="AP55" i="2"/>
  <c r="AN55" i="2"/>
  <c r="AJ55" i="2"/>
  <c r="AI55" i="2"/>
  <c r="AH55" i="2"/>
  <c r="AG55" i="2"/>
  <c r="AF55" i="2"/>
  <c r="AB55" i="2"/>
  <c r="AA55" i="2"/>
  <c r="Z55" i="2"/>
  <c r="Y55" i="2"/>
  <c r="X55" i="2"/>
  <c r="W55" i="2"/>
  <c r="V55" i="2"/>
  <c r="U55" i="2"/>
  <c r="T55" i="2"/>
  <c r="S55" i="2"/>
  <c r="R55" i="2"/>
  <c r="P55" i="2"/>
  <c r="L55" i="2"/>
  <c r="K55" i="2"/>
  <c r="J55" i="2"/>
  <c r="I55" i="2"/>
  <c r="H55" i="2"/>
  <c r="AO55" i="2"/>
  <c r="AX54" i="2"/>
  <c r="AW54" i="2"/>
  <c r="AV54" i="2"/>
  <c r="AU54" i="2"/>
  <c r="AS54" i="2"/>
  <c r="AR54" i="2"/>
  <c r="AL54" i="2"/>
  <c r="AK54" i="2"/>
  <c r="AJ54" i="2"/>
  <c r="AI54" i="2"/>
  <c r="AH54" i="2"/>
  <c r="AD54" i="2"/>
  <c r="AA54" i="2"/>
  <c r="Z54" i="2"/>
  <c r="Y54" i="2"/>
  <c r="X54" i="2"/>
  <c r="W54" i="2"/>
  <c r="U54" i="2"/>
  <c r="T54" i="2"/>
  <c r="N54" i="2"/>
  <c r="M54" i="2"/>
  <c r="L54" i="2"/>
  <c r="K54" i="2"/>
  <c r="J54" i="2"/>
  <c r="AQ54" i="2"/>
  <c r="AX53" i="2"/>
  <c r="AW53" i="2"/>
  <c r="AU53" i="2"/>
  <c r="AT53" i="2"/>
  <c r="AN53" i="2"/>
  <c r="AM53" i="2"/>
  <c r="AL53" i="2"/>
  <c r="AK53" i="2"/>
  <c r="AJ53" i="2"/>
  <c r="AF53" i="2"/>
  <c r="AB53" i="2"/>
  <c r="AA53" i="2"/>
  <c r="Z53" i="2"/>
  <c r="Y53" i="2"/>
  <c r="W53" i="2"/>
  <c r="V53" i="2"/>
  <c r="P53" i="2"/>
  <c r="O53" i="2"/>
  <c r="N53" i="2"/>
  <c r="M53" i="2"/>
  <c r="L53" i="2"/>
  <c r="H53" i="2"/>
  <c r="AS53" i="2"/>
  <c r="AW52" i="2"/>
  <c r="AV52" i="2"/>
  <c r="AP52" i="2"/>
  <c r="AO52" i="2"/>
  <c r="AN52" i="2"/>
  <c r="AM52" i="2"/>
  <c r="AL52" i="2"/>
  <c r="AD52" i="2"/>
  <c r="AB52" i="2"/>
  <c r="AA52" i="2"/>
  <c r="Z52" i="2"/>
  <c r="Y52" i="2"/>
  <c r="X52" i="2"/>
  <c r="R52" i="2"/>
  <c r="Q52" i="2"/>
  <c r="P52" i="2"/>
  <c r="O52" i="2"/>
  <c r="N52" i="2"/>
  <c r="AU52" i="2"/>
  <c r="AR51" i="2"/>
  <c r="AO51" i="2"/>
  <c r="AN51" i="2"/>
  <c r="AF51" i="2"/>
  <c r="AE51" i="2"/>
  <c r="AD51" i="2"/>
  <c r="AB51" i="2"/>
  <c r="Z51" i="2"/>
  <c r="AX51" i="2"/>
  <c r="AT50" i="2"/>
  <c r="AQ50" i="2"/>
  <c r="AP50" i="2"/>
  <c r="AH50" i="2"/>
  <c r="AG50" i="2"/>
  <c r="AE50" i="2"/>
  <c r="AD50" i="2"/>
  <c r="AB50" i="2"/>
  <c r="V50" i="2"/>
  <c r="S50" i="2"/>
  <c r="R50" i="2"/>
  <c r="J50" i="2"/>
  <c r="I50" i="2"/>
  <c r="H50" i="2"/>
  <c r="AF50" i="2"/>
  <c r="AV49" i="2"/>
  <c r="AU49" i="2"/>
  <c r="AT49" i="2"/>
  <c r="AS49" i="2"/>
  <c r="AR49" i="2"/>
  <c r="AJ49" i="2"/>
  <c r="AI49" i="2"/>
  <c r="AH49" i="2"/>
  <c r="AG49" i="2"/>
  <c r="AF49" i="2"/>
  <c r="AD49" i="2"/>
  <c r="X49" i="2"/>
  <c r="W49" i="2"/>
  <c r="V49" i="2"/>
  <c r="U49" i="2"/>
  <c r="T49" i="2"/>
  <c r="L49" i="2"/>
  <c r="K49" i="2"/>
  <c r="J49" i="2"/>
  <c r="I49" i="2"/>
  <c r="H49" i="2"/>
  <c r="AB49" i="2"/>
  <c r="AX48" i="2"/>
  <c r="AW48" i="2"/>
  <c r="AV48" i="2"/>
  <c r="AU48" i="2"/>
  <c r="AT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Z48" i="2"/>
  <c r="Y48" i="2"/>
  <c r="X48" i="2"/>
  <c r="W48" i="2"/>
  <c r="V48" i="2"/>
  <c r="S48" i="2"/>
  <c r="R48" i="2"/>
  <c r="Q48" i="2"/>
  <c r="P48" i="2"/>
  <c r="O48" i="2"/>
  <c r="N48" i="2"/>
  <c r="M48" i="2"/>
  <c r="L48" i="2"/>
  <c r="K48" i="2"/>
  <c r="J48" i="2"/>
  <c r="I48" i="2"/>
  <c r="H48" i="2"/>
  <c r="AE48" i="2"/>
  <c r="AX47" i="2"/>
  <c r="AW47" i="2"/>
  <c r="AV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B47" i="2"/>
  <c r="AA47" i="2"/>
  <c r="Z47" i="2"/>
  <c r="Y47" i="2"/>
  <c r="X47" i="2"/>
  <c r="U47" i="2"/>
  <c r="T47" i="2"/>
  <c r="S47" i="2"/>
  <c r="R47" i="2"/>
  <c r="Q47" i="2"/>
  <c r="P47" i="2"/>
  <c r="O47" i="2"/>
  <c r="N47" i="2"/>
  <c r="M47" i="2"/>
  <c r="L47" i="2"/>
  <c r="K47" i="2"/>
  <c r="J47" i="2"/>
  <c r="AG47" i="2"/>
  <c r="AX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D46" i="2"/>
  <c r="AB46" i="2"/>
  <c r="AA46" i="2"/>
  <c r="Z46" i="2"/>
  <c r="W46" i="2"/>
  <c r="V46" i="2"/>
  <c r="U46" i="2"/>
  <c r="T46" i="2"/>
  <c r="S46" i="2"/>
  <c r="R46" i="2"/>
  <c r="Q46" i="2"/>
  <c r="P46" i="2"/>
  <c r="O46" i="2"/>
  <c r="N46" i="2"/>
  <c r="M46" i="2"/>
  <c r="L46" i="2"/>
  <c r="AI46" i="2"/>
  <c r="AO45" i="2"/>
  <c r="AN45" i="2"/>
  <c r="AE45" i="2"/>
  <c r="AR45" i="2"/>
  <c r="AP44" i="2"/>
  <c r="AN44" i="2"/>
  <c r="AH44" i="2"/>
  <c r="AG44" i="2"/>
  <c r="AD44" i="2"/>
  <c r="V44" i="2"/>
  <c r="J44" i="2"/>
  <c r="I44" i="2"/>
  <c r="AT44" i="2"/>
  <c r="AX43" i="2"/>
  <c r="AW43" i="2"/>
  <c r="AV43" i="2"/>
  <c r="AU43" i="2"/>
  <c r="AT43" i="2"/>
  <c r="AS43" i="2"/>
  <c r="AR43" i="2"/>
  <c r="AQ43" i="2"/>
  <c r="AP43" i="2"/>
  <c r="AJ43" i="2"/>
  <c r="AI43" i="2"/>
  <c r="AH43" i="2"/>
  <c r="AG43" i="2"/>
  <c r="AF43" i="2"/>
  <c r="AB43" i="2"/>
  <c r="AA43" i="2"/>
  <c r="Z43" i="2"/>
  <c r="Y43" i="2"/>
  <c r="X43" i="2"/>
  <c r="W43" i="2"/>
  <c r="V43" i="2"/>
  <c r="U43" i="2"/>
  <c r="T43" i="2"/>
  <c r="S43" i="2"/>
  <c r="R43" i="2"/>
  <c r="N43" i="2"/>
  <c r="L43" i="2"/>
  <c r="K43" i="2"/>
  <c r="J43" i="2"/>
  <c r="I43" i="2"/>
  <c r="H43" i="2"/>
  <c r="AO43" i="2"/>
  <c r="AX42" i="2"/>
  <c r="AW42" i="2"/>
  <c r="AV42" i="2"/>
  <c r="AU42" i="2"/>
  <c r="AT42" i="2"/>
  <c r="AS42" i="2"/>
  <c r="AR42" i="2"/>
  <c r="AL42" i="2"/>
  <c r="AK42" i="2"/>
  <c r="AJ42" i="2"/>
  <c r="AI42" i="2"/>
  <c r="AH42" i="2"/>
  <c r="AD42" i="2"/>
  <c r="AB42" i="2"/>
  <c r="AA42" i="2"/>
  <c r="Z42" i="2"/>
  <c r="Y42" i="2"/>
  <c r="X42" i="2"/>
  <c r="W42" i="2"/>
  <c r="V42" i="2"/>
  <c r="U42" i="2"/>
  <c r="T42" i="2"/>
  <c r="N42" i="2"/>
  <c r="M42" i="2"/>
  <c r="L42" i="2"/>
  <c r="K42" i="2"/>
  <c r="J42" i="2"/>
  <c r="AQ42" i="2"/>
  <c r="AX41" i="2"/>
  <c r="AW41" i="2"/>
  <c r="AV41" i="2"/>
  <c r="AU41" i="2"/>
  <c r="AT41" i="2"/>
  <c r="AN41" i="2"/>
  <c r="AM41" i="2"/>
  <c r="AL41" i="2"/>
  <c r="AK41" i="2"/>
  <c r="AJ41" i="2"/>
  <c r="AF41" i="2"/>
  <c r="AB41" i="2"/>
  <c r="AA41" i="2"/>
  <c r="Z41" i="2"/>
  <c r="Y41" i="2"/>
  <c r="X41" i="2"/>
  <c r="W41" i="2"/>
  <c r="V41" i="2"/>
  <c r="P41" i="2"/>
  <c r="O41" i="2"/>
  <c r="N41" i="2"/>
  <c r="M41" i="2"/>
  <c r="L41" i="2"/>
  <c r="H41" i="2"/>
  <c r="AS41" i="2"/>
  <c r="AX40" i="2"/>
  <c r="AW40" i="2"/>
  <c r="AV40" i="2"/>
  <c r="AP40" i="2"/>
  <c r="AO40" i="2"/>
  <c r="AN40" i="2"/>
  <c r="AM40" i="2"/>
  <c r="AL40" i="2"/>
  <c r="AD40" i="2"/>
  <c r="AB40" i="2"/>
  <c r="AA40" i="2"/>
  <c r="Z40" i="2"/>
  <c r="Y40" i="2"/>
  <c r="X40" i="2"/>
  <c r="R40" i="2"/>
  <c r="Q40" i="2"/>
  <c r="P40" i="2"/>
  <c r="O40" i="2"/>
  <c r="N40" i="2"/>
  <c r="AU40" i="2"/>
  <c r="AX39" i="2"/>
  <c r="AR39" i="2"/>
  <c r="AQ39" i="2"/>
  <c r="AO39" i="2"/>
  <c r="AN39" i="2"/>
  <c r="AE39" i="2"/>
  <c r="AD39" i="2"/>
  <c r="AB39" i="2"/>
  <c r="Z39" i="2"/>
  <c r="T39" i="2"/>
  <c r="S39" i="2"/>
  <c r="Q39" i="2"/>
  <c r="P39" i="2"/>
  <c r="AF39" i="2"/>
  <c r="J38" i="2"/>
  <c r="AV37" i="2"/>
  <c r="AU37" i="2"/>
  <c r="AT37" i="2"/>
  <c r="AS37" i="2"/>
  <c r="AR37" i="2"/>
  <c r="AJ37" i="2"/>
  <c r="AI37" i="2"/>
  <c r="AH37" i="2"/>
  <c r="AG37" i="2"/>
  <c r="AF37" i="2"/>
  <c r="AD37" i="2"/>
  <c r="X37" i="2"/>
  <c r="W37" i="2"/>
  <c r="V37" i="2"/>
  <c r="U37" i="2"/>
  <c r="T37" i="2"/>
  <c r="L37" i="2"/>
  <c r="K37" i="2"/>
  <c r="J37" i="2"/>
  <c r="I37" i="2"/>
  <c r="H37" i="2"/>
  <c r="AB37" i="2"/>
  <c r="AX36" i="2"/>
  <c r="AW36" i="2"/>
  <c r="AV36" i="2"/>
  <c r="AU36" i="2"/>
  <c r="AT36" i="2"/>
  <c r="AP36" i="2"/>
  <c r="AO36" i="2"/>
  <c r="AN36" i="2"/>
  <c r="AM36" i="2"/>
  <c r="AL36" i="2"/>
  <c r="AK36" i="2"/>
  <c r="AJ36" i="2"/>
  <c r="AI36" i="2"/>
  <c r="AH36" i="2"/>
  <c r="AG36" i="2"/>
  <c r="AF36" i="2"/>
  <c r="Z36" i="2"/>
  <c r="Y36" i="2"/>
  <c r="X36" i="2"/>
  <c r="W36" i="2"/>
  <c r="V36" i="2"/>
  <c r="S36" i="2"/>
  <c r="R36" i="2"/>
  <c r="Q36" i="2"/>
  <c r="P36" i="2"/>
  <c r="O36" i="2"/>
  <c r="N36" i="2"/>
  <c r="M36" i="2"/>
  <c r="L36" i="2"/>
  <c r="K36" i="2"/>
  <c r="J36" i="2"/>
  <c r="I36" i="2"/>
  <c r="H36" i="2"/>
  <c r="AE36" i="2"/>
  <c r="AX35" i="2"/>
  <c r="AW35" i="2"/>
  <c r="AV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B35" i="2"/>
  <c r="AA35" i="2"/>
  <c r="Z35" i="2"/>
  <c r="Y35" i="2"/>
  <c r="X35" i="2"/>
  <c r="U35" i="2"/>
  <c r="T35" i="2"/>
  <c r="S35" i="2"/>
  <c r="R35" i="2"/>
  <c r="Q35" i="2"/>
  <c r="P35" i="2"/>
  <c r="O35" i="2"/>
  <c r="N35" i="2"/>
  <c r="M35" i="2"/>
  <c r="L35" i="2"/>
  <c r="K35" i="2"/>
  <c r="J35" i="2"/>
  <c r="AG35" i="2"/>
  <c r="AX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G34" i="2"/>
  <c r="AF34" i="2"/>
  <c r="AD34" i="2"/>
  <c r="AB34" i="2"/>
  <c r="AA34" i="2"/>
  <c r="Z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I34" i="2"/>
  <c r="H34" i="2"/>
  <c r="AI34" i="2"/>
  <c r="AR33" i="2"/>
  <c r="AQ33" i="2"/>
  <c r="AN33" i="2"/>
  <c r="T33" i="2"/>
  <c r="S33" i="2"/>
  <c r="Q33" i="2"/>
  <c r="P33" i="2"/>
  <c r="N33" i="2"/>
  <c r="AP33" i="2"/>
  <c r="AQ32" i="2"/>
  <c r="AP32" i="2"/>
  <c r="AG32" i="2"/>
  <c r="AT32" i="2"/>
  <c r="AX31" i="2"/>
  <c r="AW31" i="2"/>
  <c r="AV31" i="2"/>
  <c r="AU31" i="2"/>
  <c r="AT31" i="2"/>
  <c r="AS31" i="2"/>
  <c r="AR31" i="2"/>
  <c r="AQ31" i="2"/>
  <c r="AP31" i="2"/>
  <c r="AJ31" i="2"/>
  <c r="AI31" i="2"/>
  <c r="AH31" i="2"/>
  <c r="AG31" i="2"/>
  <c r="AF31" i="2"/>
  <c r="AB31" i="2"/>
  <c r="AA31" i="2"/>
  <c r="Z31" i="2"/>
  <c r="Y31" i="2"/>
  <c r="X31" i="2"/>
  <c r="W31" i="2"/>
  <c r="V31" i="2"/>
  <c r="U31" i="2"/>
  <c r="T31" i="2"/>
  <c r="S31" i="2"/>
  <c r="R31" i="2"/>
  <c r="L31" i="2"/>
  <c r="K31" i="2"/>
  <c r="J31" i="2"/>
  <c r="I31" i="2"/>
  <c r="H31" i="2"/>
  <c r="AO31" i="2"/>
  <c r="AX30" i="2"/>
  <c r="AW30" i="2"/>
  <c r="AV30" i="2"/>
  <c r="AU30" i="2"/>
  <c r="AT30" i="2"/>
  <c r="AS30" i="2"/>
  <c r="AR30" i="2"/>
  <c r="AL30" i="2"/>
  <c r="AK30" i="2"/>
  <c r="AJ30" i="2"/>
  <c r="AI30" i="2"/>
  <c r="AH30" i="2"/>
  <c r="AD30" i="2"/>
  <c r="AB30" i="2"/>
  <c r="AA30" i="2"/>
  <c r="Z30" i="2"/>
  <c r="Y30" i="2"/>
  <c r="X30" i="2"/>
  <c r="W30" i="2"/>
  <c r="V30" i="2"/>
  <c r="U30" i="2"/>
  <c r="T30" i="2"/>
  <c r="N30" i="2"/>
  <c r="M30" i="2"/>
  <c r="L30" i="2"/>
  <c r="K30" i="2"/>
  <c r="J30" i="2"/>
  <c r="AQ30" i="2"/>
  <c r="AX29" i="2"/>
  <c r="AW29" i="2"/>
  <c r="AV29" i="2"/>
  <c r="AU29" i="2"/>
  <c r="AT29" i="2"/>
  <c r="AN29" i="2"/>
  <c r="AM29" i="2"/>
  <c r="AL29" i="2"/>
  <c r="AK29" i="2"/>
  <c r="AJ29" i="2"/>
  <c r="AF29" i="2"/>
  <c r="AB29" i="2"/>
  <c r="AA29" i="2"/>
  <c r="Z29" i="2"/>
  <c r="Y29" i="2"/>
  <c r="X29" i="2"/>
  <c r="W29" i="2"/>
  <c r="V29" i="2"/>
  <c r="P29" i="2"/>
  <c r="O29" i="2"/>
  <c r="N29" i="2"/>
  <c r="M29" i="2"/>
  <c r="L29" i="2"/>
  <c r="H29" i="2"/>
  <c r="AS29" i="2"/>
  <c r="AX28" i="2"/>
  <c r="AW28" i="2"/>
  <c r="AV28" i="2"/>
  <c r="AP28" i="2"/>
  <c r="AO28" i="2"/>
  <c r="AN28" i="2"/>
  <c r="AM28" i="2"/>
  <c r="AL28" i="2"/>
  <c r="AD28" i="2"/>
  <c r="AB28" i="2"/>
  <c r="AA28" i="2"/>
  <c r="Z28" i="2"/>
  <c r="Y28" i="2"/>
  <c r="X28" i="2"/>
  <c r="R28" i="2"/>
  <c r="Q28" i="2"/>
  <c r="P28" i="2"/>
  <c r="O28" i="2"/>
  <c r="N28" i="2"/>
  <c r="AU28" i="2"/>
  <c r="AX27" i="2"/>
  <c r="AR27" i="2"/>
  <c r="AQ27" i="2"/>
  <c r="AN27" i="2"/>
  <c r="AF27" i="2"/>
  <c r="AE27" i="2"/>
  <c r="AD27" i="2"/>
  <c r="AB27" i="2"/>
  <c r="Z27" i="2"/>
  <c r="T27" i="2"/>
  <c r="S27" i="2"/>
  <c r="AO27" i="2"/>
  <c r="AT26" i="2"/>
  <c r="AS26" i="2"/>
  <c r="AQ26" i="2"/>
  <c r="AP26" i="2"/>
  <c r="AH26" i="2"/>
  <c r="AG26" i="2"/>
  <c r="AE26" i="2"/>
  <c r="AD26" i="2"/>
  <c r="AB26" i="2"/>
  <c r="V26" i="2"/>
  <c r="U26" i="2"/>
  <c r="S26" i="2"/>
  <c r="R26" i="2"/>
  <c r="J26" i="2"/>
  <c r="I26" i="2"/>
  <c r="AF26" i="2"/>
  <c r="AV25" i="2"/>
  <c r="AU25" i="2"/>
  <c r="AT25" i="2"/>
  <c r="AS25" i="2"/>
  <c r="AR25" i="2"/>
  <c r="AJ25" i="2"/>
  <c r="AI25" i="2"/>
  <c r="AH25" i="2"/>
  <c r="AG25" i="2"/>
  <c r="AF25" i="2"/>
  <c r="AD25" i="2"/>
  <c r="X25" i="2"/>
  <c r="W25" i="2"/>
  <c r="V25" i="2"/>
  <c r="U25" i="2"/>
  <c r="T25" i="2"/>
  <c r="L25" i="2"/>
  <c r="K25" i="2"/>
  <c r="J25" i="2"/>
  <c r="I25" i="2"/>
  <c r="H25" i="2"/>
  <c r="AB25" i="2"/>
  <c r="AX24" i="2"/>
  <c r="AW24" i="2"/>
  <c r="AV24" i="2"/>
  <c r="AU24" i="2"/>
  <c r="AT24" i="2"/>
  <c r="AP24" i="2"/>
  <c r="AO24" i="2"/>
  <c r="AN24" i="2"/>
  <c r="AM24" i="2"/>
  <c r="AL24" i="2"/>
  <c r="AK24" i="2"/>
  <c r="AJ24" i="2"/>
  <c r="AI24" i="2"/>
  <c r="AH24" i="2"/>
  <c r="AG24" i="2"/>
  <c r="AF24" i="2"/>
  <c r="Z24" i="2"/>
  <c r="Y24" i="2"/>
  <c r="X24" i="2"/>
  <c r="W24" i="2"/>
  <c r="V24" i="2"/>
  <c r="R24" i="2"/>
  <c r="Q24" i="2"/>
  <c r="P24" i="2"/>
  <c r="O24" i="2"/>
  <c r="N24" i="2"/>
  <c r="M24" i="2"/>
  <c r="L24" i="2"/>
  <c r="K24" i="2"/>
  <c r="J24" i="2"/>
  <c r="I24" i="2"/>
  <c r="H24" i="2"/>
  <c r="AE24" i="2"/>
  <c r="AX23" i="2"/>
  <c r="AW23" i="2"/>
  <c r="AV23" i="2"/>
  <c r="AR23" i="2"/>
  <c r="AQ23" i="2"/>
  <c r="AP23" i="2"/>
  <c r="AO23" i="2"/>
  <c r="AN23" i="2"/>
  <c r="AM23" i="2"/>
  <c r="AL23" i="2"/>
  <c r="AK23" i="2"/>
  <c r="AJ23" i="2"/>
  <c r="AI23" i="2"/>
  <c r="AH23" i="2"/>
  <c r="AB23" i="2"/>
  <c r="AA23" i="2"/>
  <c r="Z23" i="2"/>
  <c r="Y23" i="2"/>
  <c r="X23" i="2"/>
  <c r="T23" i="2"/>
  <c r="S23" i="2"/>
  <c r="R23" i="2"/>
  <c r="Q23" i="2"/>
  <c r="P23" i="2"/>
  <c r="O23" i="2"/>
  <c r="N23" i="2"/>
  <c r="M23" i="2"/>
  <c r="L23" i="2"/>
  <c r="K23" i="2"/>
  <c r="J23" i="2"/>
  <c r="AG23" i="2"/>
  <c r="AX22" i="2"/>
  <c r="AT22" i="2"/>
  <c r="AS22" i="2"/>
  <c r="AR22" i="2"/>
  <c r="AQ22" i="2"/>
  <c r="AP22" i="2"/>
  <c r="AO22" i="2"/>
  <c r="AN22" i="2"/>
  <c r="AM22" i="2"/>
  <c r="AL22" i="2"/>
  <c r="AK22" i="2"/>
  <c r="AJ22" i="2"/>
  <c r="AD22" i="2"/>
  <c r="AB22" i="2"/>
  <c r="AA22" i="2"/>
  <c r="Z22" i="2"/>
  <c r="V22" i="2"/>
  <c r="U22" i="2"/>
  <c r="T22" i="2"/>
  <c r="S22" i="2"/>
  <c r="R22" i="2"/>
  <c r="Q22" i="2"/>
  <c r="P22" i="2"/>
  <c r="O22" i="2"/>
  <c r="N22" i="2"/>
  <c r="M22" i="2"/>
  <c r="L22" i="2"/>
  <c r="AI22" i="2"/>
  <c r="AN21" i="2"/>
  <c r="AL21" i="2"/>
  <c r="AF21" i="2"/>
  <c r="AE21" i="2"/>
  <c r="AB21" i="2"/>
  <c r="N21" i="2"/>
  <c r="H21" i="2"/>
  <c r="AR21" i="2"/>
  <c r="AG20" i="2"/>
  <c r="AF20" i="2"/>
  <c r="V20" i="2"/>
  <c r="AT20" i="2"/>
  <c r="AX19" i="2"/>
  <c r="AW19" i="2"/>
  <c r="AV19" i="2"/>
  <c r="AU19" i="2"/>
  <c r="AT19" i="2"/>
  <c r="AS19" i="2"/>
  <c r="AR19" i="2"/>
  <c r="AQ19" i="2"/>
  <c r="AP19" i="2"/>
  <c r="AJ19" i="2"/>
  <c r="AI19" i="2"/>
  <c r="AH19" i="2"/>
  <c r="AG19" i="2"/>
  <c r="AF19" i="2"/>
  <c r="AB19" i="2"/>
  <c r="AA19" i="2"/>
  <c r="Z19" i="2"/>
  <c r="Y19" i="2"/>
  <c r="X19" i="2"/>
  <c r="W19" i="2"/>
  <c r="V19" i="2"/>
  <c r="U19" i="2"/>
  <c r="T19" i="2"/>
  <c r="S19" i="2"/>
  <c r="R19" i="2"/>
  <c r="L19" i="2"/>
  <c r="K19" i="2"/>
  <c r="J19" i="2"/>
  <c r="I19" i="2"/>
  <c r="H19" i="2"/>
  <c r="AO19" i="2"/>
  <c r="AX18" i="2"/>
  <c r="AW18" i="2"/>
  <c r="AV18" i="2"/>
  <c r="AU18" i="2"/>
  <c r="AT18" i="2"/>
  <c r="AS18" i="2"/>
  <c r="AR18" i="2"/>
  <c r="AL18" i="2"/>
  <c r="AK18" i="2"/>
  <c r="AJ18" i="2"/>
  <c r="AI18" i="2"/>
  <c r="AH18" i="2"/>
  <c r="AD18" i="2"/>
  <c r="AB18" i="2"/>
  <c r="AA18" i="2"/>
  <c r="Z18" i="2"/>
  <c r="Y18" i="2"/>
  <c r="X18" i="2"/>
  <c r="W18" i="2"/>
  <c r="V18" i="2"/>
  <c r="U18" i="2"/>
  <c r="T18" i="2"/>
  <c r="N18" i="2"/>
  <c r="M18" i="2"/>
  <c r="L18" i="2"/>
  <c r="K18" i="2"/>
  <c r="J18" i="2"/>
  <c r="AQ18" i="2"/>
  <c r="AX17" i="2"/>
  <c r="AW17" i="2"/>
  <c r="AV17" i="2"/>
  <c r="AU17" i="2"/>
  <c r="AT17" i="2"/>
  <c r="AN17" i="2"/>
  <c r="AM17" i="2"/>
  <c r="AL17" i="2"/>
  <c r="AK17" i="2"/>
  <c r="AJ17" i="2"/>
  <c r="AF17" i="2"/>
  <c r="AB17" i="2"/>
  <c r="AA17" i="2"/>
  <c r="Z17" i="2"/>
  <c r="Y17" i="2"/>
  <c r="X17" i="2"/>
  <c r="W17" i="2"/>
  <c r="V17" i="2"/>
  <c r="P17" i="2"/>
  <c r="O17" i="2"/>
  <c r="N17" i="2"/>
  <c r="M17" i="2"/>
  <c r="L17" i="2"/>
  <c r="H17" i="2"/>
  <c r="AS17" i="2"/>
  <c r="AX16" i="2"/>
  <c r="AW16" i="2"/>
  <c r="AV16" i="2"/>
  <c r="AP16" i="2"/>
  <c r="AO16" i="2"/>
  <c r="AN16" i="2"/>
  <c r="AM16" i="2"/>
  <c r="AL16" i="2"/>
  <c r="AD16" i="2"/>
  <c r="AB16" i="2"/>
  <c r="AA16" i="2"/>
  <c r="Z16" i="2"/>
  <c r="Y16" i="2"/>
  <c r="X16" i="2"/>
  <c r="R16" i="2"/>
  <c r="Q16" i="2"/>
  <c r="P16" i="2"/>
  <c r="O16" i="2"/>
  <c r="N16" i="2"/>
  <c r="AU16" i="2"/>
  <c r="AD15" i="2"/>
  <c r="Z15" i="2"/>
  <c r="H15" i="2"/>
  <c r="AX15" i="2"/>
  <c r="AF14" i="2"/>
  <c r="AE14" i="2"/>
  <c r="AB14" i="2"/>
  <c r="J14" i="2"/>
  <c r="I14" i="2"/>
  <c r="AT14" i="2"/>
  <c r="AS13" i="2"/>
  <c r="AR13" i="2"/>
  <c r="AK13" i="2"/>
  <c r="AJ13" i="2"/>
  <c r="AI13" i="2"/>
  <c r="AH13" i="2"/>
  <c r="AE13" i="2"/>
  <c r="T13" i="2"/>
  <c r="M13" i="2"/>
  <c r="K13" i="2"/>
  <c r="J13" i="2"/>
  <c r="I13" i="2"/>
  <c r="AU13" i="2"/>
  <c r="AX12" i="2"/>
  <c r="AW12" i="2"/>
  <c r="AV12" i="2"/>
  <c r="AU12" i="2"/>
  <c r="AT12" i="2"/>
  <c r="AP12" i="2"/>
  <c r="AO12" i="2"/>
  <c r="AN12" i="2"/>
  <c r="AM12" i="2"/>
  <c r="AL12" i="2"/>
  <c r="AK12" i="2"/>
  <c r="AJ12" i="2"/>
  <c r="AI12" i="2"/>
  <c r="AH12" i="2"/>
  <c r="AG12" i="2"/>
  <c r="AF12" i="2"/>
  <c r="Z12" i="2"/>
  <c r="Y12" i="2"/>
  <c r="X12" i="2"/>
  <c r="W12" i="2"/>
  <c r="V12" i="2"/>
  <c r="R12" i="2"/>
  <c r="Q12" i="2"/>
  <c r="P12" i="2"/>
  <c r="O12" i="2"/>
  <c r="N12" i="2"/>
  <c r="M12" i="2"/>
  <c r="L12" i="2"/>
  <c r="K12" i="2"/>
  <c r="J12" i="2"/>
  <c r="I12" i="2"/>
  <c r="H12" i="2"/>
  <c r="AE12" i="2"/>
  <c r="AX11" i="2"/>
  <c r="AW11" i="2"/>
  <c r="AV11" i="2"/>
  <c r="AR11" i="2"/>
  <c r="AQ11" i="2"/>
  <c r="AP11" i="2"/>
  <c r="AO11" i="2"/>
  <c r="AN11" i="2"/>
  <c r="AM11" i="2"/>
  <c r="AL11" i="2"/>
  <c r="AK11" i="2"/>
  <c r="AJ11" i="2"/>
  <c r="AI11" i="2"/>
  <c r="AH11" i="2"/>
  <c r="AB11" i="2"/>
  <c r="AA11" i="2"/>
  <c r="Z11" i="2"/>
  <c r="Y11" i="2"/>
  <c r="X11" i="2"/>
  <c r="T11" i="2"/>
  <c r="S11" i="2"/>
  <c r="R11" i="2"/>
  <c r="Q11" i="2"/>
  <c r="P11" i="2"/>
  <c r="O11" i="2"/>
  <c r="N11" i="2"/>
  <c r="M11" i="2"/>
  <c r="L11" i="2"/>
  <c r="K11" i="2"/>
  <c r="J11" i="2"/>
  <c r="I11" i="2"/>
  <c r="AG11" i="2"/>
  <c r="AX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D10" i="2"/>
  <c r="AB10" i="2"/>
  <c r="AA10" i="2"/>
  <c r="Z10" i="2"/>
  <c r="Y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AH10" i="2"/>
  <c r="AS9" i="2"/>
  <c r="AR9" i="2"/>
  <c r="AD9" i="2"/>
  <c r="U9" i="2"/>
  <c r="O9" i="2"/>
  <c r="N9" i="2"/>
  <c r="AQ9" i="2"/>
  <c r="AT8" i="2"/>
  <c r="AR8" i="2"/>
  <c r="AQ8" i="2"/>
  <c r="AP8" i="2"/>
  <c r="AO8" i="2"/>
  <c r="AG8" i="2"/>
  <c r="W8" i="2"/>
  <c r="V8" i="2"/>
  <c r="T8" i="2"/>
  <c r="S8" i="2"/>
  <c r="R8" i="2"/>
  <c r="H8" i="2"/>
  <c r="AN8" i="2"/>
  <c r="AX7" i="2"/>
  <c r="AW7" i="2"/>
  <c r="AV7" i="2"/>
  <c r="AU7" i="2"/>
  <c r="AT7" i="2"/>
  <c r="AS7" i="2"/>
  <c r="AR7" i="2"/>
  <c r="AQ7" i="2"/>
  <c r="AP7" i="2"/>
  <c r="AJ7" i="2"/>
  <c r="AI7" i="2"/>
  <c r="AH7" i="2"/>
  <c r="AG7" i="2"/>
  <c r="AF7" i="2"/>
  <c r="AB7" i="2"/>
  <c r="AA7" i="2"/>
  <c r="Z7" i="2"/>
  <c r="Y7" i="2"/>
  <c r="X7" i="2"/>
  <c r="W7" i="2"/>
  <c r="V7" i="2"/>
  <c r="U7" i="2"/>
  <c r="T7" i="2"/>
  <c r="S7" i="2"/>
  <c r="R7" i="2"/>
  <c r="P7" i="2"/>
  <c r="N7" i="2"/>
  <c r="L7" i="2"/>
  <c r="K7" i="2"/>
  <c r="J7" i="2"/>
  <c r="I7" i="2"/>
  <c r="H7" i="2"/>
  <c r="AO7" i="2"/>
  <c r="AX6" i="2"/>
  <c r="AW6" i="2"/>
  <c r="AV6" i="2"/>
  <c r="AU6" i="2"/>
  <c r="AT6" i="2"/>
  <c r="AS6" i="2"/>
  <c r="AR6" i="2"/>
  <c r="AL6" i="2"/>
  <c r="AK6" i="2"/>
  <c r="AJ6" i="2"/>
  <c r="AI6" i="2"/>
  <c r="AH6" i="2"/>
  <c r="AD6" i="2"/>
  <c r="AB6" i="2"/>
  <c r="AA6" i="2"/>
  <c r="Z6" i="2"/>
  <c r="Y6" i="2"/>
  <c r="X6" i="2"/>
  <c r="W6" i="2"/>
  <c r="V6" i="2"/>
  <c r="U6" i="2"/>
  <c r="T6" i="2"/>
  <c r="P6" i="2"/>
  <c r="N6" i="2"/>
  <c r="M6" i="2"/>
  <c r="L6" i="2"/>
  <c r="K6" i="2"/>
  <c r="J6" i="2"/>
  <c r="AQ6" i="2"/>
  <c r="AX5" i="2"/>
  <c r="AW5" i="2"/>
  <c r="AV5" i="2"/>
  <c r="AT5" i="2"/>
  <c r="AN5" i="2"/>
  <c r="AM5" i="2"/>
  <c r="AL5" i="2"/>
  <c r="AK5" i="2"/>
  <c r="AJ5" i="2"/>
  <c r="AF5" i="2"/>
  <c r="AE5" i="2"/>
  <c r="AD5" i="2"/>
  <c r="AB5" i="2"/>
  <c r="AA5" i="2"/>
  <c r="Z5" i="2"/>
  <c r="Y5" i="2"/>
  <c r="X5" i="2"/>
  <c r="W5" i="2"/>
  <c r="V5" i="2"/>
  <c r="P5" i="2"/>
  <c r="O5" i="2"/>
  <c r="N5" i="2"/>
  <c r="M5" i="2"/>
  <c r="L5" i="2"/>
  <c r="H5" i="2"/>
  <c r="AV4" i="2"/>
  <c r="AD4" i="2"/>
  <c r="Z4" i="2"/>
  <c r="H4" i="2"/>
  <c r="AO4" i="2"/>
  <c r="AH3" i="2"/>
  <c r="AQ2" i="2"/>
  <c r="AP2" i="2"/>
  <c r="AL2" i="2"/>
  <c r="AK2" i="2"/>
  <c r="AJ2" i="2"/>
  <c r="AI2" i="2"/>
  <c r="AG2" i="2"/>
  <c r="AD2" i="2"/>
  <c r="AB2" i="2"/>
  <c r="X2" i="2"/>
  <c r="W2" i="2"/>
  <c r="V2" i="2"/>
  <c r="T2" i="2"/>
  <c r="S2" i="2"/>
  <c r="M2" i="2"/>
  <c r="L2" i="2"/>
  <c r="K2" i="2"/>
  <c r="J2" i="2"/>
  <c r="I2" i="2"/>
  <c r="H2" i="2"/>
  <c r="AF2" i="2"/>
  <c r="AY139" i="2" l="1"/>
  <c r="AC204" i="2"/>
  <c r="AY305" i="2"/>
  <c r="AC336" i="2"/>
  <c r="AC58" i="2"/>
  <c r="AC397" i="2"/>
  <c r="AY47" i="2"/>
  <c r="AY313" i="2"/>
  <c r="AC5" i="2"/>
  <c r="AY235" i="2"/>
  <c r="AC70" i="2"/>
  <c r="AC266" i="2"/>
  <c r="AC421" i="2"/>
  <c r="AY35" i="2"/>
  <c r="AC65" i="2"/>
  <c r="AY58" i="2"/>
  <c r="AY497" i="2"/>
  <c r="AY90" i="2"/>
  <c r="AY143" i="2"/>
  <c r="AC171" i="2"/>
  <c r="AY210" i="2"/>
  <c r="AY337" i="2"/>
  <c r="AC459" i="2"/>
  <c r="AY509" i="2"/>
  <c r="BB115" i="2"/>
  <c r="BC115" i="2" s="1"/>
  <c r="BB375" i="2"/>
  <c r="BC375" i="2" s="1"/>
  <c r="AY520" i="2"/>
  <c r="AY89" i="2"/>
  <c r="BB349" i="2"/>
  <c r="BC349" i="2" s="1"/>
  <c r="BB508" i="2"/>
  <c r="BC508" i="2" s="1"/>
  <c r="AY361" i="2"/>
  <c r="AC453" i="2"/>
  <c r="AC34" i="2"/>
  <c r="BB127" i="2"/>
  <c r="BC127" i="2" s="1"/>
  <c r="AY228" i="2"/>
  <c r="AY365" i="2"/>
  <c r="AZ266" i="2"/>
  <c r="AC359" i="2"/>
  <c r="AY290" i="2"/>
  <c r="AC367" i="2"/>
  <c r="AY128" i="2"/>
  <c r="AC203" i="2"/>
  <c r="AC272" i="2"/>
  <c r="AC324" i="2"/>
  <c r="AC395" i="2"/>
  <c r="AC46" i="2"/>
  <c r="BB70" i="2"/>
  <c r="BC70" i="2" s="1"/>
  <c r="AY84" i="2"/>
  <c r="BB103" i="2"/>
  <c r="BC103" i="2" s="1"/>
  <c r="AY105" i="2"/>
  <c r="AC127" i="2"/>
  <c r="AY151" i="2"/>
  <c r="BD337" i="2"/>
  <c r="AY279" i="2"/>
  <c r="AY442" i="2"/>
  <c r="AC278" i="2"/>
  <c r="AC412" i="2"/>
  <c r="AC18" i="2"/>
  <c r="AC83" i="2"/>
  <c r="BB465" i="2"/>
  <c r="BC465" i="2" s="1"/>
  <c r="AY488" i="2"/>
  <c r="AY59" i="2"/>
  <c r="BB120" i="2"/>
  <c r="BC120" i="2" s="1"/>
  <c r="AC325" i="2"/>
  <c r="AC340" i="2"/>
  <c r="AC456" i="2"/>
  <c r="AC10" i="2"/>
  <c r="AC419" i="2"/>
  <c r="AY127" i="2"/>
  <c r="AY145" i="2"/>
  <c r="AY255" i="2"/>
  <c r="AY110" i="2"/>
  <c r="AY55" i="2"/>
  <c r="AY159" i="2"/>
  <c r="AC228" i="2"/>
  <c r="AZ228" i="2" s="1"/>
  <c r="AY412" i="2"/>
  <c r="AY481" i="2"/>
  <c r="AC508" i="2"/>
  <c r="AC216" i="2"/>
  <c r="AY254" i="2"/>
  <c r="AC411" i="2"/>
  <c r="AC460" i="2"/>
  <c r="AY500" i="2"/>
  <c r="AC103" i="2"/>
  <c r="AY188" i="2"/>
  <c r="AY192" i="2"/>
  <c r="BD412" i="2"/>
  <c r="AY186" i="2"/>
  <c r="AC210" i="2"/>
  <c r="BB387" i="2"/>
  <c r="BC387" i="2" s="1"/>
  <c r="BB476" i="2"/>
  <c r="BC476" i="2" s="1"/>
  <c r="AY267" i="2"/>
  <c r="AC290" i="2"/>
  <c r="AC401" i="2"/>
  <c r="AY496" i="2"/>
  <c r="AC139" i="2"/>
  <c r="AZ139" i="2" s="1"/>
  <c r="AY7" i="2"/>
  <c r="AY116" i="2"/>
  <c r="AY152" i="2"/>
  <c r="AC189" i="2"/>
  <c r="AC474" i="2"/>
  <c r="AC159" i="2"/>
  <c r="AC6" i="2"/>
  <c r="AC71" i="2"/>
  <c r="AC186" i="2"/>
  <c r="AY356" i="2"/>
  <c r="AC151" i="2"/>
  <c r="BB291" i="2"/>
  <c r="BC291" i="2" s="1"/>
  <c r="AY67" i="2"/>
  <c r="AC110" i="2"/>
  <c r="AY164" i="2"/>
  <c r="AY291" i="2"/>
  <c r="AC496" i="2"/>
  <c r="BB89" i="2"/>
  <c r="BC89" i="2" s="1"/>
  <c r="AY229" i="2"/>
  <c r="AC313" i="2"/>
  <c r="AZ313" i="2" s="1"/>
  <c r="AC333" i="2"/>
  <c r="AY348" i="2"/>
  <c r="BB509" i="2"/>
  <c r="BC509" i="2" s="1"/>
  <c r="AC77" i="2"/>
  <c r="AC146" i="2"/>
  <c r="AC187" i="2"/>
  <c r="AC253" i="2"/>
  <c r="BD291" i="2"/>
  <c r="AY320" i="2"/>
  <c r="AC423" i="2"/>
  <c r="AC452" i="2"/>
  <c r="AC461" i="2"/>
  <c r="AZ461" i="2" s="1"/>
  <c r="AC511" i="2"/>
  <c r="AZ186" i="2"/>
  <c r="BD220" i="2"/>
  <c r="AC242" i="2"/>
  <c r="AY273" i="2"/>
  <c r="AY77" i="2"/>
  <c r="AC122" i="2"/>
  <c r="AY140" i="2"/>
  <c r="AC192" i="2"/>
  <c r="BB192" i="2"/>
  <c r="BC192" i="2" s="1"/>
  <c r="AY200" i="2"/>
  <c r="AY419" i="2"/>
  <c r="AC438" i="2"/>
  <c r="AC30" i="2"/>
  <c r="AC42" i="2"/>
  <c r="AY216" i="2"/>
  <c r="AC236" i="2"/>
  <c r="BD327" i="2"/>
  <c r="AC375" i="2"/>
  <c r="AZ375" i="2" s="1"/>
  <c r="AY453" i="2"/>
  <c r="AY34" i="2"/>
  <c r="BD34" i="2"/>
  <c r="AY46" i="2"/>
  <c r="AY104" i="2"/>
  <c r="AY187" i="2"/>
  <c r="AY237" i="2"/>
  <c r="AC352" i="2"/>
  <c r="AY368" i="2"/>
  <c r="AY43" i="2"/>
  <c r="AY78" i="2"/>
  <c r="BB10" i="2"/>
  <c r="BC10" i="2" s="1"/>
  <c r="BD46" i="2"/>
  <c r="BB116" i="2"/>
  <c r="BC116" i="2" s="1"/>
  <c r="AY243" i="2"/>
  <c r="BB290" i="2"/>
  <c r="BC290" i="2" s="1"/>
  <c r="AY302" i="2"/>
  <c r="AC306" i="2"/>
  <c r="AY415" i="2"/>
  <c r="AY508" i="2"/>
  <c r="AY6" i="2"/>
  <c r="BB47" i="2"/>
  <c r="BC47" i="2" s="1"/>
  <c r="AC134" i="2"/>
  <c r="AY163" i="2"/>
  <c r="AY274" i="2"/>
  <c r="BD279" i="2"/>
  <c r="BB305" i="2"/>
  <c r="BC305" i="2" s="1"/>
  <c r="BB313" i="2"/>
  <c r="BC313" i="2" s="1"/>
  <c r="AC349" i="2"/>
  <c r="AC442" i="2"/>
  <c r="AY465" i="2"/>
  <c r="BB497" i="2"/>
  <c r="BC497" i="2" s="1"/>
  <c r="AC254" i="2"/>
  <c r="AZ254" i="2" s="1"/>
  <c r="AC207" i="2"/>
  <c r="AC224" i="2"/>
  <c r="BD255" i="2"/>
  <c r="BD305" i="2"/>
  <c r="BD361" i="2"/>
  <c r="BD483" i="2"/>
  <c r="AC2" i="2"/>
  <c r="AY70" i="2"/>
  <c r="AZ70" i="2" s="1"/>
  <c r="AC191" i="2"/>
  <c r="AC305" i="2"/>
  <c r="AZ305" i="2" s="1"/>
  <c r="AY325" i="2"/>
  <c r="AZ325" i="2" s="1"/>
  <c r="AC361" i="2"/>
  <c r="AZ361" i="2" s="1"/>
  <c r="AC429" i="2"/>
  <c r="AC437" i="2"/>
  <c r="AC477" i="2"/>
  <c r="AC483" i="2"/>
  <c r="BB140" i="2"/>
  <c r="BC140" i="2" s="1"/>
  <c r="BB204" i="2"/>
  <c r="BC204" i="2" s="1"/>
  <c r="AY411" i="2"/>
  <c r="AZ411" i="2" s="1"/>
  <c r="AC17" i="2"/>
  <c r="BD152" i="2"/>
  <c r="AY211" i="2"/>
  <c r="AY10" i="2"/>
  <c r="BD35" i="2"/>
  <c r="BD164" i="2"/>
  <c r="AY189" i="2"/>
  <c r="AY321" i="2"/>
  <c r="AZ321" i="2" s="1"/>
  <c r="AY22" i="2"/>
  <c r="BB58" i="2"/>
  <c r="BC58" i="2" s="1"/>
  <c r="BB77" i="2"/>
  <c r="BC77" i="2" s="1"/>
  <c r="BD267" i="2"/>
  <c r="BD421" i="2"/>
  <c r="BB485" i="2"/>
  <c r="BC485" i="2" s="1"/>
  <c r="AY512" i="2"/>
  <c r="BD22" i="2"/>
  <c r="BB132" i="2"/>
  <c r="BC132" i="2" s="1"/>
  <c r="BB151" i="2"/>
  <c r="BC151" i="2" s="1"/>
  <c r="AY240" i="2"/>
  <c r="BB278" i="2"/>
  <c r="BC278" i="2" s="1"/>
  <c r="BB307" i="2"/>
  <c r="BC307" i="2" s="1"/>
  <c r="BB325" i="2"/>
  <c r="BC325" i="2" s="1"/>
  <c r="AY403" i="2"/>
  <c r="AC89" i="2"/>
  <c r="BB169" i="2"/>
  <c r="BC169" i="2" s="1"/>
  <c r="BD178" i="2"/>
  <c r="BB216" i="2"/>
  <c r="BC216" i="2" s="1"/>
  <c r="AY306" i="2"/>
  <c r="AY349" i="2"/>
  <c r="AY460" i="2"/>
  <c r="AZ460" i="2" s="1"/>
  <c r="AC140" i="2"/>
  <c r="AY204" i="2"/>
  <c r="BD240" i="2"/>
  <c r="BD387" i="2"/>
  <c r="BB474" i="2"/>
  <c r="BC474" i="2" s="1"/>
  <c r="BB128" i="2"/>
  <c r="BC128" i="2" s="1"/>
  <c r="BD11" i="2"/>
  <c r="AC66" i="2"/>
  <c r="BB139" i="2"/>
  <c r="BC139" i="2" s="1"/>
  <c r="AC145" i="2"/>
  <c r="AY175" i="2"/>
  <c r="AY236" i="2"/>
  <c r="BB254" i="2"/>
  <c r="BC254" i="2" s="1"/>
  <c r="AC321" i="2"/>
  <c r="AY362" i="2"/>
  <c r="AC387" i="2"/>
  <c r="BD399" i="2"/>
  <c r="BB429" i="2"/>
  <c r="BC429" i="2" s="1"/>
  <c r="BB511" i="2"/>
  <c r="BC511" i="2" s="1"/>
  <c r="AC163" i="2"/>
  <c r="AC399" i="2"/>
  <c r="AY423" i="2"/>
  <c r="AY474" i="2"/>
  <c r="BD23" i="2"/>
  <c r="BD115" i="2"/>
  <c r="AY134" i="2"/>
  <c r="AC190" i="2"/>
  <c r="AC337" i="2"/>
  <c r="AA38" i="2"/>
  <c r="AX38" i="2"/>
  <c r="Z38" i="2"/>
  <c r="AW38" i="2"/>
  <c r="Y38" i="2"/>
  <c r="AV38" i="2"/>
  <c r="X38" i="2"/>
  <c r="AU38" i="2"/>
  <c r="W38" i="2"/>
  <c r="AR38" i="2"/>
  <c r="T38" i="2"/>
  <c r="AO38" i="2"/>
  <c r="Q38" i="2"/>
  <c r="AN38" i="2"/>
  <c r="P38" i="2"/>
  <c r="AM38" i="2"/>
  <c r="O38" i="2"/>
  <c r="AL38" i="2"/>
  <c r="N38" i="2"/>
  <c r="AK38" i="2"/>
  <c r="M38" i="2"/>
  <c r="AJ38" i="2"/>
  <c r="L38" i="2"/>
  <c r="AI38" i="2"/>
  <c r="K38" i="2"/>
  <c r="AN3" i="2"/>
  <c r="AA4" i="2"/>
  <c r="AH8" i="2"/>
  <c r="X9" i="2"/>
  <c r="AF13" i="2"/>
  <c r="AA15" i="2"/>
  <c r="AD20" i="2"/>
  <c r="AY31" i="2"/>
  <c r="AH32" i="2"/>
  <c r="AO33" i="2"/>
  <c r="H38" i="2"/>
  <c r="AC41" i="2"/>
  <c r="AF45" i="2"/>
  <c r="BB59" i="2"/>
  <c r="BC59" i="2" s="1"/>
  <c r="AJ3" i="2"/>
  <c r="U2" i="2"/>
  <c r="AO3" i="2"/>
  <c r="AB4" i="2"/>
  <c r="AB9" i="2"/>
  <c r="BD10" i="2"/>
  <c r="AG13" i="2"/>
  <c r="AD14" i="2"/>
  <c r="AB15" i="2"/>
  <c r="AY19" i="2"/>
  <c r="AE20" i="2"/>
  <c r="AD21" i="2"/>
  <c r="AN32" i="2"/>
  <c r="I38" i="2"/>
  <c r="AE44" i="2"/>
  <c r="AL45" i="2"/>
  <c r="BD47" i="2"/>
  <c r="AQ3" i="2"/>
  <c r="I3" i="2"/>
  <c r="AR3" i="2"/>
  <c r="AE4" i="2"/>
  <c r="AE9" i="2"/>
  <c r="AG14" i="2"/>
  <c r="AE15" i="2"/>
  <c r="AH20" i="2"/>
  <c r="AR32" i="2"/>
  <c r="S38" i="2"/>
  <c r="AP45" i="2"/>
  <c r="AA62" i="2"/>
  <c r="AX62" i="2"/>
  <c r="Z62" i="2"/>
  <c r="AW62" i="2"/>
  <c r="Y62" i="2"/>
  <c r="AV62" i="2"/>
  <c r="X62" i="2"/>
  <c r="AU62" i="2"/>
  <c r="W62" i="2"/>
  <c r="AT62" i="2"/>
  <c r="V62" i="2"/>
  <c r="AS62" i="2"/>
  <c r="U62" i="2"/>
  <c r="AR62" i="2"/>
  <c r="T62" i="2"/>
  <c r="AO62" i="2"/>
  <c r="Q62" i="2"/>
  <c r="AN62" i="2"/>
  <c r="P62" i="2"/>
  <c r="AM62" i="2"/>
  <c r="O62" i="2"/>
  <c r="AL62" i="2"/>
  <c r="N62" i="2"/>
  <c r="AK62" i="2"/>
  <c r="M62" i="2"/>
  <c r="AJ62" i="2"/>
  <c r="L62" i="2"/>
  <c r="AI62" i="2"/>
  <c r="K62" i="2"/>
  <c r="AD62" i="2"/>
  <c r="P68" i="2"/>
  <c r="AZ34" i="2"/>
  <c r="J3" i="2"/>
  <c r="AX3" i="2"/>
  <c r="AF4" i="2"/>
  <c r="AF9" i="2"/>
  <c r="AH14" i="2"/>
  <c r="AF15" i="2"/>
  <c r="AN20" i="2"/>
  <c r="AS32" i="2"/>
  <c r="U38" i="2"/>
  <c r="AQ45" i="2"/>
  <c r="AM56" i="2"/>
  <c r="O56" i="2"/>
  <c r="AL56" i="2"/>
  <c r="N56" i="2"/>
  <c r="AK56" i="2"/>
  <c r="M56" i="2"/>
  <c r="AJ56" i="2"/>
  <c r="L56" i="2"/>
  <c r="AI56" i="2"/>
  <c r="K56" i="2"/>
  <c r="AG56" i="2"/>
  <c r="I56" i="2"/>
  <c r="AF56" i="2"/>
  <c r="H56" i="2"/>
  <c r="AB56" i="2"/>
  <c r="AA56" i="2"/>
  <c r="AX56" i="2"/>
  <c r="Z56" i="2"/>
  <c r="AW56" i="2"/>
  <c r="Y56" i="2"/>
  <c r="AV56" i="2"/>
  <c r="X56" i="2"/>
  <c r="AU56" i="2"/>
  <c r="W56" i="2"/>
  <c r="AP56" i="2"/>
  <c r="R56" i="2"/>
  <c r="AO56" i="2"/>
  <c r="Q56" i="2"/>
  <c r="S68" i="2"/>
  <c r="K3" i="2"/>
  <c r="AG4" i="2"/>
  <c r="AM8" i="2"/>
  <c r="O8" i="2"/>
  <c r="AL8" i="2"/>
  <c r="N8" i="2"/>
  <c r="AK8" i="2"/>
  <c r="M8" i="2"/>
  <c r="AJ8" i="2"/>
  <c r="L8" i="2"/>
  <c r="AI8" i="2"/>
  <c r="K8" i="2"/>
  <c r="AB8" i="2"/>
  <c r="AA8" i="2"/>
  <c r="AV8" i="2"/>
  <c r="X8" i="2"/>
  <c r="AS8" i="2"/>
  <c r="AL9" i="2"/>
  <c r="AP14" i="2"/>
  <c r="AN15" i="2"/>
  <c r="AO20" i="2"/>
  <c r="AO21" i="2"/>
  <c r="BB24" i="2"/>
  <c r="BC24" i="2" s="1"/>
  <c r="V38" i="2"/>
  <c r="AQ44" i="2"/>
  <c r="BB48" i="2"/>
  <c r="BC48" i="2" s="1"/>
  <c r="J56" i="2"/>
  <c r="I62" i="2"/>
  <c r="AY66" i="2"/>
  <c r="T68" i="2"/>
  <c r="L3" i="2"/>
  <c r="AH4" i="2"/>
  <c r="AM9" i="2"/>
  <c r="BB11" i="2"/>
  <c r="BC11" i="2" s="1"/>
  <c r="AQ14" i="2"/>
  <c r="AO15" i="2"/>
  <c r="AP20" i="2"/>
  <c r="AP21" i="2"/>
  <c r="AB38" i="2"/>
  <c r="AR44" i="2"/>
  <c r="P56" i="2"/>
  <c r="J62" i="2"/>
  <c r="U68" i="2"/>
  <c r="AE2" i="2"/>
  <c r="P3" i="2"/>
  <c r="AL4" i="2"/>
  <c r="I8" i="2"/>
  <c r="AU8" i="2"/>
  <c r="AN9" i="2"/>
  <c r="AT13" i="2"/>
  <c r="AR14" i="2"/>
  <c r="AP15" i="2"/>
  <c r="AQ20" i="2"/>
  <c r="AQ21" i="2"/>
  <c r="BB36" i="2"/>
  <c r="BC36" i="2" s="1"/>
  <c r="AD38" i="2"/>
  <c r="AS44" i="2"/>
  <c r="AY54" i="2"/>
  <c r="S56" i="2"/>
  <c r="BD59" i="2"/>
  <c r="R62" i="2"/>
  <c r="V68" i="2"/>
  <c r="Q3" i="2"/>
  <c r="AM4" i="2"/>
  <c r="J8" i="2"/>
  <c r="AW8" i="2"/>
  <c r="AO9" i="2"/>
  <c r="AS14" i="2"/>
  <c r="AQ15" i="2"/>
  <c r="AR20" i="2"/>
  <c r="AE38" i="2"/>
  <c r="T56" i="2"/>
  <c r="S62" i="2"/>
  <c r="AD68" i="2"/>
  <c r="R3" i="2"/>
  <c r="AN4" i="2"/>
  <c r="P8" i="2"/>
  <c r="AX8" i="2"/>
  <c r="AP9" i="2"/>
  <c r="AB13" i="2"/>
  <c r="AA13" i="2"/>
  <c r="AX13" i="2"/>
  <c r="AY13" i="2" s="1"/>
  <c r="Z13" i="2"/>
  <c r="AW13" i="2"/>
  <c r="Y13" i="2"/>
  <c r="AQ13" i="2"/>
  <c r="S13" i="2"/>
  <c r="AP13" i="2"/>
  <c r="R13" i="2"/>
  <c r="AO13" i="2"/>
  <c r="Q13" i="2"/>
  <c r="AN13" i="2"/>
  <c r="P13" i="2"/>
  <c r="AM13" i="2"/>
  <c r="O13" i="2"/>
  <c r="AL13" i="2"/>
  <c r="N13" i="2"/>
  <c r="AV13" i="2"/>
  <c r="AR15" i="2"/>
  <c r="AS20" i="2"/>
  <c r="AK33" i="2"/>
  <c r="M33" i="2"/>
  <c r="AJ33" i="2"/>
  <c r="L33" i="2"/>
  <c r="AI33" i="2"/>
  <c r="K33" i="2"/>
  <c r="AH33" i="2"/>
  <c r="J33" i="2"/>
  <c r="AG33" i="2"/>
  <c r="I33" i="2"/>
  <c r="AD33" i="2"/>
  <c r="AA33" i="2"/>
  <c r="AX33" i="2"/>
  <c r="Z33" i="2"/>
  <c r="AW33" i="2"/>
  <c r="Y33" i="2"/>
  <c r="AV33" i="2"/>
  <c r="X33" i="2"/>
  <c r="AU33" i="2"/>
  <c r="W33" i="2"/>
  <c r="AT33" i="2"/>
  <c r="V33" i="2"/>
  <c r="AS33" i="2"/>
  <c r="U33" i="2"/>
  <c r="AM33" i="2"/>
  <c r="O33" i="2"/>
  <c r="AF38" i="2"/>
  <c r="AZ58" i="2"/>
  <c r="AE68" i="2"/>
  <c r="AA2" i="2"/>
  <c r="AX2" i="2"/>
  <c r="Z2" i="2"/>
  <c r="AW2" i="2"/>
  <c r="Y2" i="2"/>
  <c r="AV2" i="2"/>
  <c r="AU2" i="2"/>
  <c r="AO2" i="2"/>
  <c r="AN2" i="2"/>
  <c r="AM2" i="2"/>
  <c r="AH2" i="2"/>
  <c r="S3" i="2"/>
  <c r="Q8" i="2"/>
  <c r="H13" i="2"/>
  <c r="H33" i="2"/>
  <c r="AG38" i="2"/>
  <c r="V56" i="2"/>
  <c r="AE62" i="2"/>
  <c r="AN68" i="2"/>
  <c r="T3" i="2"/>
  <c r="AU4" i="2"/>
  <c r="W4" i="2"/>
  <c r="AT4" i="2"/>
  <c r="V4" i="2"/>
  <c r="AS4" i="2"/>
  <c r="U4" i="2"/>
  <c r="AR4" i="2"/>
  <c r="T4" i="2"/>
  <c r="AQ4" i="2"/>
  <c r="S4" i="2"/>
  <c r="AK4" i="2"/>
  <c r="M4" i="2"/>
  <c r="AJ4" i="2"/>
  <c r="L4" i="2"/>
  <c r="AI4" i="2"/>
  <c r="K4" i="2"/>
  <c r="AP4" i="2"/>
  <c r="AM32" i="2"/>
  <c r="O32" i="2"/>
  <c r="AL32" i="2"/>
  <c r="N32" i="2"/>
  <c r="AK32" i="2"/>
  <c r="M32" i="2"/>
  <c r="AJ32" i="2"/>
  <c r="L32" i="2"/>
  <c r="AI32" i="2"/>
  <c r="K32" i="2"/>
  <c r="AF32" i="2"/>
  <c r="H32" i="2"/>
  <c r="AB32" i="2"/>
  <c r="AA32" i="2"/>
  <c r="AX32" i="2"/>
  <c r="Z32" i="2"/>
  <c r="AW32" i="2"/>
  <c r="Y32" i="2"/>
  <c r="AV32" i="2"/>
  <c r="X32" i="2"/>
  <c r="AU32" i="2"/>
  <c r="W32" i="2"/>
  <c r="AO32" i="2"/>
  <c r="Q32" i="2"/>
  <c r="AH38" i="2"/>
  <c r="AQ68" i="2"/>
  <c r="AM20" i="2"/>
  <c r="O20" i="2"/>
  <c r="AL20" i="2"/>
  <c r="N20" i="2"/>
  <c r="AK20" i="2"/>
  <c r="M20" i="2"/>
  <c r="AJ20" i="2"/>
  <c r="L20" i="2"/>
  <c r="AI20" i="2"/>
  <c r="K20" i="2"/>
  <c r="AB20" i="2"/>
  <c r="AA20" i="2"/>
  <c r="AX20" i="2"/>
  <c r="Z20" i="2"/>
  <c r="AW20" i="2"/>
  <c r="Y20" i="2"/>
  <c r="AV20" i="2"/>
  <c r="X20" i="2"/>
  <c r="AU20" i="2"/>
  <c r="W20" i="2"/>
  <c r="I32" i="2"/>
  <c r="AP38" i="2"/>
  <c r="AK45" i="2"/>
  <c r="M45" i="2"/>
  <c r="AJ45" i="2"/>
  <c r="L45" i="2"/>
  <c r="AI45" i="2"/>
  <c r="K45" i="2"/>
  <c r="AH45" i="2"/>
  <c r="J45" i="2"/>
  <c r="AG45" i="2"/>
  <c r="I45" i="2"/>
  <c r="AD45" i="2"/>
  <c r="AA45" i="2"/>
  <c r="AX45" i="2"/>
  <c r="Z45" i="2"/>
  <c r="AW45" i="2"/>
  <c r="Y45" i="2"/>
  <c r="AV45" i="2"/>
  <c r="X45" i="2"/>
  <c r="AU45" i="2"/>
  <c r="W45" i="2"/>
  <c r="AT45" i="2"/>
  <c r="V45" i="2"/>
  <c r="AS45" i="2"/>
  <c r="U45" i="2"/>
  <c r="AM45" i="2"/>
  <c r="O45" i="2"/>
  <c r="AR68" i="2"/>
  <c r="AA3" i="2"/>
  <c r="I4" i="2"/>
  <c r="AW4" i="2"/>
  <c r="AK9" i="2"/>
  <c r="M9" i="2"/>
  <c r="AJ9" i="2"/>
  <c r="L9" i="2"/>
  <c r="AI9" i="2"/>
  <c r="K9" i="2"/>
  <c r="AH9" i="2"/>
  <c r="J9" i="2"/>
  <c r="AG9" i="2"/>
  <c r="I9" i="2"/>
  <c r="AA9" i="2"/>
  <c r="AX9" i="2"/>
  <c r="Z9" i="2"/>
  <c r="AW9" i="2"/>
  <c r="Y9" i="2"/>
  <c r="AU9" i="2"/>
  <c r="W9" i="2"/>
  <c r="AT9" i="2"/>
  <c r="V9" i="2"/>
  <c r="AV9" i="2"/>
  <c r="AA14" i="2"/>
  <c r="AX14" i="2"/>
  <c r="Z14" i="2"/>
  <c r="AW14" i="2"/>
  <c r="Y14" i="2"/>
  <c r="AV14" i="2"/>
  <c r="X14" i="2"/>
  <c r="AU14" i="2"/>
  <c r="W14" i="2"/>
  <c r="AO14" i="2"/>
  <c r="Q14" i="2"/>
  <c r="AN14" i="2"/>
  <c r="P14" i="2"/>
  <c r="AM14" i="2"/>
  <c r="O14" i="2"/>
  <c r="AL14" i="2"/>
  <c r="N14" i="2"/>
  <c r="AK14" i="2"/>
  <c r="M14" i="2"/>
  <c r="AJ14" i="2"/>
  <c r="L14" i="2"/>
  <c r="AI14" i="2"/>
  <c r="K14" i="2"/>
  <c r="H20" i="2"/>
  <c r="J32" i="2"/>
  <c r="AQ38" i="2"/>
  <c r="H45" i="2"/>
  <c r="BB60" i="2"/>
  <c r="BC60" i="2" s="1"/>
  <c r="AS68" i="2"/>
  <c r="AB3" i="2"/>
  <c r="J4" i="2"/>
  <c r="AX4" i="2"/>
  <c r="U8" i="2"/>
  <c r="H9" i="2"/>
  <c r="L13" i="2"/>
  <c r="H14" i="2"/>
  <c r="I20" i="2"/>
  <c r="AK21" i="2"/>
  <c r="M21" i="2"/>
  <c r="AJ21" i="2"/>
  <c r="L21" i="2"/>
  <c r="AI21" i="2"/>
  <c r="K21" i="2"/>
  <c r="AH21" i="2"/>
  <c r="J21" i="2"/>
  <c r="AG21" i="2"/>
  <c r="I21" i="2"/>
  <c r="AA21" i="2"/>
  <c r="AX21" i="2"/>
  <c r="Z21" i="2"/>
  <c r="AW21" i="2"/>
  <c r="Y21" i="2"/>
  <c r="AV21" i="2"/>
  <c r="X21" i="2"/>
  <c r="AU21" i="2"/>
  <c r="W21" i="2"/>
  <c r="AT21" i="2"/>
  <c r="V21" i="2"/>
  <c r="AS21" i="2"/>
  <c r="U21" i="2"/>
  <c r="AM21" i="2"/>
  <c r="O21" i="2"/>
  <c r="P32" i="2"/>
  <c r="R33" i="2"/>
  <c r="AS38" i="2"/>
  <c r="AM44" i="2"/>
  <c r="O44" i="2"/>
  <c r="AL44" i="2"/>
  <c r="N44" i="2"/>
  <c r="AK44" i="2"/>
  <c r="M44" i="2"/>
  <c r="AJ44" i="2"/>
  <c r="L44" i="2"/>
  <c r="AI44" i="2"/>
  <c r="K44" i="2"/>
  <c r="AF44" i="2"/>
  <c r="H44" i="2"/>
  <c r="AB44" i="2"/>
  <c r="AA44" i="2"/>
  <c r="AX44" i="2"/>
  <c r="Z44" i="2"/>
  <c r="AW44" i="2"/>
  <c r="Y44" i="2"/>
  <c r="AV44" i="2"/>
  <c r="X44" i="2"/>
  <c r="AU44" i="2"/>
  <c r="W44" i="2"/>
  <c r="AO44" i="2"/>
  <c r="Q44" i="2"/>
  <c r="N45" i="2"/>
  <c r="AN56" i="2"/>
  <c r="AP62" i="2"/>
  <c r="Z3" i="2"/>
  <c r="N4" i="2"/>
  <c r="AW15" i="2"/>
  <c r="Y15" i="2"/>
  <c r="AV15" i="2"/>
  <c r="X15" i="2"/>
  <c r="AU15" i="2"/>
  <c r="W15" i="2"/>
  <c r="AT15" i="2"/>
  <c r="V15" i="2"/>
  <c r="AS15" i="2"/>
  <c r="U15" i="2"/>
  <c r="AM15" i="2"/>
  <c r="O15" i="2"/>
  <c r="AL15" i="2"/>
  <c r="N15" i="2"/>
  <c r="AK15" i="2"/>
  <c r="M15" i="2"/>
  <c r="AJ15" i="2"/>
  <c r="L15" i="2"/>
  <c r="AI15" i="2"/>
  <c r="K15" i="2"/>
  <c r="AH15" i="2"/>
  <c r="J15" i="2"/>
  <c r="AG15" i="2"/>
  <c r="I15" i="2"/>
  <c r="J20" i="2"/>
  <c r="AY30" i="2"/>
  <c r="R32" i="2"/>
  <c r="AT38" i="2"/>
  <c r="P45" i="2"/>
  <c r="AD3" i="2"/>
  <c r="O4" i="2"/>
  <c r="AY18" i="2"/>
  <c r="AZ18" i="2" s="1"/>
  <c r="P20" i="2"/>
  <c r="S32" i="2"/>
  <c r="Q45" i="2"/>
  <c r="BD70" i="2"/>
  <c r="AP3" i="2"/>
  <c r="N2" i="2"/>
  <c r="AR2" i="2"/>
  <c r="AE3" i="2"/>
  <c r="P4" i="2"/>
  <c r="Y8" i="2"/>
  <c r="P9" i="2"/>
  <c r="U13" i="2"/>
  <c r="R14" i="2"/>
  <c r="P15" i="2"/>
  <c r="Q20" i="2"/>
  <c r="P21" i="2"/>
  <c r="BB23" i="2"/>
  <c r="BC23" i="2" s="1"/>
  <c r="T32" i="2"/>
  <c r="AB33" i="2"/>
  <c r="BB35" i="2"/>
  <c r="BC35" i="2" s="1"/>
  <c r="AY42" i="2"/>
  <c r="P44" i="2"/>
  <c r="R45" i="2"/>
  <c r="AW51" i="2"/>
  <c r="Y51" i="2"/>
  <c r="AV51" i="2"/>
  <c r="X51" i="2"/>
  <c r="AU51" i="2"/>
  <c r="W51" i="2"/>
  <c r="AT51" i="2"/>
  <c r="V51" i="2"/>
  <c r="AS51" i="2"/>
  <c r="U51" i="2"/>
  <c r="AQ51" i="2"/>
  <c r="S51" i="2"/>
  <c r="AP51" i="2"/>
  <c r="R51" i="2"/>
  <c r="AM51" i="2"/>
  <c r="O51" i="2"/>
  <c r="AL51" i="2"/>
  <c r="N51" i="2"/>
  <c r="AK51" i="2"/>
  <c r="M51" i="2"/>
  <c r="AJ51" i="2"/>
  <c r="L51" i="2"/>
  <c r="AI51" i="2"/>
  <c r="K51" i="2"/>
  <c r="AH51" i="2"/>
  <c r="J51" i="2"/>
  <c r="AG51" i="2"/>
  <c r="I51" i="2"/>
  <c r="AA51" i="2"/>
  <c r="AC53" i="2"/>
  <c r="AS56" i="2"/>
  <c r="AZ66" i="2"/>
  <c r="H3" i="2"/>
  <c r="O2" i="2"/>
  <c r="AS2" i="2"/>
  <c r="AF3" i="2"/>
  <c r="Q4" i="2"/>
  <c r="Z8" i="2"/>
  <c r="Q9" i="2"/>
  <c r="BB12" i="2"/>
  <c r="BC12" i="2" s="1"/>
  <c r="V13" i="2"/>
  <c r="S14" i="2"/>
  <c r="Q15" i="2"/>
  <c r="R20" i="2"/>
  <c r="Q21" i="2"/>
  <c r="AW27" i="2"/>
  <c r="Y27" i="2"/>
  <c r="AV27" i="2"/>
  <c r="X27" i="2"/>
  <c r="AU27" i="2"/>
  <c r="W27" i="2"/>
  <c r="AT27" i="2"/>
  <c r="V27" i="2"/>
  <c r="AS27" i="2"/>
  <c r="U27" i="2"/>
  <c r="AP27" i="2"/>
  <c r="R27" i="2"/>
  <c r="AM27" i="2"/>
  <c r="O27" i="2"/>
  <c r="AL27" i="2"/>
  <c r="N27" i="2"/>
  <c r="AK27" i="2"/>
  <c r="M27" i="2"/>
  <c r="AJ27" i="2"/>
  <c r="L27" i="2"/>
  <c r="AI27" i="2"/>
  <c r="K27" i="2"/>
  <c r="AH27" i="2"/>
  <c r="J27" i="2"/>
  <c r="AG27" i="2"/>
  <c r="I27" i="2"/>
  <c r="AA27" i="2"/>
  <c r="U32" i="2"/>
  <c r="R44" i="2"/>
  <c r="S45" i="2"/>
  <c r="H51" i="2"/>
  <c r="AT56" i="2"/>
  <c r="BD58" i="2"/>
  <c r="AZ46" i="2"/>
  <c r="P2" i="2"/>
  <c r="AT2" i="2"/>
  <c r="AG3" i="2"/>
  <c r="R4" i="2"/>
  <c r="AD8" i="2"/>
  <c r="R9" i="2"/>
  <c r="W13" i="2"/>
  <c r="T14" i="2"/>
  <c r="R15" i="2"/>
  <c r="S20" i="2"/>
  <c r="R21" i="2"/>
  <c r="H27" i="2"/>
  <c r="V32" i="2"/>
  <c r="AE33" i="2"/>
  <c r="S44" i="2"/>
  <c r="T45" i="2"/>
  <c r="P51" i="2"/>
  <c r="AW63" i="2"/>
  <c r="Y63" i="2"/>
  <c r="AV63" i="2"/>
  <c r="X63" i="2"/>
  <c r="AU63" i="2"/>
  <c r="W63" i="2"/>
  <c r="AT63" i="2"/>
  <c r="V63" i="2"/>
  <c r="AS63" i="2"/>
  <c r="U63" i="2"/>
  <c r="AR63" i="2"/>
  <c r="T63" i="2"/>
  <c r="AQ63" i="2"/>
  <c r="S63" i="2"/>
  <c r="AP63" i="2"/>
  <c r="R63" i="2"/>
  <c r="AM63" i="2"/>
  <c r="O63" i="2"/>
  <c r="AL63" i="2"/>
  <c r="N63" i="2"/>
  <c r="AK63" i="2"/>
  <c r="M63" i="2"/>
  <c r="AJ63" i="2"/>
  <c r="L63" i="2"/>
  <c r="AI63" i="2"/>
  <c r="K63" i="2"/>
  <c r="AH63" i="2"/>
  <c r="J63" i="2"/>
  <c r="AG63" i="2"/>
  <c r="I63" i="2"/>
  <c r="AB63" i="2"/>
  <c r="AA63" i="2"/>
  <c r="AY98" i="2"/>
  <c r="Q2" i="2"/>
  <c r="X4" i="2"/>
  <c r="AE8" i="2"/>
  <c r="S9" i="2"/>
  <c r="X13" i="2"/>
  <c r="U14" i="2"/>
  <c r="S15" i="2"/>
  <c r="T20" i="2"/>
  <c r="S21" i="2"/>
  <c r="AA26" i="2"/>
  <c r="AX26" i="2"/>
  <c r="Z26" i="2"/>
  <c r="AW26" i="2"/>
  <c r="Y26" i="2"/>
  <c r="AV26" i="2"/>
  <c r="X26" i="2"/>
  <c r="AU26" i="2"/>
  <c r="W26" i="2"/>
  <c r="AR26" i="2"/>
  <c r="T26" i="2"/>
  <c r="AO26" i="2"/>
  <c r="Q26" i="2"/>
  <c r="AN26" i="2"/>
  <c r="P26" i="2"/>
  <c r="AM26" i="2"/>
  <c r="O26" i="2"/>
  <c r="AL26" i="2"/>
  <c r="N26" i="2"/>
  <c r="AK26" i="2"/>
  <c r="M26" i="2"/>
  <c r="AJ26" i="2"/>
  <c r="L26" i="2"/>
  <c r="AI26" i="2"/>
  <c r="K26" i="2"/>
  <c r="P27" i="2"/>
  <c r="AD32" i="2"/>
  <c r="AF33" i="2"/>
  <c r="AW39" i="2"/>
  <c r="Y39" i="2"/>
  <c r="AV39" i="2"/>
  <c r="X39" i="2"/>
  <c r="AU39" i="2"/>
  <c r="W39" i="2"/>
  <c r="AT39" i="2"/>
  <c r="V39" i="2"/>
  <c r="AS39" i="2"/>
  <c r="U39" i="2"/>
  <c r="AP39" i="2"/>
  <c r="R39" i="2"/>
  <c r="AM39" i="2"/>
  <c r="O39" i="2"/>
  <c r="AL39" i="2"/>
  <c r="N39" i="2"/>
  <c r="AK39" i="2"/>
  <c r="M39" i="2"/>
  <c r="AJ39" i="2"/>
  <c r="L39" i="2"/>
  <c r="AI39" i="2"/>
  <c r="K39" i="2"/>
  <c r="AH39" i="2"/>
  <c r="J39" i="2"/>
  <c r="AG39" i="2"/>
  <c r="I39" i="2"/>
  <c r="AA39" i="2"/>
  <c r="T44" i="2"/>
  <c r="AB45" i="2"/>
  <c r="Q51" i="2"/>
  <c r="H63" i="2"/>
  <c r="AW3" i="2"/>
  <c r="Y3" i="2"/>
  <c r="AV3" i="2"/>
  <c r="X3" i="2"/>
  <c r="AU3" i="2"/>
  <c r="W3" i="2"/>
  <c r="AT3" i="2"/>
  <c r="V3" i="2"/>
  <c r="AS3" i="2"/>
  <c r="U3" i="2"/>
  <c r="AM3" i="2"/>
  <c r="O3" i="2"/>
  <c r="AL3" i="2"/>
  <c r="N3" i="2"/>
  <c r="AK3" i="2"/>
  <c r="M3" i="2"/>
  <c r="R38" i="2"/>
  <c r="AM68" i="2"/>
  <c r="O68" i="2"/>
  <c r="AL68" i="2"/>
  <c r="N68" i="2"/>
  <c r="AK68" i="2"/>
  <c r="M68" i="2"/>
  <c r="AJ68" i="2"/>
  <c r="L68" i="2"/>
  <c r="AI68" i="2"/>
  <c r="K68" i="2"/>
  <c r="AH68" i="2"/>
  <c r="J68" i="2"/>
  <c r="AG68" i="2"/>
  <c r="I68" i="2"/>
  <c r="AF68" i="2"/>
  <c r="H68" i="2"/>
  <c r="AB68" i="2"/>
  <c r="AA68" i="2"/>
  <c r="AX68" i="2"/>
  <c r="Z68" i="2"/>
  <c r="AW68" i="2"/>
  <c r="Y68" i="2"/>
  <c r="AV68" i="2"/>
  <c r="X68" i="2"/>
  <c r="AU68" i="2"/>
  <c r="W68" i="2"/>
  <c r="AP68" i="2"/>
  <c r="R68" i="2"/>
  <c r="AO68" i="2"/>
  <c r="Q68" i="2"/>
  <c r="R2" i="2"/>
  <c r="AI3" i="2"/>
  <c r="Y4" i="2"/>
  <c r="AS5" i="2"/>
  <c r="U5" i="2"/>
  <c r="AR5" i="2"/>
  <c r="T5" i="2"/>
  <c r="AQ5" i="2"/>
  <c r="S5" i="2"/>
  <c r="AP5" i="2"/>
  <c r="R5" i="2"/>
  <c r="AO5" i="2"/>
  <c r="Q5" i="2"/>
  <c r="AI5" i="2"/>
  <c r="K5" i="2"/>
  <c r="AH5" i="2"/>
  <c r="J5" i="2"/>
  <c r="AG5" i="2"/>
  <c r="I5" i="2"/>
  <c r="AU5" i="2"/>
  <c r="AF8" i="2"/>
  <c r="T9" i="2"/>
  <c r="AD13" i="2"/>
  <c r="V14" i="2"/>
  <c r="T15" i="2"/>
  <c r="U20" i="2"/>
  <c r="T21" i="2"/>
  <c r="H26" i="2"/>
  <c r="Q27" i="2"/>
  <c r="AC29" i="2"/>
  <c r="AE32" i="2"/>
  <c r="AL33" i="2"/>
  <c r="H39" i="2"/>
  <c r="U44" i="2"/>
  <c r="AA50" i="2"/>
  <c r="AX50" i="2"/>
  <c r="Z50" i="2"/>
  <c r="AW50" i="2"/>
  <c r="Y50" i="2"/>
  <c r="AV50" i="2"/>
  <c r="X50" i="2"/>
  <c r="AU50" i="2"/>
  <c r="W50" i="2"/>
  <c r="AS50" i="2"/>
  <c r="U50" i="2"/>
  <c r="AR50" i="2"/>
  <c r="T50" i="2"/>
  <c r="AO50" i="2"/>
  <c r="Q50" i="2"/>
  <c r="AN50" i="2"/>
  <c r="P50" i="2"/>
  <c r="AM50" i="2"/>
  <c r="O50" i="2"/>
  <c r="AL50" i="2"/>
  <c r="N50" i="2"/>
  <c r="AK50" i="2"/>
  <c r="M50" i="2"/>
  <c r="AJ50" i="2"/>
  <c r="L50" i="2"/>
  <c r="AI50" i="2"/>
  <c r="K50" i="2"/>
  <c r="T51" i="2"/>
  <c r="P63" i="2"/>
  <c r="AE25" i="2"/>
  <c r="AE37" i="2"/>
  <c r="AE49" i="2"/>
  <c r="O57" i="2"/>
  <c r="AM57" i="2"/>
  <c r="AE61" i="2"/>
  <c r="O69" i="2"/>
  <c r="AM69" i="2"/>
  <c r="AP73" i="2"/>
  <c r="R73" i="2"/>
  <c r="AO73" i="2"/>
  <c r="Q73" i="2"/>
  <c r="AN73" i="2"/>
  <c r="P73" i="2"/>
  <c r="AM73" i="2"/>
  <c r="O73" i="2"/>
  <c r="AL73" i="2"/>
  <c r="N73" i="2"/>
  <c r="AA73" i="2"/>
  <c r="AR73" i="2"/>
  <c r="AK73" i="2"/>
  <c r="AD82" i="2"/>
  <c r="AD98" i="2"/>
  <c r="AX52" i="2"/>
  <c r="X53" i="2"/>
  <c r="AV53" i="2"/>
  <c r="V54" i="2"/>
  <c r="AT54" i="2"/>
  <c r="P57" i="2"/>
  <c r="AN57" i="2"/>
  <c r="H61" i="2"/>
  <c r="AF61" i="2"/>
  <c r="Z64" i="2"/>
  <c r="AX64" i="2"/>
  <c r="X65" i="2"/>
  <c r="AV65" i="2"/>
  <c r="V66" i="2"/>
  <c r="AT66" i="2"/>
  <c r="P69" i="2"/>
  <c r="AN69" i="2"/>
  <c r="AA72" i="2"/>
  <c r="H73" i="2"/>
  <c r="AQ73" i="2"/>
  <c r="AK76" i="2"/>
  <c r="AE82" i="2"/>
  <c r="BD90" i="2"/>
  <c r="AF98" i="2"/>
  <c r="AE16" i="2"/>
  <c r="M25" i="2"/>
  <c r="AC25" i="2" s="1"/>
  <c r="AK25" i="2"/>
  <c r="AE28" i="2"/>
  <c r="M37" i="2"/>
  <c r="AC37" i="2" s="1"/>
  <c r="AK37" i="2"/>
  <c r="AE40" i="2"/>
  <c r="M49" i="2"/>
  <c r="AC49" i="2" s="1"/>
  <c r="AK49" i="2"/>
  <c r="AE52" i="2"/>
  <c r="U57" i="2"/>
  <c r="AS57" i="2"/>
  <c r="M61" i="2"/>
  <c r="AC61" i="2" s="1"/>
  <c r="AK61" i="2"/>
  <c r="AE64" i="2"/>
  <c r="U69" i="2"/>
  <c r="AS69" i="2"/>
  <c r="M73" i="2"/>
  <c r="AW73" i="2"/>
  <c r="AO82" i="2"/>
  <c r="AW98" i="2"/>
  <c r="AA107" i="2"/>
  <c r="AX107" i="2"/>
  <c r="Z107" i="2"/>
  <c r="AW107" i="2"/>
  <c r="Y107" i="2"/>
  <c r="AV107" i="2"/>
  <c r="X107" i="2"/>
  <c r="AU107" i="2"/>
  <c r="W107" i="2"/>
  <c r="AK107" i="2"/>
  <c r="M107" i="2"/>
  <c r="AQ107" i="2"/>
  <c r="L107" i="2"/>
  <c r="AP107" i="2"/>
  <c r="K107" i="2"/>
  <c r="AO107" i="2"/>
  <c r="J107" i="2"/>
  <c r="AN107" i="2"/>
  <c r="I107" i="2"/>
  <c r="AM107" i="2"/>
  <c r="H107" i="2"/>
  <c r="AI107" i="2"/>
  <c r="AH107" i="2"/>
  <c r="AE107" i="2"/>
  <c r="AD107" i="2"/>
  <c r="AB107" i="2"/>
  <c r="V107" i="2"/>
  <c r="U107" i="2"/>
  <c r="T107" i="2"/>
  <c r="S107" i="2"/>
  <c r="AT107" i="2"/>
  <c r="P107" i="2"/>
  <c r="AS107" i="2"/>
  <c r="O107" i="2"/>
  <c r="H16" i="2"/>
  <c r="AF16" i="2"/>
  <c r="AD17" i="2"/>
  <c r="N25" i="2"/>
  <c r="AL25" i="2"/>
  <c r="H28" i="2"/>
  <c r="AF28" i="2"/>
  <c r="AD29" i="2"/>
  <c r="N37" i="2"/>
  <c r="AL37" i="2"/>
  <c r="H40" i="2"/>
  <c r="AF40" i="2"/>
  <c r="AD41" i="2"/>
  <c r="N49" i="2"/>
  <c r="AL49" i="2"/>
  <c r="H52" i="2"/>
  <c r="AF52" i="2"/>
  <c r="AD53" i="2"/>
  <c r="AB54" i="2"/>
  <c r="AC54" i="2" s="1"/>
  <c r="V57" i="2"/>
  <c r="AT57" i="2"/>
  <c r="N61" i="2"/>
  <c r="AL61" i="2"/>
  <c r="H64" i="2"/>
  <c r="AF64" i="2"/>
  <c r="AD65" i="2"/>
  <c r="V69" i="2"/>
  <c r="AT69" i="2"/>
  <c r="S73" i="2"/>
  <c r="AX73" i="2"/>
  <c r="AP82" i="2"/>
  <c r="AN86" i="2"/>
  <c r="P86" i="2"/>
  <c r="AM86" i="2"/>
  <c r="O86" i="2"/>
  <c r="AL86" i="2"/>
  <c r="N86" i="2"/>
  <c r="AK86" i="2"/>
  <c r="M86" i="2"/>
  <c r="AJ86" i="2"/>
  <c r="L86" i="2"/>
  <c r="AF86" i="2"/>
  <c r="H86" i="2"/>
  <c r="AB86" i="2"/>
  <c r="AA86" i="2"/>
  <c r="AX86" i="2"/>
  <c r="Z86" i="2"/>
  <c r="AW86" i="2"/>
  <c r="Y86" i="2"/>
  <c r="AQ86" i="2"/>
  <c r="S86" i="2"/>
  <c r="AP86" i="2"/>
  <c r="R86" i="2"/>
  <c r="AL87" i="2"/>
  <c r="N87" i="2"/>
  <c r="AK87" i="2"/>
  <c r="M87" i="2"/>
  <c r="AJ87" i="2"/>
  <c r="L87" i="2"/>
  <c r="AI87" i="2"/>
  <c r="K87" i="2"/>
  <c r="AH87" i="2"/>
  <c r="J87" i="2"/>
  <c r="AD87" i="2"/>
  <c r="AA87" i="2"/>
  <c r="AX87" i="2"/>
  <c r="Z87" i="2"/>
  <c r="AW87" i="2"/>
  <c r="Y87" i="2"/>
  <c r="AV87" i="2"/>
  <c r="X87" i="2"/>
  <c r="AU87" i="2"/>
  <c r="W87" i="2"/>
  <c r="AO87" i="2"/>
  <c r="Q87" i="2"/>
  <c r="AN87" i="2"/>
  <c r="P87" i="2"/>
  <c r="AJ88" i="2"/>
  <c r="L88" i="2"/>
  <c r="AI88" i="2"/>
  <c r="K88" i="2"/>
  <c r="AH88" i="2"/>
  <c r="J88" i="2"/>
  <c r="AG88" i="2"/>
  <c r="I88" i="2"/>
  <c r="AF88" i="2"/>
  <c r="H88" i="2"/>
  <c r="AB88" i="2"/>
  <c r="AW88" i="2"/>
  <c r="Y88" i="2"/>
  <c r="AV88" i="2"/>
  <c r="X88" i="2"/>
  <c r="AU88" i="2"/>
  <c r="W88" i="2"/>
  <c r="AT88" i="2"/>
  <c r="V88" i="2"/>
  <c r="AS88" i="2"/>
  <c r="U88" i="2"/>
  <c r="AM88" i="2"/>
  <c r="O88" i="2"/>
  <c r="AL88" i="2"/>
  <c r="N88" i="2"/>
  <c r="N107" i="2"/>
  <c r="I16" i="2"/>
  <c r="AG16" i="2"/>
  <c r="AE17" i="2"/>
  <c r="O25" i="2"/>
  <c r="AM25" i="2"/>
  <c r="I28" i="2"/>
  <c r="AG28" i="2"/>
  <c r="AE29" i="2"/>
  <c r="O37" i="2"/>
  <c r="AM37" i="2"/>
  <c r="I40" i="2"/>
  <c r="AG40" i="2"/>
  <c r="AE41" i="2"/>
  <c r="O49" i="2"/>
  <c r="AM49" i="2"/>
  <c r="I52" i="2"/>
  <c r="AG52" i="2"/>
  <c r="AE53" i="2"/>
  <c r="W57" i="2"/>
  <c r="AU57" i="2"/>
  <c r="O61" i="2"/>
  <c r="AM61" i="2"/>
  <c r="I64" i="2"/>
  <c r="AG64" i="2"/>
  <c r="AE65" i="2"/>
  <c r="W69" i="2"/>
  <c r="AU69" i="2"/>
  <c r="T73" i="2"/>
  <c r="AJ76" i="2"/>
  <c r="L76" i="2"/>
  <c r="AI76" i="2"/>
  <c r="K76" i="2"/>
  <c r="AH76" i="2"/>
  <c r="J76" i="2"/>
  <c r="AG76" i="2"/>
  <c r="I76" i="2"/>
  <c r="AF76" i="2"/>
  <c r="H76" i="2"/>
  <c r="AV76" i="2"/>
  <c r="X76" i="2"/>
  <c r="AS76" i="2"/>
  <c r="U76" i="2"/>
  <c r="AL76" i="2"/>
  <c r="N76" i="2"/>
  <c r="AT76" i="2"/>
  <c r="AQ82" i="2"/>
  <c r="AY96" i="2"/>
  <c r="Q107" i="2"/>
  <c r="AA119" i="2"/>
  <c r="AX119" i="2"/>
  <c r="Z119" i="2"/>
  <c r="AW119" i="2"/>
  <c r="Y119" i="2"/>
  <c r="AV119" i="2"/>
  <c r="X119" i="2"/>
  <c r="AU119" i="2"/>
  <c r="W119" i="2"/>
  <c r="AK119" i="2"/>
  <c r="M119" i="2"/>
  <c r="AJ119" i="2"/>
  <c r="L119" i="2"/>
  <c r="AI119" i="2"/>
  <c r="K119" i="2"/>
  <c r="AH119" i="2"/>
  <c r="J119" i="2"/>
  <c r="AG119" i="2"/>
  <c r="I119" i="2"/>
  <c r="AD119" i="2"/>
  <c r="AQ119" i="2"/>
  <c r="AP119" i="2"/>
  <c r="AO119" i="2"/>
  <c r="AN119" i="2"/>
  <c r="AM119" i="2"/>
  <c r="AF119" i="2"/>
  <c r="AE119" i="2"/>
  <c r="V119" i="2"/>
  <c r="U119" i="2"/>
  <c r="T119" i="2"/>
  <c r="S119" i="2"/>
  <c r="R119" i="2"/>
  <c r="Q119" i="2"/>
  <c r="P119" i="2"/>
  <c r="O119" i="2"/>
  <c r="N119" i="2"/>
  <c r="AT119" i="2"/>
  <c r="AS119" i="2"/>
  <c r="J16" i="2"/>
  <c r="AH16" i="2"/>
  <c r="P25" i="2"/>
  <c r="AN25" i="2"/>
  <c r="J28" i="2"/>
  <c r="AH28" i="2"/>
  <c r="P37" i="2"/>
  <c r="AN37" i="2"/>
  <c r="J40" i="2"/>
  <c r="AH40" i="2"/>
  <c r="P49" i="2"/>
  <c r="AN49" i="2"/>
  <c r="J52" i="2"/>
  <c r="AH52" i="2"/>
  <c r="X57" i="2"/>
  <c r="AV57" i="2"/>
  <c r="P61" i="2"/>
  <c r="AN61" i="2"/>
  <c r="J64" i="2"/>
  <c r="AH64" i="2"/>
  <c r="X69" i="2"/>
  <c r="AV69" i="2"/>
  <c r="U73" i="2"/>
  <c r="M76" i="2"/>
  <c r="AU76" i="2"/>
  <c r="AK102" i="2"/>
  <c r="M102" i="2"/>
  <c r="AJ102" i="2"/>
  <c r="L102" i="2"/>
  <c r="AI102" i="2"/>
  <c r="K102" i="2"/>
  <c r="AH102" i="2"/>
  <c r="J102" i="2"/>
  <c r="AG102" i="2"/>
  <c r="I102" i="2"/>
  <c r="AU102" i="2"/>
  <c r="W102" i="2"/>
  <c r="V102" i="2"/>
  <c r="U102" i="2"/>
  <c r="T102" i="2"/>
  <c r="AX102" i="2"/>
  <c r="S102" i="2"/>
  <c r="AW102" i="2"/>
  <c r="R102" i="2"/>
  <c r="AS102" i="2"/>
  <c r="O102" i="2"/>
  <c r="AR102" i="2"/>
  <c r="N102" i="2"/>
  <c r="AO102" i="2"/>
  <c r="AN102" i="2"/>
  <c r="AM102" i="2"/>
  <c r="AL102" i="2"/>
  <c r="AF102" i="2"/>
  <c r="AE102" i="2"/>
  <c r="AD102" i="2"/>
  <c r="Z102" i="2"/>
  <c r="Y102" i="2"/>
  <c r="R107" i="2"/>
  <c r="H119" i="2"/>
  <c r="AE6" i="2"/>
  <c r="AU10" i="2"/>
  <c r="U11" i="2"/>
  <c r="AS11" i="2"/>
  <c r="AY11" i="2" s="1"/>
  <c r="S12" i="2"/>
  <c r="AQ12" i="2"/>
  <c r="K16" i="2"/>
  <c r="AI16" i="2"/>
  <c r="I17" i="2"/>
  <c r="AG17" i="2"/>
  <c r="AE18" i="2"/>
  <c r="W22" i="2"/>
  <c r="AC22" i="2" s="1"/>
  <c r="AZ22" i="2" s="1"/>
  <c r="AU22" i="2"/>
  <c r="U23" i="2"/>
  <c r="AS23" i="2"/>
  <c r="AY23" i="2" s="1"/>
  <c r="S24" i="2"/>
  <c r="AQ24" i="2"/>
  <c r="Q25" i="2"/>
  <c r="AO25" i="2"/>
  <c r="K28" i="2"/>
  <c r="AI28" i="2"/>
  <c r="I29" i="2"/>
  <c r="AG29" i="2"/>
  <c r="AE30" i="2"/>
  <c r="AQ36" i="2"/>
  <c r="Q37" i="2"/>
  <c r="AO37" i="2"/>
  <c r="K40" i="2"/>
  <c r="AI40" i="2"/>
  <c r="I41" i="2"/>
  <c r="AG41" i="2"/>
  <c r="AE42" i="2"/>
  <c r="Q49" i="2"/>
  <c r="AO49" i="2"/>
  <c r="K52" i="2"/>
  <c r="AI52" i="2"/>
  <c r="I53" i="2"/>
  <c r="AG53" i="2"/>
  <c r="AE54" i="2"/>
  <c r="Y57" i="2"/>
  <c r="AW57" i="2"/>
  <c r="Q61" i="2"/>
  <c r="AO61" i="2"/>
  <c r="K64" i="2"/>
  <c r="AI64" i="2"/>
  <c r="I65" i="2"/>
  <c r="AG65" i="2"/>
  <c r="AE66" i="2"/>
  <c r="Y69" i="2"/>
  <c r="AW69" i="2"/>
  <c r="AR72" i="2"/>
  <c r="T72" i="2"/>
  <c r="AQ72" i="2"/>
  <c r="S72" i="2"/>
  <c r="AP72" i="2"/>
  <c r="R72" i="2"/>
  <c r="AO72" i="2"/>
  <c r="Q72" i="2"/>
  <c r="AN72" i="2"/>
  <c r="P72" i="2"/>
  <c r="AK72" i="2"/>
  <c r="V73" i="2"/>
  <c r="O76" i="2"/>
  <c r="AW76" i="2"/>
  <c r="K86" i="2"/>
  <c r="O87" i="2"/>
  <c r="Q88" i="2"/>
  <c r="AF107" i="2"/>
  <c r="AB119" i="2"/>
  <c r="H6" i="2"/>
  <c r="AF6" i="2"/>
  <c r="AD7" i="2"/>
  <c r="X10" i="2"/>
  <c r="AV10" i="2"/>
  <c r="V11" i="2"/>
  <c r="AT11" i="2"/>
  <c r="T12" i="2"/>
  <c r="AR12" i="2"/>
  <c r="L16" i="2"/>
  <c r="AJ16" i="2"/>
  <c r="J17" i="2"/>
  <c r="AH17" i="2"/>
  <c r="H18" i="2"/>
  <c r="AF18" i="2"/>
  <c r="AD19" i="2"/>
  <c r="X22" i="2"/>
  <c r="AV22" i="2"/>
  <c r="V23" i="2"/>
  <c r="AT23" i="2"/>
  <c r="T24" i="2"/>
  <c r="AR24" i="2"/>
  <c r="R25" i="2"/>
  <c r="AP25" i="2"/>
  <c r="L28" i="2"/>
  <c r="AJ28" i="2"/>
  <c r="J29" i="2"/>
  <c r="AH29" i="2"/>
  <c r="H30" i="2"/>
  <c r="AF30" i="2"/>
  <c r="AD31" i="2"/>
  <c r="X34" i="2"/>
  <c r="AV34" i="2"/>
  <c r="V35" i="2"/>
  <c r="AT35" i="2"/>
  <c r="T36" i="2"/>
  <c r="BD36" i="2" s="1"/>
  <c r="AR36" i="2"/>
  <c r="R37" i="2"/>
  <c r="AP37" i="2"/>
  <c r="L40" i="2"/>
  <c r="AJ40" i="2"/>
  <c r="J41" i="2"/>
  <c r="AH41" i="2"/>
  <c r="H42" i="2"/>
  <c r="AF42" i="2"/>
  <c r="AD43" i="2"/>
  <c r="X46" i="2"/>
  <c r="AV46" i="2"/>
  <c r="V47" i="2"/>
  <c r="AT47" i="2"/>
  <c r="T48" i="2"/>
  <c r="BD48" i="2" s="1"/>
  <c r="AR48" i="2"/>
  <c r="R49" i="2"/>
  <c r="AP49" i="2"/>
  <c r="L52" i="2"/>
  <c r="AJ52" i="2"/>
  <c r="J53" i="2"/>
  <c r="AH53" i="2"/>
  <c r="H54" i="2"/>
  <c r="AF54" i="2"/>
  <c r="AD55" i="2"/>
  <c r="Z57" i="2"/>
  <c r="AX57" i="2"/>
  <c r="X58" i="2"/>
  <c r="AV58" i="2"/>
  <c r="V59" i="2"/>
  <c r="AT59" i="2"/>
  <c r="T60" i="2"/>
  <c r="BD60" i="2" s="1"/>
  <c r="AR60" i="2"/>
  <c r="R61" i="2"/>
  <c r="AP61" i="2"/>
  <c r="L64" i="2"/>
  <c r="AJ64" i="2"/>
  <c r="J65" i="2"/>
  <c r="AH65" i="2"/>
  <c r="H66" i="2"/>
  <c r="AF66" i="2"/>
  <c r="AD67" i="2"/>
  <c r="Z69" i="2"/>
  <c r="AX69" i="2"/>
  <c r="X70" i="2"/>
  <c r="AV70" i="2"/>
  <c r="AA71" i="2"/>
  <c r="H72" i="2"/>
  <c r="AL72" i="2"/>
  <c r="W73" i="2"/>
  <c r="P76" i="2"/>
  <c r="AX76" i="2"/>
  <c r="AX81" i="2"/>
  <c r="Z81" i="2"/>
  <c r="AW81" i="2"/>
  <c r="Y81" i="2"/>
  <c r="AV81" i="2"/>
  <c r="X81" i="2"/>
  <c r="AU81" i="2"/>
  <c r="W81" i="2"/>
  <c r="AT81" i="2"/>
  <c r="V81" i="2"/>
  <c r="AP81" i="2"/>
  <c r="R81" i="2"/>
  <c r="AL81" i="2"/>
  <c r="N81" i="2"/>
  <c r="AK81" i="2"/>
  <c r="M81" i="2"/>
  <c r="AJ81" i="2"/>
  <c r="L81" i="2"/>
  <c r="AI81" i="2"/>
  <c r="K81" i="2"/>
  <c r="AB81" i="2"/>
  <c r="Q86" i="2"/>
  <c r="R87" i="2"/>
  <c r="R88" i="2"/>
  <c r="P102" i="2"/>
  <c r="AG107" i="2"/>
  <c r="AL119" i="2"/>
  <c r="I6" i="2"/>
  <c r="AG6" i="2"/>
  <c r="AE7" i="2"/>
  <c r="AW10" i="2"/>
  <c r="W11" i="2"/>
  <c r="AC11" i="2" s="1"/>
  <c r="AU11" i="2"/>
  <c r="U12" i="2"/>
  <c r="AS12" i="2"/>
  <c r="AY12" i="2" s="1"/>
  <c r="M16" i="2"/>
  <c r="AK16" i="2"/>
  <c r="K17" i="2"/>
  <c r="AI17" i="2"/>
  <c r="AY17" i="2" s="1"/>
  <c r="AZ17" i="2" s="1"/>
  <c r="I18" i="2"/>
  <c r="AG18" i="2"/>
  <c r="AE19" i="2"/>
  <c r="Y22" i="2"/>
  <c r="AW22" i="2"/>
  <c r="W23" i="2"/>
  <c r="AC23" i="2" s="1"/>
  <c r="AU23" i="2"/>
  <c r="U24" i="2"/>
  <c r="AS24" i="2"/>
  <c r="AY24" i="2" s="1"/>
  <c r="S25" i="2"/>
  <c r="AQ25" i="2"/>
  <c r="M28" i="2"/>
  <c r="AK28" i="2"/>
  <c r="K29" i="2"/>
  <c r="AI29" i="2"/>
  <c r="AY29" i="2" s="1"/>
  <c r="I30" i="2"/>
  <c r="AG30" i="2"/>
  <c r="AE31" i="2"/>
  <c r="Y34" i="2"/>
  <c r="AW34" i="2"/>
  <c r="W35" i="2"/>
  <c r="AC35" i="2" s="1"/>
  <c r="AZ35" i="2" s="1"/>
  <c r="AU35" i="2"/>
  <c r="U36" i="2"/>
  <c r="AS36" i="2"/>
  <c r="AY36" i="2" s="1"/>
  <c r="S37" i="2"/>
  <c r="AQ37" i="2"/>
  <c r="M40" i="2"/>
  <c r="AK40" i="2"/>
  <c r="K41" i="2"/>
  <c r="AI41" i="2"/>
  <c r="AY41" i="2" s="1"/>
  <c r="I42" i="2"/>
  <c r="AG42" i="2"/>
  <c r="AE43" i="2"/>
  <c r="Y46" i="2"/>
  <c r="AW46" i="2"/>
  <c r="W47" i="2"/>
  <c r="AC47" i="2" s="1"/>
  <c r="AZ47" i="2" s="1"/>
  <c r="AU47" i="2"/>
  <c r="U48" i="2"/>
  <c r="AS48" i="2"/>
  <c r="AY48" i="2" s="1"/>
  <c r="S49" i="2"/>
  <c r="AQ49" i="2"/>
  <c r="M52" i="2"/>
  <c r="AK52" i="2"/>
  <c r="K53" i="2"/>
  <c r="AI53" i="2"/>
  <c r="AY53" i="2" s="1"/>
  <c r="I54" i="2"/>
  <c r="AG54" i="2"/>
  <c r="AE55" i="2"/>
  <c r="AA57" i="2"/>
  <c r="Y58" i="2"/>
  <c r="AW58" i="2"/>
  <c r="W59" i="2"/>
  <c r="AC59" i="2" s="1"/>
  <c r="AZ59" i="2" s="1"/>
  <c r="AU59" i="2"/>
  <c r="U60" i="2"/>
  <c r="AS60" i="2"/>
  <c r="AY60" i="2" s="1"/>
  <c r="S61" i="2"/>
  <c r="AQ61" i="2"/>
  <c r="M64" i="2"/>
  <c r="AK64" i="2"/>
  <c r="K65" i="2"/>
  <c r="AI65" i="2"/>
  <c r="AY65" i="2" s="1"/>
  <c r="AZ65" i="2" s="1"/>
  <c r="I66" i="2"/>
  <c r="AG66" i="2"/>
  <c r="AE67" i="2"/>
  <c r="AA69" i="2"/>
  <c r="I72" i="2"/>
  <c r="AM72" i="2"/>
  <c r="X73" i="2"/>
  <c r="AN74" i="2"/>
  <c r="P74" i="2"/>
  <c r="AM74" i="2"/>
  <c r="O74" i="2"/>
  <c r="AL74" i="2"/>
  <c r="N74" i="2"/>
  <c r="AK74" i="2"/>
  <c r="M74" i="2"/>
  <c r="AJ74" i="2"/>
  <c r="L74" i="2"/>
  <c r="AB74" i="2"/>
  <c r="AW74" i="2"/>
  <c r="Y74" i="2"/>
  <c r="AP74" i="2"/>
  <c r="R74" i="2"/>
  <c r="AS74" i="2"/>
  <c r="AY74" i="2" s="1"/>
  <c r="Q76" i="2"/>
  <c r="T86" i="2"/>
  <c r="S87" i="2"/>
  <c r="S88" i="2"/>
  <c r="AD91" i="2"/>
  <c r="AB91" i="2"/>
  <c r="AA91" i="2"/>
  <c r="AX91" i="2"/>
  <c r="AY91" i="2" s="1"/>
  <c r="Z91" i="2"/>
  <c r="AT91" i="2"/>
  <c r="V91" i="2"/>
  <c r="AQ91" i="2"/>
  <c r="S91" i="2"/>
  <c r="AP91" i="2"/>
  <c r="R91" i="2"/>
  <c r="AO91" i="2"/>
  <c r="Q91" i="2"/>
  <c r="AN91" i="2"/>
  <c r="P91" i="2"/>
  <c r="AM91" i="2"/>
  <c r="O91" i="2"/>
  <c r="AK91" i="2"/>
  <c r="M91" i="2"/>
  <c r="AG91" i="2"/>
  <c r="I91" i="2"/>
  <c r="AF91" i="2"/>
  <c r="H91" i="2"/>
  <c r="AX93" i="2"/>
  <c r="Z93" i="2"/>
  <c r="AW93" i="2"/>
  <c r="Y93" i="2"/>
  <c r="AV93" i="2"/>
  <c r="X93" i="2"/>
  <c r="AU93" i="2"/>
  <c r="W93" i="2"/>
  <c r="AT93" i="2"/>
  <c r="V93" i="2"/>
  <c r="AP93" i="2"/>
  <c r="R93" i="2"/>
  <c r="AM93" i="2"/>
  <c r="O93" i="2"/>
  <c r="AL93" i="2"/>
  <c r="N93" i="2"/>
  <c r="AK93" i="2"/>
  <c r="M93" i="2"/>
  <c r="AJ93" i="2"/>
  <c r="L93" i="2"/>
  <c r="AI93" i="2"/>
  <c r="K93" i="2"/>
  <c r="AH93" i="2"/>
  <c r="J93" i="2"/>
  <c r="AG93" i="2"/>
  <c r="I93" i="2"/>
  <c r="AB93" i="2"/>
  <c r="AC95" i="2"/>
  <c r="AN100" i="2"/>
  <c r="P100" i="2"/>
  <c r="AM100" i="2"/>
  <c r="O100" i="2"/>
  <c r="AL100" i="2"/>
  <c r="N100" i="2"/>
  <c r="AK100" i="2"/>
  <c r="M100" i="2"/>
  <c r="AA100" i="2"/>
  <c r="AD100" i="2"/>
  <c r="AB100" i="2"/>
  <c r="Z100" i="2"/>
  <c r="Y100" i="2"/>
  <c r="V100" i="2"/>
  <c r="AX100" i="2"/>
  <c r="U100" i="2"/>
  <c r="AU100" i="2"/>
  <c r="R100" i="2"/>
  <c r="AT100" i="2"/>
  <c r="Q100" i="2"/>
  <c r="AS100" i="2"/>
  <c r="L100" i="2"/>
  <c r="AR100" i="2"/>
  <c r="K100" i="2"/>
  <c r="AQ100" i="2"/>
  <c r="J100" i="2"/>
  <c r="AP100" i="2"/>
  <c r="I100" i="2"/>
  <c r="AO100" i="2"/>
  <c r="H100" i="2"/>
  <c r="AG100" i="2"/>
  <c r="AF100" i="2"/>
  <c r="Q102" i="2"/>
  <c r="AJ107" i="2"/>
  <c r="AR119" i="2"/>
  <c r="AZ127" i="2"/>
  <c r="AV82" i="2"/>
  <c r="X82" i="2"/>
  <c r="AU82" i="2"/>
  <c r="W82" i="2"/>
  <c r="AT82" i="2"/>
  <c r="V82" i="2"/>
  <c r="AS82" i="2"/>
  <c r="U82" i="2"/>
  <c r="AR82" i="2"/>
  <c r="T82" i="2"/>
  <c r="AN82" i="2"/>
  <c r="P82" i="2"/>
  <c r="AJ82" i="2"/>
  <c r="L82" i="2"/>
  <c r="AI82" i="2"/>
  <c r="K82" i="2"/>
  <c r="AH82" i="2"/>
  <c r="J82" i="2"/>
  <c r="AG82" i="2"/>
  <c r="I82" i="2"/>
  <c r="AA82" i="2"/>
  <c r="AX82" i="2"/>
  <c r="Z82" i="2"/>
  <c r="H82" i="2"/>
  <c r="AD57" i="2"/>
  <c r="AD69" i="2"/>
  <c r="M82" i="2"/>
  <c r="AC99" i="2"/>
  <c r="AZ140" i="2"/>
  <c r="AE57" i="2"/>
  <c r="AE69" i="2"/>
  <c r="N82" i="2"/>
  <c r="O82" i="2"/>
  <c r="AQ98" i="2"/>
  <c r="AP98" i="2"/>
  <c r="AO98" i="2"/>
  <c r="AE98" i="2"/>
  <c r="AR98" i="2"/>
  <c r="P98" i="2"/>
  <c r="AN98" i="2"/>
  <c r="O98" i="2"/>
  <c r="AM98" i="2"/>
  <c r="N98" i="2"/>
  <c r="AL98" i="2"/>
  <c r="M98" i="2"/>
  <c r="AK98" i="2"/>
  <c r="L98" i="2"/>
  <c r="AH98" i="2"/>
  <c r="I98" i="2"/>
  <c r="AG98" i="2"/>
  <c r="H98" i="2"/>
  <c r="AB98" i="2"/>
  <c r="AA98" i="2"/>
  <c r="Z98" i="2"/>
  <c r="Y98" i="2"/>
  <c r="X98" i="2"/>
  <c r="W98" i="2"/>
  <c r="AU98" i="2"/>
  <c r="S98" i="2"/>
  <c r="AT98" i="2"/>
  <c r="R98" i="2"/>
  <c r="O6" i="2"/>
  <c r="AM6" i="2"/>
  <c r="M7" i="2"/>
  <c r="AC7" i="2" s="1"/>
  <c r="AZ7" i="2" s="1"/>
  <c r="AK7" i="2"/>
  <c r="AE10" i="2"/>
  <c r="AA12" i="2"/>
  <c r="S16" i="2"/>
  <c r="AQ16" i="2"/>
  <c r="Q17" i="2"/>
  <c r="AO17" i="2"/>
  <c r="O18" i="2"/>
  <c r="AM18" i="2"/>
  <c r="M19" i="2"/>
  <c r="AC19" i="2" s="1"/>
  <c r="AZ19" i="2" s="1"/>
  <c r="AK19" i="2"/>
  <c r="AE22" i="2"/>
  <c r="AA24" i="2"/>
  <c r="Y25" i="2"/>
  <c r="AW25" i="2"/>
  <c r="S28" i="2"/>
  <c r="AQ28" i="2"/>
  <c r="Q29" i="2"/>
  <c r="AO29" i="2"/>
  <c r="O30" i="2"/>
  <c r="AM30" i="2"/>
  <c r="M31" i="2"/>
  <c r="AC31" i="2" s="1"/>
  <c r="AK31" i="2"/>
  <c r="AE34" i="2"/>
  <c r="AA36" i="2"/>
  <c r="Y37" i="2"/>
  <c r="AW37" i="2"/>
  <c r="S40" i="2"/>
  <c r="AQ40" i="2"/>
  <c r="Q41" i="2"/>
  <c r="AO41" i="2"/>
  <c r="O42" i="2"/>
  <c r="AM42" i="2"/>
  <c r="M43" i="2"/>
  <c r="AC43" i="2" s="1"/>
  <c r="AZ43" i="2" s="1"/>
  <c r="AK43" i="2"/>
  <c r="AE46" i="2"/>
  <c r="AA48" i="2"/>
  <c r="Y49" i="2"/>
  <c r="AW49" i="2"/>
  <c r="S52" i="2"/>
  <c r="AQ52" i="2"/>
  <c r="Q53" i="2"/>
  <c r="AO53" i="2"/>
  <c r="O54" i="2"/>
  <c r="AM54" i="2"/>
  <c r="M55" i="2"/>
  <c r="AC55" i="2" s="1"/>
  <c r="AZ55" i="2" s="1"/>
  <c r="AK55" i="2"/>
  <c r="I57" i="2"/>
  <c r="AG57" i="2"/>
  <c r="AE58" i="2"/>
  <c r="AA60" i="2"/>
  <c r="Y61" i="2"/>
  <c r="AW61" i="2"/>
  <c r="S64" i="2"/>
  <c r="AQ64" i="2"/>
  <c r="Q65" i="2"/>
  <c r="AO65" i="2"/>
  <c r="O66" i="2"/>
  <c r="AM66" i="2"/>
  <c r="M67" i="2"/>
  <c r="AC67" i="2" s="1"/>
  <c r="AZ67" i="2" s="1"/>
  <c r="AK67" i="2"/>
  <c r="I69" i="2"/>
  <c r="AG69" i="2"/>
  <c r="AE70" i="2"/>
  <c r="O72" i="2"/>
  <c r="AX72" i="2"/>
  <c r="AY72" i="2" s="1"/>
  <c r="AE73" i="2"/>
  <c r="S74" i="2"/>
  <c r="Y76" i="2"/>
  <c r="Q82" i="2"/>
  <c r="AE86" i="2"/>
  <c r="AE87" i="2"/>
  <c r="AE88" i="2"/>
  <c r="U91" i="2"/>
  <c r="U93" i="2"/>
  <c r="J98" i="2"/>
  <c r="AH100" i="2"/>
  <c r="AQ102" i="2"/>
  <c r="AN6" i="2"/>
  <c r="AL7" i="2"/>
  <c r="AF10" i="2"/>
  <c r="AD11" i="2"/>
  <c r="AB12" i="2"/>
  <c r="AC12" i="2" s="1"/>
  <c r="AZ12" i="2" s="1"/>
  <c r="T16" i="2"/>
  <c r="AR16" i="2"/>
  <c r="R17" i="2"/>
  <c r="AP17" i="2"/>
  <c r="P18" i="2"/>
  <c r="AN18" i="2"/>
  <c r="N19" i="2"/>
  <c r="AL19" i="2"/>
  <c r="H22" i="2"/>
  <c r="AF22" i="2"/>
  <c r="AD23" i="2"/>
  <c r="AB24" i="2"/>
  <c r="AC24" i="2" s="1"/>
  <c r="Z25" i="2"/>
  <c r="AX25" i="2"/>
  <c r="AY25" i="2" s="1"/>
  <c r="T28" i="2"/>
  <c r="AR28" i="2"/>
  <c r="R29" i="2"/>
  <c r="AP29" i="2"/>
  <c r="P30" i="2"/>
  <c r="AN30" i="2"/>
  <c r="N31" i="2"/>
  <c r="AL31" i="2"/>
  <c r="AD35" i="2"/>
  <c r="AB36" i="2"/>
  <c r="AC36" i="2" s="1"/>
  <c r="Z37" i="2"/>
  <c r="AX37" i="2"/>
  <c r="AY37" i="2" s="1"/>
  <c r="T40" i="2"/>
  <c r="AR40" i="2"/>
  <c r="R41" i="2"/>
  <c r="AP41" i="2"/>
  <c r="P42" i="2"/>
  <c r="AN42" i="2"/>
  <c r="AL43" i="2"/>
  <c r="H46" i="2"/>
  <c r="AF46" i="2"/>
  <c r="AD47" i="2"/>
  <c r="AB48" i="2"/>
  <c r="AC48" i="2" s="1"/>
  <c r="Z49" i="2"/>
  <c r="AX49" i="2"/>
  <c r="AY49" i="2" s="1"/>
  <c r="T52" i="2"/>
  <c r="AR52" i="2"/>
  <c r="R53" i="2"/>
  <c r="AP53" i="2"/>
  <c r="P54" i="2"/>
  <c r="AN54" i="2"/>
  <c r="N55" i="2"/>
  <c r="AL55" i="2"/>
  <c r="J57" i="2"/>
  <c r="AH57" i="2"/>
  <c r="H58" i="2"/>
  <c r="AF58" i="2"/>
  <c r="AD59" i="2"/>
  <c r="AB60" i="2"/>
  <c r="AC60" i="2" s="1"/>
  <c r="Z61" i="2"/>
  <c r="AX61" i="2"/>
  <c r="AY61" i="2" s="1"/>
  <c r="T64" i="2"/>
  <c r="AR64" i="2"/>
  <c r="R65" i="2"/>
  <c r="AP65" i="2"/>
  <c r="P66" i="2"/>
  <c r="AN66" i="2"/>
  <c r="N67" i="2"/>
  <c r="AL67" i="2"/>
  <c r="J69" i="2"/>
  <c r="AH69" i="2"/>
  <c r="U72" i="2"/>
  <c r="AF73" i="2"/>
  <c r="T74" i="2"/>
  <c r="Z76" i="2"/>
  <c r="R82" i="2"/>
  <c r="AG86" i="2"/>
  <c r="AF87" i="2"/>
  <c r="AK88" i="2"/>
  <c r="W91" i="2"/>
  <c r="AA93" i="2"/>
  <c r="K98" i="2"/>
  <c r="AI100" i="2"/>
  <c r="AT102" i="2"/>
  <c r="AB106" i="2"/>
  <c r="AA106" i="2"/>
  <c r="AX106" i="2"/>
  <c r="Z106" i="2"/>
  <c r="AW106" i="2"/>
  <c r="Y106" i="2"/>
  <c r="AM106" i="2"/>
  <c r="O106" i="2"/>
  <c r="AF106" i="2"/>
  <c r="AE106" i="2"/>
  <c r="AD106" i="2"/>
  <c r="X106" i="2"/>
  <c r="W106" i="2"/>
  <c r="T106" i="2"/>
  <c r="S106" i="2"/>
  <c r="AT106" i="2"/>
  <c r="P106" i="2"/>
  <c r="AS106" i="2"/>
  <c r="N106" i="2"/>
  <c r="AR106" i="2"/>
  <c r="M106" i="2"/>
  <c r="AQ106" i="2"/>
  <c r="L106" i="2"/>
  <c r="AP106" i="2"/>
  <c r="K106" i="2"/>
  <c r="AO106" i="2"/>
  <c r="J106" i="2"/>
  <c r="AN106" i="2"/>
  <c r="I106" i="2"/>
  <c r="AL106" i="2"/>
  <c r="H106" i="2"/>
  <c r="AI106" i="2"/>
  <c r="AH106" i="2"/>
  <c r="AO112" i="2"/>
  <c r="Q112" i="2"/>
  <c r="AN112" i="2"/>
  <c r="P112" i="2"/>
  <c r="AM112" i="2"/>
  <c r="O112" i="2"/>
  <c r="AL112" i="2"/>
  <c r="N112" i="2"/>
  <c r="AK112" i="2"/>
  <c r="M112" i="2"/>
  <c r="AA112" i="2"/>
  <c r="AU112" i="2"/>
  <c r="W112" i="2"/>
  <c r="V112" i="2"/>
  <c r="U112" i="2"/>
  <c r="T112" i="2"/>
  <c r="S112" i="2"/>
  <c r="AX112" i="2"/>
  <c r="R112" i="2"/>
  <c r="AT112" i="2"/>
  <c r="J112" i="2"/>
  <c r="AS112" i="2"/>
  <c r="I112" i="2"/>
  <c r="AP112" i="2"/>
  <c r="AJ112" i="2"/>
  <c r="AI112" i="2"/>
  <c r="AH112" i="2"/>
  <c r="AG112" i="2"/>
  <c r="AF112" i="2"/>
  <c r="AE112" i="2"/>
  <c r="AD112" i="2"/>
  <c r="Z112" i="2"/>
  <c r="Y112" i="2"/>
  <c r="BD127" i="2"/>
  <c r="Q6" i="2"/>
  <c r="AO6" i="2"/>
  <c r="O7" i="2"/>
  <c r="AM7" i="2"/>
  <c r="AG10" i="2"/>
  <c r="AE11" i="2"/>
  <c r="U16" i="2"/>
  <c r="AS16" i="2"/>
  <c r="S17" i="2"/>
  <c r="AQ17" i="2"/>
  <c r="Q18" i="2"/>
  <c r="AO18" i="2"/>
  <c r="O19" i="2"/>
  <c r="AM19" i="2"/>
  <c r="I22" i="2"/>
  <c r="AG22" i="2"/>
  <c r="AE23" i="2"/>
  <c r="AA25" i="2"/>
  <c r="U28" i="2"/>
  <c r="AS28" i="2"/>
  <c r="S29" i="2"/>
  <c r="AQ29" i="2"/>
  <c r="Q30" i="2"/>
  <c r="AO30" i="2"/>
  <c r="O31" i="2"/>
  <c r="AM31" i="2"/>
  <c r="AE35" i="2"/>
  <c r="AA37" i="2"/>
  <c r="U40" i="2"/>
  <c r="AS40" i="2"/>
  <c r="S41" i="2"/>
  <c r="AQ41" i="2"/>
  <c r="Q42" i="2"/>
  <c r="AO42" i="2"/>
  <c r="O43" i="2"/>
  <c r="AM43" i="2"/>
  <c r="I46" i="2"/>
  <c r="AG46" i="2"/>
  <c r="AE47" i="2"/>
  <c r="AA49" i="2"/>
  <c r="U52" i="2"/>
  <c r="AS52" i="2"/>
  <c r="S53" i="2"/>
  <c r="AQ53" i="2"/>
  <c r="Q54" i="2"/>
  <c r="AO54" i="2"/>
  <c r="O55" i="2"/>
  <c r="AM55" i="2"/>
  <c r="K57" i="2"/>
  <c r="AI57" i="2"/>
  <c r="I58" i="2"/>
  <c r="AG58" i="2"/>
  <c r="AE59" i="2"/>
  <c r="AA61" i="2"/>
  <c r="U64" i="2"/>
  <c r="AS64" i="2"/>
  <c r="S65" i="2"/>
  <c r="AQ65" i="2"/>
  <c r="Q66" i="2"/>
  <c r="AO66" i="2"/>
  <c r="O67" i="2"/>
  <c r="AM67" i="2"/>
  <c r="K69" i="2"/>
  <c r="AI69" i="2"/>
  <c r="AG70" i="2"/>
  <c r="AT71" i="2"/>
  <c r="V71" i="2"/>
  <c r="AS71" i="2"/>
  <c r="AY71" i="2" s="1"/>
  <c r="AZ71" i="2" s="1"/>
  <c r="U71" i="2"/>
  <c r="AR71" i="2"/>
  <c r="T71" i="2"/>
  <c r="AQ71" i="2"/>
  <c r="S71" i="2"/>
  <c r="AP71" i="2"/>
  <c r="R71" i="2"/>
  <c r="AE71" i="2"/>
  <c r="AK71" i="2"/>
  <c r="V72" i="2"/>
  <c r="AG73" i="2"/>
  <c r="U74" i="2"/>
  <c r="AA76" i="2"/>
  <c r="S82" i="2"/>
  <c r="AH86" i="2"/>
  <c r="AG87" i="2"/>
  <c r="AN88" i="2"/>
  <c r="X91" i="2"/>
  <c r="AD93" i="2"/>
  <c r="Q98" i="2"/>
  <c r="AJ100" i="2"/>
  <c r="AV102" i="2"/>
  <c r="AC104" i="2"/>
  <c r="AZ104" i="2" s="1"/>
  <c r="Q106" i="2"/>
  <c r="H112" i="2"/>
  <c r="AC115" i="2"/>
  <c r="R6" i="2"/>
  <c r="AP6" i="2"/>
  <c r="AN7" i="2"/>
  <c r="H11" i="2"/>
  <c r="AF11" i="2"/>
  <c r="AD12" i="2"/>
  <c r="V16" i="2"/>
  <c r="AT16" i="2"/>
  <c r="T17" i="2"/>
  <c r="AR17" i="2"/>
  <c r="R18" i="2"/>
  <c r="AP18" i="2"/>
  <c r="P19" i="2"/>
  <c r="AN19" i="2"/>
  <c r="J22" i="2"/>
  <c r="AH22" i="2"/>
  <c r="BB22" i="2" s="1"/>
  <c r="BC22" i="2" s="1"/>
  <c r="H23" i="2"/>
  <c r="AF23" i="2"/>
  <c r="AD24" i="2"/>
  <c r="V28" i="2"/>
  <c r="AT28" i="2"/>
  <c r="T29" i="2"/>
  <c r="AR29" i="2"/>
  <c r="R30" i="2"/>
  <c r="AP30" i="2"/>
  <c r="P31" i="2"/>
  <c r="AN31" i="2"/>
  <c r="J34" i="2"/>
  <c r="AH34" i="2"/>
  <c r="BB34" i="2" s="1"/>
  <c r="BC34" i="2" s="1"/>
  <c r="H35" i="2"/>
  <c r="AF35" i="2"/>
  <c r="AD36" i="2"/>
  <c r="V40" i="2"/>
  <c r="AT40" i="2"/>
  <c r="T41" i="2"/>
  <c r="AR41" i="2"/>
  <c r="R42" i="2"/>
  <c r="AP42" i="2"/>
  <c r="P43" i="2"/>
  <c r="AN43" i="2"/>
  <c r="J46" i="2"/>
  <c r="AH46" i="2"/>
  <c r="BB46" i="2" s="1"/>
  <c r="BC46" i="2" s="1"/>
  <c r="H47" i="2"/>
  <c r="AF47" i="2"/>
  <c r="AD48" i="2"/>
  <c r="V52" i="2"/>
  <c r="AT52" i="2"/>
  <c r="T53" i="2"/>
  <c r="AR53" i="2"/>
  <c r="R54" i="2"/>
  <c r="AP54" i="2"/>
  <c r="L57" i="2"/>
  <c r="AJ57" i="2"/>
  <c r="V64" i="2"/>
  <c r="AT64" i="2"/>
  <c r="T65" i="2"/>
  <c r="AR65" i="2"/>
  <c r="R66" i="2"/>
  <c r="AP66" i="2"/>
  <c r="L69" i="2"/>
  <c r="BD69" i="2" s="1"/>
  <c r="AJ69" i="2"/>
  <c r="W72" i="2"/>
  <c r="AC72" i="2" s="1"/>
  <c r="AH73" i="2"/>
  <c r="AB76" i="2"/>
  <c r="Y82" i="2"/>
  <c r="AI86" i="2"/>
  <c r="AM87" i="2"/>
  <c r="AO88" i="2"/>
  <c r="Y91" i="2"/>
  <c r="AE93" i="2"/>
  <c r="T98" i="2"/>
  <c r="AV100" i="2"/>
  <c r="R106" i="2"/>
  <c r="K112" i="2"/>
  <c r="S6" i="2"/>
  <c r="Q7" i="2"/>
  <c r="W16" i="2"/>
  <c r="U17" i="2"/>
  <c r="S18" i="2"/>
  <c r="Q19" i="2"/>
  <c r="K22" i="2"/>
  <c r="I23" i="2"/>
  <c r="W28" i="2"/>
  <c r="U29" i="2"/>
  <c r="S30" i="2"/>
  <c r="Q31" i="2"/>
  <c r="I35" i="2"/>
  <c r="W40" i="2"/>
  <c r="U41" i="2"/>
  <c r="S42" i="2"/>
  <c r="Q43" i="2"/>
  <c r="K46" i="2"/>
  <c r="I47" i="2"/>
  <c r="W52" i="2"/>
  <c r="U53" i="2"/>
  <c r="S54" i="2"/>
  <c r="Q55" i="2"/>
  <c r="M57" i="2"/>
  <c r="AC57" i="2" s="1"/>
  <c r="K58" i="2"/>
  <c r="I59" i="2"/>
  <c r="W64" i="2"/>
  <c r="U65" i="2"/>
  <c r="S66" i="2"/>
  <c r="Q67" i="2"/>
  <c r="M69" i="2"/>
  <c r="K70" i="2"/>
  <c r="I71" i="2"/>
  <c r="AM71" i="2"/>
  <c r="X72" i="2"/>
  <c r="AI73" i="2"/>
  <c r="AY73" i="2" s="1"/>
  <c r="W74" i="2"/>
  <c r="AL75" i="2"/>
  <c r="N75" i="2"/>
  <c r="AK75" i="2"/>
  <c r="M75" i="2"/>
  <c r="AJ75" i="2"/>
  <c r="L75" i="2"/>
  <c r="AI75" i="2"/>
  <c r="K75" i="2"/>
  <c r="AH75" i="2"/>
  <c r="J75" i="2"/>
  <c r="AX75" i="2"/>
  <c r="Z75" i="2"/>
  <c r="AU75" i="2"/>
  <c r="W75" i="2"/>
  <c r="AN75" i="2"/>
  <c r="P75" i="2"/>
  <c r="AS75" i="2"/>
  <c r="AD79" i="2"/>
  <c r="AB79" i="2"/>
  <c r="AC79" i="2" s="1"/>
  <c r="AA79" i="2"/>
  <c r="AX79" i="2"/>
  <c r="AY79" i="2" s="1"/>
  <c r="Z79" i="2"/>
  <c r="AT79" i="2"/>
  <c r="V79" i="2"/>
  <c r="AP79" i="2"/>
  <c r="R79" i="2"/>
  <c r="AM79" i="2"/>
  <c r="BB79" i="2" s="1"/>
  <c r="BC79" i="2" s="1"/>
  <c r="O79" i="2"/>
  <c r="BD79" i="2" s="1"/>
  <c r="AF79" i="2"/>
  <c r="H79" i="2"/>
  <c r="AQ79" i="2"/>
  <c r="AD81" i="2"/>
  <c r="AB82" i="2"/>
  <c r="AO86" i="2"/>
  <c r="AP87" i="2"/>
  <c r="AP88" i="2"/>
  <c r="AE91" i="2"/>
  <c r="AF93" i="2"/>
  <c r="U98" i="2"/>
  <c r="AW100" i="2"/>
  <c r="U106" i="2"/>
  <c r="L112" i="2"/>
  <c r="AD80" i="2"/>
  <c r="V84" i="2"/>
  <c r="AT84" i="2"/>
  <c r="T85" i="2"/>
  <c r="AR85" i="2"/>
  <c r="AD92" i="2"/>
  <c r="Z94" i="2"/>
  <c r="AX94" i="2"/>
  <c r="V96" i="2"/>
  <c r="AT96" i="2"/>
  <c r="T97" i="2"/>
  <c r="AR97" i="2"/>
  <c r="X99" i="2"/>
  <c r="AQ111" i="2"/>
  <c r="S111" i="2"/>
  <c r="AP111" i="2"/>
  <c r="R111" i="2"/>
  <c r="AO111" i="2"/>
  <c r="Q111" i="2"/>
  <c r="AN111" i="2"/>
  <c r="P111" i="2"/>
  <c r="AM111" i="2"/>
  <c r="O111" i="2"/>
  <c r="AW111" i="2"/>
  <c r="Y111" i="2"/>
  <c r="AL111" i="2"/>
  <c r="AM113" i="2"/>
  <c r="O113" i="2"/>
  <c r="AL113" i="2"/>
  <c r="N113" i="2"/>
  <c r="AK113" i="2"/>
  <c r="M113" i="2"/>
  <c r="AC113" i="2" s="1"/>
  <c r="AJ113" i="2"/>
  <c r="L113" i="2"/>
  <c r="AI113" i="2"/>
  <c r="K113" i="2"/>
  <c r="AW113" i="2"/>
  <c r="Y113" i="2"/>
  <c r="AS113" i="2"/>
  <c r="U113" i="2"/>
  <c r="AQ113" i="2"/>
  <c r="Z114" i="2"/>
  <c r="AH123" i="2"/>
  <c r="AD124" i="2"/>
  <c r="Z125" i="2"/>
  <c r="AI148" i="2"/>
  <c r="AE80" i="2"/>
  <c r="W84" i="2"/>
  <c r="AC84" i="2" s="1"/>
  <c r="AU84" i="2"/>
  <c r="U85" i="2"/>
  <c r="AS85" i="2"/>
  <c r="AY85" i="2" s="1"/>
  <c r="AE92" i="2"/>
  <c r="AA94" i="2"/>
  <c r="W96" i="2"/>
  <c r="AC96" i="2" s="1"/>
  <c r="AZ96" i="2" s="1"/>
  <c r="AU96" i="2"/>
  <c r="U97" i="2"/>
  <c r="AS97" i="2"/>
  <c r="AY97" i="2" s="1"/>
  <c r="AA114" i="2"/>
  <c r="AE124" i="2"/>
  <c r="AB125" i="2"/>
  <c r="AD114" i="2"/>
  <c r="AH124" i="2"/>
  <c r="AE125" i="2"/>
  <c r="AE94" i="2"/>
  <c r="BD103" i="2"/>
  <c r="AE114" i="2"/>
  <c r="AI124" i="2"/>
  <c r="AF125" i="2"/>
  <c r="AS149" i="2"/>
  <c r="U149" i="2"/>
  <c r="AR149" i="2"/>
  <c r="T149" i="2"/>
  <c r="AO149" i="2"/>
  <c r="Q149" i="2"/>
  <c r="AI149" i="2"/>
  <c r="K149" i="2"/>
  <c r="AH149" i="2"/>
  <c r="AW149" i="2"/>
  <c r="R149" i="2"/>
  <c r="AV149" i="2"/>
  <c r="P149" i="2"/>
  <c r="AU149" i="2"/>
  <c r="O149" i="2"/>
  <c r="AT149" i="2"/>
  <c r="N149" i="2"/>
  <c r="AQ149" i="2"/>
  <c r="M149" i="2"/>
  <c r="AG149" i="2"/>
  <c r="AF149" i="2"/>
  <c r="AE149" i="2"/>
  <c r="AD149" i="2"/>
  <c r="AB149" i="2"/>
  <c r="AA149" i="2"/>
  <c r="Z149" i="2"/>
  <c r="W149" i="2"/>
  <c r="V149" i="2"/>
  <c r="AC164" i="2"/>
  <c r="AZ164" i="2" s="1"/>
  <c r="AC111" i="2"/>
  <c r="AF114" i="2"/>
  <c r="AY117" i="2"/>
  <c r="AJ124" i="2"/>
  <c r="AG125" i="2"/>
  <c r="H149" i="2"/>
  <c r="S77" i="2"/>
  <c r="BD77" i="2" s="1"/>
  <c r="AQ77" i="2"/>
  <c r="Q78" i="2"/>
  <c r="BD78" i="2" s="1"/>
  <c r="AO78" i="2"/>
  <c r="BB78" i="2" s="1"/>
  <c r="BC78" i="2" s="1"/>
  <c r="M80" i="2"/>
  <c r="AC80" i="2" s="1"/>
  <c r="AK80" i="2"/>
  <c r="AE83" i="2"/>
  <c r="AA85" i="2"/>
  <c r="S89" i="2"/>
  <c r="BD89" i="2" s="1"/>
  <c r="AQ89" i="2"/>
  <c r="AO90" i="2"/>
  <c r="BB90" i="2" s="1"/>
  <c r="BC90" i="2" s="1"/>
  <c r="M92" i="2"/>
  <c r="AC92" i="2" s="1"/>
  <c r="AK92" i="2"/>
  <c r="I94" i="2"/>
  <c r="AG94" i="2"/>
  <c r="AE95" i="2"/>
  <c r="AA97" i="2"/>
  <c r="AW108" i="2"/>
  <c r="Y108" i="2"/>
  <c r="AV108" i="2"/>
  <c r="X108" i="2"/>
  <c r="AU108" i="2"/>
  <c r="W108" i="2"/>
  <c r="AT108" i="2"/>
  <c r="V108" i="2"/>
  <c r="AS108" i="2"/>
  <c r="U108" i="2"/>
  <c r="AI108" i="2"/>
  <c r="K108" i="2"/>
  <c r="AL108" i="2"/>
  <c r="BB108" i="2" s="1"/>
  <c r="BC108" i="2" s="1"/>
  <c r="N111" i="2"/>
  <c r="S113" i="2"/>
  <c r="AL114" i="2"/>
  <c r="BB121" i="2"/>
  <c r="BC121" i="2" s="1"/>
  <c r="AP124" i="2"/>
  <c r="AH125" i="2"/>
  <c r="AY129" i="2"/>
  <c r="I149" i="2"/>
  <c r="BB163" i="2"/>
  <c r="BC163" i="2" s="1"/>
  <c r="AL80" i="2"/>
  <c r="AD84" i="2"/>
  <c r="AB85" i="2"/>
  <c r="AC85" i="2" s="1"/>
  <c r="N92" i="2"/>
  <c r="AL92" i="2"/>
  <c r="J94" i="2"/>
  <c r="AH94" i="2"/>
  <c r="AD96" i="2"/>
  <c r="AB97" i="2"/>
  <c r="AC97" i="2" s="1"/>
  <c r="AM114" i="2"/>
  <c r="AQ123" i="2"/>
  <c r="S123" i="2"/>
  <c r="AP123" i="2"/>
  <c r="R123" i="2"/>
  <c r="AO123" i="2"/>
  <c r="Q123" i="2"/>
  <c r="AN123" i="2"/>
  <c r="P123" i="2"/>
  <c r="AM123" i="2"/>
  <c r="O123" i="2"/>
  <c r="AB123" i="2"/>
  <c r="AA123" i="2"/>
  <c r="AX123" i="2"/>
  <c r="AY123" i="2" s="1"/>
  <c r="Z123" i="2"/>
  <c r="AW123" i="2"/>
  <c r="Y123" i="2"/>
  <c r="AT123" i="2"/>
  <c r="V123" i="2"/>
  <c r="AV123" i="2"/>
  <c r="AQ124" i="2"/>
  <c r="AN125" i="2"/>
  <c r="BD140" i="2"/>
  <c r="J149" i="2"/>
  <c r="AW155" i="2"/>
  <c r="Y155" i="2"/>
  <c r="AU155" i="2"/>
  <c r="W155" i="2"/>
  <c r="AB155" i="2"/>
  <c r="X155" i="2"/>
  <c r="AQ155" i="2"/>
  <c r="Q155" i="2"/>
  <c r="AP155" i="2"/>
  <c r="P155" i="2"/>
  <c r="AT155" i="2"/>
  <c r="M155" i="2"/>
  <c r="AS155" i="2"/>
  <c r="L155" i="2"/>
  <c r="AR155" i="2"/>
  <c r="K155" i="2"/>
  <c r="AO155" i="2"/>
  <c r="J155" i="2"/>
  <c r="AN155" i="2"/>
  <c r="I155" i="2"/>
  <c r="AJ155" i="2"/>
  <c r="AG155" i="2"/>
  <c r="AF155" i="2"/>
  <c r="AE155" i="2"/>
  <c r="AD155" i="2"/>
  <c r="AA155" i="2"/>
  <c r="Z155" i="2"/>
  <c r="V155" i="2"/>
  <c r="U155" i="2"/>
  <c r="R155" i="2"/>
  <c r="AX155" i="2"/>
  <c r="O155" i="2"/>
  <c r="AE84" i="2"/>
  <c r="O92" i="2"/>
  <c r="AM92" i="2"/>
  <c r="K94" i="2"/>
  <c r="AI94" i="2"/>
  <c r="AE96" i="2"/>
  <c r="AN114" i="2"/>
  <c r="AS124" i="2"/>
  <c r="AO125" i="2"/>
  <c r="L149" i="2"/>
  <c r="P80" i="2"/>
  <c r="AN80" i="2"/>
  <c r="H84" i="2"/>
  <c r="AF84" i="2"/>
  <c r="AD85" i="2"/>
  <c r="P92" i="2"/>
  <c r="AN92" i="2"/>
  <c r="L94" i="2"/>
  <c r="AJ94" i="2"/>
  <c r="H96" i="2"/>
  <c r="AF96" i="2"/>
  <c r="AD97" i="2"/>
  <c r="AO99" i="2"/>
  <c r="Q99" i="2"/>
  <c r="AN99" i="2"/>
  <c r="P99" i="2"/>
  <c r="AM99" i="2"/>
  <c r="O99" i="2"/>
  <c r="AI99" i="2"/>
  <c r="AO114" i="2"/>
  <c r="BD120" i="2"/>
  <c r="AQ125" i="2"/>
  <c r="AK138" i="2"/>
  <c r="M138" i="2"/>
  <c r="AJ138" i="2"/>
  <c r="L138" i="2"/>
  <c r="AI138" i="2"/>
  <c r="K138" i="2"/>
  <c r="AH138" i="2"/>
  <c r="J138" i="2"/>
  <c r="AG138" i="2"/>
  <c r="I138" i="2"/>
  <c r="AX138" i="2"/>
  <c r="Z138" i="2"/>
  <c r="AW138" i="2"/>
  <c r="Y138" i="2"/>
  <c r="AV138" i="2"/>
  <c r="X138" i="2"/>
  <c r="AU138" i="2"/>
  <c r="W138" i="2"/>
  <c r="AT138" i="2"/>
  <c r="V138" i="2"/>
  <c r="AS138" i="2"/>
  <c r="U138" i="2"/>
  <c r="AR138" i="2"/>
  <c r="T138" i="2"/>
  <c r="AQ138" i="2"/>
  <c r="S138" i="2"/>
  <c r="AN138" i="2"/>
  <c r="P138" i="2"/>
  <c r="AM138" i="2"/>
  <c r="O138" i="2"/>
  <c r="BD139" i="2"/>
  <c r="S149" i="2"/>
  <c r="AE85" i="2"/>
  <c r="M94" i="2"/>
  <c r="AK94" i="2"/>
  <c r="AE97" i="2"/>
  <c r="AR125" i="2"/>
  <c r="H138" i="2"/>
  <c r="X149" i="2"/>
  <c r="AU180" i="2"/>
  <c r="W180" i="2"/>
  <c r="AS180" i="2"/>
  <c r="U180" i="2"/>
  <c r="AQ180" i="2"/>
  <c r="S180" i="2"/>
  <c r="AR180" i="2"/>
  <c r="P180" i="2"/>
  <c r="AP180" i="2"/>
  <c r="O180" i="2"/>
  <c r="AO180" i="2"/>
  <c r="N180" i="2"/>
  <c r="AN180" i="2"/>
  <c r="M180" i="2"/>
  <c r="AM180" i="2"/>
  <c r="L180" i="2"/>
  <c r="AG180" i="2"/>
  <c r="AF180" i="2"/>
  <c r="AE180" i="2"/>
  <c r="AD180" i="2"/>
  <c r="AB180" i="2"/>
  <c r="Z180" i="2"/>
  <c r="AW180" i="2"/>
  <c r="T180" i="2"/>
  <c r="AV180" i="2"/>
  <c r="R180" i="2"/>
  <c r="AX180" i="2"/>
  <c r="AT180" i="2"/>
  <c r="AL180" i="2"/>
  <c r="AK180" i="2"/>
  <c r="AJ180" i="2"/>
  <c r="AI180" i="2"/>
  <c r="AH180" i="2"/>
  <c r="AA180" i="2"/>
  <c r="Y180" i="2"/>
  <c r="X180" i="2"/>
  <c r="V180" i="2"/>
  <c r="Q180" i="2"/>
  <c r="K180" i="2"/>
  <c r="J180" i="2"/>
  <c r="I180" i="2"/>
  <c r="H180" i="2"/>
  <c r="AK114" i="2"/>
  <c r="M114" i="2"/>
  <c r="AJ114" i="2"/>
  <c r="L114" i="2"/>
  <c r="AI114" i="2"/>
  <c r="AY114" i="2" s="1"/>
  <c r="K114" i="2"/>
  <c r="AH114" i="2"/>
  <c r="J114" i="2"/>
  <c r="AG114" i="2"/>
  <c r="I114" i="2"/>
  <c r="AU114" i="2"/>
  <c r="W114" i="2"/>
  <c r="AQ114" i="2"/>
  <c r="S114" i="2"/>
  <c r="AR114" i="2"/>
  <c r="AO124" i="2"/>
  <c r="Q124" i="2"/>
  <c r="AN124" i="2"/>
  <c r="P124" i="2"/>
  <c r="AM124" i="2"/>
  <c r="O124" i="2"/>
  <c r="AL124" i="2"/>
  <c r="N124" i="2"/>
  <c r="AK124" i="2"/>
  <c r="M124" i="2"/>
  <c r="AA124" i="2"/>
  <c r="AX124" i="2"/>
  <c r="Z124" i="2"/>
  <c r="AW124" i="2"/>
  <c r="Y124" i="2"/>
  <c r="AV124" i="2"/>
  <c r="X124" i="2"/>
  <c r="AU124" i="2"/>
  <c r="W124" i="2"/>
  <c r="AR124" i="2"/>
  <c r="T124" i="2"/>
  <c r="AU148" i="2"/>
  <c r="W148" i="2"/>
  <c r="AK148" i="2"/>
  <c r="M148" i="2"/>
  <c r="AO148" i="2"/>
  <c r="O148" i="2"/>
  <c r="AN148" i="2"/>
  <c r="N148" i="2"/>
  <c r="AM148" i="2"/>
  <c r="L148" i="2"/>
  <c r="AL148" i="2"/>
  <c r="K148" i="2"/>
  <c r="AJ148" i="2"/>
  <c r="J148" i="2"/>
  <c r="AB148" i="2"/>
  <c r="AA148" i="2"/>
  <c r="Z148" i="2"/>
  <c r="Y148" i="2"/>
  <c r="AX148" i="2"/>
  <c r="X148" i="2"/>
  <c r="AW148" i="2"/>
  <c r="V148" i="2"/>
  <c r="AV148" i="2"/>
  <c r="U148" i="2"/>
  <c r="AR148" i="2"/>
  <c r="R148" i="2"/>
  <c r="AQ148" i="2"/>
  <c r="Q148" i="2"/>
  <c r="T80" i="2"/>
  <c r="AR80" i="2"/>
  <c r="L84" i="2"/>
  <c r="AJ84" i="2"/>
  <c r="J85" i="2"/>
  <c r="AH85" i="2"/>
  <c r="T92" i="2"/>
  <c r="AR92" i="2"/>
  <c r="P94" i="2"/>
  <c r="AN94" i="2"/>
  <c r="L96" i="2"/>
  <c r="AJ96" i="2"/>
  <c r="J97" i="2"/>
  <c r="AH97" i="2"/>
  <c r="N114" i="2"/>
  <c r="AT114" i="2"/>
  <c r="I124" i="2"/>
  <c r="AM137" i="2"/>
  <c r="O137" i="2"/>
  <c r="AL137" i="2"/>
  <c r="N137" i="2"/>
  <c r="AK137" i="2"/>
  <c r="M137" i="2"/>
  <c r="AJ137" i="2"/>
  <c r="L137" i="2"/>
  <c r="AI137" i="2"/>
  <c r="K137" i="2"/>
  <c r="AB137" i="2"/>
  <c r="AA137" i="2"/>
  <c r="AX137" i="2"/>
  <c r="Z137" i="2"/>
  <c r="AW137" i="2"/>
  <c r="Y137" i="2"/>
  <c r="AV137" i="2"/>
  <c r="X137" i="2"/>
  <c r="AU137" i="2"/>
  <c r="W137" i="2"/>
  <c r="AT137" i="2"/>
  <c r="V137" i="2"/>
  <c r="AS137" i="2"/>
  <c r="U137" i="2"/>
  <c r="AP137" i="2"/>
  <c r="R137" i="2"/>
  <c r="AO137" i="2"/>
  <c r="Q137" i="2"/>
  <c r="R138" i="2"/>
  <c r="H148" i="2"/>
  <c r="AK149" i="2"/>
  <c r="AQ158" i="2"/>
  <c r="S158" i="2"/>
  <c r="AO158" i="2"/>
  <c r="Q158" i="2"/>
  <c r="AI158" i="2"/>
  <c r="I158" i="2"/>
  <c r="AH158" i="2"/>
  <c r="H158" i="2"/>
  <c r="AF158" i="2"/>
  <c r="AE158" i="2"/>
  <c r="Y158" i="2"/>
  <c r="AX158" i="2"/>
  <c r="X158" i="2"/>
  <c r="AW158" i="2"/>
  <c r="W158" i="2"/>
  <c r="AV158" i="2"/>
  <c r="V158" i="2"/>
  <c r="AU158" i="2"/>
  <c r="U158" i="2"/>
  <c r="T158" i="2"/>
  <c r="R158" i="2"/>
  <c r="P158" i="2"/>
  <c r="O158" i="2"/>
  <c r="N158" i="2"/>
  <c r="K158" i="2"/>
  <c r="J158" i="2"/>
  <c r="AR158" i="2"/>
  <c r="AP158" i="2"/>
  <c r="AN158" i="2"/>
  <c r="AM158" i="2"/>
  <c r="AL158" i="2"/>
  <c r="AK158" i="2"/>
  <c r="AJ158" i="2"/>
  <c r="AG158" i="2"/>
  <c r="AB158" i="2"/>
  <c r="AA158" i="2"/>
  <c r="O114" i="2"/>
  <c r="AV114" i="2"/>
  <c r="J124" i="2"/>
  <c r="BB144" i="2"/>
  <c r="BC144" i="2" s="1"/>
  <c r="I148" i="2"/>
  <c r="AM125" i="2"/>
  <c r="O125" i="2"/>
  <c r="AL125" i="2"/>
  <c r="N125" i="2"/>
  <c r="AK125" i="2"/>
  <c r="M125" i="2"/>
  <c r="AJ125" i="2"/>
  <c r="L125" i="2"/>
  <c r="AI125" i="2"/>
  <c r="K125" i="2"/>
  <c r="AA125" i="2"/>
  <c r="AW125" i="2"/>
  <c r="Y125" i="2"/>
  <c r="AV125" i="2"/>
  <c r="X125" i="2"/>
  <c r="AU125" i="2"/>
  <c r="W125" i="2"/>
  <c r="AT125" i="2"/>
  <c r="V125" i="2"/>
  <c r="AS125" i="2"/>
  <c r="U125" i="2"/>
  <c r="AP125" i="2"/>
  <c r="R125" i="2"/>
  <c r="BB133" i="2"/>
  <c r="BC133" i="2" s="1"/>
  <c r="P148" i="2"/>
  <c r="AD77" i="2"/>
  <c r="AB78" i="2"/>
  <c r="AC78" i="2" s="1"/>
  <c r="AZ78" i="2" s="1"/>
  <c r="X80" i="2"/>
  <c r="AV80" i="2"/>
  <c r="R83" i="2"/>
  <c r="AP83" i="2"/>
  <c r="BB83" i="2" s="1"/>
  <c r="BC83" i="2" s="1"/>
  <c r="P84" i="2"/>
  <c r="AN84" i="2"/>
  <c r="N85" i="2"/>
  <c r="AL85" i="2"/>
  <c r="AD89" i="2"/>
  <c r="AB90" i="2"/>
  <c r="AC90" i="2" s="1"/>
  <c r="AZ90" i="2" s="1"/>
  <c r="X92" i="2"/>
  <c r="AV92" i="2"/>
  <c r="T94" i="2"/>
  <c r="AR94" i="2"/>
  <c r="R95" i="2"/>
  <c r="AP95" i="2"/>
  <c r="BB95" i="2" s="1"/>
  <c r="BC95" i="2" s="1"/>
  <c r="P96" i="2"/>
  <c r="AN96" i="2"/>
  <c r="N97" i="2"/>
  <c r="AL97" i="2"/>
  <c r="R99" i="2"/>
  <c r="AT99" i="2"/>
  <c r="BB104" i="2"/>
  <c r="BC104" i="2" s="1"/>
  <c r="S108" i="2"/>
  <c r="AF111" i="2"/>
  <c r="AF113" i="2"/>
  <c r="R114" i="2"/>
  <c r="W123" i="2"/>
  <c r="R124" i="2"/>
  <c r="I125" i="2"/>
  <c r="AK126" i="2"/>
  <c r="M126" i="2"/>
  <c r="AJ126" i="2"/>
  <c r="L126" i="2"/>
  <c r="AI126" i="2"/>
  <c r="K126" i="2"/>
  <c r="AH126" i="2"/>
  <c r="J126" i="2"/>
  <c r="AG126" i="2"/>
  <c r="I126" i="2"/>
  <c r="AW126" i="2"/>
  <c r="Y126" i="2"/>
  <c r="AU126" i="2"/>
  <c r="W126" i="2"/>
  <c r="AT126" i="2"/>
  <c r="V126" i="2"/>
  <c r="AS126" i="2"/>
  <c r="U126" i="2"/>
  <c r="AR126" i="2"/>
  <c r="T126" i="2"/>
  <c r="AQ126" i="2"/>
  <c r="S126" i="2"/>
  <c r="AN126" i="2"/>
  <c r="P126" i="2"/>
  <c r="AO136" i="2"/>
  <c r="Q136" i="2"/>
  <c r="AN136" i="2"/>
  <c r="P136" i="2"/>
  <c r="AM136" i="2"/>
  <c r="O136" i="2"/>
  <c r="AL136" i="2"/>
  <c r="N136" i="2"/>
  <c r="AK136" i="2"/>
  <c r="M136" i="2"/>
  <c r="AD136" i="2"/>
  <c r="AB136" i="2"/>
  <c r="AA136" i="2"/>
  <c r="AX136" i="2"/>
  <c r="AY136" i="2" s="1"/>
  <c r="Z136" i="2"/>
  <c r="AW136" i="2"/>
  <c r="Y136" i="2"/>
  <c r="AV136" i="2"/>
  <c r="X136" i="2"/>
  <c r="AU136" i="2"/>
  <c r="W136" i="2"/>
  <c r="AR136" i="2"/>
  <c r="T136" i="2"/>
  <c r="AQ136" i="2"/>
  <c r="S136" i="2"/>
  <c r="P137" i="2"/>
  <c r="AD138" i="2"/>
  <c r="T148" i="2"/>
  <c r="AP149" i="2"/>
  <c r="AA153" i="2"/>
  <c r="AW153" i="2"/>
  <c r="W153" i="2"/>
  <c r="AV153" i="2"/>
  <c r="V153" i="2"/>
  <c r="AS153" i="2"/>
  <c r="AY153" i="2" s="1"/>
  <c r="S153" i="2"/>
  <c r="AM153" i="2"/>
  <c r="M153" i="2"/>
  <c r="AL153" i="2"/>
  <c r="L153" i="2"/>
  <c r="AU153" i="2"/>
  <c r="O153" i="2"/>
  <c r="AT153" i="2"/>
  <c r="N153" i="2"/>
  <c r="AR153" i="2"/>
  <c r="K153" i="2"/>
  <c r="AQ153" i="2"/>
  <c r="J153" i="2"/>
  <c r="AP153" i="2"/>
  <c r="I153" i="2"/>
  <c r="AJ153" i="2"/>
  <c r="AG153" i="2"/>
  <c r="AF153" i="2"/>
  <c r="AE153" i="2"/>
  <c r="AD153" i="2"/>
  <c r="AB153" i="2"/>
  <c r="Z153" i="2"/>
  <c r="Y153" i="2"/>
  <c r="X153" i="2"/>
  <c r="R153" i="2"/>
  <c r="Q153" i="2"/>
  <c r="AV155" i="2"/>
  <c r="AE77" i="2"/>
  <c r="Y80" i="2"/>
  <c r="AW80" i="2"/>
  <c r="S83" i="2"/>
  <c r="AQ83" i="2"/>
  <c r="Q84" i="2"/>
  <c r="AO84" i="2"/>
  <c r="O85" i="2"/>
  <c r="AM85" i="2"/>
  <c r="AE89" i="2"/>
  <c r="Y92" i="2"/>
  <c r="AW92" i="2"/>
  <c r="U94" i="2"/>
  <c r="AS94" i="2"/>
  <c r="S95" i="2"/>
  <c r="AQ95" i="2"/>
  <c r="Q96" i="2"/>
  <c r="AO96" i="2"/>
  <c r="O97" i="2"/>
  <c r="AM97" i="2"/>
  <c r="S99" i="2"/>
  <c r="AU99" i="2"/>
  <c r="T108" i="2"/>
  <c r="AG111" i="2"/>
  <c r="AG113" i="2"/>
  <c r="T114" i="2"/>
  <c r="AS118" i="2"/>
  <c r="AY122" i="2"/>
  <c r="AZ122" i="2" s="1"/>
  <c r="X123" i="2"/>
  <c r="S124" i="2"/>
  <c r="J125" i="2"/>
  <c r="H126" i="2"/>
  <c r="BD128" i="2"/>
  <c r="H136" i="2"/>
  <c r="S137" i="2"/>
  <c r="AE138" i="2"/>
  <c r="AY141" i="2"/>
  <c r="AD148" i="2"/>
  <c r="AX149" i="2"/>
  <c r="H153" i="2"/>
  <c r="AD158" i="2"/>
  <c r="H77" i="2"/>
  <c r="AF77" i="2"/>
  <c r="AD78" i="2"/>
  <c r="Z80" i="2"/>
  <c r="AX80" i="2"/>
  <c r="AY80" i="2" s="1"/>
  <c r="T83" i="2"/>
  <c r="AR83" i="2"/>
  <c r="R84" i="2"/>
  <c r="AP84" i="2"/>
  <c r="P85" i="2"/>
  <c r="AN85" i="2"/>
  <c r="H89" i="2"/>
  <c r="AF89" i="2"/>
  <c r="AD90" i="2"/>
  <c r="Z92" i="2"/>
  <c r="AX92" i="2"/>
  <c r="AY92" i="2" s="1"/>
  <c r="V94" i="2"/>
  <c r="AT94" i="2"/>
  <c r="T95" i="2"/>
  <c r="AR95" i="2"/>
  <c r="R96" i="2"/>
  <c r="AP96" i="2"/>
  <c r="P97" i="2"/>
  <c r="AN97" i="2"/>
  <c r="T99" i="2"/>
  <c r="AV99" i="2"/>
  <c r="AL101" i="2"/>
  <c r="N101" i="2"/>
  <c r="AK101" i="2"/>
  <c r="M101" i="2"/>
  <c r="AC101" i="2" s="1"/>
  <c r="AJ101" i="2"/>
  <c r="L101" i="2"/>
  <c r="AI101" i="2"/>
  <c r="AY101" i="2" s="1"/>
  <c r="K101" i="2"/>
  <c r="AW101" i="2"/>
  <c r="Y101" i="2"/>
  <c r="AN101" i="2"/>
  <c r="Z108" i="2"/>
  <c r="AH111" i="2"/>
  <c r="AH113" i="2"/>
  <c r="U114" i="2"/>
  <c r="AT118" i="2"/>
  <c r="AD123" i="2"/>
  <c r="U124" i="2"/>
  <c r="P125" i="2"/>
  <c r="N126" i="2"/>
  <c r="AC128" i="2"/>
  <c r="AZ128" i="2" s="1"/>
  <c r="AA131" i="2"/>
  <c r="AX131" i="2"/>
  <c r="Z131" i="2"/>
  <c r="AW131" i="2"/>
  <c r="Y131" i="2"/>
  <c r="AV131" i="2"/>
  <c r="X131" i="2"/>
  <c r="AU131" i="2"/>
  <c r="W131" i="2"/>
  <c r="AN131" i="2"/>
  <c r="P131" i="2"/>
  <c r="AM131" i="2"/>
  <c r="O131" i="2"/>
  <c r="AL131" i="2"/>
  <c r="N131" i="2"/>
  <c r="AK131" i="2"/>
  <c r="M131" i="2"/>
  <c r="AJ131" i="2"/>
  <c r="L131" i="2"/>
  <c r="AI131" i="2"/>
  <c r="K131" i="2"/>
  <c r="AH131" i="2"/>
  <c r="J131" i="2"/>
  <c r="AG131" i="2"/>
  <c r="I131" i="2"/>
  <c r="AD131" i="2"/>
  <c r="BD132" i="2"/>
  <c r="I136" i="2"/>
  <c r="T137" i="2"/>
  <c r="AF138" i="2"/>
  <c r="AE148" i="2"/>
  <c r="P153" i="2"/>
  <c r="AS158" i="2"/>
  <c r="I77" i="2"/>
  <c r="AG77" i="2"/>
  <c r="AE78" i="2"/>
  <c r="AA80" i="2"/>
  <c r="U83" i="2"/>
  <c r="AS83" i="2"/>
  <c r="AY83" i="2" s="1"/>
  <c r="AZ83" i="2" s="1"/>
  <c r="S84" i="2"/>
  <c r="AQ84" i="2"/>
  <c r="Q85" i="2"/>
  <c r="AO85" i="2"/>
  <c r="I89" i="2"/>
  <c r="AG89" i="2"/>
  <c r="AE90" i="2"/>
  <c r="AA92" i="2"/>
  <c r="W94" i="2"/>
  <c r="AU94" i="2"/>
  <c r="U95" i="2"/>
  <c r="AS95" i="2"/>
  <c r="AY95" i="2" s="1"/>
  <c r="S96" i="2"/>
  <c r="AQ96" i="2"/>
  <c r="Q97" i="2"/>
  <c r="AO97" i="2"/>
  <c r="U99" i="2"/>
  <c r="AW99" i="2"/>
  <c r="H101" i="2"/>
  <c r="AO101" i="2"/>
  <c r="AA108" i="2"/>
  <c r="AU109" i="2"/>
  <c r="W109" i="2"/>
  <c r="AC109" i="2" s="1"/>
  <c r="AT109" i="2"/>
  <c r="V109" i="2"/>
  <c r="AS109" i="2"/>
  <c r="AY109" i="2" s="1"/>
  <c r="U109" i="2"/>
  <c r="AR109" i="2"/>
  <c r="T109" i="2"/>
  <c r="AQ109" i="2"/>
  <c r="S109" i="2"/>
  <c r="AG109" i="2"/>
  <c r="I109" i="2"/>
  <c r="AM109" i="2"/>
  <c r="BB109" i="2" s="1"/>
  <c r="BC109" i="2" s="1"/>
  <c r="AI111" i="2"/>
  <c r="AY111" i="2" s="1"/>
  <c r="AN113" i="2"/>
  <c r="V114" i="2"/>
  <c r="AC116" i="2"/>
  <c r="AZ116" i="2" s="1"/>
  <c r="AE123" i="2"/>
  <c r="V124" i="2"/>
  <c r="Q125" i="2"/>
  <c r="O126" i="2"/>
  <c r="J136" i="2"/>
  <c r="AL138" i="2"/>
  <c r="AC144" i="2"/>
  <c r="AW147" i="2"/>
  <c r="Y147" i="2"/>
  <c r="AM147" i="2"/>
  <c r="O147" i="2"/>
  <c r="AL147" i="2"/>
  <c r="L147" i="2"/>
  <c r="AK147" i="2"/>
  <c r="K147" i="2"/>
  <c r="AJ147" i="2"/>
  <c r="J147" i="2"/>
  <c r="AI147" i="2"/>
  <c r="I147" i="2"/>
  <c r="AH147" i="2"/>
  <c r="H147" i="2"/>
  <c r="AA147" i="2"/>
  <c r="Z147" i="2"/>
  <c r="X147" i="2"/>
  <c r="AX147" i="2"/>
  <c r="W147" i="2"/>
  <c r="AC147" i="2" s="1"/>
  <c r="AV147" i="2"/>
  <c r="V147" i="2"/>
  <c r="AU147" i="2"/>
  <c r="U147" i="2"/>
  <c r="AT147" i="2"/>
  <c r="T147" i="2"/>
  <c r="AS147" i="2"/>
  <c r="S147" i="2"/>
  <c r="AP147" i="2"/>
  <c r="P147" i="2"/>
  <c r="AO147" i="2"/>
  <c r="N147" i="2"/>
  <c r="AF148" i="2"/>
  <c r="T153" i="2"/>
  <c r="AT158" i="2"/>
  <c r="J77" i="2"/>
  <c r="H78" i="2"/>
  <c r="V83" i="2"/>
  <c r="T84" i="2"/>
  <c r="R85" i="2"/>
  <c r="J89" i="2"/>
  <c r="H90" i="2"/>
  <c r="X94" i="2"/>
  <c r="V95" i="2"/>
  <c r="T96" i="2"/>
  <c r="R97" i="2"/>
  <c r="V99" i="2"/>
  <c r="AX99" i="2"/>
  <c r="AB108" i="2"/>
  <c r="AJ111" i="2"/>
  <c r="AO113" i="2"/>
  <c r="X114" i="2"/>
  <c r="AB118" i="2"/>
  <c r="AA118" i="2"/>
  <c r="AX118" i="2"/>
  <c r="Z118" i="2"/>
  <c r="AW118" i="2"/>
  <c r="Y118" i="2"/>
  <c r="AM118" i="2"/>
  <c r="O118" i="2"/>
  <c r="AL118" i="2"/>
  <c r="N118" i="2"/>
  <c r="AK118" i="2"/>
  <c r="M118" i="2"/>
  <c r="AJ118" i="2"/>
  <c r="L118" i="2"/>
  <c r="AI118" i="2"/>
  <c r="K118" i="2"/>
  <c r="AF118" i="2"/>
  <c r="H118" i="2"/>
  <c r="AV118" i="2"/>
  <c r="AF123" i="2"/>
  <c r="AB124" i="2"/>
  <c r="S125" i="2"/>
  <c r="Q126" i="2"/>
  <c r="K136" i="2"/>
  <c r="AD137" i="2"/>
  <c r="AO138" i="2"/>
  <c r="AG148" i="2"/>
  <c r="U153" i="2"/>
  <c r="BB157" i="2"/>
  <c r="BC157" i="2" s="1"/>
  <c r="AE130" i="2"/>
  <c r="AE142" i="2"/>
  <c r="BD151" i="2"/>
  <c r="AC152" i="2"/>
  <c r="AZ152" i="2" s="1"/>
  <c r="AC157" i="2"/>
  <c r="Z161" i="2"/>
  <c r="U173" i="2"/>
  <c r="AT179" i="2"/>
  <c r="AH185" i="2"/>
  <c r="AS206" i="2"/>
  <c r="Z121" i="2"/>
  <c r="AX121" i="2"/>
  <c r="H130" i="2"/>
  <c r="AF130" i="2"/>
  <c r="Z133" i="2"/>
  <c r="AX133" i="2"/>
  <c r="V135" i="2"/>
  <c r="AT135" i="2"/>
  <c r="H142" i="2"/>
  <c r="AF142" i="2"/>
  <c r="AG143" i="2"/>
  <c r="I143" i="2"/>
  <c r="AU143" i="2"/>
  <c r="W143" i="2"/>
  <c r="AH143" i="2"/>
  <c r="AF150" i="2"/>
  <c r="AY154" i="2"/>
  <c r="AP160" i="2"/>
  <c r="AF161" i="2"/>
  <c r="AS167" i="2"/>
  <c r="AN168" i="2"/>
  <c r="V173" i="2"/>
  <c r="AJ185" i="2"/>
  <c r="AT206" i="2"/>
  <c r="AE120" i="2"/>
  <c r="K130" i="2"/>
  <c r="AI130" i="2"/>
  <c r="AE132" i="2"/>
  <c r="Y135" i="2"/>
  <c r="AW135" i="2"/>
  <c r="K142" i="2"/>
  <c r="AI142" i="2"/>
  <c r="K143" i="2"/>
  <c r="AK143" i="2"/>
  <c r="BD144" i="2"/>
  <c r="AL150" i="2"/>
  <c r="AA154" i="2"/>
  <c r="AW154" i="2"/>
  <c r="Y154" i="2"/>
  <c r="Z154" i="2"/>
  <c r="X154" i="2"/>
  <c r="AU154" i="2"/>
  <c r="U154" i="2"/>
  <c r="AO154" i="2"/>
  <c r="O154" i="2"/>
  <c r="AN154" i="2"/>
  <c r="N154" i="2"/>
  <c r="AL154" i="2"/>
  <c r="BB154" i="2" s="1"/>
  <c r="BC154" i="2" s="1"/>
  <c r="AU156" i="2"/>
  <c r="W156" i="2"/>
  <c r="AS156" i="2"/>
  <c r="AY156" i="2" s="1"/>
  <c r="U156" i="2"/>
  <c r="AE156" i="2"/>
  <c r="AD156" i="2"/>
  <c r="AA156" i="2"/>
  <c r="AT156" i="2"/>
  <c r="S156" i="2"/>
  <c r="AR156" i="2"/>
  <c r="R156" i="2"/>
  <c r="AL156" i="2"/>
  <c r="AS160" i="2"/>
  <c r="AJ161" i="2"/>
  <c r="AY171" i="2"/>
  <c r="AZ171" i="2" s="1"/>
  <c r="AF173" i="2"/>
  <c r="AY176" i="2"/>
  <c r="AU185" i="2"/>
  <c r="BD204" i="2"/>
  <c r="AZ210" i="2"/>
  <c r="AD121" i="2"/>
  <c r="L130" i="2"/>
  <c r="AJ130" i="2"/>
  <c r="AD133" i="2"/>
  <c r="Z135" i="2"/>
  <c r="AX135" i="2"/>
  <c r="AY135" i="2" s="1"/>
  <c r="L142" i="2"/>
  <c r="AJ142" i="2"/>
  <c r="L143" i="2"/>
  <c r="AL143" i="2"/>
  <c r="H154" i="2"/>
  <c r="AM154" i="2"/>
  <c r="H156" i="2"/>
  <c r="AM156" i="2"/>
  <c r="AT160" i="2"/>
  <c r="AL161" i="2"/>
  <c r="AA165" i="2"/>
  <c r="AW165" i="2"/>
  <c r="W165" i="2"/>
  <c r="AV165" i="2"/>
  <c r="V165" i="2"/>
  <c r="AU165" i="2"/>
  <c r="U165" i="2"/>
  <c r="AT165" i="2"/>
  <c r="T165" i="2"/>
  <c r="AS165" i="2"/>
  <c r="S165" i="2"/>
  <c r="AM165" i="2"/>
  <c r="M165" i="2"/>
  <c r="AL165" i="2"/>
  <c r="L165" i="2"/>
  <c r="AK165" i="2"/>
  <c r="K165" i="2"/>
  <c r="AJ165" i="2"/>
  <c r="J165" i="2"/>
  <c r="AI165" i="2"/>
  <c r="I165" i="2"/>
  <c r="AF165" i="2"/>
  <c r="AG173" i="2"/>
  <c r="AZ204" i="2"/>
  <c r="AE121" i="2"/>
  <c r="M130" i="2"/>
  <c r="AC130" i="2" s="1"/>
  <c r="AK130" i="2"/>
  <c r="AE133" i="2"/>
  <c r="AA135" i="2"/>
  <c r="M142" i="2"/>
  <c r="AK142" i="2"/>
  <c r="AI150" i="2"/>
  <c r="K150" i="2"/>
  <c r="AS150" i="2"/>
  <c r="T150" i="2"/>
  <c r="AR150" i="2"/>
  <c r="S150" i="2"/>
  <c r="AO150" i="2"/>
  <c r="P150" i="2"/>
  <c r="AH150" i="2"/>
  <c r="I150" i="2"/>
  <c r="AG150" i="2"/>
  <c r="H150" i="2"/>
  <c r="AN150" i="2"/>
  <c r="AO161" i="2"/>
  <c r="AA166" i="2"/>
  <c r="AW166" i="2"/>
  <c r="Y166" i="2"/>
  <c r="Z166" i="2"/>
  <c r="X166" i="2"/>
  <c r="AX166" i="2"/>
  <c r="W166" i="2"/>
  <c r="AV166" i="2"/>
  <c r="V166" i="2"/>
  <c r="AU166" i="2"/>
  <c r="U166" i="2"/>
  <c r="AO166" i="2"/>
  <c r="O166" i="2"/>
  <c r="AN166" i="2"/>
  <c r="N166" i="2"/>
  <c r="AM166" i="2"/>
  <c r="M166" i="2"/>
  <c r="AL166" i="2"/>
  <c r="L166" i="2"/>
  <c r="AK166" i="2"/>
  <c r="K166" i="2"/>
  <c r="AH166" i="2"/>
  <c r="H166" i="2"/>
  <c r="AW167" i="2"/>
  <c r="Y167" i="2"/>
  <c r="AU167" i="2"/>
  <c r="W167" i="2"/>
  <c r="AB167" i="2"/>
  <c r="AA167" i="2"/>
  <c r="Z167" i="2"/>
  <c r="X167" i="2"/>
  <c r="AQ167" i="2"/>
  <c r="Q167" i="2"/>
  <c r="AP167" i="2"/>
  <c r="P167" i="2"/>
  <c r="AO167" i="2"/>
  <c r="O167" i="2"/>
  <c r="AN167" i="2"/>
  <c r="N167" i="2"/>
  <c r="AM167" i="2"/>
  <c r="M167" i="2"/>
  <c r="AJ167" i="2"/>
  <c r="J167" i="2"/>
  <c r="AU168" i="2"/>
  <c r="W168" i="2"/>
  <c r="AS168" i="2"/>
  <c r="U168" i="2"/>
  <c r="AE168" i="2"/>
  <c r="AD168" i="2"/>
  <c r="AB168" i="2"/>
  <c r="AA168" i="2"/>
  <c r="AT168" i="2"/>
  <c r="S168" i="2"/>
  <c r="AR168" i="2"/>
  <c r="R168" i="2"/>
  <c r="AQ168" i="2"/>
  <c r="Q168" i="2"/>
  <c r="AP168" i="2"/>
  <c r="P168" i="2"/>
  <c r="AO168" i="2"/>
  <c r="O168" i="2"/>
  <c r="AL168" i="2"/>
  <c r="L168" i="2"/>
  <c r="AH173" i="2"/>
  <c r="H121" i="2"/>
  <c r="AF121" i="2"/>
  <c r="N130" i="2"/>
  <c r="AL130" i="2"/>
  <c r="H133" i="2"/>
  <c r="AF133" i="2"/>
  <c r="AB135" i="2"/>
  <c r="AC135" i="2" s="1"/>
  <c r="N142" i="2"/>
  <c r="AL142" i="2"/>
  <c r="J150" i="2"/>
  <c r="AP150" i="2"/>
  <c r="AM160" i="2"/>
  <c r="O160" i="2"/>
  <c r="AK160" i="2"/>
  <c r="M160" i="2"/>
  <c r="AO160" i="2"/>
  <c r="N160" i="2"/>
  <c r="AN160" i="2"/>
  <c r="L160" i="2"/>
  <c r="AJ160" i="2"/>
  <c r="J160" i="2"/>
  <c r="AI160" i="2"/>
  <c r="I160" i="2"/>
  <c r="AB160" i="2"/>
  <c r="AA160" i="2"/>
  <c r="Z160" i="2"/>
  <c r="Y160" i="2"/>
  <c r="AV160" i="2"/>
  <c r="AR161" i="2"/>
  <c r="AJ173" i="2"/>
  <c r="U103" i="2"/>
  <c r="AS103" i="2"/>
  <c r="AY103" i="2" s="1"/>
  <c r="AZ103" i="2" s="1"/>
  <c r="S104" i="2"/>
  <c r="BD104" i="2" s="1"/>
  <c r="AQ104" i="2"/>
  <c r="Q105" i="2"/>
  <c r="BD105" i="2" s="1"/>
  <c r="AO105" i="2"/>
  <c r="BB105" i="2" s="1"/>
  <c r="BC105" i="2" s="1"/>
  <c r="AE110" i="2"/>
  <c r="U115" i="2"/>
  <c r="AS115" i="2"/>
  <c r="AY115" i="2" s="1"/>
  <c r="S116" i="2"/>
  <c r="BD116" i="2" s="1"/>
  <c r="AQ116" i="2"/>
  <c r="Q117" i="2"/>
  <c r="BD117" i="2" s="1"/>
  <c r="AO117" i="2"/>
  <c r="BB117" i="2" s="1"/>
  <c r="BC117" i="2" s="1"/>
  <c r="K120" i="2"/>
  <c r="AI120" i="2"/>
  <c r="I121" i="2"/>
  <c r="AG121" i="2"/>
  <c r="AE122" i="2"/>
  <c r="Q129" i="2"/>
  <c r="BD129" i="2" s="1"/>
  <c r="AO129" i="2"/>
  <c r="BB129" i="2" s="1"/>
  <c r="BC129" i="2" s="1"/>
  <c r="O130" i="2"/>
  <c r="AM130" i="2"/>
  <c r="K132" i="2"/>
  <c r="AI132" i="2"/>
  <c r="I133" i="2"/>
  <c r="AG133" i="2"/>
  <c r="AE134" i="2"/>
  <c r="AQ140" i="2"/>
  <c r="Q141" i="2"/>
  <c r="BD141" i="2" s="1"/>
  <c r="AO141" i="2"/>
  <c r="BB141" i="2" s="1"/>
  <c r="BC141" i="2" s="1"/>
  <c r="O142" i="2"/>
  <c r="AM142" i="2"/>
  <c r="O143" i="2"/>
  <c r="AO143" i="2"/>
  <c r="U146" i="2"/>
  <c r="AU146" i="2"/>
  <c r="L150" i="2"/>
  <c r="AQ150" i="2"/>
  <c r="K154" i="2"/>
  <c r="AR154" i="2"/>
  <c r="K156" i="2"/>
  <c r="AP156" i="2"/>
  <c r="H160" i="2"/>
  <c r="AW160" i="2"/>
  <c r="AS161" i="2"/>
  <c r="O165" i="2"/>
  <c r="J166" i="2"/>
  <c r="I167" i="2"/>
  <c r="I168" i="2"/>
  <c r="AL173" i="2"/>
  <c r="AN212" i="2"/>
  <c r="P212" i="2"/>
  <c r="AM212" i="2"/>
  <c r="O212" i="2"/>
  <c r="AL212" i="2"/>
  <c r="N212" i="2"/>
  <c r="AU212" i="2"/>
  <c r="T212" i="2"/>
  <c r="AT212" i="2"/>
  <c r="S212" i="2"/>
  <c r="AS212" i="2"/>
  <c r="R212" i="2"/>
  <c r="AQ212" i="2"/>
  <c r="M212" i="2"/>
  <c r="AC212" i="2" s="1"/>
  <c r="AG212" i="2"/>
  <c r="AF212" i="2"/>
  <c r="AE212" i="2"/>
  <c r="AD212" i="2"/>
  <c r="V212" i="2"/>
  <c r="U212" i="2"/>
  <c r="Q212" i="2"/>
  <c r="L212" i="2"/>
  <c r="K212" i="2"/>
  <c r="AR212" i="2"/>
  <c r="AP212" i="2"/>
  <c r="AO212" i="2"/>
  <c r="AK212" i="2"/>
  <c r="AJ212" i="2"/>
  <c r="AI212" i="2"/>
  <c r="AH212" i="2"/>
  <c r="Y212" i="2"/>
  <c r="X212" i="2"/>
  <c r="AN130" i="2"/>
  <c r="AR173" i="2"/>
  <c r="AZ216" i="2"/>
  <c r="Q130" i="2"/>
  <c r="AO130" i="2"/>
  <c r="AE135" i="2"/>
  <c r="Q142" i="2"/>
  <c r="AO142" i="2"/>
  <c r="AS173" i="2"/>
  <c r="AW179" i="2"/>
  <c r="Y179" i="2"/>
  <c r="AU179" i="2"/>
  <c r="W179" i="2"/>
  <c r="AS179" i="2"/>
  <c r="U179" i="2"/>
  <c r="AM179" i="2"/>
  <c r="L179" i="2"/>
  <c r="AL179" i="2"/>
  <c r="K179" i="2"/>
  <c r="AK179" i="2"/>
  <c r="J179" i="2"/>
  <c r="AJ179" i="2"/>
  <c r="I179" i="2"/>
  <c r="AI179" i="2"/>
  <c r="AY179" i="2" s="1"/>
  <c r="H179" i="2"/>
  <c r="AB179" i="2"/>
  <c r="AA179" i="2"/>
  <c r="Z179" i="2"/>
  <c r="X179" i="2"/>
  <c r="V179" i="2"/>
  <c r="AV179" i="2"/>
  <c r="S179" i="2"/>
  <c r="AP179" i="2"/>
  <c r="O179" i="2"/>
  <c r="AO179" i="2"/>
  <c r="N179" i="2"/>
  <c r="BB229" i="2"/>
  <c r="BC229" i="2" s="1"/>
  <c r="R130" i="2"/>
  <c r="AP130" i="2"/>
  <c r="R142" i="2"/>
  <c r="AP142" i="2"/>
  <c r="AK161" i="2"/>
  <c r="M161" i="2"/>
  <c r="AI161" i="2"/>
  <c r="K161" i="2"/>
  <c r="AQ161" i="2"/>
  <c r="Q161" i="2"/>
  <c r="AP161" i="2"/>
  <c r="P161" i="2"/>
  <c r="AN161" i="2"/>
  <c r="N161" i="2"/>
  <c r="AM161" i="2"/>
  <c r="L161" i="2"/>
  <c r="AE161" i="2"/>
  <c r="AD161" i="2"/>
  <c r="AB161" i="2"/>
  <c r="AA161" i="2"/>
  <c r="AV161" i="2"/>
  <c r="AT173" i="2"/>
  <c r="AU173" i="2"/>
  <c r="BD203" i="2"/>
  <c r="AC175" i="2"/>
  <c r="AZ175" i="2" s="1"/>
  <c r="BD163" i="2"/>
  <c r="AC169" i="2"/>
  <c r="AK185" i="2"/>
  <c r="M185" i="2"/>
  <c r="AI185" i="2"/>
  <c r="K185" i="2"/>
  <c r="AG185" i="2"/>
  <c r="I185" i="2"/>
  <c r="AP185" i="2"/>
  <c r="O185" i="2"/>
  <c r="AO185" i="2"/>
  <c r="N185" i="2"/>
  <c r="AN185" i="2"/>
  <c r="L185" i="2"/>
  <c r="AM185" i="2"/>
  <c r="J185" i="2"/>
  <c r="AL185" i="2"/>
  <c r="H185" i="2"/>
  <c r="AB185" i="2"/>
  <c r="AA185" i="2"/>
  <c r="Z185" i="2"/>
  <c r="Y185" i="2"/>
  <c r="X185" i="2"/>
  <c r="AX185" i="2"/>
  <c r="W185" i="2"/>
  <c r="AW185" i="2"/>
  <c r="V185" i="2"/>
  <c r="AS185" i="2"/>
  <c r="R185" i="2"/>
  <c r="AR185" i="2"/>
  <c r="Q185" i="2"/>
  <c r="AB206" i="2"/>
  <c r="AA206" i="2"/>
  <c r="AX206" i="2"/>
  <c r="Z206" i="2"/>
  <c r="AR206" i="2"/>
  <c r="Q206" i="2"/>
  <c r="AQ206" i="2"/>
  <c r="P206" i="2"/>
  <c r="AP206" i="2"/>
  <c r="O206" i="2"/>
  <c r="AN206" i="2"/>
  <c r="M206" i="2"/>
  <c r="AG206" i="2"/>
  <c r="AF206" i="2"/>
  <c r="AE206" i="2"/>
  <c r="AD206" i="2"/>
  <c r="S206" i="2"/>
  <c r="R206" i="2"/>
  <c r="N206" i="2"/>
  <c r="L206" i="2"/>
  <c r="K206" i="2"/>
  <c r="AO206" i="2"/>
  <c r="AM206" i="2"/>
  <c r="AL206" i="2"/>
  <c r="AK206" i="2"/>
  <c r="AJ206" i="2"/>
  <c r="AI206" i="2"/>
  <c r="AY206" i="2" s="1"/>
  <c r="AH206" i="2"/>
  <c r="V206" i="2"/>
  <c r="U206" i="2"/>
  <c r="BB228" i="2"/>
  <c r="BC228" i="2" s="1"/>
  <c r="AK173" i="2"/>
  <c r="M173" i="2"/>
  <c r="AI173" i="2"/>
  <c r="K173" i="2"/>
  <c r="AQ173" i="2"/>
  <c r="Q173" i="2"/>
  <c r="AP173" i="2"/>
  <c r="P173" i="2"/>
  <c r="AO173" i="2"/>
  <c r="O173" i="2"/>
  <c r="AN173" i="2"/>
  <c r="N173" i="2"/>
  <c r="AM173" i="2"/>
  <c r="L173" i="2"/>
  <c r="AE173" i="2"/>
  <c r="AD173" i="2"/>
  <c r="AB173" i="2"/>
  <c r="AA173" i="2"/>
  <c r="Z173" i="2"/>
  <c r="AX173" i="2"/>
  <c r="X173" i="2"/>
  <c r="AE103" i="2"/>
  <c r="AA105" i="2"/>
  <c r="Q110" i="2"/>
  <c r="AO110" i="2"/>
  <c r="AE115" i="2"/>
  <c r="AA117" i="2"/>
  <c r="U120" i="2"/>
  <c r="AS120" i="2"/>
  <c r="S121" i="2"/>
  <c r="AQ121" i="2"/>
  <c r="Q122" i="2"/>
  <c r="AO122" i="2"/>
  <c r="AE127" i="2"/>
  <c r="AA129" i="2"/>
  <c r="Y130" i="2"/>
  <c r="AW130" i="2"/>
  <c r="U132" i="2"/>
  <c r="AS132" i="2"/>
  <c r="S133" i="2"/>
  <c r="AQ133" i="2"/>
  <c r="Q134" i="2"/>
  <c r="AO134" i="2"/>
  <c r="O135" i="2"/>
  <c r="AM135" i="2"/>
  <c r="AE139" i="2"/>
  <c r="AA141" i="2"/>
  <c r="Y142" i="2"/>
  <c r="AX142" i="2"/>
  <c r="Z143" i="2"/>
  <c r="Y150" i="2"/>
  <c r="AB154" i="2"/>
  <c r="AC154" i="2" s="1"/>
  <c r="Y156" i="2"/>
  <c r="X160" i="2"/>
  <c r="T161" i="2"/>
  <c r="AG165" i="2"/>
  <c r="AF166" i="2"/>
  <c r="AF167" i="2"/>
  <c r="AF168" i="2"/>
  <c r="H173" i="2"/>
  <c r="AF179" i="2"/>
  <c r="S185" i="2"/>
  <c r="AC188" i="2"/>
  <c r="AZ188" i="2" s="1"/>
  <c r="I206" i="2"/>
  <c r="AX212" i="2"/>
  <c r="H103" i="2"/>
  <c r="AF103" i="2"/>
  <c r="AD104" i="2"/>
  <c r="AB105" i="2"/>
  <c r="AC105" i="2" s="1"/>
  <c r="AZ105" i="2" s="1"/>
  <c r="R110" i="2"/>
  <c r="AP110" i="2"/>
  <c r="H115" i="2"/>
  <c r="AF115" i="2"/>
  <c r="AD116" i="2"/>
  <c r="AB117" i="2"/>
  <c r="AC117" i="2" s="1"/>
  <c r="AZ117" i="2" s="1"/>
  <c r="V120" i="2"/>
  <c r="AT120" i="2"/>
  <c r="T121" i="2"/>
  <c r="AR121" i="2"/>
  <c r="R122" i="2"/>
  <c r="AP122" i="2"/>
  <c r="H127" i="2"/>
  <c r="AF127" i="2"/>
  <c r="AD128" i="2"/>
  <c r="AB129" i="2"/>
  <c r="AC129" i="2" s="1"/>
  <c r="AZ129" i="2" s="1"/>
  <c r="Z130" i="2"/>
  <c r="AX130" i="2"/>
  <c r="V132" i="2"/>
  <c r="AT132" i="2"/>
  <c r="T133" i="2"/>
  <c r="AR133" i="2"/>
  <c r="R134" i="2"/>
  <c r="AP134" i="2"/>
  <c r="P135" i="2"/>
  <c r="AN135" i="2"/>
  <c r="AD140" i="2"/>
  <c r="AB141" i="2"/>
  <c r="AC141" i="2" s="1"/>
  <c r="AZ141" i="2" s="1"/>
  <c r="Z142" i="2"/>
  <c r="AA143" i="2"/>
  <c r="AA146" i="2"/>
  <c r="AO146" i="2"/>
  <c r="Q146" i="2"/>
  <c r="BD146" i="2" s="1"/>
  <c r="AG146" i="2"/>
  <c r="Z150" i="2"/>
  <c r="BB152" i="2"/>
  <c r="BC152" i="2" s="1"/>
  <c r="Z156" i="2"/>
  <c r="AD160" i="2"/>
  <c r="U161" i="2"/>
  <c r="AH165" i="2"/>
  <c r="AG166" i="2"/>
  <c r="AG167" i="2"/>
  <c r="AG168" i="2"/>
  <c r="AM172" i="2"/>
  <c r="O172" i="2"/>
  <c r="AK172" i="2"/>
  <c r="M172" i="2"/>
  <c r="AO172" i="2"/>
  <c r="N172" i="2"/>
  <c r="AN172" i="2"/>
  <c r="L172" i="2"/>
  <c r="AL172" i="2"/>
  <c r="K172" i="2"/>
  <c r="AJ172" i="2"/>
  <c r="J172" i="2"/>
  <c r="AI172" i="2"/>
  <c r="I172" i="2"/>
  <c r="AB172" i="2"/>
  <c r="AA172" i="2"/>
  <c r="Z172" i="2"/>
  <c r="Y172" i="2"/>
  <c r="AX172" i="2"/>
  <c r="X172" i="2"/>
  <c r="AV172" i="2"/>
  <c r="V172" i="2"/>
  <c r="I173" i="2"/>
  <c r="AG179" i="2"/>
  <c r="T185" i="2"/>
  <c r="J206" i="2"/>
  <c r="AZ236" i="2"/>
  <c r="I103" i="2"/>
  <c r="AE104" i="2"/>
  <c r="S110" i="2"/>
  <c r="AQ110" i="2"/>
  <c r="I115" i="2"/>
  <c r="AG115" i="2"/>
  <c r="AE116" i="2"/>
  <c r="W120" i="2"/>
  <c r="AC120" i="2" s="1"/>
  <c r="AU120" i="2"/>
  <c r="U121" i="2"/>
  <c r="AS121" i="2"/>
  <c r="S122" i="2"/>
  <c r="AQ122" i="2"/>
  <c r="AG127" i="2"/>
  <c r="AE128" i="2"/>
  <c r="AA130" i="2"/>
  <c r="W132" i="2"/>
  <c r="AC132" i="2" s="1"/>
  <c r="AU132" i="2"/>
  <c r="U133" i="2"/>
  <c r="AS133" i="2"/>
  <c r="S134" i="2"/>
  <c r="AQ134" i="2"/>
  <c r="Q135" i="2"/>
  <c r="AO135" i="2"/>
  <c r="AE140" i="2"/>
  <c r="AA142" i="2"/>
  <c r="AB143" i="2"/>
  <c r="AH146" i="2"/>
  <c r="AA150" i="2"/>
  <c r="AD154" i="2"/>
  <c r="AB156" i="2"/>
  <c r="AE160" i="2"/>
  <c r="V161" i="2"/>
  <c r="AN165" i="2"/>
  <c r="AI166" i="2"/>
  <c r="AH167" i="2"/>
  <c r="AH168" i="2"/>
  <c r="J173" i="2"/>
  <c r="AH179" i="2"/>
  <c r="U185" i="2"/>
  <c r="AA194" i="2"/>
  <c r="AX194" i="2"/>
  <c r="Z194" i="2"/>
  <c r="AO194" i="2"/>
  <c r="O194" i="2"/>
  <c r="AN194" i="2"/>
  <c r="N194" i="2"/>
  <c r="AM194" i="2"/>
  <c r="M194" i="2"/>
  <c r="AK194" i="2"/>
  <c r="K194" i="2"/>
  <c r="AB194" i="2"/>
  <c r="AU194" i="2"/>
  <c r="P194" i="2"/>
  <c r="AT194" i="2"/>
  <c r="L194" i="2"/>
  <c r="AS194" i="2"/>
  <c r="J194" i="2"/>
  <c r="AR194" i="2"/>
  <c r="I194" i="2"/>
  <c r="AQ194" i="2"/>
  <c r="H194" i="2"/>
  <c r="AG194" i="2"/>
  <c r="AF194" i="2"/>
  <c r="AE194" i="2"/>
  <c r="AD194" i="2"/>
  <c r="Y194" i="2"/>
  <c r="X194" i="2"/>
  <c r="W194" i="2"/>
  <c r="S194" i="2"/>
  <c r="AW194" i="2"/>
  <c r="R194" i="2"/>
  <c r="T206" i="2"/>
  <c r="AM225" i="2"/>
  <c r="O225" i="2"/>
  <c r="AL225" i="2"/>
  <c r="N225" i="2"/>
  <c r="AK225" i="2"/>
  <c r="M225" i="2"/>
  <c r="AJ225" i="2"/>
  <c r="L225" i="2"/>
  <c r="AS225" i="2"/>
  <c r="Q225" i="2"/>
  <c r="AR225" i="2"/>
  <c r="P225" i="2"/>
  <c r="AQ225" i="2"/>
  <c r="K225" i="2"/>
  <c r="AO225" i="2"/>
  <c r="I225" i="2"/>
  <c r="AE225" i="2"/>
  <c r="AD225" i="2"/>
  <c r="AB225" i="2"/>
  <c r="AA225" i="2"/>
  <c r="Z225" i="2"/>
  <c r="Y225" i="2"/>
  <c r="X225" i="2"/>
  <c r="AU225" i="2"/>
  <c r="S225" i="2"/>
  <c r="W225" i="2"/>
  <c r="V225" i="2"/>
  <c r="U225" i="2"/>
  <c r="T225" i="2"/>
  <c r="R225" i="2"/>
  <c r="AX225" i="2"/>
  <c r="AW225" i="2"/>
  <c r="AV225" i="2"/>
  <c r="AT225" i="2"/>
  <c r="AH225" i="2"/>
  <c r="AG225" i="2"/>
  <c r="AD105" i="2"/>
  <c r="T110" i="2"/>
  <c r="J115" i="2"/>
  <c r="H116" i="2"/>
  <c r="AD117" i="2"/>
  <c r="X120" i="2"/>
  <c r="AV120" i="2"/>
  <c r="V121" i="2"/>
  <c r="AT121" i="2"/>
  <c r="T122" i="2"/>
  <c r="J127" i="2"/>
  <c r="H128" i="2"/>
  <c r="AD129" i="2"/>
  <c r="X132" i="2"/>
  <c r="AV132" i="2"/>
  <c r="V133" i="2"/>
  <c r="AT133" i="2"/>
  <c r="T134" i="2"/>
  <c r="R135" i="2"/>
  <c r="AP135" i="2"/>
  <c r="J139" i="2"/>
  <c r="H140" i="2"/>
  <c r="AD141" i="2"/>
  <c r="AB142" i="2"/>
  <c r="AQ145" i="2"/>
  <c r="S145" i="2"/>
  <c r="BD145" i="2" s="1"/>
  <c r="AG145" i="2"/>
  <c r="I146" i="2"/>
  <c r="AI146" i="2"/>
  <c r="AY146" i="2" s="1"/>
  <c r="AZ146" i="2" s="1"/>
  <c r="AB150" i="2"/>
  <c r="AC150" i="2" s="1"/>
  <c r="AE154" i="2"/>
  <c r="AF160" i="2"/>
  <c r="W161" i="2"/>
  <c r="AC162" i="2"/>
  <c r="AO165" i="2"/>
  <c r="AJ166" i="2"/>
  <c r="AI167" i="2"/>
  <c r="AY167" i="2" s="1"/>
  <c r="AI168" i="2"/>
  <c r="P172" i="2"/>
  <c r="R173" i="2"/>
  <c r="AC174" i="2"/>
  <c r="AN179" i="2"/>
  <c r="AD185" i="2"/>
  <c r="Q194" i="2"/>
  <c r="W206" i="2"/>
  <c r="H225" i="2"/>
  <c r="Y120" i="2"/>
  <c r="W121" i="2"/>
  <c r="AC121" i="2" s="1"/>
  <c r="Y132" i="2"/>
  <c r="W133" i="2"/>
  <c r="AC133" i="2" s="1"/>
  <c r="S135" i="2"/>
  <c r="AD143" i="2"/>
  <c r="BB145" i="2"/>
  <c r="BC145" i="2" s="1"/>
  <c r="AF154" i="2"/>
  <c r="AF156" i="2"/>
  <c r="AG160" i="2"/>
  <c r="X161" i="2"/>
  <c r="AP165" i="2"/>
  <c r="AP166" i="2"/>
  <c r="AK167" i="2"/>
  <c r="AJ168" i="2"/>
  <c r="S173" i="2"/>
  <c r="AQ179" i="2"/>
  <c r="AE185" i="2"/>
  <c r="X206" i="2"/>
  <c r="BD202" i="2"/>
  <c r="AI208" i="2"/>
  <c r="AL214" i="2"/>
  <c r="AU221" i="2"/>
  <c r="W221" i="2"/>
  <c r="AT221" i="2"/>
  <c r="V221" i="2"/>
  <c r="AS221" i="2"/>
  <c r="U221" i="2"/>
  <c r="AR221" i="2"/>
  <c r="T221" i="2"/>
  <c r="AO221" i="2"/>
  <c r="M221" i="2"/>
  <c r="AN221" i="2"/>
  <c r="L221" i="2"/>
  <c r="AM221" i="2"/>
  <c r="K221" i="2"/>
  <c r="AK221" i="2"/>
  <c r="I221" i="2"/>
  <c r="AE221" i="2"/>
  <c r="AD221" i="2"/>
  <c r="AB221" i="2"/>
  <c r="AA221" i="2"/>
  <c r="Y221" i="2"/>
  <c r="X221" i="2"/>
  <c r="AO227" i="2"/>
  <c r="AL232" i="2"/>
  <c r="AK238" i="2"/>
  <c r="M238" i="2"/>
  <c r="AJ238" i="2"/>
  <c r="L238" i="2"/>
  <c r="AI238" i="2"/>
  <c r="K238" i="2"/>
  <c r="AH238" i="2"/>
  <c r="J238" i="2"/>
  <c r="AA238" i="2"/>
  <c r="AX238" i="2"/>
  <c r="Z238" i="2"/>
  <c r="AW238" i="2"/>
  <c r="Y238" i="2"/>
  <c r="Q238" i="2"/>
  <c r="AV238" i="2"/>
  <c r="P238" i="2"/>
  <c r="AU238" i="2"/>
  <c r="O238" i="2"/>
  <c r="AS238" i="2"/>
  <c r="I238" i="2"/>
  <c r="AN238" i="2"/>
  <c r="AM238" i="2"/>
  <c r="AL238" i="2"/>
  <c r="AG238" i="2"/>
  <c r="AF238" i="2"/>
  <c r="AE238" i="2"/>
  <c r="AD238" i="2"/>
  <c r="AB238" i="2"/>
  <c r="X238" i="2"/>
  <c r="T238" i="2"/>
  <c r="S238" i="2"/>
  <c r="AR239" i="2"/>
  <c r="AA177" i="2"/>
  <c r="AW177" i="2"/>
  <c r="Y177" i="2"/>
  <c r="AH177" i="2"/>
  <c r="AO183" i="2"/>
  <c r="Q183" i="2"/>
  <c r="AM183" i="2"/>
  <c r="O183" i="2"/>
  <c r="AK183" i="2"/>
  <c r="M183" i="2"/>
  <c r="AH183" i="2"/>
  <c r="AC202" i="2"/>
  <c r="AM214" i="2"/>
  <c r="AQ300" i="2"/>
  <c r="S300" i="2"/>
  <c r="AP300" i="2"/>
  <c r="AO300" i="2"/>
  <c r="Q300" i="2"/>
  <c r="AB300" i="2"/>
  <c r="AA300" i="2"/>
  <c r="Z300" i="2"/>
  <c r="Y300" i="2"/>
  <c r="X300" i="2"/>
  <c r="AS300" i="2"/>
  <c r="P300" i="2"/>
  <c r="AR300" i="2"/>
  <c r="O300" i="2"/>
  <c r="AN300" i="2"/>
  <c r="N300" i="2"/>
  <c r="AM300" i="2"/>
  <c r="M300" i="2"/>
  <c r="AL300" i="2"/>
  <c r="L300" i="2"/>
  <c r="AK300" i="2"/>
  <c r="K300" i="2"/>
  <c r="AJ300" i="2"/>
  <c r="J300" i="2"/>
  <c r="AI300" i="2"/>
  <c r="I300" i="2"/>
  <c r="AH300" i="2"/>
  <c r="H300" i="2"/>
  <c r="AE300" i="2"/>
  <c r="AD300" i="2"/>
  <c r="W300" i="2"/>
  <c r="V300" i="2"/>
  <c r="AX300" i="2"/>
  <c r="AT300" i="2"/>
  <c r="AW300" i="2"/>
  <c r="AV300" i="2"/>
  <c r="AU300" i="2"/>
  <c r="T300" i="2"/>
  <c r="R300" i="2"/>
  <c r="P170" i="2"/>
  <c r="AR170" i="2"/>
  <c r="BB176" i="2"/>
  <c r="BC176" i="2" s="1"/>
  <c r="K177" i="2"/>
  <c r="AL177" i="2"/>
  <c r="AQ182" i="2"/>
  <c r="S182" i="2"/>
  <c r="AO182" i="2"/>
  <c r="Q182" i="2"/>
  <c r="AM182" i="2"/>
  <c r="O182" i="2"/>
  <c r="AH182" i="2"/>
  <c r="K183" i="2"/>
  <c r="AN183" i="2"/>
  <c r="AB193" i="2"/>
  <c r="AM193" i="2"/>
  <c r="M193" i="2"/>
  <c r="AL193" i="2"/>
  <c r="L193" i="2"/>
  <c r="AK193" i="2"/>
  <c r="K193" i="2"/>
  <c r="AI193" i="2"/>
  <c r="I193" i="2"/>
  <c r="AX193" i="2"/>
  <c r="X193" i="2"/>
  <c r="AP193" i="2"/>
  <c r="AW195" i="2"/>
  <c r="Y195" i="2"/>
  <c r="AV195" i="2"/>
  <c r="X195" i="2"/>
  <c r="AQ195" i="2"/>
  <c r="Q195" i="2"/>
  <c r="AP195" i="2"/>
  <c r="P195" i="2"/>
  <c r="AO195" i="2"/>
  <c r="O195" i="2"/>
  <c r="AM195" i="2"/>
  <c r="M195" i="2"/>
  <c r="AD195" i="2"/>
  <c r="AL195" i="2"/>
  <c r="AQ223" i="2"/>
  <c r="S223" i="2"/>
  <c r="AP223" i="2"/>
  <c r="R223" i="2"/>
  <c r="AO223" i="2"/>
  <c r="Q223" i="2"/>
  <c r="AN223" i="2"/>
  <c r="P223" i="2"/>
  <c r="AB223" i="2"/>
  <c r="AA223" i="2"/>
  <c r="Y223" i="2"/>
  <c r="AU223" i="2"/>
  <c r="O223" i="2"/>
  <c r="AT223" i="2"/>
  <c r="N223" i="2"/>
  <c r="AS223" i="2"/>
  <c r="M223" i="2"/>
  <c r="AR223" i="2"/>
  <c r="L223" i="2"/>
  <c r="AM223" i="2"/>
  <c r="K223" i="2"/>
  <c r="AL223" i="2"/>
  <c r="J223" i="2"/>
  <c r="AK223" i="2"/>
  <c r="I223" i="2"/>
  <c r="AJ223" i="2"/>
  <c r="H223" i="2"/>
  <c r="BB175" i="2"/>
  <c r="BC175" i="2" s="1"/>
  <c r="M177" i="2"/>
  <c r="AN177" i="2"/>
  <c r="N183" i="2"/>
  <c r="AQ183" i="2"/>
  <c r="AS197" i="2"/>
  <c r="U197" i="2"/>
  <c r="AR197" i="2"/>
  <c r="T197" i="2"/>
  <c r="AW197" i="2"/>
  <c r="W197" i="2"/>
  <c r="AV197" i="2"/>
  <c r="V197" i="2"/>
  <c r="AU197" i="2"/>
  <c r="S197" i="2"/>
  <c r="AQ197" i="2"/>
  <c r="Q197" i="2"/>
  <c r="AH197" i="2"/>
  <c r="H197" i="2"/>
  <c r="AM197" i="2"/>
  <c r="AO199" i="2"/>
  <c r="Q199" i="2"/>
  <c r="AN199" i="2"/>
  <c r="P199" i="2"/>
  <c r="AA199" i="2"/>
  <c r="Z199" i="2"/>
  <c r="Y199" i="2"/>
  <c r="AW199" i="2"/>
  <c r="W199" i="2"/>
  <c r="AL199" i="2"/>
  <c r="L199" i="2"/>
  <c r="AM199" i="2"/>
  <c r="AK201" i="2"/>
  <c r="M201" i="2"/>
  <c r="AJ201" i="2"/>
  <c r="L201" i="2"/>
  <c r="AE201" i="2"/>
  <c r="AD201" i="2"/>
  <c r="AA201" i="2"/>
  <c r="AR201" i="2"/>
  <c r="R201" i="2"/>
  <c r="AN201" i="2"/>
  <c r="AV208" i="2"/>
  <c r="X208" i="2"/>
  <c r="AU208" i="2"/>
  <c r="W208" i="2"/>
  <c r="AT208" i="2"/>
  <c r="V208" i="2"/>
  <c r="AB208" i="2"/>
  <c r="AA208" i="2"/>
  <c r="Z208" i="2"/>
  <c r="U208" i="2"/>
  <c r="AO208" i="2"/>
  <c r="N208" i="2"/>
  <c r="AN208" i="2"/>
  <c r="M208" i="2"/>
  <c r="AM208" i="2"/>
  <c r="L208" i="2"/>
  <c r="AL208" i="2"/>
  <c r="K208" i="2"/>
  <c r="AW208" i="2"/>
  <c r="AJ214" i="2"/>
  <c r="L214" i="2"/>
  <c r="AI214" i="2"/>
  <c r="K214" i="2"/>
  <c r="AH214" i="2"/>
  <c r="J214" i="2"/>
  <c r="AB214" i="2"/>
  <c r="AA214" i="2"/>
  <c r="Z214" i="2"/>
  <c r="X214" i="2"/>
  <c r="AR214" i="2"/>
  <c r="Q214" i="2"/>
  <c r="AQ214" i="2"/>
  <c r="P214" i="2"/>
  <c r="AP214" i="2"/>
  <c r="O214" i="2"/>
  <c r="AO214" i="2"/>
  <c r="N214" i="2"/>
  <c r="AW214" i="2"/>
  <c r="U170" i="2"/>
  <c r="AU170" i="2"/>
  <c r="N177" i="2"/>
  <c r="AO177" i="2"/>
  <c r="J182" i="2"/>
  <c r="AK182" i="2"/>
  <c r="P183" i="2"/>
  <c r="AR183" i="2"/>
  <c r="N193" i="2"/>
  <c r="AS193" i="2"/>
  <c r="J195" i="2"/>
  <c r="AS195" i="2"/>
  <c r="I197" i="2"/>
  <c r="AN197" i="2"/>
  <c r="AA198" i="2"/>
  <c r="H199" i="2"/>
  <c r="AP199" i="2"/>
  <c r="W200" i="2"/>
  <c r="H201" i="2"/>
  <c r="AO201" i="2"/>
  <c r="H208" i="2"/>
  <c r="AX208" i="2"/>
  <c r="AM209" i="2"/>
  <c r="H214" i="2"/>
  <c r="AX214" i="2"/>
  <c r="AS215" i="2"/>
  <c r="S221" i="2"/>
  <c r="V223" i="2"/>
  <c r="AP238" i="2"/>
  <c r="BB164" i="2"/>
  <c r="BC164" i="2" s="1"/>
  <c r="V170" i="2"/>
  <c r="AV170" i="2"/>
  <c r="BD176" i="2"/>
  <c r="O177" i="2"/>
  <c r="AP177" i="2"/>
  <c r="AS181" i="2"/>
  <c r="U181" i="2"/>
  <c r="AQ181" i="2"/>
  <c r="S181" i="2"/>
  <c r="AO181" i="2"/>
  <c r="Q181" i="2"/>
  <c r="AH181" i="2"/>
  <c r="K182" i="2"/>
  <c r="AL182" i="2"/>
  <c r="R183" i="2"/>
  <c r="AS183" i="2"/>
  <c r="AY183" i="2" s="1"/>
  <c r="O193" i="2"/>
  <c r="AT193" i="2"/>
  <c r="K195" i="2"/>
  <c r="AT195" i="2"/>
  <c r="J197" i="2"/>
  <c r="AO197" i="2"/>
  <c r="AB198" i="2"/>
  <c r="I199" i="2"/>
  <c r="AQ199" i="2"/>
  <c r="X200" i="2"/>
  <c r="I201" i="2"/>
  <c r="AP201" i="2"/>
  <c r="AD205" i="2"/>
  <c r="AB205" i="2"/>
  <c r="AN205" i="2"/>
  <c r="M205" i="2"/>
  <c r="AM205" i="2"/>
  <c r="L205" i="2"/>
  <c r="AL205" i="2"/>
  <c r="K205" i="2"/>
  <c r="AJ205" i="2"/>
  <c r="I205" i="2"/>
  <c r="Z205" i="2"/>
  <c r="Y205" i="2"/>
  <c r="X205" i="2"/>
  <c r="AX205" i="2"/>
  <c r="AY205" i="2" s="1"/>
  <c r="W205" i="2"/>
  <c r="AT205" i="2"/>
  <c r="I208" i="2"/>
  <c r="AP211" i="2"/>
  <c r="R211" i="2"/>
  <c r="AO211" i="2"/>
  <c r="Q211" i="2"/>
  <c r="AN211" i="2"/>
  <c r="P211" i="2"/>
  <c r="AQ211" i="2"/>
  <c r="M211" i="2"/>
  <c r="AM211" i="2"/>
  <c r="L211" i="2"/>
  <c r="AL211" i="2"/>
  <c r="K211" i="2"/>
  <c r="AJ211" i="2"/>
  <c r="I211" i="2"/>
  <c r="AB211" i="2"/>
  <c r="AA211" i="2"/>
  <c r="Z211" i="2"/>
  <c r="AW211" i="2"/>
  <c r="I214" i="2"/>
  <c r="Z221" i="2"/>
  <c r="W223" i="2"/>
  <c r="AU233" i="2"/>
  <c r="W233" i="2"/>
  <c r="AT233" i="2"/>
  <c r="V233" i="2"/>
  <c r="AS233" i="2"/>
  <c r="U233" i="2"/>
  <c r="AR233" i="2"/>
  <c r="T233" i="2"/>
  <c r="AK233" i="2"/>
  <c r="M233" i="2"/>
  <c r="AJ233" i="2"/>
  <c r="L233" i="2"/>
  <c r="AI233" i="2"/>
  <c r="K233" i="2"/>
  <c r="AF233" i="2"/>
  <c r="AE233" i="2"/>
  <c r="AD233" i="2"/>
  <c r="AB233" i="2"/>
  <c r="S233" i="2"/>
  <c r="R233" i="2"/>
  <c r="Q233" i="2"/>
  <c r="P233" i="2"/>
  <c r="AX233" i="2"/>
  <c r="O233" i="2"/>
  <c r="AW233" i="2"/>
  <c r="N233" i="2"/>
  <c r="AV233" i="2"/>
  <c r="J233" i="2"/>
  <c r="AQ233" i="2"/>
  <c r="I233" i="2"/>
  <c r="AP233" i="2"/>
  <c r="H233" i="2"/>
  <c r="AH233" i="2"/>
  <c r="AQ238" i="2"/>
  <c r="W170" i="2"/>
  <c r="AC170" i="2" s="1"/>
  <c r="AW170" i="2"/>
  <c r="AC176" i="2"/>
  <c r="AZ176" i="2" s="1"/>
  <c r="P177" i="2"/>
  <c r="AQ177" i="2"/>
  <c r="L182" i="2"/>
  <c r="AN182" i="2"/>
  <c r="S183" i="2"/>
  <c r="AT183" i="2"/>
  <c r="P193" i="2"/>
  <c r="AU193" i="2"/>
  <c r="L195" i="2"/>
  <c r="AU195" i="2"/>
  <c r="K197" i="2"/>
  <c r="AP197" i="2"/>
  <c r="J199" i="2"/>
  <c r="AR199" i="2"/>
  <c r="J201" i="2"/>
  <c r="AQ201" i="2"/>
  <c r="J208" i="2"/>
  <c r="M214" i="2"/>
  <c r="AA219" i="2"/>
  <c r="AX219" i="2"/>
  <c r="AY219" i="2" s="1"/>
  <c r="Z219" i="2"/>
  <c r="AW219" i="2"/>
  <c r="Y219" i="2"/>
  <c r="AV219" i="2"/>
  <c r="X219" i="2"/>
  <c r="AB219" i="2"/>
  <c r="W219" i="2"/>
  <c r="U219" i="2"/>
  <c r="AQ219" i="2"/>
  <c r="O219" i="2"/>
  <c r="AP219" i="2"/>
  <c r="N219" i="2"/>
  <c r="AO219" i="2"/>
  <c r="M219" i="2"/>
  <c r="AN219" i="2"/>
  <c r="L219" i="2"/>
  <c r="AM219" i="2"/>
  <c r="K219" i="2"/>
  <c r="AK219" i="2"/>
  <c r="I219" i="2"/>
  <c r="BB220" i="2"/>
  <c r="BC220" i="2" s="1"/>
  <c r="AF221" i="2"/>
  <c r="X223" i="2"/>
  <c r="AR238" i="2"/>
  <c r="AX270" i="2"/>
  <c r="Z270" i="2"/>
  <c r="AW270" i="2"/>
  <c r="Y270" i="2"/>
  <c r="AV270" i="2"/>
  <c r="X270" i="2"/>
  <c r="AU270" i="2"/>
  <c r="W270" i="2"/>
  <c r="AT270" i="2"/>
  <c r="V270" i="2"/>
  <c r="AN270" i="2"/>
  <c r="P270" i="2"/>
  <c r="AM270" i="2"/>
  <c r="O270" i="2"/>
  <c r="AL270" i="2"/>
  <c r="N270" i="2"/>
  <c r="AK270" i="2"/>
  <c r="M270" i="2"/>
  <c r="AJ270" i="2"/>
  <c r="L270" i="2"/>
  <c r="K270" i="2"/>
  <c r="J270" i="2"/>
  <c r="I270" i="2"/>
  <c r="H270" i="2"/>
  <c r="AP270" i="2"/>
  <c r="AO270" i="2"/>
  <c r="AI270" i="2"/>
  <c r="AH270" i="2"/>
  <c r="AG270" i="2"/>
  <c r="AF270" i="2"/>
  <c r="AE270" i="2"/>
  <c r="AD270" i="2"/>
  <c r="AB270" i="2"/>
  <c r="S270" i="2"/>
  <c r="T270" i="2"/>
  <c r="R270" i="2"/>
  <c r="Q270" i="2"/>
  <c r="AQ270" i="2"/>
  <c r="AA270" i="2"/>
  <c r="Z159" i="2"/>
  <c r="X170" i="2"/>
  <c r="AX170" i="2"/>
  <c r="Q177" i="2"/>
  <c r="AR177" i="2"/>
  <c r="I181" i="2"/>
  <c r="AJ181" i="2"/>
  <c r="M182" i="2"/>
  <c r="AP182" i="2"/>
  <c r="T183" i="2"/>
  <c r="AU183" i="2"/>
  <c r="Q193" i="2"/>
  <c r="AV193" i="2"/>
  <c r="N195" i="2"/>
  <c r="AX195" i="2"/>
  <c r="L197" i="2"/>
  <c r="AT197" i="2"/>
  <c r="AD198" i="2"/>
  <c r="K199" i="2"/>
  <c r="AS199" i="2"/>
  <c r="AY199" i="2" s="1"/>
  <c r="AD200" i="2"/>
  <c r="K201" i="2"/>
  <c r="AS201" i="2"/>
  <c r="AY201" i="2" s="1"/>
  <c r="O208" i="2"/>
  <c r="AT209" i="2"/>
  <c r="V209" i="2"/>
  <c r="AS209" i="2"/>
  <c r="U209" i="2"/>
  <c r="AR209" i="2"/>
  <c r="T209" i="2"/>
  <c r="AF209" i="2"/>
  <c r="AE209" i="2"/>
  <c r="AD209" i="2"/>
  <c r="AB209" i="2"/>
  <c r="AV209" i="2"/>
  <c r="R209" i="2"/>
  <c r="AU209" i="2"/>
  <c r="Q209" i="2"/>
  <c r="AQ209" i="2"/>
  <c r="P209" i="2"/>
  <c r="AP209" i="2"/>
  <c r="O209" i="2"/>
  <c r="AW209" i="2"/>
  <c r="R214" i="2"/>
  <c r="AI215" i="2"/>
  <c r="K215" i="2"/>
  <c r="AH215" i="2"/>
  <c r="J215" i="2"/>
  <c r="AG215" i="2"/>
  <c r="I215" i="2"/>
  <c r="AF215" i="2"/>
  <c r="H215" i="2"/>
  <c r="AK215" i="2"/>
  <c r="AJ215" i="2"/>
  <c r="AE215" i="2"/>
  <c r="W215" i="2"/>
  <c r="AC215" i="2" s="1"/>
  <c r="AX215" i="2"/>
  <c r="V215" i="2"/>
  <c r="AW215" i="2"/>
  <c r="U215" i="2"/>
  <c r="AV215" i="2"/>
  <c r="T215" i="2"/>
  <c r="AU215" i="2"/>
  <c r="S215" i="2"/>
  <c r="BB217" i="2"/>
  <c r="BC217" i="2" s="1"/>
  <c r="H219" i="2"/>
  <c r="AG221" i="2"/>
  <c r="Z223" i="2"/>
  <c r="BD228" i="2"/>
  <c r="Y233" i="2"/>
  <c r="AT238" i="2"/>
  <c r="U144" i="2"/>
  <c r="AS144" i="2"/>
  <c r="AY144" i="2" s="1"/>
  <c r="AI162" i="2"/>
  <c r="K162" i="2"/>
  <c r="AG162" i="2"/>
  <c r="I162" i="2"/>
  <c r="AH162" i="2"/>
  <c r="BB162" i="2" s="1"/>
  <c r="BC162" i="2" s="1"/>
  <c r="Y170" i="2"/>
  <c r="AI174" i="2"/>
  <c r="AY174" i="2" s="1"/>
  <c r="K174" i="2"/>
  <c r="AG174" i="2"/>
  <c r="I174" i="2"/>
  <c r="AE174" i="2"/>
  <c r="AJ174" i="2"/>
  <c r="BB174" i="2" s="1"/>
  <c r="BC174" i="2" s="1"/>
  <c r="BD175" i="2"/>
  <c r="R177" i="2"/>
  <c r="AS177" i="2"/>
  <c r="AY177" i="2" s="1"/>
  <c r="J181" i="2"/>
  <c r="AK181" i="2"/>
  <c r="N182" i="2"/>
  <c r="AR182" i="2"/>
  <c r="U183" i="2"/>
  <c r="AV183" i="2"/>
  <c r="BD192" i="2"/>
  <c r="R193" i="2"/>
  <c r="AW193" i="2"/>
  <c r="R195" i="2"/>
  <c r="M197" i="2"/>
  <c r="AX197" i="2"/>
  <c r="AE198" i="2"/>
  <c r="M199" i="2"/>
  <c r="AT199" i="2"/>
  <c r="AE200" i="2"/>
  <c r="N201" i="2"/>
  <c r="AT201" i="2"/>
  <c r="N205" i="2"/>
  <c r="AW205" i="2"/>
  <c r="P208" i="2"/>
  <c r="H209" i="2"/>
  <c r="AX209" i="2"/>
  <c r="N211" i="2"/>
  <c r="S214" i="2"/>
  <c r="L215" i="2"/>
  <c r="AY217" i="2"/>
  <c r="J219" i="2"/>
  <c r="AH221" i="2"/>
  <c r="AD223" i="2"/>
  <c r="Z233" i="2"/>
  <c r="AR270" i="2"/>
  <c r="AI227" i="2"/>
  <c r="K227" i="2"/>
  <c r="AH227" i="2"/>
  <c r="J227" i="2"/>
  <c r="AG227" i="2"/>
  <c r="I227" i="2"/>
  <c r="AF227" i="2"/>
  <c r="H227" i="2"/>
  <c r="AW227" i="2"/>
  <c r="Y227" i="2"/>
  <c r="AJ227" i="2"/>
  <c r="AE227" i="2"/>
  <c r="AD227" i="2"/>
  <c r="AB227" i="2"/>
  <c r="AC227" i="2" s="1"/>
  <c r="V227" i="2"/>
  <c r="U227" i="2"/>
  <c r="AX227" i="2"/>
  <c r="T227" i="2"/>
  <c r="AV227" i="2"/>
  <c r="S227" i="2"/>
  <c r="AU227" i="2"/>
  <c r="R227" i="2"/>
  <c r="AT227" i="2"/>
  <c r="Q227" i="2"/>
  <c r="AS227" i="2"/>
  <c r="P227" i="2"/>
  <c r="AR227" i="2"/>
  <c r="O227" i="2"/>
  <c r="AQ227" i="2"/>
  <c r="N227" i="2"/>
  <c r="AL227" i="2"/>
  <c r="AW232" i="2"/>
  <c r="Y232" i="2"/>
  <c r="AV232" i="2"/>
  <c r="X232" i="2"/>
  <c r="AU232" i="2"/>
  <c r="W232" i="2"/>
  <c r="AT232" i="2"/>
  <c r="V232" i="2"/>
  <c r="AM232" i="2"/>
  <c r="O232" i="2"/>
  <c r="AK232" i="2"/>
  <c r="M232" i="2"/>
  <c r="Q232" i="2"/>
  <c r="AX232" i="2"/>
  <c r="P232" i="2"/>
  <c r="AS232" i="2"/>
  <c r="N232" i="2"/>
  <c r="AQ232" i="2"/>
  <c r="K232" i="2"/>
  <c r="AJ232" i="2"/>
  <c r="AI232" i="2"/>
  <c r="AH232" i="2"/>
  <c r="AG232" i="2"/>
  <c r="AF232" i="2"/>
  <c r="AE232" i="2"/>
  <c r="AD232" i="2"/>
  <c r="AB232" i="2"/>
  <c r="S232" i="2"/>
  <c r="AI239" i="2"/>
  <c r="K239" i="2"/>
  <c r="AH239" i="2"/>
  <c r="J239" i="2"/>
  <c r="AG239" i="2"/>
  <c r="I239" i="2"/>
  <c r="AF239" i="2"/>
  <c r="H239" i="2"/>
  <c r="AA239" i="2"/>
  <c r="AW239" i="2"/>
  <c r="Y239" i="2"/>
  <c r="AV239" i="2"/>
  <c r="X239" i="2"/>
  <c r="AU239" i="2"/>
  <c r="W239" i="2"/>
  <c r="AM239" i="2"/>
  <c r="AL239" i="2"/>
  <c r="AK239" i="2"/>
  <c r="AE239" i="2"/>
  <c r="V239" i="2"/>
  <c r="U239" i="2"/>
  <c r="T239" i="2"/>
  <c r="S239" i="2"/>
  <c r="R239" i="2"/>
  <c r="Q239" i="2"/>
  <c r="P239" i="2"/>
  <c r="AX239" i="2"/>
  <c r="O239" i="2"/>
  <c r="AT239" i="2"/>
  <c r="N239" i="2"/>
  <c r="AP239" i="2"/>
  <c r="AO239" i="2"/>
  <c r="AO159" i="2"/>
  <c r="Q159" i="2"/>
  <c r="AM159" i="2"/>
  <c r="O159" i="2"/>
  <c r="AG159" i="2"/>
  <c r="AE170" i="2"/>
  <c r="AO171" i="2"/>
  <c r="Q171" i="2"/>
  <c r="AM171" i="2"/>
  <c r="O171" i="2"/>
  <c r="AG171" i="2"/>
  <c r="X177" i="2"/>
  <c r="P181" i="2"/>
  <c r="AT181" i="2"/>
  <c r="W182" i="2"/>
  <c r="AX182" i="2"/>
  <c r="AY182" i="2" s="1"/>
  <c r="AA183" i="2"/>
  <c r="Y193" i="2"/>
  <c r="Z195" i="2"/>
  <c r="AU196" i="2"/>
  <c r="W196" i="2"/>
  <c r="AC196" i="2" s="1"/>
  <c r="AT196" i="2"/>
  <c r="V196" i="2"/>
  <c r="AS196" i="2"/>
  <c r="AY196" i="2" s="1"/>
  <c r="S196" i="2"/>
  <c r="AR196" i="2"/>
  <c r="R196" i="2"/>
  <c r="AQ196" i="2"/>
  <c r="Q196" i="2"/>
  <c r="AO196" i="2"/>
  <c r="O196" i="2"/>
  <c r="AF196" i="2"/>
  <c r="AL196" i="2"/>
  <c r="Y197" i="2"/>
  <c r="U199" i="2"/>
  <c r="U201" i="2"/>
  <c r="T205" i="2"/>
  <c r="N209" i="2"/>
  <c r="W211" i="2"/>
  <c r="R215" i="2"/>
  <c r="V219" i="2"/>
  <c r="AV221" i="2"/>
  <c r="AV223" i="2"/>
  <c r="Z227" i="2"/>
  <c r="L232" i="2"/>
  <c r="AN233" i="2"/>
  <c r="AB239" i="2"/>
  <c r="Z177" i="2"/>
  <c r="X182" i="2"/>
  <c r="AB183" i="2"/>
  <c r="Z193" i="2"/>
  <c r="AA195" i="2"/>
  <c r="Z197" i="2"/>
  <c r="AQ198" i="2"/>
  <c r="S198" i="2"/>
  <c r="AP198" i="2"/>
  <c r="R198" i="2"/>
  <c r="Y198" i="2"/>
  <c r="AX198" i="2"/>
  <c r="AY198" i="2" s="1"/>
  <c r="X198" i="2"/>
  <c r="AW198" i="2"/>
  <c r="W198" i="2"/>
  <c r="AU198" i="2"/>
  <c r="U198" i="2"/>
  <c r="AJ198" i="2"/>
  <c r="J198" i="2"/>
  <c r="AM198" i="2"/>
  <c r="V199" i="2"/>
  <c r="AM200" i="2"/>
  <c r="O200" i="2"/>
  <c r="AL200" i="2"/>
  <c r="N200" i="2"/>
  <c r="AB200" i="2"/>
  <c r="AA200" i="2"/>
  <c r="Y200" i="2"/>
  <c r="AP200" i="2"/>
  <c r="P200" i="2"/>
  <c r="AN200" i="2"/>
  <c r="V201" i="2"/>
  <c r="AD208" i="2"/>
  <c r="AD214" i="2"/>
  <c r="AW221" i="2"/>
  <c r="AW223" i="2"/>
  <c r="AA227" i="2"/>
  <c r="R232" i="2"/>
  <c r="AV259" i="2"/>
  <c r="X259" i="2"/>
  <c r="AU259" i="2"/>
  <c r="W259" i="2"/>
  <c r="AT259" i="2"/>
  <c r="V259" i="2"/>
  <c r="AS259" i="2"/>
  <c r="U259" i="2"/>
  <c r="AR259" i="2"/>
  <c r="T259" i="2"/>
  <c r="AL259" i="2"/>
  <c r="N259" i="2"/>
  <c r="AJ259" i="2"/>
  <c r="L259" i="2"/>
  <c r="AH259" i="2"/>
  <c r="AG259" i="2"/>
  <c r="AF259" i="2"/>
  <c r="AE259" i="2"/>
  <c r="Z259" i="2"/>
  <c r="Y259" i="2"/>
  <c r="S259" i="2"/>
  <c r="R259" i="2"/>
  <c r="Q259" i="2"/>
  <c r="P259" i="2"/>
  <c r="O259" i="2"/>
  <c r="AX259" i="2"/>
  <c r="M259" i="2"/>
  <c r="AW259" i="2"/>
  <c r="K259" i="2"/>
  <c r="AQ259" i="2"/>
  <c r="J259" i="2"/>
  <c r="AM259" i="2"/>
  <c r="AP259" i="2"/>
  <c r="AO259" i="2"/>
  <c r="AN259" i="2"/>
  <c r="AK259" i="2"/>
  <c r="AI259" i="2"/>
  <c r="AD259" i="2"/>
  <c r="AB259" i="2"/>
  <c r="AA259" i="2"/>
  <c r="AQ170" i="2"/>
  <c r="S170" i="2"/>
  <c r="AO170" i="2"/>
  <c r="Q170" i="2"/>
  <c r="AG170" i="2"/>
  <c r="AB177" i="2"/>
  <c r="Y182" i="2"/>
  <c r="AA193" i="2"/>
  <c r="AB195" i="2"/>
  <c r="AA197" i="2"/>
  <c r="H198" i="2"/>
  <c r="AN198" i="2"/>
  <c r="X199" i="2"/>
  <c r="H200" i="2"/>
  <c r="AO200" i="2"/>
  <c r="W201" i="2"/>
  <c r="AE208" i="2"/>
  <c r="W209" i="2"/>
  <c r="AE214" i="2"/>
  <c r="Y215" i="2"/>
  <c r="BD216" i="2"/>
  <c r="AE219" i="2"/>
  <c r="AX221" i="2"/>
  <c r="AY221" i="2" s="1"/>
  <c r="AX223" i="2"/>
  <c r="T232" i="2"/>
  <c r="AC235" i="2"/>
  <c r="AZ235" i="2" s="1"/>
  <c r="AD239" i="2"/>
  <c r="H259" i="2"/>
  <c r="J159" i="2"/>
  <c r="AJ159" i="2"/>
  <c r="H170" i="2"/>
  <c r="AH170" i="2"/>
  <c r="J171" i="2"/>
  <c r="AJ171" i="2"/>
  <c r="AD177" i="2"/>
  <c r="AA178" i="2"/>
  <c r="AW178" i="2"/>
  <c r="Y178" i="2"/>
  <c r="AU178" i="2"/>
  <c r="W178" i="2"/>
  <c r="AC178" i="2" s="1"/>
  <c r="AH178" i="2"/>
  <c r="BB178" i="2" s="1"/>
  <c r="BC178" i="2" s="1"/>
  <c r="V181" i="2"/>
  <c r="AW181" i="2"/>
  <c r="Z182" i="2"/>
  <c r="AD183" i="2"/>
  <c r="AM184" i="2"/>
  <c r="O184" i="2"/>
  <c r="BD184" i="2" s="1"/>
  <c r="AK184" i="2"/>
  <c r="M184" i="2"/>
  <c r="AC184" i="2" s="1"/>
  <c r="AI184" i="2"/>
  <c r="AY184" i="2" s="1"/>
  <c r="K184" i="2"/>
  <c r="AH184" i="2"/>
  <c r="AD193" i="2"/>
  <c r="J196" i="2"/>
  <c r="AP196" i="2"/>
  <c r="AB197" i="2"/>
  <c r="I198" i="2"/>
  <c r="AO198" i="2"/>
  <c r="AB199" i="2"/>
  <c r="I200" i="2"/>
  <c r="AQ200" i="2"/>
  <c r="X201" i="2"/>
  <c r="AA205" i="2"/>
  <c r="AF208" i="2"/>
  <c r="X209" i="2"/>
  <c r="AD211" i="2"/>
  <c r="AF214" i="2"/>
  <c r="Z215" i="2"/>
  <c r="AF219" i="2"/>
  <c r="AK227" i="2"/>
  <c r="U232" i="2"/>
  <c r="AJ239" i="2"/>
  <c r="AP250" i="2"/>
  <c r="R250" i="2"/>
  <c r="AO250" i="2"/>
  <c r="Q250" i="2"/>
  <c r="AN250" i="2"/>
  <c r="P250" i="2"/>
  <c r="AM250" i="2"/>
  <c r="O250" i="2"/>
  <c r="AL250" i="2"/>
  <c r="N250" i="2"/>
  <c r="AF250" i="2"/>
  <c r="H250" i="2"/>
  <c r="AH250" i="2"/>
  <c r="AG250" i="2"/>
  <c r="AE250" i="2"/>
  <c r="AD250" i="2"/>
  <c r="Y250" i="2"/>
  <c r="X250" i="2"/>
  <c r="W250" i="2"/>
  <c r="V250" i="2"/>
  <c r="U250" i="2"/>
  <c r="AX250" i="2"/>
  <c r="T250" i="2"/>
  <c r="AW250" i="2"/>
  <c r="S250" i="2"/>
  <c r="AT250" i="2"/>
  <c r="K250" i="2"/>
  <c r="Z250" i="2"/>
  <c r="M250" i="2"/>
  <c r="L250" i="2"/>
  <c r="I250" i="2"/>
  <c r="AV250" i="2"/>
  <c r="AU250" i="2"/>
  <c r="AS250" i="2"/>
  <c r="AY250" i="2" s="1"/>
  <c r="AR250" i="2"/>
  <c r="AQ250" i="2"/>
  <c r="AB250" i="2"/>
  <c r="I259" i="2"/>
  <c r="AS157" i="2"/>
  <c r="AY157" i="2" s="1"/>
  <c r="U157" i="2"/>
  <c r="AQ157" i="2"/>
  <c r="S157" i="2"/>
  <c r="BD157" i="2" s="1"/>
  <c r="AG157" i="2"/>
  <c r="K159" i="2"/>
  <c r="AK159" i="2"/>
  <c r="S162" i="2"/>
  <c r="BD162" i="2" s="1"/>
  <c r="AS162" i="2"/>
  <c r="AS169" i="2"/>
  <c r="AY169" i="2" s="1"/>
  <c r="U169" i="2"/>
  <c r="AQ169" i="2"/>
  <c r="S169" i="2"/>
  <c r="BD169" i="2" s="1"/>
  <c r="AG169" i="2"/>
  <c r="I170" i="2"/>
  <c r="AI170" i="2"/>
  <c r="K171" i="2"/>
  <c r="AK171" i="2"/>
  <c r="S174" i="2"/>
  <c r="BD174" i="2" s="1"/>
  <c r="AT174" i="2"/>
  <c r="AE177" i="2"/>
  <c r="H178" i="2"/>
  <c r="AI178" i="2"/>
  <c r="AY178" i="2" s="1"/>
  <c r="W181" i="2"/>
  <c r="AC181" i="2" s="1"/>
  <c r="AX181" i="2"/>
  <c r="AA182" i="2"/>
  <c r="AE183" i="2"/>
  <c r="H184" i="2"/>
  <c r="AJ184" i="2"/>
  <c r="AE193" i="2"/>
  <c r="AE195" i="2"/>
  <c r="K196" i="2"/>
  <c r="AV196" i="2"/>
  <c r="K198" i="2"/>
  <c r="AR198" i="2"/>
  <c r="J200" i="2"/>
  <c r="AR200" i="2"/>
  <c r="Y201" i="2"/>
  <c r="AE205" i="2"/>
  <c r="AG208" i="2"/>
  <c r="Y209" i="2"/>
  <c r="AE211" i="2"/>
  <c r="AG214" i="2"/>
  <c r="AA215" i="2"/>
  <c r="AG219" i="2"/>
  <c r="AM227" i="2"/>
  <c r="Z232" i="2"/>
  <c r="AS234" i="2"/>
  <c r="U234" i="2"/>
  <c r="AR234" i="2"/>
  <c r="T234" i="2"/>
  <c r="AQ234" i="2"/>
  <c r="S234" i="2"/>
  <c r="AP234" i="2"/>
  <c r="R234" i="2"/>
  <c r="AI234" i="2"/>
  <c r="K234" i="2"/>
  <c r="AH234" i="2"/>
  <c r="J234" i="2"/>
  <c r="AG234" i="2"/>
  <c r="I234" i="2"/>
  <c r="P234" i="2"/>
  <c r="AX234" i="2"/>
  <c r="O234" i="2"/>
  <c r="AW234" i="2"/>
  <c r="N234" i="2"/>
  <c r="AU234" i="2"/>
  <c r="L234" i="2"/>
  <c r="AL234" i="2"/>
  <c r="AK234" i="2"/>
  <c r="AJ234" i="2"/>
  <c r="AF234" i="2"/>
  <c r="AE234" i="2"/>
  <c r="AD234" i="2"/>
  <c r="AB234" i="2"/>
  <c r="AC234" i="2" s="1"/>
  <c r="AA234" i="2"/>
  <c r="V234" i="2"/>
  <c r="AN239" i="2"/>
  <c r="J250" i="2"/>
  <c r="AA231" i="2"/>
  <c r="AX231" i="2"/>
  <c r="Z231" i="2"/>
  <c r="AW231" i="2"/>
  <c r="Y231" i="2"/>
  <c r="AV231" i="2"/>
  <c r="X231" i="2"/>
  <c r="AO231" i="2"/>
  <c r="Q231" i="2"/>
  <c r="AM231" i="2"/>
  <c r="O231" i="2"/>
  <c r="AK231" i="2"/>
  <c r="BD313" i="2"/>
  <c r="BD243" i="2"/>
  <c r="L231" i="2"/>
  <c r="AR231" i="2"/>
  <c r="AY242" i="2"/>
  <c r="AY278" i="2"/>
  <c r="AZ278" i="2" s="1"/>
  <c r="AB293" i="2"/>
  <c r="AA293" i="2"/>
  <c r="AX293" i="2"/>
  <c r="Z293" i="2"/>
  <c r="AW293" i="2"/>
  <c r="Y293" i="2"/>
  <c r="AV293" i="2"/>
  <c r="X293" i="2"/>
  <c r="AP293" i="2"/>
  <c r="R293" i="2"/>
  <c r="AO293" i="2"/>
  <c r="Q293" i="2"/>
  <c r="AN293" i="2"/>
  <c r="P293" i="2"/>
  <c r="AM293" i="2"/>
  <c r="O293" i="2"/>
  <c r="AL293" i="2"/>
  <c r="N293" i="2"/>
  <c r="AK293" i="2"/>
  <c r="M293" i="2"/>
  <c r="AJ293" i="2"/>
  <c r="L293" i="2"/>
  <c r="AI293" i="2"/>
  <c r="K293" i="2"/>
  <c r="AH293" i="2"/>
  <c r="J293" i="2"/>
  <c r="AR293" i="2"/>
  <c r="AQ293" i="2"/>
  <c r="AG293" i="2"/>
  <c r="AF293" i="2"/>
  <c r="AE293" i="2"/>
  <c r="AD293" i="2"/>
  <c r="W293" i="2"/>
  <c r="V293" i="2"/>
  <c r="U293" i="2"/>
  <c r="H293" i="2"/>
  <c r="AL303" i="2"/>
  <c r="N303" i="2"/>
  <c r="AK303" i="2"/>
  <c r="M303" i="2"/>
  <c r="AJ303" i="2"/>
  <c r="L303" i="2"/>
  <c r="AI303" i="2"/>
  <c r="K303" i="2"/>
  <c r="AV303" i="2"/>
  <c r="S303" i="2"/>
  <c r="AU303" i="2"/>
  <c r="R303" i="2"/>
  <c r="AT303" i="2"/>
  <c r="Q303" i="2"/>
  <c r="AS303" i="2"/>
  <c r="P303" i="2"/>
  <c r="AR303" i="2"/>
  <c r="O303" i="2"/>
  <c r="AH303" i="2"/>
  <c r="AG303" i="2"/>
  <c r="AF303" i="2"/>
  <c r="AE303" i="2"/>
  <c r="AD303" i="2"/>
  <c r="AB303" i="2"/>
  <c r="AA303" i="2"/>
  <c r="Z303" i="2"/>
  <c r="Y303" i="2"/>
  <c r="V303" i="2"/>
  <c r="X303" i="2"/>
  <c r="W303" i="2"/>
  <c r="U303" i="2"/>
  <c r="T303" i="2"/>
  <c r="AX303" i="2"/>
  <c r="AO303" i="2"/>
  <c r="M231" i="2"/>
  <c r="AC231" i="2" s="1"/>
  <c r="AS231" i="2"/>
  <c r="AJ241" i="2"/>
  <c r="L241" i="2"/>
  <c r="AI241" i="2"/>
  <c r="AH241" i="2"/>
  <c r="J241" i="2"/>
  <c r="AF241" i="2"/>
  <c r="H241" i="2"/>
  <c r="AX241" i="2"/>
  <c r="Z241" i="2"/>
  <c r="AR241" i="2"/>
  <c r="O241" i="2"/>
  <c r="AQ241" i="2"/>
  <c r="N241" i="2"/>
  <c r="AP241" i="2"/>
  <c r="M241" i="2"/>
  <c r="AO241" i="2"/>
  <c r="K241" i="2"/>
  <c r="AG241" i="2"/>
  <c r="AD241" i="2"/>
  <c r="AB241" i="2"/>
  <c r="AA241" i="2"/>
  <c r="AV271" i="2"/>
  <c r="X271" i="2"/>
  <c r="AU271" i="2"/>
  <c r="W271" i="2"/>
  <c r="AT271" i="2"/>
  <c r="V271" i="2"/>
  <c r="AS271" i="2"/>
  <c r="U271" i="2"/>
  <c r="AR271" i="2"/>
  <c r="T271" i="2"/>
  <c r="AL271" i="2"/>
  <c r="N271" i="2"/>
  <c r="AK271" i="2"/>
  <c r="M271" i="2"/>
  <c r="AJ271" i="2"/>
  <c r="L271" i="2"/>
  <c r="AI271" i="2"/>
  <c r="AY271" i="2" s="1"/>
  <c r="K271" i="2"/>
  <c r="AH271" i="2"/>
  <c r="J271" i="2"/>
  <c r="AW271" i="2"/>
  <c r="AQ271" i="2"/>
  <c r="AP271" i="2"/>
  <c r="AO271" i="2"/>
  <c r="AE271" i="2"/>
  <c r="AD271" i="2"/>
  <c r="AB271" i="2"/>
  <c r="AA271" i="2"/>
  <c r="Z271" i="2"/>
  <c r="Y271" i="2"/>
  <c r="S271" i="2"/>
  <c r="R271" i="2"/>
  <c r="Q271" i="2"/>
  <c r="H271" i="2"/>
  <c r="I293" i="2"/>
  <c r="H303" i="2"/>
  <c r="N231" i="2"/>
  <c r="AT231" i="2"/>
  <c r="S293" i="2"/>
  <c r="I303" i="2"/>
  <c r="AX207" i="2"/>
  <c r="Z207" i="2"/>
  <c r="AW207" i="2"/>
  <c r="Y207" i="2"/>
  <c r="AV207" i="2"/>
  <c r="X207" i="2"/>
  <c r="AH207" i="2"/>
  <c r="BB207" i="2" s="1"/>
  <c r="BC207" i="2" s="1"/>
  <c r="AL213" i="2"/>
  <c r="N213" i="2"/>
  <c r="AK213" i="2"/>
  <c r="M213" i="2"/>
  <c r="AJ213" i="2"/>
  <c r="L213" i="2"/>
  <c r="AH213" i="2"/>
  <c r="AG218" i="2"/>
  <c r="AG222" i="2"/>
  <c r="AL226" i="2"/>
  <c r="AI230" i="2"/>
  <c r="P231" i="2"/>
  <c r="AU231" i="2"/>
  <c r="P241" i="2"/>
  <c r="O271" i="2"/>
  <c r="AC285" i="2"/>
  <c r="T293" i="2"/>
  <c r="J303" i="2"/>
  <c r="H207" i="2"/>
  <c r="AI207" i="2"/>
  <c r="H213" i="2"/>
  <c r="AI213" i="2"/>
  <c r="R231" i="2"/>
  <c r="Q241" i="2"/>
  <c r="AL252" i="2"/>
  <c r="N252" i="2"/>
  <c r="AK252" i="2"/>
  <c r="M252" i="2"/>
  <c r="AJ252" i="2"/>
  <c r="L252" i="2"/>
  <c r="AI252" i="2"/>
  <c r="K252" i="2"/>
  <c r="AH252" i="2"/>
  <c r="J252" i="2"/>
  <c r="AB252" i="2"/>
  <c r="AA252" i="2"/>
  <c r="Z252" i="2"/>
  <c r="Y252" i="2"/>
  <c r="AX252" i="2"/>
  <c r="T252" i="2"/>
  <c r="AW252" i="2"/>
  <c r="S252" i="2"/>
  <c r="AV252" i="2"/>
  <c r="R252" i="2"/>
  <c r="AU252" i="2"/>
  <c r="Q252" i="2"/>
  <c r="AT252" i="2"/>
  <c r="P252" i="2"/>
  <c r="AS252" i="2"/>
  <c r="O252" i="2"/>
  <c r="AR252" i="2"/>
  <c r="I252" i="2"/>
  <c r="AO252" i="2"/>
  <c r="P271" i="2"/>
  <c r="AS293" i="2"/>
  <c r="AM303" i="2"/>
  <c r="AB218" i="2"/>
  <c r="AC218" i="2" s="1"/>
  <c r="AA218" i="2"/>
  <c r="AX218" i="2"/>
  <c r="Z218" i="2"/>
  <c r="AI218" i="2"/>
  <c r="AS222" i="2"/>
  <c r="U222" i="2"/>
  <c r="AR222" i="2"/>
  <c r="T222" i="2"/>
  <c r="AQ222" i="2"/>
  <c r="S222" i="2"/>
  <c r="AP222" i="2"/>
  <c r="R222" i="2"/>
  <c r="AI222" i="2"/>
  <c r="AK226" i="2"/>
  <c r="M226" i="2"/>
  <c r="AJ226" i="2"/>
  <c r="L226" i="2"/>
  <c r="AI226" i="2"/>
  <c r="K226" i="2"/>
  <c r="AH226" i="2"/>
  <c r="J226" i="2"/>
  <c r="AA226" i="2"/>
  <c r="AN226" i="2"/>
  <c r="AB230" i="2"/>
  <c r="AC230" i="2" s="1"/>
  <c r="AA230" i="2"/>
  <c r="AX230" i="2"/>
  <c r="Z230" i="2"/>
  <c r="AQ230" i="2"/>
  <c r="S230" i="2"/>
  <c r="AO230" i="2"/>
  <c r="Q230" i="2"/>
  <c r="AK230" i="2"/>
  <c r="S231" i="2"/>
  <c r="R241" i="2"/>
  <c r="BB242" i="2"/>
  <c r="BC242" i="2" s="1"/>
  <c r="AX246" i="2"/>
  <c r="Z246" i="2"/>
  <c r="AW246" i="2"/>
  <c r="Y246" i="2"/>
  <c r="AV246" i="2"/>
  <c r="X246" i="2"/>
  <c r="AU246" i="2"/>
  <c r="W246" i="2"/>
  <c r="AT246" i="2"/>
  <c r="V246" i="2"/>
  <c r="AN246" i="2"/>
  <c r="P246" i="2"/>
  <c r="AP246" i="2"/>
  <c r="K246" i="2"/>
  <c r="AO246" i="2"/>
  <c r="J246" i="2"/>
  <c r="AM246" i="2"/>
  <c r="I246" i="2"/>
  <c r="AL246" i="2"/>
  <c r="H246" i="2"/>
  <c r="AG246" i="2"/>
  <c r="AF246" i="2"/>
  <c r="AE246" i="2"/>
  <c r="AD246" i="2"/>
  <c r="AB246" i="2"/>
  <c r="AV247" i="2"/>
  <c r="X247" i="2"/>
  <c r="AU247" i="2"/>
  <c r="W247" i="2"/>
  <c r="AT247" i="2"/>
  <c r="V247" i="2"/>
  <c r="AS247" i="2"/>
  <c r="U247" i="2"/>
  <c r="AR247" i="2"/>
  <c r="T247" i="2"/>
  <c r="AL247" i="2"/>
  <c r="N247" i="2"/>
  <c r="AA247" i="2"/>
  <c r="Z247" i="2"/>
  <c r="Y247" i="2"/>
  <c r="S247" i="2"/>
  <c r="AW247" i="2"/>
  <c r="M247" i="2"/>
  <c r="AQ247" i="2"/>
  <c r="L247" i="2"/>
  <c r="AP247" i="2"/>
  <c r="K247" i="2"/>
  <c r="AO247" i="2"/>
  <c r="J247" i="2"/>
  <c r="AN247" i="2"/>
  <c r="I247" i="2"/>
  <c r="AM247" i="2"/>
  <c r="H247" i="2"/>
  <c r="BB266" i="2"/>
  <c r="BC266" i="2" s="1"/>
  <c r="AF271" i="2"/>
  <c r="AT293" i="2"/>
  <c r="AN303" i="2"/>
  <c r="AZ306" i="2"/>
  <c r="H218" i="2"/>
  <c r="AJ218" i="2"/>
  <c r="BB218" i="2" s="1"/>
  <c r="BC218" i="2" s="1"/>
  <c r="H222" i="2"/>
  <c r="AJ222" i="2"/>
  <c r="H226" i="2"/>
  <c r="AO226" i="2"/>
  <c r="H230" i="2"/>
  <c r="AL230" i="2"/>
  <c r="T231" i="2"/>
  <c r="S241" i="2"/>
  <c r="AC248" i="2"/>
  <c r="AN251" i="2"/>
  <c r="P251" i="2"/>
  <c r="AM251" i="2"/>
  <c r="O251" i="2"/>
  <c r="AL251" i="2"/>
  <c r="N251" i="2"/>
  <c r="AK251" i="2"/>
  <c r="M251" i="2"/>
  <c r="AJ251" i="2"/>
  <c r="L251" i="2"/>
  <c r="AD251" i="2"/>
  <c r="AV251" i="2"/>
  <c r="R251" i="2"/>
  <c r="AU251" i="2"/>
  <c r="Q251" i="2"/>
  <c r="AT251" i="2"/>
  <c r="K251" i="2"/>
  <c r="AS251" i="2"/>
  <c r="J251" i="2"/>
  <c r="AI251" i="2"/>
  <c r="AH251" i="2"/>
  <c r="AG251" i="2"/>
  <c r="AF251" i="2"/>
  <c r="AE251" i="2"/>
  <c r="AB251" i="2"/>
  <c r="Y251" i="2"/>
  <c r="AD268" i="2"/>
  <c r="AB268" i="2"/>
  <c r="AA268" i="2"/>
  <c r="AX268" i="2"/>
  <c r="Z268" i="2"/>
  <c r="AR268" i="2"/>
  <c r="T268" i="2"/>
  <c r="AP268" i="2"/>
  <c r="R268" i="2"/>
  <c r="AO268" i="2"/>
  <c r="Q268" i="2"/>
  <c r="AN268" i="2"/>
  <c r="P268" i="2"/>
  <c r="AH268" i="2"/>
  <c r="AG268" i="2"/>
  <c r="AF268" i="2"/>
  <c r="AE268" i="2"/>
  <c r="U268" i="2"/>
  <c r="S268" i="2"/>
  <c r="O268" i="2"/>
  <c r="N268" i="2"/>
  <c r="M268" i="2"/>
  <c r="AW268" i="2"/>
  <c r="L268" i="2"/>
  <c r="AV268" i="2"/>
  <c r="K268" i="2"/>
  <c r="AU268" i="2"/>
  <c r="J268" i="2"/>
  <c r="AT268" i="2"/>
  <c r="I268" i="2"/>
  <c r="AS268" i="2"/>
  <c r="H268" i="2"/>
  <c r="AK268" i="2"/>
  <c r="AG271" i="2"/>
  <c r="AU293" i="2"/>
  <c r="AP303" i="2"/>
  <c r="U231" i="2"/>
  <c r="AB245" i="2"/>
  <c r="AA245" i="2"/>
  <c r="AX245" i="2"/>
  <c r="Z245" i="2"/>
  <c r="AW245" i="2"/>
  <c r="Y245" i="2"/>
  <c r="AV245" i="2"/>
  <c r="X245" i="2"/>
  <c r="AP245" i="2"/>
  <c r="BB245" i="2" s="1"/>
  <c r="BC245" i="2" s="1"/>
  <c r="R245" i="2"/>
  <c r="AE245" i="2"/>
  <c r="AD245" i="2"/>
  <c r="W245" i="2"/>
  <c r="Q245" i="2"/>
  <c r="AU245" i="2"/>
  <c r="P245" i="2"/>
  <c r="AT245" i="2"/>
  <c r="O245" i="2"/>
  <c r="AS245" i="2"/>
  <c r="N245" i="2"/>
  <c r="AR245" i="2"/>
  <c r="M245" i="2"/>
  <c r="AQ245" i="2"/>
  <c r="L245" i="2"/>
  <c r="BD266" i="2"/>
  <c r="AQ303" i="2"/>
  <c r="AB257" i="2"/>
  <c r="AA257" i="2"/>
  <c r="AX257" i="2"/>
  <c r="Z257" i="2"/>
  <c r="AW257" i="2"/>
  <c r="Y257" i="2"/>
  <c r="AV257" i="2"/>
  <c r="X257" i="2"/>
  <c r="AP257" i="2"/>
  <c r="R257" i="2"/>
  <c r="AN257" i="2"/>
  <c r="P257" i="2"/>
  <c r="AH257" i="2"/>
  <c r="AG257" i="2"/>
  <c r="AF257" i="2"/>
  <c r="AE257" i="2"/>
  <c r="U257" i="2"/>
  <c r="T257" i="2"/>
  <c r="S257" i="2"/>
  <c r="Q257" i="2"/>
  <c r="O257" i="2"/>
  <c r="AU257" i="2"/>
  <c r="N257" i="2"/>
  <c r="AT257" i="2"/>
  <c r="M257" i="2"/>
  <c r="AS257" i="2"/>
  <c r="L257" i="2"/>
  <c r="AR257" i="2"/>
  <c r="AQ257" i="2"/>
  <c r="J257" i="2"/>
  <c r="AK257" i="2"/>
  <c r="AR261" i="2"/>
  <c r="T261" i="2"/>
  <c r="AQ261" i="2"/>
  <c r="S261" i="2"/>
  <c r="AP261" i="2"/>
  <c r="R261" i="2"/>
  <c r="AO261" i="2"/>
  <c r="Q261" i="2"/>
  <c r="AN261" i="2"/>
  <c r="P261" i="2"/>
  <c r="AH261" i="2"/>
  <c r="J261" i="2"/>
  <c r="AF261" i="2"/>
  <c r="H261" i="2"/>
  <c r="AD261" i="2"/>
  <c r="AM261" i="2"/>
  <c r="AL261" i="2"/>
  <c r="AK261" i="2"/>
  <c r="AJ261" i="2"/>
  <c r="AB261" i="2"/>
  <c r="AA261" i="2"/>
  <c r="Z261" i="2"/>
  <c r="Y261" i="2"/>
  <c r="X261" i="2"/>
  <c r="W261" i="2"/>
  <c r="V261" i="2"/>
  <c r="U261" i="2"/>
  <c r="O261" i="2"/>
  <c r="N261" i="2"/>
  <c r="AU261" i="2"/>
  <c r="I261" i="2"/>
  <c r="AN287" i="2"/>
  <c r="P287" i="2"/>
  <c r="AM287" i="2"/>
  <c r="O287" i="2"/>
  <c r="AL287" i="2"/>
  <c r="N287" i="2"/>
  <c r="AK287" i="2"/>
  <c r="M287" i="2"/>
  <c r="AJ287" i="2"/>
  <c r="L287" i="2"/>
  <c r="AD287" i="2"/>
  <c r="AB287" i="2"/>
  <c r="AA287" i="2"/>
  <c r="AX287" i="2"/>
  <c r="Z287" i="2"/>
  <c r="AW287" i="2"/>
  <c r="Y287" i="2"/>
  <c r="AV287" i="2"/>
  <c r="X287" i="2"/>
  <c r="AU287" i="2"/>
  <c r="W287" i="2"/>
  <c r="AT287" i="2"/>
  <c r="V287" i="2"/>
  <c r="AO287" i="2"/>
  <c r="AI287" i="2"/>
  <c r="AH287" i="2"/>
  <c r="AG287" i="2"/>
  <c r="AF287" i="2"/>
  <c r="AE287" i="2"/>
  <c r="U287" i="2"/>
  <c r="T287" i="2"/>
  <c r="S287" i="2"/>
  <c r="R287" i="2"/>
  <c r="I287" i="2"/>
  <c r="AW303" i="2"/>
  <c r="AP186" i="2"/>
  <c r="R186" i="2"/>
  <c r="BD186" i="2" s="1"/>
  <c r="AF186" i="2"/>
  <c r="AN187" i="2"/>
  <c r="P187" i="2"/>
  <c r="BD187" i="2" s="1"/>
  <c r="AF187" i="2"/>
  <c r="AL188" i="2"/>
  <c r="N188" i="2"/>
  <c r="BD188" i="2" s="1"/>
  <c r="AF188" i="2"/>
  <c r="AJ189" i="2"/>
  <c r="L189" i="2"/>
  <c r="BD189" i="2" s="1"/>
  <c r="AF189" i="2"/>
  <c r="AH190" i="2"/>
  <c r="J190" i="2"/>
  <c r="AF190" i="2"/>
  <c r="AF191" i="2"/>
  <c r="H191" i="2"/>
  <c r="AG191" i="2"/>
  <c r="Q207" i="2"/>
  <c r="AR207" i="2"/>
  <c r="T213" i="2"/>
  <c r="AU213" i="2"/>
  <c r="O218" i="2"/>
  <c r="AQ218" i="2"/>
  <c r="O222" i="2"/>
  <c r="AU222" i="2"/>
  <c r="S226" i="2"/>
  <c r="AV226" i="2"/>
  <c r="O230" i="2"/>
  <c r="AU230" i="2"/>
  <c r="AE231" i="2"/>
  <c r="AE241" i="2"/>
  <c r="T245" i="2"/>
  <c r="T246" i="2"/>
  <c r="AE247" i="2"/>
  <c r="W251" i="2"/>
  <c r="AG252" i="2"/>
  <c r="W257" i="2"/>
  <c r="AE261" i="2"/>
  <c r="AL268" i="2"/>
  <c r="AP287" i="2"/>
  <c r="AE151" i="2"/>
  <c r="AE163" i="2"/>
  <c r="AE175" i="2"/>
  <c r="I186" i="2"/>
  <c r="AH186" i="2"/>
  <c r="I187" i="2"/>
  <c r="AH187" i="2"/>
  <c r="I188" i="2"/>
  <c r="AH188" i="2"/>
  <c r="I189" i="2"/>
  <c r="AH189" i="2"/>
  <c r="I190" i="2"/>
  <c r="AI190" i="2"/>
  <c r="AY190" i="2" s="1"/>
  <c r="AZ190" i="2" s="1"/>
  <c r="J191" i="2"/>
  <c r="AI191" i="2"/>
  <c r="AY191" i="2" s="1"/>
  <c r="AZ191" i="2" s="1"/>
  <c r="AG203" i="2"/>
  <c r="I203" i="2"/>
  <c r="AF203" i="2"/>
  <c r="H203" i="2"/>
  <c r="AI203" i="2"/>
  <c r="AY203" i="2" s="1"/>
  <c r="AZ203" i="2" s="1"/>
  <c r="S207" i="2"/>
  <c r="AT207" i="2"/>
  <c r="AR210" i="2"/>
  <c r="T210" i="2"/>
  <c r="AQ210" i="2"/>
  <c r="S210" i="2"/>
  <c r="AP210" i="2"/>
  <c r="R210" i="2"/>
  <c r="AH210" i="2"/>
  <c r="V213" i="2"/>
  <c r="AW213" i="2"/>
  <c r="Q218" i="2"/>
  <c r="AS218" i="2"/>
  <c r="Q222" i="2"/>
  <c r="AW222" i="2"/>
  <c r="U226" i="2"/>
  <c r="AX226" i="2"/>
  <c r="R230" i="2"/>
  <c r="AW230" i="2"/>
  <c r="AG231" i="2"/>
  <c r="AL241" i="2"/>
  <c r="V245" i="2"/>
  <c r="AA246" i="2"/>
  <c r="AG247" i="2"/>
  <c r="Z251" i="2"/>
  <c r="AN252" i="2"/>
  <c r="AD257" i="2"/>
  <c r="AI261" i="2"/>
  <c r="AQ268" i="2"/>
  <c r="AR287" i="2"/>
  <c r="AB315" i="2"/>
  <c r="AA315" i="2"/>
  <c r="AU315" i="2"/>
  <c r="U315" i="2"/>
  <c r="AT315" i="2"/>
  <c r="T315" i="2"/>
  <c r="AS315" i="2"/>
  <c r="S315" i="2"/>
  <c r="AR315" i="2"/>
  <c r="R315" i="2"/>
  <c r="AQ315" i="2"/>
  <c r="Q315" i="2"/>
  <c r="AK315" i="2"/>
  <c r="K315" i="2"/>
  <c r="AJ315" i="2"/>
  <c r="J315" i="2"/>
  <c r="AI315" i="2"/>
  <c r="I315" i="2"/>
  <c r="AE315" i="2"/>
  <c r="AW315" i="2"/>
  <c r="AV315" i="2"/>
  <c r="AP315" i="2"/>
  <c r="AO315" i="2"/>
  <c r="AN315" i="2"/>
  <c r="AD315" i="2"/>
  <c r="Z315" i="2"/>
  <c r="Y315" i="2"/>
  <c r="X315" i="2"/>
  <c r="W315" i="2"/>
  <c r="V315" i="2"/>
  <c r="P315" i="2"/>
  <c r="O315" i="2"/>
  <c r="L315" i="2"/>
  <c r="AX315" i="2"/>
  <c r="AM315" i="2"/>
  <c r="AL315" i="2"/>
  <c r="AH315" i="2"/>
  <c r="M315" i="2"/>
  <c r="T207" i="2"/>
  <c r="AU207" i="2"/>
  <c r="W213" i="2"/>
  <c r="AX213" i="2"/>
  <c r="BD217" i="2"/>
  <c r="R218" i="2"/>
  <c r="AT218" i="2"/>
  <c r="V222" i="2"/>
  <c r="AX222" i="2"/>
  <c r="V226" i="2"/>
  <c r="BD229" i="2"/>
  <c r="T230" i="2"/>
  <c r="AH231" i="2"/>
  <c r="AM241" i="2"/>
  <c r="AF245" i="2"/>
  <c r="AH246" i="2"/>
  <c r="AH247" i="2"/>
  <c r="AA251" i="2"/>
  <c r="AP252" i="2"/>
  <c r="AI257" i="2"/>
  <c r="AS261" i="2"/>
  <c r="AJ265" i="2"/>
  <c r="L265" i="2"/>
  <c r="AI265" i="2"/>
  <c r="K265" i="2"/>
  <c r="AH265" i="2"/>
  <c r="J265" i="2"/>
  <c r="AG265" i="2"/>
  <c r="I265" i="2"/>
  <c r="AF265" i="2"/>
  <c r="H265" i="2"/>
  <c r="AX265" i="2"/>
  <c r="Z265" i="2"/>
  <c r="AV265" i="2"/>
  <c r="X265" i="2"/>
  <c r="AU265" i="2"/>
  <c r="W265" i="2"/>
  <c r="AT265" i="2"/>
  <c r="V265" i="2"/>
  <c r="R265" i="2"/>
  <c r="Q265" i="2"/>
  <c r="P265" i="2"/>
  <c r="O265" i="2"/>
  <c r="AQ265" i="2"/>
  <c r="AP265" i="2"/>
  <c r="AO265" i="2"/>
  <c r="AN265" i="2"/>
  <c r="AM265" i="2"/>
  <c r="AL265" i="2"/>
  <c r="AK265" i="2"/>
  <c r="AE265" i="2"/>
  <c r="AD265" i="2"/>
  <c r="U265" i="2"/>
  <c r="AS287" i="2"/>
  <c r="AD292" i="2"/>
  <c r="AB292" i="2"/>
  <c r="AA292" i="2"/>
  <c r="AX292" i="2"/>
  <c r="AY292" i="2" s="1"/>
  <c r="Z292" i="2"/>
  <c r="AR292" i="2"/>
  <c r="T292" i="2"/>
  <c r="AQ292" i="2"/>
  <c r="S292" i="2"/>
  <c r="AP292" i="2"/>
  <c r="R292" i="2"/>
  <c r="AO292" i="2"/>
  <c r="Q292" i="2"/>
  <c r="AN292" i="2"/>
  <c r="P292" i="2"/>
  <c r="AM292" i="2"/>
  <c r="O292" i="2"/>
  <c r="AL292" i="2"/>
  <c r="N292" i="2"/>
  <c r="AK292" i="2"/>
  <c r="M292" i="2"/>
  <c r="AJ292" i="2"/>
  <c r="L292" i="2"/>
  <c r="AW292" i="2"/>
  <c r="AV292" i="2"/>
  <c r="AU292" i="2"/>
  <c r="AG292" i="2"/>
  <c r="AF292" i="2"/>
  <c r="AE292" i="2"/>
  <c r="Y292" i="2"/>
  <c r="X292" i="2"/>
  <c r="W292" i="2"/>
  <c r="V292" i="2"/>
  <c r="U292" i="2"/>
  <c r="K292" i="2"/>
  <c r="J292" i="2"/>
  <c r="H315" i="2"/>
  <c r="I151" i="2"/>
  <c r="I163" i="2"/>
  <c r="I175" i="2"/>
  <c r="K186" i="2"/>
  <c r="AJ186" i="2"/>
  <c r="K187" i="2"/>
  <c r="AJ187" i="2"/>
  <c r="K188" i="2"/>
  <c r="AJ188" i="2"/>
  <c r="K189" i="2"/>
  <c r="AK189" i="2"/>
  <c r="L190" i="2"/>
  <c r="BD190" i="2" s="1"/>
  <c r="AK190" i="2"/>
  <c r="L191" i="2"/>
  <c r="BD191" i="2" s="1"/>
  <c r="AK191" i="2"/>
  <c r="BB191" i="2" s="1"/>
  <c r="BC191" i="2" s="1"/>
  <c r="AI202" i="2"/>
  <c r="AY202" i="2" s="1"/>
  <c r="K202" i="2"/>
  <c r="AH202" i="2"/>
  <c r="BB202" i="2" s="1"/>
  <c r="BC202" i="2" s="1"/>
  <c r="J202" i="2"/>
  <c r="AG202" i="2"/>
  <c r="K203" i="2"/>
  <c r="AK203" i="2"/>
  <c r="BB203" i="2" s="1"/>
  <c r="BC203" i="2" s="1"/>
  <c r="U207" i="2"/>
  <c r="I210" i="2"/>
  <c r="AJ210" i="2"/>
  <c r="X213" i="2"/>
  <c r="S218" i="2"/>
  <c r="AU218" i="2"/>
  <c r="AW220" i="2"/>
  <c r="Y220" i="2"/>
  <c r="AV220" i="2"/>
  <c r="X220" i="2"/>
  <c r="AU220" i="2"/>
  <c r="W220" i="2"/>
  <c r="AC220" i="2" s="1"/>
  <c r="AT220" i="2"/>
  <c r="V220" i="2"/>
  <c r="AI220" i="2"/>
  <c r="AY220" i="2" s="1"/>
  <c r="W222" i="2"/>
  <c r="AC222" i="2" s="1"/>
  <c r="AO224" i="2"/>
  <c r="Q224" i="2"/>
  <c r="AN224" i="2"/>
  <c r="P224" i="2"/>
  <c r="AM224" i="2"/>
  <c r="O224" i="2"/>
  <c r="AL224" i="2"/>
  <c r="N224" i="2"/>
  <c r="AI224" i="2"/>
  <c r="AY224" i="2" s="1"/>
  <c r="AZ224" i="2" s="1"/>
  <c r="W226" i="2"/>
  <c r="U230" i="2"/>
  <c r="AI231" i="2"/>
  <c r="AN241" i="2"/>
  <c r="AG245" i="2"/>
  <c r="AI246" i="2"/>
  <c r="AY246" i="2" s="1"/>
  <c r="AI247" i="2"/>
  <c r="AO251" i="2"/>
  <c r="AQ252" i="2"/>
  <c r="AJ257" i="2"/>
  <c r="AT261" i="2"/>
  <c r="M265" i="2"/>
  <c r="AC265" i="2" s="1"/>
  <c r="H292" i="2"/>
  <c r="N315" i="2"/>
  <c r="AM264" i="2"/>
  <c r="AL276" i="2"/>
  <c r="N276" i="2"/>
  <c r="AK276" i="2"/>
  <c r="M276" i="2"/>
  <c r="AJ276" i="2"/>
  <c r="L276" i="2"/>
  <c r="AI276" i="2"/>
  <c r="K276" i="2"/>
  <c r="AH276" i="2"/>
  <c r="J276" i="2"/>
  <c r="AB276" i="2"/>
  <c r="AA276" i="2"/>
  <c r="AX276" i="2"/>
  <c r="Z276" i="2"/>
  <c r="AW276" i="2"/>
  <c r="Y276" i="2"/>
  <c r="AV276" i="2"/>
  <c r="X276" i="2"/>
  <c r="AU276" i="2"/>
  <c r="W276" i="2"/>
  <c r="P276" i="2"/>
  <c r="AJ277" i="2"/>
  <c r="L277" i="2"/>
  <c r="AI277" i="2"/>
  <c r="K277" i="2"/>
  <c r="AH277" i="2"/>
  <c r="J277" i="2"/>
  <c r="AG277" i="2"/>
  <c r="I277" i="2"/>
  <c r="AF277" i="2"/>
  <c r="H277" i="2"/>
  <c r="AX277" i="2"/>
  <c r="Z277" i="2"/>
  <c r="AW277" i="2"/>
  <c r="Y277" i="2"/>
  <c r="AV277" i="2"/>
  <c r="X277" i="2"/>
  <c r="AU277" i="2"/>
  <c r="W277" i="2"/>
  <c r="AC277" i="2" s="1"/>
  <c r="AT277" i="2"/>
  <c r="V277" i="2"/>
  <c r="AS277" i="2"/>
  <c r="U277" i="2"/>
  <c r="AT439" i="2"/>
  <c r="V439" i="2"/>
  <c r="AP439" i="2"/>
  <c r="R439" i="2"/>
  <c r="AK439" i="2"/>
  <c r="M439" i="2"/>
  <c r="AN439" i="2"/>
  <c r="L439" i="2"/>
  <c r="AM439" i="2"/>
  <c r="K439" i="2"/>
  <c r="AE439" i="2"/>
  <c r="AB439" i="2"/>
  <c r="AA439" i="2"/>
  <c r="AS439" i="2"/>
  <c r="Q439" i="2"/>
  <c r="AO439" i="2"/>
  <c r="AL439" i="2"/>
  <c r="AH439" i="2"/>
  <c r="Y439" i="2"/>
  <c r="X439" i="2"/>
  <c r="W439" i="2"/>
  <c r="T439" i="2"/>
  <c r="S439" i="2"/>
  <c r="O439" i="2"/>
  <c r="AX439" i="2"/>
  <c r="N439" i="2"/>
  <c r="AU439" i="2"/>
  <c r="H439" i="2"/>
  <c r="AQ439" i="2"/>
  <c r="AD439" i="2"/>
  <c r="Z439" i="2"/>
  <c r="U439" i="2"/>
  <c r="J439" i="2"/>
  <c r="I439" i="2"/>
  <c r="AV439" i="2"/>
  <c r="AR439" i="2"/>
  <c r="AJ439" i="2"/>
  <c r="AI439" i="2"/>
  <c r="AG439" i="2"/>
  <c r="AW439" i="2"/>
  <c r="AF439" i="2"/>
  <c r="AL264" i="2"/>
  <c r="N264" i="2"/>
  <c r="AK264" i="2"/>
  <c r="M264" i="2"/>
  <c r="AJ264" i="2"/>
  <c r="L264" i="2"/>
  <c r="AI264" i="2"/>
  <c r="K264" i="2"/>
  <c r="AH264" i="2"/>
  <c r="J264" i="2"/>
  <c r="AB264" i="2"/>
  <c r="AX264" i="2"/>
  <c r="Z264" i="2"/>
  <c r="AV264" i="2"/>
  <c r="X264" i="2"/>
  <c r="AR264" i="2"/>
  <c r="AY285" i="2"/>
  <c r="H264" i="2"/>
  <c r="AS264" i="2"/>
  <c r="R276" i="2"/>
  <c r="AO301" i="2"/>
  <c r="Q301" i="2"/>
  <c r="AN301" i="2"/>
  <c r="P301" i="2"/>
  <c r="AM301" i="2"/>
  <c r="O301" i="2"/>
  <c r="AF301" i="2"/>
  <c r="AE301" i="2"/>
  <c r="AD301" i="2"/>
  <c r="AB301" i="2"/>
  <c r="AW301" i="2"/>
  <c r="V301" i="2"/>
  <c r="AV301" i="2"/>
  <c r="U301" i="2"/>
  <c r="AU301" i="2"/>
  <c r="T301" i="2"/>
  <c r="AT301" i="2"/>
  <c r="S301" i="2"/>
  <c r="AS301" i="2"/>
  <c r="R301" i="2"/>
  <c r="AR301" i="2"/>
  <c r="N301" i="2"/>
  <c r="AQ301" i="2"/>
  <c r="M301" i="2"/>
  <c r="AP301" i="2"/>
  <c r="L301" i="2"/>
  <c r="AL301" i="2"/>
  <c r="K301" i="2"/>
  <c r="AI301" i="2"/>
  <c r="H301" i="2"/>
  <c r="BD340" i="2"/>
  <c r="I264" i="2"/>
  <c r="AT264" i="2"/>
  <c r="S276" i="2"/>
  <c r="O277" i="2"/>
  <c r="I301" i="2"/>
  <c r="O264" i="2"/>
  <c r="AU264" i="2"/>
  <c r="T276" i="2"/>
  <c r="P277" i="2"/>
  <c r="AV280" i="2"/>
  <c r="J301" i="2"/>
  <c r="AE235" i="2"/>
  <c r="AA237" i="2"/>
  <c r="AG244" i="2"/>
  <c r="AH256" i="2"/>
  <c r="AH258" i="2"/>
  <c r="AL260" i="2"/>
  <c r="AP262" i="2"/>
  <c r="R262" i="2"/>
  <c r="AO262" i="2"/>
  <c r="Q262" i="2"/>
  <c r="AN262" i="2"/>
  <c r="P262" i="2"/>
  <c r="AM262" i="2"/>
  <c r="O262" i="2"/>
  <c r="AL262" i="2"/>
  <c r="N262" i="2"/>
  <c r="AF262" i="2"/>
  <c r="H262" i="2"/>
  <c r="AD262" i="2"/>
  <c r="AB262" i="2"/>
  <c r="AS262" i="2"/>
  <c r="AY262" i="2" s="1"/>
  <c r="P264" i="2"/>
  <c r="AW264" i="2"/>
  <c r="BB267" i="2"/>
  <c r="BC267" i="2" s="1"/>
  <c r="AR269" i="2"/>
  <c r="U276" i="2"/>
  <c r="Q277" i="2"/>
  <c r="W301" i="2"/>
  <c r="AF235" i="2"/>
  <c r="AB237" i="2"/>
  <c r="AH244" i="2"/>
  <c r="AI256" i="2"/>
  <c r="AI258" i="2"/>
  <c r="AM260" i="2"/>
  <c r="I262" i="2"/>
  <c r="AT262" i="2"/>
  <c r="Q264" i="2"/>
  <c r="V276" i="2"/>
  <c r="R277" i="2"/>
  <c r="BD278" i="2"/>
  <c r="AY286" i="2"/>
  <c r="X301" i="2"/>
  <c r="I235" i="2"/>
  <c r="AG235" i="2"/>
  <c r="AE236" i="2"/>
  <c r="BD242" i="2"/>
  <c r="AR249" i="2"/>
  <c r="T249" i="2"/>
  <c r="AQ249" i="2"/>
  <c r="S249" i="2"/>
  <c r="AP249" i="2"/>
  <c r="R249" i="2"/>
  <c r="AO249" i="2"/>
  <c r="Q249" i="2"/>
  <c r="AN249" i="2"/>
  <c r="P249" i="2"/>
  <c r="AH249" i="2"/>
  <c r="J249" i="2"/>
  <c r="AL249" i="2"/>
  <c r="BD254" i="2"/>
  <c r="J262" i="2"/>
  <c r="AU262" i="2"/>
  <c r="R264" i="2"/>
  <c r="AB269" i="2"/>
  <c r="AC269" i="2" s="1"/>
  <c r="AA269" i="2"/>
  <c r="AX269" i="2"/>
  <c r="AY269" i="2" s="1"/>
  <c r="Z269" i="2"/>
  <c r="AW269" i="2"/>
  <c r="Y269" i="2"/>
  <c r="AV269" i="2"/>
  <c r="X269" i="2"/>
  <c r="AP269" i="2"/>
  <c r="R269" i="2"/>
  <c r="AO269" i="2"/>
  <c r="Q269" i="2"/>
  <c r="AN269" i="2"/>
  <c r="P269" i="2"/>
  <c r="AM269" i="2"/>
  <c r="O269" i="2"/>
  <c r="AL269" i="2"/>
  <c r="N269" i="2"/>
  <c r="AT269" i="2"/>
  <c r="S277" i="2"/>
  <c r="Y301" i="2"/>
  <c r="AR343" i="2"/>
  <c r="T343" i="2"/>
  <c r="AQ343" i="2"/>
  <c r="S343" i="2"/>
  <c r="AP343" i="2"/>
  <c r="R343" i="2"/>
  <c r="AD343" i="2"/>
  <c r="AE343" i="2"/>
  <c r="AB343" i="2"/>
  <c r="AA343" i="2"/>
  <c r="AV343" i="2"/>
  <c r="Q343" i="2"/>
  <c r="AX343" i="2"/>
  <c r="M343" i="2"/>
  <c r="AW343" i="2"/>
  <c r="L343" i="2"/>
  <c r="AU343" i="2"/>
  <c r="K343" i="2"/>
  <c r="AT343" i="2"/>
  <c r="J343" i="2"/>
  <c r="AS343" i="2"/>
  <c r="I343" i="2"/>
  <c r="AJ343" i="2"/>
  <c r="AI343" i="2"/>
  <c r="AH343" i="2"/>
  <c r="AG343" i="2"/>
  <c r="AF343" i="2"/>
  <c r="Z343" i="2"/>
  <c r="Y343" i="2"/>
  <c r="X343" i="2"/>
  <c r="W343" i="2"/>
  <c r="P343" i="2"/>
  <c r="AM343" i="2"/>
  <c r="AL343" i="2"/>
  <c r="AK343" i="2"/>
  <c r="V343" i="2"/>
  <c r="U343" i="2"/>
  <c r="O343" i="2"/>
  <c r="N343" i="2"/>
  <c r="S264" i="2"/>
  <c r="AD276" i="2"/>
  <c r="T277" i="2"/>
  <c r="AD280" i="2"/>
  <c r="AB280" i="2"/>
  <c r="AA280" i="2"/>
  <c r="AX280" i="2"/>
  <c r="AY280" i="2" s="1"/>
  <c r="Z280" i="2"/>
  <c r="AR280" i="2"/>
  <c r="T280" i="2"/>
  <c r="AQ280" i="2"/>
  <c r="S280" i="2"/>
  <c r="AP280" i="2"/>
  <c r="R280" i="2"/>
  <c r="AO280" i="2"/>
  <c r="Q280" i="2"/>
  <c r="AN280" i="2"/>
  <c r="P280" i="2"/>
  <c r="AM280" i="2"/>
  <c r="O280" i="2"/>
  <c r="AL280" i="2"/>
  <c r="N280" i="2"/>
  <c r="AK280" i="2"/>
  <c r="M280" i="2"/>
  <c r="AB281" i="2"/>
  <c r="AA281" i="2"/>
  <c r="AX281" i="2"/>
  <c r="Z281" i="2"/>
  <c r="AW281" i="2"/>
  <c r="Y281" i="2"/>
  <c r="AV281" i="2"/>
  <c r="X281" i="2"/>
  <c r="AP281" i="2"/>
  <c r="R281" i="2"/>
  <c r="AO281" i="2"/>
  <c r="Q281" i="2"/>
  <c r="AN281" i="2"/>
  <c r="P281" i="2"/>
  <c r="AM281" i="2"/>
  <c r="O281" i="2"/>
  <c r="AL281" i="2"/>
  <c r="N281" i="2"/>
  <c r="AK281" i="2"/>
  <c r="M281" i="2"/>
  <c r="AJ281" i="2"/>
  <c r="L281" i="2"/>
  <c r="AI281" i="2"/>
  <c r="AY281" i="2" s="1"/>
  <c r="K281" i="2"/>
  <c r="AX282" i="2"/>
  <c r="Z282" i="2"/>
  <c r="AW282" i="2"/>
  <c r="Y282" i="2"/>
  <c r="AV282" i="2"/>
  <c r="X282" i="2"/>
  <c r="AU282" i="2"/>
  <c r="W282" i="2"/>
  <c r="AT282" i="2"/>
  <c r="V282" i="2"/>
  <c r="AN282" i="2"/>
  <c r="P282" i="2"/>
  <c r="AM282" i="2"/>
  <c r="O282" i="2"/>
  <c r="AL282" i="2"/>
  <c r="N282" i="2"/>
  <c r="AK282" i="2"/>
  <c r="M282" i="2"/>
  <c r="AJ282" i="2"/>
  <c r="L282" i="2"/>
  <c r="AI282" i="2"/>
  <c r="K282" i="2"/>
  <c r="AH282" i="2"/>
  <c r="J282" i="2"/>
  <c r="AG282" i="2"/>
  <c r="I282" i="2"/>
  <c r="Z301" i="2"/>
  <c r="AE237" i="2"/>
  <c r="AD244" i="2"/>
  <c r="AB244" i="2"/>
  <c r="AA244" i="2"/>
  <c r="AX244" i="2"/>
  <c r="Z244" i="2"/>
  <c r="AR244" i="2"/>
  <c r="T244" i="2"/>
  <c r="AK244" i="2"/>
  <c r="AD256" i="2"/>
  <c r="AB256" i="2"/>
  <c r="AA256" i="2"/>
  <c r="AX256" i="2"/>
  <c r="Z256" i="2"/>
  <c r="AR256" i="2"/>
  <c r="T256" i="2"/>
  <c r="AP256" i="2"/>
  <c r="R256" i="2"/>
  <c r="AL256" i="2"/>
  <c r="AX258" i="2"/>
  <c r="Z258" i="2"/>
  <c r="AW258" i="2"/>
  <c r="Y258" i="2"/>
  <c r="AV258" i="2"/>
  <c r="X258" i="2"/>
  <c r="AU258" i="2"/>
  <c r="W258" i="2"/>
  <c r="AT258" i="2"/>
  <c r="V258" i="2"/>
  <c r="AN258" i="2"/>
  <c r="P258" i="2"/>
  <c r="AL258" i="2"/>
  <c r="N258" i="2"/>
  <c r="AM258" i="2"/>
  <c r="AT260" i="2"/>
  <c r="V260" i="2"/>
  <c r="AS260" i="2"/>
  <c r="AY260" i="2" s="1"/>
  <c r="U260" i="2"/>
  <c r="AR260" i="2"/>
  <c r="T260" i="2"/>
  <c r="AQ260" i="2"/>
  <c r="S260" i="2"/>
  <c r="AP260" i="2"/>
  <c r="R260" i="2"/>
  <c r="AJ260" i="2"/>
  <c r="L260" i="2"/>
  <c r="AH260" i="2"/>
  <c r="J260" i="2"/>
  <c r="AF260" i="2"/>
  <c r="H260" i="2"/>
  <c r="AU260" i="2"/>
  <c r="T264" i="2"/>
  <c r="I269" i="2"/>
  <c r="AC273" i="2"/>
  <c r="AZ273" i="2" s="1"/>
  <c r="AE276" i="2"/>
  <c r="AA277" i="2"/>
  <c r="H280" i="2"/>
  <c r="H281" i="2"/>
  <c r="H282" i="2"/>
  <c r="AC284" i="2"/>
  <c r="AA301" i="2"/>
  <c r="AN343" i="2"/>
  <c r="AD192" i="2"/>
  <c r="AD204" i="2"/>
  <c r="AD216" i="2"/>
  <c r="AB217" i="2"/>
  <c r="AC217" i="2" s="1"/>
  <c r="AZ217" i="2" s="1"/>
  <c r="AD228" i="2"/>
  <c r="AB229" i="2"/>
  <c r="AC229" i="2" s="1"/>
  <c r="AZ229" i="2" s="1"/>
  <c r="P235" i="2"/>
  <c r="AN235" i="2"/>
  <c r="N236" i="2"/>
  <c r="AL236" i="2"/>
  <c r="L237" i="2"/>
  <c r="AJ237" i="2"/>
  <c r="AL240" i="2"/>
  <c r="AJ240" i="2"/>
  <c r="AB240" i="2"/>
  <c r="AC240" i="2" s="1"/>
  <c r="AZ240" i="2" s="1"/>
  <c r="AF240" i="2"/>
  <c r="L244" i="2"/>
  <c r="AP244" i="2"/>
  <c r="AH248" i="2"/>
  <c r="O249" i="2"/>
  <c r="AX249" i="2"/>
  <c r="AY249" i="2" s="1"/>
  <c r="L256" i="2"/>
  <c r="AS256" i="2"/>
  <c r="L258" i="2"/>
  <c r="AS258" i="2"/>
  <c r="O260" i="2"/>
  <c r="V262" i="2"/>
  <c r="AA264" i="2"/>
  <c r="S269" i="2"/>
  <c r="AS275" i="2"/>
  <c r="AO276" i="2"/>
  <c r="AK277" i="2"/>
  <c r="BB279" i="2"/>
  <c r="BC279" i="2" s="1"/>
  <c r="U280" i="2"/>
  <c r="U281" i="2"/>
  <c r="U282" i="2"/>
  <c r="AJ289" i="2"/>
  <c r="L289" i="2"/>
  <c r="AI289" i="2"/>
  <c r="K289" i="2"/>
  <c r="AH289" i="2"/>
  <c r="J289" i="2"/>
  <c r="AG289" i="2"/>
  <c r="I289" i="2"/>
  <c r="AF289" i="2"/>
  <c r="H289" i="2"/>
  <c r="AX289" i="2"/>
  <c r="Z289" i="2"/>
  <c r="AW289" i="2"/>
  <c r="Y289" i="2"/>
  <c r="AV289" i="2"/>
  <c r="X289" i="2"/>
  <c r="AU289" i="2"/>
  <c r="W289" i="2"/>
  <c r="AC289" i="2" s="1"/>
  <c r="AT289" i="2"/>
  <c r="V289" i="2"/>
  <c r="AS289" i="2"/>
  <c r="U289" i="2"/>
  <c r="AR289" i="2"/>
  <c r="T289" i="2"/>
  <c r="AQ289" i="2"/>
  <c r="S289" i="2"/>
  <c r="AP289" i="2"/>
  <c r="R289" i="2"/>
  <c r="AX301" i="2"/>
  <c r="Q235" i="2"/>
  <c r="AO235" i="2"/>
  <c r="O236" i="2"/>
  <c r="AM236" i="2"/>
  <c r="M237" i="2"/>
  <c r="AK237" i="2"/>
  <c r="BB243" i="2"/>
  <c r="BC243" i="2" s="1"/>
  <c r="M244" i="2"/>
  <c r="AQ244" i="2"/>
  <c r="AI248" i="2"/>
  <c r="U249" i="2"/>
  <c r="AJ253" i="2"/>
  <c r="L253" i="2"/>
  <c r="BD253" i="2" s="1"/>
  <c r="AI253" i="2"/>
  <c r="K253" i="2"/>
  <c r="AH253" i="2"/>
  <c r="J253" i="2"/>
  <c r="AG253" i="2"/>
  <c r="I253" i="2"/>
  <c r="AF253" i="2"/>
  <c r="H253" i="2"/>
  <c r="AX253" i="2"/>
  <c r="Z253" i="2"/>
  <c r="AP253" i="2"/>
  <c r="BB255" i="2"/>
  <c r="BC255" i="2" s="1"/>
  <c r="M256" i="2"/>
  <c r="AT256" i="2"/>
  <c r="M258" i="2"/>
  <c r="P260" i="2"/>
  <c r="W262" i="2"/>
  <c r="AN263" i="2"/>
  <c r="P263" i="2"/>
  <c r="AM263" i="2"/>
  <c r="O263" i="2"/>
  <c r="AL263" i="2"/>
  <c r="N263" i="2"/>
  <c r="AK263" i="2"/>
  <c r="M263" i="2"/>
  <c r="AJ263" i="2"/>
  <c r="L263" i="2"/>
  <c r="AD263" i="2"/>
  <c r="AB263" i="2"/>
  <c r="AX263" i="2"/>
  <c r="AY263" i="2" s="1"/>
  <c r="Z263" i="2"/>
  <c r="AR263" i="2"/>
  <c r="T269" i="2"/>
  <c r="AP276" i="2"/>
  <c r="AL277" i="2"/>
  <c r="V280" i="2"/>
  <c r="V281" i="2"/>
  <c r="AA282" i="2"/>
  <c r="BD290" i="2"/>
  <c r="AC296" i="2"/>
  <c r="AD217" i="2"/>
  <c r="AD229" i="2"/>
  <c r="R235" i="2"/>
  <c r="AP235" i="2"/>
  <c r="P236" i="2"/>
  <c r="AN236" i="2"/>
  <c r="N237" i="2"/>
  <c r="AL237" i="2"/>
  <c r="N244" i="2"/>
  <c r="AS244" i="2"/>
  <c r="V249" i="2"/>
  <c r="N256" i="2"/>
  <c r="AU256" i="2"/>
  <c r="O258" i="2"/>
  <c r="Q260" i="2"/>
  <c r="X262" i="2"/>
  <c r="AD264" i="2"/>
  <c r="U269" i="2"/>
  <c r="AN275" i="2"/>
  <c r="P275" i="2"/>
  <c r="AM275" i="2"/>
  <c r="O275" i="2"/>
  <c r="AL275" i="2"/>
  <c r="N275" i="2"/>
  <c r="AK275" i="2"/>
  <c r="M275" i="2"/>
  <c r="AJ275" i="2"/>
  <c r="L275" i="2"/>
  <c r="AD275" i="2"/>
  <c r="AB275" i="2"/>
  <c r="AA275" i="2"/>
  <c r="AX275" i="2"/>
  <c r="Z275" i="2"/>
  <c r="AW275" i="2"/>
  <c r="Y275" i="2"/>
  <c r="AU275" i="2"/>
  <c r="AQ276" i="2"/>
  <c r="AM277" i="2"/>
  <c r="W280" i="2"/>
  <c r="W281" i="2"/>
  <c r="AB282" i="2"/>
  <c r="AL288" i="2"/>
  <c r="N288" i="2"/>
  <c r="AK288" i="2"/>
  <c r="M288" i="2"/>
  <c r="AJ288" i="2"/>
  <c r="L288" i="2"/>
  <c r="AI288" i="2"/>
  <c r="K288" i="2"/>
  <c r="AH288" i="2"/>
  <c r="J288" i="2"/>
  <c r="AB288" i="2"/>
  <c r="AA288" i="2"/>
  <c r="AX288" i="2"/>
  <c r="Z288" i="2"/>
  <c r="AW288" i="2"/>
  <c r="Y288" i="2"/>
  <c r="AV288" i="2"/>
  <c r="X288" i="2"/>
  <c r="AU288" i="2"/>
  <c r="W288" i="2"/>
  <c r="AT288" i="2"/>
  <c r="V288" i="2"/>
  <c r="AS288" i="2"/>
  <c r="U288" i="2"/>
  <c r="AR288" i="2"/>
  <c r="T288" i="2"/>
  <c r="S235" i="2"/>
  <c r="Q236" i="2"/>
  <c r="O237" i="2"/>
  <c r="O244" i="2"/>
  <c r="AT244" i="2"/>
  <c r="AT248" i="2"/>
  <c r="V248" i="2"/>
  <c r="AS248" i="2"/>
  <c r="U248" i="2"/>
  <c r="AR248" i="2"/>
  <c r="T248" i="2"/>
  <c r="AQ248" i="2"/>
  <c r="S248" i="2"/>
  <c r="AP248" i="2"/>
  <c r="R248" i="2"/>
  <c r="AJ248" i="2"/>
  <c r="L248" i="2"/>
  <c r="AL248" i="2"/>
  <c r="W249" i="2"/>
  <c r="AC249" i="2" s="1"/>
  <c r="O256" i="2"/>
  <c r="AV256" i="2"/>
  <c r="Q258" i="2"/>
  <c r="W260" i="2"/>
  <c r="AC260" i="2" s="1"/>
  <c r="Y262" i="2"/>
  <c r="AE264" i="2"/>
  <c r="V269" i="2"/>
  <c r="AR276" i="2"/>
  <c r="AN277" i="2"/>
  <c r="X280" i="2"/>
  <c r="AX294" i="2"/>
  <c r="Z294" i="2"/>
  <c r="AW294" i="2"/>
  <c r="Y294" i="2"/>
  <c r="AV294" i="2"/>
  <c r="X294" i="2"/>
  <c r="AU294" i="2"/>
  <c r="W294" i="2"/>
  <c r="AT294" i="2"/>
  <c r="V294" i="2"/>
  <c r="AN294" i="2"/>
  <c r="P294" i="2"/>
  <c r="AM294" i="2"/>
  <c r="O294" i="2"/>
  <c r="AL294" i="2"/>
  <c r="N294" i="2"/>
  <c r="AK294" i="2"/>
  <c r="M294" i="2"/>
  <c r="AJ294" i="2"/>
  <c r="L294" i="2"/>
  <c r="AI294" i="2"/>
  <c r="K294" i="2"/>
  <c r="AH294" i="2"/>
  <c r="J294" i="2"/>
  <c r="AG294" i="2"/>
  <c r="I294" i="2"/>
  <c r="AF294" i="2"/>
  <c r="H294" i="2"/>
  <c r="AL334" i="2"/>
  <c r="N334" i="2"/>
  <c r="AK334" i="2"/>
  <c r="M334" i="2"/>
  <c r="AJ334" i="2"/>
  <c r="L334" i="2"/>
  <c r="AO334" i="2"/>
  <c r="K334" i="2"/>
  <c r="AN334" i="2"/>
  <c r="J334" i="2"/>
  <c r="AB334" i="2"/>
  <c r="AW334" i="2"/>
  <c r="S334" i="2"/>
  <c r="AV334" i="2"/>
  <c r="R334" i="2"/>
  <c r="AU334" i="2"/>
  <c r="Q334" i="2"/>
  <c r="AT334" i="2"/>
  <c r="P334" i="2"/>
  <c r="AS334" i="2"/>
  <c r="O334" i="2"/>
  <c r="AH334" i="2"/>
  <c r="AG334" i="2"/>
  <c r="AF334" i="2"/>
  <c r="AE334" i="2"/>
  <c r="AD334" i="2"/>
  <c r="AA334" i="2"/>
  <c r="Z334" i="2"/>
  <c r="Y334" i="2"/>
  <c r="V334" i="2"/>
  <c r="AX334" i="2"/>
  <c r="AR334" i="2"/>
  <c r="AQ334" i="2"/>
  <c r="AP334" i="2"/>
  <c r="AM334" i="2"/>
  <c r="AI334" i="2"/>
  <c r="X334" i="2"/>
  <c r="W334" i="2"/>
  <c r="U334" i="2"/>
  <c r="H334" i="2"/>
  <c r="BD306" i="2"/>
  <c r="AV353" i="2"/>
  <c r="X353" i="2"/>
  <c r="AU353" i="2"/>
  <c r="W353" i="2"/>
  <c r="AT353" i="2"/>
  <c r="V353" i="2"/>
  <c r="AK353" i="2"/>
  <c r="M353" i="2"/>
  <c r="AJ353" i="2"/>
  <c r="L353" i="2"/>
  <c r="AH353" i="2"/>
  <c r="J353" i="2"/>
  <c r="AG353" i="2"/>
  <c r="AF353" i="2"/>
  <c r="AE353" i="2"/>
  <c r="AD353" i="2"/>
  <c r="U353" i="2"/>
  <c r="T353" i="2"/>
  <c r="R353" i="2"/>
  <c r="AX353" i="2"/>
  <c r="Q353" i="2"/>
  <c r="Z353" i="2"/>
  <c r="Y353" i="2"/>
  <c r="S353" i="2"/>
  <c r="P353" i="2"/>
  <c r="O353" i="2"/>
  <c r="N353" i="2"/>
  <c r="AW353" i="2"/>
  <c r="AS353" i="2"/>
  <c r="AR353" i="2"/>
  <c r="AQ353" i="2"/>
  <c r="AP353" i="2"/>
  <c r="AO353" i="2"/>
  <c r="AN353" i="2"/>
  <c r="AM353" i="2"/>
  <c r="K353" i="2"/>
  <c r="AE283" i="2"/>
  <c r="AE295" i="2"/>
  <c r="AS299" i="2"/>
  <c r="U299" i="2"/>
  <c r="AQ299" i="2"/>
  <c r="S299" i="2"/>
  <c r="AG299" i="2"/>
  <c r="AV341" i="2"/>
  <c r="X341" i="2"/>
  <c r="AU341" i="2"/>
  <c r="W341" i="2"/>
  <c r="AT341" i="2"/>
  <c r="V341" i="2"/>
  <c r="AH341" i="2"/>
  <c r="J341" i="2"/>
  <c r="AR341" i="2"/>
  <c r="P341" i="2"/>
  <c r="AQ341" i="2"/>
  <c r="O341" i="2"/>
  <c r="AP341" i="2"/>
  <c r="N341" i="2"/>
  <c r="AO341" i="2"/>
  <c r="M341" i="2"/>
  <c r="AG341" i="2"/>
  <c r="AN341" i="2"/>
  <c r="AM341" i="2"/>
  <c r="AL341" i="2"/>
  <c r="AK341" i="2"/>
  <c r="AJ341" i="2"/>
  <c r="AB341" i="2"/>
  <c r="AA341" i="2"/>
  <c r="Z341" i="2"/>
  <c r="Y341" i="2"/>
  <c r="U341" i="2"/>
  <c r="T341" i="2"/>
  <c r="S341" i="2"/>
  <c r="R341" i="2"/>
  <c r="Q341" i="2"/>
  <c r="AX341" i="2"/>
  <c r="AY341" i="2" s="1"/>
  <c r="I341" i="2"/>
  <c r="AA353" i="2"/>
  <c r="H283" i="2"/>
  <c r="AF283" i="2"/>
  <c r="H295" i="2"/>
  <c r="AF295" i="2"/>
  <c r="H299" i="2"/>
  <c r="AH299" i="2"/>
  <c r="AJ304" i="2"/>
  <c r="L304" i="2"/>
  <c r="AI304" i="2"/>
  <c r="K304" i="2"/>
  <c r="AH304" i="2"/>
  <c r="J304" i="2"/>
  <c r="AG304" i="2"/>
  <c r="I304" i="2"/>
  <c r="AA304" i="2"/>
  <c r="AN304" i="2"/>
  <c r="AB353" i="2"/>
  <c r="AE272" i="2"/>
  <c r="I283" i="2"/>
  <c r="AG283" i="2"/>
  <c r="AE284" i="2"/>
  <c r="I295" i="2"/>
  <c r="AG295" i="2"/>
  <c r="AE296" i="2"/>
  <c r="AU298" i="2"/>
  <c r="W298" i="2"/>
  <c r="AC298" i="2" s="1"/>
  <c r="AS298" i="2"/>
  <c r="U298" i="2"/>
  <c r="AG298" i="2"/>
  <c r="I299" i="2"/>
  <c r="AI299" i="2"/>
  <c r="H304" i="2"/>
  <c r="AO304" i="2"/>
  <c r="AB308" i="2"/>
  <c r="AA308" i="2"/>
  <c r="AX308" i="2"/>
  <c r="Z308" i="2"/>
  <c r="AW308" i="2"/>
  <c r="Y308" i="2"/>
  <c r="AQ308" i="2"/>
  <c r="S308" i="2"/>
  <c r="AP308" i="2"/>
  <c r="R308" i="2"/>
  <c r="AL308" i="2"/>
  <c r="AW310" i="2"/>
  <c r="Y310" i="2"/>
  <c r="AV310" i="2"/>
  <c r="X310" i="2"/>
  <c r="AU310" i="2"/>
  <c r="W310" i="2"/>
  <c r="AT310" i="2"/>
  <c r="V310" i="2"/>
  <c r="AS310" i="2"/>
  <c r="U310" i="2"/>
  <c r="AM310" i="2"/>
  <c r="O310" i="2"/>
  <c r="AL310" i="2"/>
  <c r="N310" i="2"/>
  <c r="AN310" i="2"/>
  <c r="AS312" i="2"/>
  <c r="U312" i="2"/>
  <c r="AR312" i="2"/>
  <c r="T312" i="2"/>
  <c r="AQ312" i="2"/>
  <c r="S312" i="2"/>
  <c r="AP312" i="2"/>
  <c r="R312" i="2"/>
  <c r="AO312" i="2"/>
  <c r="Q312" i="2"/>
  <c r="AI312" i="2"/>
  <c r="K312" i="2"/>
  <c r="AH312" i="2"/>
  <c r="J312" i="2"/>
  <c r="AN312" i="2"/>
  <c r="AT330" i="2"/>
  <c r="V330" i="2"/>
  <c r="AS330" i="2"/>
  <c r="U330" i="2"/>
  <c r="AR330" i="2"/>
  <c r="T330" i="2"/>
  <c r="AV330" i="2"/>
  <c r="R330" i="2"/>
  <c r="AJ330" i="2"/>
  <c r="I330" i="2"/>
  <c r="AH330" i="2"/>
  <c r="AG330" i="2"/>
  <c r="AF330" i="2"/>
  <c r="AE330" i="2"/>
  <c r="AD330" i="2"/>
  <c r="X330" i="2"/>
  <c r="W330" i="2"/>
  <c r="S330" i="2"/>
  <c r="AX330" i="2"/>
  <c r="Q330" i="2"/>
  <c r="AW330" i="2"/>
  <c r="P330" i="2"/>
  <c r="AU330" i="2"/>
  <c r="O330" i="2"/>
  <c r="AQ330" i="2"/>
  <c r="N330" i="2"/>
  <c r="AP330" i="2"/>
  <c r="M330" i="2"/>
  <c r="AO330" i="2"/>
  <c r="L330" i="2"/>
  <c r="AL330" i="2"/>
  <c r="H330" i="2"/>
  <c r="AY336" i="2"/>
  <c r="AZ336" i="2" s="1"/>
  <c r="AI353" i="2"/>
  <c r="H272" i="2"/>
  <c r="AF272" i="2"/>
  <c r="AD273" i="2"/>
  <c r="AB274" i="2"/>
  <c r="AC274" i="2" s="1"/>
  <c r="AZ274" i="2" s="1"/>
  <c r="J283" i="2"/>
  <c r="AH283" i="2"/>
  <c r="H284" i="2"/>
  <c r="AF284" i="2"/>
  <c r="AD285" i="2"/>
  <c r="AB286" i="2"/>
  <c r="AC286" i="2" s="1"/>
  <c r="J295" i="2"/>
  <c r="AH295" i="2"/>
  <c r="H296" i="2"/>
  <c r="AF296" i="2"/>
  <c r="H298" i="2"/>
  <c r="AH298" i="2"/>
  <c r="J299" i="2"/>
  <c r="AJ299" i="2"/>
  <c r="M304" i="2"/>
  <c r="AP304" i="2"/>
  <c r="H308" i="2"/>
  <c r="AM308" i="2"/>
  <c r="H310" i="2"/>
  <c r="AO310" i="2"/>
  <c r="H312" i="2"/>
  <c r="AT312" i="2"/>
  <c r="J330" i="2"/>
  <c r="L341" i="2"/>
  <c r="AL353" i="2"/>
  <c r="I272" i="2"/>
  <c r="AG272" i="2"/>
  <c r="AE273" i="2"/>
  <c r="K283" i="2"/>
  <c r="AI283" i="2"/>
  <c r="I284" i="2"/>
  <c r="AG284" i="2"/>
  <c r="AE285" i="2"/>
  <c r="K295" i="2"/>
  <c r="AI295" i="2"/>
  <c r="I296" i="2"/>
  <c r="AG296" i="2"/>
  <c r="AW297" i="2"/>
  <c r="Y297" i="2"/>
  <c r="AU297" i="2"/>
  <c r="W297" i="2"/>
  <c r="AC297" i="2" s="1"/>
  <c r="AG297" i="2"/>
  <c r="I298" i="2"/>
  <c r="AI298" i="2"/>
  <c r="K299" i="2"/>
  <c r="AK299" i="2"/>
  <c r="N304" i="2"/>
  <c r="AQ304" i="2"/>
  <c r="I308" i="2"/>
  <c r="AN308" i="2"/>
  <c r="I310" i="2"/>
  <c r="AP310" i="2"/>
  <c r="I312" i="2"/>
  <c r="AU312" i="2"/>
  <c r="AV317" i="2"/>
  <c r="X317" i="2"/>
  <c r="AU317" i="2"/>
  <c r="W317" i="2"/>
  <c r="AA317" i="2"/>
  <c r="Z317" i="2"/>
  <c r="Y317" i="2"/>
  <c r="AX317" i="2"/>
  <c r="V317" i="2"/>
  <c r="AW317" i="2"/>
  <c r="U317" i="2"/>
  <c r="AO317" i="2"/>
  <c r="O317" i="2"/>
  <c r="AN317" i="2"/>
  <c r="N317" i="2"/>
  <c r="AM317" i="2"/>
  <c r="M317" i="2"/>
  <c r="AK317" i="2"/>
  <c r="K317" i="2"/>
  <c r="AJ317" i="2"/>
  <c r="J317" i="2"/>
  <c r="AI317" i="2"/>
  <c r="I317" i="2"/>
  <c r="AT318" i="2"/>
  <c r="V318" i="2"/>
  <c r="AS318" i="2"/>
  <c r="AY318" i="2" s="1"/>
  <c r="U318" i="2"/>
  <c r="AB318" i="2"/>
  <c r="AA318" i="2"/>
  <c r="Z318" i="2"/>
  <c r="Y318" i="2"/>
  <c r="AQ318" i="2"/>
  <c r="Q318" i="2"/>
  <c r="AP318" i="2"/>
  <c r="P318" i="2"/>
  <c r="AO318" i="2"/>
  <c r="O318" i="2"/>
  <c r="AM318" i="2"/>
  <c r="M318" i="2"/>
  <c r="AL318" i="2"/>
  <c r="L318" i="2"/>
  <c r="AK318" i="2"/>
  <c r="K318" i="2"/>
  <c r="AR319" i="2"/>
  <c r="T319" i="2"/>
  <c r="AQ319" i="2"/>
  <c r="S319" i="2"/>
  <c r="AE319" i="2"/>
  <c r="AD319" i="2"/>
  <c r="AB319" i="2"/>
  <c r="AA319" i="2"/>
  <c r="AU319" i="2"/>
  <c r="U319" i="2"/>
  <c r="AT319" i="2"/>
  <c r="R319" i="2"/>
  <c r="AS319" i="2"/>
  <c r="AY319" i="2" s="1"/>
  <c r="Q319" i="2"/>
  <c r="AO319" i="2"/>
  <c r="O319" i="2"/>
  <c r="AN319" i="2"/>
  <c r="N319" i="2"/>
  <c r="AM319" i="2"/>
  <c r="M319" i="2"/>
  <c r="K330" i="2"/>
  <c r="J272" i="2"/>
  <c r="AH272" i="2"/>
  <c r="H273" i="2"/>
  <c r="AF273" i="2"/>
  <c r="AD274" i="2"/>
  <c r="L283" i="2"/>
  <c r="AJ283" i="2"/>
  <c r="J284" i="2"/>
  <c r="AH284" i="2"/>
  <c r="H285" i="2"/>
  <c r="AF285" i="2"/>
  <c r="AD286" i="2"/>
  <c r="L295" i="2"/>
  <c r="AJ295" i="2"/>
  <c r="J296" i="2"/>
  <c r="AH296" i="2"/>
  <c r="H297" i="2"/>
  <c r="AH297" i="2"/>
  <c r="J298" i="2"/>
  <c r="AJ298" i="2"/>
  <c r="L299" i="2"/>
  <c r="AL299" i="2"/>
  <c r="O304" i="2"/>
  <c r="AR304" i="2"/>
  <c r="J308" i="2"/>
  <c r="AO308" i="2"/>
  <c r="J310" i="2"/>
  <c r="AQ310" i="2"/>
  <c r="L312" i="2"/>
  <c r="AV312" i="2"/>
  <c r="Y330" i="2"/>
  <c r="AD341" i="2"/>
  <c r="K272" i="2"/>
  <c r="AI272" i="2"/>
  <c r="AE274" i="2"/>
  <c r="M283" i="2"/>
  <c r="AK283" i="2"/>
  <c r="K284" i="2"/>
  <c r="AI284" i="2"/>
  <c r="AE286" i="2"/>
  <c r="M295" i="2"/>
  <c r="AK295" i="2"/>
  <c r="K296" i="2"/>
  <c r="AI296" i="2"/>
  <c r="K298" i="2"/>
  <c r="AK298" i="2"/>
  <c r="M299" i="2"/>
  <c r="AM299" i="2"/>
  <c r="P304" i="2"/>
  <c r="AS304" i="2"/>
  <c r="K308" i="2"/>
  <c r="AR308" i="2"/>
  <c r="K310" i="2"/>
  <c r="AR310" i="2"/>
  <c r="M312" i="2"/>
  <c r="AW312" i="2"/>
  <c r="AJ323" i="2"/>
  <c r="L323" i="2"/>
  <c r="AI323" i="2"/>
  <c r="K323" i="2"/>
  <c r="AL323" i="2"/>
  <c r="J323" i="2"/>
  <c r="AQ323" i="2"/>
  <c r="P323" i="2"/>
  <c r="AP323" i="2"/>
  <c r="O323" i="2"/>
  <c r="AO323" i="2"/>
  <c r="N323" i="2"/>
  <c r="AN323" i="2"/>
  <c r="M323" i="2"/>
  <c r="AM323" i="2"/>
  <c r="I323" i="2"/>
  <c r="AD323" i="2"/>
  <c r="AB323" i="2"/>
  <c r="Z323" i="2"/>
  <c r="Y323" i="2"/>
  <c r="X323" i="2"/>
  <c r="AX323" i="2"/>
  <c r="W323" i="2"/>
  <c r="AY329" i="2"/>
  <c r="Z330" i="2"/>
  <c r="AE341" i="2"/>
  <c r="AN345" i="2"/>
  <c r="P345" i="2"/>
  <c r="AM345" i="2"/>
  <c r="O345" i="2"/>
  <c r="AL345" i="2"/>
  <c r="N345" i="2"/>
  <c r="AX345" i="2"/>
  <c r="Z345" i="2"/>
  <c r="AT345" i="2"/>
  <c r="R345" i="2"/>
  <c r="AS345" i="2"/>
  <c r="Q345" i="2"/>
  <c r="AR345" i="2"/>
  <c r="M345" i="2"/>
  <c r="AQ345" i="2"/>
  <c r="L345" i="2"/>
  <c r="AH345" i="2"/>
  <c r="AG345" i="2"/>
  <c r="V345" i="2"/>
  <c r="U345" i="2"/>
  <c r="T345" i="2"/>
  <c r="S345" i="2"/>
  <c r="K345" i="2"/>
  <c r="AP345" i="2"/>
  <c r="AO345" i="2"/>
  <c r="AK345" i="2"/>
  <c r="AJ345" i="2"/>
  <c r="AI345" i="2"/>
  <c r="AF345" i="2"/>
  <c r="AE345" i="2"/>
  <c r="AD345" i="2"/>
  <c r="Y345" i="2"/>
  <c r="AT354" i="2"/>
  <c r="V354" i="2"/>
  <c r="AS354" i="2"/>
  <c r="U354" i="2"/>
  <c r="AR354" i="2"/>
  <c r="T354" i="2"/>
  <c r="AI354" i="2"/>
  <c r="K354" i="2"/>
  <c r="AH354" i="2"/>
  <c r="J354" i="2"/>
  <c r="AF354" i="2"/>
  <c r="H354" i="2"/>
  <c r="AW354" i="2"/>
  <c r="P354" i="2"/>
  <c r="AV354" i="2"/>
  <c r="O354" i="2"/>
  <c r="AU354" i="2"/>
  <c r="N354" i="2"/>
  <c r="AQ354" i="2"/>
  <c r="M354" i="2"/>
  <c r="AK354" i="2"/>
  <c r="AJ354" i="2"/>
  <c r="AG354" i="2"/>
  <c r="AE354" i="2"/>
  <c r="AD354" i="2"/>
  <c r="X354" i="2"/>
  <c r="W354" i="2"/>
  <c r="S354" i="2"/>
  <c r="R354" i="2"/>
  <c r="Q354" i="2"/>
  <c r="L354" i="2"/>
  <c r="AX354" i="2"/>
  <c r="AP354" i="2"/>
  <c r="AO354" i="2"/>
  <c r="AN354" i="2"/>
  <c r="AM354" i="2"/>
  <c r="AL354" i="2"/>
  <c r="AA354" i="2"/>
  <c r="X242" i="2"/>
  <c r="AV242" i="2"/>
  <c r="V243" i="2"/>
  <c r="AT243" i="2"/>
  <c r="X254" i="2"/>
  <c r="AV254" i="2"/>
  <c r="V255" i="2"/>
  <c r="AT255" i="2"/>
  <c r="X266" i="2"/>
  <c r="AV266" i="2"/>
  <c r="V267" i="2"/>
  <c r="AT267" i="2"/>
  <c r="L272" i="2"/>
  <c r="AJ272" i="2"/>
  <c r="J273" i="2"/>
  <c r="AH273" i="2"/>
  <c r="H274" i="2"/>
  <c r="AF274" i="2"/>
  <c r="X278" i="2"/>
  <c r="AV278" i="2"/>
  <c r="V279" i="2"/>
  <c r="AT279" i="2"/>
  <c r="N283" i="2"/>
  <c r="AL283" i="2"/>
  <c r="L284" i="2"/>
  <c r="AJ284" i="2"/>
  <c r="J285" i="2"/>
  <c r="AH285" i="2"/>
  <c r="H286" i="2"/>
  <c r="AF286" i="2"/>
  <c r="N295" i="2"/>
  <c r="AL295" i="2"/>
  <c r="L296" i="2"/>
  <c r="AJ296" i="2"/>
  <c r="J297" i="2"/>
  <c r="AJ297" i="2"/>
  <c r="L298" i="2"/>
  <c r="AL298" i="2"/>
  <c r="N299" i="2"/>
  <c r="AN299" i="2"/>
  <c r="Q304" i="2"/>
  <c r="AT304" i="2"/>
  <c r="L308" i="2"/>
  <c r="AS308" i="2"/>
  <c r="L310" i="2"/>
  <c r="AX310" i="2"/>
  <c r="N312" i="2"/>
  <c r="AX312" i="2"/>
  <c r="P317" i="2"/>
  <c r="J318" i="2"/>
  <c r="J319" i="2"/>
  <c r="H323" i="2"/>
  <c r="AA330" i="2"/>
  <c r="AF341" i="2"/>
  <c r="H345" i="2"/>
  <c r="I354" i="2"/>
  <c r="AD242" i="2"/>
  <c r="AB243" i="2"/>
  <c r="AC243" i="2" s="1"/>
  <c r="AZ243" i="2" s="1"/>
  <c r="AD254" i="2"/>
  <c r="AB255" i="2"/>
  <c r="AC255" i="2" s="1"/>
  <c r="AZ255" i="2" s="1"/>
  <c r="AD266" i="2"/>
  <c r="AB267" i="2"/>
  <c r="AC267" i="2" s="1"/>
  <c r="AZ267" i="2" s="1"/>
  <c r="R272" i="2"/>
  <c r="AP272" i="2"/>
  <c r="P273" i="2"/>
  <c r="AN273" i="2"/>
  <c r="N274" i="2"/>
  <c r="AL274" i="2"/>
  <c r="AD278" i="2"/>
  <c r="AB279" i="2"/>
  <c r="AC279" i="2" s="1"/>
  <c r="AZ279" i="2" s="1"/>
  <c r="T283" i="2"/>
  <c r="AR283" i="2"/>
  <c r="R284" i="2"/>
  <c r="AP284" i="2"/>
  <c r="P285" i="2"/>
  <c r="AN285" i="2"/>
  <c r="N286" i="2"/>
  <c r="AL286" i="2"/>
  <c r="AD290" i="2"/>
  <c r="AB291" i="2"/>
  <c r="AC291" i="2" s="1"/>
  <c r="AZ291" i="2" s="1"/>
  <c r="T295" i="2"/>
  <c r="AR295" i="2"/>
  <c r="R296" i="2"/>
  <c r="AP296" i="2"/>
  <c r="P297" i="2"/>
  <c r="AP297" i="2"/>
  <c r="R298" i="2"/>
  <c r="AR298" i="2"/>
  <c r="V299" i="2"/>
  <c r="AV299" i="2"/>
  <c r="W304" i="2"/>
  <c r="T308" i="2"/>
  <c r="T310" i="2"/>
  <c r="Y312" i="2"/>
  <c r="X318" i="2"/>
  <c r="X319" i="2"/>
  <c r="V323" i="2"/>
  <c r="AX328" i="2"/>
  <c r="AY328" i="2" s="1"/>
  <c r="Z328" i="2"/>
  <c r="AW328" i="2"/>
  <c r="Y328" i="2"/>
  <c r="AV328" i="2"/>
  <c r="X328" i="2"/>
  <c r="AK328" i="2"/>
  <c r="J328" i="2"/>
  <c r="AB328" i="2"/>
  <c r="AR328" i="2"/>
  <c r="O328" i="2"/>
  <c r="AQ328" i="2"/>
  <c r="N328" i="2"/>
  <c r="AP328" i="2"/>
  <c r="M328" i="2"/>
  <c r="AO328" i="2"/>
  <c r="L328" i="2"/>
  <c r="AN328" i="2"/>
  <c r="K328" i="2"/>
  <c r="AG328" i="2"/>
  <c r="AF328" i="2"/>
  <c r="AE328" i="2"/>
  <c r="AD328" i="2"/>
  <c r="AA328" i="2"/>
  <c r="W328" i="2"/>
  <c r="V328" i="2"/>
  <c r="U328" i="2"/>
  <c r="AU328" i="2"/>
  <c r="R328" i="2"/>
  <c r="AN330" i="2"/>
  <c r="AB345" i="2"/>
  <c r="AE242" i="2"/>
  <c r="AE254" i="2"/>
  <c r="AE266" i="2"/>
  <c r="S272" i="2"/>
  <c r="AQ272" i="2"/>
  <c r="Q273" i="2"/>
  <c r="AO273" i="2"/>
  <c r="O274" i="2"/>
  <c r="AM274" i="2"/>
  <c r="AE278" i="2"/>
  <c r="U283" i="2"/>
  <c r="AS283" i="2"/>
  <c r="S284" i="2"/>
  <c r="AQ284" i="2"/>
  <c r="Q285" i="2"/>
  <c r="AO285" i="2"/>
  <c r="O286" i="2"/>
  <c r="AM286" i="2"/>
  <c r="AE290" i="2"/>
  <c r="U295" i="2"/>
  <c r="AS295" i="2"/>
  <c r="S296" i="2"/>
  <c r="AQ296" i="2"/>
  <c r="Q297" i="2"/>
  <c r="AQ297" i="2"/>
  <c r="S298" i="2"/>
  <c r="AT298" i="2"/>
  <c r="W299" i="2"/>
  <c r="AW299" i="2"/>
  <c r="X304" i="2"/>
  <c r="U308" i="2"/>
  <c r="AA309" i="2"/>
  <c r="AX309" i="2"/>
  <c r="AY309" i="2" s="1"/>
  <c r="Z309" i="2"/>
  <c r="AW309" i="2"/>
  <c r="Y309" i="2"/>
  <c r="AV309" i="2"/>
  <c r="X309" i="2"/>
  <c r="AU309" i="2"/>
  <c r="W309" i="2"/>
  <c r="AC309" i="2" s="1"/>
  <c r="AO309" i="2"/>
  <c r="Q309" i="2"/>
  <c r="AN309" i="2"/>
  <c r="P309" i="2"/>
  <c r="AL309" i="2"/>
  <c r="Z310" i="2"/>
  <c r="AU311" i="2"/>
  <c r="W311" i="2"/>
  <c r="AT311" i="2"/>
  <c r="V311" i="2"/>
  <c r="AS311" i="2"/>
  <c r="AY311" i="2" s="1"/>
  <c r="U311" i="2"/>
  <c r="AR311" i="2"/>
  <c r="T311" i="2"/>
  <c r="AQ311" i="2"/>
  <c r="S311" i="2"/>
  <c r="AK311" i="2"/>
  <c r="M311" i="2"/>
  <c r="AC311" i="2" s="1"/>
  <c r="AJ311" i="2"/>
  <c r="L311" i="2"/>
  <c r="AN311" i="2"/>
  <c r="Z312" i="2"/>
  <c r="AD317" i="2"/>
  <c r="AD318" i="2"/>
  <c r="Y319" i="2"/>
  <c r="AA323" i="2"/>
  <c r="AU345" i="2"/>
  <c r="H242" i="2"/>
  <c r="AF242" i="2"/>
  <c r="AD243" i="2"/>
  <c r="H254" i="2"/>
  <c r="AF254" i="2"/>
  <c r="AD255" i="2"/>
  <c r="H266" i="2"/>
  <c r="AF266" i="2"/>
  <c r="AD267" i="2"/>
  <c r="T272" i="2"/>
  <c r="AR272" i="2"/>
  <c r="R273" i="2"/>
  <c r="AP273" i="2"/>
  <c r="P274" i="2"/>
  <c r="AN274" i="2"/>
  <c r="H278" i="2"/>
  <c r="AF278" i="2"/>
  <c r="AD279" i="2"/>
  <c r="V283" i="2"/>
  <c r="AT283" i="2"/>
  <c r="T284" i="2"/>
  <c r="AR284" i="2"/>
  <c r="R285" i="2"/>
  <c r="AP285" i="2"/>
  <c r="P286" i="2"/>
  <c r="AN286" i="2"/>
  <c r="H290" i="2"/>
  <c r="AF290" i="2"/>
  <c r="AD291" i="2"/>
  <c r="V295" i="2"/>
  <c r="AT295" i="2"/>
  <c r="T296" i="2"/>
  <c r="AR296" i="2"/>
  <c r="R297" i="2"/>
  <c r="AR297" i="2"/>
  <c r="T298" i="2"/>
  <c r="AV298" i="2"/>
  <c r="X299" i="2"/>
  <c r="AX299" i="2"/>
  <c r="Y304" i="2"/>
  <c r="V308" i="2"/>
  <c r="H309" i="2"/>
  <c r="AM309" i="2"/>
  <c r="AA310" i="2"/>
  <c r="H311" i="2"/>
  <c r="AO311" i="2"/>
  <c r="AA312" i="2"/>
  <c r="AE317" i="2"/>
  <c r="AE318" i="2"/>
  <c r="Z319" i="2"/>
  <c r="AE323" i="2"/>
  <c r="AV345" i="2"/>
  <c r="AR355" i="2"/>
  <c r="T355" i="2"/>
  <c r="AQ355" i="2"/>
  <c r="S355" i="2"/>
  <c r="AP355" i="2"/>
  <c r="R355" i="2"/>
  <c r="AG355" i="2"/>
  <c r="I355" i="2"/>
  <c r="AF355" i="2"/>
  <c r="H355" i="2"/>
  <c r="AD355" i="2"/>
  <c r="AB355" i="2"/>
  <c r="AA355" i="2"/>
  <c r="Z355" i="2"/>
  <c r="Y355" i="2"/>
  <c r="AW355" i="2"/>
  <c r="P355" i="2"/>
  <c r="AV355" i="2"/>
  <c r="O355" i="2"/>
  <c r="AU355" i="2"/>
  <c r="N355" i="2"/>
  <c r="AT355" i="2"/>
  <c r="M355" i="2"/>
  <c r="AS355" i="2"/>
  <c r="L355" i="2"/>
  <c r="W355" i="2"/>
  <c r="V355" i="2"/>
  <c r="U355" i="2"/>
  <c r="Q355" i="2"/>
  <c r="K355" i="2"/>
  <c r="J355" i="2"/>
  <c r="AX355" i="2"/>
  <c r="AO355" i="2"/>
  <c r="AN355" i="2"/>
  <c r="AM355" i="2"/>
  <c r="AL355" i="2"/>
  <c r="AK355" i="2"/>
  <c r="AJ355" i="2"/>
  <c r="AE355" i="2"/>
  <c r="I242" i="2"/>
  <c r="AG242" i="2"/>
  <c r="AE243" i="2"/>
  <c r="I254" i="2"/>
  <c r="AG254" i="2"/>
  <c r="AE255" i="2"/>
  <c r="I266" i="2"/>
  <c r="AG266" i="2"/>
  <c r="AE267" i="2"/>
  <c r="U272" i="2"/>
  <c r="AS272" i="2"/>
  <c r="S273" i="2"/>
  <c r="AQ273" i="2"/>
  <c r="Q274" i="2"/>
  <c r="AO274" i="2"/>
  <c r="I278" i="2"/>
  <c r="AG278" i="2"/>
  <c r="AE279" i="2"/>
  <c r="W283" i="2"/>
  <c r="AU283" i="2"/>
  <c r="U284" i="2"/>
  <c r="AS284" i="2"/>
  <c r="S285" i="2"/>
  <c r="AQ285" i="2"/>
  <c r="Q286" i="2"/>
  <c r="AO286" i="2"/>
  <c r="AG290" i="2"/>
  <c r="AE291" i="2"/>
  <c r="W295" i="2"/>
  <c r="AU295" i="2"/>
  <c r="U296" i="2"/>
  <c r="AS296" i="2"/>
  <c r="S297" i="2"/>
  <c r="AS297" i="2"/>
  <c r="AY297" i="2" s="1"/>
  <c r="V298" i="2"/>
  <c r="AW298" i="2"/>
  <c r="Y299" i="2"/>
  <c r="Z304" i="2"/>
  <c r="BB306" i="2"/>
  <c r="BC306" i="2" s="1"/>
  <c r="W308" i="2"/>
  <c r="I309" i="2"/>
  <c r="AP309" i="2"/>
  <c r="AB310" i="2"/>
  <c r="I311" i="2"/>
  <c r="AP311" i="2"/>
  <c r="AB312" i="2"/>
  <c r="AF317" i="2"/>
  <c r="AF318" i="2"/>
  <c r="AF319" i="2"/>
  <c r="AF323" i="2"/>
  <c r="AW345" i="2"/>
  <c r="X355" i="2"/>
  <c r="J242" i="2"/>
  <c r="H243" i="2"/>
  <c r="J254" i="2"/>
  <c r="H255" i="2"/>
  <c r="J266" i="2"/>
  <c r="H267" i="2"/>
  <c r="V272" i="2"/>
  <c r="T273" i="2"/>
  <c r="R274" i="2"/>
  <c r="J278" i="2"/>
  <c r="H279" i="2"/>
  <c r="X283" i="2"/>
  <c r="V284" i="2"/>
  <c r="T285" i="2"/>
  <c r="R286" i="2"/>
  <c r="J290" i="2"/>
  <c r="H291" i="2"/>
  <c r="X295" i="2"/>
  <c r="V296" i="2"/>
  <c r="T297" i="2"/>
  <c r="AT297" i="2"/>
  <c r="X298" i="2"/>
  <c r="AX298" i="2"/>
  <c r="Z299" i="2"/>
  <c r="AB304" i="2"/>
  <c r="BD307" i="2"/>
  <c r="X308" i="2"/>
  <c r="J309" i="2"/>
  <c r="AQ309" i="2"/>
  <c r="J311" i="2"/>
  <c r="AV311" i="2"/>
  <c r="AC314" i="2"/>
  <c r="AG317" i="2"/>
  <c r="AG318" i="2"/>
  <c r="AG319" i="2"/>
  <c r="AG323" i="2"/>
  <c r="AR331" i="2"/>
  <c r="T331" i="2"/>
  <c r="AQ331" i="2"/>
  <c r="S331" i="2"/>
  <c r="AP331" i="2"/>
  <c r="R331" i="2"/>
  <c r="Y331" i="2"/>
  <c r="AN331" i="2"/>
  <c r="M331" i="2"/>
  <c r="AT331" i="2"/>
  <c r="N331" i="2"/>
  <c r="AS331" i="2"/>
  <c r="AY331" i="2" s="1"/>
  <c r="L331" i="2"/>
  <c r="AO331" i="2"/>
  <c r="K331" i="2"/>
  <c r="AM331" i="2"/>
  <c r="J331" i="2"/>
  <c r="AL331" i="2"/>
  <c r="I331" i="2"/>
  <c r="AF331" i="2"/>
  <c r="AE331" i="2"/>
  <c r="AD331" i="2"/>
  <c r="AB331" i="2"/>
  <c r="AA331" i="2"/>
  <c r="Z331" i="2"/>
  <c r="X331" i="2"/>
  <c r="W331" i="2"/>
  <c r="AW331" i="2"/>
  <c r="Q331" i="2"/>
  <c r="BB337" i="2"/>
  <c r="BC337" i="2" s="1"/>
  <c r="BD349" i="2"/>
  <c r="AQ358" i="2"/>
  <c r="AJ347" i="2"/>
  <c r="L347" i="2"/>
  <c r="AI347" i="2"/>
  <c r="K347" i="2"/>
  <c r="AH347" i="2"/>
  <c r="J347" i="2"/>
  <c r="AV347" i="2"/>
  <c r="AT347" i="2"/>
  <c r="V347" i="2"/>
  <c r="AE347" i="2"/>
  <c r="AD347" i="2"/>
  <c r="AB347" i="2"/>
  <c r="U347" i="2"/>
  <c r="AX347" i="2"/>
  <c r="T347" i="2"/>
  <c r="AR347" i="2"/>
  <c r="AU358" i="2"/>
  <c r="AD326" i="2"/>
  <c r="AB326" i="2"/>
  <c r="Z326" i="2"/>
  <c r="AR326" i="2"/>
  <c r="Q326" i="2"/>
  <c r="AJ326" i="2"/>
  <c r="AJ335" i="2"/>
  <c r="L335" i="2"/>
  <c r="AI335" i="2"/>
  <c r="K335" i="2"/>
  <c r="AH335" i="2"/>
  <c r="J335" i="2"/>
  <c r="AS335" i="2"/>
  <c r="R335" i="2"/>
  <c r="AR335" i="2"/>
  <c r="Q335" i="2"/>
  <c r="AF335" i="2"/>
  <c r="AN335" i="2"/>
  <c r="AJ338" i="2"/>
  <c r="H347" i="2"/>
  <c r="AS347" i="2"/>
  <c r="AA314" i="2"/>
  <c r="AX316" i="2"/>
  <c r="Z316" i="2"/>
  <c r="AW316" i="2"/>
  <c r="Y316" i="2"/>
  <c r="AG316" i="2"/>
  <c r="H326" i="2"/>
  <c r="AK326" i="2"/>
  <c r="H335" i="2"/>
  <c r="AO335" i="2"/>
  <c r="I347" i="2"/>
  <c r="AU347" i="2"/>
  <c r="I326" i="2"/>
  <c r="AL326" i="2"/>
  <c r="AV329" i="2"/>
  <c r="X329" i="2"/>
  <c r="AU329" i="2"/>
  <c r="W329" i="2"/>
  <c r="AC329" i="2" s="1"/>
  <c r="AT329" i="2"/>
  <c r="V329" i="2"/>
  <c r="AO329" i="2"/>
  <c r="N329" i="2"/>
  <c r="AF329" i="2"/>
  <c r="AJ329" i="2"/>
  <c r="AP332" i="2"/>
  <c r="R332" i="2"/>
  <c r="AO332" i="2"/>
  <c r="Q332" i="2"/>
  <c r="AN332" i="2"/>
  <c r="P332" i="2"/>
  <c r="AD332" i="2"/>
  <c r="AU332" i="2"/>
  <c r="T332" i="2"/>
  <c r="AK332" i="2"/>
  <c r="I335" i="2"/>
  <c r="AP335" i="2"/>
  <c r="AD338" i="2"/>
  <c r="AB338" i="2"/>
  <c r="Z338" i="2"/>
  <c r="Y338" i="2"/>
  <c r="AX338" i="2"/>
  <c r="AY338" i="2" s="1"/>
  <c r="W338" i="2"/>
  <c r="AQ338" i="2"/>
  <c r="P338" i="2"/>
  <c r="AL338" i="2"/>
  <c r="M347" i="2"/>
  <c r="AW347" i="2"/>
  <c r="AL358" i="2"/>
  <c r="N358" i="2"/>
  <c r="AK358" i="2"/>
  <c r="M358" i="2"/>
  <c r="AJ358" i="2"/>
  <c r="L358" i="2"/>
  <c r="AA358" i="2"/>
  <c r="AX358" i="2"/>
  <c r="Z358" i="2"/>
  <c r="AV358" i="2"/>
  <c r="X358" i="2"/>
  <c r="AS358" i="2"/>
  <c r="AI358" i="2"/>
  <c r="AH358" i="2"/>
  <c r="AG358" i="2"/>
  <c r="AF358" i="2"/>
  <c r="W358" i="2"/>
  <c r="V358" i="2"/>
  <c r="U358" i="2"/>
  <c r="T358" i="2"/>
  <c r="S358" i="2"/>
  <c r="AX364" i="2"/>
  <c r="Z364" i="2"/>
  <c r="AW364" i="2"/>
  <c r="Y364" i="2"/>
  <c r="AV364" i="2"/>
  <c r="X364" i="2"/>
  <c r="AM364" i="2"/>
  <c r="O364" i="2"/>
  <c r="AL364" i="2"/>
  <c r="N364" i="2"/>
  <c r="AK364" i="2"/>
  <c r="M364" i="2"/>
  <c r="AJ364" i="2"/>
  <c r="L364" i="2"/>
  <c r="AG364" i="2"/>
  <c r="I364" i="2"/>
  <c r="AE364" i="2"/>
  <c r="AD364" i="2"/>
  <c r="AB364" i="2"/>
  <c r="S364" i="2"/>
  <c r="R364" i="2"/>
  <c r="Q364" i="2"/>
  <c r="P364" i="2"/>
  <c r="AU364" i="2"/>
  <c r="K364" i="2"/>
  <c r="AT364" i="2"/>
  <c r="J364" i="2"/>
  <c r="AS364" i="2"/>
  <c r="H364" i="2"/>
  <c r="AI364" i="2"/>
  <c r="J326" i="2"/>
  <c r="AM326" i="2"/>
  <c r="H329" i="2"/>
  <c r="AK329" i="2"/>
  <c r="H332" i="2"/>
  <c r="AL332" i="2"/>
  <c r="M335" i="2"/>
  <c r="AQ335" i="2"/>
  <c r="H338" i="2"/>
  <c r="AM338" i="2"/>
  <c r="AT342" i="2"/>
  <c r="V342" i="2"/>
  <c r="AS342" i="2"/>
  <c r="U342" i="2"/>
  <c r="AR342" i="2"/>
  <c r="T342" i="2"/>
  <c r="AF342" i="2"/>
  <c r="H342" i="2"/>
  <c r="Y342" i="2"/>
  <c r="X342" i="2"/>
  <c r="W342" i="2"/>
  <c r="AX342" i="2"/>
  <c r="S342" i="2"/>
  <c r="AN342" i="2"/>
  <c r="L342" i="2"/>
  <c r="AP342" i="2"/>
  <c r="N347" i="2"/>
  <c r="H358" i="2"/>
  <c r="T364" i="2"/>
  <c r="AT366" i="2"/>
  <c r="V366" i="2"/>
  <c r="AS366" i="2"/>
  <c r="U366" i="2"/>
  <c r="AR366" i="2"/>
  <c r="T366" i="2"/>
  <c r="AI366" i="2"/>
  <c r="K366" i="2"/>
  <c r="AH366" i="2"/>
  <c r="J366" i="2"/>
  <c r="AG366" i="2"/>
  <c r="I366" i="2"/>
  <c r="AF366" i="2"/>
  <c r="H366" i="2"/>
  <c r="AK366" i="2"/>
  <c r="AJ366" i="2"/>
  <c r="AE366" i="2"/>
  <c r="AD366" i="2"/>
  <c r="W366" i="2"/>
  <c r="S366" i="2"/>
  <c r="R366" i="2"/>
  <c r="Q366" i="2"/>
  <c r="P366" i="2"/>
  <c r="AX366" i="2"/>
  <c r="O366" i="2"/>
  <c r="AW366" i="2"/>
  <c r="N366" i="2"/>
  <c r="AN366" i="2"/>
  <c r="O347" i="2"/>
  <c r="I358" i="2"/>
  <c r="U364" i="2"/>
  <c r="AG314" i="2"/>
  <c r="K316" i="2"/>
  <c r="AK316" i="2"/>
  <c r="L326" i="2"/>
  <c r="AO326" i="2"/>
  <c r="J329" i="2"/>
  <c r="AM329" i="2"/>
  <c r="J332" i="2"/>
  <c r="AQ332" i="2"/>
  <c r="O335" i="2"/>
  <c r="AU335" i="2"/>
  <c r="J338" i="2"/>
  <c r="AO338" i="2"/>
  <c r="J342" i="2"/>
  <c r="AU342" i="2"/>
  <c r="P347" i="2"/>
  <c r="J358" i="2"/>
  <c r="AH360" i="2"/>
  <c r="J360" i="2"/>
  <c r="AG360" i="2"/>
  <c r="I360" i="2"/>
  <c r="AF360" i="2"/>
  <c r="H360" i="2"/>
  <c r="AU360" i="2"/>
  <c r="W360" i="2"/>
  <c r="AT360" i="2"/>
  <c r="V360" i="2"/>
  <c r="AR360" i="2"/>
  <c r="T360" i="2"/>
  <c r="AO360" i="2"/>
  <c r="Q360" i="2"/>
  <c r="AL360" i="2"/>
  <c r="AK360" i="2"/>
  <c r="AJ360" i="2"/>
  <c r="AI360" i="2"/>
  <c r="AY360" i="2" s="1"/>
  <c r="Z360" i="2"/>
  <c r="Y360" i="2"/>
  <c r="X360" i="2"/>
  <c r="U360" i="2"/>
  <c r="S360" i="2"/>
  <c r="V364" i="2"/>
  <c r="M366" i="2"/>
  <c r="AO372" i="2"/>
  <c r="Q372" i="2"/>
  <c r="AN372" i="2"/>
  <c r="P372" i="2"/>
  <c r="AM372" i="2"/>
  <c r="O372" i="2"/>
  <c r="AU372" i="2"/>
  <c r="T372" i="2"/>
  <c r="AT372" i="2"/>
  <c r="S372" i="2"/>
  <c r="AS372" i="2"/>
  <c r="R372" i="2"/>
  <c r="AG372" i="2"/>
  <c r="AF372" i="2"/>
  <c r="AE372" i="2"/>
  <c r="AD372" i="2"/>
  <c r="AA372" i="2"/>
  <c r="Y372" i="2"/>
  <c r="AI372" i="2"/>
  <c r="AH372" i="2"/>
  <c r="AB372" i="2"/>
  <c r="N372" i="2"/>
  <c r="M372" i="2"/>
  <c r="L372" i="2"/>
  <c r="K372" i="2"/>
  <c r="J372" i="2"/>
  <c r="I372" i="2"/>
  <c r="AX372" i="2"/>
  <c r="H372" i="2"/>
  <c r="AV372" i="2"/>
  <c r="AR372" i="2"/>
  <c r="AL372" i="2"/>
  <c r="H314" i="2"/>
  <c r="AH314" i="2"/>
  <c r="L316" i="2"/>
  <c r="AL316" i="2"/>
  <c r="M326" i="2"/>
  <c r="AP326" i="2"/>
  <c r="K329" i="2"/>
  <c r="AN329" i="2"/>
  <c r="K332" i="2"/>
  <c r="AR332" i="2"/>
  <c r="P335" i="2"/>
  <c r="AV335" i="2"/>
  <c r="K338" i="2"/>
  <c r="AP338" i="2"/>
  <c r="K342" i="2"/>
  <c r="AV342" i="2"/>
  <c r="Q347" i="2"/>
  <c r="K358" i="2"/>
  <c r="K360" i="2"/>
  <c r="BB361" i="2"/>
  <c r="BC361" i="2" s="1"/>
  <c r="W364" i="2"/>
  <c r="X366" i="2"/>
  <c r="U372" i="2"/>
  <c r="AD435" i="2"/>
  <c r="AX435" i="2"/>
  <c r="Z435" i="2"/>
  <c r="AS435" i="2"/>
  <c r="AV435" i="2"/>
  <c r="U435" i="2"/>
  <c r="AU435" i="2"/>
  <c r="T435" i="2"/>
  <c r="AM435" i="2"/>
  <c r="M435" i="2"/>
  <c r="AI435" i="2"/>
  <c r="I435" i="2"/>
  <c r="AO435" i="2"/>
  <c r="J435" i="2"/>
  <c r="AN435" i="2"/>
  <c r="H435" i="2"/>
  <c r="AJ435" i="2"/>
  <c r="AB435" i="2"/>
  <c r="AA435" i="2"/>
  <c r="Y435" i="2"/>
  <c r="W435" i="2"/>
  <c r="V435" i="2"/>
  <c r="R435" i="2"/>
  <c r="Q435" i="2"/>
  <c r="AR435" i="2"/>
  <c r="N435" i="2"/>
  <c r="AE435" i="2"/>
  <c r="X435" i="2"/>
  <c r="L435" i="2"/>
  <c r="AT435" i="2"/>
  <c r="AQ435" i="2"/>
  <c r="AL435" i="2"/>
  <c r="AH435" i="2"/>
  <c r="AG435" i="2"/>
  <c r="AF435" i="2"/>
  <c r="S435" i="2"/>
  <c r="P435" i="2"/>
  <c r="O435" i="2"/>
  <c r="AW435" i="2"/>
  <c r="AP435" i="2"/>
  <c r="AK435" i="2"/>
  <c r="AE302" i="2"/>
  <c r="U307" i="2"/>
  <c r="AS307" i="2"/>
  <c r="AY307" i="2" s="1"/>
  <c r="I314" i="2"/>
  <c r="AI314" i="2"/>
  <c r="M316" i="2"/>
  <c r="AM316" i="2"/>
  <c r="W320" i="2"/>
  <c r="AC320" i="2" s="1"/>
  <c r="AZ320" i="2" s="1"/>
  <c r="AW320" i="2"/>
  <c r="AH324" i="2"/>
  <c r="J324" i="2"/>
  <c r="AG324" i="2"/>
  <c r="I324" i="2"/>
  <c r="AN324" i="2"/>
  <c r="N324" i="2"/>
  <c r="AJ324" i="2"/>
  <c r="BD325" i="2"/>
  <c r="N326" i="2"/>
  <c r="AQ326" i="2"/>
  <c r="V327" i="2"/>
  <c r="L329" i="2"/>
  <c r="AP329" i="2"/>
  <c r="L332" i="2"/>
  <c r="AS332" i="2"/>
  <c r="AY332" i="2" s="1"/>
  <c r="S335" i="2"/>
  <c r="AW335" i="2"/>
  <c r="L338" i="2"/>
  <c r="AR338" i="2"/>
  <c r="M342" i="2"/>
  <c r="AW342" i="2"/>
  <c r="AE346" i="2"/>
  <c r="R347" i="2"/>
  <c r="O358" i="2"/>
  <c r="L360" i="2"/>
  <c r="AA364" i="2"/>
  <c r="Y366" i="2"/>
  <c r="V372" i="2"/>
  <c r="K435" i="2"/>
  <c r="AA377" i="2"/>
  <c r="AM377" i="2"/>
  <c r="N377" i="2"/>
  <c r="AL377" i="2"/>
  <c r="M377" i="2"/>
  <c r="AK377" i="2"/>
  <c r="L377" i="2"/>
  <c r="AS377" i="2"/>
  <c r="Q377" i="2"/>
  <c r="AR377" i="2"/>
  <c r="P377" i="2"/>
  <c r="AQ377" i="2"/>
  <c r="O377" i="2"/>
  <c r="AE377" i="2"/>
  <c r="AD377" i="2"/>
  <c r="AB377" i="2"/>
  <c r="X377" i="2"/>
  <c r="AX377" i="2"/>
  <c r="V377" i="2"/>
  <c r="S377" i="2"/>
  <c r="R377" i="2"/>
  <c r="K377" i="2"/>
  <c r="J377" i="2"/>
  <c r="AU377" i="2"/>
  <c r="AT377" i="2"/>
  <c r="AP377" i="2"/>
  <c r="AO377" i="2"/>
  <c r="AN377" i="2"/>
  <c r="AJ377" i="2"/>
  <c r="AI377" i="2"/>
  <c r="AH377" i="2"/>
  <c r="AG377" i="2"/>
  <c r="AF377" i="2"/>
  <c r="W377" i="2"/>
  <c r="H377" i="2"/>
  <c r="AQ381" i="2"/>
  <c r="S381" i="2"/>
  <c r="AM381" i="2"/>
  <c r="N381" i="2"/>
  <c r="AL381" i="2"/>
  <c r="M381" i="2"/>
  <c r="AK381" i="2"/>
  <c r="L381" i="2"/>
  <c r="Z381" i="2"/>
  <c r="AV381" i="2"/>
  <c r="R381" i="2"/>
  <c r="AU381" i="2"/>
  <c r="Q381" i="2"/>
  <c r="AT381" i="2"/>
  <c r="P381" i="2"/>
  <c r="AG381" i="2"/>
  <c r="AF381" i="2"/>
  <c r="AE381" i="2"/>
  <c r="AD381" i="2"/>
  <c r="AB381" i="2"/>
  <c r="AA381" i="2"/>
  <c r="X381" i="2"/>
  <c r="V381" i="2"/>
  <c r="U381" i="2"/>
  <c r="T381" i="2"/>
  <c r="O381" i="2"/>
  <c r="K381" i="2"/>
  <c r="AX381" i="2"/>
  <c r="AW381" i="2"/>
  <c r="AS381" i="2"/>
  <c r="AR381" i="2"/>
  <c r="AP381" i="2"/>
  <c r="AO381" i="2"/>
  <c r="AN381" i="2"/>
  <c r="AJ381" i="2"/>
  <c r="M302" i="2"/>
  <c r="AC302" i="2" s="1"/>
  <c r="AZ302" i="2" s="1"/>
  <c r="AK302" i="2"/>
  <c r="BB302" i="2" s="1"/>
  <c r="BC302" i="2" s="1"/>
  <c r="AE305" i="2"/>
  <c r="AA307" i="2"/>
  <c r="O314" i="2"/>
  <c r="AO314" i="2"/>
  <c r="S316" i="2"/>
  <c r="AS316" i="2"/>
  <c r="AL322" i="2"/>
  <c r="N322" i="2"/>
  <c r="BD322" i="2" s="1"/>
  <c r="AK322" i="2"/>
  <c r="M322" i="2"/>
  <c r="AC322" i="2" s="1"/>
  <c r="AG322" i="2"/>
  <c r="P324" i="2"/>
  <c r="AQ324" i="2"/>
  <c r="U326" i="2"/>
  <c r="AX326" i="2"/>
  <c r="AY326" i="2" s="1"/>
  <c r="AE327" i="2"/>
  <c r="S329" i="2"/>
  <c r="V332" i="2"/>
  <c r="Y335" i="2"/>
  <c r="S338" i="2"/>
  <c r="Z342" i="2"/>
  <c r="AN346" i="2"/>
  <c r="AA347" i="2"/>
  <c r="AD350" i="2"/>
  <c r="AB350" i="2"/>
  <c r="AQ350" i="2"/>
  <c r="S350" i="2"/>
  <c r="AP350" i="2"/>
  <c r="R350" i="2"/>
  <c r="AN350" i="2"/>
  <c r="P350" i="2"/>
  <c r="X350" i="2"/>
  <c r="W350" i="2"/>
  <c r="V350" i="2"/>
  <c r="U350" i="2"/>
  <c r="AS350" i="2"/>
  <c r="AY350" i="2" s="1"/>
  <c r="L350" i="2"/>
  <c r="AR350" i="2"/>
  <c r="K350" i="2"/>
  <c r="AM350" i="2"/>
  <c r="I350" i="2"/>
  <c r="AL350" i="2"/>
  <c r="H350" i="2"/>
  <c r="AA360" i="2"/>
  <c r="AQ364" i="2"/>
  <c r="AO366" i="2"/>
  <c r="AP372" i="2"/>
  <c r="I377" i="2"/>
  <c r="H381" i="2"/>
  <c r="N302" i="2"/>
  <c r="AL302" i="2"/>
  <c r="AB307" i="2"/>
  <c r="AC307" i="2" s="1"/>
  <c r="AZ307" i="2" s="1"/>
  <c r="P314" i="2"/>
  <c r="AP314" i="2"/>
  <c r="T316" i="2"/>
  <c r="AT316" i="2"/>
  <c r="AD320" i="2"/>
  <c r="H322" i="2"/>
  <c r="AH322" i="2"/>
  <c r="Q324" i="2"/>
  <c r="AR324" i="2"/>
  <c r="V326" i="2"/>
  <c r="AF327" i="2"/>
  <c r="T329" i="2"/>
  <c r="W332" i="2"/>
  <c r="AC332" i="2" s="1"/>
  <c r="AZ332" i="2" s="1"/>
  <c r="Z335" i="2"/>
  <c r="T338" i="2"/>
  <c r="AA342" i="2"/>
  <c r="AO346" i="2"/>
  <c r="AF347" i="2"/>
  <c r="AD358" i="2"/>
  <c r="AB360" i="2"/>
  <c r="AR364" i="2"/>
  <c r="AP366" i="2"/>
  <c r="AQ372" i="2"/>
  <c r="T377" i="2"/>
  <c r="I381" i="2"/>
  <c r="AG386" i="2"/>
  <c r="I386" i="2"/>
  <c r="AH386" i="2"/>
  <c r="H386" i="2"/>
  <c r="AW386" i="2"/>
  <c r="W386" i="2"/>
  <c r="AV386" i="2"/>
  <c r="V386" i="2"/>
  <c r="AU386" i="2"/>
  <c r="U386" i="2"/>
  <c r="AJ386" i="2"/>
  <c r="J386" i="2"/>
  <c r="AS386" i="2"/>
  <c r="O386" i="2"/>
  <c r="AR386" i="2"/>
  <c r="N386" i="2"/>
  <c r="AQ386" i="2"/>
  <c r="M386" i="2"/>
  <c r="AE386" i="2"/>
  <c r="AD386" i="2"/>
  <c r="AB386" i="2"/>
  <c r="Z386" i="2"/>
  <c r="Y386" i="2"/>
  <c r="T386" i="2"/>
  <c r="R386" i="2"/>
  <c r="AX386" i="2"/>
  <c r="AT386" i="2"/>
  <c r="AK386" i="2"/>
  <c r="AI386" i="2"/>
  <c r="AF386" i="2"/>
  <c r="AA386" i="2"/>
  <c r="X386" i="2"/>
  <c r="S386" i="2"/>
  <c r="Q386" i="2"/>
  <c r="P386" i="2"/>
  <c r="L386" i="2"/>
  <c r="K386" i="2"/>
  <c r="O302" i="2"/>
  <c r="I305" i="2"/>
  <c r="Q314" i="2"/>
  <c r="AQ314" i="2"/>
  <c r="U316" i="2"/>
  <c r="AU316" i="2"/>
  <c r="AE320" i="2"/>
  <c r="AN321" i="2"/>
  <c r="P321" i="2"/>
  <c r="AM321" i="2"/>
  <c r="O321" i="2"/>
  <c r="AG321" i="2"/>
  <c r="I322" i="2"/>
  <c r="AI322" i="2"/>
  <c r="AY322" i="2" s="1"/>
  <c r="R324" i="2"/>
  <c r="AS324" i="2"/>
  <c r="AY324" i="2" s="1"/>
  <c r="AZ324" i="2" s="1"/>
  <c r="W326" i="2"/>
  <c r="AH327" i="2"/>
  <c r="U329" i="2"/>
  <c r="X332" i="2"/>
  <c r="AA335" i="2"/>
  <c r="AH336" i="2"/>
  <c r="J336" i="2"/>
  <c r="AG336" i="2"/>
  <c r="I336" i="2"/>
  <c r="AF336" i="2"/>
  <c r="H336" i="2"/>
  <c r="AW336" i="2"/>
  <c r="V336" i="2"/>
  <c r="AV336" i="2"/>
  <c r="U336" i="2"/>
  <c r="AM336" i="2"/>
  <c r="L336" i="2"/>
  <c r="BD336" i="2" s="1"/>
  <c r="AO336" i="2"/>
  <c r="U338" i="2"/>
  <c r="AB339" i="2"/>
  <c r="AC339" i="2" s="1"/>
  <c r="AA339" i="2"/>
  <c r="AX339" i="2"/>
  <c r="AY339" i="2" s="1"/>
  <c r="Z339" i="2"/>
  <c r="AG339" i="2"/>
  <c r="AF339" i="2"/>
  <c r="AD339" i="2"/>
  <c r="AU339" i="2"/>
  <c r="T339" i="2"/>
  <c r="BD339" i="2" s="1"/>
  <c r="AL339" i="2"/>
  <c r="BB339" i="2" s="1"/>
  <c r="BC339" i="2" s="1"/>
  <c r="AB342" i="2"/>
  <c r="AR346" i="2"/>
  <c r="AG347" i="2"/>
  <c r="M350" i="2"/>
  <c r="AE358" i="2"/>
  <c r="AQ366" i="2"/>
  <c r="AW372" i="2"/>
  <c r="U377" i="2"/>
  <c r="J381" i="2"/>
  <c r="AL386" i="2"/>
  <c r="AD307" i="2"/>
  <c r="R314" i="2"/>
  <c r="AR314" i="2"/>
  <c r="V316" i="2"/>
  <c r="AV316" i="2"/>
  <c r="X326" i="2"/>
  <c r="Y329" i="2"/>
  <c r="Y332" i="2"/>
  <c r="AY333" i="2"/>
  <c r="AZ333" i="2" s="1"/>
  <c r="AB335" i="2"/>
  <c r="V338" i="2"/>
  <c r="AK347" i="2"/>
  <c r="AM358" i="2"/>
  <c r="AD360" i="2"/>
  <c r="AU366" i="2"/>
  <c r="Y377" i="2"/>
  <c r="W381" i="2"/>
  <c r="AM386" i="2"/>
  <c r="S314" i="2"/>
  <c r="AS314" i="2"/>
  <c r="W316" i="2"/>
  <c r="AP320" i="2"/>
  <c r="R320" i="2"/>
  <c r="AO320" i="2"/>
  <c r="Q320" i="2"/>
  <c r="AG320" i="2"/>
  <c r="Y326" i="2"/>
  <c r="AB327" i="2"/>
  <c r="AC327" i="2" s="1"/>
  <c r="AA327" i="2"/>
  <c r="AX327" i="2"/>
  <c r="AY327" i="2" s="1"/>
  <c r="Z327" i="2"/>
  <c r="AG327" i="2"/>
  <c r="AV327" i="2"/>
  <c r="U327" i="2"/>
  <c r="AJ327" i="2"/>
  <c r="Z329" i="2"/>
  <c r="Z332" i="2"/>
  <c r="X338" i="2"/>
  <c r="AD342" i="2"/>
  <c r="AL346" i="2"/>
  <c r="N346" i="2"/>
  <c r="AK346" i="2"/>
  <c r="M346" i="2"/>
  <c r="AJ346" i="2"/>
  <c r="L346" i="2"/>
  <c r="AV346" i="2"/>
  <c r="X346" i="2"/>
  <c r="Y346" i="2"/>
  <c r="W346" i="2"/>
  <c r="V346" i="2"/>
  <c r="AX346" i="2"/>
  <c r="AY346" i="2" s="1"/>
  <c r="U346" i="2"/>
  <c r="AQ346" i="2"/>
  <c r="O346" i="2"/>
  <c r="AP346" i="2"/>
  <c r="K346" i="2"/>
  <c r="AT346" i="2"/>
  <c r="AL347" i="2"/>
  <c r="AN358" i="2"/>
  <c r="AE360" i="2"/>
  <c r="AV366" i="2"/>
  <c r="AQ371" i="2"/>
  <c r="S371" i="2"/>
  <c r="AP371" i="2"/>
  <c r="R371" i="2"/>
  <c r="AO371" i="2"/>
  <c r="Q371" i="2"/>
  <c r="AN371" i="2"/>
  <c r="M371" i="2"/>
  <c r="AM371" i="2"/>
  <c r="L371" i="2"/>
  <c r="AL371" i="2"/>
  <c r="K371" i="2"/>
  <c r="AB371" i="2"/>
  <c r="AA371" i="2"/>
  <c r="Z371" i="2"/>
  <c r="AX371" i="2"/>
  <c r="W371" i="2"/>
  <c r="AV371" i="2"/>
  <c r="U371" i="2"/>
  <c r="AR371" i="2"/>
  <c r="AK371" i="2"/>
  <c r="AJ371" i="2"/>
  <c r="AI371" i="2"/>
  <c r="Y371" i="2"/>
  <c r="X371" i="2"/>
  <c r="V371" i="2"/>
  <c r="T371" i="2"/>
  <c r="P371" i="2"/>
  <c r="O371" i="2"/>
  <c r="N371" i="2"/>
  <c r="I371" i="2"/>
  <c r="H371" i="2"/>
  <c r="AU371" i="2"/>
  <c r="Z377" i="2"/>
  <c r="Y381" i="2"/>
  <c r="AN386" i="2"/>
  <c r="AG410" i="2"/>
  <c r="I410" i="2"/>
  <c r="AF410" i="2"/>
  <c r="H410" i="2"/>
  <c r="AE410" i="2"/>
  <c r="AD410" i="2"/>
  <c r="AA410" i="2"/>
  <c r="AU410" i="2"/>
  <c r="U410" i="2"/>
  <c r="AT410" i="2"/>
  <c r="T410" i="2"/>
  <c r="AQ410" i="2"/>
  <c r="L410" i="2"/>
  <c r="AP410" i="2"/>
  <c r="K410" i="2"/>
  <c r="AO410" i="2"/>
  <c r="J410" i="2"/>
  <c r="AB410" i="2"/>
  <c r="AC410" i="2" s="1"/>
  <c r="Z410" i="2"/>
  <c r="Y410" i="2"/>
  <c r="X410" i="2"/>
  <c r="V410" i="2"/>
  <c r="S410" i="2"/>
  <c r="AV410" i="2"/>
  <c r="O410" i="2"/>
  <c r="Q410" i="2"/>
  <c r="P410" i="2"/>
  <c r="N410" i="2"/>
  <c r="AW410" i="2"/>
  <c r="AS410" i="2"/>
  <c r="AR410" i="2"/>
  <c r="AN410" i="2"/>
  <c r="AL410" i="2"/>
  <c r="AK410" i="2"/>
  <c r="AI410" i="2"/>
  <c r="AX410" i="2"/>
  <c r="AM410" i="2"/>
  <c r="AJ410" i="2"/>
  <c r="AU391" i="2"/>
  <c r="W391" i="2"/>
  <c r="AT391" i="2"/>
  <c r="V391" i="2"/>
  <c r="AO391" i="2"/>
  <c r="O391" i="2"/>
  <c r="AM391" i="2"/>
  <c r="L391" i="2"/>
  <c r="AL391" i="2"/>
  <c r="K391" i="2"/>
  <c r="AK391" i="2"/>
  <c r="J391" i="2"/>
  <c r="AB391" i="2"/>
  <c r="AC391" i="2" s="1"/>
  <c r="AA391" i="2"/>
  <c r="Z391" i="2"/>
  <c r="AX391" i="2"/>
  <c r="AY391" i="2" s="1"/>
  <c r="U391" i="2"/>
  <c r="AR391" i="2"/>
  <c r="AQ391" i="2"/>
  <c r="AP391" i="2"/>
  <c r="Y391" i="2"/>
  <c r="X391" i="2"/>
  <c r="T391" i="2"/>
  <c r="R391" i="2"/>
  <c r="Q391" i="2"/>
  <c r="N391" i="2"/>
  <c r="AW391" i="2"/>
  <c r="I391" i="2"/>
  <c r="AO406" i="2"/>
  <c r="Q406" i="2"/>
  <c r="AN406" i="2"/>
  <c r="P406" i="2"/>
  <c r="AW406" i="2"/>
  <c r="W406" i="2"/>
  <c r="AV406" i="2"/>
  <c r="V406" i="2"/>
  <c r="AS406" i="2"/>
  <c r="S406" i="2"/>
  <c r="AK406" i="2"/>
  <c r="K406" i="2"/>
  <c r="AJ406" i="2"/>
  <c r="J406" i="2"/>
  <c r="AT406" i="2"/>
  <c r="L406" i="2"/>
  <c r="AR406" i="2"/>
  <c r="I406" i="2"/>
  <c r="AQ406" i="2"/>
  <c r="H406" i="2"/>
  <c r="AD406" i="2"/>
  <c r="AB406" i="2"/>
  <c r="AA406" i="2"/>
  <c r="Y406" i="2"/>
  <c r="X406" i="2"/>
  <c r="O406" i="2"/>
  <c r="AX406" i="2"/>
  <c r="AE406" i="2"/>
  <c r="Z406" i="2"/>
  <c r="U406" i="2"/>
  <c r="T406" i="2"/>
  <c r="N406" i="2"/>
  <c r="M406" i="2"/>
  <c r="AW414" i="2"/>
  <c r="Y414" i="2"/>
  <c r="AV414" i="2"/>
  <c r="X414" i="2"/>
  <c r="AL414" i="2"/>
  <c r="L414" i="2"/>
  <c r="AK414" i="2"/>
  <c r="K414" i="2"/>
  <c r="AH414" i="2"/>
  <c r="H414" i="2"/>
  <c r="AB414" i="2"/>
  <c r="AA414" i="2"/>
  <c r="AX414" i="2"/>
  <c r="V414" i="2"/>
  <c r="AU414" i="2"/>
  <c r="U414" i="2"/>
  <c r="S414" i="2"/>
  <c r="R414" i="2"/>
  <c r="Q414" i="2"/>
  <c r="AO414" i="2"/>
  <c r="AN414" i="2"/>
  <c r="AM414" i="2"/>
  <c r="AJ414" i="2"/>
  <c r="AG414" i="2"/>
  <c r="AF414" i="2"/>
  <c r="Z414" i="2"/>
  <c r="AS414" i="2"/>
  <c r="W414" i="2"/>
  <c r="T414" i="2"/>
  <c r="P414" i="2"/>
  <c r="N414" i="2"/>
  <c r="M414" i="2"/>
  <c r="J414" i="2"/>
  <c r="I414" i="2"/>
  <c r="H391" i="2"/>
  <c r="BD401" i="2"/>
  <c r="R406" i="2"/>
  <c r="AK408" i="2"/>
  <c r="M408" i="2"/>
  <c r="AJ408" i="2"/>
  <c r="L408" i="2"/>
  <c r="AA408" i="2"/>
  <c r="Z408" i="2"/>
  <c r="AW408" i="2"/>
  <c r="W408" i="2"/>
  <c r="AQ408" i="2"/>
  <c r="Q408" i="2"/>
  <c r="AP408" i="2"/>
  <c r="P408" i="2"/>
  <c r="AS408" i="2"/>
  <c r="J408" i="2"/>
  <c r="AR408" i="2"/>
  <c r="I408" i="2"/>
  <c r="AO408" i="2"/>
  <c r="H408" i="2"/>
  <c r="AD408" i="2"/>
  <c r="AB408" i="2"/>
  <c r="Y408" i="2"/>
  <c r="V408" i="2"/>
  <c r="U408" i="2"/>
  <c r="AV408" i="2"/>
  <c r="O408" i="2"/>
  <c r="AL408" i="2"/>
  <c r="AI408" i="2"/>
  <c r="AH408" i="2"/>
  <c r="AG408" i="2"/>
  <c r="AE408" i="2"/>
  <c r="X408" i="2"/>
  <c r="S408" i="2"/>
  <c r="N408" i="2"/>
  <c r="O414" i="2"/>
  <c r="AI385" i="2"/>
  <c r="K385" i="2"/>
  <c r="AG385" i="2"/>
  <c r="H385" i="2"/>
  <c r="AU385" i="2"/>
  <c r="U385" i="2"/>
  <c r="AT385" i="2"/>
  <c r="T385" i="2"/>
  <c r="AS385" i="2"/>
  <c r="S385" i="2"/>
  <c r="AF385" i="2"/>
  <c r="AH385" i="2"/>
  <c r="AE385" i="2"/>
  <c r="AD385" i="2"/>
  <c r="R385" i="2"/>
  <c r="AX385" i="2"/>
  <c r="Q385" i="2"/>
  <c r="AW385" i="2"/>
  <c r="P385" i="2"/>
  <c r="AV385" i="2"/>
  <c r="O385" i="2"/>
  <c r="AQ385" i="2"/>
  <c r="M385" i="2"/>
  <c r="AP385" i="2"/>
  <c r="L385" i="2"/>
  <c r="AN385" i="2"/>
  <c r="I385" i="2"/>
  <c r="AL385" i="2"/>
  <c r="AZ387" i="2"/>
  <c r="J385" i="2"/>
  <c r="P391" i="2"/>
  <c r="AG406" i="2"/>
  <c r="R408" i="2"/>
  <c r="AE414" i="2"/>
  <c r="AY367" i="2"/>
  <c r="AZ367" i="2" s="1"/>
  <c r="N385" i="2"/>
  <c r="S391" i="2"/>
  <c r="AH406" i="2"/>
  <c r="AI414" i="2"/>
  <c r="V385" i="2"/>
  <c r="AD391" i="2"/>
  <c r="AI406" i="2"/>
  <c r="AF408" i="2"/>
  <c r="AP414" i="2"/>
  <c r="AH433" i="2"/>
  <c r="J433" i="2"/>
  <c r="AR433" i="2"/>
  <c r="S433" i="2"/>
  <c r="AQ433" i="2"/>
  <c r="R433" i="2"/>
  <c r="AJ433" i="2"/>
  <c r="K433" i="2"/>
  <c r="AE433" i="2"/>
  <c r="AW433" i="2"/>
  <c r="T433" i="2"/>
  <c r="AV433" i="2"/>
  <c r="Q433" i="2"/>
  <c r="AS433" i="2"/>
  <c r="N433" i="2"/>
  <c r="AK433" i="2"/>
  <c r="AI433" i="2"/>
  <c r="AG433" i="2"/>
  <c r="AD433" i="2"/>
  <c r="AA433" i="2"/>
  <c r="Z433" i="2"/>
  <c r="W433" i="2"/>
  <c r="AX433" i="2"/>
  <c r="AO433" i="2"/>
  <c r="AB433" i="2"/>
  <c r="Y433" i="2"/>
  <c r="X433" i="2"/>
  <c r="V433" i="2"/>
  <c r="P433" i="2"/>
  <c r="O433" i="2"/>
  <c r="L433" i="2"/>
  <c r="H433" i="2"/>
  <c r="AM433" i="2"/>
  <c r="AL433" i="2"/>
  <c r="AF433" i="2"/>
  <c r="U433" i="2"/>
  <c r="M433" i="2"/>
  <c r="AT433" i="2"/>
  <c r="AN357" i="2"/>
  <c r="P357" i="2"/>
  <c r="AM357" i="2"/>
  <c r="O357" i="2"/>
  <c r="AL357" i="2"/>
  <c r="N357" i="2"/>
  <c r="AB357" i="2"/>
  <c r="AC357" i="2" s="1"/>
  <c r="AX357" i="2"/>
  <c r="AY357" i="2" s="1"/>
  <c r="Z357" i="2"/>
  <c r="AK357" i="2"/>
  <c r="AD362" i="2"/>
  <c r="AB362" i="2"/>
  <c r="AQ362" i="2"/>
  <c r="S362" i="2"/>
  <c r="AP362" i="2"/>
  <c r="R362" i="2"/>
  <c r="AO362" i="2"/>
  <c r="Q362" i="2"/>
  <c r="AN362" i="2"/>
  <c r="P362" i="2"/>
  <c r="AK362" i="2"/>
  <c r="M362" i="2"/>
  <c r="AR362" i="2"/>
  <c r="W385" i="2"/>
  <c r="AE391" i="2"/>
  <c r="AL406" i="2"/>
  <c r="AM408" i="2"/>
  <c r="AQ414" i="2"/>
  <c r="I433" i="2"/>
  <c r="X385" i="2"/>
  <c r="AF391" i="2"/>
  <c r="AM406" i="2"/>
  <c r="AN408" i="2"/>
  <c r="AR414" i="2"/>
  <c r="AN433" i="2"/>
  <c r="X333" i="2"/>
  <c r="Z344" i="2"/>
  <c r="X351" i="2"/>
  <c r="AX352" i="2"/>
  <c r="AY352" i="2" s="1"/>
  <c r="Z352" i="2"/>
  <c r="AW352" i="2"/>
  <c r="Y352" i="2"/>
  <c r="AV352" i="2"/>
  <c r="X352" i="2"/>
  <c r="AM352" i="2"/>
  <c r="O352" i="2"/>
  <c r="AL352" i="2"/>
  <c r="N352" i="2"/>
  <c r="AJ352" i="2"/>
  <c r="L352" i="2"/>
  <c r="AN352" i="2"/>
  <c r="I357" i="2"/>
  <c r="AP357" i="2"/>
  <c r="I362" i="2"/>
  <c r="AT362" i="2"/>
  <c r="AE363" i="2"/>
  <c r="AN369" i="2"/>
  <c r="P369" i="2"/>
  <c r="AM369" i="2"/>
  <c r="O369" i="2"/>
  <c r="AL369" i="2"/>
  <c r="N369" i="2"/>
  <c r="AB369" i="2"/>
  <c r="AA369" i="2"/>
  <c r="AX369" i="2"/>
  <c r="Z369" i="2"/>
  <c r="AU369" i="2"/>
  <c r="W369" i="2"/>
  <c r="AS369" i="2"/>
  <c r="U369" i="2"/>
  <c r="AQ369" i="2"/>
  <c r="AF370" i="2"/>
  <c r="AY383" i="2"/>
  <c r="Y385" i="2"/>
  <c r="AG391" i="2"/>
  <c r="AY399" i="2"/>
  <c r="AZ399" i="2" s="1"/>
  <c r="AP406" i="2"/>
  <c r="AT408" i="2"/>
  <c r="AT414" i="2"/>
  <c r="AP433" i="2"/>
  <c r="J357" i="2"/>
  <c r="AQ357" i="2"/>
  <c r="AJ359" i="2"/>
  <c r="L359" i="2"/>
  <c r="AI359" i="2"/>
  <c r="AY359" i="2" s="1"/>
  <c r="AZ359" i="2" s="1"/>
  <c r="K359" i="2"/>
  <c r="AH359" i="2"/>
  <c r="J359" i="2"/>
  <c r="AW359" i="2"/>
  <c r="Y359" i="2"/>
  <c r="AV359" i="2"/>
  <c r="X359" i="2"/>
  <c r="AT359" i="2"/>
  <c r="V359" i="2"/>
  <c r="AQ359" i="2"/>
  <c r="S359" i="2"/>
  <c r="AO359" i="2"/>
  <c r="J362" i="2"/>
  <c r="AU362" i="2"/>
  <c r="AF363" i="2"/>
  <c r="Z385" i="2"/>
  <c r="AH391" i="2"/>
  <c r="AU406" i="2"/>
  <c r="AU408" i="2"/>
  <c r="AU433" i="2"/>
  <c r="AX340" i="2"/>
  <c r="AY340" i="2" s="1"/>
  <c r="AZ340" i="2" s="1"/>
  <c r="Z340" i="2"/>
  <c r="AW340" i="2"/>
  <c r="Y340" i="2"/>
  <c r="AV340" i="2"/>
  <c r="X340" i="2"/>
  <c r="AJ340" i="2"/>
  <c r="AH340" i="2"/>
  <c r="AH348" i="2"/>
  <c r="J348" i="2"/>
  <c r="AG348" i="2"/>
  <c r="I348" i="2"/>
  <c r="AF348" i="2"/>
  <c r="H348" i="2"/>
  <c r="AT348" i="2"/>
  <c r="V348" i="2"/>
  <c r="AR348" i="2"/>
  <c r="T348" i="2"/>
  <c r="AM348" i="2"/>
  <c r="S357" i="2"/>
  <c r="AW357" i="2"/>
  <c r="P359" i="2"/>
  <c r="U362" i="2"/>
  <c r="AM385" i="2"/>
  <c r="AA389" i="2"/>
  <c r="AX389" i="2"/>
  <c r="Z389" i="2"/>
  <c r="AK389" i="2"/>
  <c r="K389" i="2"/>
  <c r="AE389" i="2"/>
  <c r="AD389" i="2"/>
  <c r="AS389" i="2"/>
  <c r="AQ389" i="2"/>
  <c r="P389" i="2"/>
  <c r="AR389" i="2"/>
  <c r="L389" i="2"/>
  <c r="AP389" i="2"/>
  <c r="J389" i="2"/>
  <c r="AO389" i="2"/>
  <c r="I389" i="2"/>
  <c r="AB389" i="2"/>
  <c r="Y389" i="2"/>
  <c r="X389" i="2"/>
  <c r="W389" i="2"/>
  <c r="U389" i="2"/>
  <c r="T389" i="2"/>
  <c r="R389" i="2"/>
  <c r="AV389" i="2"/>
  <c r="O389" i="2"/>
  <c r="BD390" i="2"/>
  <c r="AP344" i="2"/>
  <c r="R344" i="2"/>
  <c r="AO344" i="2"/>
  <c r="Q344" i="2"/>
  <c r="AN344" i="2"/>
  <c r="P344" i="2"/>
  <c r="AB344" i="2"/>
  <c r="AC344" i="2" s="1"/>
  <c r="AI344" i="2"/>
  <c r="AY344" i="2" s="1"/>
  <c r="AN348" i="2"/>
  <c r="T357" i="2"/>
  <c r="Q359" i="2"/>
  <c r="V362" i="2"/>
  <c r="AB363" i="2"/>
  <c r="AC363" i="2" s="1"/>
  <c r="AA363" i="2"/>
  <c r="AX363" i="2"/>
  <c r="Z363" i="2"/>
  <c r="AO363" i="2"/>
  <c r="Q363" i="2"/>
  <c r="AN363" i="2"/>
  <c r="P363" i="2"/>
  <c r="AM363" i="2"/>
  <c r="O363" i="2"/>
  <c r="AL363" i="2"/>
  <c r="N363" i="2"/>
  <c r="AI363" i="2"/>
  <c r="K363" i="2"/>
  <c r="AR363" i="2"/>
  <c r="AQ370" i="2"/>
  <c r="AL370" i="2"/>
  <c r="N370" i="2"/>
  <c r="AK370" i="2"/>
  <c r="M370" i="2"/>
  <c r="AC370" i="2" s="1"/>
  <c r="AJ370" i="2"/>
  <c r="L370" i="2"/>
  <c r="AA370" i="2"/>
  <c r="Z370" i="2"/>
  <c r="AX370" i="2"/>
  <c r="Y370" i="2"/>
  <c r="AW370" i="2"/>
  <c r="X370" i="2"/>
  <c r="AT370" i="2"/>
  <c r="U370" i="2"/>
  <c r="AR370" i="2"/>
  <c r="S370" i="2"/>
  <c r="AS370" i="2"/>
  <c r="AY370" i="2" s="1"/>
  <c r="AO385" i="2"/>
  <c r="H389" i="2"/>
  <c r="I340" i="2"/>
  <c r="AK340" i="2"/>
  <c r="H344" i="2"/>
  <c r="AJ344" i="2"/>
  <c r="L348" i="2"/>
  <c r="AO348" i="2"/>
  <c r="U357" i="2"/>
  <c r="R359" i="2"/>
  <c r="W362" i="2"/>
  <c r="H363" i="2"/>
  <c r="AS363" i="2"/>
  <c r="S369" i="2"/>
  <c r="H370" i="2"/>
  <c r="AU370" i="2"/>
  <c r="AR385" i="2"/>
  <c r="M389" i="2"/>
  <c r="AN333" i="2"/>
  <c r="P333" i="2"/>
  <c r="AM333" i="2"/>
  <c r="O333" i="2"/>
  <c r="AL333" i="2"/>
  <c r="N333" i="2"/>
  <c r="AH333" i="2"/>
  <c r="J340" i="2"/>
  <c r="AL340" i="2"/>
  <c r="I344" i="2"/>
  <c r="AK344" i="2"/>
  <c r="M348" i="2"/>
  <c r="AC348" i="2" s="1"/>
  <c r="AZ348" i="2" s="1"/>
  <c r="AP348" i="2"/>
  <c r="AB351" i="2"/>
  <c r="AC351" i="2" s="1"/>
  <c r="AA351" i="2"/>
  <c r="AX351" i="2"/>
  <c r="AY351" i="2" s="1"/>
  <c r="Z351" i="2"/>
  <c r="AO351" i="2"/>
  <c r="Q351" i="2"/>
  <c r="AN351" i="2"/>
  <c r="P351" i="2"/>
  <c r="AL351" i="2"/>
  <c r="N351" i="2"/>
  <c r="AK351" i="2"/>
  <c r="V357" i="2"/>
  <c r="T359" i="2"/>
  <c r="X362" i="2"/>
  <c r="I363" i="2"/>
  <c r="AT363" i="2"/>
  <c r="T369" i="2"/>
  <c r="I370" i="2"/>
  <c r="AV370" i="2"/>
  <c r="N389" i="2"/>
  <c r="AO394" i="2"/>
  <c r="Q394" i="2"/>
  <c r="AN394" i="2"/>
  <c r="P394" i="2"/>
  <c r="AW394" i="2"/>
  <c r="W394" i="2"/>
  <c r="AT394" i="2"/>
  <c r="T394" i="2"/>
  <c r="AD394" i="2"/>
  <c r="AB394" i="2"/>
  <c r="AS394" i="2"/>
  <c r="O394" i="2"/>
  <c r="AR394" i="2"/>
  <c r="N394" i="2"/>
  <c r="AQ394" i="2"/>
  <c r="M394" i="2"/>
  <c r="AL394" i="2"/>
  <c r="J394" i="2"/>
  <c r="AX394" i="2"/>
  <c r="AM407" i="2"/>
  <c r="O407" i="2"/>
  <c r="AL407" i="2"/>
  <c r="N407" i="2"/>
  <c r="Y407" i="2"/>
  <c r="AX407" i="2"/>
  <c r="X407" i="2"/>
  <c r="AU407" i="2"/>
  <c r="U407" i="2"/>
  <c r="AO407" i="2"/>
  <c r="M407" i="2"/>
  <c r="AN407" i="2"/>
  <c r="L407" i="2"/>
  <c r="AB407" i="2"/>
  <c r="AA407" i="2"/>
  <c r="AT407" i="2"/>
  <c r="K407" i="2"/>
  <c r="AS407" i="2"/>
  <c r="J407" i="2"/>
  <c r="AR407" i="2"/>
  <c r="I407" i="2"/>
  <c r="AQ407" i="2"/>
  <c r="H407" i="2"/>
  <c r="AK407" i="2"/>
  <c r="AJ407" i="2"/>
  <c r="AF407" i="2"/>
  <c r="AI418" i="2"/>
  <c r="AG374" i="2"/>
  <c r="I374" i="2"/>
  <c r="AN374" i="2"/>
  <c r="O374" i="2"/>
  <c r="AM374" i="2"/>
  <c r="N374" i="2"/>
  <c r="AL374" i="2"/>
  <c r="M374" i="2"/>
  <c r="AJ374" i="2"/>
  <c r="AU379" i="2"/>
  <c r="W379" i="2"/>
  <c r="AM379" i="2"/>
  <c r="N379" i="2"/>
  <c r="AL379" i="2"/>
  <c r="M379" i="2"/>
  <c r="AK379" i="2"/>
  <c r="L379" i="2"/>
  <c r="AI379" i="2"/>
  <c r="AH382" i="2"/>
  <c r="AJ388" i="2"/>
  <c r="I394" i="2"/>
  <c r="Q407" i="2"/>
  <c r="AP418" i="2"/>
  <c r="AZ453" i="2"/>
  <c r="AE365" i="2"/>
  <c r="AA367" i="2"/>
  <c r="J374" i="2"/>
  <c r="AO374" i="2"/>
  <c r="AE378" i="2"/>
  <c r="I379" i="2"/>
  <c r="AN379" i="2"/>
  <c r="AS392" i="2"/>
  <c r="U392" i="2"/>
  <c r="AR392" i="2"/>
  <c r="T392" i="2"/>
  <c r="AQ392" i="2"/>
  <c r="Q392" i="2"/>
  <c r="AT392" i="2"/>
  <c r="P392" i="2"/>
  <c r="AP392" i="2"/>
  <c r="O392" i="2"/>
  <c r="AO392" i="2"/>
  <c r="N392" i="2"/>
  <c r="AF392" i="2"/>
  <c r="AE392" i="2"/>
  <c r="AD392" i="2"/>
  <c r="AA392" i="2"/>
  <c r="AU392" i="2"/>
  <c r="L394" i="2"/>
  <c r="S407" i="2"/>
  <c r="AO382" i="2"/>
  <c r="Q382" i="2"/>
  <c r="AG382" i="2"/>
  <c r="AN382" i="2"/>
  <c r="N382" i="2"/>
  <c r="AM382" i="2"/>
  <c r="M382" i="2"/>
  <c r="AL382" i="2"/>
  <c r="L382" i="2"/>
  <c r="Z382" i="2"/>
  <c r="AK382" i="2"/>
  <c r="AB388" i="2"/>
  <c r="AI388" i="2"/>
  <c r="I388" i="2"/>
  <c r="Y388" i="2"/>
  <c r="X388" i="2"/>
  <c r="AX388" i="2"/>
  <c r="W388" i="2"/>
  <c r="AM388" i="2"/>
  <c r="L388" i="2"/>
  <c r="AN388" i="2"/>
  <c r="R394" i="2"/>
  <c r="AQ405" i="2"/>
  <c r="S405" i="2"/>
  <c r="AP405" i="2"/>
  <c r="R405" i="2"/>
  <c r="AU405" i="2"/>
  <c r="U405" i="2"/>
  <c r="AT405" i="2"/>
  <c r="T405" i="2"/>
  <c r="AO405" i="2"/>
  <c r="O405" i="2"/>
  <c r="AI405" i="2"/>
  <c r="I405" i="2"/>
  <c r="AH405" i="2"/>
  <c r="H405" i="2"/>
  <c r="AB405" i="2"/>
  <c r="AA405" i="2"/>
  <c r="AW405" i="2"/>
  <c r="M405" i="2"/>
  <c r="AV405" i="2"/>
  <c r="L405" i="2"/>
  <c r="AS405" i="2"/>
  <c r="K405" i="2"/>
  <c r="AR405" i="2"/>
  <c r="J405" i="2"/>
  <c r="AM405" i="2"/>
  <c r="AL405" i="2"/>
  <c r="AF405" i="2"/>
  <c r="T407" i="2"/>
  <c r="AB356" i="2"/>
  <c r="AC356" i="2" s="1"/>
  <c r="AZ356" i="2" s="1"/>
  <c r="J365" i="2"/>
  <c r="AH365" i="2"/>
  <c r="AD367" i="2"/>
  <c r="AB368" i="2"/>
  <c r="AC368" i="2" s="1"/>
  <c r="AZ368" i="2" s="1"/>
  <c r="AI373" i="2"/>
  <c r="AN373" i="2"/>
  <c r="O373" i="2"/>
  <c r="AM373" i="2"/>
  <c r="N373" i="2"/>
  <c r="AL373" i="2"/>
  <c r="M373" i="2"/>
  <c r="AH373" i="2"/>
  <c r="BB373" i="2" s="1"/>
  <c r="BC373" i="2" s="1"/>
  <c r="P374" i="2"/>
  <c r="AR374" i="2"/>
  <c r="O379" i="2"/>
  <c r="AQ379" i="2"/>
  <c r="I382" i="2"/>
  <c r="AQ382" i="2"/>
  <c r="AI384" i="2"/>
  <c r="J388" i="2"/>
  <c r="AP388" i="2"/>
  <c r="J392" i="2"/>
  <c r="AX392" i="2"/>
  <c r="U394" i="2"/>
  <c r="P405" i="2"/>
  <c r="W407" i="2"/>
  <c r="AE367" i="2"/>
  <c r="Q374" i="2"/>
  <c r="AS374" i="2"/>
  <c r="AY374" i="2" s="1"/>
  <c r="AW378" i="2"/>
  <c r="Y378" i="2"/>
  <c r="AM378" i="2"/>
  <c r="N378" i="2"/>
  <c r="AL378" i="2"/>
  <c r="M378" i="2"/>
  <c r="AK378" i="2"/>
  <c r="L378" i="2"/>
  <c r="AI378" i="2"/>
  <c r="P379" i="2"/>
  <c r="AR379" i="2"/>
  <c r="J382" i="2"/>
  <c r="AR382" i="2"/>
  <c r="K388" i="2"/>
  <c r="AQ388" i="2"/>
  <c r="V394" i="2"/>
  <c r="Q405" i="2"/>
  <c r="Z407" i="2"/>
  <c r="AA413" i="2"/>
  <c r="AX413" i="2"/>
  <c r="Z413" i="2"/>
  <c r="AJ413" i="2"/>
  <c r="J413" i="2"/>
  <c r="AI413" i="2"/>
  <c r="I413" i="2"/>
  <c r="AF413" i="2"/>
  <c r="X413" i="2"/>
  <c r="AW413" i="2"/>
  <c r="W413" i="2"/>
  <c r="AT413" i="2"/>
  <c r="T413" i="2"/>
  <c r="AS413" i="2"/>
  <c r="S413" i="2"/>
  <c r="AH413" i="2"/>
  <c r="AG413" i="2"/>
  <c r="AE413" i="2"/>
  <c r="P413" i="2"/>
  <c r="O413" i="2"/>
  <c r="N413" i="2"/>
  <c r="AV413" i="2"/>
  <c r="M413" i="2"/>
  <c r="AR413" i="2"/>
  <c r="K413" i="2"/>
  <c r="AQ413" i="2"/>
  <c r="H413" i="2"/>
  <c r="AM413" i="2"/>
  <c r="AD356" i="2"/>
  <c r="L365" i="2"/>
  <c r="BD365" i="2" s="1"/>
  <c r="AJ365" i="2"/>
  <c r="H367" i="2"/>
  <c r="AF367" i="2"/>
  <c r="AD368" i="2"/>
  <c r="R374" i="2"/>
  <c r="AT374" i="2"/>
  <c r="H378" i="2"/>
  <c r="AJ378" i="2"/>
  <c r="Q379" i="2"/>
  <c r="AS379" i="2"/>
  <c r="K382" i="2"/>
  <c r="AS382" i="2"/>
  <c r="AY382" i="2" s="1"/>
  <c r="M388" i="2"/>
  <c r="AR388" i="2"/>
  <c r="L392" i="2"/>
  <c r="X394" i="2"/>
  <c r="V405" i="2"/>
  <c r="AD407" i="2"/>
  <c r="L413" i="2"/>
  <c r="AE356" i="2"/>
  <c r="M365" i="2"/>
  <c r="AK365" i="2"/>
  <c r="I367" i="2"/>
  <c r="AG367" i="2"/>
  <c r="AE368" i="2"/>
  <c r="S374" i="2"/>
  <c r="AU374" i="2"/>
  <c r="I378" i="2"/>
  <c r="AN378" i="2"/>
  <c r="R379" i="2"/>
  <c r="AT379" i="2"/>
  <c r="O382" i="2"/>
  <c r="AT382" i="2"/>
  <c r="AK384" i="2"/>
  <c r="M384" i="2"/>
  <c r="AG384" i="2"/>
  <c r="H384" i="2"/>
  <c r="AS384" i="2"/>
  <c r="S384" i="2"/>
  <c r="AR384" i="2"/>
  <c r="R384" i="2"/>
  <c r="AQ384" i="2"/>
  <c r="Q384" i="2"/>
  <c r="AD384" i="2"/>
  <c r="AM384" i="2"/>
  <c r="N388" i="2"/>
  <c r="AS388" i="2"/>
  <c r="M392" i="2"/>
  <c r="AC392" i="2" s="1"/>
  <c r="Y394" i="2"/>
  <c r="AG398" i="2"/>
  <c r="I398" i="2"/>
  <c r="AF398" i="2"/>
  <c r="H398" i="2"/>
  <c r="AE398" i="2"/>
  <c r="AB398" i="2"/>
  <c r="AC398" i="2" s="1"/>
  <c r="AV398" i="2"/>
  <c r="V398" i="2"/>
  <c r="AD398" i="2"/>
  <c r="AA398" i="2"/>
  <c r="AT398" i="2"/>
  <c r="Q398" i="2"/>
  <c r="AS398" i="2"/>
  <c r="AY398" i="2" s="1"/>
  <c r="P398" i="2"/>
  <c r="AR398" i="2"/>
  <c r="O398" i="2"/>
  <c r="AQ398" i="2"/>
  <c r="N398" i="2"/>
  <c r="AO398" i="2"/>
  <c r="L398" i="2"/>
  <c r="AN398" i="2"/>
  <c r="K398" i="2"/>
  <c r="AB400" i="2"/>
  <c r="AH400" i="2"/>
  <c r="H400" i="2"/>
  <c r="AE400" i="2"/>
  <c r="AW400" i="2"/>
  <c r="W400" i="2"/>
  <c r="AC400" i="2" s="1"/>
  <c r="AO400" i="2"/>
  <c r="L400" i="2"/>
  <c r="AN400" i="2"/>
  <c r="K400" i="2"/>
  <c r="AM400" i="2"/>
  <c r="J400" i="2"/>
  <c r="Z400" i="2"/>
  <c r="Y400" i="2"/>
  <c r="X400" i="2"/>
  <c r="V400" i="2"/>
  <c r="AX400" i="2"/>
  <c r="AY400" i="2" s="1"/>
  <c r="T400" i="2"/>
  <c r="AV400" i="2"/>
  <c r="S400" i="2"/>
  <c r="W405" i="2"/>
  <c r="AE407" i="2"/>
  <c r="Q413" i="2"/>
  <c r="BB423" i="2"/>
  <c r="BC423" i="2" s="1"/>
  <c r="AO418" i="2"/>
  <c r="Q418" i="2"/>
  <c r="AN418" i="2"/>
  <c r="P418" i="2"/>
  <c r="AG418" i="2"/>
  <c r="I418" i="2"/>
  <c r="AX418" i="2"/>
  <c r="W418" i="2"/>
  <c r="AC418" i="2" s="1"/>
  <c r="AW418" i="2"/>
  <c r="V418" i="2"/>
  <c r="AT418" i="2"/>
  <c r="S418" i="2"/>
  <c r="AL418" i="2"/>
  <c r="K418" i="2"/>
  <c r="AK418" i="2"/>
  <c r="J418" i="2"/>
  <c r="AJ418" i="2"/>
  <c r="H418" i="2"/>
  <c r="AH418" i="2"/>
  <c r="AF418" i="2"/>
  <c r="AD418" i="2"/>
  <c r="AS418" i="2"/>
  <c r="AR418" i="2"/>
  <c r="AQ418" i="2"/>
  <c r="AE418" i="2"/>
  <c r="Y418" i="2"/>
  <c r="X418" i="2"/>
  <c r="U418" i="2"/>
  <c r="T418" i="2"/>
  <c r="O418" i="2"/>
  <c r="N418" i="2"/>
  <c r="L418" i="2"/>
  <c r="AL443" i="2"/>
  <c r="N443" i="2"/>
  <c r="AH443" i="2"/>
  <c r="J443" i="2"/>
  <c r="AD443" i="2"/>
  <c r="AW443" i="2"/>
  <c r="Y443" i="2"/>
  <c r="AV443" i="2"/>
  <c r="X443" i="2"/>
  <c r="AJ443" i="2"/>
  <c r="AI443" i="2"/>
  <c r="W443" i="2"/>
  <c r="T443" i="2"/>
  <c r="S443" i="2"/>
  <c r="AS443" i="2"/>
  <c r="O443" i="2"/>
  <c r="AO443" i="2"/>
  <c r="I443" i="2"/>
  <c r="K443" i="2"/>
  <c r="H443" i="2"/>
  <c r="AT443" i="2"/>
  <c r="AK443" i="2"/>
  <c r="AG443" i="2"/>
  <c r="AF443" i="2"/>
  <c r="AB443" i="2"/>
  <c r="AA443" i="2"/>
  <c r="V443" i="2"/>
  <c r="U443" i="2"/>
  <c r="P443" i="2"/>
  <c r="AU443" i="2"/>
  <c r="AM443" i="2"/>
  <c r="AE443" i="2"/>
  <c r="Z443" i="2"/>
  <c r="R443" i="2"/>
  <c r="M443" i="2"/>
  <c r="AC443" i="2" s="1"/>
  <c r="L443" i="2"/>
  <c r="AS504" i="2"/>
  <c r="U504" i="2"/>
  <c r="AO504" i="2"/>
  <c r="Q504" i="2"/>
  <c r="AN504" i="2"/>
  <c r="P504" i="2"/>
  <c r="AM504" i="2"/>
  <c r="O504" i="2"/>
  <c r="AH504" i="2"/>
  <c r="AG504" i="2"/>
  <c r="AD504" i="2"/>
  <c r="AA504" i="2"/>
  <c r="W504" i="2"/>
  <c r="AX504" i="2"/>
  <c r="L504" i="2"/>
  <c r="AW504" i="2"/>
  <c r="K504" i="2"/>
  <c r="AV504" i="2"/>
  <c r="J504" i="2"/>
  <c r="AT504" i="2"/>
  <c r="H504" i="2"/>
  <c r="AK504" i="2"/>
  <c r="AI504" i="2"/>
  <c r="AF504" i="2"/>
  <c r="AE504" i="2"/>
  <c r="AB504" i="2"/>
  <c r="Z504" i="2"/>
  <c r="Y504" i="2"/>
  <c r="S504" i="2"/>
  <c r="R504" i="2"/>
  <c r="AU504" i="2"/>
  <c r="AR504" i="2"/>
  <c r="AP504" i="2"/>
  <c r="AL504" i="2"/>
  <c r="AJ504" i="2"/>
  <c r="X504" i="2"/>
  <c r="V504" i="2"/>
  <c r="N504" i="2"/>
  <c r="AQ504" i="2"/>
  <c r="M504" i="2"/>
  <c r="I504" i="2"/>
  <c r="T504" i="2"/>
  <c r="P356" i="2"/>
  <c r="AN356" i="2"/>
  <c r="V365" i="2"/>
  <c r="AT365" i="2"/>
  <c r="R367" i="2"/>
  <c r="AP367" i="2"/>
  <c r="BB367" i="2" s="1"/>
  <c r="BC367" i="2" s="1"/>
  <c r="P368" i="2"/>
  <c r="AN368" i="2"/>
  <c r="V373" i="2"/>
  <c r="AX373" i="2"/>
  <c r="AB374" i="2"/>
  <c r="U378" i="2"/>
  <c r="AX378" i="2"/>
  <c r="AB379" i="2"/>
  <c r="Y382" i="2"/>
  <c r="U384" i="2"/>
  <c r="Z388" i="2"/>
  <c r="AK394" i="2"/>
  <c r="AK396" i="2"/>
  <c r="M396" i="2"/>
  <c r="AJ396" i="2"/>
  <c r="L396" i="2"/>
  <c r="AA396" i="2"/>
  <c r="AX396" i="2"/>
  <c r="AY396" i="2" s="1"/>
  <c r="X396" i="2"/>
  <c r="AR396" i="2"/>
  <c r="P396" i="2"/>
  <c r="AQ396" i="2"/>
  <c r="O396" i="2"/>
  <c r="AP396" i="2"/>
  <c r="N396" i="2"/>
  <c r="AE396" i="2"/>
  <c r="AD396" i="2"/>
  <c r="AB396" i="2"/>
  <c r="Y396" i="2"/>
  <c r="W396" i="2"/>
  <c r="AW396" i="2"/>
  <c r="Y398" i="2"/>
  <c r="AA400" i="2"/>
  <c r="AN405" i="2"/>
  <c r="AI409" i="2"/>
  <c r="K409" i="2"/>
  <c r="AH409" i="2"/>
  <c r="J409" i="2"/>
  <c r="AB409" i="2"/>
  <c r="Y409" i="2"/>
  <c r="AS409" i="2"/>
  <c r="S409" i="2"/>
  <c r="AR409" i="2"/>
  <c r="R409" i="2"/>
  <c r="AA409" i="2"/>
  <c r="Z409" i="2"/>
  <c r="X409" i="2"/>
  <c r="AT409" i="2"/>
  <c r="M409" i="2"/>
  <c r="AQ409" i="2"/>
  <c r="L409" i="2"/>
  <c r="AP409" i="2"/>
  <c r="I409" i="2"/>
  <c r="AO409" i="2"/>
  <c r="H409" i="2"/>
  <c r="AM409" i="2"/>
  <c r="AL409" i="2"/>
  <c r="AF409" i="2"/>
  <c r="BB411" i="2"/>
  <c r="BC411" i="2" s="1"/>
  <c r="AL413" i="2"/>
  <c r="R418" i="2"/>
  <c r="AP441" i="2"/>
  <c r="R441" i="2"/>
  <c r="AL441" i="2"/>
  <c r="N441" i="2"/>
  <c r="AG441" i="2"/>
  <c r="I441" i="2"/>
  <c r="AX441" i="2"/>
  <c r="W441" i="2"/>
  <c r="AW441" i="2"/>
  <c r="V441" i="2"/>
  <c r="AO441" i="2"/>
  <c r="M441" i="2"/>
  <c r="AK441" i="2"/>
  <c r="J441" i="2"/>
  <c r="AJ441" i="2"/>
  <c r="H441" i="2"/>
  <c r="AA441" i="2"/>
  <c r="O441" i="2"/>
  <c r="AV441" i="2"/>
  <c r="L441" i="2"/>
  <c r="AS441" i="2"/>
  <c r="AH441" i="2"/>
  <c r="AF441" i="2"/>
  <c r="AE441" i="2"/>
  <c r="AB441" i="2"/>
  <c r="Y441" i="2"/>
  <c r="X441" i="2"/>
  <c r="S441" i="2"/>
  <c r="T441" i="2"/>
  <c r="Q441" i="2"/>
  <c r="P441" i="2"/>
  <c r="AU441" i="2"/>
  <c r="AR441" i="2"/>
  <c r="AQ441" i="2"/>
  <c r="AM441" i="2"/>
  <c r="AD441" i="2"/>
  <c r="Q443" i="2"/>
  <c r="AE325" i="2"/>
  <c r="AE337" i="2"/>
  <c r="AE349" i="2"/>
  <c r="Q356" i="2"/>
  <c r="AO356" i="2"/>
  <c r="AE361" i="2"/>
  <c r="W365" i="2"/>
  <c r="AU365" i="2"/>
  <c r="S367" i="2"/>
  <c r="AQ367" i="2"/>
  <c r="Q368" i="2"/>
  <c r="AO368" i="2"/>
  <c r="W373" i="2"/>
  <c r="AM376" i="2"/>
  <c r="N376" i="2"/>
  <c r="AL376" i="2"/>
  <c r="M376" i="2"/>
  <c r="AC376" i="2" s="1"/>
  <c r="AK376" i="2"/>
  <c r="L376" i="2"/>
  <c r="AI376" i="2"/>
  <c r="AY376" i="2" s="1"/>
  <c r="V378" i="2"/>
  <c r="AS380" i="2"/>
  <c r="U380" i="2"/>
  <c r="AM380" i="2"/>
  <c r="N380" i="2"/>
  <c r="AL380" i="2"/>
  <c r="M380" i="2"/>
  <c r="AC380" i="2" s="1"/>
  <c r="AK380" i="2"/>
  <c r="L380" i="2"/>
  <c r="AI380" i="2"/>
  <c r="AA382" i="2"/>
  <c r="AM383" i="2"/>
  <c r="O383" i="2"/>
  <c r="AG383" i="2"/>
  <c r="H383" i="2"/>
  <c r="AQ383" i="2"/>
  <c r="Q383" i="2"/>
  <c r="AP383" i="2"/>
  <c r="P383" i="2"/>
  <c r="AO383" i="2"/>
  <c r="N383" i="2"/>
  <c r="AB383" i="2"/>
  <c r="AC383" i="2" s="1"/>
  <c r="AL383" i="2"/>
  <c r="V384" i="2"/>
  <c r="AA388" i="2"/>
  <c r="AG392" i="2"/>
  <c r="AM394" i="2"/>
  <c r="H396" i="2"/>
  <c r="Z398" i="2"/>
  <c r="AD400" i="2"/>
  <c r="AX405" i="2"/>
  <c r="N409" i="2"/>
  <c r="BD411" i="2"/>
  <c r="AN413" i="2"/>
  <c r="Z418" i="2"/>
  <c r="AC425" i="2"/>
  <c r="K441" i="2"/>
  <c r="AN443" i="2"/>
  <c r="H325" i="2"/>
  <c r="H337" i="2"/>
  <c r="H349" i="2"/>
  <c r="R356" i="2"/>
  <c r="H361" i="2"/>
  <c r="X365" i="2"/>
  <c r="T367" i="2"/>
  <c r="R368" i="2"/>
  <c r="X373" i="2"/>
  <c r="AD374" i="2"/>
  <c r="H376" i="2"/>
  <c r="AJ376" i="2"/>
  <c r="W378" i="2"/>
  <c r="AD379" i="2"/>
  <c r="H380" i="2"/>
  <c r="AJ380" i="2"/>
  <c r="AB382" i="2"/>
  <c r="I383" i="2"/>
  <c r="AN383" i="2"/>
  <c r="W384" i="2"/>
  <c r="AD388" i="2"/>
  <c r="AH392" i="2"/>
  <c r="AP394" i="2"/>
  <c r="I396" i="2"/>
  <c r="AH398" i="2"/>
  <c r="AF400" i="2"/>
  <c r="O409" i="2"/>
  <c r="AO413" i="2"/>
  <c r="AA418" i="2"/>
  <c r="U441" i="2"/>
  <c r="AP443" i="2"/>
  <c r="AK420" i="2"/>
  <c r="M420" i="2"/>
  <c r="AJ420" i="2"/>
  <c r="L420" i="2"/>
  <c r="AE420" i="2"/>
  <c r="AD420" i="2"/>
  <c r="Z420" i="2"/>
  <c r="AU420" i="2"/>
  <c r="T420" i="2"/>
  <c r="AT420" i="2"/>
  <c r="S420" i="2"/>
  <c r="AS420" i="2"/>
  <c r="R420" i="2"/>
  <c r="AQ420" i="2"/>
  <c r="P420" i="2"/>
  <c r="AP420" i="2"/>
  <c r="O420" i="2"/>
  <c r="AN420" i="2"/>
  <c r="K420" i="2"/>
  <c r="AM420" i="2"/>
  <c r="J420" i="2"/>
  <c r="AA427" i="2"/>
  <c r="AH445" i="2"/>
  <c r="J445" i="2"/>
  <c r="AD445" i="2"/>
  <c r="AX445" i="2"/>
  <c r="Z445" i="2"/>
  <c r="AW445" i="2"/>
  <c r="Y445" i="2"/>
  <c r="AS445" i="2"/>
  <c r="U445" i="2"/>
  <c r="AR445" i="2"/>
  <c r="T445" i="2"/>
  <c r="AE445" i="2"/>
  <c r="R445" i="2"/>
  <c r="AU445" i="2"/>
  <c r="O445" i="2"/>
  <c r="AT445" i="2"/>
  <c r="N445" i="2"/>
  <c r="AN445" i="2"/>
  <c r="I445" i="2"/>
  <c r="AJ445" i="2"/>
  <c r="AK445" i="2"/>
  <c r="AI445" i="2"/>
  <c r="AB445" i="2"/>
  <c r="Q445" i="2"/>
  <c r="P445" i="2"/>
  <c r="M445" i="2"/>
  <c r="K445" i="2"/>
  <c r="H445" i="2"/>
  <c r="AV445" i="2"/>
  <c r="AO445" i="2"/>
  <c r="AI463" i="2"/>
  <c r="K463" i="2"/>
  <c r="AH463" i="2"/>
  <c r="J463" i="2"/>
  <c r="AA463" i="2"/>
  <c r="AW463" i="2"/>
  <c r="Y463" i="2"/>
  <c r="AV463" i="2"/>
  <c r="X463" i="2"/>
  <c r="AG463" i="2"/>
  <c r="AD463" i="2"/>
  <c r="V463" i="2"/>
  <c r="U463" i="2"/>
  <c r="AX463" i="2"/>
  <c r="S463" i="2"/>
  <c r="AU463" i="2"/>
  <c r="R463" i="2"/>
  <c r="AT463" i="2"/>
  <c r="Q463" i="2"/>
  <c r="AS463" i="2"/>
  <c r="P463" i="2"/>
  <c r="AR463" i="2"/>
  <c r="O463" i="2"/>
  <c r="AE463" i="2"/>
  <c r="AB463" i="2"/>
  <c r="I463" i="2"/>
  <c r="H463" i="2"/>
  <c r="AQ463" i="2"/>
  <c r="AP463" i="2"/>
  <c r="AO463" i="2"/>
  <c r="AL463" i="2"/>
  <c r="W463" i="2"/>
  <c r="T463" i="2"/>
  <c r="L463" i="2"/>
  <c r="AN463" i="2"/>
  <c r="AJ463" i="2"/>
  <c r="AJ432" i="2"/>
  <c r="L432" i="2"/>
  <c r="AR432" i="2"/>
  <c r="S432" i="2"/>
  <c r="AQ432" i="2"/>
  <c r="R432" i="2"/>
  <c r="AI432" i="2"/>
  <c r="J432" i="2"/>
  <c r="AE432" i="2"/>
  <c r="AN432" i="2"/>
  <c r="I432" i="2"/>
  <c r="AM432" i="2"/>
  <c r="H432" i="2"/>
  <c r="AH432" i="2"/>
  <c r="AA432" i="2"/>
  <c r="Z432" i="2"/>
  <c r="Y432" i="2"/>
  <c r="W432" i="2"/>
  <c r="V432" i="2"/>
  <c r="AW432" i="2"/>
  <c r="T432" i="2"/>
  <c r="AV432" i="2"/>
  <c r="Q432" i="2"/>
  <c r="AS432" i="2"/>
  <c r="N432" i="2"/>
  <c r="AW402" i="2"/>
  <c r="Y402" i="2"/>
  <c r="AV402" i="2"/>
  <c r="X402" i="2"/>
  <c r="AL402" i="2"/>
  <c r="L402" i="2"/>
  <c r="AI402" i="2"/>
  <c r="AY402" i="2" s="1"/>
  <c r="I402" i="2"/>
  <c r="AK402" i="2"/>
  <c r="Q420" i="2"/>
  <c r="AH427" i="2"/>
  <c r="AH428" i="2"/>
  <c r="AL431" i="2"/>
  <c r="N431" i="2"/>
  <c r="AR431" i="2"/>
  <c r="S431" i="2"/>
  <c r="AQ431" i="2"/>
  <c r="R431" i="2"/>
  <c r="AI431" i="2"/>
  <c r="J431" i="2"/>
  <c r="AE431" i="2"/>
  <c r="AD431" i="2"/>
  <c r="Z431" i="2"/>
  <c r="AW431" i="2"/>
  <c r="T431" i="2"/>
  <c r="AV431" i="2"/>
  <c r="Q431" i="2"/>
  <c r="AU431" i="2"/>
  <c r="P431" i="2"/>
  <c r="AS431" i="2"/>
  <c r="M431" i="2"/>
  <c r="AP431" i="2"/>
  <c r="L431" i="2"/>
  <c r="AN431" i="2"/>
  <c r="I431" i="2"/>
  <c r="AM431" i="2"/>
  <c r="H431" i="2"/>
  <c r="AH431" i="2"/>
  <c r="M432" i="2"/>
  <c r="W445" i="2"/>
  <c r="AF463" i="2"/>
  <c r="AH475" i="2"/>
  <c r="J475" i="2"/>
  <c r="AG475" i="2"/>
  <c r="I475" i="2"/>
  <c r="AD475" i="2"/>
  <c r="AP475" i="2"/>
  <c r="N475" i="2"/>
  <c r="AO475" i="2"/>
  <c r="M475" i="2"/>
  <c r="AF475" i="2"/>
  <c r="AB475" i="2"/>
  <c r="AA475" i="2"/>
  <c r="Z475" i="2"/>
  <c r="Y475" i="2"/>
  <c r="W475" i="2"/>
  <c r="AU475" i="2"/>
  <c r="S475" i="2"/>
  <c r="AT475" i="2"/>
  <c r="AQ475" i="2"/>
  <c r="AN475" i="2"/>
  <c r="AJ475" i="2"/>
  <c r="AI475" i="2"/>
  <c r="X475" i="2"/>
  <c r="V475" i="2"/>
  <c r="U475" i="2"/>
  <c r="T475" i="2"/>
  <c r="R475" i="2"/>
  <c r="L475" i="2"/>
  <c r="K475" i="2"/>
  <c r="AX475" i="2"/>
  <c r="AV475" i="2"/>
  <c r="AS475" i="2"/>
  <c r="AR475" i="2"/>
  <c r="AM475" i="2"/>
  <c r="AE475" i="2"/>
  <c r="AL475" i="2"/>
  <c r="AK475" i="2"/>
  <c r="Q475" i="2"/>
  <c r="P475" i="2"/>
  <c r="O475" i="2"/>
  <c r="H402" i="2"/>
  <c r="AM402" i="2"/>
  <c r="AS416" i="2"/>
  <c r="AY416" i="2" s="1"/>
  <c r="U416" i="2"/>
  <c r="AR416" i="2"/>
  <c r="T416" i="2"/>
  <c r="AP416" i="2"/>
  <c r="P416" i="2"/>
  <c r="AO416" i="2"/>
  <c r="O416" i="2"/>
  <c r="AL416" i="2"/>
  <c r="L416" i="2"/>
  <c r="AF416" i="2"/>
  <c r="AE416" i="2"/>
  <c r="AB416" i="2"/>
  <c r="AC416" i="2" s="1"/>
  <c r="AA416" i="2"/>
  <c r="AQ416" i="2"/>
  <c r="U420" i="2"/>
  <c r="AJ427" i="2"/>
  <c r="AL428" i="2"/>
  <c r="K431" i="2"/>
  <c r="O432" i="2"/>
  <c r="X445" i="2"/>
  <c r="AK463" i="2"/>
  <c r="H475" i="2"/>
  <c r="K402" i="2"/>
  <c r="AO402" i="2"/>
  <c r="W420" i="2"/>
  <c r="AO427" i="2"/>
  <c r="AO428" i="2"/>
  <c r="U432" i="2"/>
  <c r="AF445" i="2"/>
  <c r="BB460" i="2"/>
  <c r="BC460" i="2" s="1"/>
  <c r="AQ393" i="2"/>
  <c r="S393" i="2"/>
  <c r="AP393" i="2"/>
  <c r="BB393" i="2" s="1"/>
  <c r="BC393" i="2" s="1"/>
  <c r="R393" i="2"/>
  <c r="AU393" i="2"/>
  <c r="U393" i="2"/>
  <c r="AR393" i="2"/>
  <c r="P393" i="2"/>
  <c r="AI393" i="2"/>
  <c r="AI397" i="2"/>
  <c r="K397" i="2"/>
  <c r="AH397" i="2"/>
  <c r="J397" i="2"/>
  <c r="Z397" i="2"/>
  <c r="AK397" i="2"/>
  <c r="M402" i="2"/>
  <c r="AP402" i="2"/>
  <c r="J416" i="2"/>
  <c r="AV416" i="2"/>
  <c r="X420" i="2"/>
  <c r="AR427" i="2"/>
  <c r="AP428" i="2"/>
  <c r="V431" i="2"/>
  <c r="X432" i="2"/>
  <c r="AG445" i="2"/>
  <c r="N402" i="2"/>
  <c r="AQ402" i="2"/>
  <c r="Y420" i="2"/>
  <c r="AY422" i="2"/>
  <c r="AU428" i="2"/>
  <c r="W431" i="2"/>
  <c r="AB432" i="2"/>
  <c r="AB436" i="2"/>
  <c r="AV436" i="2"/>
  <c r="X436" i="2"/>
  <c r="AQ436" i="2"/>
  <c r="S436" i="2"/>
  <c r="Z436" i="2"/>
  <c r="Y436" i="2"/>
  <c r="AR436" i="2"/>
  <c r="P436" i="2"/>
  <c r="AM436" i="2"/>
  <c r="L436" i="2"/>
  <c r="W436" i="2"/>
  <c r="V436" i="2"/>
  <c r="R436" i="2"/>
  <c r="AP436" i="2"/>
  <c r="J436" i="2"/>
  <c r="AO436" i="2"/>
  <c r="I436" i="2"/>
  <c r="AN436" i="2"/>
  <c r="H436" i="2"/>
  <c r="AK436" i="2"/>
  <c r="AJ436" i="2"/>
  <c r="AH436" i="2"/>
  <c r="AG436" i="2"/>
  <c r="AD436" i="2"/>
  <c r="AL445" i="2"/>
  <c r="AA455" i="2"/>
  <c r="AO455" i="2"/>
  <c r="Q455" i="2"/>
  <c r="AF455" i="2"/>
  <c r="AB455" i="2"/>
  <c r="AW455" i="2"/>
  <c r="W455" i="2"/>
  <c r="AV455" i="2"/>
  <c r="V455" i="2"/>
  <c r="AR455" i="2"/>
  <c r="R455" i="2"/>
  <c r="AQ455" i="2"/>
  <c r="P455" i="2"/>
  <c r="AP455" i="2"/>
  <c r="O455" i="2"/>
  <c r="L455" i="2"/>
  <c r="AX455" i="2"/>
  <c r="K455" i="2"/>
  <c r="AK455" i="2"/>
  <c r="AH455" i="2"/>
  <c r="AG455" i="2"/>
  <c r="AD455" i="2"/>
  <c r="Z455" i="2"/>
  <c r="Y455" i="2"/>
  <c r="T455" i="2"/>
  <c r="AS455" i="2"/>
  <c r="AN455" i="2"/>
  <c r="AJ455" i="2"/>
  <c r="S455" i="2"/>
  <c r="N455" i="2"/>
  <c r="M455" i="2"/>
  <c r="I455" i="2"/>
  <c r="H455" i="2"/>
  <c r="O402" i="2"/>
  <c r="AR402" i="2"/>
  <c r="AA420" i="2"/>
  <c r="X431" i="2"/>
  <c r="K436" i="2"/>
  <c r="AM445" i="2"/>
  <c r="J455" i="2"/>
  <c r="AU427" i="2"/>
  <c r="W427" i="2"/>
  <c r="AT427" i="2"/>
  <c r="V427" i="2"/>
  <c r="AM427" i="2"/>
  <c r="O427" i="2"/>
  <c r="AF427" i="2"/>
  <c r="AE427" i="2"/>
  <c r="AB427" i="2"/>
  <c r="AW427" i="2"/>
  <c r="T427" i="2"/>
  <c r="AV427" i="2"/>
  <c r="S427" i="2"/>
  <c r="AS427" i="2"/>
  <c r="R427" i="2"/>
  <c r="AQ427" i="2"/>
  <c r="P427" i="2"/>
  <c r="AP427" i="2"/>
  <c r="N427" i="2"/>
  <c r="AN427" i="2"/>
  <c r="L427" i="2"/>
  <c r="AL427" i="2"/>
  <c r="K427" i="2"/>
  <c r="AI427" i="2"/>
  <c r="H427" i="2"/>
  <c r="AS428" i="2"/>
  <c r="U428" i="2"/>
  <c r="AR428" i="2"/>
  <c r="T428" i="2"/>
  <c r="AK428" i="2"/>
  <c r="M428" i="2"/>
  <c r="AJ428" i="2"/>
  <c r="I428" i="2"/>
  <c r="AI428" i="2"/>
  <c r="AY428" i="2" s="1"/>
  <c r="H428" i="2"/>
  <c r="AF428" i="2"/>
  <c r="Z428" i="2"/>
  <c r="Y428" i="2"/>
  <c r="X428" i="2"/>
  <c r="AW428" i="2"/>
  <c r="V428" i="2"/>
  <c r="AV428" i="2"/>
  <c r="S428" i="2"/>
  <c r="AT428" i="2"/>
  <c r="Q428" i="2"/>
  <c r="AQ428" i="2"/>
  <c r="P428" i="2"/>
  <c r="AN428" i="2"/>
  <c r="L428" i="2"/>
  <c r="AL432" i="2"/>
  <c r="AF446" i="2"/>
  <c r="H446" i="2"/>
  <c r="AB446" i="2"/>
  <c r="AV446" i="2"/>
  <c r="X446" i="2"/>
  <c r="AU446" i="2"/>
  <c r="W446" i="2"/>
  <c r="AQ446" i="2"/>
  <c r="S446" i="2"/>
  <c r="AP446" i="2"/>
  <c r="R446" i="2"/>
  <c r="AR446" i="2"/>
  <c r="L446" i="2"/>
  <c r="AO446" i="2"/>
  <c r="K446" i="2"/>
  <c r="AH446" i="2"/>
  <c r="AD446" i="2"/>
  <c r="V446" i="2"/>
  <c r="AX446" i="2"/>
  <c r="P446" i="2"/>
  <c r="AG446" i="2"/>
  <c r="AE446" i="2"/>
  <c r="Y446" i="2"/>
  <c r="M446" i="2"/>
  <c r="J446" i="2"/>
  <c r="I446" i="2"/>
  <c r="AW446" i="2"/>
  <c r="AS446" i="2"/>
  <c r="AN446" i="2"/>
  <c r="AK446" i="2"/>
  <c r="BD375" i="2"/>
  <c r="V393" i="2"/>
  <c r="AX393" i="2"/>
  <c r="T397" i="2"/>
  <c r="BD397" i="2" s="1"/>
  <c r="AV397" i="2"/>
  <c r="Z402" i="2"/>
  <c r="Z416" i="2"/>
  <c r="AV420" i="2"/>
  <c r="Q427" i="2"/>
  <c r="O428" i="2"/>
  <c r="AT431" i="2"/>
  <c r="AU432" i="2"/>
  <c r="AE436" i="2"/>
  <c r="T446" i="2"/>
  <c r="AU455" i="2"/>
  <c r="AW390" i="2"/>
  <c r="Y390" i="2"/>
  <c r="AV390" i="2"/>
  <c r="X390" i="2"/>
  <c r="AM390" i="2"/>
  <c r="M390" i="2"/>
  <c r="AC390" i="2" s="1"/>
  <c r="AH390" i="2"/>
  <c r="W393" i="2"/>
  <c r="AC393" i="2" s="1"/>
  <c r="AM395" i="2"/>
  <c r="O395" i="2"/>
  <c r="AL395" i="2"/>
  <c r="N395" i="2"/>
  <c r="Y395" i="2"/>
  <c r="AV395" i="2"/>
  <c r="V395" i="2"/>
  <c r="AI395" i="2"/>
  <c r="AY395" i="2" s="1"/>
  <c r="AZ395" i="2" s="1"/>
  <c r="U397" i="2"/>
  <c r="AW397" i="2"/>
  <c r="AA402" i="2"/>
  <c r="AU403" i="2"/>
  <c r="W403" i="2"/>
  <c r="AC403" i="2" s="1"/>
  <c r="AZ403" i="2" s="1"/>
  <c r="AT403" i="2"/>
  <c r="V403" i="2"/>
  <c r="AN403" i="2"/>
  <c r="N403" i="2"/>
  <c r="BD403" i="2" s="1"/>
  <c r="AK403" i="2"/>
  <c r="K403" i="2"/>
  <c r="AE403" i="2"/>
  <c r="AJ403" i="2"/>
  <c r="AU415" i="2"/>
  <c r="W415" i="2"/>
  <c r="AT415" i="2"/>
  <c r="V415" i="2"/>
  <c r="AN415" i="2"/>
  <c r="N415" i="2"/>
  <c r="BD415" i="2" s="1"/>
  <c r="AM415" i="2"/>
  <c r="M415" i="2"/>
  <c r="AJ415" i="2"/>
  <c r="J415" i="2"/>
  <c r="AD415" i="2"/>
  <c r="Z415" i="2"/>
  <c r="Y415" i="2"/>
  <c r="AQ415" i="2"/>
  <c r="AC417" i="2"/>
  <c r="AW420" i="2"/>
  <c r="AG422" i="2"/>
  <c r="I422" i="2"/>
  <c r="AF422" i="2"/>
  <c r="H422" i="2"/>
  <c r="AW422" i="2"/>
  <c r="Y422" i="2"/>
  <c r="AO422" i="2"/>
  <c r="N422" i="2"/>
  <c r="AN422" i="2"/>
  <c r="M422" i="2"/>
  <c r="AK422" i="2"/>
  <c r="BB422" i="2" s="1"/>
  <c r="BC422" i="2" s="1"/>
  <c r="J422" i="2"/>
  <c r="AB422" i="2"/>
  <c r="AA422" i="2"/>
  <c r="X422" i="2"/>
  <c r="W422" i="2"/>
  <c r="AV422" i="2"/>
  <c r="U422" i="2"/>
  <c r="AU422" i="2"/>
  <c r="T422" i="2"/>
  <c r="U427" i="2"/>
  <c r="R428" i="2"/>
  <c r="AX431" i="2"/>
  <c r="AX432" i="2"/>
  <c r="AF436" i="2"/>
  <c r="U446" i="2"/>
  <c r="H390" i="2"/>
  <c r="AI390" i="2"/>
  <c r="AY390" i="2" s="1"/>
  <c r="X393" i="2"/>
  <c r="H395" i="2"/>
  <c r="AJ395" i="2"/>
  <c r="V397" i="2"/>
  <c r="AX397" i="2"/>
  <c r="BB399" i="2"/>
  <c r="BC399" i="2" s="1"/>
  <c r="AB402" i="2"/>
  <c r="H403" i="2"/>
  <c r="AL403" i="2"/>
  <c r="H415" i="2"/>
  <c r="AR415" i="2"/>
  <c r="AD416" i="2"/>
  <c r="AX420" i="2"/>
  <c r="X427" i="2"/>
  <c r="W428" i="2"/>
  <c r="AI436" i="2"/>
  <c r="AY436" i="2" s="1"/>
  <c r="AR440" i="2"/>
  <c r="T440" i="2"/>
  <c r="AN440" i="2"/>
  <c r="P440" i="2"/>
  <c r="AI440" i="2"/>
  <c r="K440" i="2"/>
  <c r="AT440" i="2"/>
  <c r="R440" i="2"/>
  <c r="AS440" i="2"/>
  <c r="Q440" i="2"/>
  <c r="AJ440" i="2"/>
  <c r="H440" i="2"/>
  <c r="AF440" i="2"/>
  <c r="AE440" i="2"/>
  <c r="AX440" i="2"/>
  <c r="W440" i="2"/>
  <c r="AC440" i="2" s="1"/>
  <c r="AA440" i="2"/>
  <c r="Z440" i="2"/>
  <c r="V440" i="2"/>
  <c r="AW440" i="2"/>
  <c r="L440" i="2"/>
  <c r="AV440" i="2"/>
  <c r="J440" i="2"/>
  <c r="AU440" i="2"/>
  <c r="I440" i="2"/>
  <c r="AP440" i="2"/>
  <c r="AO440" i="2"/>
  <c r="AL440" i="2"/>
  <c r="AK440" i="2"/>
  <c r="AD440" i="2"/>
  <c r="Z446" i="2"/>
  <c r="AW426" i="2"/>
  <c r="Y426" i="2"/>
  <c r="AV426" i="2"/>
  <c r="X426" i="2"/>
  <c r="AO426" i="2"/>
  <c r="Q426" i="2"/>
  <c r="AH426" i="2"/>
  <c r="H426" i="2"/>
  <c r="AI426" i="2"/>
  <c r="AY426" i="2" s="1"/>
  <c r="AD430" i="2"/>
  <c r="J426" i="2"/>
  <c r="AK426" i="2"/>
  <c r="AG430" i="2"/>
  <c r="AQ479" i="2"/>
  <c r="AP479" i="2"/>
  <c r="Z479" i="2"/>
  <c r="Y479" i="2"/>
  <c r="AV479" i="2"/>
  <c r="V479" i="2"/>
  <c r="AU479" i="2"/>
  <c r="U479" i="2"/>
  <c r="AS479" i="2"/>
  <c r="AL479" i="2"/>
  <c r="J479" i="2"/>
  <c r="AK479" i="2"/>
  <c r="I479" i="2"/>
  <c r="AD479" i="2"/>
  <c r="AB479" i="2"/>
  <c r="AA479" i="2"/>
  <c r="X479" i="2"/>
  <c r="W479" i="2"/>
  <c r="S479" i="2"/>
  <c r="AT479" i="2"/>
  <c r="O479" i="2"/>
  <c r="AR479" i="2"/>
  <c r="N479" i="2"/>
  <c r="AO479" i="2"/>
  <c r="AN479" i="2"/>
  <c r="AH479" i="2"/>
  <c r="AG479" i="2"/>
  <c r="AE479" i="2"/>
  <c r="T479" i="2"/>
  <c r="R479" i="2"/>
  <c r="Q479" i="2"/>
  <c r="AX479" i="2"/>
  <c r="AW479" i="2"/>
  <c r="AJ479" i="2"/>
  <c r="AI479" i="2"/>
  <c r="AF479" i="2"/>
  <c r="P479" i="2"/>
  <c r="K479" i="2"/>
  <c r="AA425" i="2"/>
  <c r="AX425" i="2"/>
  <c r="Z425" i="2"/>
  <c r="AQ425" i="2"/>
  <c r="S425" i="2"/>
  <c r="AH425" i="2"/>
  <c r="K426" i="2"/>
  <c r="AL426" i="2"/>
  <c r="AS458" i="2"/>
  <c r="U458" i="2"/>
  <c r="AI458" i="2"/>
  <c r="K458" i="2"/>
  <c r="AM458" i="2"/>
  <c r="M458" i="2"/>
  <c r="AH458" i="2"/>
  <c r="H458" i="2"/>
  <c r="AD458" i="2"/>
  <c r="Y458" i="2"/>
  <c r="AX458" i="2"/>
  <c r="X458" i="2"/>
  <c r="AW458" i="2"/>
  <c r="W458" i="2"/>
  <c r="AT458" i="2"/>
  <c r="J458" i="2"/>
  <c r="AR458" i="2"/>
  <c r="I458" i="2"/>
  <c r="AJ458" i="2"/>
  <c r="AE458" i="2"/>
  <c r="AB458" i="2"/>
  <c r="Z458" i="2"/>
  <c r="V458" i="2"/>
  <c r="T458" i="2"/>
  <c r="S458" i="2"/>
  <c r="P458" i="2"/>
  <c r="H479" i="2"/>
  <c r="M426" i="2"/>
  <c r="AN426" i="2"/>
  <c r="AN430" i="2"/>
  <c r="P430" i="2"/>
  <c r="AR430" i="2"/>
  <c r="S430" i="2"/>
  <c r="AQ430" i="2"/>
  <c r="R430" i="2"/>
  <c r="AI430" i="2"/>
  <c r="AY430" i="2" s="1"/>
  <c r="J430" i="2"/>
  <c r="AE430" i="2"/>
  <c r="AK430" i="2"/>
  <c r="M479" i="2"/>
  <c r="AQ417" i="2"/>
  <c r="S417" i="2"/>
  <c r="AP417" i="2"/>
  <c r="R417" i="2"/>
  <c r="AG417" i="2"/>
  <c r="J425" i="2"/>
  <c r="AK425" i="2"/>
  <c r="N426" i="2"/>
  <c r="BD426" i="2" s="1"/>
  <c r="AP426" i="2"/>
  <c r="H430" i="2"/>
  <c r="AL430" i="2"/>
  <c r="O458" i="2"/>
  <c r="AM479" i="2"/>
  <c r="AS404" i="2"/>
  <c r="AY404" i="2" s="1"/>
  <c r="U404" i="2"/>
  <c r="AR404" i="2"/>
  <c r="T404" i="2"/>
  <c r="AG404" i="2"/>
  <c r="H417" i="2"/>
  <c r="AH417" i="2"/>
  <c r="AB424" i="2"/>
  <c r="AS424" i="2"/>
  <c r="AY424" i="2" s="1"/>
  <c r="U424" i="2"/>
  <c r="AH424" i="2"/>
  <c r="K425" i="2"/>
  <c r="AL425" i="2"/>
  <c r="O426" i="2"/>
  <c r="AQ426" i="2"/>
  <c r="I430" i="2"/>
  <c r="AM430" i="2"/>
  <c r="AD447" i="2"/>
  <c r="AX447" i="2"/>
  <c r="Z447" i="2"/>
  <c r="AT447" i="2"/>
  <c r="V447" i="2"/>
  <c r="AS447" i="2"/>
  <c r="U447" i="2"/>
  <c r="AO447" i="2"/>
  <c r="Q447" i="2"/>
  <c r="AN447" i="2"/>
  <c r="P447" i="2"/>
  <c r="Y447" i="2"/>
  <c r="X447" i="2"/>
  <c r="AU447" i="2"/>
  <c r="M447" i="2"/>
  <c r="AP447" i="2"/>
  <c r="J447" i="2"/>
  <c r="AM447" i="2"/>
  <c r="I447" i="2"/>
  <c r="AI447" i="2"/>
  <c r="AE447" i="2"/>
  <c r="Q458" i="2"/>
  <c r="AA401" i="2"/>
  <c r="AX401" i="2"/>
  <c r="AY401" i="2" s="1"/>
  <c r="AZ401" i="2" s="1"/>
  <c r="Z401" i="2"/>
  <c r="AG401" i="2"/>
  <c r="M404" i="2"/>
  <c r="AC404" i="2" s="1"/>
  <c r="AM404" i="2"/>
  <c r="BB404" i="2" s="1"/>
  <c r="BC404" i="2" s="1"/>
  <c r="N417" i="2"/>
  <c r="AN417" i="2"/>
  <c r="BD423" i="2"/>
  <c r="M424" i="2"/>
  <c r="AN424" i="2"/>
  <c r="Q425" i="2"/>
  <c r="AS425" i="2"/>
  <c r="V426" i="2"/>
  <c r="Q430" i="2"/>
  <c r="AV430" i="2"/>
  <c r="R447" i="2"/>
  <c r="AL458" i="2"/>
  <c r="AS469" i="2"/>
  <c r="U469" i="2"/>
  <c r="AP469" i="2"/>
  <c r="R469" i="2"/>
  <c r="AO469" i="2"/>
  <c r="Q469" i="2"/>
  <c r="AM469" i="2"/>
  <c r="L469" i="2"/>
  <c r="AL469" i="2"/>
  <c r="K469" i="2"/>
  <c r="AE469" i="2"/>
  <c r="AB469" i="2"/>
  <c r="AC469" i="2" s="1"/>
  <c r="AA469" i="2"/>
  <c r="AX469" i="2"/>
  <c r="N469" i="2"/>
  <c r="AU469" i="2"/>
  <c r="I469" i="2"/>
  <c r="AT469" i="2"/>
  <c r="H469" i="2"/>
  <c r="AK469" i="2"/>
  <c r="AJ469" i="2"/>
  <c r="AH469" i="2"/>
  <c r="AG469" i="2"/>
  <c r="AF469" i="2"/>
  <c r="AD469" i="2"/>
  <c r="Z469" i="2"/>
  <c r="T469" i="2"/>
  <c r="S469" i="2"/>
  <c r="AW469" i="2"/>
  <c r="AV469" i="2"/>
  <c r="AR469" i="2"/>
  <c r="AQ469" i="2"/>
  <c r="Y469" i="2"/>
  <c r="J401" i="2"/>
  <c r="AJ401" i="2"/>
  <c r="BB401" i="2" s="1"/>
  <c r="BC401" i="2" s="1"/>
  <c r="P404" i="2"/>
  <c r="AP404" i="2"/>
  <c r="AG412" i="2"/>
  <c r="Q417" i="2"/>
  <c r="AS417" i="2"/>
  <c r="AY417" i="2" s="1"/>
  <c r="AI421" i="2"/>
  <c r="AY421" i="2" s="1"/>
  <c r="AZ421" i="2" s="1"/>
  <c r="K421" i="2"/>
  <c r="AH421" i="2"/>
  <c r="J421" i="2"/>
  <c r="AA421" i="2"/>
  <c r="AJ421" i="2"/>
  <c r="P424" i="2"/>
  <c r="BD424" i="2" s="1"/>
  <c r="AQ424" i="2"/>
  <c r="U425" i="2"/>
  <c r="AV425" i="2"/>
  <c r="AA426" i="2"/>
  <c r="V430" i="2"/>
  <c r="AX437" i="2"/>
  <c r="Z437" i="2"/>
  <c r="AT437" i="2"/>
  <c r="V437" i="2"/>
  <c r="AO437" i="2"/>
  <c r="Q437" i="2"/>
  <c r="AE437" i="2"/>
  <c r="AD437" i="2"/>
  <c r="AW437" i="2"/>
  <c r="U437" i="2"/>
  <c r="AR437" i="2"/>
  <c r="P437" i="2"/>
  <c r="AI437" i="2"/>
  <c r="H437" i="2"/>
  <c r="AN437" i="2"/>
  <c r="W447" i="2"/>
  <c r="AY454" i="2"/>
  <c r="AP458" i="2"/>
  <c r="O469" i="2"/>
  <c r="BB412" i="2"/>
  <c r="BC412" i="2" s="1"/>
  <c r="T417" i="2"/>
  <c r="AT417" i="2"/>
  <c r="V425" i="2"/>
  <c r="AW425" i="2"/>
  <c r="AB426" i="2"/>
  <c r="W430" i="2"/>
  <c r="AC430" i="2" s="1"/>
  <c r="AC448" i="2"/>
  <c r="AQ458" i="2"/>
  <c r="AH454" i="2"/>
  <c r="AW456" i="2"/>
  <c r="Y456" i="2"/>
  <c r="AM456" i="2"/>
  <c r="O456" i="2"/>
  <c r="AH456" i="2"/>
  <c r="H456" i="2"/>
  <c r="AD456" i="2"/>
  <c r="Z456" i="2"/>
  <c r="X456" i="2"/>
  <c r="AT456" i="2"/>
  <c r="T456" i="2"/>
  <c r="AS456" i="2"/>
  <c r="AY456" i="2" s="1"/>
  <c r="AZ456" i="2" s="1"/>
  <c r="S456" i="2"/>
  <c r="AR456" i="2"/>
  <c r="R456" i="2"/>
  <c r="AP456" i="2"/>
  <c r="AD457" i="2"/>
  <c r="AP470" i="2"/>
  <c r="AQ459" i="2"/>
  <c r="S459" i="2"/>
  <c r="AG459" i="2"/>
  <c r="I459" i="2"/>
  <c r="AO459" i="2"/>
  <c r="O459" i="2"/>
  <c r="AK459" i="2"/>
  <c r="K459" i="2"/>
  <c r="AF459" i="2"/>
  <c r="AE459" i="2"/>
  <c r="AA459" i="2"/>
  <c r="Z459" i="2"/>
  <c r="Y459" i="2"/>
  <c r="AR459" i="2"/>
  <c r="AV470" i="2"/>
  <c r="H459" i="2"/>
  <c r="AS459" i="2"/>
  <c r="AK473" i="2"/>
  <c r="M473" i="2"/>
  <c r="AH473" i="2"/>
  <c r="J473" i="2"/>
  <c r="AG473" i="2"/>
  <c r="I473" i="2"/>
  <c r="AE473" i="2"/>
  <c r="AD473" i="2"/>
  <c r="AX473" i="2"/>
  <c r="W473" i="2"/>
  <c r="AV473" i="2"/>
  <c r="U473" i="2"/>
  <c r="AU473" i="2"/>
  <c r="T473" i="2"/>
  <c r="AT473" i="2"/>
  <c r="S473" i="2"/>
  <c r="AS473" i="2"/>
  <c r="R473" i="2"/>
  <c r="AQ473" i="2"/>
  <c r="P473" i="2"/>
  <c r="AR473" i="2"/>
  <c r="AN473" i="2"/>
  <c r="AM473" i="2"/>
  <c r="AF473" i="2"/>
  <c r="AA473" i="2"/>
  <c r="Z473" i="2"/>
  <c r="Y473" i="2"/>
  <c r="X473" i="2"/>
  <c r="V473" i="2"/>
  <c r="AZ496" i="2"/>
  <c r="AQ454" i="2"/>
  <c r="S454" i="2"/>
  <c r="AD454" i="2"/>
  <c r="Y454" i="2"/>
  <c r="AU454" i="2"/>
  <c r="U454" i="2"/>
  <c r="AT454" i="2"/>
  <c r="T454" i="2"/>
  <c r="AO454" i="2"/>
  <c r="O454" i="2"/>
  <c r="AN454" i="2"/>
  <c r="N454" i="2"/>
  <c r="AM454" i="2"/>
  <c r="M454" i="2"/>
  <c r="AR454" i="2"/>
  <c r="L459" i="2"/>
  <c r="AU459" i="2"/>
  <c r="AE429" i="2"/>
  <c r="AF434" i="2"/>
  <c r="H434" i="2"/>
  <c r="AB434" i="2"/>
  <c r="AC434" i="2" s="1"/>
  <c r="AH434" i="2"/>
  <c r="AM449" i="2"/>
  <c r="O449" i="2"/>
  <c r="AX449" i="2"/>
  <c r="Y449" i="2"/>
  <c r="AT449" i="2"/>
  <c r="U449" i="2"/>
  <c r="AS449" i="2"/>
  <c r="T449" i="2"/>
  <c r="AO449" i="2"/>
  <c r="P449" i="2"/>
  <c r="AN449" i="2"/>
  <c r="N449" i="2"/>
  <c r="AL449" i="2"/>
  <c r="AI451" i="2"/>
  <c r="K451" i="2"/>
  <c r="AX451" i="2"/>
  <c r="Y451" i="2"/>
  <c r="AT451" i="2"/>
  <c r="U451" i="2"/>
  <c r="AS451" i="2"/>
  <c r="T451" i="2"/>
  <c r="AO451" i="2"/>
  <c r="P451" i="2"/>
  <c r="AN451" i="2"/>
  <c r="O451" i="2"/>
  <c r="AM451" i="2"/>
  <c r="I454" i="2"/>
  <c r="AV454" i="2"/>
  <c r="Q456" i="2"/>
  <c r="N459" i="2"/>
  <c r="AW459" i="2"/>
  <c r="BB461" i="2"/>
  <c r="BC461" i="2" s="1"/>
  <c r="AV466" i="2"/>
  <c r="AB466" i="2"/>
  <c r="AS466" i="2"/>
  <c r="U466" i="2"/>
  <c r="AQ466" i="2"/>
  <c r="S466" i="2"/>
  <c r="AP466" i="2"/>
  <c r="R466" i="2"/>
  <c r="AO466" i="2"/>
  <c r="Q466" i="2"/>
  <c r="AA466" i="2"/>
  <c r="X466" i="2"/>
  <c r="W466" i="2"/>
  <c r="AX466" i="2"/>
  <c r="O466" i="2"/>
  <c r="AW466" i="2"/>
  <c r="N466" i="2"/>
  <c r="AT466" i="2"/>
  <c r="L466" i="2"/>
  <c r="AR466" i="2"/>
  <c r="K466" i="2"/>
  <c r="AN466" i="2"/>
  <c r="J466" i="2"/>
  <c r="AM466" i="2"/>
  <c r="I466" i="2"/>
  <c r="AL466" i="2"/>
  <c r="H466" i="2"/>
  <c r="N473" i="2"/>
  <c r="AB478" i="2"/>
  <c r="AA478" i="2"/>
  <c r="AV478" i="2"/>
  <c r="X478" i="2"/>
  <c r="AU478" i="2"/>
  <c r="W478" i="2"/>
  <c r="AF478" i="2"/>
  <c r="AE478" i="2"/>
  <c r="AX478" i="2"/>
  <c r="T478" i="2"/>
  <c r="AT478" i="2"/>
  <c r="R478" i="2"/>
  <c r="AS478" i="2"/>
  <c r="Q478" i="2"/>
  <c r="AR478" i="2"/>
  <c r="P478" i="2"/>
  <c r="AQ478" i="2"/>
  <c r="O478" i="2"/>
  <c r="AO478" i="2"/>
  <c r="M478" i="2"/>
  <c r="AK478" i="2"/>
  <c r="I478" i="2"/>
  <c r="AJ478" i="2"/>
  <c r="H478" i="2"/>
  <c r="AP478" i="2"/>
  <c r="AN478" i="2"/>
  <c r="AH478" i="2"/>
  <c r="AG478" i="2"/>
  <c r="Z478" i="2"/>
  <c r="Y478" i="2"/>
  <c r="V478" i="2"/>
  <c r="U478" i="2"/>
  <c r="AY485" i="2"/>
  <c r="AY444" i="2"/>
  <c r="BB453" i="2"/>
  <c r="BC453" i="2" s="1"/>
  <c r="J454" i="2"/>
  <c r="AW454" i="2"/>
  <c r="AU457" i="2"/>
  <c r="W457" i="2"/>
  <c r="AK457" i="2"/>
  <c r="M457" i="2"/>
  <c r="AJ457" i="2"/>
  <c r="J457" i="2"/>
  <c r="AF457" i="2"/>
  <c r="AB457" i="2"/>
  <c r="AA457" i="2"/>
  <c r="AW457" i="2"/>
  <c r="V457" i="2"/>
  <c r="AV457" i="2"/>
  <c r="U457" i="2"/>
  <c r="AT457" i="2"/>
  <c r="T457" i="2"/>
  <c r="AP457" i="2"/>
  <c r="P459" i="2"/>
  <c r="AX459" i="2"/>
  <c r="AG464" i="2"/>
  <c r="I464" i="2"/>
  <c r="AF464" i="2"/>
  <c r="H464" i="2"/>
  <c r="AW464" i="2"/>
  <c r="Y464" i="2"/>
  <c r="AU464" i="2"/>
  <c r="W464" i="2"/>
  <c r="AC464" i="2" s="1"/>
  <c r="AT464" i="2"/>
  <c r="V464" i="2"/>
  <c r="AQ464" i="2"/>
  <c r="N464" i="2"/>
  <c r="AN464" i="2"/>
  <c r="K464" i="2"/>
  <c r="AM464" i="2"/>
  <c r="J464" i="2"/>
  <c r="AI464" i="2"/>
  <c r="AY464" i="2" s="1"/>
  <c r="AH464" i="2"/>
  <c r="AD464" i="2"/>
  <c r="AB464" i="2"/>
  <c r="AA464" i="2"/>
  <c r="Z464" i="2"/>
  <c r="O473" i="2"/>
  <c r="AQ507" i="2"/>
  <c r="S507" i="2"/>
  <c r="AM507" i="2"/>
  <c r="O507" i="2"/>
  <c r="AI507" i="2"/>
  <c r="AY507" i="2" s="1"/>
  <c r="K507" i="2"/>
  <c r="AH507" i="2"/>
  <c r="J507" i="2"/>
  <c r="AG507" i="2"/>
  <c r="I507" i="2"/>
  <c r="AJ507" i="2"/>
  <c r="AF507" i="2"/>
  <c r="AB507" i="2"/>
  <c r="Z507" i="2"/>
  <c r="V507" i="2"/>
  <c r="T507" i="2"/>
  <c r="R507" i="2"/>
  <c r="Q507" i="2"/>
  <c r="N507" i="2"/>
  <c r="AT507" i="2"/>
  <c r="AR507" i="2"/>
  <c r="AP507" i="2"/>
  <c r="AO507" i="2"/>
  <c r="AN507" i="2"/>
  <c r="AL507" i="2"/>
  <c r="AK507" i="2"/>
  <c r="Y507" i="2"/>
  <c r="X507" i="2"/>
  <c r="W507" i="2"/>
  <c r="M507" i="2"/>
  <c r="L507" i="2"/>
  <c r="H507" i="2"/>
  <c r="AW507" i="2"/>
  <c r="AQ470" i="2"/>
  <c r="S470" i="2"/>
  <c r="AN470" i="2"/>
  <c r="P470" i="2"/>
  <c r="AM470" i="2"/>
  <c r="O470" i="2"/>
  <c r="AT470" i="2"/>
  <c r="R470" i="2"/>
  <c r="AS470" i="2"/>
  <c r="Q470" i="2"/>
  <c r="AI470" i="2"/>
  <c r="H470" i="2"/>
  <c r="AG470" i="2"/>
  <c r="AF470" i="2"/>
  <c r="AE470" i="2"/>
  <c r="AJ470" i="2"/>
  <c r="AB470" i="2"/>
  <c r="X470" i="2"/>
  <c r="W470" i="2"/>
  <c r="U470" i="2"/>
  <c r="T470" i="2"/>
  <c r="N470" i="2"/>
  <c r="M470" i="2"/>
  <c r="AX470" i="2"/>
  <c r="L470" i="2"/>
  <c r="AM472" i="2"/>
  <c r="O472" i="2"/>
  <c r="AJ472" i="2"/>
  <c r="L472" i="2"/>
  <c r="AI472" i="2"/>
  <c r="K472" i="2"/>
  <c r="AA472" i="2"/>
  <c r="Z472" i="2"/>
  <c r="AT472" i="2"/>
  <c r="S472" i="2"/>
  <c r="AR472" i="2"/>
  <c r="Q472" i="2"/>
  <c r="AQ472" i="2"/>
  <c r="P472" i="2"/>
  <c r="AP472" i="2"/>
  <c r="N472" i="2"/>
  <c r="AO472" i="2"/>
  <c r="M472" i="2"/>
  <c r="AL472" i="2"/>
  <c r="I472" i="2"/>
  <c r="J472" i="2"/>
  <c r="AX472" i="2"/>
  <c r="AW472" i="2"/>
  <c r="AN472" i="2"/>
  <c r="AK472" i="2"/>
  <c r="AG472" i="2"/>
  <c r="AF472" i="2"/>
  <c r="AE472" i="2"/>
  <c r="AD472" i="2"/>
  <c r="AA487" i="2"/>
  <c r="AX487" i="2"/>
  <c r="Z487" i="2"/>
  <c r="AP487" i="2"/>
  <c r="P487" i="2"/>
  <c r="AO487" i="2"/>
  <c r="O487" i="2"/>
  <c r="AL487" i="2"/>
  <c r="L487" i="2"/>
  <c r="AK487" i="2"/>
  <c r="K487" i="2"/>
  <c r="AI487" i="2"/>
  <c r="I487" i="2"/>
  <c r="AE487" i="2"/>
  <c r="V487" i="2"/>
  <c r="U487" i="2"/>
  <c r="T487" i="2"/>
  <c r="R487" i="2"/>
  <c r="AS487" i="2"/>
  <c r="H487" i="2"/>
  <c r="AQ487" i="2"/>
  <c r="AN487" i="2"/>
  <c r="AM487" i="2"/>
  <c r="AJ487" i="2"/>
  <c r="AH487" i="2"/>
  <c r="AG487" i="2"/>
  <c r="AB487" i="2"/>
  <c r="Y487" i="2"/>
  <c r="AV487" i="2"/>
  <c r="AU487" i="2"/>
  <c r="AD487" i="2"/>
  <c r="W487" i="2"/>
  <c r="S487" i="2"/>
  <c r="Q487" i="2"/>
  <c r="N487" i="2"/>
  <c r="M487" i="2"/>
  <c r="AE419" i="2"/>
  <c r="K429" i="2"/>
  <c r="AI429" i="2"/>
  <c r="AY429" i="2" s="1"/>
  <c r="AZ429" i="2" s="1"/>
  <c r="L434" i="2"/>
  <c r="AL434" i="2"/>
  <c r="AJ444" i="2"/>
  <c r="L444" i="2"/>
  <c r="AF444" i="2"/>
  <c r="H444" i="2"/>
  <c r="AB444" i="2"/>
  <c r="AA444" i="2"/>
  <c r="AU444" i="2"/>
  <c r="W444" i="2"/>
  <c r="AT444" i="2"/>
  <c r="V444" i="2"/>
  <c r="AM444" i="2"/>
  <c r="K449" i="2"/>
  <c r="AU449" i="2"/>
  <c r="L451" i="2"/>
  <c r="AU451" i="2"/>
  <c r="BD453" i="2"/>
  <c r="P454" i="2"/>
  <c r="AA456" i="2"/>
  <c r="K457" i="2"/>
  <c r="AS457" i="2"/>
  <c r="AY457" i="2" s="1"/>
  <c r="T459" i="2"/>
  <c r="O464" i="2"/>
  <c r="V466" i="2"/>
  <c r="I470" i="2"/>
  <c r="H472" i="2"/>
  <c r="AI473" i="2"/>
  <c r="N478" i="2"/>
  <c r="J487" i="2"/>
  <c r="AA507" i="2"/>
  <c r="N419" i="2"/>
  <c r="AL419" i="2"/>
  <c r="BB419" i="2" s="1"/>
  <c r="BC419" i="2" s="1"/>
  <c r="R429" i="2"/>
  <c r="AQ429" i="2"/>
  <c r="S434" i="2"/>
  <c r="AS434" i="2"/>
  <c r="AY434" i="2" s="1"/>
  <c r="AV438" i="2"/>
  <c r="X438" i="2"/>
  <c r="AR438" i="2"/>
  <c r="T438" i="2"/>
  <c r="AM438" i="2"/>
  <c r="O438" i="2"/>
  <c r="AH438" i="2"/>
  <c r="P444" i="2"/>
  <c r="AV444" i="2"/>
  <c r="W449" i="2"/>
  <c r="AC449" i="2" s="1"/>
  <c r="W451" i="2"/>
  <c r="AC451" i="2" s="1"/>
  <c r="AA454" i="2"/>
  <c r="AJ456" i="2"/>
  <c r="S457" i="2"/>
  <c r="AD459" i="2"/>
  <c r="X464" i="2"/>
  <c r="AH466" i="2"/>
  <c r="AD470" i="2"/>
  <c r="Y472" i="2"/>
  <c r="O419" i="2"/>
  <c r="S429" i="2"/>
  <c r="AR429" i="2"/>
  <c r="T434" i="2"/>
  <c r="AT434" i="2"/>
  <c r="H438" i="2"/>
  <c r="AI438" i="2"/>
  <c r="AY438" i="2" s="1"/>
  <c r="AZ438" i="2" s="1"/>
  <c r="Q444" i="2"/>
  <c r="AW444" i="2"/>
  <c r="AO448" i="2"/>
  <c r="Q448" i="2"/>
  <c r="AX448" i="2"/>
  <c r="Y448" i="2"/>
  <c r="AT448" i="2"/>
  <c r="U448" i="2"/>
  <c r="AS448" i="2"/>
  <c r="T448" i="2"/>
  <c r="AN448" i="2"/>
  <c r="O448" i="2"/>
  <c r="AM448" i="2"/>
  <c r="N448" i="2"/>
  <c r="AL448" i="2"/>
  <c r="X449" i="2"/>
  <c r="AK450" i="2"/>
  <c r="M450" i="2"/>
  <c r="AC450" i="2" s="1"/>
  <c r="AX450" i="2"/>
  <c r="Y450" i="2"/>
  <c r="AT450" i="2"/>
  <c r="U450" i="2"/>
  <c r="AS450" i="2"/>
  <c r="T450" i="2"/>
  <c r="AO450" i="2"/>
  <c r="P450" i="2"/>
  <c r="AN450" i="2"/>
  <c r="O450" i="2"/>
  <c r="AM450" i="2"/>
  <c r="X451" i="2"/>
  <c r="AG452" i="2"/>
  <c r="I452" i="2"/>
  <c r="AX452" i="2"/>
  <c r="Y452" i="2"/>
  <c r="AT452" i="2"/>
  <c r="U452" i="2"/>
  <c r="AS452" i="2"/>
  <c r="T452" i="2"/>
  <c r="AO452" i="2"/>
  <c r="P452" i="2"/>
  <c r="AN452" i="2"/>
  <c r="O452" i="2"/>
  <c r="AM452" i="2"/>
  <c r="AP452" i="2"/>
  <c r="AB454" i="2"/>
  <c r="AK456" i="2"/>
  <c r="X457" i="2"/>
  <c r="AH459" i="2"/>
  <c r="AE464" i="2"/>
  <c r="AI466" i="2"/>
  <c r="AH470" i="2"/>
  <c r="AB472" i="2"/>
  <c r="AK462" i="2"/>
  <c r="M462" i="2"/>
  <c r="AC462" i="2" s="1"/>
  <c r="AJ462" i="2"/>
  <c r="L462" i="2"/>
  <c r="AA462" i="2"/>
  <c r="AI462" i="2"/>
  <c r="AY462" i="2" s="1"/>
  <c r="Z467" i="2"/>
  <c r="H462" i="2"/>
  <c r="AL462" i="2"/>
  <c r="AA467" i="2"/>
  <c r="AG484" i="2"/>
  <c r="I484" i="2"/>
  <c r="AF484" i="2"/>
  <c r="H484" i="2"/>
  <c r="AL484" i="2"/>
  <c r="L484" i="2"/>
  <c r="AK484" i="2"/>
  <c r="K484" i="2"/>
  <c r="AH484" i="2"/>
  <c r="AE484" i="2"/>
  <c r="Y484" i="2"/>
  <c r="AW484" i="2"/>
  <c r="Q484" i="2"/>
  <c r="AV484" i="2"/>
  <c r="P484" i="2"/>
  <c r="AU484" i="2"/>
  <c r="O484" i="2"/>
  <c r="AS484" i="2"/>
  <c r="M484" i="2"/>
  <c r="AN484" i="2"/>
  <c r="AJ484" i="2"/>
  <c r="AI484" i="2"/>
  <c r="AD484" i="2"/>
  <c r="AB484" i="2"/>
  <c r="AA484" i="2"/>
  <c r="Z484" i="2"/>
  <c r="U484" i="2"/>
  <c r="T484" i="2"/>
  <c r="AO492" i="2"/>
  <c r="Q492" i="2"/>
  <c r="AN492" i="2"/>
  <c r="P492" i="2"/>
  <c r="AB492" i="2"/>
  <c r="AA492" i="2"/>
  <c r="AX492" i="2"/>
  <c r="AY492" i="2" s="1"/>
  <c r="X492" i="2"/>
  <c r="AW492" i="2"/>
  <c r="W492" i="2"/>
  <c r="AU492" i="2"/>
  <c r="U492" i="2"/>
  <c r="AQ492" i="2"/>
  <c r="O492" i="2"/>
  <c r="M492" i="2"/>
  <c r="AV492" i="2"/>
  <c r="L492" i="2"/>
  <c r="AT492" i="2"/>
  <c r="K492" i="2"/>
  <c r="AR492" i="2"/>
  <c r="I492" i="2"/>
  <c r="AJ492" i="2"/>
  <c r="AH492" i="2"/>
  <c r="AG492" i="2"/>
  <c r="AF492" i="2"/>
  <c r="AE492" i="2"/>
  <c r="AD492" i="2"/>
  <c r="T492" i="2"/>
  <c r="S492" i="2"/>
  <c r="AC509" i="2"/>
  <c r="AZ509" i="2" s="1"/>
  <c r="I462" i="2"/>
  <c r="AM462" i="2"/>
  <c r="AB467" i="2"/>
  <c r="AC467" i="2" s="1"/>
  <c r="BD474" i="2"/>
  <c r="BD476" i="2"/>
  <c r="AB515" i="2"/>
  <c r="AA515" i="2"/>
  <c r="AW515" i="2"/>
  <c r="Y515" i="2"/>
  <c r="AV515" i="2"/>
  <c r="X515" i="2"/>
  <c r="AU515" i="2"/>
  <c r="W515" i="2"/>
  <c r="AQ515" i="2"/>
  <c r="S515" i="2"/>
  <c r="AP515" i="2"/>
  <c r="R515" i="2"/>
  <c r="AO515" i="2"/>
  <c r="Q515" i="2"/>
  <c r="AL515" i="2"/>
  <c r="AK515" i="2"/>
  <c r="AJ515" i="2"/>
  <c r="AI515" i="2"/>
  <c r="AH515" i="2"/>
  <c r="AF515" i="2"/>
  <c r="AE515" i="2"/>
  <c r="T515" i="2"/>
  <c r="AT515" i="2"/>
  <c r="AS515" i="2"/>
  <c r="AR515" i="2"/>
  <c r="AM515" i="2"/>
  <c r="U515" i="2"/>
  <c r="O515" i="2"/>
  <c r="N515" i="2"/>
  <c r="M515" i="2"/>
  <c r="L515" i="2"/>
  <c r="K515" i="2"/>
  <c r="J515" i="2"/>
  <c r="H515" i="2"/>
  <c r="AF467" i="2"/>
  <c r="AY510" i="2"/>
  <c r="I515" i="2"/>
  <c r="AE442" i="2"/>
  <c r="O462" i="2"/>
  <c r="AQ462" i="2"/>
  <c r="AH467" i="2"/>
  <c r="V484" i="2"/>
  <c r="V492" i="2"/>
  <c r="V515" i="2"/>
  <c r="BD461" i="2"/>
  <c r="P462" i="2"/>
  <c r="AR462" i="2"/>
  <c r="BD465" i="2"/>
  <c r="AI467" i="2"/>
  <c r="W484" i="2"/>
  <c r="Y492" i="2"/>
  <c r="Z515" i="2"/>
  <c r="L442" i="2"/>
  <c r="AJ442" i="2"/>
  <c r="BB442" i="2" s="1"/>
  <c r="BC442" i="2" s="1"/>
  <c r="T462" i="2"/>
  <c r="AV462" i="2"/>
  <c r="AP484" i="2"/>
  <c r="AL492" i="2"/>
  <c r="AX515" i="2"/>
  <c r="AW467" i="2"/>
  <c r="Y467" i="2"/>
  <c r="AT467" i="2"/>
  <c r="V467" i="2"/>
  <c r="AS467" i="2"/>
  <c r="U467" i="2"/>
  <c r="AE467" i="2"/>
  <c r="AD467" i="2"/>
  <c r="AX467" i="2"/>
  <c r="T467" i="2"/>
  <c r="AU467" i="2"/>
  <c r="R467" i="2"/>
  <c r="AR467" i="2"/>
  <c r="Q467" i="2"/>
  <c r="AQ467" i="2"/>
  <c r="P467" i="2"/>
  <c r="AN467" i="2"/>
  <c r="BB513" i="2"/>
  <c r="BC513" i="2" s="1"/>
  <c r="P442" i="2"/>
  <c r="X462" i="2"/>
  <c r="J467" i="2"/>
  <c r="AV467" i="2"/>
  <c r="AX484" i="2"/>
  <c r="BB496" i="2"/>
  <c r="BC496" i="2" s="1"/>
  <c r="AC519" i="2"/>
  <c r="BD508" i="2"/>
  <c r="AM493" i="2"/>
  <c r="O493" i="2"/>
  <c r="AL493" i="2"/>
  <c r="N493" i="2"/>
  <c r="AK493" i="2"/>
  <c r="AD493" i="2"/>
  <c r="Z493" i="2"/>
  <c r="Y493" i="2"/>
  <c r="AX493" i="2"/>
  <c r="AY493" i="2" s="1"/>
  <c r="W493" i="2"/>
  <c r="AC493" i="2" s="1"/>
  <c r="AT493" i="2"/>
  <c r="S493" i="2"/>
  <c r="AP493" i="2"/>
  <c r="O499" i="2"/>
  <c r="AH506" i="2"/>
  <c r="AD477" i="2"/>
  <c r="AX477" i="2"/>
  <c r="Z477" i="2"/>
  <c r="AW477" i="2"/>
  <c r="Y477" i="2"/>
  <c r="AI477" i="2"/>
  <c r="AQ491" i="2"/>
  <c r="S491" i="2"/>
  <c r="AP491" i="2"/>
  <c r="R491" i="2"/>
  <c r="Z491" i="2"/>
  <c r="Y491" i="2"/>
  <c r="AV491" i="2"/>
  <c r="V491" i="2"/>
  <c r="AU491" i="2"/>
  <c r="U491" i="2"/>
  <c r="AS491" i="2"/>
  <c r="Q491" i="2"/>
  <c r="AM491" i="2"/>
  <c r="M491" i="2"/>
  <c r="AC491" i="2" s="1"/>
  <c r="AN491" i="2"/>
  <c r="K493" i="2"/>
  <c r="AU493" i="2"/>
  <c r="AJ498" i="2"/>
  <c r="U499" i="2"/>
  <c r="AK503" i="2"/>
  <c r="AQ506" i="2"/>
  <c r="X499" i="2"/>
  <c r="AO471" i="2"/>
  <c r="Q471" i="2"/>
  <c r="AL471" i="2"/>
  <c r="N471" i="2"/>
  <c r="AK471" i="2"/>
  <c r="M471" i="2"/>
  <c r="AH471" i="2"/>
  <c r="I477" i="2"/>
  <c r="AK477" i="2"/>
  <c r="AW493" i="2"/>
  <c r="AL498" i="2"/>
  <c r="AB499" i="2"/>
  <c r="AM503" i="2"/>
  <c r="AT506" i="2"/>
  <c r="H471" i="2"/>
  <c r="AI471" i="2"/>
  <c r="J477" i="2"/>
  <c r="AL477" i="2"/>
  <c r="AO480" i="2"/>
  <c r="Q480" i="2"/>
  <c r="AN480" i="2"/>
  <c r="P480" i="2"/>
  <c r="AB480" i="2"/>
  <c r="AA480" i="2"/>
  <c r="AX480" i="2"/>
  <c r="AY480" i="2" s="1"/>
  <c r="X480" i="2"/>
  <c r="AW480" i="2"/>
  <c r="W480" i="2"/>
  <c r="AU480" i="2"/>
  <c r="U480" i="2"/>
  <c r="AL480" i="2"/>
  <c r="J491" i="2"/>
  <c r="AT491" i="2"/>
  <c r="P493" i="2"/>
  <c r="AE499" i="2"/>
  <c r="BD500" i="2"/>
  <c r="I471" i="2"/>
  <c r="AJ471" i="2"/>
  <c r="K477" i="2"/>
  <c r="AM477" i="2"/>
  <c r="H480" i="2"/>
  <c r="AM480" i="2"/>
  <c r="AK482" i="2"/>
  <c r="M482" i="2"/>
  <c r="AJ482" i="2"/>
  <c r="L482" i="2"/>
  <c r="AF482" i="2"/>
  <c r="AE482" i="2"/>
  <c r="AB482" i="2"/>
  <c r="AA482" i="2"/>
  <c r="Y482" i="2"/>
  <c r="AN482" i="2"/>
  <c r="AC485" i="2"/>
  <c r="AU489" i="2"/>
  <c r="W489" i="2"/>
  <c r="AT489" i="2"/>
  <c r="V489" i="2"/>
  <c r="AV489" i="2"/>
  <c r="T489" i="2"/>
  <c r="AS489" i="2"/>
  <c r="S489" i="2"/>
  <c r="AP489" i="2"/>
  <c r="P489" i="2"/>
  <c r="AO489" i="2"/>
  <c r="O489" i="2"/>
  <c r="AM489" i="2"/>
  <c r="M489" i="2"/>
  <c r="AI489" i="2"/>
  <c r="I489" i="2"/>
  <c r="AQ489" i="2"/>
  <c r="K491" i="2"/>
  <c r="AW491" i="2"/>
  <c r="Q493" i="2"/>
  <c r="AB498" i="2"/>
  <c r="AA498" i="2"/>
  <c r="AX498" i="2"/>
  <c r="W498" i="2"/>
  <c r="AW498" i="2"/>
  <c r="V498" i="2"/>
  <c r="AT498" i="2"/>
  <c r="S498" i="2"/>
  <c r="AS498" i="2"/>
  <c r="R498" i="2"/>
  <c r="AQ498" i="2"/>
  <c r="P498" i="2"/>
  <c r="AM498" i="2"/>
  <c r="L498" i="2"/>
  <c r="AO498" i="2"/>
  <c r="AF499" i="2"/>
  <c r="AC500" i="2"/>
  <c r="AZ500" i="2" s="1"/>
  <c r="AU503" i="2"/>
  <c r="W503" i="2"/>
  <c r="AQ503" i="2"/>
  <c r="S503" i="2"/>
  <c r="AP503" i="2"/>
  <c r="R503" i="2"/>
  <c r="AO503" i="2"/>
  <c r="Q503" i="2"/>
  <c r="AB503" i="2"/>
  <c r="AA503" i="2"/>
  <c r="X503" i="2"/>
  <c r="V503" i="2"/>
  <c r="AW503" i="2"/>
  <c r="T503" i="2"/>
  <c r="AR503" i="2"/>
  <c r="M503" i="2"/>
  <c r="AS503" i="2"/>
  <c r="AS506" i="2"/>
  <c r="U506" i="2"/>
  <c r="AO506" i="2"/>
  <c r="Q506" i="2"/>
  <c r="AK506" i="2"/>
  <c r="M506" i="2"/>
  <c r="AJ506" i="2"/>
  <c r="L506" i="2"/>
  <c r="AI506" i="2"/>
  <c r="K506" i="2"/>
  <c r="Y506" i="2"/>
  <c r="X506" i="2"/>
  <c r="AX506" i="2"/>
  <c r="T506" i="2"/>
  <c r="AW506" i="2"/>
  <c r="S506" i="2"/>
  <c r="AU506" i="2"/>
  <c r="P506" i="2"/>
  <c r="AP506" i="2"/>
  <c r="I506" i="2"/>
  <c r="BD512" i="2"/>
  <c r="AE460" i="2"/>
  <c r="Y468" i="2"/>
  <c r="J471" i="2"/>
  <c r="AM471" i="2"/>
  <c r="AY476" i="2"/>
  <c r="L477" i="2"/>
  <c r="AN477" i="2"/>
  <c r="I480" i="2"/>
  <c r="AP480" i="2"/>
  <c r="H482" i="2"/>
  <c r="AO482" i="2"/>
  <c r="H489" i="2"/>
  <c r="AR489" i="2"/>
  <c r="AD490" i="2"/>
  <c r="L491" i="2"/>
  <c r="AX491" i="2"/>
  <c r="R493" i="2"/>
  <c r="H498" i="2"/>
  <c r="AP498" i="2"/>
  <c r="AG499" i="2"/>
  <c r="H503" i="2"/>
  <c r="AT503" i="2"/>
  <c r="H506" i="2"/>
  <c r="AT518" i="2"/>
  <c r="V518" i="2"/>
  <c r="AS518" i="2"/>
  <c r="U518" i="2"/>
  <c r="AQ518" i="2"/>
  <c r="S518" i="2"/>
  <c r="AP518" i="2"/>
  <c r="R518" i="2"/>
  <c r="AO518" i="2"/>
  <c r="Q518" i="2"/>
  <c r="AK518" i="2"/>
  <c r="M518" i="2"/>
  <c r="AJ518" i="2"/>
  <c r="L518" i="2"/>
  <c r="AI518" i="2"/>
  <c r="K518" i="2"/>
  <c r="AF518" i="2"/>
  <c r="AE518" i="2"/>
  <c r="AD518" i="2"/>
  <c r="AB518" i="2"/>
  <c r="Z518" i="2"/>
  <c r="Y518" i="2"/>
  <c r="X518" i="2"/>
  <c r="W518" i="2"/>
  <c r="N518" i="2"/>
  <c r="I460" i="2"/>
  <c r="AG460" i="2"/>
  <c r="W465" i="2"/>
  <c r="AC465" i="2" s="1"/>
  <c r="AZ465" i="2" s="1"/>
  <c r="AU465" i="2"/>
  <c r="L471" i="2"/>
  <c r="AP471" i="2"/>
  <c r="N477" i="2"/>
  <c r="AP477" i="2"/>
  <c r="K480" i="2"/>
  <c r="AR480" i="2"/>
  <c r="J482" i="2"/>
  <c r="AQ482" i="2"/>
  <c r="K489" i="2"/>
  <c r="AX489" i="2"/>
  <c r="O491" i="2"/>
  <c r="U493" i="2"/>
  <c r="J498" i="2"/>
  <c r="AU498" i="2"/>
  <c r="J503" i="2"/>
  <c r="AX503" i="2"/>
  <c r="N506" i="2"/>
  <c r="AL510" i="2"/>
  <c r="N510" i="2"/>
  <c r="AK510" i="2"/>
  <c r="M510" i="2"/>
  <c r="AG510" i="2"/>
  <c r="I510" i="2"/>
  <c r="AB510" i="2"/>
  <c r="AA510" i="2"/>
  <c r="Y510" i="2"/>
  <c r="W510" i="2"/>
  <c r="V510" i="2"/>
  <c r="AW510" i="2"/>
  <c r="S510" i="2"/>
  <c r="AV510" i="2"/>
  <c r="R510" i="2"/>
  <c r="AT510" i="2"/>
  <c r="P510" i="2"/>
  <c r="AP510" i="2"/>
  <c r="J510" i="2"/>
  <c r="I518" i="2"/>
  <c r="AA499" i="2"/>
  <c r="AX499" i="2"/>
  <c r="AY499" i="2" s="1"/>
  <c r="Z499" i="2"/>
  <c r="AW499" i="2"/>
  <c r="Y499" i="2"/>
  <c r="AD499" i="2"/>
  <c r="W499" i="2"/>
  <c r="V499" i="2"/>
  <c r="AU499" i="2"/>
  <c r="T499" i="2"/>
  <c r="AQ499" i="2"/>
  <c r="P499" i="2"/>
  <c r="AN499" i="2"/>
  <c r="AU468" i="2"/>
  <c r="W468" i="2"/>
  <c r="AC468" i="2" s="1"/>
  <c r="AZ468" i="2" s="1"/>
  <c r="AR468" i="2"/>
  <c r="T468" i="2"/>
  <c r="AQ468" i="2"/>
  <c r="S468" i="2"/>
  <c r="AH468" i="2"/>
  <c r="BB468" i="2" s="1"/>
  <c r="BC468" i="2" s="1"/>
  <c r="V471" i="2"/>
  <c r="AW471" i="2"/>
  <c r="U477" i="2"/>
  <c r="T480" i="2"/>
  <c r="S482" i="2"/>
  <c r="AX482" i="2"/>
  <c r="AY482" i="2" s="1"/>
  <c r="Y489" i="2"/>
  <c r="AS490" i="2"/>
  <c r="U490" i="2"/>
  <c r="AR490" i="2"/>
  <c r="T490" i="2"/>
  <c r="AX490" i="2"/>
  <c r="X490" i="2"/>
  <c r="AW490" i="2"/>
  <c r="W490" i="2"/>
  <c r="AC490" i="2" s="1"/>
  <c r="AT490" i="2"/>
  <c r="R490" i="2"/>
  <c r="AQ490" i="2"/>
  <c r="Q490" i="2"/>
  <c r="AO490" i="2"/>
  <c r="O490" i="2"/>
  <c r="AK490" i="2"/>
  <c r="K490" i="2"/>
  <c r="AN490" i="2"/>
  <c r="AG493" i="2"/>
  <c r="AC497" i="2"/>
  <c r="AZ497" i="2" s="1"/>
  <c r="U498" i="2"/>
  <c r="I499" i="2"/>
  <c r="AP499" i="2"/>
  <c r="Y503" i="2"/>
  <c r="AB506" i="2"/>
  <c r="BD511" i="2"/>
  <c r="AH518" i="2"/>
  <c r="Q460" i="2"/>
  <c r="BD460" i="2" s="1"/>
  <c r="H468" i="2"/>
  <c r="AI468" i="2"/>
  <c r="AY468" i="2" s="1"/>
  <c r="W471" i="2"/>
  <c r="AX471" i="2"/>
  <c r="V477" i="2"/>
  <c r="V480" i="2"/>
  <c r="AM481" i="2"/>
  <c r="O481" i="2"/>
  <c r="BD481" i="2" s="1"/>
  <c r="AL481" i="2"/>
  <c r="N481" i="2"/>
  <c r="AD481" i="2"/>
  <c r="Z481" i="2"/>
  <c r="Y481" i="2"/>
  <c r="AW481" i="2"/>
  <c r="W481" i="2"/>
  <c r="AC481" i="2" s="1"/>
  <c r="AZ481" i="2" s="1"/>
  <c r="AN481" i="2"/>
  <c r="T482" i="2"/>
  <c r="Z489" i="2"/>
  <c r="H490" i="2"/>
  <c r="AP490" i="2"/>
  <c r="AD491" i="2"/>
  <c r="AH493" i="2"/>
  <c r="X498" i="2"/>
  <c r="J499" i="2"/>
  <c r="AR499" i="2"/>
  <c r="Z503" i="2"/>
  <c r="BD513" i="2"/>
  <c r="AL518" i="2"/>
  <c r="AW488" i="2"/>
  <c r="Y488" i="2"/>
  <c r="AV488" i="2"/>
  <c r="X488" i="2"/>
  <c r="AG488" i="2"/>
  <c r="AW502" i="2"/>
  <c r="Y502" i="2"/>
  <c r="AS502" i="2"/>
  <c r="U502" i="2"/>
  <c r="AR502" i="2"/>
  <c r="T502" i="2"/>
  <c r="AQ502" i="2"/>
  <c r="S502" i="2"/>
  <c r="AI502" i="2"/>
  <c r="AD505" i="2"/>
  <c r="AX516" i="2"/>
  <c r="Z516" i="2"/>
  <c r="AW516" i="2"/>
  <c r="Y516" i="2"/>
  <c r="AU516" i="2"/>
  <c r="W516" i="2"/>
  <c r="AC516" i="2" s="1"/>
  <c r="AT516" i="2"/>
  <c r="V516" i="2"/>
  <c r="AS516" i="2"/>
  <c r="U516" i="2"/>
  <c r="AO516" i="2"/>
  <c r="Q516" i="2"/>
  <c r="AN516" i="2"/>
  <c r="P516" i="2"/>
  <c r="AM516" i="2"/>
  <c r="O516" i="2"/>
  <c r="AP516" i="2"/>
  <c r="AJ519" i="2"/>
  <c r="AG486" i="2"/>
  <c r="K488" i="2"/>
  <c r="AK488" i="2"/>
  <c r="BD497" i="2"/>
  <c r="K502" i="2"/>
  <c r="AM502" i="2"/>
  <c r="AD514" i="2"/>
  <c r="AA514" i="2"/>
  <c r="AX514" i="2"/>
  <c r="Z514" i="2"/>
  <c r="AW514" i="2"/>
  <c r="Y514" i="2"/>
  <c r="AS514" i="2"/>
  <c r="U514" i="2"/>
  <c r="AR514" i="2"/>
  <c r="T514" i="2"/>
  <c r="AQ514" i="2"/>
  <c r="S514" i="2"/>
  <c r="AM514" i="2"/>
  <c r="K516" i="2"/>
  <c r="AE474" i="2"/>
  <c r="AA476" i="2"/>
  <c r="I486" i="2"/>
  <c r="AI486" i="2"/>
  <c r="AY486" i="2" s="1"/>
  <c r="M488" i="2"/>
  <c r="AC488" i="2" s="1"/>
  <c r="AZ488" i="2" s="1"/>
  <c r="AM488" i="2"/>
  <c r="BD496" i="2"/>
  <c r="AA501" i="2"/>
  <c r="AU501" i="2"/>
  <c r="W501" i="2"/>
  <c r="AC501" i="2" s="1"/>
  <c r="AT501" i="2"/>
  <c r="V501" i="2"/>
  <c r="AS501" i="2"/>
  <c r="U501" i="2"/>
  <c r="AI501" i="2"/>
  <c r="AY501" i="2" s="1"/>
  <c r="M502" i="2"/>
  <c r="AC502" i="2" s="1"/>
  <c r="AO502" i="2"/>
  <c r="AU505" i="2"/>
  <c r="W505" i="2"/>
  <c r="AQ505" i="2"/>
  <c r="S505" i="2"/>
  <c r="AM505" i="2"/>
  <c r="O505" i="2"/>
  <c r="AL505" i="2"/>
  <c r="N505" i="2"/>
  <c r="AK505" i="2"/>
  <c r="M505" i="2"/>
  <c r="AJ505" i="2"/>
  <c r="BB512" i="2"/>
  <c r="BC512" i="2" s="1"/>
  <c r="I514" i="2"/>
  <c r="AO514" i="2"/>
  <c r="AR519" i="2"/>
  <c r="T519" i="2"/>
  <c r="AQ519" i="2"/>
  <c r="S519" i="2"/>
  <c r="AO519" i="2"/>
  <c r="Q519" i="2"/>
  <c r="AN519" i="2"/>
  <c r="P519" i="2"/>
  <c r="AM519" i="2"/>
  <c r="O519" i="2"/>
  <c r="AI519" i="2"/>
  <c r="AY519" i="2" s="1"/>
  <c r="K519" i="2"/>
  <c r="AH519" i="2"/>
  <c r="J519" i="2"/>
  <c r="AG519" i="2"/>
  <c r="I519" i="2"/>
  <c r="AU519" i="2"/>
  <c r="H474" i="2"/>
  <c r="AF474" i="2"/>
  <c r="AB476" i="2"/>
  <c r="AC476" i="2" s="1"/>
  <c r="AZ476" i="2" s="1"/>
  <c r="J486" i="2"/>
  <c r="AJ486" i="2"/>
  <c r="N488" i="2"/>
  <c r="AN488" i="2"/>
  <c r="AD494" i="2"/>
  <c r="AI495" i="2"/>
  <c r="AY495" i="2" s="1"/>
  <c r="K495" i="2"/>
  <c r="AH495" i="2"/>
  <c r="J495" i="2"/>
  <c r="AG495" i="2"/>
  <c r="I495" i="2"/>
  <c r="AK495" i="2"/>
  <c r="AD500" i="2"/>
  <c r="H501" i="2"/>
  <c r="AJ501" i="2"/>
  <c r="N502" i="2"/>
  <c r="AP502" i="2"/>
  <c r="H505" i="2"/>
  <c r="AN505" i="2"/>
  <c r="BD509" i="2"/>
  <c r="J514" i="2"/>
  <c r="AP514" i="2"/>
  <c r="N516" i="2"/>
  <c r="H519" i="2"/>
  <c r="AV519" i="2"/>
  <c r="K474" i="2"/>
  <c r="AI483" i="2"/>
  <c r="AY483" i="2" s="1"/>
  <c r="AZ483" i="2" s="1"/>
  <c r="K483" i="2"/>
  <c r="AH483" i="2"/>
  <c r="J483" i="2"/>
  <c r="AG483" i="2"/>
  <c r="M486" i="2"/>
  <c r="AC486" i="2" s="1"/>
  <c r="AM486" i="2"/>
  <c r="Q488" i="2"/>
  <c r="AQ488" i="2"/>
  <c r="M495" i="2"/>
  <c r="AC495" i="2" s="1"/>
  <c r="AN495" i="2"/>
  <c r="K501" i="2"/>
  <c r="AM501" i="2"/>
  <c r="Q502" i="2"/>
  <c r="AV502" i="2"/>
  <c r="K505" i="2"/>
  <c r="AR505" i="2"/>
  <c r="M514" i="2"/>
  <c r="AC514" i="2" s="1"/>
  <c r="AV514" i="2"/>
  <c r="T516" i="2"/>
  <c r="AV517" i="2"/>
  <c r="X517" i="2"/>
  <c r="AU517" i="2"/>
  <c r="W517" i="2"/>
  <c r="AS517" i="2"/>
  <c r="AY517" i="2" s="1"/>
  <c r="U517" i="2"/>
  <c r="AR517" i="2"/>
  <c r="T517" i="2"/>
  <c r="AQ517" i="2"/>
  <c r="S517" i="2"/>
  <c r="AM517" i="2"/>
  <c r="O517" i="2"/>
  <c r="AL517" i="2"/>
  <c r="N517" i="2"/>
  <c r="AK517" i="2"/>
  <c r="M517" i="2"/>
  <c r="AP517" i="2"/>
  <c r="N519" i="2"/>
  <c r="AJ483" i="2"/>
  <c r="BD485" i="2"/>
  <c r="N486" i="2"/>
  <c r="BD486" i="2" s="1"/>
  <c r="AN486" i="2"/>
  <c r="R488" i="2"/>
  <c r="AR488" i="2"/>
  <c r="AK494" i="2"/>
  <c r="M494" i="2"/>
  <c r="AC494" i="2" s="1"/>
  <c r="AJ494" i="2"/>
  <c r="L494" i="2"/>
  <c r="BD494" i="2" s="1"/>
  <c r="AI494" i="2"/>
  <c r="AY494" i="2" s="1"/>
  <c r="K494" i="2"/>
  <c r="AH494" i="2"/>
  <c r="N495" i="2"/>
  <c r="BD495" i="2" s="1"/>
  <c r="AO495" i="2"/>
  <c r="AW500" i="2"/>
  <c r="Y500" i="2"/>
  <c r="AV500" i="2"/>
  <c r="X500" i="2"/>
  <c r="AU500" i="2"/>
  <c r="W500" i="2"/>
  <c r="AH500" i="2"/>
  <c r="BB500" i="2" s="1"/>
  <c r="BC500" i="2" s="1"/>
  <c r="L501" i="2"/>
  <c r="BD501" i="2" s="1"/>
  <c r="AN501" i="2"/>
  <c r="R502" i="2"/>
  <c r="AX502" i="2"/>
  <c r="L505" i="2"/>
  <c r="AS505" i="2"/>
  <c r="AY505" i="2" s="1"/>
  <c r="N514" i="2"/>
  <c r="X516" i="2"/>
  <c r="H517" i="2"/>
  <c r="AT517" i="2"/>
  <c r="R519" i="2"/>
  <c r="AE496" i="2"/>
  <c r="AE508" i="2"/>
  <c r="Y511" i="2"/>
  <c r="AW511" i="2"/>
  <c r="W512" i="2"/>
  <c r="AC512" i="2" s="1"/>
  <c r="AZ512" i="2" s="1"/>
  <c r="AU512" i="2"/>
  <c r="U513" i="2"/>
  <c r="AS513" i="2"/>
  <c r="AY513" i="2" s="1"/>
  <c r="AE520" i="2"/>
  <c r="AD485" i="2"/>
  <c r="H496" i="2"/>
  <c r="AF496" i="2"/>
  <c r="AD497" i="2"/>
  <c r="H508" i="2"/>
  <c r="AF508" i="2"/>
  <c r="AD509" i="2"/>
  <c r="Z511" i="2"/>
  <c r="AX511" i="2"/>
  <c r="AY511" i="2" s="1"/>
  <c r="AZ511" i="2" s="1"/>
  <c r="X512" i="2"/>
  <c r="AV512" i="2"/>
  <c r="V513" i="2"/>
  <c r="AT513" i="2"/>
  <c r="H520" i="2"/>
  <c r="AF520" i="2"/>
  <c r="I496" i="2"/>
  <c r="I508" i="2"/>
  <c r="AA511" i="2"/>
  <c r="Y512" i="2"/>
  <c r="AW512" i="2"/>
  <c r="W513" i="2"/>
  <c r="AU513" i="2"/>
  <c r="I520" i="2"/>
  <c r="AG520" i="2"/>
  <c r="AA513" i="2"/>
  <c r="M520" i="2"/>
  <c r="AC520" i="2" s="1"/>
  <c r="AZ520" i="2" s="1"/>
  <c r="AK520" i="2"/>
  <c r="AD512" i="2"/>
  <c r="AB513" i="2"/>
  <c r="N520" i="2"/>
  <c r="AL520" i="2"/>
  <c r="AE512" i="2"/>
  <c r="O520" i="2"/>
  <c r="AM520" i="2"/>
  <c r="I512" i="2"/>
  <c r="AG512" i="2"/>
  <c r="Q520" i="2"/>
  <c r="AO520" i="2"/>
  <c r="J512" i="2"/>
  <c r="R520" i="2"/>
  <c r="BB448" i="2" l="1"/>
  <c r="BC448" i="2" s="1"/>
  <c r="BB396" i="2"/>
  <c r="BC396" i="2" s="1"/>
  <c r="AC407" i="2"/>
  <c r="AY231" i="2"/>
  <c r="AC241" i="2"/>
  <c r="AZ145" i="2"/>
  <c r="AZ508" i="2"/>
  <c r="AZ192" i="2"/>
  <c r="AZ412" i="2"/>
  <c r="BB342" i="2"/>
  <c r="BC342" i="2" s="1"/>
  <c r="AZ286" i="2"/>
  <c r="AY518" i="2"/>
  <c r="BD422" i="2"/>
  <c r="BB451" i="2"/>
  <c r="BC451" i="2" s="1"/>
  <c r="AC292" i="2"/>
  <c r="BD181" i="2"/>
  <c r="AC239" i="2"/>
  <c r="AY162" i="2"/>
  <c r="AC123" i="2"/>
  <c r="AZ89" i="2"/>
  <c r="AZ290" i="2"/>
  <c r="AC262" i="2"/>
  <c r="AC106" i="2"/>
  <c r="AZ159" i="2"/>
  <c r="BB440" i="2"/>
  <c r="BC440" i="2" s="1"/>
  <c r="AY443" i="2"/>
  <c r="BB389" i="2"/>
  <c r="BC389" i="2" s="1"/>
  <c r="AZ329" i="2"/>
  <c r="AZ249" i="2"/>
  <c r="AC275" i="2"/>
  <c r="BB200" i="2"/>
  <c r="BC200" i="2" s="1"/>
  <c r="AZ196" i="2"/>
  <c r="AC179" i="2"/>
  <c r="BD19" i="2"/>
  <c r="BB67" i="2"/>
  <c r="BC67" i="2" s="1"/>
  <c r="AZ163" i="2"/>
  <c r="BB19" i="2"/>
  <c r="BC19" i="2" s="1"/>
  <c r="BB384" i="2"/>
  <c r="BC384" i="2" s="1"/>
  <c r="AY392" i="2"/>
  <c r="BB237" i="2"/>
  <c r="BC237" i="2" s="1"/>
  <c r="BB194" i="2"/>
  <c r="BC194" i="2" s="1"/>
  <c r="BD67" i="2"/>
  <c r="BB66" i="2"/>
  <c r="BC66" i="2" s="1"/>
  <c r="BD499" i="2"/>
  <c r="BB444" i="2"/>
  <c r="BC444" i="2" s="1"/>
  <c r="BB368" i="2"/>
  <c r="BC368" i="2" s="1"/>
  <c r="AC388" i="2"/>
  <c r="BD209" i="2"/>
  <c r="AY194" i="2"/>
  <c r="BD29" i="2"/>
  <c r="AZ189" i="2"/>
  <c r="BB472" i="2"/>
  <c r="BC472" i="2" s="1"/>
  <c r="AY449" i="2"/>
  <c r="AZ449" i="2" s="1"/>
  <c r="AY446" i="2"/>
  <c r="AC427" i="2"/>
  <c r="AC463" i="2"/>
  <c r="AC405" i="2"/>
  <c r="AY316" i="2"/>
  <c r="AZ316" i="2" s="1"/>
  <c r="BB269" i="2"/>
  <c r="BC269" i="2" s="1"/>
  <c r="AY214" i="2"/>
  <c r="AC143" i="2"/>
  <c r="AZ143" i="2" s="1"/>
  <c r="BD123" i="2"/>
  <c r="BD54" i="2"/>
  <c r="AZ337" i="2"/>
  <c r="AZ383" i="2"/>
  <c r="AC365" i="2"/>
  <c r="AZ365" i="2" s="1"/>
  <c r="AC308" i="2"/>
  <c r="AC319" i="2"/>
  <c r="BD395" i="2"/>
  <c r="AC420" i="2"/>
  <c r="BB321" i="2"/>
  <c r="BC321" i="2" s="1"/>
  <c r="BD273" i="2"/>
  <c r="AY293" i="2"/>
  <c r="BB134" i="2"/>
  <c r="BC134" i="2" s="1"/>
  <c r="AY39" i="2"/>
  <c r="AZ151" i="2"/>
  <c r="BD310" i="2"/>
  <c r="BB224" i="2"/>
  <c r="BC224" i="2" s="1"/>
  <c r="AC238" i="2"/>
  <c r="AZ154" i="2"/>
  <c r="AC112" i="2"/>
  <c r="BD39" i="2"/>
  <c r="BB211" i="2"/>
  <c r="BC211" i="2" s="1"/>
  <c r="AZ10" i="2"/>
  <c r="BB379" i="2"/>
  <c r="BC379" i="2" s="1"/>
  <c r="AY472" i="2"/>
  <c r="BB457" i="2"/>
  <c r="BC457" i="2" s="1"/>
  <c r="AZ416" i="2"/>
  <c r="BB356" i="2"/>
  <c r="BC356" i="2" s="1"/>
  <c r="AY364" i="2"/>
  <c r="AY335" i="2"/>
  <c r="BD309" i="2"/>
  <c r="AZ262" i="2"/>
  <c r="AY439" i="2"/>
  <c r="AY223" i="2"/>
  <c r="AC149" i="2"/>
  <c r="BB481" i="2"/>
  <c r="BC481" i="2" s="1"/>
  <c r="AC473" i="2"/>
  <c r="AY427" i="2"/>
  <c r="BB416" i="2"/>
  <c r="BC416" i="2" s="1"/>
  <c r="AY342" i="2"/>
  <c r="BB309" i="2"/>
  <c r="BC309" i="2" s="1"/>
  <c r="BD133" i="2"/>
  <c r="BD109" i="2"/>
  <c r="AZ97" i="2"/>
  <c r="BB106" i="2"/>
  <c r="BC106" i="2" s="1"/>
  <c r="BD49" i="2"/>
  <c r="BB514" i="2"/>
  <c r="BC514" i="2" s="1"/>
  <c r="BD489" i="2"/>
  <c r="BB469" i="2"/>
  <c r="BC469" i="2" s="1"/>
  <c r="BB335" i="2"/>
  <c r="BC335" i="2" s="1"/>
  <c r="AY106" i="2"/>
  <c r="BB505" i="2"/>
  <c r="BC505" i="2" s="1"/>
  <c r="BD514" i="2"/>
  <c r="BB499" i="2"/>
  <c r="BC499" i="2" s="1"/>
  <c r="BD450" i="2"/>
  <c r="BD438" i="2"/>
  <c r="AY347" i="2"/>
  <c r="AC310" i="2"/>
  <c r="BD207" i="2"/>
  <c r="AC180" i="2"/>
  <c r="BB94" i="2"/>
  <c r="BC94" i="2" s="1"/>
  <c r="BB7" i="2"/>
  <c r="BC7" i="2" s="1"/>
  <c r="BD73" i="2"/>
  <c r="AZ110" i="2"/>
  <c r="AY371" i="2"/>
  <c r="AC244" i="2"/>
  <c r="AZ178" i="2"/>
  <c r="BD197" i="2"/>
  <c r="BD85" i="2"/>
  <c r="AC13" i="2"/>
  <c r="AZ13" i="2" s="1"/>
  <c r="AC14" i="2"/>
  <c r="AC478" i="2"/>
  <c r="AY491" i="2"/>
  <c r="AZ491" i="2" s="1"/>
  <c r="BD338" i="2"/>
  <c r="AC246" i="2"/>
  <c r="AZ246" i="2" s="1"/>
  <c r="AY209" i="2"/>
  <c r="AY466" i="2"/>
  <c r="AY503" i="2"/>
  <c r="BB410" i="2"/>
  <c r="BC410" i="2" s="1"/>
  <c r="BB322" i="2"/>
  <c r="BC322" i="2" s="1"/>
  <c r="BB323" i="2"/>
  <c r="BC323" i="2" s="1"/>
  <c r="BB155" i="2"/>
  <c r="BC155" i="2" s="1"/>
  <c r="BD92" i="2"/>
  <c r="AZ442" i="2"/>
  <c r="AC513" i="2"/>
  <c r="AZ513" i="2" s="1"/>
  <c r="AZ344" i="2"/>
  <c r="BB326" i="2"/>
  <c r="BC326" i="2" s="1"/>
  <c r="AY283" i="2"/>
  <c r="AY268" i="2"/>
  <c r="BB137" i="2"/>
  <c r="BC137" i="2" s="1"/>
  <c r="AC138" i="2"/>
  <c r="AY516" i="2"/>
  <c r="BB501" i="2"/>
  <c r="BC501" i="2" s="1"/>
  <c r="AY498" i="2"/>
  <c r="AC436" i="2"/>
  <c r="AZ436" i="2" s="1"/>
  <c r="AY514" i="2"/>
  <c r="BD344" i="2"/>
  <c r="AY389" i="2"/>
  <c r="AC312" i="2"/>
  <c r="AZ220" i="2"/>
  <c r="BD83" i="2"/>
  <c r="AZ84" i="2"/>
  <c r="AC69" i="2"/>
  <c r="BD519" i="2"/>
  <c r="BB355" i="2"/>
  <c r="BC355" i="2" s="1"/>
  <c r="BB190" i="2"/>
  <c r="BC190" i="2" s="1"/>
  <c r="AY180" i="2"/>
  <c r="AY148" i="2"/>
  <c r="AY308" i="2"/>
  <c r="BD121" i="2"/>
  <c r="BB452" i="2"/>
  <c r="BC452" i="2" s="1"/>
  <c r="BB369" i="2"/>
  <c r="BC369" i="2" s="1"/>
  <c r="BD321" i="2"/>
  <c r="AC206" i="2"/>
  <c r="AZ206" i="2" s="1"/>
  <c r="AY2" i="2"/>
  <c r="AZ2" i="2" s="1"/>
  <c r="BD419" i="2"/>
  <c r="AC445" i="2"/>
  <c r="BB172" i="2"/>
  <c r="BC172" i="2" s="1"/>
  <c r="AY20" i="2"/>
  <c r="BD171" i="2"/>
  <c r="BB57" i="2"/>
  <c r="BC57" i="2" s="1"/>
  <c r="BD24" i="2"/>
  <c r="AZ6" i="2"/>
  <c r="BB435" i="2"/>
  <c r="BC435" i="2" s="1"/>
  <c r="AC268" i="2"/>
  <c r="BD198" i="2"/>
  <c r="BB196" i="2"/>
  <c r="BC196" i="2" s="1"/>
  <c r="BB219" i="2"/>
  <c r="BC219" i="2" s="1"/>
  <c r="AZ202" i="2"/>
  <c r="BB110" i="2"/>
  <c r="BC110" i="2" s="1"/>
  <c r="AZ36" i="2"/>
  <c r="BB388" i="2"/>
  <c r="BC388" i="2" s="1"/>
  <c r="BD408" i="2"/>
  <c r="BD298" i="2"/>
  <c r="BD272" i="2"/>
  <c r="BB99" i="2"/>
  <c r="BC99" i="2" s="1"/>
  <c r="AY155" i="2"/>
  <c r="BD488" i="2"/>
  <c r="BD480" i="2"/>
  <c r="BD457" i="2"/>
  <c r="BD393" i="2"/>
  <c r="BB381" i="2"/>
  <c r="BC381" i="2" s="1"/>
  <c r="BB244" i="2"/>
  <c r="BC244" i="2" s="1"/>
  <c r="BB80" i="2"/>
  <c r="BC80" i="2" s="1"/>
  <c r="BD31" i="2"/>
  <c r="BB18" i="2"/>
  <c r="BC18" i="2" s="1"/>
  <c r="AZ419" i="2"/>
  <c r="AY378" i="2"/>
  <c r="BB346" i="2"/>
  <c r="BC346" i="2" s="1"/>
  <c r="AZ297" i="2"/>
  <c r="BB310" i="2"/>
  <c r="BC310" i="2" s="1"/>
  <c r="AC301" i="2"/>
  <c r="BB247" i="2"/>
  <c r="BC247" i="2" s="1"/>
  <c r="BB188" i="2"/>
  <c r="BC188" i="2" s="1"/>
  <c r="BD95" i="2"/>
  <c r="BD65" i="2"/>
  <c r="BD42" i="2"/>
  <c r="BD18" i="2"/>
  <c r="AZ54" i="2"/>
  <c r="AZ42" i="2"/>
  <c r="BB510" i="2"/>
  <c r="BC510" i="2" s="1"/>
  <c r="BD434" i="2"/>
  <c r="BB378" i="2"/>
  <c r="BC378" i="2" s="1"/>
  <c r="AC479" i="2"/>
  <c r="BB395" i="2"/>
  <c r="BC395" i="2" s="1"/>
  <c r="AC75" i="2"/>
  <c r="AZ400" i="2"/>
  <c r="BB350" i="2"/>
  <c r="BC350" i="2" s="1"/>
  <c r="AY355" i="2"/>
  <c r="AC330" i="2"/>
  <c r="AC341" i="2"/>
  <c r="AY275" i="2"/>
  <c r="BB280" i="2"/>
  <c r="BC280" i="2" s="1"/>
  <c r="BB208" i="2"/>
  <c r="BC208" i="2" s="1"/>
  <c r="BD97" i="2"/>
  <c r="AY81" i="2"/>
  <c r="BB76" i="2"/>
  <c r="BC76" i="2" s="1"/>
  <c r="BD5" i="2"/>
  <c r="AC518" i="2"/>
  <c r="AZ518" i="2" s="1"/>
  <c r="AC489" i="2"/>
  <c r="BD445" i="2"/>
  <c r="AY455" i="2"/>
  <c r="BD351" i="2"/>
  <c r="BB352" i="2"/>
  <c r="BC352" i="2" s="1"/>
  <c r="AC381" i="2"/>
  <c r="BD280" i="2"/>
  <c r="BB210" i="2"/>
  <c r="BC210" i="2" s="1"/>
  <c r="AC200" i="2"/>
  <c r="AZ200" i="2" s="1"/>
  <c r="AC160" i="2"/>
  <c r="AY126" i="2"/>
  <c r="AC40" i="2"/>
  <c r="AZ474" i="2"/>
  <c r="AZ349" i="2"/>
  <c r="BB130" i="2"/>
  <c r="BC130" i="2" s="1"/>
  <c r="AY459" i="2"/>
  <c r="AZ459" i="2" s="1"/>
  <c r="AC373" i="2"/>
  <c r="AC408" i="2"/>
  <c r="AC371" i="2"/>
  <c r="BD346" i="2"/>
  <c r="BD324" i="2"/>
  <c r="AY317" i="2"/>
  <c r="BB308" i="2"/>
  <c r="BC308" i="2" s="1"/>
  <c r="BB281" i="2"/>
  <c r="BC281" i="2" s="1"/>
  <c r="AY276" i="2"/>
  <c r="BB246" i="2"/>
  <c r="BC246" i="2" s="1"/>
  <c r="BD222" i="2"/>
  <c r="AC197" i="2"/>
  <c r="BD177" i="2"/>
  <c r="BB201" i="2"/>
  <c r="BC201" i="2" s="1"/>
  <c r="BB142" i="2"/>
  <c r="BC142" i="2" s="1"/>
  <c r="BB86" i="2"/>
  <c r="BC86" i="2" s="1"/>
  <c r="AZ48" i="2"/>
  <c r="AC51" i="2"/>
  <c r="BB437" i="2"/>
  <c r="BC437" i="2" s="1"/>
  <c r="AY431" i="2"/>
  <c r="AY407" i="2"/>
  <c r="AY414" i="2"/>
  <c r="BD276" i="2"/>
  <c r="BD196" i="2"/>
  <c r="BD165" i="2"/>
  <c r="BD43" i="2"/>
  <c r="AY40" i="2"/>
  <c r="BD12" i="2"/>
  <c r="AY76" i="2"/>
  <c r="AY26" i="2"/>
  <c r="AY8" i="2"/>
  <c r="BD517" i="2"/>
  <c r="AC499" i="2"/>
  <c r="AZ499" i="2" s="1"/>
  <c r="BD510" i="2"/>
  <c r="BB480" i="2"/>
  <c r="BC480" i="2" s="1"/>
  <c r="BD493" i="2"/>
  <c r="BD451" i="2"/>
  <c r="AY425" i="2"/>
  <c r="AZ425" i="2" s="1"/>
  <c r="BD447" i="2"/>
  <c r="BD404" i="2"/>
  <c r="BD373" i="2"/>
  <c r="BD352" i="2"/>
  <c r="BB406" i="2"/>
  <c r="BC406" i="2" s="1"/>
  <c r="BB329" i="2"/>
  <c r="BC329" i="2" s="1"/>
  <c r="BB317" i="2"/>
  <c r="BC317" i="2" s="1"/>
  <c r="AC258" i="2"/>
  <c r="BD256" i="2"/>
  <c r="BB222" i="2"/>
  <c r="BC222" i="2" s="1"/>
  <c r="BD110" i="2"/>
  <c r="AC167" i="2"/>
  <c r="AZ167" i="2" s="1"/>
  <c r="AC166" i="2"/>
  <c r="AC156" i="2"/>
  <c r="AZ156" i="2" s="1"/>
  <c r="AY121" i="2"/>
  <c r="AZ121" i="2" s="1"/>
  <c r="BD108" i="2"/>
  <c r="BB82" i="2"/>
  <c r="BC82" i="2" s="1"/>
  <c r="BD52" i="2"/>
  <c r="AY27" i="2"/>
  <c r="AZ495" i="2"/>
  <c r="AY437" i="2"/>
  <c r="AZ437" i="2" s="1"/>
  <c r="BD425" i="2"/>
  <c r="BD297" i="2"/>
  <c r="BD354" i="2"/>
  <c r="AY354" i="2"/>
  <c r="BD236" i="2"/>
  <c r="AC276" i="2"/>
  <c r="BB268" i="2"/>
  <c r="BC268" i="2" s="1"/>
  <c r="AC208" i="2"/>
  <c r="BB199" i="2"/>
  <c r="BC199" i="2" s="1"/>
  <c r="AC300" i="2"/>
  <c r="AC165" i="2"/>
  <c r="BB31" i="2"/>
  <c r="BC31" i="2" s="1"/>
  <c r="BB6" i="2"/>
  <c r="BC6" i="2" s="1"/>
  <c r="BD50" i="2"/>
  <c r="BB26" i="2"/>
  <c r="BC26" i="2" s="1"/>
  <c r="AY490" i="2"/>
  <c r="AC498" i="2"/>
  <c r="AZ485" i="2"/>
  <c r="BB467" i="2"/>
  <c r="BC467" i="2" s="1"/>
  <c r="AY450" i="2"/>
  <c r="AZ450" i="2" s="1"/>
  <c r="AC454" i="2"/>
  <c r="AZ454" i="2" s="1"/>
  <c r="BD437" i="2"/>
  <c r="BD430" i="2"/>
  <c r="BB357" i="2"/>
  <c r="BC357" i="2" s="1"/>
  <c r="BD302" i="2"/>
  <c r="BB338" i="2"/>
  <c r="BC338" i="2" s="1"/>
  <c r="BB273" i="2"/>
  <c r="BC273" i="2" s="1"/>
  <c r="AC345" i="2"/>
  <c r="BB318" i="2"/>
  <c r="BC318" i="2" s="1"/>
  <c r="AY294" i="2"/>
  <c r="AC256" i="2"/>
  <c r="BD249" i="2"/>
  <c r="BD210" i="2"/>
  <c r="AY234" i="2"/>
  <c r="AZ234" i="2" s="1"/>
  <c r="BD159" i="2"/>
  <c r="BB209" i="2"/>
  <c r="BC209" i="2" s="1"/>
  <c r="BD199" i="2"/>
  <c r="AY168" i="2"/>
  <c r="AY160" i="2"/>
  <c r="BD168" i="2"/>
  <c r="BD167" i="2"/>
  <c r="AZ31" i="2"/>
  <c r="BD6" i="2"/>
  <c r="BB81" i="2"/>
  <c r="BC81" i="2" s="1"/>
  <c r="BB50" i="2"/>
  <c r="BC50" i="2" s="1"/>
  <c r="AZ30" i="2"/>
  <c r="AC32" i="2"/>
  <c r="AC74" i="2"/>
  <c r="AZ74" i="2" s="1"/>
  <c r="AC480" i="2"/>
  <c r="AZ480" i="2" s="1"/>
  <c r="AC424" i="2"/>
  <c r="AZ424" i="2" s="1"/>
  <c r="BD246" i="2"/>
  <c r="BD259" i="2"/>
  <c r="BB159" i="2"/>
  <c r="BC159" i="2" s="1"/>
  <c r="BD195" i="2"/>
  <c r="BD170" i="2"/>
  <c r="BB135" i="2"/>
  <c r="BC135" i="2" s="1"/>
  <c r="AZ101" i="2"/>
  <c r="AC153" i="2"/>
  <c r="BD99" i="2"/>
  <c r="BB54" i="2"/>
  <c r="BC54" i="2" s="1"/>
  <c r="BB30" i="2"/>
  <c r="BC30" i="2" s="1"/>
  <c r="AC16" i="2"/>
  <c r="BB29" i="2"/>
  <c r="BC29" i="2" s="1"/>
  <c r="AC50" i="2"/>
  <c r="BD45" i="2"/>
  <c r="BD3" i="2"/>
  <c r="AZ423" i="2"/>
  <c r="AZ501" i="2"/>
  <c r="BB502" i="2"/>
  <c r="BC502" i="2" s="1"/>
  <c r="BB431" i="2"/>
  <c r="BC431" i="2" s="1"/>
  <c r="BD370" i="2"/>
  <c r="AY381" i="2"/>
  <c r="BD326" i="2"/>
  <c r="AC323" i="2"/>
  <c r="BB275" i="2"/>
  <c r="BC275" i="2" s="1"/>
  <c r="AC439" i="2"/>
  <c r="AY241" i="2"/>
  <c r="AZ241" i="2" s="1"/>
  <c r="AC172" i="2"/>
  <c r="BD135" i="2"/>
  <c r="BB206" i="2"/>
  <c r="BC206" i="2" s="1"/>
  <c r="BB160" i="2"/>
  <c r="BC160" i="2" s="1"/>
  <c r="BB65" i="2"/>
  <c r="BC65" i="2" s="1"/>
  <c r="AC87" i="2"/>
  <c r="BD37" i="2"/>
  <c r="AC517" i="2"/>
  <c r="AZ517" i="2" s="1"/>
  <c r="BD357" i="2"/>
  <c r="BD458" i="2"/>
  <c r="BB370" i="2"/>
  <c r="BC370" i="2" s="1"/>
  <c r="AY369" i="2"/>
  <c r="AC362" i="2"/>
  <c r="AZ362" i="2" s="1"/>
  <c r="BB336" i="2"/>
  <c r="BC336" i="2" s="1"/>
  <c r="AC318" i="2"/>
  <c r="BD317" i="2"/>
  <c r="BB289" i="2"/>
  <c r="BC289" i="2" s="1"/>
  <c r="AY277" i="2"/>
  <c r="BD252" i="2"/>
  <c r="BD183" i="2"/>
  <c r="BD160" i="2"/>
  <c r="BB118" i="2"/>
  <c r="BC118" i="2" s="1"/>
  <c r="AC158" i="2"/>
  <c r="BB71" i="2"/>
  <c r="BC71" i="2" s="1"/>
  <c r="AZ95" i="2"/>
  <c r="AY88" i="2"/>
  <c r="BB44" i="2"/>
  <c r="BC44" i="2" s="1"/>
  <c r="BD80" i="2"/>
  <c r="BD449" i="2"/>
  <c r="BD429" i="2"/>
  <c r="AC444" i="2"/>
  <c r="AZ444" i="2" s="1"/>
  <c r="BB487" i="2"/>
  <c r="BC487" i="2" s="1"/>
  <c r="BD417" i="2"/>
  <c r="AC409" i="2"/>
  <c r="BD368" i="2"/>
  <c r="AC369" i="2"/>
  <c r="BB362" i="2"/>
  <c r="BC362" i="2" s="1"/>
  <c r="AC338" i="2"/>
  <c r="AZ338" i="2" s="1"/>
  <c r="BB331" i="2"/>
  <c r="BC331" i="2" s="1"/>
  <c r="BB328" i="2"/>
  <c r="BC328" i="2" s="1"/>
  <c r="BB319" i="2"/>
  <c r="BC319" i="2" s="1"/>
  <c r="AY261" i="2"/>
  <c r="BB226" i="2"/>
  <c r="BC226" i="2" s="1"/>
  <c r="AC209" i="2"/>
  <c r="AZ209" i="2" s="1"/>
  <c r="BD200" i="2"/>
  <c r="BB205" i="2"/>
  <c r="BC205" i="2" s="1"/>
  <c r="AY193" i="2"/>
  <c r="BD134" i="2"/>
  <c r="AZ60" i="2"/>
  <c r="BD53" i="2"/>
  <c r="AC52" i="2"/>
  <c r="AY14" i="2"/>
  <c r="AY62" i="2"/>
  <c r="AZ134" i="2"/>
  <c r="BD503" i="2"/>
  <c r="BD473" i="2"/>
  <c r="BD456" i="2"/>
  <c r="BB488" i="2"/>
  <c r="BC488" i="2" s="1"/>
  <c r="BD452" i="2"/>
  <c r="AC466" i="2"/>
  <c r="AZ466" i="2" s="1"/>
  <c r="BD440" i="2"/>
  <c r="BB376" i="2"/>
  <c r="BC376" i="2" s="1"/>
  <c r="BD384" i="2"/>
  <c r="BD362" i="2"/>
  <c r="AC316" i="2"/>
  <c r="AC360" i="2"/>
  <c r="AZ360" i="2" s="1"/>
  <c r="BD319" i="2"/>
  <c r="AY245" i="2"/>
  <c r="AC213" i="2"/>
  <c r="BD71" i="2"/>
  <c r="BD7" i="2"/>
  <c r="BD72" i="2"/>
  <c r="BB61" i="2"/>
  <c r="BC61" i="2" s="1"/>
  <c r="BD14" i="2"/>
  <c r="AZ187" i="2"/>
  <c r="BB450" i="2"/>
  <c r="BC450" i="2" s="1"/>
  <c r="BD472" i="2"/>
  <c r="BD479" i="2"/>
  <c r="BB420" i="2"/>
  <c r="BC420" i="2" s="1"/>
  <c r="BD367" i="2"/>
  <c r="BD374" i="2"/>
  <c r="BB348" i="2"/>
  <c r="BC348" i="2" s="1"/>
  <c r="BD350" i="2"/>
  <c r="BB286" i="2"/>
  <c r="BC286" i="2" s="1"/>
  <c r="BB240" i="2"/>
  <c r="BC240" i="2" s="1"/>
  <c r="BB262" i="2"/>
  <c r="BC262" i="2" s="1"/>
  <c r="BB287" i="2"/>
  <c r="BC287" i="2" s="1"/>
  <c r="AZ242" i="2"/>
  <c r="BD239" i="2"/>
  <c r="BB193" i="2"/>
  <c r="BC193" i="2" s="1"/>
  <c r="BD111" i="2"/>
  <c r="BB13" i="2"/>
  <c r="BC13" i="2" s="1"/>
  <c r="BD286" i="2"/>
  <c r="AY287" i="2"/>
  <c r="AC251" i="2"/>
  <c r="BD226" i="2"/>
  <c r="BD232" i="2"/>
  <c r="AC221" i="2"/>
  <c r="BB136" i="2"/>
  <c r="BC136" i="2" s="1"/>
  <c r="BB96" i="2"/>
  <c r="BC96" i="2" s="1"/>
  <c r="BD25" i="2"/>
  <c r="BB344" i="2"/>
  <c r="BC344" i="2" s="1"/>
  <c r="BB292" i="2"/>
  <c r="BC292" i="2" s="1"/>
  <c r="BD136" i="2"/>
  <c r="AY15" i="2"/>
  <c r="BD464" i="2"/>
  <c r="AZ494" i="2"/>
  <c r="BD478" i="2"/>
  <c r="BB425" i="2"/>
  <c r="BC425" i="2" s="1"/>
  <c r="AC431" i="2"/>
  <c r="AZ431" i="2" s="1"/>
  <c r="AY441" i="2"/>
  <c r="BD285" i="2"/>
  <c r="AC205" i="2"/>
  <c r="BB131" i="2"/>
  <c r="BC131" i="2" s="1"/>
  <c r="BB126" i="2"/>
  <c r="BC126" i="2" s="1"/>
  <c r="BB486" i="2"/>
  <c r="BC486" i="2" s="1"/>
  <c r="BB490" i="2"/>
  <c r="BC490" i="2" s="1"/>
  <c r="BB498" i="2"/>
  <c r="BC498" i="2" s="1"/>
  <c r="BD383" i="2"/>
  <c r="BD369" i="2"/>
  <c r="BD347" i="2"/>
  <c r="BB236" i="2"/>
  <c r="BC236" i="2" s="1"/>
  <c r="BD261" i="2"/>
  <c r="AY303" i="2"/>
  <c r="BB161" i="2"/>
  <c r="BC161" i="2" s="1"/>
  <c r="AC94" i="2"/>
  <c r="AZ94" i="2" s="1"/>
  <c r="BB55" i="2"/>
  <c r="BC55" i="2" s="1"/>
  <c r="BB49" i="2"/>
  <c r="BC49" i="2" s="1"/>
  <c r="BB62" i="2"/>
  <c r="BC62" i="2" s="1"/>
  <c r="BB503" i="2"/>
  <c r="BC503" i="2" s="1"/>
  <c r="AZ430" i="2"/>
  <c r="BD468" i="2"/>
  <c r="AZ464" i="2"/>
  <c r="BD394" i="2"/>
  <c r="AC406" i="2"/>
  <c r="AZ391" i="2"/>
  <c r="BD366" i="2"/>
  <c r="AY330" i="2"/>
  <c r="AZ330" i="2" s="1"/>
  <c r="BD334" i="2"/>
  <c r="AY244" i="2"/>
  <c r="BD303" i="2"/>
  <c r="AY270" i="2"/>
  <c r="AY195" i="2"/>
  <c r="AZ169" i="2"/>
  <c r="BD55" i="2"/>
  <c r="BB43" i="2"/>
  <c r="BC43" i="2" s="1"/>
  <c r="AC107" i="2"/>
  <c r="AC4" i="2"/>
  <c r="BD506" i="2"/>
  <c r="BB482" i="2"/>
  <c r="BC482" i="2" s="1"/>
  <c r="BD470" i="2"/>
  <c r="AC457" i="2"/>
  <c r="AZ457" i="2" s="1"/>
  <c r="AZ376" i="2"/>
  <c r="BD356" i="2"/>
  <c r="BB516" i="2"/>
  <c r="BC516" i="2" s="1"/>
  <c r="BD490" i="2"/>
  <c r="BB489" i="2"/>
  <c r="BC489" i="2" s="1"/>
  <c r="BB477" i="2"/>
  <c r="BC477" i="2" s="1"/>
  <c r="AC506" i="2"/>
  <c r="BD467" i="2"/>
  <c r="AC470" i="2"/>
  <c r="BB390" i="2"/>
  <c r="BC390" i="2" s="1"/>
  <c r="AY393" i="2"/>
  <c r="AZ393" i="2" s="1"/>
  <c r="AY384" i="2"/>
  <c r="AY418" i="2"/>
  <c r="AZ418" i="2" s="1"/>
  <c r="AY363" i="2"/>
  <c r="AZ363" i="2" s="1"/>
  <c r="AC366" i="2"/>
  <c r="AC335" i="2"/>
  <c r="AZ335" i="2" s="1"/>
  <c r="BB364" i="2"/>
  <c r="BC364" i="2" s="1"/>
  <c r="BB332" i="2"/>
  <c r="BC332" i="2" s="1"/>
  <c r="BB235" i="2"/>
  <c r="BC235" i="2" s="1"/>
  <c r="BD269" i="2"/>
  <c r="BB249" i="2"/>
  <c r="BC249" i="2" s="1"/>
  <c r="AY265" i="2"/>
  <c r="AZ265" i="2" s="1"/>
  <c r="AC315" i="2"/>
  <c r="BB171" i="2"/>
  <c r="BC171" i="2" s="1"/>
  <c r="AC195" i="2"/>
  <c r="BB156" i="2"/>
  <c r="BC156" i="2" s="1"/>
  <c r="BD131" i="2"/>
  <c r="BB153" i="2"/>
  <c r="BC153" i="2" s="1"/>
  <c r="BD126" i="2"/>
  <c r="BD124" i="2"/>
  <c r="BD66" i="2"/>
  <c r="AC82" i="2"/>
  <c r="BB91" i="2"/>
  <c r="BC91" i="2" s="1"/>
  <c r="BB16" i="2"/>
  <c r="BC16" i="2" s="1"/>
  <c r="AY447" i="2"/>
  <c r="AC475" i="2"/>
  <c r="AY445" i="2"/>
  <c r="BB383" i="2"/>
  <c r="BC383" i="2" s="1"/>
  <c r="BB333" i="2"/>
  <c r="BC333" i="2" s="1"/>
  <c r="AC372" i="2"/>
  <c r="AZ352" i="2"/>
  <c r="AC331" i="2"/>
  <c r="AZ331" i="2" s="1"/>
  <c r="BD235" i="2"/>
  <c r="AY207" i="2"/>
  <c r="AZ207" i="2" s="1"/>
  <c r="BB122" i="2"/>
  <c r="BC122" i="2" s="1"/>
  <c r="BD179" i="2"/>
  <c r="AC168" i="2"/>
  <c r="BD156" i="2"/>
  <c r="BB42" i="2"/>
  <c r="BC42" i="2" s="1"/>
  <c r="BD91" i="2"/>
  <c r="BD40" i="2"/>
  <c r="BB72" i="2"/>
  <c r="BC72" i="2" s="1"/>
  <c r="AC88" i="2"/>
  <c r="BD61" i="2"/>
  <c r="BB37" i="2"/>
  <c r="BC37" i="2" s="1"/>
  <c r="BB56" i="2"/>
  <c r="BC56" i="2" s="1"/>
  <c r="BD498" i="2"/>
  <c r="AC492" i="2"/>
  <c r="AZ492" i="2" s="1"/>
  <c r="AC484" i="2"/>
  <c r="AY448" i="2"/>
  <c r="AZ448" i="2" s="1"/>
  <c r="BD507" i="2"/>
  <c r="AY478" i="2"/>
  <c r="BB403" i="2"/>
  <c r="BC403" i="2" s="1"/>
  <c r="BD333" i="2"/>
  <c r="BB363" i="2"/>
  <c r="BC363" i="2" s="1"/>
  <c r="BD323" i="2"/>
  <c r="BB260" i="2"/>
  <c r="BC260" i="2" s="1"/>
  <c r="BB170" i="2"/>
  <c r="BC170" i="2" s="1"/>
  <c r="AC198" i="2"/>
  <c r="BB223" i="2"/>
  <c r="BC223" i="2" s="1"/>
  <c r="BD122" i="2"/>
  <c r="BB148" i="2"/>
  <c r="BC148" i="2" s="1"/>
  <c r="AC108" i="2"/>
  <c r="BD30" i="2"/>
  <c r="AY52" i="2"/>
  <c r="AY467" i="2"/>
  <c r="AZ467" i="2" s="1"/>
  <c r="BD462" i="2"/>
  <c r="AC353" i="2"/>
  <c r="BB84" i="2"/>
  <c r="BC84" i="2" s="1"/>
  <c r="BD98" i="2"/>
  <c r="BD63" i="2"/>
  <c r="BB51" i="2"/>
  <c r="BC51" i="2" s="1"/>
  <c r="BB491" i="2"/>
  <c r="BC491" i="2" s="1"/>
  <c r="BD520" i="2"/>
  <c r="BB462" i="2"/>
  <c r="BC462" i="2" s="1"/>
  <c r="AZ434" i="2"/>
  <c r="AY469" i="2"/>
  <c r="AZ469" i="2" s="1"/>
  <c r="BB430" i="2"/>
  <c r="BC430" i="2" s="1"/>
  <c r="BB413" i="2"/>
  <c r="BC413" i="2" s="1"/>
  <c r="BD320" i="2"/>
  <c r="BD314" i="2"/>
  <c r="BB274" i="2"/>
  <c r="BC274" i="2" s="1"/>
  <c r="BB295" i="2"/>
  <c r="BC295" i="2" s="1"/>
  <c r="AY248" i="2"/>
  <c r="AZ248" i="2" s="1"/>
  <c r="AY257" i="2"/>
  <c r="BD230" i="2"/>
  <c r="BB230" i="2"/>
  <c r="BC230" i="2" s="1"/>
  <c r="AC214" i="2"/>
  <c r="AZ214" i="2" s="1"/>
  <c r="AY166" i="2"/>
  <c r="AY165" i="2"/>
  <c r="AY138" i="2"/>
  <c r="AZ138" i="2" s="1"/>
  <c r="AY69" i="2"/>
  <c r="AZ69" i="2" s="1"/>
  <c r="AY112" i="2"/>
  <c r="AZ112" i="2" s="1"/>
  <c r="BD41" i="2"/>
  <c r="BD17" i="2"/>
  <c r="AZ23" i="2"/>
  <c r="BB25" i="2"/>
  <c r="BC25" i="2" s="1"/>
  <c r="AZ77" i="2"/>
  <c r="AY471" i="2"/>
  <c r="BD502" i="2"/>
  <c r="AZ462" i="2"/>
  <c r="BB382" i="2"/>
  <c r="BC382" i="2" s="1"/>
  <c r="AY406" i="2"/>
  <c r="BB371" i="2"/>
  <c r="BC371" i="2" s="1"/>
  <c r="BB320" i="2"/>
  <c r="BC320" i="2" s="1"/>
  <c r="BD274" i="2"/>
  <c r="BB301" i="2"/>
  <c r="BC301" i="2" s="1"/>
  <c r="AZ285" i="2"/>
  <c r="AY225" i="2"/>
  <c r="AY172" i="2"/>
  <c r="AZ179" i="2"/>
  <c r="AZ109" i="2"/>
  <c r="BB100" i="2"/>
  <c r="BC100" i="2" s="1"/>
  <c r="BB74" i="2"/>
  <c r="BC74" i="2" s="1"/>
  <c r="AC119" i="2"/>
  <c r="BB39" i="2"/>
  <c r="BC39" i="2" s="1"/>
  <c r="AY9" i="2"/>
  <c r="AZ339" i="2"/>
  <c r="AZ198" i="2"/>
  <c r="AZ135" i="2"/>
  <c r="AZ357" i="2"/>
  <c r="AZ85" i="2"/>
  <c r="AZ72" i="2"/>
  <c r="AZ79" i="2"/>
  <c r="AZ11" i="2"/>
  <c r="AZ351" i="2"/>
  <c r="BD446" i="2"/>
  <c r="BB408" i="2"/>
  <c r="BC408" i="2" s="1"/>
  <c r="AZ398" i="2"/>
  <c r="BD258" i="2"/>
  <c r="BD224" i="2"/>
  <c r="BD315" i="2"/>
  <c r="BB213" i="2"/>
  <c r="BC213" i="2" s="1"/>
  <c r="BD185" i="2"/>
  <c r="BB212" i="2"/>
  <c r="BC212" i="2" s="1"/>
  <c r="BD142" i="2"/>
  <c r="AZ123" i="2"/>
  <c r="BB180" i="2"/>
  <c r="BC180" i="2" s="1"/>
  <c r="BD112" i="2"/>
  <c r="BB73" i="2"/>
  <c r="BC73" i="2" s="1"/>
  <c r="BD13" i="2"/>
  <c r="AZ443" i="2"/>
  <c r="AZ478" i="2"/>
  <c r="BD398" i="2"/>
  <c r="BB340" i="2"/>
  <c r="BC340" i="2" s="1"/>
  <c r="BD391" i="2"/>
  <c r="AZ327" i="2"/>
  <c r="BB316" i="2"/>
  <c r="BC316" i="2" s="1"/>
  <c r="BD341" i="2"/>
  <c r="BB353" i="2"/>
  <c r="BC353" i="2" s="1"/>
  <c r="BD260" i="2"/>
  <c r="BD234" i="2"/>
  <c r="BD215" i="2"/>
  <c r="BB519" i="2"/>
  <c r="BC519" i="2" s="1"/>
  <c r="BB456" i="2"/>
  <c r="BC456" i="2" s="1"/>
  <c r="AY479" i="2"/>
  <c r="BB475" i="2"/>
  <c r="BC475" i="2" s="1"/>
  <c r="BD463" i="2"/>
  <c r="BB418" i="2"/>
  <c r="BC418" i="2" s="1"/>
  <c r="BB407" i="2"/>
  <c r="BC407" i="2" s="1"/>
  <c r="AC433" i="2"/>
  <c r="AY408" i="2"/>
  <c r="AZ408" i="2" s="1"/>
  <c r="AY386" i="2"/>
  <c r="AC342" i="2"/>
  <c r="AZ342" i="2" s="1"/>
  <c r="AY314" i="2"/>
  <c r="AZ314" i="2" s="1"/>
  <c r="AC299" i="2"/>
  <c r="BD318" i="2"/>
  <c r="AC317" i="2"/>
  <c r="BD353" i="2"/>
  <c r="BD439" i="2"/>
  <c r="BB189" i="2"/>
  <c r="BC189" i="2" s="1"/>
  <c r="AC261" i="2"/>
  <c r="AZ261" i="2" s="1"/>
  <c r="AY226" i="2"/>
  <c r="AC252" i="2"/>
  <c r="BD213" i="2"/>
  <c r="AY197" i="2"/>
  <c r="BD300" i="2"/>
  <c r="AY212" i="2"/>
  <c r="BB173" i="2"/>
  <c r="BC173" i="2" s="1"/>
  <c r="AY130" i="2"/>
  <c r="AZ130" i="2" s="1"/>
  <c r="BD147" i="2"/>
  <c r="AY131" i="2"/>
  <c r="BD138" i="2"/>
  <c r="BB69" i="2"/>
  <c r="BC69" i="2" s="1"/>
  <c r="BB98" i="2"/>
  <c r="BC98" i="2" s="1"/>
  <c r="BD100" i="2"/>
  <c r="AC63" i="2"/>
  <c r="AC45" i="2"/>
  <c r="BB277" i="2"/>
  <c r="BC277" i="2" s="1"/>
  <c r="BB517" i="2"/>
  <c r="BC517" i="2" s="1"/>
  <c r="BD471" i="2"/>
  <c r="BD477" i="2"/>
  <c r="BB438" i="2"/>
  <c r="BC438" i="2" s="1"/>
  <c r="AC507" i="2"/>
  <c r="AZ507" i="2" s="1"/>
  <c r="AZ390" i="2"/>
  <c r="AC455" i="2"/>
  <c r="AY475" i="2"/>
  <c r="BB398" i="2"/>
  <c r="BC398" i="2" s="1"/>
  <c r="BD396" i="2"/>
  <c r="BD413" i="2"/>
  <c r="AY413" i="2"/>
  <c r="AY379" i="2"/>
  <c r="BD363" i="2"/>
  <c r="BB359" i="2"/>
  <c r="BC359" i="2" s="1"/>
  <c r="BD371" i="2"/>
  <c r="AC347" i="2"/>
  <c r="AZ347" i="2" s="1"/>
  <c r="AY296" i="2"/>
  <c r="AZ296" i="2" s="1"/>
  <c r="AY298" i="2"/>
  <c r="AZ298" i="2" s="1"/>
  <c r="BB341" i="2"/>
  <c r="BC341" i="2" s="1"/>
  <c r="BD248" i="2"/>
  <c r="AC280" i="2"/>
  <c r="AZ280" i="2" s="1"/>
  <c r="AY256" i="2"/>
  <c r="AZ256" i="2" s="1"/>
  <c r="AC226" i="2"/>
  <c r="BB303" i="2"/>
  <c r="BC303" i="2" s="1"/>
  <c r="AY170" i="2"/>
  <c r="AZ170" i="2" s="1"/>
  <c r="AC259" i="2"/>
  <c r="BB198" i="2"/>
  <c r="BC198" i="2" s="1"/>
  <c r="AC131" i="2"/>
  <c r="BD149" i="2"/>
  <c r="BB124" i="2"/>
  <c r="BC124" i="2" s="1"/>
  <c r="AC98" i="2"/>
  <c r="AZ98" i="2" s="1"/>
  <c r="BB93" i="2"/>
  <c r="BC93" i="2" s="1"/>
  <c r="BB52" i="2"/>
  <c r="BC52" i="2" s="1"/>
  <c r="BD76" i="2"/>
  <c r="BD86" i="2"/>
  <c r="AC39" i="2"/>
  <c r="AZ39" i="2" s="1"/>
  <c r="BD26" i="2"/>
  <c r="BD8" i="2"/>
  <c r="BB20" i="2"/>
  <c r="BC20" i="2" s="1"/>
  <c r="BB8" i="2"/>
  <c r="BC8" i="2" s="1"/>
  <c r="BB506" i="2"/>
  <c r="BC506" i="2" s="1"/>
  <c r="AY388" i="2"/>
  <c r="AZ388" i="2" s="1"/>
  <c r="AZ516" i="2"/>
  <c r="AC472" i="2"/>
  <c r="AC504" i="2"/>
  <c r="BB405" i="2"/>
  <c r="BC405" i="2" s="1"/>
  <c r="BD379" i="2"/>
  <c r="AC394" i="2"/>
  <c r="AC334" i="2"/>
  <c r="BB248" i="2"/>
  <c r="BC248" i="2" s="1"/>
  <c r="BB282" i="2"/>
  <c r="BC282" i="2" s="1"/>
  <c r="BD277" i="2"/>
  <c r="BB187" i="2"/>
  <c r="BC187" i="2" s="1"/>
  <c r="BB241" i="2"/>
  <c r="BC241" i="2" s="1"/>
  <c r="BD250" i="2"/>
  <c r="AY239" i="2"/>
  <c r="AZ239" i="2" s="1"/>
  <c r="BB181" i="2"/>
  <c r="BC181" i="2" s="1"/>
  <c r="AC177" i="2"/>
  <c r="AZ177" i="2" s="1"/>
  <c r="BB183" i="2"/>
  <c r="BC183" i="2" s="1"/>
  <c r="AY208" i="2"/>
  <c r="BD130" i="2"/>
  <c r="BD154" i="2"/>
  <c r="AC126" i="2"/>
  <c r="AZ126" i="2" s="1"/>
  <c r="BB97" i="2"/>
  <c r="BC97" i="2" s="1"/>
  <c r="BB123" i="2"/>
  <c r="BC123" i="2" s="1"/>
  <c r="BD28" i="2"/>
  <c r="AZ25" i="2"/>
  <c r="AZ29" i="2"/>
  <c r="AY51" i="2"/>
  <c r="BB38" i="2"/>
  <c r="BC38" i="2" s="1"/>
  <c r="AZ37" i="2"/>
  <c r="BD436" i="2"/>
  <c r="BB515" i="2"/>
  <c r="BC515" i="2" s="1"/>
  <c r="BB470" i="2"/>
  <c r="BC470" i="2" s="1"/>
  <c r="AC487" i="2"/>
  <c r="AY487" i="2"/>
  <c r="BD466" i="2"/>
  <c r="BB454" i="2"/>
  <c r="BC454" i="2" s="1"/>
  <c r="AZ404" i="2"/>
  <c r="AC426" i="2"/>
  <c r="AZ426" i="2" s="1"/>
  <c r="AC432" i="2"/>
  <c r="AZ432" i="2" s="1"/>
  <c r="AC396" i="2"/>
  <c r="AZ396" i="2" s="1"/>
  <c r="BD504" i="2"/>
  <c r="AY373" i="2"/>
  <c r="AZ373" i="2" s="1"/>
  <c r="BB385" i="2"/>
  <c r="BC385" i="2" s="1"/>
  <c r="BD296" i="2"/>
  <c r="BB297" i="2"/>
  <c r="BC297" i="2" s="1"/>
  <c r="BD281" i="2"/>
  <c r="BD343" i="2"/>
  <c r="BB231" i="2"/>
  <c r="BC231" i="2" s="1"/>
  <c r="BD218" i="2"/>
  <c r="BD257" i="2"/>
  <c r="BD268" i="2"/>
  <c r="AY222" i="2"/>
  <c r="AZ222" i="2" s="1"/>
  <c r="AC250" i="2"/>
  <c r="AZ250" i="2" s="1"/>
  <c r="BD182" i="2"/>
  <c r="AC183" i="2"/>
  <c r="AZ183" i="2" s="1"/>
  <c r="BB179" i="2"/>
  <c r="BC179" i="2" s="1"/>
  <c r="AY150" i="2"/>
  <c r="AZ150" i="2" s="1"/>
  <c r="BB113" i="2"/>
  <c r="BC113" i="2" s="1"/>
  <c r="AY93" i="2"/>
  <c r="BD64" i="2"/>
  <c r="AC86" i="2"/>
  <c r="AC26" i="2"/>
  <c r="BB27" i="2"/>
  <c r="BC27" i="2" s="1"/>
  <c r="BD51" i="2"/>
  <c r="AC8" i="2"/>
  <c r="AZ8" i="2" s="1"/>
  <c r="AZ49" i="2"/>
  <c r="AZ318" i="2"/>
  <c r="AY515" i="2"/>
  <c r="BB458" i="2"/>
  <c r="BC458" i="2" s="1"/>
  <c r="AC402" i="2"/>
  <c r="AZ402" i="2" s="1"/>
  <c r="AY420" i="2"/>
  <c r="AZ420" i="2" s="1"/>
  <c r="BB392" i="2"/>
  <c r="BC392" i="2" s="1"/>
  <c r="BB409" i="2"/>
  <c r="BC409" i="2" s="1"/>
  <c r="BB443" i="2"/>
  <c r="BC443" i="2" s="1"/>
  <c r="AY405" i="2"/>
  <c r="AZ405" i="2" s="1"/>
  <c r="BD382" i="2"/>
  <c r="AC379" i="2"/>
  <c r="BD359" i="2"/>
  <c r="BD433" i="2"/>
  <c r="BD332" i="2"/>
  <c r="AC295" i="2"/>
  <c r="AY353" i="2"/>
  <c r="BB330" i="2"/>
  <c r="BC330" i="2" s="1"/>
  <c r="BD244" i="2"/>
  <c r="AY282" i="2"/>
  <c r="BB264" i="2"/>
  <c r="BC264" i="2" s="1"/>
  <c r="BB186" i="2"/>
  <c r="BC186" i="2" s="1"/>
  <c r="AY213" i="2"/>
  <c r="BD241" i="2"/>
  <c r="BB270" i="2"/>
  <c r="BC270" i="2" s="1"/>
  <c r="BD205" i="2"/>
  <c r="AZ144" i="2"/>
  <c r="BB111" i="2"/>
  <c r="BC111" i="2" s="1"/>
  <c r="BB158" i="2"/>
  <c r="BC158" i="2" s="1"/>
  <c r="BB114" i="2"/>
  <c r="BC114" i="2" s="1"/>
  <c r="BD93" i="2"/>
  <c r="AC91" i="2"/>
  <c r="AZ91" i="2" s="1"/>
  <c r="AY64" i="2"/>
  <c r="AY28" i="2"/>
  <c r="BB87" i="2"/>
  <c r="BC87" i="2" s="1"/>
  <c r="BB14" i="2"/>
  <c r="BC14" i="2" s="1"/>
  <c r="AY50" i="2"/>
  <c r="AC510" i="2"/>
  <c r="AZ510" i="2" s="1"/>
  <c r="AC503" i="2"/>
  <c r="AZ503" i="2" s="1"/>
  <c r="AC458" i="2"/>
  <c r="AC428" i="2"/>
  <c r="AZ428" i="2" s="1"/>
  <c r="BB463" i="2"/>
  <c r="BC463" i="2" s="1"/>
  <c r="BB394" i="2"/>
  <c r="BC394" i="2" s="1"/>
  <c r="BB377" i="2"/>
  <c r="BC377" i="2" s="1"/>
  <c r="BD377" i="2"/>
  <c r="BD372" i="2"/>
  <c r="BB360" i="2"/>
  <c r="BC360" i="2" s="1"/>
  <c r="BB366" i="2"/>
  <c r="BC366" i="2" s="1"/>
  <c r="BD311" i="2"/>
  <c r="BB296" i="2"/>
  <c r="BC296" i="2" s="1"/>
  <c r="AY289" i="2"/>
  <c r="AZ289" i="2" s="1"/>
  <c r="BD282" i="2"/>
  <c r="AC281" i="2"/>
  <c r="AZ281" i="2" s="1"/>
  <c r="AC343" i="2"/>
  <c r="BD287" i="2"/>
  <c r="AC257" i="2"/>
  <c r="AZ257" i="2" s="1"/>
  <c r="BB184" i="2"/>
  <c r="BC184" i="2" s="1"/>
  <c r="BB225" i="2"/>
  <c r="BC225" i="2" s="1"/>
  <c r="BD212" i="2"/>
  <c r="AC142" i="2"/>
  <c r="BB185" i="2"/>
  <c r="BC185" i="2" s="1"/>
  <c r="BD96" i="2"/>
  <c r="AC28" i="2"/>
  <c r="BB102" i="2"/>
  <c r="BC102" i="2" s="1"/>
  <c r="BB40" i="2"/>
  <c r="BC40" i="2" s="1"/>
  <c r="AY44" i="2"/>
  <c r="BB33" i="2"/>
  <c r="BC33" i="2" s="1"/>
  <c r="BB518" i="2"/>
  <c r="BC518" i="2" s="1"/>
  <c r="AZ493" i="2"/>
  <c r="BD442" i="2"/>
  <c r="BB484" i="2"/>
  <c r="BC484" i="2" s="1"/>
  <c r="BB459" i="2"/>
  <c r="BC459" i="2" s="1"/>
  <c r="BD487" i="2"/>
  <c r="BB434" i="2"/>
  <c r="BC434" i="2" s="1"/>
  <c r="BD469" i="2"/>
  <c r="AY440" i="2"/>
  <c r="AZ440" i="2" s="1"/>
  <c r="BB428" i="2"/>
  <c r="BC428" i="2" s="1"/>
  <c r="BB432" i="2"/>
  <c r="BC432" i="2" s="1"/>
  <c r="BB441" i="2"/>
  <c r="BC441" i="2" s="1"/>
  <c r="AY409" i="2"/>
  <c r="BD392" i="2"/>
  <c r="BB365" i="2"/>
  <c r="BC365" i="2" s="1"/>
  <c r="AC382" i="2"/>
  <c r="AZ382" i="2" s="1"/>
  <c r="BB351" i="2"/>
  <c r="BC351" i="2" s="1"/>
  <c r="AC346" i="2"/>
  <c r="AZ346" i="2" s="1"/>
  <c r="AY377" i="2"/>
  <c r="BD329" i="2"/>
  <c r="BB311" i="2"/>
  <c r="BC311" i="2" s="1"/>
  <c r="AY284" i="2"/>
  <c r="AZ284" i="2" s="1"/>
  <c r="AC304" i="2"/>
  <c r="BD289" i="2"/>
  <c r="BB258" i="2"/>
  <c r="BC258" i="2" s="1"/>
  <c r="AY264" i="2"/>
  <c r="AZ205" i="2"/>
  <c r="BB168" i="2"/>
  <c r="BC168" i="2" s="1"/>
  <c r="BB165" i="2"/>
  <c r="BC165" i="2" s="1"/>
  <c r="AY185" i="2"/>
  <c r="AY158" i="2"/>
  <c r="AY99" i="2"/>
  <c r="AZ99" i="2" s="1"/>
  <c r="BB149" i="2"/>
  <c r="BC149" i="2" s="1"/>
  <c r="AC93" i="2"/>
  <c r="AY87" i="2"/>
  <c r="BB68" i="2"/>
  <c r="BC68" i="2" s="1"/>
  <c r="BD27" i="2"/>
  <c r="BB15" i="2"/>
  <c r="BC15" i="2" s="1"/>
  <c r="BD44" i="2"/>
  <c r="AY4" i="2"/>
  <c r="AZ4" i="2" s="1"/>
  <c r="AZ486" i="2"/>
  <c r="BB495" i="2"/>
  <c r="BC495" i="2" s="1"/>
  <c r="BB493" i="2"/>
  <c r="BC493" i="2" s="1"/>
  <c r="BB479" i="2"/>
  <c r="BC479" i="2" s="1"/>
  <c r="BB427" i="2"/>
  <c r="BC427" i="2" s="1"/>
  <c r="AY463" i="2"/>
  <c r="AZ463" i="2" s="1"/>
  <c r="AC384" i="2"/>
  <c r="AZ384" i="2" s="1"/>
  <c r="AY394" i="2"/>
  <c r="AC389" i="2"/>
  <c r="BB414" i="2"/>
  <c r="BC414" i="2" s="1"/>
  <c r="AC377" i="2"/>
  <c r="AY366" i="2"/>
  <c r="AZ311" i="2"/>
  <c r="BD328" i="2"/>
  <c r="AC354" i="2"/>
  <c r="AY345" i="2"/>
  <c r="AC282" i="2"/>
  <c r="BB256" i="2"/>
  <c r="BC256" i="2" s="1"/>
  <c r="BD264" i="2"/>
  <c r="AC287" i="2"/>
  <c r="AZ287" i="2" s="1"/>
  <c r="BD247" i="2"/>
  <c r="AZ231" i="2"/>
  <c r="BB293" i="2"/>
  <c r="BC293" i="2" s="1"/>
  <c r="BB234" i="2"/>
  <c r="BC234" i="2" s="1"/>
  <c r="AY233" i="2"/>
  <c r="BD211" i="2"/>
  <c r="BB167" i="2"/>
  <c r="BC167" i="2" s="1"/>
  <c r="BD173" i="2"/>
  <c r="AC185" i="2"/>
  <c r="BD161" i="2"/>
  <c r="BD114" i="2"/>
  <c r="BD155" i="2"/>
  <c r="AC64" i="2"/>
  <c r="AY102" i="2"/>
  <c r="BD87" i="2"/>
  <c r="AY3" i="2"/>
  <c r="BB9" i="2"/>
  <c r="BC9" i="2" s="1"/>
  <c r="BD4" i="2"/>
  <c r="AY33" i="2"/>
  <c r="AZ308" i="2"/>
  <c r="AZ276" i="2"/>
  <c r="AZ319" i="2"/>
  <c r="AY133" i="2"/>
  <c r="AZ133" i="2" s="1"/>
  <c r="AY458" i="2"/>
  <c r="BB397" i="2"/>
  <c r="BC397" i="2" s="1"/>
  <c r="AY380" i="2"/>
  <c r="AZ380" i="2" s="1"/>
  <c r="BD441" i="2"/>
  <c r="AC413" i="2"/>
  <c r="AC414" i="2"/>
  <c r="BD410" i="2"/>
  <c r="BB285" i="2"/>
  <c r="BC285" i="2" s="1"/>
  <c r="BD295" i="2"/>
  <c r="BB304" i="2"/>
  <c r="BC304" i="2" s="1"/>
  <c r="BB334" i="2"/>
  <c r="BC334" i="2" s="1"/>
  <c r="BD263" i="2"/>
  <c r="BB253" i="2"/>
  <c r="BC253" i="2" s="1"/>
  <c r="BB251" i="2"/>
  <c r="BC251" i="2" s="1"/>
  <c r="AZ184" i="2"/>
  <c r="BD227" i="2"/>
  <c r="AC182" i="2"/>
  <c r="AZ182" i="2" s="1"/>
  <c r="BD233" i="2"/>
  <c r="AY181" i="2"/>
  <c r="AZ181" i="2" s="1"/>
  <c r="BD193" i="2"/>
  <c r="AZ174" i="2"/>
  <c r="BD225" i="2"/>
  <c r="BD206" i="2"/>
  <c r="AY132" i="2"/>
  <c r="AZ132" i="2" s="1"/>
  <c r="AY125" i="2"/>
  <c r="AY94" i="2"/>
  <c r="AZ111" i="2"/>
  <c r="AY149" i="2"/>
  <c r="AZ149" i="2" s="1"/>
  <c r="BB75" i="2"/>
  <c r="BC75" i="2" s="1"/>
  <c r="BD57" i="2"/>
  <c r="BB41" i="2"/>
  <c r="BC41" i="2" s="1"/>
  <c r="BD102" i="2"/>
  <c r="BB88" i="2"/>
  <c r="BC88" i="2" s="1"/>
  <c r="BB107" i="2"/>
  <c r="BC107" i="2" s="1"/>
  <c r="AY68" i="2"/>
  <c r="AC27" i="2"/>
  <c r="AC44" i="2"/>
  <c r="AZ44" i="2" s="1"/>
  <c r="BD33" i="2"/>
  <c r="AY38" i="2"/>
  <c r="BB494" i="2"/>
  <c r="BC494" i="2" s="1"/>
  <c r="AY502" i="2"/>
  <c r="AZ502" i="2" s="1"/>
  <c r="BB471" i="2"/>
  <c r="BC471" i="2" s="1"/>
  <c r="BD484" i="2"/>
  <c r="BD431" i="2"/>
  <c r="BB402" i="2"/>
  <c r="BC402" i="2" s="1"/>
  <c r="BD380" i="2"/>
  <c r="BB504" i="2"/>
  <c r="BC504" i="2" s="1"/>
  <c r="BD418" i="2"/>
  <c r="BD406" i="2"/>
  <c r="AC386" i="2"/>
  <c r="AY435" i="2"/>
  <c r="BB372" i="2"/>
  <c r="BC372" i="2" s="1"/>
  <c r="BB358" i="2"/>
  <c r="BC358" i="2" s="1"/>
  <c r="AC328" i="2"/>
  <c r="AZ328" i="2" s="1"/>
  <c r="AC283" i="2"/>
  <c r="AZ283" i="2" s="1"/>
  <c r="BB298" i="2"/>
  <c r="BC298" i="2" s="1"/>
  <c r="BD330" i="2"/>
  <c r="BB263" i="2"/>
  <c r="BC263" i="2" s="1"/>
  <c r="AC264" i="2"/>
  <c r="AY251" i="2"/>
  <c r="AZ251" i="2" s="1"/>
  <c r="AC247" i="2"/>
  <c r="BB232" i="2"/>
  <c r="BC232" i="2" s="1"/>
  <c r="AC199" i="2"/>
  <c r="AZ199" i="2" s="1"/>
  <c r="AC211" i="2"/>
  <c r="AZ211" i="2" s="1"/>
  <c r="BB177" i="2"/>
  <c r="BC177" i="2" s="1"/>
  <c r="BD194" i="2"/>
  <c r="AZ157" i="2"/>
  <c r="AY118" i="2"/>
  <c r="BD125" i="2"/>
  <c r="AC114" i="2"/>
  <c r="AZ114" i="2" s="1"/>
  <c r="AC155" i="2"/>
  <c r="BD106" i="2"/>
  <c r="AY100" i="2"/>
  <c r="BB28" i="2"/>
  <c r="BC28" i="2" s="1"/>
  <c r="AY107" i="2"/>
  <c r="BD68" i="2"/>
  <c r="BD15" i="2"/>
  <c r="BD38" i="2"/>
  <c r="AZ322" i="2"/>
  <c r="BB483" i="2"/>
  <c r="BC483" i="2" s="1"/>
  <c r="AC471" i="2"/>
  <c r="AZ471" i="2" s="1"/>
  <c r="AY470" i="2"/>
  <c r="AC446" i="2"/>
  <c r="AZ446" i="2" s="1"/>
  <c r="AY397" i="2"/>
  <c r="AZ397" i="2" s="1"/>
  <c r="BB380" i="2"/>
  <c r="BC380" i="2" s="1"/>
  <c r="BB374" i="2"/>
  <c r="BC374" i="2" s="1"/>
  <c r="BD407" i="2"/>
  <c r="BB391" i="2"/>
  <c r="BC391" i="2" s="1"/>
  <c r="BB433" i="2"/>
  <c r="BC433" i="2" s="1"/>
  <c r="BD414" i="2"/>
  <c r="AY410" i="2"/>
  <c r="AZ410" i="2" s="1"/>
  <c r="AC435" i="2"/>
  <c r="AY372" i="2"/>
  <c r="AY358" i="2"/>
  <c r="AY323" i="2"/>
  <c r="AY295" i="2"/>
  <c r="AY299" i="2"/>
  <c r="AY304" i="2"/>
  <c r="AC263" i="2"/>
  <c r="AZ263" i="2" s="1"/>
  <c r="AY253" i="2"/>
  <c r="AZ253" i="2" s="1"/>
  <c r="BD237" i="2"/>
  <c r="AY301" i="2"/>
  <c r="AZ301" i="2" s="1"/>
  <c r="AZ277" i="2"/>
  <c r="BD292" i="2"/>
  <c r="BD293" i="2"/>
  <c r="AY232" i="2"/>
  <c r="AC233" i="2"/>
  <c r="BB214" i="2"/>
  <c r="BC214" i="2" s="1"/>
  <c r="BB197" i="2"/>
  <c r="BC197" i="2" s="1"/>
  <c r="AC193" i="2"/>
  <c r="AC225" i="2"/>
  <c r="BD118" i="2"/>
  <c r="AY137" i="2"/>
  <c r="BB85" i="2"/>
  <c r="BC85" i="2" s="1"/>
  <c r="AC124" i="2"/>
  <c r="BB92" i="2"/>
  <c r="BC92" i="2" s="1"/>
  <c r="AY113" i="2"/>
  <c r="AY75" i="2"/>
  <c r="AY57" i="2"/>
  <c r="AZ57" i="2" s="1"/>
  <c r="AC102" i="2"/>
  <c r="AC73" i="2"/>
  <c r="AZ73" i="2" s="1"/>
  <c r="BD9" i="2"/>
  <c r="AC33" i="2"/>
  <c r="BB507" i="2"/>
  <c r="BC507" i="2" s="1"/>
  <c r="BB386" i="2"/>
  <c r="BC386" i="2" s="1"/>
  <c r="AZ490" i="2"/>
  <c r="BB473" i="2"/>
  <c r="BC473" i="2" s="1"/>
  <c r="AZ417" i="2"/>
  <c r="BD428" i="2"/>
  <c r="BD400" i="2"/>
  <c r="AC374" i="2"/>
  <c r="AZ374" i="2" s="1"/>
  <c r="BD284" i="2"/>
  <c r="AY272" i="2"/>
  <c r="AZ272" i="2" s="1"/>
  <c r="BD304" i="2"/>
  <c r="BD275" i="2"/>
  <c r="AY247" i="2"/>
  <c r="AZ269" i="2"/>
  <c r="BB227" i="2"/>
  <c r="BC227" i="2" s="1"/>
  <c r="BB233" i="2"/>
  <c r="BC233" i="2" s="1"/>
  <c r="BB195" i="2"/>
  <c r="BC195" i="2" s="1"/>
  <c r="BB143" i="2"/>
  <c r="BC143" i="2" s="1"/>
  <c r="BD101" i="2"/>
  <c r="BD153" i="2"/>
  <c r="AC125" i="2"/>
  <c r="BD158" i="2"/>
  <c r="BD137" i="2"/>
  <c r="BD148" i="2"/>
  <c r="BB125" i="2"/>
  <c r="BC125" i="2" s="1"/>
  <c r="AZ92" i="2"/>
  <c r="BD113" i="2"/>
  <c r="BD75" i="2"/>
  <c r="AZ106" i="2"/>
  <c r="BD74" i="2"/>
  <c r="BD88" i="2"/>
  <c r="AC68" i="2"/>
  <c r="AZ24" i="2"/>
  <c r="AC15" i="2"/>
  <c r="AC38" i="2"/>
  <c r="BB492" i="2"/>
  <c r="BC492" i="2" s="1"/>
  <c r="BB455" i="2"/>
  <c r="BC455" i="2" s="1"/>
  <c r="BB436" i="2"/>
  <c r="BC436" i="2" s="1"/>
  <c r="BD402" i="2"/>
  <c r="BD420" i="2"/>
  <c r="AZ407" i="2"/>
  <c r="AC350" i="2"/>
  <c r="AZ350" i="2" s="1"/>
  <c r="BD364" i="2"/>
  <c r="BB284" i="2"/>
  <c r="BC284" i="2" s="1"/>
  <c r="AY310" i="2"/>
  <c r="BB439" i="2"/>
  <c r="BC439" i="2" s="1"/>
  <c r="AZ292" i="2"/>
  <c r="BB261" i="2"/>
  <c r="BC261" i="2" s="1"/>
  <c r="AY218" i="2"/>
  <c r="AZ218" i="2" s="1"/>
  <c r="AC293" i="2"/>
  <c r="AZ293" i="2" s="1"/>
  <c r="BD231" i="2"/>
  <c r="AZ197" i="2"/>
  <c r="BD270" i="2"/>
  <c r="BD221" i="2"/>
  <c r="AC118" i="2"/>
  <c r="BB101" i="2"/>
  <c r="BC101" i="2" s="1"/>
  <c r="AZ115" i="2"/>
  <c r="AC100" i="2"/>
  <c r="BB21" i="2"/>
  <c r="BC21" i="2" s="1"/>
  <c r="AC9" i="2"/>
  <c r="AY56" i="2"/>
  <c r="BD459" i="2"/>
  <c r="AY432" i="2"/>
  <c r="BB347" i="2"/>
  <c r="BC347" i="2" s="1"/>
  <c r="BB299" i="2"/>
  <c r="BC299" i="2" s="1"/>
  <c r="BB294" i="2"/>
  <c r="BC294" i="2" s="1"/>
  <c r="BB288" i="2"/>
  <c r="BC288" i="2" s="1"/>
  <c r="AZ275" i="2"/>
  <c r="BD301" i="2"/>
  <c r="AY315" i="2"/>
  <c r="BD245" i="2"/>
  <c r="BB271" i="2"/>
  <c r="BC271" i="2" s="1"/>
  <c r="BB259" i="2"/>
  <c r="BC259" i="2" s="1"/>
  <c r="AY227" i="2"/>
  <c r="AZ227" i="2" s="1"/>
  <c r="BD214" i="2"/>
  <c r="AZ212" i="2"/>
  <c r="AZ153" i="2"/>
  <c r="AC137" i="2"/>
  <c r="BD84" i="2"/>
  <c r="AZ113" i="2"/>
  <c r="BD56" i="2"/>
  <c r="BD2" i="2"/>
  <c r="BB478" i="2"/>
  <c r="BC478" i="2" s="1"/>
  <c r="BB447" i="2"/>
  <c r="BC447" i="2" s="1"/>
  <c r="BB424" i="2"/>
  <c r="BC424" i="2" s="1"/>
  <c r="BD409" i="2"/>
  <c r="BD385" i="2"/>
  <c r="AY385" i="2"/>
  <c r="BD381" i="2"/>
  <c r="AC364" i="2"/>
  <c r="AZ364" i="2" s="1"/>
  <c r="AZ309" i="2"/>
  <c r="BB265" i="2"/>
  <c r="BC265" i="2" s="1"/>
  <c r="AC270" i="2"/>
  <c r="AZ270" i="2" s="1"/>
  <c r="AZ221" i="2"/>
  <c r="BD180" i="2"/>
  <c r="AZ40" i="2"/>
  <c r="BB17" i="2"/>
  <c r="BC17" i="2" s="1"/>
  <c r="AY21" i="2"/>
  <c r="BB2" i="2"/>
  <c r="BC2" i="2" s="1"/>
  <c r="AC505" i="2"/>
  <c r="AZ505" i="2" s="1"/>
  <c r="BD515" i="2"/>
  <c r="BB466" i="2"/>
  <c r="BC466" i="2" s="1"/>
  <c r="BB464" i="2"/>
  <c r="BC464" i="2" s="1"/>
  <c r="BD427" i="2"/>
  <c r="BD386" i="2"/>
  <c r="BD435" i="2"/>
  <c r="AC326" i="2"/>
  <c r="AZ326" i="2" s="1"/>
  <c r="BD283" i="2"/>
  <c r="AY288" i="2"/>
  <c r="AC245" i="2"/>
  <c r="AZ245" i="2" s="1"/>
  <c r="AY259" i="2"/>
  <c r="BD223" i="2"/>
  <c r="BB182" i="2"/>
  <c r="BC182" i="2" s="1"/>
  <c r="BB300" i="2"/>
  <c r="BC300" i="2" s="1"/>
  <c r="BB238" i="2"/>
  <c r="BC238" i="2" s="1"/>
  <c r="AZ162" i="2"/>
  <c r="BB147" i="2"/>
  <c r="BC147" i="2" s="1"/>
  <c r="AY82" i="2"/>
  <c r="AC76" i="2"/>
  <c r="BB119" i="2"/>
  <c r="BC119" i="2" s="1"/>
  <c r="AZ61" i="2"/>
  <c r="BD21" i="2"/>
  <c r="BD20" i="2"/>
  <c r="AC56" i="2"/>
  <c r="AZ41" i="2"/>
  <c r="BB3" i="2"/>
  <c r="BC3" i="2" s="1"/>
  <c r="AC515" i="2"/>
  <c r="BD448" i="2"/>
  <c r="AY451" i="2"/>
  <c r="AZ451" i="2" s="1"/>
  <c r="BD455" i="2"/>
  <c r="AC441" i="2"/>
  <c r="AZ370" i="2"/>
  <c r="BD389" i="2"/>
  <c r="AC385" i="2"/>
  <c r="AZ381" i="2"/>
  <c r="BD335" i="2"/>
  <c r="BD312" i="2"/>
  <c r="AZ341" i="2"/>
  <c r="BD294" i="2"/>
  <c r="BD288" i="2"/>
  <c r="BD271" i="2"/>
  <c r="AC303" i="2"/>
  <c r="BD201" i="2"/>
  <c r="AC194" i="2"/>
  <c r="AZ194" i="2" s="1"/>
  <c r="BB146" i="2"/>
  <c r="BC146" i="2" s="1"/>
  <c r="AY161" i="2"/>
  <c r="BB166" i="2"/>
  <c r="BC166" i="2" s="1"/>
  <c r="BD82" i="2"/>
  <c r="BD81" i="2"/>
  <c r="BD62" i="2"/>
  <c r="BD491" i="2"/>
  <c r="BD482" i="2"/>
  <c r="AY477" i="2"/>
  <c r="AZ477" i="2" s="1"/>
  <c r="AZ519" i="2"/>
  <c r="AY484" i="2"/>
  <c r="AY452" i="2"/>
  <c r="AZ452" i="2" s="1"/>
  <c r="BB449" i="2"/>
  <c r="BC449" i="2" s="1"/>
  <c r="BD454" i="2"/>
  <c r="AC447" i="2"/>
  <c r="AZ447" i="2" s="1"/>
  <c r="BB415" i="2"/>
  <c r="BC415" i="2" s="1"/>
  <c r="BB445" i="2"/>
  <c r="BC445" i="2" s="1"/>
  <c r="BB400" i="2"/>
  <c r="BC400" i="2" s="1"/>
  <c r="BD378" i="2"/>
  <c r="BD388" i="2"/>
  <c r="BD360" i="2"/>
  <c r="BB324" i="2"/>
  <c r="BC324" i="2" s="1"/>
  <c r="BD316" i="2"/>
  <c r="BD358" i="2"/>
  <c r="BD331" i="2"/>
  <c r="BD355" i="2"/>
  <c r="BD308" i="2"/>
  <c r="BB312" i="2"/>
  <c r="BC312" i="2" s="1"/>
  <c r="BD265" i="2"/>
  <c r="BB315" i="2"/>
  <c r="BC315" i="2" s="1"/>
  <c r="BB257" i="2"/>
  <c r="BC257" i="2" s="1"/>
  <c r="BB252" i="2"/>
  <c r="BC252" i="2" s="1"/>
  <c r="AY230" i="2"/>
  <c r="AZ230" i="2" s="1"/>
  <c r="BB215" i="2"/>
  <c r="BC215" i="2" s="1"/>
  <c r="BD219" i="2"/>
  <c r="AC223" i="2"/>
  <c r="AZ223" i="2" s="1"/>
  <c r="AY300" i="2"/>
  <c r="AZ300" i="2" s="1"/>
  <c r="AY238" i="2"/>
  <c r="AZ238" i="2" s="1"/>
  <c r="AC161" i="2"/>
  <c r="AY120" i="2"/>
  <c r="AZ120" i="2" s="1"/>
  <c r="AY142" i="2"/>
  <c r="AY147" i="2"/>
  <c r="AZ147" i="2" s="1"/>
  <c r="AC148" i="2"/>
  <c r="AZ148" i="2" s="1"/>
  <c r="BD94" i="2"/>
  <c r="AY124" i="2"/>
  <c r="AY86" i="2"/>
  <c r="BB53" i="2"/>
  <c r="BC53" i="2" s="1"/>
  <c r="BD16" i="2"/>
  <c r="AY16" i="2"/>
  <c r="AY119" i="2"/>
  <c r="AZ119" i="2" s="1"/>
  <c r="BB5" i="2"/>
  <c r="BC5" i="2" s="1"/>
  <c r="BB63" i="2"/>
  <c r="BC63" i="2" s="1"/>
  <c r="AC21" i="2"/>
  <c r="BB45" i="2"/>
  <c r="BC45" i="2" s="1"/>
  <c r="AC20" i="2"/>
  <c r="AC422" i="2"/>
  <c r="AZ422" i="2" s="1"/>
  <c r="AY258" i="2"/>
  <c r="AZ514" i="2"/>
  <c r="BD518" i="2"/>
  <c r="BD492" i="2"/>
  <c r="AY473" i="2"/>
  <c r="AZ473" i="2" s="1"/>
  <c r="BD444" i="2"/>
  <c r="BB421" i="2"/>
  <c r="BC421" i="2" s="1"/>
  <c r="BB417" i="2"/>
  <c r="BC417" i="2" s="1"/>
  <c r="AC415" i="2"/>
  <c r="AZ415" i="2" s="1"/>
  <c r="BB446" i="2"/>
  <c r="BC446" i="2" s="1"/>
  <c r="BD432" i="2"/>
  <c r="AZ392" i="2"/>
  <c r="BD348" i="2"/>
  <c r="AY433" i="2"/>
  <c r="BB314" i="2"/>
  <c r="BC314" i="2" s="1"/>
  <c r="BB354" i="2"/>
  <c r="BC354" i="2" s="1"/>
  <c r="BB345" i="2"/>
  <c r="BC345" i="2" s="1"/>
  <c r="AY334" i="2"/>
  <c r="AC294" i="2"/>
  <c r="AC288" i="2"/>
  <c r="BB343" i="2"/>
  <c r="BC343" i="2" s="1"/>
  <c r="BB276" i="2"/>
  <c r="BC276" i="2" s="1"/>
  <c r="AC271" i="2"/>
  <c r="AZ271" i="2" s="1"/>
  <c r="BB221" i="2"/>
  <c r="BC221" i="2" s="1"/>
  <c r="BD208" i="2"/>
  <c r="AC201" i="2"/>
  <c r="AZ201" i="2" s="1"/>
  <c r="BD238" i="2"/>
  <c r="AY173" i="2"/>
  <c r="AC136" i="2"/>
  <c r="AZ136" i="2" s="1"/>
  <c r="AZ80" i="2"/>
  <c r="AC81" i="2"/>
  <c r="BD119" i="2"/>
  <c r="BD107" i="2"/>
  <c r="AY32" i="2"/>
  <c r="AZ32" i="2" s="1"/>
  <c r="AC62" i="2"/>
  <c r="AZ62" i="2" s="1"/>
  <c r="BB32" i="2"/>
  <c r="BC32" i="2" s="1"/>
  <c r="BB520" i="2"/>
  <c r="BC520" i="2" s="1"/>
  <c r="BD299" i="2"/>
  <c r="BB239" i="2"/>
  <c r="BC239" i="2" s="1"/>
  <c r="BD516" i="2"/>
  <c r="BD505" i="2"/>
  <c r="AY506" i="2"/>
  <c r="AY489" i="2"/>
  <c r="AC482" i="2"/>
  <c r="AZ482" i="2" s="1"/>
  <c r="BB426" i="2"/>
  <c r="BC426" i="2" s="1"/>
  <c r="BD416" i="2"/>
  <c r="BD475" i="2"/>
  <c r="BD376" i="2"/>
  <c r="AY504" i="2"/>
  <c r="BD443" i="2"/>
  <c r="AC378" i="2"/>
  <c r="AZ378" i="2" s="1"/>
  <c r="BD405" i="2"/>
  <c r="BB327" i="2"/>
  <c r="BC327" i="2" s="1"/>
  <c r="BD342" i="2"/>
  <c r="AC358" i="2"/>
  <c r="AC355" i="2"/>
  <c r="BD345" i="2"/>
  <c r="BB272" i="2"/>
  <c r="BC272" i="2" s="1"/>
  <c r="BB283" i="2"/>
  <c r="BC283" i="2" s="1"/>
  <c r="AY312" i="2"/>
  <c r="AZ312" i="2" s="1"/>
  <c r="AZ260" i="2"/>
  <c r="AC237" i="2"/>
  <c r="AZ237" i="2" s="1"/>
  <c r="AY343" i="2"/>
  <c r="BD262" i="2"/>
  <c r="BD251" i="2"/>
  <c r="AY252" i="2"/>
  <c r="BB250" i="2"/>
  <c r="BC250" i="2" s="1"/>
  <c r="AC232" i="2"/>
  <c r="AY215" i="2"/>
  <c r="AZ215" i="2" s="1"/>
  <c r="AC219" i="2"/>
  <c r="AZ219" i="2" s="1"/>
  <c r="BD172" i="2"/>
  <c r="AC173" i="2"/>
  <c r="BD150" i="2"/>
  <c r="BD166" i="2"/>
  <c r="BB150" i="2"/>
  <c r="BC150" i="2" s="1"/>
  <c r="BD143" i="2"/>
  <c r="BB138" i="2"/>
  <c r="BC138" i="2" s="1"/>
  <c r="AY108" i="2"/>
  <c r="BB112" i="2"/>
  <c r="BC112" i="2" s="1"/>
  <c r="BB64" i="2"/>
  <c r="BC64" i="2" s="1"/>
  <c r="AY5" i="2"/>
  <c r="AZ5" i="2" s="1"/>
  <c r="AC3" i="2"/>
  <c r="AY63" i="2"/>
  <c r="AZ53" i="2"/>
  <c r="AY45" i="2"/>
  <c r="BD32" i="2"/>
  <c r="BB4" i="2"/>
  <c r="BC4" i="2" s="1"/>
  <c r="AZ107" i="2" l="1"/>
  <c r="AZ16" i="2"/>
  <c r="AZ100" i="2"/>
  <c r="AZ366" i="2"/>
  <c r="AZ14" i="2"/>
  <c r="AZ506" i="2"/>
  <c r="AZ27" i="2"/>
  <c r="AZ414" i="2"/>
  <c r="AZ389" i="2"/>
  <c r="AZ433" i="2"/>
  <c r="AZ371" i="2"/>
  <c r="AZ439" i="2"/>
  <c r="AZ160" i="2"/>
  <c r="AZ195" i="2"/>
  <c r="AZ268" i="2"/>
  <c r="AZ455" i="2"/>
  <c r="AZ369" i="2"/>
  <c r="AZ323" i="2"/>
  <c r="AZ427" i="2"/>
  <c r="AZ472" i="2"/>
  <c r="AZ9" i="2"/>
  <c r="AZ64" i="2"/>
  <c r="AZ93" i="2"/>
  <c r="AZ75" i="2"/>
  <c r="AZ244" i="2"/>
  <c r="AZ213" i="2"/>
  <c r="AZ172" i="2"/>
  <c r="AZ470" i="2"/>
  <c r="AZ102" i="2"/>
  <c r="AZ50" i="2"/>
  <c r="AZ475" i="2"/>
  <c r="AZ258" i="2"/>
  <c r="AZ155" i="2"/>
  <c r="AZ435" i="2"/>
  <c r="AZ334" i="2"/>
  <c r="AZ355" i="2"/>
  <c r="AZ303" i="2"/>
  <c r="AZ51" i="2"/>
  <c r="AZ358" i="2"/>
  <c r="AZ137" i="2"/>
  <c r="AZ168" i="2"/>
  <c r="AZ76" i="2"/>
  <c r="AZ81" i="2"/>
  <c r="AZ82" i="2"/>
  <c r="AZ406" i="2"/>
  <c r="AZ233" i="2"/>
  <c r="AZ264" i="2"/>
  <c r="AZ372" i="2"/>
  <c r="AZ498" i="2"/>
  <c r="AZ445" i="2"/>
  <c r="AZ87" i="2"/>
  <c r="AZ20" i="2"/>
  <c r="AZ479" i="2"/>
  <c r="AZ489" i="2"/>
  <c r="AZ310" i="2"/>
  <c r="AZ294" i="2"/>
  <c r="AZ180" i="2"/>
  <c r="AZ484" i="2"/>
  <c r="AZ458" i="2"/>
  <c r="AZ208" i="2"/>
  <c r="AZ15" i="2"/>
  <c r="AZ225" i="2"/>
  <c r="AZ193" i="2"/>
  <c r="AZ142" i="2"/>
  <c r="AZ353" i="2"/>
  <c r="AZ26" i="2"/>
  <c r="AZ173" i="2"/>
  <c r="AZ232" i="2"/>
  <c r="AZ345" i="2"/>
  <c r="AZ409" i="2"/>
  <c r="AZ295" i="2"/>
  <c r="AZ86" i="2"/>
  <c r="AZ441" i="2"/>
  <c r="AZ354" i="2"/>
  <c r="AZ158" i="2"/>
  <c r="AZ247" i="2"/>
  <c r="AZ377" i="2"/>
  <c r="AZ52" i="2"/>
  <c r="AZ166" i="2"/>
  <c r="AZ315" i="2"/>
  <c r="AZ487" i="2"/>
  <c r="AZ165" i="2"/>
  <c r="AZ226" i="2"/>
  <c r="AZ317" i="2"/>
  <c r="AZ88" i="2"/>
  <c r="AZ504" i="2"/>
  <c r="AZ108" i="2"/>
  <c r="AZ413" i="2"/>
  <c r="AZ125" i="2"/>
  <c r="AZ33" i="2"/>
  <c r="AZ385" i="2"/>
  <c r="AZ288" i="2"/>
  <c r="AZ379" i="2"/>
  <c r="AZ343" i="2"/>
  <c r="AZ21" i="2"/>
  <c r="AZ124" i="2"/>
  <c r="AZ185" i="2"/>
  <c r="AZ252" i="2"/>
  <c r="AZ38" i="2"/>
  <c r="AZ386" i="2"/>
  <c r="AZ3" i="2"/>
  <c r="AZ118" i="2"/>
  <c r="AZ304" i="2"/>
  <c r="AZ131" i="2"/>
  <c r="AZ515" i="2"/>
  <c r="AZ68" i="2"/>
  <c r="AZ394" i="2"/>
  <c r="AZ259" i="2"/>
  <c r="AZ56" i="2"/>
  <c r="AZ28" i="2"/>
  <c r="AZ45" i="2"/>
  <c r="AZ299" i="2"/>
  <c r="AZ63" i="2"/>
  <c r="AZ161" i="2"/>
  <c r="AZ282" i="2"/>
</calcChain>
</file>

<file path=xl/sharedStrings.xml><?xml version="1.0" encoding="utf-8"?>
<sst xmlns="http://schemas.openxmlformats.org/spreadsheetml/2006/main" count="3167" uniqueCount="1283">
  <si>
    <t>Province</t>
  </si>
  <si>
    <t>Code Province</t>
  </si>
  <si>
    <t>Territoire</t>
  </si>
  <si>
    <t>Code Terrtoire</t>
  </si>
  <si>
    <t>Zone de sante</t>
  </si>
  <si>
    <t>Pcode ZS</t>
  </si>
  <si>
    <t>Homme</t>
  </si>
  <si>
    <t>Femme</t>
  </si>
  <si>
    <t xml:space="preserve">Population 2023
</t>
  </si>
  <si>
    <t>Ratio</t>
  </si>
  <si>
    <t>Kinshasa</t>
  </si>
  <si>
    <t>CD10</t>
  </si>
  <si>
    <t>CD1000</t>
  </si>
  <si>
    <t>Bandalungwa</t>
  </si>
  <si>
    <t>CD1000ZS01</t>
  </si>
  <si>
    <t>Barumbu</t>
  </si>
  <si>
    <t>CD1000ZS02</t>
  </si>
  <si>
    <t>Binza Meteo</t>
  </si>
  <si>
    <t>CD1000ZS03</t>
  </si>
  <si>
    <t>Binza Ozone</t>
  </si>
  <si>
    <t>CD1000ZS04</t>
  </si>
  <si>
    <t>Biyela</t>
  </si>
  <si>
    <t>CD1000ZS05</t>
  </si>
  <si>
    <t>Bumbu</t>
  </si>
  <si>
    <t>CD1000ZS06</t>
  </si>
  <si>
    <t>Gombe</t>
  </si>
  <si>
    <t>CD1000ZS07</t>
  </si>
  <si>
    <t>Kalamu I</t>
  </si>
  <si>
    <t>CD1000ZS08</t>
  </si>
  <si>
    <t>Kalamu II</t>
  </si>
  <si>
    <t>CD1000ZS09</t>
  </si>
  <si>
    <t>Kasa-Vubu</t>
  </si>
  <si>
    <t>CD1000ZS10</t>
  </si>
  <si>
    <t>Kikimi</t>
  </si>
  <si>
    <t>CD1000ZS11</t>
  </si>
  <si>
    <t>Kimbanseke</t>
  </si>
  <si>
    <t>CD1000ZS12</t>
  </si>
  <si>
    <t>Kingabwa</t>
  </si>
  <si>
    <t>CD1000ZS13</t>
  </si>
  <si>
    <t>Kingasani</t>
  </si>
  <si>
    <t>CD1000ZS14</t>
  </si>
  <si>
    <t>CD1000ZS15</t>
  </si>
  <si>
    <t>Kintambo</t>
  </si>
  <si>
    <t>CD1000ZS16</t>
  </si>
  <si>
    <t>Kisenso</t>
  </si>
  <si>
    <t>CD1000ZS17</t>
  </si>
  <si>
    <t>Kokolo</t>
  </si>
  <si>
    <t>CD1000ZS18</t>
  </si>
  <si>
    <t>Lemba</t>
  </si>
  <si>
    <t>CD1000ZS19</t>
  </si>
  <si>
    <t>Limete</t>
  </si>
  <si>
    <t>CD1000ZS20</t>
  </si>
  <si>
    <t>Lingwala</t>
  </si>
  <si>
    <t>CD1000ZS21</t>
  </si>
  <si>
    <t>Makala</t>
  </si>
  <si>
    <t>CD1000ZS22</t>
  </si>
  <si>
    <t>Maluku I</t>
  </si>
  <si>
    <t>CD1000ZS23</t>
  </si>
  <si>
    <t>Maluku II</t>
  </si>
  <si>
    <t>CD1000ZS24</t>
  </si>
  <si>
    <t>Masina I</t>
  </si>
  <si>
    <t>CD1000ZS25</t>
  </si>
  <si>
    <t>Masina II</t>
  </si>
  <si>
    <t>CD1000ZS26</t>
  </si>
  <si>
    <t>Matete</t>
  </si>
  <si>
    <t>CD1000ZS27</t>
  </si>
  <si>
    <t>Mont Ngafula I</t>
  </si>
  <si>
    <t>CD1000ZS28</t>
  </si>
  <si>
    <t>Mont Ngafula II</t>
  </si>
  <si>
    <t>CD1000ZS29</t>
  </si>
  <si>
    <t>Ndjili</t>
  </si>
  <si>
    <t>CD1000ZS30</t>
  </si>
  <si>
    <t>Ngaba</t>
  </si>
  <si>
    <t>CD1000ZS31</t>
  </si>
  <si>
    <t>Ngiri-Ngiri</t>
  </si>
  <si>
    <t>CD1000ZS32</t>
  </si>
  <si>
    <t>Nsele</t>
  </si>
  <si>
    <t>CD1000ZS33</t>
  </si>
  <si>
    <t>Police</t>
  </si>
  <si>
    <t>CD1000ZS34</t>
  </si>
  <si>
    <t>Selembao</t>
  </si>
  <si>
    <t>CD1000ZS35</t>
  </si>
  <si>
    <t>Kongo-Central</t>
  </si>
  <si>
    <t>CD20</t>
  </si>
  <si>
    <t>Matadi</t>
  </si>
  <si>
    <t>CD2001</t>
  </si>
  <si>
    <t>CD2001ZS01</t>
  </si>
  <si>
    <t>Nzanza</t>
  </si>
  <si>
    <t>CD2001ZS02</t>
  </si>
  <si>
    <t>Boma</t>
  </si>
  <si>
    <t>CD2002</t>
  </si>
  <si>
    <t>CD2002ZS01</t>
  </si>
  <si>
    <t>Moanda</t>
  </si>
  <si>
    <t>CD2003</t>
  </si>
  <si>
    <t>Boma Bungu</t>
  </si>
  <si>
    <t>CD2003ZS01</t>
  </si>
  <si>
    <t>Kitona</t>
  </si>
  <si>
    <t>CD2003ZS02</t>
  </si>
  <si>
    <t>CD2003ZS03</t>
  </si>
  <si>
    <t>Lukula</t>
  </si>
  <si>
    <t>CD2005</t>
  </si>
  <si>
    <t>Kangu</t>
  </si>
  <si>
    <t>CD2005ZS01</t>
  </si>
  <si>
    <t>CD2005ZS02</t>
  </si>
  <si>
    <t>Tshela</t>
  </si>
  <si>
    <t>CD2007</t>
  </si>
  <si>
    <t>Kinkonzi</t>
  </si>
  <si>
    <t>CD2007ZS01</t>
  </si>
  <si>
    <t>Kizu</t>
  </si>
  <si>
    <t>CD2007ZS02</t>
  </si>
  <si>
    <t>Kuimba</t>
  </si>
  <si>
    <t>CD2007ZS03</t>
  </si>
  <si>
    <t>CD2007ZS04</t>
  </si>
  <si>
    <t>Vaku</t>
  </si>
  <si>
    <t>CD2007ZS05</t>
  </si>
  <si>
    <t>Seke-Banza</t>
  </si>
  <si>
    <t>CD2009</t>
  </si>
  <si>
    <t>Inga</t>
  </si>
  <si>
    <t>CD2009ZS01</t>
  </si>
  <si>
    <t>CD2009ZS02</t>
  </si>
  <si>
    <t>Luozi</t>
  </si>
  <si>
    <t>CD2010</t>
  </si>
  <si>
    <t>Kibunzi</t>
  </si>
  <si>
    <t>CD2010ZS01</t>
  </si>
  <si>
    <t>CD2010ZS02</t>
  </si>
  <si>
    <t>Mangembo</t>
  </si>
  <si>
    <t>CD2010ZS03</t>
  </si>
  <si>
    <t>Songololo</t>
  </si>
  <si>
    <t>CD2011</t>
  </si>
  <si>
    <t>Kimpese</t>
  </si>
  <si>
    <t>CD2011ZS01</t>
  </si>
  <si>
    <t>Nsona-Mpangu</t>
  </si>
  <si>
    <t>CD2011ZS02</t>
  </si>
  <si>
    <t>Mbanza-Ngungu</t>
  </si>
  <si>
    <t>CD2013</t>
  </si>
  <si>
    <t>Boko-Kivulu</t>
  </si>
  <si>
    <t>CD2013ZS01</t>
  </si>
  <si>
    <t>Gombe-Matadi</t>
  </si>
  <si>
    <t>CD2013ZS02</t>
  </si>
  <si>
    <t>Kimpangu</t>
  </si>
  <si>
    <t>CD2013ZS03</t>
  </si>
  <si>
    <t>Kwilu-Ngongo</t>
  </si>
  <si>
    <t>CD2013ZS04</t>
  </si>
  <si>
    <t>CD2013ZS05</t>
  </si>
  <si>
    <t>Kasangulu</t>
  </si>
  <si>
    <t>CD2015</t>
  </si>
  <si>
    <t>Masa</t>
  </si>
  <si>
    <t>CD2015ZS01</t>
  </si>
  <si>
    <t>Sona-Bata</t>
  </si>
  <si>
    <t>CD2015ZS02</t>
  </si>
  <si>
    <t>Madimba</t>
  </si>
  <si>
    <t>CD2017</t>
  </si>
  <si>
    <t>Kisantu</t>
  </si>
  <si>
    <t>CD2017ZS01</t>
  </si>
  <si>
    <t>Ngidinga</t>
  </si>
  <si>
    <t>CD2017ZS02</t>
  </si>
  <si>
    <t>Nselo</t>
  </si>
  <si>
    <t>CD2017ZS03</t>
  </si>
  <si>
    <t>Kimvula</t>
  </si>
  <si>
    <t>CD2019</t>
  </si>
  <si>
    <t>CD2019ZS01</t>
  </si>
  <si>
    <t>Kwango</t>
  </si>
  <si>
    <t>CD31</t>
  </si>
  <si>
    <t>Kenge</t>
  </si>
  <si>
    <t>CD3102</t>
  </si>
  <si>
    <t>Boko</t>
  </si>
  <si>
    <t>CD3102ZS01</t>
  </si>
  <si>
    <t>CD3102ZS02</t>
  </si>
  <si>
    <t>Kimbau</t>
  </si>
  <si>
    <t>CD3102ZS03</t>
  </si>
  <si>
    <t>Feshi</t>
  </si>
  <si>
    <t>CD3103</t>
  </si>
  <si>
    <t>CD3103ZS01</t>
  </si>
  <si>
    <t>Kisanji</t>
  </si>
  <si>
    <t>CD3103ZS02</t>
  </si>
  <si>
    <t>Mwela Lembwa</t>
  </si>
  <si>
    <t>CD3103ZS03</t>
  </si>
  <si>
    <t>Kahemba</t>
  </si>
  <si>
    <t>CD3105</t>
  </si>
  <si>
    <t>CD3105ZS01</t>
  </si>
  <si>
    <t>Kajiji</t>
  </si>
  <si>
    <t>CD3105ZS02</t>
  </si>
  <si>
    <t>Kasongo-Lunda</t>
  </si>
  <si>
    <t>CD3106</t>
  </si>
  <si>
    <t>Kasongo Lunda</t>
  </si>
  <si>
    <t>CD3106ZS01</t>
  </si>
  <si>
    <t>Kitenda</t>
  </si>
  <si>
    <t>CD3106ZS02</t>
  </si>
  <si>
    <t>Panzi</t>
  </si>
  <si>
    <t>CD3106ZS03</t>
  </si>
  <si>
    <t>Tembo</t>
  </si>
  <si>
    <t>CD3106ZS04</t>
  </si>
  <si>
    <t>Wamba Lwadi</t>
  </si>
  <si>
    <t>CD3106ZS05</t>
  </si>
  <si>
    <t>Popokabaka</t>
  </si>
  <si>
    <t>CD3108</t>
  </si>
  <si>
    <t>CD3108ZS01</t>
  </si>
  <si>
    <t>Kwilu</t>
  </si>
  <si>
    <t>CD32</t>
  </si>
  <si>
    <t>Bandundu</t>
  </si>
  <si>
    <t>CD3201</t>
  </si>
  <si>
    <t>CD3201ZS01</t>
  </si>
  <si>
    <t>Bagata</t>
  </si>
  <si>
    <t>CD3202</t>
  </si>
  <si>
    <t>CD3202ZS01</t>
  </si>
  <si>
    <t>Kikongo</t>
  </si>
  <si>
    <t>CD3202ZS02</t>
  </si>
  <si>
    <t>Sia</t>
  </si>
  <si>
    <t>CD3202ZS03</t>
  </si>
  <si>
    <t>Kikwit</t>
  </si>
  <si>
    <t>CD3203</t>
  </si>
  <si>
    <t>Kikwit-Nord</t>
  </si>
  <si>
    <t>CD3203ZS01</t>
  </si>
  <si>
    <t>Kikwit-Sud</t>
  </si>
  <si>
    <t>CD3203ZS02</t>
  </si>
  <si>
    <t>Bulungu</t>
  </si>
  <si>
    <t>CD3204</t>
  </si>
  <si>
    <t>CD3204ZS01</t>
  </si>
  <si>
    <t>Djuma</t>
  </si>
  <si>
    <t>CD3204ZS02</t>
  </si>
  <si>
    <t>Lusanga</t>
  </si>
  <si>
    <t>CD3204ZS03</t>
  </si>
  <si>
    <t>Pay Kongila</t>
  </si>
  <si>
    <t>CD3204ZS04</t>
  </si>
  <si>
    <t>Vanga</t>
  </si>
  <si>
    <t>CD3204ZS05</t>
  </si>
  <si>
    <t>Idiofa</t>
  </si>
  <si>
    <t>CD3206</t>
  </si>
  <si>
    <t>CD3206ZS01</t>
  </si>
  <si>
    <t>Ipamu</t>
  </si>
  <si>
    <t>CD3206ZS02</t>
  </si>
  <si>
    <t>Kimputu</t>
  </si>
  <si>
    <t>CD3206ZS03</t>
  </si>
  <si>
    <t>Koshibanda</t>
  </si>
  <si>
    <t>CD3206ZS04</t>
  </si>
  <si>
    <t>Mokala</t>
  </si>
  <si>
    <t>CD3206ZS05</t>
  </si>
  <si>
    <t>Mungindu</t>
  </si>
  <si>
    <t>CD3206ZS06</t>
  </si>
  <si>
    <t>Gungu</t>
  </si>
  <si>
    <t>CD3210</t>
  </si>
  <si>
    <t>CD3210ZS01</t>
  </si>
  <si>
    <t>Kingandu</t>
  </si>
  <si>
    <t>CD3210ZS02</t>
  </si>
  <si>
    <t>Mukedi</t>
  </si>
  <si>
    <t>CD3210ZS03</t>
  </si>
  <si>
    <t>Masi-Manimba</t>
  </si>
  <si>
    <t>CD3212</t>
  </si>
  <si>
    <t>CD3212ZS01</t>
  </si>
  <si>
    <t>Moanza</t>
  </si>
  <si>
    <t>CD3212ZS02</t>
  </si>
  <si>
    <t>Mosango</t>
  </si>
  <si>
    <t>CD3212ZS03</t>
  </si>
  <si>
    <t>Yasa-Bonga</t>
  </si>
  <si>
    <t>CD3212ZS04</t>
  </si>
  <si>
    <t>Maï-Ndombe</t>
  </si>
  <si>
    <t>CD33</t>
  </si>
  <si>
    <t>Inongo</t>
  </si>
  <si>
    <t>CD3302</t>
  </si>
  <si>
    <t>Banjow Moke</t>
  </si>
  <si>
    <t>CD3302ZS01</t>
  </si>
  <si>
    <t>CD3302ZS02</t>
  </si>
  <si>
    <t>Ntandembelo</t>
  </si>
  <si>
    <t>CD3302ZS03</t>
  </si>
  <si>
    <t>Kiri</t>
  </si>
  <si>
    <t>CD3303</t>
  </si>
  <si>
    <t>CD3303ZS01</t>
  </si>
  <si>
    <t>Penjwa</t>
  </si>
  <si>
    <t>CD3303ZS02</t>
  </si>
  <si>
    <t>Oshwe</t>
  </si>
  <si>
    <t>CD3304</t>
  </si>
  <si>
    <t>Bosobe</t>
  </si>
  <si>
    <t>CD3304ZS01</t>
  </si>
  <si>
    <t>Mimia</t>
  </si>
  <si>
    <t>CD3304ZS02</t>
  </si>
  <si>
    <t>CD3304ZS03</t>
  </si>
  <si>
    <t>Kutu</t>
  </si>
  <si>
    <t>CD3306</t>
  </si>
  <si>
    <t>Bokoro</t>
  </si>
  <si>
    <t>CD3306ZS01</t>
  </si>
  <si>
    <t>Nioki</t>
  </si>
  <si>
    <t>CD3306ZS02</t>
  </si>
  <si>
    <t>Kwamouth</t>
  </si>
  <si>
    <t>CD3307</t>
  </si>
  <si>
    <t>CD3307ZS01</t>
  </si>
  <si>
    <t>Bolobo</t>
  </si>
  <si>
    <t>CD3308</t>
  </si>
  <si>
    <t>CD3308ZS01</t>
  </si>
  <si>
    <t>Yumbi</t>
  </si>
  <si>
    <t>CD3310</t>
  </si>
  <si>
    <t>CD3310ZS01</t>
  </si>
  <si>
    <t>Mushie</t>
  </si>
  <si>
    <t>CD3311</t>
  </si>
  <si>
    <t>CD3311ZS01</t>
  </si>
  <si>
    <t>Equateur</t>
  </si>
  <si>
    <t>CD41</t>
  </si>
  <si>
    <t>Mbandaka</t>
  </si>
  <si>
    <t>CD4101</t>
  </si>
  <si>
    <t>Bolenge</t>
  </si>
  <si>
    <t>CD4101ZS01</t>
  </si>
  <si>
    <t>CD4101ZS02</t>
  </si>
  <si>
    <t>Wangata</t>
  </si>
  <si>
    <t>CD4101ZS03</t>
  </si>
  <si>
    <t>Bikoro</t>
  </si>
  <si>
    <t>CD4102</t>
  </si>
  <si>
    <t>CD4102ZS01</t>
  </si>
  <si>
    <t>Iboko</t>
  </si>
  <si>
    <t>CD4102ZS02</t>
  </si>
  <si>
    <t>Ntondo</t>
  </si>
  <si>
    <t>CD4102ZS03</t>
  </si>
  <si>
    <t>Lukolela</t>
  </si>
  <si>
    <t>CD4103</t>
  </si>
  <si>
    <t>Irebu</t>
  </si>
  <si>
    <t>CD4103ZS01</t>
  </si>
  <si>
    <t>CD4103ZS02</t>
  </si>
  <si>
    <t>Bomongo</t>
  </si>
  <si>
    <t>CD4104</t>
  </si>
  <si>
    <t>CD4104ZS01</t>
  </si>
  <si>
    <t>Lilanga Bobangi</t>
  </si>
  <si>
    <t>CD4104ZS02</t>
  </si>
  <si>
    <t>Makanza</t>
  </si>
  <si>
    <t>CD4105</t>
  </si>
  <si>
    <t>CD4105ZS01</t>
  </si>
  <si>
    <t>Basankusu</t>
  </si>
  <si>
    <t>CD4107</t>
  </si>
  <si>
    <t>CD4107ZS01</t>
  </si>
  <si>
    <t>Djombo</t>
  </si>
  <si>
    <t>CD4107ZS02</t>
  </si>
  <si>
    <t>Bolomba</t>
  </si>
  <si>
    <t>CD4108</t>
  </si>
  <si>
    <t>CD4108ZS01</t>
  </si>
  <si>
    <t>Lolanga Mampoko</t>
  </si>
  <si>
    <t>CD4108ZS02</t>
  </si>
  <si>
    <t>Monieka</t>
  </si>
  <si>
    <t>CD4108ZS03</t>
  </si>
  <si>
    <t>Ingende</t>
  </si>
  <si>
    <t>CD4109</t>
  </si>
  <si>
    <t>CD4109ZS01</t>
  </si>
  <si>
    <t>Lotumbe</t>
  </si>
  <si>
    <t>CD4109ZS02</t>
  </si>
  <si>
    <t>Sud-Ubangi</t>
  </si>
  <si>
    <t>CD42</t>
  </si>
  <si>
    <t>Gemena</t>
  </si>
  <si>
    <t>CD4202</t>
  </si>
  <si>
    <t>Bogosenubia</t>
  </si>
  <si>
    <t>CD4202ZS01</t>
  </si>
  <si>
    <t>Bominenge</t>
  </si>
  <si>
    <t>CD4202ZS02</t>
  </si>
  <si>
    <t>Bwamanda</t>
  </si>
  <si>
    <t>CD4202ZS03</t>
  </si>
  <si>
    <t>CD4202ZS04</t>
  </si>
  <si>
    <t>Tandala</t>
  </si>
  <si>
    <t>CD4202ZS05</t>
  </si>
  <si>
    <t>Budjala</t>
  </si>
  <si>
    <t>CD4203</t>
  </si>
  <si>
    <t>Bangabola</t>
  </si>
  <si>
    <t>CD4203ZS01</t>
  </si>
  <si>
    <t>CD4203ZS02</t>
  </si>
  <si>
    <t>Bulu</t>
  </si>
  <si>
    <t>CD4203ZS03</t>
  </si>
  <si>
    <t>Mbaya</t>
  </si>
  <si>
    <t>CD4203ZS04</t>
  </si>
  <si>
    <t>Ndage</t>
  </si>
  <si>
    <t>CD4203ZS05</t>
  </si>
  <si>
    <t>Kungu</t>
  </si>
  <si>
    <t>CD4204</t>
  </si>
  <si>
    <t>Bokonzi</t>
  </si>
  <si>
    <t>CD4204ZS01</t>
  </si>
  <si>
    <t>Boto</t>
  </si>
  <si>
    <t>CD4204ZS02</t>
  </si>
  <si>
    <t>CD4204ZS03</t>
  </si>
  <si>
    <t>Libenge</t>
  </si>
  <si>
    <t>CD4205</t>
  </si>
  <si>
    <t>CD4205ZS01</t>
  </si>
  <si>
    <t>Mawuya</t>
  </si>
  <si>
    <t>CD4205ZS02</t>
  </si>
  <si>
    <t>Zongo</t>
  </si>
  <si>
    <t>CD4206</t>
  </si>
  <si>
    <t>CD4206ZS01</t>
  </si>
  <si>
    <t>Nord-Ubangi</t>
  </si>
  <si>
    <t>CD43</t>
  </si>
  <si>
    <t>Gbadolite</t>
  </si>
  <si>
    <t>CD4301</t>
  </si>
  <si>
    <t>CD4301ZS01</t>
  </si>
  <si>
    <t>Mobayi-Mbongo</t>
  </si>
  <si>
    <t>CD4302</t>
  </si>
  <si>
    <t>Mobayi Mbongo</t>
  </si>
  <si>
    <t>CD4302ZS01</t>
  </si>
  <si>
    <t>Yakoma</t>
  </si>
  <si>
    <t>CD4304</t>
  </si>
  <si>
    <t>Abuzi</t>
  </si>
  <si>
    <t>CD4304ZS01</t>
  </si>
  <si>
    <t>Wapinda</t>
  </si>
  <si>
    <t>CD4304ZS02</t>
  </si>
  <si>
    <t>Wasolo</t>
  </si>
  <si>
    <t>CD4304ZS03</t>
  </si>
  <si>
    <t>CD4304ZS04</t>
  </si>
  <si>
    <t>Businga</t>
  </si>
  <si>
    <t>CD4305</t>
  </si>
  <si>
    <t>CD4305ZS01</t>
  </si>
  <si>
    <t>Karawa</t>
  </si>
  <si>
    <t>CD4305ZS02</t>
  </si>
  <si>
    <t>Loko</t>
  </si>
  <si>
    <t>CD4305ZS03</t>
  </si>
  <si>
    <t>Bosobolo</t>
  </si>
  <si>
    <t>CD4306</t>
  </si>
  <si>
    <t>Bili</t>
  </si>
  <si>
    <t>CD4306ZS01</t>
  </si>
  <si>
    <t>CD4306ZS02</t>
  </si>
  <si>
    <t>Mongala</t>
  </si>
  <si>
    <t>CD44</t>
  </si>
  <si>
    <t>Lisala</t>
  </si>
  <si>
    <t>CD4402</t>
  </si>
  <si>
    <t>Binga</t>
  </si>
  <si>
    <t>CD4402ZS01</t>
  </si>
  <si>
    <t>Boso Manzi</t>
  </si>
  <si>
    <t>CD4402ZS02</t>
  </si>
  <si>
    <t>CD4402ZS03</t>
  </si>
  <si>
    <t>Bumba</t>
  </si>
  <si>
    <t>CD4404</t>
  </si>
  <si>
    <t>CD4404ZS01</t>
  </si>
  <si>
    <t>Lolo</t>
  </si>
  <si>
    <t>CD4404ZS02</t>
  </si>
  <si>
    <t>Yamaluka</t>
  </si>
  <si>
    <t>CD4404ZS03</t>
  </si>
  <si>
    <t>Yambuku</t>
  </si>
  <si>
    <t>CD4404ZS04</t>
  </si>
  <si>
    <t>Yamongili</t>
  </si>
  <si>
    <t>CD4404ZS05</t>
  </si>
  <si>
    <t>Bongandanga</t>
  </si>
  <si>
    <t>CD4405</t>
  </si>
  <si>
    <t>CD4405ZS01</t>
  </si>
  <si>
    <t>Boso Mondanda</t>
  </si>
  <si>
    <t>CD4405ZS02</t>
  </si>
  <si>
    <t>Bosondjo</t>
  </si>
  <si>
    <t>CD4405ZS03</t>
  </si>
  <si>
    <t>Pimu</t>
  </si>
  <si>
    <t>CD4405ZS04</t>
  </si>
  <si>
    <t>Tshuapa</t>
  </si>
  <si>
    <t>CD45</t>
  </si>
  <si>
    <t>Boende</t>
  </si>
  <si>
    <t>CD4502</t>
  </si>
  <si>
    <t>CD4502ZS01</t>
  </si>
  <si>
    <t>Wema</t>
  </si>
  <si>
    <t>CD4502ZS02</t>
  </si>
  <si>
    <t>Befale</t>
  </si>
  <si>
    <t>CD4503</t>
  </si>
  <si>
    <t>CD4503ZS01</t>
  </si>
  <si>
    <t>Mompono</t>
  </si>
  <si>
    <t>CD4503ZS02</t>
  </si>
  <si>
    <t>Djolu</t>
  </si>
  <si>
    <t>CD4504</t>
  </si>
  <si>
    <t>CD4504ZS01</t>
  </si>
  <si>
    <t>Lingomo</t>
  </si>
  <si>
    <t>CD4504ZS02</t>
  </si>
  <si>
    <t>Ikela</t>
  </si>
  <si>
    <t>CD4505</t>
  </si>
  <si>
    <t>CD4505ZS01</t>
  </si>
  <si>
    <t>Mondombe</t>
  </si>
  <si>
    <t>CD4505ZS02</t>
  </si>
  <si>
    <t>Bokungu</t>
  </si>
  <si>
    <t>CD4506</t>
  </si>
  <si>
    <t>CD4506ZS01</t>
  </si>
  <si>
    <t>Bosanga</t>
  </si>
  <si>
    <t>CD4506ZS02</t>
  </si>
  <si>
    <t>Yalifafo</t>
  </si>
  <si>
    <t>CD4506ZS03</t>
  </si>
  <si>
    <t>Monkoto</t>
  </si>
  <si>
    <t>CD4507</t>
  </si>
  <si>
    <t>CD4507ZS01</t>
  </si>
  <si>
    <t>Tshopo</t>
  </si>
  <si>
    <t>CD51</t>
  </si>
  <si>
    <t>Kisangani</t>
  </si>
  <si>
    <t>CD5101</t>
  </si>
  <si>
    <t>Kabondo</t>
  </si>
  <si>
    <t>CD5101ZS01</t>
  </si>
  <si>
    <t>Lubunga</t>
  </si>
  <si>
    <t>CD5101ZS02</t>
  </si>
  <si>
    <t>Makiso-Kisangani</t>
  </si>
  <si>
    <t>CD5101ZS03</t>
  </si>
  <si>
    <t>Mangobo</t>
  </si>
  <si>
    <t>CD5101ZS04</t>
  </si>
  <si>
    <t>CD5101ZS05</t>
  </si>
  <si>
    <t>Ubundu</t>
  </si>
  <si>
    <t>CD5102</t>
  </si>
  <si>
    <t>Lowa</t>
  </si>
  <si>
    <t>CD5102ZS01</t>
  </si>
  <si>
    <t>CD5102ZS02</t>
  </si>
  <si>
    <t>Wanierukula</t>
  </si>
  <si>
    <t>CD5102ZS03</t>
  </si>
  <si>
    <t>Opala</t>
  </si>
  <si>
    <t>CD5103</t>
  </si>
  <si>
    <t>CD5103ZS01</t>
  </si>
  <si>
    <t>Yaleko</t>
  </si>
  <si>
    <t>CD5103ZS02</t>
  </si>
  <si>
    <t>Isangi</t>
  </si>
  <si>
    <t>CD5105</t>
  </si>
  <si>
    <t>CD5105ZS01</t>
  </si>
  <si>
    <t>Yabaondo</t>
  </si>
  <si>
    <t>CD5105ZS02</t>
  </si>
  <si>
    <t>Yahisuli</t>
  </si>
  <si>
    <t>CD5105ZS03</t>
  </si>
  <si>
    <t>Yakusu</t>
  </si>
  <si>
    <t>CD5105ZS04</t>
  </si>
  <si>
    <t>Yahuma</t>
  </si>
  <si>
    <t>CD5107</t>
  </si>
  <si>
    <t>CD5107ZS01</t>
  </si>
  <si>
    <t>Basoko</t>
  </si>
  <si>
    <t>CD5109</t>
  </si>
  <si>
    <t>Basali</t>
  </si>
  <si>
    <t>CD5109ZS01</t>
  </si>
  <si>
    <t>CD5109ZS02</t>
  </si>
  <si>
    <t>Yalimbongo</t>
  </si>
  <si>
    <t>CD5109ZS03</t>
  </si>
  <si>
    <t>Banalia</t>
  </si>
  <si>
    <t>CD5110</t>
  </si>
  <si>
    <t>CD5110ZS01</t>
  </si>
  <si>
    <t>Bengamisa</t>
  </si>
  <si>
    <t>CD5110ZS02</t>
  </si>
  <si>
    <t>Bafwasende</t>
  </si>
  <si>
    <t>CD5111</t>
  </si>
  <si>
    <t>Bafwagbogbo</t>
  </si>
  <si>
    <t>CD5111ZS01</t>
  </si>
  <si>
    <t>CD5111ZS02</t>
  </si>
  <si>
    <t>Opienge</t>
  </si>
  <si>
    <t>CD5111ZS03</t>
  </si>
  <si>
    <t>Bas-Uele</t>
  </si>
  <si>
    <t>CD52</t>
  </si>
  <si>
    <t>Buta</t>
  </si>
  <si>
    <t>CD5202</t>
  </si>
  <si>
    <t>CD5202ZS01</t>
  </si>
  <si>
    <t>Titule</t>
  </si>
  <si>
    <t>CD5202ZS02</t>
  </si>
  <si>
    <t>Aketi</t>
  </si>
  <si>
    <t>CD5204</t>
  </si>
  <si>
    <t>CD5204ZS01</t>
  </si>
  <si>
    <t>Likati</t>
  </si>
  <si>
    <t>CD5204ZS02</t>
  </si>
  <si>
    <t>Bondo</t>
  </si>
  <si>
    <t>CD5206</t>
  </si>
  <si>
    <t>CD5206ZS01</t>
  </si>
  <si>
    <t>CD5206ZS02</t>
  </si>
  <si>
    <t>Monga</t>
  </si>
  <si>
    <t>CD5206ZS03</t>
  </si>
  <si>
    <t>Ango</t>
  </si>
  <si>
    <t>CD5207</t>
  </si>
  <si>
    <t>CD5207ZS01</t>
  </si>
  <si>
    <t>Poko</t>
  </si>
  <si>
    <t>CD5208</t>
  </si>
  <si>
    <t>CD5208ZS01</t>
  </si>
  <si>
    <t>Viadana</t>
  </si>
  <si>
    <t>CD5208ZS02</t>
  </si>
  <si>
    <t>Bambesa</t>
  </si>
  <si>
    <t>CD5209</t>
  </si>
  <si>
    <t>Ganga</t>
  </si>
  <si>
    <t>CD5209ZS01</t>
  </si>
  <si>
    <t>Haut-Uele</t>
  </si>
  <si>
    <t>CD53</t>
  </si>
  <si>
    <t>Rungu</t>
  </si>
  <si>
    <t>CD5302</t>
  </si>
  <si>
    <t>Isiro</t>
  </si>
  <si>
    <t>CD5302ZS01</t>
  </si>
  <si>
    <t>CD5302ZS02</t>
  </si>
  <si>
    <t>Niangara</t>
  </si>
  <si>
    <t>CD5303</t>
  </si>
  <si>
    <t>CD5303ZS01</t>
  </si>
  <si>
    <t>Dungu</t>
  </si>
  <si>
    <t>CD5305</t>
  </si>
  <si>
    <t>Doruma</t>
  </si>
  <si>
    <t>CD5305ZS01</t>
  </si>
  <si>
    <t>CD5305ZS02</t>
  </si>
  <si>
    <t>Faradje</t>
  </si>
  <si>
    <t>CD5307</t>
  </si>
  <si>
    <t>Aba</t>
  </si>
  <si>
    <t>CD5307ZS01</t>
  </si>
  <si>
    <t>CD5307ZS02</t>
  </si>
  <si>
    <t>Makoro</t>
  </si>
  <si>
    <t>CD5307ZS03</t>
  </si>
  <si>
    <t>Watsa</t>
  </si>
  <si>
    <t>CD5309</t>
  </si>
  <si>
    <t>Gombari</t>
  </si>
  <si>
    <t>CD5309ZS01</t>
  </si>
  <si>
    <t>CD5309ZS02</t>
  </si>
  <si>
    <t>Wamba</t>
  </si>
  <si>
    <t>CD5311</t>
  </si>
  <si>
    <t>Boma-Mangbetu</t>
  </si>
  <si>
    <t>CD5311ZS01</t>
  </si>
  <si>
    <t>Pawa</t>
  </si>
  <si>
    <t>CD5311ZS02</t>
  </si>
  <si>
    <t>CD5311ZS03</t>
  </si>
  <si>
    <t>Ituri</t>
  </si>
  <si>
    <t>CD54</t>
  </si>
  <si>
    <t>Irumu</t>
  </si>
  <si>
    <t>CD5402</t>
  </si>
  <si>
    <t>Boga</t>
  </si>
  <si>
    <t>CD5402ZS01</t>
  </si>
  <si>
    <t>Bunia</t>
  </si>
  <si>
    <t>CD5402ZS02</t>
  </si>
  <si>
    <t>Gethy</t>
  </si>
  <si>
    <t>CD5402ZS03</t>
  </si>
  <si>
    <t>Komanda</t>
  </si>
  <si>
    <t>CD5402ZS04</t>
  </si>
  <si>
    <t>Nyakunde</t>
  </si>
  <si>
    <t>CD5402ZS05</t>
  </si>
  <si>
    <t>Rwampara</t>
  </si>
  <si>
    <t>CD5402ZS06</t>
  </si>
  <si>
    <t>Mambasa</t>
  </si>
  <si>
    <t>CD5403</t>
  </si>
  <si>
    <t>Lolwa</t>
  </si>
  <si>
    <t>CD5403ZS01</t>
  </si>
  <si>
    <t>CD5403ZS02</t>
  </si>
  <si>
    <t>Mandima</t>
  </si>
  <si>
    <t>CD5403ZS03</t>
  </si>
  <si>
    <t>Nia-Nia</t>
  </si>
  <si>
    <t>CD5403ZS04</t>
  </si>
  <si>
    <t>Djugu</t>
  </si>
  <si>
    <t>CD5405</t>
  </si>
  <si>
    <t>Bambu</t>
  </si>
  <si>
    <t>CD5405ZS01</t>
  </si>
  <si>
    <t>Damas</t>
  </si>
  <si>
    <t>CD5405ZS02</t>
  </si>
  <si>
    <t>Drodro</t>
  </si>
  <si>
    <t>CD5405ZS03</t>
  </si>
  <si>
    <t>Fataki</t>
  </si>
  <si>
    <t>CD5405ZS04</t>
  </si>
  <si>
    <t>Jiba</t>
  </si>
  <si>
    <t>CD5405ZS05</t>
  </si>
  <si>
    <t>Kilo</t>
  </si>
  <si>
    <t>CD5405ZS06</t>
  </si>
  <si>
    <t>Linga</t>
  </si>
  <si>
    <t>CD5405ZS07</t>
  </si>
  <si>
    <t>Lita</t>
  </si>
  <si>
    <t>CD5405ZS08</t>
  </si>
  <si>
    <t>Mangala</t>
  </si>
  <si>
    <t>CD5405ZS09</t>
  </si>
  <si>
    <t>Mongbalu</t>
  </si>
  <si>
    <t>CD5405ZS10</t>
  </si>
  <si>
    <t>Nizi</t>
  </si>
  <si>
    <t>CD5405ZS11</t>
  </si>
  <si>
    <t>Rethy</t>
  </si>
  <si>
    <t>CD5405ZS12</t>
  </si>
  <si>
    <t>Tchomia</t>
  </si>
  <si>
    <t>CD5405ZS13</t>
  </si>
  <si>
    <t>Mahagi</t>
  </si>
  <si>
    <t>CD5407</t>
  </si>
  <si>
    <t>Angumu</t>
  </si>
  <si>
    <t>CD5407ZS01</t>
  </si>
  <si>
    <t>Aungba</t>
  </si>
  <si>
    <t>CD5407ZS02</t>
  </si>
  <si>
    <t>Kambala</t>
  </si>
  <si>
    <t>CD5407ZS03</t>
  </si>
  <si>
    <t>Logo</t>
  </si>
  <si>
    <t>CD5407ZS04</t>
  </si>
  <si>
    <t>CD5407ZS05</t>
  </si>
  <si>
    <t>Nyarambe</t>
  </si>
  <si>
    <t>CD5407ZS06</t>
  </si>
  <si>
    <t>Rimba</t>
  </si>
  <si>
    <t>CD5407ZS07</t>
  </si>
  <si>
    <t>Aru</t>
  </si>
  <si>
    <t>CD5409</t>
  </si>
  <si>
    <t>Adi</t>
  </si>
  <si>
    <t>CD5409ZS01</t>
  </si>
  <si>
    <t>Adja</t>
  </si>
  <si>
    <t>CD5409ZS02</t>
  </si>
  <si>
    <t>Ariwara</t>
  </si>
  <si>
    <t>CD5409ZS03</t>
  </si>
  <si>
    <t>CD5409ZS04</t>
  </si>
  <si>
    <t>Biringi</t>
  </si>
  <si>
    <t>CD5409ZS05</t>
  </si>
  <si>
    <t>Laybo</t>
  </si>
  <si>
    <t>CD5409ZS06</t>
  </si>
  <si>
    <t>Nord-Kivu</t>
  </si>
  <si>
    <t>CD61</t>
  </si>
  <si>
    <t>Goma</t>
  </si>
  <si>
    <t>CD6101</t>
  </si>
  <si>
    <t>CD6101ZS01</t>
  </si>
  <si>
    <t>Karisimbi</t>
  </si>
  <si>
    <t>CD6101ZS02</t>
  </si>
  <si>
    <t>Nyiragongo</t>
  </si>
  <si>
    <t>CD6102</t>
  </si>
  <si>
    <t>CD6102ZS01</t>
  </si>
  <si>
    <t>Masisi</t>
  </si>
  <si>
    <t>CD6103</t>
  </si>
  <si>
    <t>Katoyi</t>
  </si>
  <si>
    <t>CD6103ZS01</t>
  </si>
  <si>
    <t>Kirotshe</t>
  </si>
  <si>
    <t>CD6103ZS02</t>
  </si>
  <si>
    <t>CD6103ZS03</t>
  </si>
  <si>
    <t>Mweso</t>
  </si>
  <si>
    <t>CD6103ZS04</t>
  </si>
  <si>
    <t>Walikale</t>
  </si>
  <si>
    <t>CD6104</t>
  </si>
  <si>
    <t>Itebero</t>
  </si>
  <si>
    <t>CD6104ZS01</t>
  </si>
  <si>
    <t>Kibua</t>
  </si>
  <si>
    <t>CD6104ZS02</t>
  </si>
  <si>
    <t>Pinga</t>
  </si>
  <si>
    <t>CD6104ZS03</t>
  </si>
  <si>
    <t>CD6104ZS04</t>
  </si>
  <si>
    <t>Lubero</t>
  </si>
  <si>
    <t>CD6105</t>
  </si>
  <si>
    <t>Alimbongo</t>
  </si>
  <si>
    <t>CD6105ZS01</t>
  </si>
  <si>
    <t>Biena</t>
  </si>
  <si>
    <t>CD6105ZS02</t>
  </si>
  <si>
    <t>Kayna</t>
  </si>
  <si>
    <t>CD6105ZS03</t>
  </si>
  <si>
    <t>CD6105ZS04</t>
  </si>
  <si>
    <t>Manguredjipa</t>
  </si>
  <si>
    <t>CD6105ZS05</t>
  </si>
  <si>
    <t>Masereka</t>
  </si>
  <si>
    <t>CD6105ZS06</t>
  </si>
  <si>
    <t>Musienene</t>
  </si>
  <si>
    <t>CD6105ZS07</t>
  </si>
  <si>
    <t>Oïcha</t>
  </si>
  <si>
    <t>CD6107</t>
  </si>
  <si>
    <t>Kalunguta</t>
  </si>
  <si>
    <t>CD6107ZS01</t>
  </si>
  <si>
    <t>Kamango</t>
  </si>
  <si>
    <t>CD6107ZS02</t>
  </si>
  <si>
    <t>Kyondo</t>
  </si>
  <si>
    <t>CD6107ZS03</t>
  </si>
  <si>
    <t>Mabalako</t>
  </si>
  <si>
    <t>CD6107ZS04</t>
  </si>
  <si>
    <t>Mutwanga</t>
  </si>
  <si>
    <t>CD6107ZS05</t>
  </si>
  <si>
    <t>Oicha</t>
  </si>
  <si>
    <t>CD6107ZS06</t>
  </si>
  <si>
    <t>Vuhovi</t>
  </si>
  <si>
    <t>CD6107ZS07</t>
  </si>
  <si>
    <t>Beni</t>
  </si>
  <si>
    <t>CD6109</t>
  </si>
  <si>
    <t>CD6109ZS01</t>
  </si>
  <si>
    <t>Butembo</t>
  </si>
  <si>
    <t>CD6110</t>
  </si>
  <si>
    <t>CD6110ZS01</t>
  </si>
  <si>
    <t>Katwa</t>
  </si>
  <si>
    <t>CD6110ZS02</t>
  </si>
  <si>
    <t>Rutshuru</t>
  </si>
  <si>
    <t>CD6111</t>
  </si>
  <si>
    <t>Bambo</t>
  </si>
  <si>
    <t>CD6111ZS01</t>
  </si>
  <si>
    <t>Binza</t>
  </si>
  <si>
    <t>CD6111ZS02</t>
  </si>
  <si>
    <t>Birambizo</t>
  </si>
  <si>
    <t>CD6111ZS03</t>
  </si>
  <si>
    <t>Kibirizi</t>
  </si>
  <si>
    <t>CD6111ZS04</t>
  </si>
  <si>
    <t>CD6111ZS05</t>
  </si>
  <si>
    <t>Rwanguba</t>
  </si>
  <si>
    <t>CD6111ZS06</t>
  </si>
  <si>
    <t>Sud-Kivu</t>
  </si>
  <si>
    <t>CD62</t>
  </si>
  <si>
    <t>Bukavu</t>
  </si>
  <si>
    <t>CD6201</t>
  </si>
  <si>
    <t>Bagira</t>
  </si>
  <si>
    <t>CD6201ZS01</t>
  </si>
  <si>
    <t>Ibanda</t>
  </si>
  <si>
    <t>CD6201ZS02</t>
  </si>
  <si>
    <t>Kadutu</t>
  </si>
  <si>
    <t>CD6201ZS03</t>
  </si>
  <si>
    <t>Kabare</t>
  </si>
  <si>
    <t>CD6202</t>
  </si>
  <si>
    <t>CD6202ZS01</t>
  </si>
  <si>
    <t>Kaniola</t>
  </si>
  <si>
    <t>CD6202ZS02</t>
  </si>
  <si>
    <t>Katana</t>
  </si>
  <si>
    <t>CD6202ZS03</t>
  </si>
  <si>
    <t>Miti-Murhesa</t>
  </si>
  <si>
    <t>CD6202ZS04</t>
  </si>
  <si>
    <t>Nyantende</t>
  </si>
  <si>
    <t>CD6202ZS05</t>
  </si>
  <si>
    <t>Shabunda</t>
  </si>
  <si>
    <t>CD6203</t>
  </si>
  <si>
    <t>Kalole</t>
  </si>
  <si>
    <t>CD6203ZS01</t>
  </si>
  <si>
    <t>Lulingu</t>
  </si>
  <si>
    <t>CD6203ZS02</t>
  </si>
  <si>
    <t>Mulungu</t>
  </si>
  <si>
    <t>CD6203ZS03</t>
  </si>
  <si>
    <t>CD6203ZS04</t>
  </si>
  <si>
    <t>Kalehe</t>
  </si>
  <si>
    <t>CD6205</t>
  </si>
  <si>
    <t>Bunyakiri</t>
  </si>
  <si>
    <t>CD6205ZS01</t>
  </si>
  <si>
    <t>CD6205ZS02</t>
  </si>
  <si>
    <t>Kalonge</t>
  </si>
  <si>
    <t>CD6205ZS03</t>
  </si>
  <si>
    <t>Minova</t>
  </si>
  <si>
    <t>CD6205ZS04</t>
  </si>
  <si>
    <t>Idjwi</t>
  </si>
  <si>
    <t>CD6206</t>
  </si>
  <si>
    <t>CD6206ZS01</t>
  </si>
  <si>
    <t>Walungu</t>
  </si>
  <si>
    <t>CD6207</t>
  </si>
  <si>
    <t>Kaziba</t>
  </si>
  <si>
    <t>CD6207ZS01</t>
  </si>
  <si>
    <t>Mubumbano</t>
  </si>
  <si>
    <t>CD6207ZS02</t>
  </si>
  <si>
    <t>Nyangezi</t>
  </si>
  <si>
    <t>CD6207ZS03</t>
  </si>
  <si>
    <t>CD6207ZS04</t>
  </si>
  <si>
    <t>Uvira</t>
  </si>
  <si>
    <t>CD6208</t>
  </si>
  <si>
    <t>Hauts-Plateaux</t>
  </si>
  <si>
    <t>CD6208ZS01</t>
  </si>
  <si>
    <t>Lemera</t>
  </si>
  <si>
    <t>CD6208ZS02</t>
  </si>
  <si>
    <t>Ruzizi</t>
  </si>
  <si>
    <t>CD6208ZS03</t>
  </si>
  <si>
    <t>CD6208ZS04</t>
  </si>
  <si>
    <t>Fizi</t>
  </si>
  <si>
    <t>CD6210</t>
  </si>
  <si>
    <t>CD6210ZS01</t>
  </si>
  <si>
    <t>Kimbi Lulenge</t>
  </si>
  <si>
    <t>CD6210ZS02</t>
  </si>
  <si>
    <t>Minembwe</t>
  </si>
  <si>
    <t>CD6210ZS03</t>
  </si>
  <si>
    <t>Nundu</t>
  </si>
  <si>
    <t>CD6210ZS04</t>
  </si>
  <si>
    <t>Mwenga</t>
  </si>
  <si>
    <t>CD6212</t>
  </si>
  <si>
    <t>Itombwe</t>
  </si>
  <si>
    <t>CD6212ZS01</t>
  </si>
  <si>
    <t>Kamituga</t>
  </si>
  <si>
    <t>CD6212ZS02</t>
  </si>
  <si>
    <t>Kitutu</t>
  </si>
  <si>
    <t>CD6212ZS03</t>
  </si>
  <si>
    <t>Mwana</t>
  </si>
  <si>
    <t>CD6212ZS04</t>
  </si>
  <si>
    <t>CD6212ZS05</t>
  </si>
  <si>
    <t>Maniema</t>
  </si>
  <si>
    <t>CD63</t>
  </si>
  <si>
    <t>Kindu</t>
  </si>
  <si>
    <t>CD6301</t>
  </si>
  <si>
    <t>Alunguli</t>
  </si>
  <si>
    <t>CD6301ZS01</t>
  </si>
  <si>
    <t>CD6301ZS02</t>
  </si>
  <si>
    <t>Kailo</t>
  </si>
  <si>
    <t>CD6302</t>
  </si>
  <si>
    <t>CD6302ZS01</t>
  </si>
  <si>
    <t>Punia</t>
  </si>
  <si>
    <t>CD6303</t>
  </si>
  <si>
    <t>Ferekeni</t>
  </si>
  <si>
    <t>CD6303ZS01</t>
  </si>
  <si>
    <t>CD6303ZS02</t>
  </si>
  <si>
    <t>Lubutu</t>
  </si>
  <si>
    <t>CD6305</t>
  </si>
  <si>
    <t>CD6305ZS01</t>
  </si>
  <si>
    <t>Obokote</t>
  </si>
  <si>
    <t>CD6305ZS02</t>
  </si>
  <si>
    <t>Pangi</t>
  </si>
  <si>
    <t>CD6307</t>
  </si>
  <si>
    <t>Kalima</t>
  </si>
  <si>
    <t>CD6307ZS01</t>
  </si>
  <si>
    <t>Kampene</t>
  </si>
  <si>
    <t>CD6307ZS02</t>
  </si>
  <si>
    <t>CD6307ZS03</t>
  </si>
  <si>
    <t>Kabambare</t>
  </si>
  <si>
    <t>CD6309</t>
  </si>
  <si>
    <t>CD6309ZS01</t>
  </si>
  <si>
    <t>Lusangi</t>
  </si>
  <si>
    <t>CD6309ZS02</t>
  </si>
  <si>
    <t>Saramabila</t>
  </si>
  <si>
    <t>CD6309ZS03</t>
  </si>
  <si>
    <t>Kasongo</t>
  </si>
  <si>
    <t>CD6311</t>
  </si>
  <si>
    <t>CD6311ZS01</t>
  </si>
  <si>
    <t>Kunda</t>
  </si>
  <si>
    <t>CD6311ZS02</t>
  </si>
  <si>
    <t>Samba</t>
  </si>
  <si>
    <t>CD6311ZS03</t>
  </si>
  <si>
    <t>Kibombo</t>
  </si>
  <si>
    <t>CD6313</t>
  </si>
  <si>
    <t>CD6313ZS01</t>
  </si>
  <si>
    <t>Tunda</t>
  </si>
  <si>
    <t>CD6313ZS02</t>
  </si>
  <si>
    <t>Haut-Katanga</t>
  </si>
  <si>
    <t>CD71</t>
  </si>
  <si>
    <t>Lubumbashi</t>
  </si>
  <si>
    <t>CD7101</t>
  </si>
  <si>
    <t>Kamalondo</t>
  </si>
  <si>
    <t>CD7101ZS01</t>
  </si>
  <si>
    <t>Kampemba</t>
  </si>
  <si>
    <t>CD7101ZS02</t>
  </si>
  <si>
    <t>Katuba</t>
  </si>
  <si>
    <t>CD7101ZS03</t>
  </si>
  <si>
    <t>Kenya</t>
  </si>
  <si>
    <t>CD7101ZS04</t>
  </si>
  <si>
    <t>Kisanga</t>
  </si>
  <si>
    <t>CD7101ZS05</t>
  </si>
  <si>
    <t>Kowe</t>
  </si>
  <si>
    <t>CD7101ZS06</t>
  </si>
  <si>
    <t>CD7101ZS07</t>
  </si>
  <si>
    <t>Mumbunda</t>
  </si>
  <si>
    <t>CD7101ZS08</t>
  </si>
  <si>
    <t>Rwashi</t>
  </si>
  <si>
    <t>CD7101ZS09</t>
  </si>
  <si>
    <t>Tshamilemba</t>
  </si>
  <si>
    <t>CD7101ZS10</t>
  </si>
  <si>
    <t>Vangu</t>
  </si>
  <si>
    <t>CD7101ZS11</t>
  </si>
  <si>
    <t>Kipushi</t>
  </si>
  <si>
    <t>CD7102</t>
  </si>
  <si>
    <t>Kafubu</t>
  </si>
  <si>
    <t>CD7102ZS01</t>
  </si>
  <si>
    <t>CD7102ZS02</t>
  </si>
  <si>
    <t>Sakania</t>
  </si>
  <si>
    <t>CD7104</t>
  </si>
  <si>
    <t>CD7104ZS01</t>
  </si>
  <si>
    <t>Kambove</t>
  </si>
  <si>
    <t>CD7105</t>
  </si>
  <si>
    <t>CD7105ZS01</t>
  </si>
  <si>
    <t>Kapolowe</t>
  </si>
  <si>
    <t>CD7105ZS02</t>
  </si>
  <si>
    <t>Kilela Balanda</t>
  </si>
  <si>
    <t>CD7105ZS03</t>
  </si>
  <si>
    <t>Manika</t>
  </si>
  <si>
    <t>CD7105ZS04</t>
  </si>
  <si>
    <t>Panda</t>
  </si>
  <si>
    <t>CD7105ZS05</t>
  </si>
  <si>
    <t>Likasi</t>
  </si>
  <si>
    <t>CD7106</t>
  </si>
  <si>
    <t>CD7106ZS01</t>
  </si>
  <si>
    <t>Kasenga</t>
  </si>
  <si>
    <t>CD7107</t>
  </si>
  <si>
    <t>CD7107ZS01</t>
  </si>
  <si>
    <t>Kikula</t>
  </si>
  <si>
    <t>CD7107ZS02</t>
  </si>
  <si>
    <t>Lukafu</t>
  </si>
  <si>
    <t>CD7107ZS03</t>
  </si>
  <si>
    <t>Kashobwe</t>
  </si>
  <si>
    <t>CD7107ZS04</t>
  </si>
  <si>
    <t>Mitwaba</t>
  </si>
  <si>
    <t>CD7108</t>
  </si>
  <si>
    <t>CD7108ZS01</t>
  </si>
  <si>
    <t>Mufunga Sampwe</t>
  </si>
  <si>
    <t>CD7108ZS02</t>
  </si>
  <si>
    <t>Pweto</t>
  </si>
  <si>
    <t>CD7109</t>
  </si>
  <si>
    <t>Kilwa</t>
  </si>
  <si>
    <t>CD7109ZS01</t>
  </si>
  <si>
    <t>CD7109ZS02</t>
  </si>
  <si>
    <t>Lualaba</t>
  </si>
  <si>
    <t>CD72</t>
  </si>
  <si>
    <t>Mutshatsha</t>
  </si>
  <si>
    <t>CD7202</t>
  </si>
  <si>
    <t>Dilala</t>
  </si>
  <si>
    <t>CD7202ZS01</t>
  </si>
  <si>
    <t>CD7202ZS02</t>
  </si>
  <si>
    <t>CD7202ZS03</t>
  </si>
  <si>
    <t>Lubudi</t>
  </si>
  <si>
    <t>CD7203</t>
  </si>
  <si>
    <t>Bunkeya</t>
  </si>
  <si>
    <t>CD7203ZS01</t>
  </si>
  <si>
    <t>Fungurume</t>
  </si>
  <si>
    <t>CD7203ZS02</t>
  </si>
  <si>
    <t>Kanzenze</t>
  </si>
  <si>
    <t>CD7203ZS03</t>
  </si>
  <si>
    <t>CD7203ZS04</t>
  </si>
  <si>
    <t>Dilolo</t>
  </si>
  <si>
    <t>CD7205</t>
  </si>
  <si>
    <t>CD7205ZS01</t>
  </si>
  <si>
    <t>Kasaji</t>
  </si>
  <si>
    <t>CD7205ZS02</t>
  </si>
  <si>
    <t>Sandoa</t>
  </si>
  <si>
    <t>CD7206</t>
  </si>
  <si>
    <t>Kafakumba</t>
  </si>
  <si>
    <t>CD7206ZS01</t>
  </si>
  <si>
    <t>CD7206ZS02</t>
  </si>
  <si>
    <t>Kapanga</t>
  </si>
  <si>
    <t>CD7207</t>
  </si>
  <si>
    <t>Kalamba</t>
  </si>
  <si>
    <t>CD7207ZS01</t>
  </si>
  <si>
    <t>CD7207ZS02</t>
  </si>
  <si>
    <t>Haut-Lomami</t>
  </si>
  <si>
    <t>CD73</t>
  </si>
  <si>
    <t>Kamina</t>
  </si>
  <si>
    <t>CD7302</t>
  </si>
  <si>
    <t>Baka</t>
  </si>
  <si>
    <t>CD7302ZS01</t>
  </si>
  <si>
    <t>CD7302ZS02</t>
  </si>
  <si>
    <t>Kinda</t>
  </si>
  <si>
    <t>CD7302ZS03</t>
  </si>
  <si>
    <t>Songa</t>
  </si>
  <si>
    <t>CD7302ZS04</t>
  </si>
  <si>
    <t>Kaniama</t>
  </si>
  <si>
    <t>CD7303</t>
  </si>
  <si>
    <t>CD7303ZS01</t>
  </si>
  <si>
    <t>Kabongo</t>
  </si>
  <si>
    <t>CD7304</t>
  </si>
  <si>
    <t>CD7304ZS01</t>
  </si>
  <si>
    <t>Kayamba</t>
  </si>
  <si>
    <t>CD7304ZS02</t>
  </si>
  <si>
    <t>Kitenge</t>
  </si>
  <si>
    <t>CD7304ZS03</t>
  </si>
  <si>
    <t>Malemba-Nkulu</t>
  </si>
  <si>
    <t>CD7305</t>
  </si>
  <si>
    <t>Kinkondja</t>
  </si>
  <si>
    <t>CD7305ZS01</t>
  </si>
  <si>
    <t>Lwamba</t>
  </si>
  <si>
    <t>CD7305ZS02</t>
  </si>
  <si>
    <t>Mukanga</t>
  </si>
  <si>
    <t>CD7305ZS03</t>
  </si>
  <si>
    <t>Mulongo</t>
  </si>
  <si>
    <t>CD7305ZS04</t>
  </si>
  <si>
    <t>Bukama</t>
  </si>
  <si>
    <t>CD7306</t>
  </si>
  <si>
    <t>CD7306ZS01</t>
  </si>
  <si>
    <t>Butumba</t>
  </si>
  <si>
    <t>CD7306ZS02</t>
  </si>
  <si>
    <t>Kabondo Dianda</t>
  </si>
  <si>
    <t>CD7306ZS03</t>
  </si>
  <si>
    <t>Malemba</t>
  </si>
  <si>
    <t>CD7306ZS04</t>
  </si>
  <si>
    <t>Tanganyika</t>
  </si>
  <si>
    <t>CD74</t>
  </si>
  <si>
    <t>Kalemie</t>
  </si>
  <si>
    <t>CD7402</t>
  </si>
  <si>
    <t>CD7402ZS01</t>
  </si>
  <si>
    <t>Nyemba</t>
  </si>
  <si>
    <t>CD7402ZS02</t>
  </si>
  <si>
    <t>Moba</t>
  </si>
  <si>
    <t>CD7404</t>
  </si>
  <si>
    <t>Kansimba</t>
  </si>
  <si>
    <t>CD7404ZS01</t>
  </si>
  <si>
    <t>CD7404ZS02</t>
  </si>
  <si>
    <t>Manono</t>
  </si>
  <si>
    <t>CD7406</t>
  </si>
  <si>
    <t>Ankoro</t>
  </si>
  <si>
    <t>CD7406ZS01</t>
  </si>
  <si>
    <t>Kiyambi</t>
  </si>
  <si>
    <t>CD7406ZS02</t>
  </si>
  <si>
    <t>CD7406ZS03</t>
  </si>
  <si>
    <t>Kabalo</t>
  </si>
  <si>
    <t>CD7407</t>
  </si>
  <si>
    <t>CD7407ZS01</t>
  </si>
  <si>
    <t>Kongolo</t>
  </si>
  <si>
    <t>CD7409</t>
  </si>
  <si>
    <t>CD7409ZS01</t>
  </si>
  <si>
    <t>Mbulula</t>
  </si>
  <si>
    <t>CD7409ZS02</t>
  </si>
  <si>
    <t>Nyunzu</t>
  </si>
  <si>
    <t>CD7410</t>
  </si>
  <si>
    <t>CD7410ZS01</t>
  </si>
  <si>
    <t>Lomami</t>
  </si>
  <si>
    <t>CD81</t>
  </si>
  <si>
    <t>Kabinda</t>
  </si>
  <si>
    <t>CD8102</t>
  </si>
  <si>
    <t>CD8102ZS01</t>
  </si>
  <si>
    <t>Kalonda Est</t>
  </si>
  <si>
    <t>CD8102ZS02</t>
  </si>
  <si>
    <t>Ludimbi Lukula</t>
  </si>
  <si>
    <t>CD8102ZS03</t>
  </si>
  <si>
    <t>Mwene-Ditu</t>
  </si>
  <si>
    <t>CD8103</t>
  </si>
  <si>
    <t>Makota</t>
  </si>
  <si>
    <t>CD8103ZS01</t>
  </si>
  <si>
    <t>Mwene Ditu</t>
  </si>
  <si>
    <t>CD8103ZS02</t>
  </si>
  <si>
    <t>Luilu</t>
  </si>
  <si>
    <t>CD8104</t>
  </si>
  <si>
    <t>Kalenda</t>
  </si>
  <si>
    <t>CD8104ZS01</t>
  </si>
  <si>
    <t>Kanda Kanda</t>
  </si>
  <si>
    <t>CD8104ZS02</t>
  </si>
  <si>
    <t>Luputa</t>
  </si>
  <si>
    <t>CD8104ZS03</t>
  </si>
  <si>
    <t>Wikong</t>
  </si>
  <si>
    <t>CD8104ZS04</t>
  </si>
  <si>
    <t>Kamiji</t>
  </si>
  <si>
    <t>CD8105</t>
  </si>
  <si>
    <t>CD8105ZS01</t>
  </si>
  <si>
    <t>Ngandajika</t>
  </si>
  <si>
    <t>CD8106</t>
  </si>
  <si>
    <t>Kalambayi Kabanga</t>
  </si>
  <si>
    <t>CD8106ZS01</t>
  </si>
  <si>
    <t>Mulumba</t>
  </si>
  <si>
    <t>CD8106ZS02</t>
  </si>
  <si>
    <t>CD8106ZS03</t>
  </si>
  <si>
    <t>Lubao</t>
  </si>
  <si>
    <t>CD8108</t>
  </si>
  <si>
    <t>Kamana</t>
  </si>
  <si>
    <t>CD8108ZS01</t>
  </si>
  <si>
    <t>CD8108ZS02</t>
  </si>
  <si>
    <t>Tshofa</t>
  </si>
  <si>
    <t>CD8108ZS03</t>
  </si>
  <si>
    <t>Kasaï-Oriental</t>
  </si>
  <si>
    <t>CD82</t>
  </si>
  <si>
    <t>Mbuji-Mayi</t>
  </si>
  <si>
    <t>CD8201</t>
  </si>
  <si>
    <t>Bipemba</t>
  </si>
  <si>
    <t>CD8201ZS01</t>
  </si>
  <si>
    <t>Bonzola</t>
  </si>
  <si>
    <t>CD8201ZS02</t>
  </si>
  <si>
    <t>Dibindi</t>
  </si>
  <si>
    <t>CD8201ZS03</t>
  </si>
  <si>
    <t>Diulu</t>
  </si>
  <si>
    <t>CD8201ZS04</t>
  </si>
  <si>
    <t>Kansele</t>
  </si>
  <si>
    <t>CD8201ZS05</t>
  </si>
  <si>
    <t>Lubilanji</t>
  </si>
  <si>
    <t>CD8201ZS06</t>
  </si>
  <si>
    <t>Lukelenge</t>
  </si>
  <si>
    <t>CD8201ZS07</t>
  </si>
  <si>
    <t>Mpokolo</t>
  </si>
  <si>
    <t>CD8201ZS08</t>
  </si>
  <si>
    <t>Muya</t>
  </si>
  <si>
    <t>CD8201ZS09</t>
  </si>
  <si>
    <t>Nzaba</t>
  </si>
  <si>
    <t>CD8201ZS10</t>
  </si>
  <si>
    <t>Tshilenge</t>
  </si>
  <si>
    <t>CD8202</t>
  </si>
  <si>
    <t>Kasansa</t>
  </si>
  <si>
    <t>CD8202ZS01</t>
  </si>
  <si>
    <t>CD8202ZS02</t>
  </si>
  <si>
    <t>Miabi</t>
  </si>
  <si>
    <t>CD8205</t>
  </si>
  <si>
    <t>Cilundu</t>
  </si>
  <si>
    <t>CD8205ZS01</t>
  </si>
  <si>
    <t>CD8205ZS02</t>
  </si>
  <si>
    <t>Kabeya-Kamwanga</t>
  </si>
  <si>
    <t>CD8207</t>
  </si>
  <si>
    <t>Kabeya Kamuanga</t>
  </si>
  <si>
    <t>CD8207ZS01</t>
  </si>
  <si>
    <t>Lupatapata</t>
  </si>
  <si>
    <t>CD8208</t>
  </si>
  <si>
    <t>Mukumbi</t>
  </si>
  <si>
    <t>CD8208ZS01</t>
  </si>
  <si>
    <t>Tshishimbi</t>
  </si>
  <si>
    <t>CD8208ZS02</t>
  </si>
  <si>
    <t>Katanda</t>
  </si>
  <si>
    <t>CD8209</t>
  </si>
  <si>
    <t>Bibanga</t>
  </si>
  <si>
    <t>CD8209ZS01</t>
  </si>
  <si>
    <t>Tshitenge</t>
  </si>
  <si>
    <t>CD8209ZS02</t>
  </si>
  <si>
    <t>Sankuru</t>
  </si>
  <si>
    <t>CD83</t>
  </si>
  <si>
    <t>Lusambo</t>
  </si>
  <si>
    <t>CD8302</t>
  </si>
  <si>
    <t>CD8302ZS01</t>
  </si>
  <si>
    <t>Ototo</t>
  </si>
  <si>
    <t>CD8302ZS02</t>
  </si>
  <si>
    <t>Pania Mutombo</t>
  </si>
  <si>
    <t>CD8302ZS03</t>
  </si>
  <si>
    <t>Lodja</t>
  </si>
  <si>
    <t>CD8303</t>
  </si>
  <si>
    <t>CD8303ZS01</t>
  </si>
  <si>
    <t>Omendjadi</t>
  </si>
  <si>
    <t>CD8303ZS02</t>
  </si>
  <si>
    <t>Vanga Kete</t>
  </si>
  <si>
    <t>CD8303ZS03</t>
  </si>
  <si>
    <t>Kole</t>
  </si>
  <si>
    <t>CD8306</t>
  </si>
  <si>
    <t>Bena Dibele</t>
  </si>
  <si>
    <t>CD8306ZS01</t>
  </si>
  <si>
    <t>CD8306ZS02</t>
  </si>
  <si>
    <t>Lomela</t>
  </si>
  <si>
    <t>CD8307</t>
  </si>
  <si>
    <t>CD8307ZS01</t>
  </si>
  <si>
    <t>Tshudi Loto</t>
  </si>
  <si>
    <t>CD8307ZS02</t>
  </si>
  <si>
    <t>Katako Kombe</t>
  </si>
  <si>
    <t>CD8308</t>
  </si>
  <si>
    <t>Djalo Djeka</t>
  </si>
  <si>
    <t>CD8308ZS01</t>
  </si>
  <si>
    <t>CD8308ZS02</t>
  </si>
  <si>
    <t>Wembo Nyama</t>
  </si>
  <si>
    <t>CD8308ZS03</t>
  </si>
  <si>
    <t>Lubefu</t>
  </si>
  <si>
    <t>CD8309</t>
  </si>
  <si>
    <t>Dikungu</t>
  </si>
  <si>
    <t>CD8309ZS01</t>
  </si>
  <si>
    <t>Minga</t>
  </si>
  <si>
    <t>CD8309ZS02</t>
  </si>
  <si>
    <t>Tshumbe</t>
  </si>
  <si>
    <t>CD8309ZS03</t>
  </si>
  <si>
    <t>Kasaï-Central</t>
  </si>
  <si>
    <t>CD91</t>
  </si>
  <si>
    <t>Kananga</t>
  </si>
  <si>
    <t>CD9101</t>
  </si>
  <si>
    <t>Bobozo</t>
  </si>
  <si>
    <t>CD9101ZS01</t>
  </si>
  <si>
    <t>CD9101ZS02</t>
  </si>
  <si>
    <t>Katoka</t>
  </si>
  <si>
    <t>CD9101ZS03</t>
  </si>
  <si>
    <t>Lukonga</t>
  </si>
  <si>
    <t>CD9101ZS04</t>
  </si>
  <si>
    <t>Ndesha</t>
  </si>
  <si>
    <t>CD9101ZS05</t>
  </si>
  <si>
    <t>Tshikaji</t>
  </si>
  <si>
    <t>CD9101ZS06</t>
  </si>
  <si>
    <t>Dibaya</t>
  </si>
  <si>
    <t>CD9102</t>
  </si>
  <si>
    <t>Bunkonde</t>
  </si>
  <si>
    <t>CD9102ZS01</t>
  </si>
  <si>
    <t>CD9102ZS02</t>
  </si>
  <si>
    <t>Lubondaie</t>
  </si>
  <si>
    <t>CD9102ZS03</t>
  </si>
  <si>
    <t>Tshikula</t>
  </si>
  <si>
    <t>CD9102ZS04</t>
  </si>
  <si>
    <t>Luiza</t>
  </si>
  <si>
    <t>CD9104</t>
  </si>
  <si>
    <t>Luambo</t>
  </si>
  <si>
    <t>CD9104ZS01</t>
  </si>
  <si>
    <t>CD9104ZS02</t>
  </si>
  <si>
    <t>Masuika</t>
  </si>
  <si>
    <t>CD9104ZS03</t>
  </si>
  <si>
    <t>Yangala</t>
  </si>
  <si>
    <t>CD9104ZS04</t>
  </si>
  <si>
    <t>Kazumba</t>
  </si>
  <si>
    <t>CD9105</t>
  </si>
  <si>
    <t>Bilomba</t>
  </si>
  <si>
    <t>CD9105ZS01</t>
  </si>
  <si>
    <t>Kalomba</t>
  </si>
  <si>
    <t>CD9105ZS02</t>
  </si>
  <si>
    <t>Mikalayi</t>
  </si>
  <si>
    <t>CD9105ZS03</t>
  </si>
  <si>
    <t>Ndekesha</t>
  </si>
  <si>
    <t>CD9105ZS04</t>
  </si>
  <si>
    <t>Tshibala</t>
  </si>
  <si>
    <t>CD9105ZS05</t>
  </si>
  <si>
    <t>Demba</t>
  </si>
  <si>
    <t>CD9106</t>
  </si>
  <si>
    <t>Bena Leka</t>
  </si>
  <si>
    <t>CD9106ZS01</t>
  </si>
  <si>
    <t>CD9106ZS02</t>
  </si>
  <si>
    <t>Mutoto</t>
  </si>
  <si>
    <t>CD9106ZS03</t>
  </si>
  <si>
    <t>Dimbelenge</t>
  </si>
  <si>
    <t>CD9107</t>
  </si>
  <si>
    <t>Bena Tshiadi</t>
  </si>
  <si>
    <t>CD9107ZS01</t>
  </si>
  <si>
    <t>Katende</t>
  </si>
  <si>
    <t>CD9107ZS02</t>
  </si>
  <si>
    <t>CD9107ZS03</t>
  </si>
  <si>
    <t>Muetshi</t>
  </si>
  <si>
    <t>CD9107ZS04</t>
  </si>
  <si>
    <t>Kasaï</t>
  </si>
  <si>
    <t>CD92</t>
  </si>
  <si>
    <t>Kamonia</t>
  </si>
  <si>
    <t>CD9202</t>
  </si>
  <si>
    <t>Kalonda Ouest</t>
  </si>
  <si>
    <t>CD9202ZS01</t>
  </si>
  <si>
    <t>CD9202ZS02</t>
  </si>
  <si>
    <t>Kamwesha</t>
  </si>
  <si>
    <t>CD9202ZS03</t>
  </si>
  <si>
    <t>Kanzala</t>
  </si>
  <si>
    <t>CD9202ZS04</t>
  </si>
  <si>
    <t>Kitangwa</t>
  </si>
  <si>
    <t>CD9202ZS05</t>
  </si>
  <si>
    <t>Mutena</t>
  </si>
  <si>
    <t>CD9202ZS06</t>
  </si>
  <si>
    <t>Nyanga</t>
  </si>
  <si>
    <t>CD9202ZS07</t>
  </si>
  <si>
    <t>Tshikapa</t>
  </si>
  <si>
    <t>CD9202ZS08</t>
  </si>
  <si>
    <t>Luebo</t>
  </si>
  <si>
    <t>CD9204</t>
  </si>
  <si>
    <t>CD9204ZS01</t>
  </si>
  <si>
    <t>Ndjoko-Mpunda</t>
  </si>
  <si>
    <t>CD9204ZS02</t>
  </si>
  <si>
    <t>Ilebo</t>
  </si>
  <si>
    <t>CD9205</t>
  </si>
  <si>
    <t>Banga Lubaka</t>
  </si>
  <si>
    <t>CD9205ZS01</t>
  </si>
  <si>
    <t>CD9205ZS02</t>
  </si>
  <si>
    <t>Mikope</t>
  </si>
  <si>
    <t>CD9205ZS03</t>
  </si>
  <si>
    <t>Mweka</t>
  </si>
  <si>
    <t>CD9207</t>
  </si>
  <si>
    <t>Bulape</t>
  </si>
  <si>
    <t>CD9207ZS01</t>
  </si>
  <si>
    <t>Kakenge</t>
  </si>
  <si>
    <t>CD9207ZS02</t>
  </si>
  <si>
    <t>Mushenge</t>
  </si>
  <si>
    <t>CD9207ZS03</t>
  </si>
  <si>
    <t>CD9207ZS04</t>
  </si>
  <si>
    <t>Dekese</t>
  </si>
  <si>
    <t>CD9208</t>
  </si>
  <si>
    <t>CD9208ZS01</t>
  </si>
  <si>
    <t xml:space="preserve">Population 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</si>
</sst>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F_C_-;\-* #,##0.00\ _F_C_-;_-* &quot;-&quot;??\ _F_C_-;_-@_-"/>
    <numFmt numFmtId="165" formatCode="_-* #,##0\ _F_C_-;\-* #,##0\ _F_C_-;_-* &quot;-&quot;??\ _F_C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EEAE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/>
    </xf>
    <xf numFmtId="1" fontId="4" fillId="5" borderId="0" xfId="0" applyNumberFormat="1" applyFont="1" applyFill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5" fillId="0" borderId="0" xfId="0" applyFont="1"/>
    <xf numFmtId="165" fontId="0" fillId="0" borderId="0" xfId="1" applyNumberFormat="1" applyFont="1"/>
    <xf numFmtId="165" fontId="0" fillId="0" borderId="0" xfId="0" applyNumberFormat="1"/>
    <xf numFmtId="165" fontId="3" fillId="6" borderId="0" xfId="0" applyNumberFormat="1" applyFont="1" applyFill="1"/>
    <xf numFmtId="165" fontId="2" fillId="2" borderId="0" xfId="0" applyNumberFormat="1" applyFont="1" applyFill="1"/>
    <xf numFmtId="165" fontId="3" fillId="7" borderId="0" xfId="0" applyNumberFormat="1" applyFont="1" applyFill="1"/>
    <xf numFmtId="165" fontId="2" fillId="3" borderId="0" xfId="0" applyNumberFormat="1" applyFont="1" applyFill="1"/>
    <xf numFmtId="165" fontId="0" fillId="8" borderId="0" xfId="0" applyNumberFormat="1" applyFill="1"/>
    <xf numFmtId="1" fontId="0" fillId="0" borderId="0" xfId="0" applyNumberFormat="1"/>
    <xf numFmtId="2" fontId="0" fillId="0" borderId="0" xfId="0" applyNumberFormat="1"/>
  </cellXfs>
  <cellStyles count="2">
    <cellStyle name="Milliers 2" xfId="1" xr:uid="{EE69AF15-7A02-4EAC-93A3-85628DA4BDC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stshiama/Desktop/20220908_v100_ocha_drc_hpc_calculator_projection_population.xlsx" TargetMode="External"/><Relationship Id="rId2" Type="http://schemas.openxmlformats.org/officeDocument/2006/relationships/externalLinkPath" Target="file:///C:\Users\stshiama\Desktop\20220908_v100_ocha_drc_hpc_calculator_projection_population.xlsx" TargetMode="External"/><Relationship Id="rId1" Type="http://schemas.openxmlformats.org/officeDocument/2006/relationships/externalLinkPath" Target="/Users/stshiama/Desktop/20220908_v100_ocha_drc_hpc_calculator_projection_pop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ad_me"/>
      <sheetName val="population_health_zone"/>
      <sheetName val="projection_population_prov"/>
      <sheetName val="ratio_ins"/>
      <sheetName val="000_Ratios"/>
      <sheetName val="001_population_health_zone_zs"/>
      <sheetName val="Feuil3"/>
    </sheetNames>
    <sheetDataSet>
      <sheetData sheetId="0"/>
      <sheetData sheetId="1"/>
      <sheetData sheetId="2"/>
      <sheetData sheetId="3">
        <row r="1">
          <cell r="C1" t="str">
            <v>Sexe</v>
          </cell>
          <cell r="F1" t="str">
            <v>0---4</v>
          </cell>
          <cell r="G1" t="str">
            <v>5---9</v>
          </cell>
          <cell r="H1" t="str">
            <v>10---14</v>
          </cell>
          <cell r="I1" t="str">
            <v>15---19</v>
          </cell>
          <cell r="J1" t="str">
            <v>15---17</v>
          </cell>
          <cell r="K1" t="str">
            <v>Jeune</v>
          </cell>
          <cell r="L1" t="str">
            <v>18---19</v>
          </cell>
          <cell r="M1" t="str">
            <v>20---24</v>
          </cell>
          <cell r="N1" t="str">
            <v>25---29</v>
          </cell>
          <cell r="O1" t="str">
            <v>30---34</v>
          </cell>
          <cell r="P1" t="str">
            <v>35---39</v>
          </cell>
          <cell r="Q1" t="str">
            <v>40---44</v>
          </cell>
          <cell r="R1" t="str">
            <v>45---49</v>
          </cell>
          <cell r="S1" t="str">
            <v>50---54</v>
          </cell>
          <cell r="T1" t="str">
            <v>55---59</v>
          </cell>
          <cell r="U1" t="str">
            <v>Adulte</v>
          </cell>
          <cell r="V1" t="str">
            <v>60---64</v>
          </cell>
          <cell r="W1" t="str">
            <v>65---69</v>
          </cell>
          <cell r="X1" t="str">
            <v>70---74</v>
          </cell>
          <cell r="Y1" t="str">
            <v>75+</v>
          </cell>
          <cell r="Z1" t="str">
            <v>Pers. Agées</v>
          </cell>
          <cell r="AA1" t="str">
            <v>0---4</v>
          </cell>
          <cell r="AB1" t="str">
            <v>5---9</v>
          </cell>
          <cell r="AC1" t="str">
            <v>10---14</v>
          </cell>
          <cell r="AD1" t="str">
            <v>15---19</v>
          </cell>
          <cell r="AE1" t="str">
            <v>15---17</v>
          </cell>
          <cell r="AF1" t="str">
            <v>Jeune</v>
          </cell>
          <cell r="AG1" t="str">
            <v>18---19</v>
          </cell>
          <cell r="AH1" t="str">
            <v>20---24</v>
          </cell>
          <cell r="AI1" t="str">
            <v>25---29</v>
          </cell>
          <cell r="AJ1" t="str">
            <v>30---34</v>
          </cell>
          <cell r="AK1" t="str">
            <v>35---39</v>
          </cell>
          <cell r="AL1" t="str">
            <v>40---44</v>
          </cell>
          <cell r="AM1" t="str">
            <v>45---49</v>
          </cell>
          <cell r="AN1" t="str">
            <v>50---54</v>
          </cell>
          <cell r="AO1" t="str">
            <v>55---59</v>
          </cell>
          <cell r="AP1" t="str">
            <v>Adulte</v>
          </cell>
          <cell r="AQ1" t="str">
            <v>60---64</v>
          </cell>
          <cell r="AR1" t="str">
            <v>65---69</v>
          </cell>
          <cell r="AS1" t="str">
            <v>70---74</v>
          </cell>
          <cell r="AT1" t="str">
            <v>75+</v>
          </cell>
          <cell r="AU1" t="str">
            <v>Pers.Agées</v>
          </cell>
        </row>
        <row r="2">
          <cell r="B2" t="str">
            <v>Code Province</v>
          </cell>
          <cell r="C2" t="str">
            <v>Homme</v>
          </cell>
          <cell r="D2" t="str">
            <v>Femme</v>
          </cell>
          <cell r="F2" t="str">
            <v>H</v>
          </cell>
          <cell r="G2" t="str">
            <v>H</v>
          </cell>
          <cell r="H2" t="str">
            <v>H</v>
          </cell>
          <cell r="I2" t="str">
            <v>H</v>
          </cell>
          <cell r="J2" t="str">
            <v>H</v>
          </cell>
          <cell r="L2" t="str">
            <v>H</v>
          </cell>
          <cell r="M2" t="str">
            <v>H</v>
          </cell>
          <cell r="N2" t="str">
            <v>H</v>
          </cell>
          <cell r="O2" t="str">
            <v>H</v>
          </cell>
          <cell r="P2" t="str">
            <v>H</v>
          </cell>
          <cell r="Q2" t="str">
            <v>H</v>
          </cell>
          <cell r="R2" t="str">
            <v>H</v>
          </cell>
          <cell r="S2" t="str">
            <v>H</v>
          </cell>
          <cell r="T2" t="str">
            <v>H</v>
          </cell>
          <cell r="V2" t="str">
            <v>H</v>
          </cell>
          <cell r="W2" t="str">
            <v>H</v>
          </cell>
          <cell r="X2" t="str">
            <v>H</v>
          </cell>
          <cell r="Y2" t="str">
            <v>H</v>
          </cell>
          <cell r="AA2" t="str">
            <v>F</v>
          </cell>
          <cell r="AB2" t="str">
            <v>F</v>
          </cell>
          <cell r="AC2" t="str">
            <v>F</v>
          </cell>
          <cell r="AD2" t="str">
            <v>F</v>
          </cell>
          <cell r="AE2" t="str">
            <v>F</v>
          </cell>
          <cell r="AG2" t="str">
            <v>F</v>
          </cell>
          <cell r="AH2" t="str">
            <v>F</v>
          </cell>
          <cell r="AI2" t="str">
            <v>F</v>
          </cell>
          <cell r="AJ2" t="str">
            <v>F</v>
          </cell>
          <cell r="AK2" t="str">
            <v>F</v>
          </cell>
          <cell r="AL2" t="str">
            <v>F</v>
          </cell>
          <cell r="AM2" t="str">
            <v>F</v>
          </cell>
          <cell r="AN2" t="str">
            <v>F</v>
          </cell>
          <cell r="AO2" t="str">
            <v>F</v>
          </cell>
          <cell r="AQ2" t="str">
            <v>F</v>
          </cell>
          <cell r="AR2" t="str">
            <v>F</v>
          </cell>
          <cell r="AS2" t="str">
            <v>F</v>
          </cell>
          <cell r="AT2" t="str">
            <v>F</v>
          </cell>
          <cell r="AU2" t="str">
            <v>F</v>
          </cell>
        </row>
        <row r="3">
          <cell r="B3" t="str">
            <v>CD52</v>
          </cell>
          <cell r="C3">
            <v>0.49099999999999999</v>
          </cell>
          <cell r="D3">
            <v>0.50900000000000001</v>
          </cell>
          <cell r="F3">
            <v>0.16</v>
          </cell>
          <cell r="G3">
            <v>0.13400000000000001</v>
          </cell>
          <cell r="H3">
            <v>0.11900000000000001</v>
          </cell>
          <cell r="I3">
            <v>0.11199999999999999</v>
          </cell>
          <cell r="J3">
            <v>6.7199999999999982E-2</v>
          </cell>
          <cell r="K3">
            <v>0.48020000000000002</v>
          </cell>
          <cell r="L3">
            <v>4.4799999999999993E-2</v>
          </cell>
          <cell r="M3">
            <v>0.09</v>
          </cell>
          <cell r="N3">
            <v>7.6999999999999999E-2</v>
          </cell>
          <cell r="O3">
            <v>0.06</v>
          </cell>
          <cell r="P3">
            <v>5.9000000000000004E-2</v>
          </cell>
          <cell r="Q3">
            <v>4.9000000000000002E-2</v>
          </cell>
          <cell r="R3">
            <v>3.4000000000000002E-2</v>
          </cell>
          <cell r="S3">
            <v>2.8999999999999998E-2</v>
          </cell>
          <cell r="T3">
            <v>2.1000000000000001E-2</v>
          </cell>
          <cell r="U3">
            <v>0.46379999999999999</v>
          </cell>
          <cell r="V3">
            <v>0.02</v>
          </cell>
          <cell r="W3">
            <v>1.6E-2</v>
          </cell>
          <cell r="X3">
            <v>1.1000000000000001E-2</v>
          </cell>
          <cell r="Y3">
            <v>0.01</v>
          </cell>
          <cell r="Z3">
            <v>5.7000000000000009E-2</v>
          </cell>
          <cell r="AA3">
            <v>0.153</v>
          </cell>
          <cell r="AB3">
            <v>0.127</v>
          </cell>
          <cell r="AC3">
            <v>0.11199999999999999</v>
          </cell>
          <cell r="AD3">
            <v>0.10800000000000001</v>
          </cell>
          <cell r="AE3">
            <v>6.4799999999999996E-2</v>
          </cell>
          <cell r="AF3">
            <v>0.45679999999999998</v>
          </cell>
          <cell r="AG3">
            <v>4.3200000000000002E-2</v>
          </cell>
          <cell r="AH3">
            <v>8.8000000000000009E-2</v>
          </cell>
          <cell r="AI3">
            <v>6.9000000000000006E-2</v>
          </cell>
          <cell r="AJ3">
            <v>6.3E-2</v>
          </cell>
          <cell r="AK3">
            <v>0.06</v>
          </cell>
          <cell r="AL3">
            <v>4.9000000000000002E-2</v>
          </cell>
          <cell r="AM3">
            <v>3.7999999999999999E-2</v>
          </cell>
          <cell r="AN3">
            <v>3.3000000000000002E-2</v>
          </cell>
          <cell r="AO3">
            <v>2.7000000000000003E-2</v>
          </cell>
          <cell r="AP3">
            <v>0.47019999999999995</v>
          </cell>
          <cell r="AQ3">
            <v>2.7000000000000003E-2</v>
          </cell>
          <cell r="AR3">
            <v>2.2000000000000002E-2</v>
          </cell>
          <cell r="AS3">
            <v>1.3000000000000001E-2</v>
          </cell>
          <cell r="AT3">
            <v>1.3000000000000001E-2</v>
          </cell>
          <cell r="AU3">
            <v>7.4999999999999997E-2</v>
          </cell>
        </row>
        <row r="4">
          <cell r="B4" t="str">
            <v>CD41</v>
          </cell>
          <cell r="C4">
            <v>0.49099999999999999</v>
          </cell>
          <cell r="D4">
            <v>0.50900000000000001</v>
          </cell>
          <cell r="F4">
            <v>0.187</v>
          </cell>
          <cell r="G4">
            <v>0.15</v>
          </cell>
          <cell r="H4">
            <v>0.126</v>
          </cell>
          <cell r="I4">
            <v>0.11199999999999999</v>
          </cell>
          <cell r="J4">
            <v>6.7199999999999982E-2</v>
          </cell>
          <cell r="K4">
            <v>0.5302</v>
          </cell>
          <cell r="L4">
            <v>4.4799999999999993E-2</v>
          </cell>
          <cell r="M4">
            <v>8.6999999999999994E-2</v>
          </cell>
          <cell r="N4">
            <v>7.4999999999999997E-2</v>
          </cell>
          <cell r="O4">
            <v>6.5000000000000002E-2</v>
          </cell>
          <cell r="P4">
            <v>5.5E-2</v>
          </cell>
          <cell r="Q4">
            <v>3.9E-2</v>
          </cell>
          <cell r="R4">
            <v>2.6000000000000002E-2</v>
          </cell>
          <cell r="S4">
            <v>2.1000000000000001E-2</v>
          </cell>
          <cell r="T4">
            <v>1.4999999999999999E-2</v>
          </cell>
          <cell r="U4">
            <v>0.42780000000000001</v>
          </cell>
          <cell r="V4">
            <v>1.3000000000000001E-2</v>
          </cell>
          <cell r="W4">
            <v>1.3000000000000001E-2</v>
          </cell>
          <cell r="X4">
            <v>8.0000000000000002E-3</v>
          </cell>
          <cell r="Y4">
            <v>6.9999999999999993E-3</v>
          </cell>
          <cell r="Z4">
            <v>4.1000000000000002E-2</v>
          </cell>
          <cell r="AA4">
            <v>0.17800000000000002</v>
          </cell>
          <cell r="AB4">
            <v>0.14499999999999999</v>
          </cell>
          <cell r="AC4">
            <v>0.122</v>
          </cell>
          <cell r="AD4">
            <v>0.107</v>
          </cell>
          <cell r="AE4">
            <v>6.4199999999999993E-2</v>
          </cell>
          <cell r="AF4">
            <v>0.50919999999999999</v>
          </cell>
          <cell r="AG4">
            <v>4.2799999999999998E-2</v>
          </cell>
          <cell r="AH4">
            <v>8.4000000000000005E-2</v>
          </cell>
          <cell r="AI4">
            <v>7.0999999999999994E-2</v>
          </cell>
          <cell r="AJ4">
            <v>6.2E-2</v>
          </cell>
          <cell r="AK4">
            <v>5.5E-2</v>
          </cell>
          <cell r="AL4">
            <v>4.0999999999999995E-2</v>
          </cell>
          <cell r="AM4">
            <v>2.8999999999999998E-2</v>
          </cell>
          <cell r="AN4">
            <v>2.6000000000000002E-2</v>
          </cell>
          <cell r="AO4">
            <v>2.1000000000000001E-2</v>
          </cell>
          <cell r="AP4">
            <v>0.43179999999999996</v>
          </cell>
          <cell r="AQ4">
            <v>1.8000000000000002E-2</v>
          </cell>
          <cell r="AR4">
            <v>1.8000000000000002E-2</v>
          </cell>
          <cell r="AS4">
            <v>1.1000000000000001E-2</v>
          </cell>
          <cell r="AT4">
            <v>1.1000000000000001E-2</v>
          </cell>
          <cell r="AU4">
            <v>5.800000000000001E-2</v>
          </cell>
        </row>
        <row r="5">
          <cell r="B5" t="str">
            <v>CD71</v>
          </cell>
          <cell r="C5">
            <v>0.49700000000000005</v>
          </cell>
          <cell r="D5">
            <v>0.503</v>
          </cell>
          <cell r="F5">
            <v>0.21299999999999999</v>
          </cell>
          <cell r="G5">
            <v>0.16899999999999998</v>
          </cell>
          <cell r="H5">
            <v>0.13699999999999998</v>
          </cell>
          <cell r="I5">
            <v>0.10400000000000001</v>
          </cell>
          <cell r="J5">
            <v>6.2400000000000011E-2</v>
          </cell>
          <cell r="K5">
            <v>0.58140000000000003</v>
          </cell>
          <cell r="L5">
            <v>4.1600000000000005E-2</v>
          </cell>
          <cell r="M5">
            <v>8.3000000000000004E-2</v>
          </cell>
          <cell r="N5">
            <v>7.0999999999999994E-2</v>
          </cell>
          <cell r="O5">
            <v>5.5999999999999994E-2</v>
          </cell>
          <cell r="P5">
            <v>4.4999999999999998E-2</v>
          </cell>
          <cell r="Q5">
            <v>3.5000000000000003E-2</v>
          </cell>
          <cell r="R5">
            <v>2.5000000000000001E-2</v>
          </cell>
          <cell r="S5">
            <v>1.9E-2</v>
          </cell>
          <cell r="T5">
            <v>1.3000000000000001E-2</v>
          </cell>
          <cell r="U5">
            <v>0.38860000000000006</v>
          </cell>
          <cell r="V5">
            <v>1.1000000000000001E-2</v>
          </cell>
          <cell r="W5">
            <v>9.0000000000000011E-3</v>
          </cell>
          <cell r="X5">
            <v>5.0000000000000001E-3</v>
          </cell>
          <cell r="Y5">
            <v>5.0000000000000001E-3</v>
          </cell>
          <cell r="Z5">
            <v>3.0000000000000006E-2</v>
          </cell>
          <cell r="AA5">
            <v>0.21</v>
          </cell>
          <cell r="AB5">
            <v>0.16600000000000001</v>
          </cell>
          <cell r="AC5">
            <v>0.13400000000000001</v>
          </cell>
          <cell r="AD5">
            <v>0.10099999999999999</v>
          </cell>
          <cell r="AE5">
            <v>6.0600000000000001E-2</v>
          </cell>
          <cell r="AF5">
            <v>0.5706</v>
          </cell>
          <cell r="AG5">
            <v>4.0399999999999998E-2</v>
          </cell>
          <cell r="AH5">
            <v>8.199999999999999E-2</v>
          </cell>
          <cell r="AI5">
            <v>7.0000000000000007E-2</v>
          </cell>
          <cell r="AJ5">
            <v>5.5E-2</v>
          </cell>
          <cell r="AK5">
            <v>4.8000000000000001E-2</v>
          </cell>
          <cell r="AL5">
            <v>3.6000000000000004E-2</v>
          </cell>
          <cell r="AM5">
            <v>2.7000000000000003E-2</v>
          </cell>
          <cell r="AN5">
            <v>2.1000000000000001E-2</v>
          </cell>
          <cell r="AO5">
            <v>1.4999999999999999E-2</v>
          </cell>
          <cell r="AP5">
            <v>0.39440000000000008</v>
          </cell>
          <cell r="AQ5">
            <v>1.3000000000000001E-2</v>
          </cell>
          <cell r="AR5">
            <v>0.01</v>
          </cell>
          <cell r="AS5">
            <v>6.0000000000000001E-3</v>
          </cell>
          <cell r="AT5">
            <v>6.0000000000000001E-3</v>
          </cell>
          <cell r="AU5">
            <v>3.4999999999999996E-2</v>
          </cell>
        </row>
        <row r="6">
          <cell r="B6" t="str">
            <v>CD73</v>
          </cell>
          <cell r="C6">
            <v>0.498</v>
          </cell>
          <cell r="D6">
            <v>0.502</v>
          </cell>
          <cell r="F6">
            <v>0.21299999999999999</v>
          </cell>
          <cell r="G6">
            <v>0.16899999999999998</v>
          </cell>
          <cell r="H6">
            <v>0.13699999999999998</v>
          </cell>
          <cell r="I6">
            <v>0.10400000000000001</v>
          </cell>
          <cell r="J6">
            <v>6.2400000000000011E-2</v>
          </cell>
          <cell r="K6">
            <v>0.58140000000000003</v>
          </cell>
          <cell r="L6">
            <v>4.1600000000000005E-2</v>
          </cell>
          <cell r="M6">
            <v>8.3000000000000004E-2</v>
          </cell>
          <cell r="N6">
            <v>7.0999999999999994E-2</v>
          </cell>
          <cell r="O6">
            <v>5.5999999999999994E-2</v>
          </cell>
          <cell r="P6">
            <v>4.4999999999999998E-2</v>
          </cell>
          <cell r="Q6">
            <v>3.5000000000000003E-2</v>
          </cell>
          <cell r="R6">
            <v>2.5000000000000001E-2</v>
          </cell>
          <cell r="S6">
            <v>1.9E-2</v>
          </cell>
          <cell r="T6">
            <v>1.3000000000000001E-2</v>
          </cell>
          <cell r="U6">
            <v>0.38860000000000006</v>
          </cell>
          <cell r="V6">
            <v>1.1000000000000001E-2</v>
          </cell>
          <cell r="W6">
            <v>9.0000000000000011E-3</v>
          </cell>
          <cell r="X6">
            <v>5.0000000000000001E-3</v>
          </cell>
          <cell r="Y6">
            <v>5.0000000000000001E-3</v>
          </cell>
          <cell r="Z6">
            <v>3.0000000000000006E-2</v>
          </cell>
          <cell r="AA6">
            <v>0.21</v>
          </cell>
          <cell r="AB6">
            <v>0.16600000000000001</v>
          </cell>
          <cell r="AC6">
            <v>0.13400000000000001</v>
          </cell>
          <cell r="AD6">
            <v>0.10099999999999999</v>
          </cell>
          <cell r="AE6">
            <v>6.0600000000000001E-2</v>
          </cell>
          <cell r="AF6">
            <v>0.5706</v>
          </cell>
          <cell r="AG6">
            <v>4.0399999999999998E-2</v>
          </cell>
          <cell r="AH6">
            <v>8.199999999999999E-2</v>
          </cell>
          <cell r="AI6">
            <v>7.0000000000000007E-2</v>
          </cell>
          <cell r="AJ6">
            <v>5.5E-2</v>
          </cell>
          <cell r="AK6">
            <v>4.8000000000000001E-2</v>
          </cell>
          <cell r="AL6">
            <v>3.6000000000000004E-2</v>
          </cell>
          <cell r="AM6">
            <v>2.7000000000000003E-2</v>
          </cell>
          <cell r="AN6">
            <v>2.1000000000000001E-2</v>
          </cell>
          <cell r="AO6">
            <v>1.4999999999999999E-2</v>
          </cell>
          <cell r="AP6">
            <v>0.39440000000000008</v>
          </cell>
          <cell r="AQ6">
            <v>1.3000000000000001E-2</v>
          </cell>
          <cell r="AR6">
            <v>0.01</v>
          </cell>
          <cell r="AS6">
            <v>6.0000000000000001E-3</v>
          </cell>
          <cell r="AT6">
            <v>6.0000000000000001E-3</v>
          </cell>
          <cell r="AU6">
            <v>3.4999999999999996E-2</v>
          </cell>
        </row>
        <row r="7">
          <cell r="B7" t="str">
            <v>CD53</v>
          </cell>
          <cell r="C7">
            <v>0.49200000000000005</v>
          </cell>
          <cell r="D7">
            <v>0.50800000000000001</v>
          </cell>
          <cell r="F7">
            <v>0.16</v>
          </cell>
          <cell r="G7">
            <v>0.13400000000000001</v>
          </cell>
          <cell r="H7">
            <v>0.11900000000000001</v>
          </cell>
          <cell r="I7">
            <v>0.11199999999999999</v>
          </cell>
          <cell r="J7">
            <v>6.7199999999999982E-2</v>
          </cell>
          <cell r="K7">
            <v>0.48020000000000002</v>
          </cell>
          <cell r="L7">
            <v>4.4799999999999993E-2</v>
          </cell>
          <cell r="M7">
            <v>0.09</v>
          </cell>
          <cell r="N7">
            <v>7.6999999999999999E-2</v>
          </cell>
          <cell r="O7">
            <v>0.06</v>
          </cell>
          <cell r="P7">
            <v>5.9000000000000004E-2</v>
          </cell>
          <cell r="Q7">
            <v>4.9000000000000002E-2</v>
          </cell>
          <cell r="R7">
            <v>3.4000000000000002E-2</v>
          </cell>
          <cell r="S7">
            <v>2.8999999999999998E-2</v>
          </cell>
          <cell r="T7">
            <v>2.1000000000000001E-2</v>
          </cell>
          <cell r="U7">
            <v>0.46379999999999999</v>
          </cell>
          <cell r="V7">
            <v>0.02</v>
          </cell>
          <cell r="W7">
            <v>1.6E-2</v>
          </cell>
          <cell r="X7">
            <v>1.1000000000000001E-2</v>
          </cell>
          <cell r="Y7">
            <v>0.01</v>
          </cell>
          <cell r="Z7">
            <v>5.7000000000000009E-2</v>
          </cell>
          <cell r="AA7">
            <v>0.153</v>
          </cell>
          <cell r="AB7">
            <v>0.127</v>
          </cell>
          <cell r="AC7">
            <v>0.11199999999999999</v>
          </cell>
          <cell r="AD7">
            <v>0.10800000000000001</v>
          </cell>
          <cell r="AE7">
            <v>6.4799999999999996E-2</v>
          </cell>
          <cell r="AF7">
            <v>0.45679999999999998</v>
          </cell>
          <cell r="AG7">
            <v>4.3200000000000002E-2</v>
          </cell>
          <cell r="AH7">
            <v>8.8000000000000009E-2</v>
          </cell>
          <cell r="AI7">
            <v>6.9000000000000006E-2</v>
          </cell>
          <cell r="AJ7">
            <v>6.3E-2</v>
          </cell>
          <cell r="AK7">
            <v>0.06</v>
          </cell>
          <cell r="AL7">
            <v>4.9000000000000002E-2</v>
          </cell>
          <cell r="AM7">
            <v>3.7999999999999999E-2</v>
          </cell>
          <cell r="AN7">
            <v>3.3000000000000002E-2</v>
          </cell>
          <cell r="AO7">
            <v>2.7000000000000003E-2</v>
          </cell>
          <cell r="AP7">
            <v>0.47019999999999995</v>
          </cell>
          <cell r="AQ7">
            <v>2.7000000000000003E-2</v>
          </cell>
          <cell r="AR7">
            <v>2.2000000000000002E-2</v>
          </cell>
          <cell r="AS7">
            <v>1.3000000000000001E-2</v>
          </cell>
          <cell r="AT7">
            <v>1.3000000000000001E-2</v>
          </cell>
          <cell r="AU7">
            <v>7.4999999999999997E-2</v>
          </cell>
        </row>
        <row r="8">
          <cell r="B8" t="str">
            <v>CD54</v>
          </cell>
          <cell r="C8">
            <v>0.49200000000000005</v>
          </cell>
          <cell r="D8">
            <v>0.50800000000000001</v>
          </cell>
          <cell r="F8">
            <v>0.16</v>
          </cell>
          <cell r="G8">
            <v>0.13400000000000001</v>
          </cell>
          <cell r="H8">
            <v>0.11800000000000001</v>
          </cell>
          <cell r="I8">
            <v>0.11199999999999999</v>
          </cell>
          <cell r="J8">
            <v>6.7199999999999982E-2</v>
          </cell>
          <cell r="K8">
            <v>0.47920000000000001</v>
          </cell>
          <cell r="L8">
            <v>4.4799999999999993E-2</v>
          </cell>
          <cell r="M8">
            <v>0.09</v>
          </cell>
          <cell r="N8">
            <v>7.6999999999999999E-2</v>
          </cell>
          <cell r="O8">
            <v>0.06</v>
          </cell>
          <cell r="P8">
            <v>5.9000000000000004E-2</v>
          </cell>
          <cell r="Q8">
            <v>4.8000000000000001E-2</v>
          </cell>
          <cell r="R8">
            <v>3.4000000000000002E-2</v>
          </cell>
          <cell r="S8">
            <v>0.03</v>
          </cell>
          <cell r="T8">
            <v>2.1000000000000001E-2</v>
          </cell>
          <cell r="U8">
            <v>0.46379999999999999</v>
          </cell>
          <cell r="V8">
            <v>0.02</v>
          </cell>
          <cell r="W8">
            <v>1.7000000000000001E-2</v>
          </cell>
          <cell r="X8">
            <v>1.1000000000000001E-2</v>
          </cell>
          <cell r="Y8">
            <v>9.0000000000000011E-3</v>
          </cell>
          <cell r="Z8">
            <v>5.7000000000000009E-2</v>
          </cell>
          <cell r="AA8">
            <v>0.153</v>
          </cell>
          <cell r="AB8">
            <v>0.128</v>
          </cell>
          <cell r="AC8">
            <v>0.11199999999999999</v>
          </cell>
          <cell r="AD8">
            <v>0.10800000000000001</v>
          </cell>
          <cell r="AE8">
            <v>6.4799999999999996E-2</v>
          </cell>
          <cell r="AF8">
            <v>0.45779999999999998</v>
          </cell>
          <cell r="AG8">
            <v>4.3200000000000002E-2</v>
          </cell>
          <cell r="AH8">
            <v>8.8000000000000009E-2</v>
          </cell>
          <cell r="AI8">
            <v>7.0000000000000007E-2</v>
          </cell>
          <cell r="AJ8">
            <v>6.3E-2</v>
          </cell>
          <cell r="AK8">
            <v>5.9000000000000004E-2</v>
          </cell>
          <cell r="AL8">
            <v>4.9000000000000002E-2</v>
          </cell>
          <cell r="AM8">
            <v>3.7000000000000005E-2</v>
          </cell>
          <cell r="AN8">
            <v>3.3000000000000002E-2</v>
          </cell>
          <cell r="AO8">
            <v>2.7000000000000003E-2</v>
          </cell>
          <cell r="AP8">
            <v>0.46920000000000006</v>
          </cell>
          <cell r="AQ8">
            <v>2.7000000000000003E-2</v>
          </cell>
          <cell r="AR8">
            <v>2.2000000000000002E-2</v>
          </cell>
          <cell r="AS8">
            <v>1.2E-2</v>
          </cell>
          <cell r="AT8">
            <v>1.2E-2</v>
          </cell>
          <cell r="AU8">
            <v>7.2999999999999995E-2</v>
          </cell>
        </row>
        <row r="9">
          <cell r="B9" t="str">
            <v>CD92</v>
          </cell>
          <cell r="C9">
            <v>0.49200000000000005</v>
          </cell>
          <cell r="D9">
            <v>0.50800000000000001</v>
          </cell>
          <cell r="F9">
            <v>0.18600000000000003</v>
          </cell>
          <cell r="G9">
            <v>0.16200000000000001</v>
          </cell>
          <cell r="H9">
            <v>0.13800000000000001</v>
          </cell>
          <cell r="I9">
            <v>0.105</v>
          </cell>
          <cell r="J9">
            <v>6.3E-2</v>
          </cell>
          <cell r="K9">
            <v>0.54900000000000004</v>
          </cell>
          <cell r="L9">
            <v>4.1999999999999996E-2</v>
          </cell>
          <cell r="M9">
            <v>8.3000000000000004E-2</v>
          </cell>
          <cell r="N9">
            <v>7.400000000000001E-2</v>
          </cell>
          <cell r="O9">
            <v>6.3E-2</v>
          </cell>
          <cell r="P9">
            <v>0.05</v>
          </cell>
          <cell r="Q9">
            <v>3.7000000000000005E-2</v>
          </cell>
          <cell r="R9">
            <v>2.3E-2</v>
          </cell>
          <cell r="S9">
            <v>2.1000000000000001E-2</v>
          </cell>
          <cell r="T9">
            <v>1.6E-2</v>
          </cell>
          <cell r="U9">
            <v>0.40900000000000003</v>
          </cell>
          <cell r="V9">
            <v>1.3999999999999999E-2</v>
          </cell>
          <cell r="W9">
            <v>1.3000000000000001E-2</v>
          </cell>
          <cell r="X9">
            <v>8.0000000000000002E-3</v>
          </cell>
          <cell r="Y9">
            <v>6.9999999999999993E-3</v>
          </cell>
          <cell r="Z9">
            <v>4.2000000000000003E-2</v>
          </cell>
          <cell r="AA9">
            <v>0.18100000000000002</v>
          </cell>
          <cell r="AB9">
            <v>0.157</v>
          </cell>
          <cell r="AC9">
            <v>0.13200000000000001</v>
          </cell>
          <cell r="AD9">
            <v>0.10300000000000001</v>
          </cell>
          <cell r="AE9">
            <v>6.1800000000000001E-2</v>
          </cell>
          <cell r="AF9">
            <v>0.53180000000000005</v>
          </cell>
          <cell r="AG9">
            <v>4.1200000000000001E-2</v>
          </cell>
          <cell r="AH9">
            <v>0.08</v>
          </cell>
          <cell r="AI9">
            <v>7.0000000000000007E-2</v>
          </cell>
          <cell r="AJ9">
            <v>5.9000000000000004E-2</v>
          </cell>
          <cell r="AK9">
            <v>4.9000000000000002E-2</v>
          </cell>
          <cell r="AL9">
            <v>3.9E-2</v>
          </cell>
          <cell r="AM9">
            <v>2.8999999999999998E-2</v>
          </cell>
          <cell r="AN9">
            <v>2.6000000000000002E-2</v>
          </cell>
          <cell r="AO9">
            <v>0.02</v>
          </cell>
          <cell r="AP9">
            <v>0.41320000000000001</v>
          </cell>
          <cell r="AQ9">
            <v>0.02</v>
          </cell>
          <cell r="AR9">
            <v>1.7000000000000001E-2</v>
          </cell>
          <cell r="AS9">
            <v>9.0000000000000011E-3</v>
          </cell>
          <cell r="AT9">
            <v>9.0000000000000011E-3</v>
          </cell>
          <cell r="AU9">
            <v>5.5000000000000007E-2</v>
          </cell>
        </row>
        <row r="10">
          <cell r="B10" t="str">
            <v>CD91</v>
          </cell>
          <cell r="C10">
            <v>0.49200000000000005</v>
          </cell>
          <cell r="D10">
            <v>0.50800000000000001</v>
          </cell>
          <cell r="F10">
            <v>0.18600000000000003</v>
          </cell>
          <cell r="G10">
            <v>0.16200000000000001</v>
          </cell>
          <cell r="H10">
            <v>0.13800000000000001</v>
          </cell>
          <cell r="I10">
            <v>0.105</v>
          </cell>
          <cell r="J10">
            <v>6.3E-2</v>
          </cell>
          <cell r="K10">
            <v>0.54900000000000004</v>
          </cell>
          <cell r="L10">
            <v>4.1999999999999996E-2</v>
          </cell>
          <cell r="M10">
            <v>8.3000000000000004E-2</v>
          </cell>
          <cell r="N10">
            <v>7.400000000000001E-2</v>
          </cell>
          <cell r="O10">
            <v>6.3E-2</v>
          </cell>
          <cell r="P10">
            <v>0.05</v>
          </cell>
          <cell r="Q10">
            <v>3.7000000000000005E-2</v>
          </cell>
          <cell r="R10">
            <v>2.3E-2</v>
          </cell>
          <cell r="S10">
            <v>2.1000000000000001E-2</v>
          </cell>
          <cell r="T10">
            <v>1.6E-2</v>
          </cell>
          <cell r="U10">
            <v>0.40900000000000003</v>
          </cell>
          <cell r="V10">
            <v>1.3999999999999999E-2</v>
          </cell>
          <cell r="W10">
            <v>1.3000000000000001E-2</v>
          </cell>
          <cell r="X10">
            <v>8.0000000000000002E-3</v>
          </cell>
          <cell r="Y10">
            <v>6.9999999999999993E-3</v>
          </cell>
          <cell r="Z10">
            <v>4.2000000000000003E-2</v>
          </cell>
          <cell r="AA10">
            <v>0.18100000000000002</v>
          </cell>
          <cell r="AB10">
            <v>0.157</v>
          </cell>
          <cell r="AC10">
            <v>0.13200000000000001</v>
          </cell>
          <cell r="AD10">
            <v>0.10300000000000001</v>
          </cell>
          <cell r="AE10">
            <v>6.1800000000000001E-2</v>
          </cell>
          <cell r="AF10">
            <v>0.53180000000000005</v>
          </cell>
          <cell r="AG10">
            <v>4.1200000000000001E-2</v>
          </cell>
          <cell r="AH10">
            <v>0.08</v>
          </cell>
          <cell r="AI10">
            <v>7.0000000000000007E-2</v>
          </cell>
          <cell r="AJ10">
            <v>5.9000000000000004E-2</v>
          </cell>
          <cell r="AK10">
            <v>4.9000000000000002E-2</v>
          </cell>
          <cell r="AL10">
            <v>3.9E-2</v>
          </cell>
          <cell r="AM10">
            <v>2.8999999999999998E-2</v>
          </cell>
          <cell r="AN10">
            <v>2.6000000000000002E-2</v>
          </cell>
          <cell r="AO10">
            <v>0.02</v>
          </cell>
          <cell r="AP10">
            <v>0.41320000000000001</v>
          </cell>
          <cell r="AQ10">
            <v>0.02</v>
          </cell>
          <cell r="AR10">
            <v>1.7000000000000001E-2</v>
          </cell>
          <cell r="AS10">
            <v>9.0000000000000011E-3</v>
          </cell>
          <cell r="AT10">
            <v>9.0000000000000011E-3</v>
          </cell>
          <cell r="AU10">
            <v>5.5000000000000007E-2</v>
          </cell>
        </row>
        <row r="11">
          <cell r="B11" t="str">
            <v>CD82</v>
          </cell>
          <cell r="C11">
            <v>0.495</v>
          </cell>
          <cell r="D11">
            <v>0.505</v>
          </cell>
          <cell r="F11">
            <v>0.20499999999999999</v>
          </cell>
          <cell r="G11">
            <v>0.16300000000000001</v>
          </cell>
          <cell r="H11">
            <v>0.13300000000000001</v>
          </cell>
          <cell r="I11">
            <v>0.109</v>
          </cell>
          <cell r="J11">
            <v>6.54E-2</v>
          </cell>
          <cell r="K11">
            <v>0.56640000000000001</v>
          </cell>
          <cell r="L11">
            <v>4.36E-2</v>
          </cell>
          <cell r="M11">
            <v>8.3000000000000004E-2</v>
          </cell>
          <cell r="N11">
            <v>7.2999999999999995E-2</v>
          </cell>
          <cell r="O11">
            <v>6.4000000000000001E-2</v>
          </cell>
          <cell r="P11">
            <v>0.05</v>
          </cell>
          <cell r="Q11">
            <v>3.6000000000000004E-2</v>
          </cell>
          <cell r="R11">
            <v>2.2000000000000002E-2</v>
          </cell>
          <cell r="S11">
            <v>1.7000000000000001E-2</v>
          </cell>
          <cell r="T11">
            <v>1.2E-2</v>
          </cell>
          <cell r="U11">
            <v>0.40060000000000007</v>
          </cell>
          <cell r="V11">
            <v>1.2E-2</v>
          </cell>
          <cell r="W11">
            <v>9.0000000000000011E-3</v>
          </cell>
          <cell r="X11">
            <v>6.0000000000000001E-3</v>
          </cell>
          <cell r="Y11">
            <v>6.0000000000000001E-3</v>
          </cell>
          <cell r="Z11">
            <v>3.3000000000000002E-2</v>
          </cell>
          <cell r="AA11">
            <v>0.20100000000000001</v>
          </cell>
          <cell r="AB11">
            <v>0.159</v>
          </cell>
          <cell r="AC11">
            <v>0.129</v>
          </cell>
          <cell r="AD11">
            <v>0.10400000000000001</v>
          </cell>
          <cell r="AE11">
            <v>6.2400000000000011E-2</v>
          </cell>
          <cell r="AF11">
            <v>0.5514</v>
          </cell>
          <cell r="AG11">
            <v>4.1600000000000005E-2</v>
          </cell>
          <cell r="AH11">
            <v>8.199999999999999E-2</v>
          </cell>
          <cell r="AI11">
            <v>6.9000000000000006E-2</v>
          </cell>
          <cell r="AJ11">
            <v>6.0999999999999999E-2</v>
          </cell>
          <cell r="AK11">
            <v>4.9000000000000002E-2</v>
          </cell>
          <cell r="AL11">
            <v>3.6000000000000004E-2</v>
          </cell>
          <cell r="AM11">
            <v>2.6000000000000002E-2</v>
          </cell>
          <cell r="AN11">
            <v>2.1000000000000001E-2</v>
          </cell>
          <cell r="AO11">
            <v>1.6E-2</v>
          </cell>
          <cell r="AP11">
            <v>0.40160000000000007</v>
          </cell>
          <cell r="AQ11">
            <v>1.6E-2</v>
          </cell>
          <cell r="AR11">
            <v>1.3000000000000001E-2</v>
          </cell>
          <cell r="AS11">
            <v>9.0000000000000011E-3</v>
          </cell>
          <cell r="AT11">
            <v>9.0000000000000011E-3</v>
          </cell>
          <cell r="AU11">
            <v>4.7000000000000007E-2</v>
          </cell>
        </row>
        <row r="12">
          <cell r="B12" t="str">
            <v>CD10</v>
          </cell>
          <cell r="C12">
            <v>0.503</v>
          </cell>
          <cell r="D12">
            <v>0.49700000000000005</v>
          </cell>
          <cell r="F12">
            <v>0.20899999999999999</v>
          </cell>
          <cell r="G12">
            <v>0.17100000000000001</v>
          </cell>
          <cell r="H12">
            <v>0.13500000000000001</v>
          </cell>
          <cell r="I12">
            <v>8.3000000000000004E-2</v>
          </cell>
          <cell r="J12">
            <v>4.9799999999999997E-2</v>
          </cell>
          <cell r="K12">
            <v>0.56479999999999997</v>
          </cell>
          <cell r="L12">
            <v>3.32E-2</v>
          </cell>
          <cell r="M12">
            <v>7.2000000000000008E-2</v>
          </cell>
          <cell r="N12">
            <v>6.5000000000000002E-2</v>
          </cell>
          <cell r="O12">
            <v>5.7999999999999996E-2</v>
          </cell>
          <cell r="P12">
            <v>5.7000000000000002E-2</v>
          </cell>
          <cell r="Q12">
            <v>4.8000000000000001E-2</v>
          </cell>
          <cell r="R12">
            <v>3.4000000000000002E-2</v>
          </cell>
          <cell r="S12">
            <v>2.7000000000000003E-2</v>
          </cell>
          <cell r="T12">
            <v>1.4999999999999999E-2</v>
          </cell>
          <cell r="U12">
            <v>0.40920000000000001</v>
          </cell>
          <cell r="V12">
            <v>1.2E-2</v>
          </cell>
          <cell r="W12">
            <v>8.0000000000000002E-3</v>
          </cell>
          <cell r="X12">
            <v>4.0000000000000001E-3</v>
          </cell>
          <cell r="Y12">
            <v>2E-3</v>
          </cell>
          <cell r="Z12">
            <v>2.6000000000000002E-2</v>
          </cell>
          <cell r="AA12">
            <v>0.21</v>
          </cell>
          <cell r="AB12">
            <v>0.17300000000000001</v>
          </cell>
          <cell r="AC12">
            <v>0.13699999999999998</v>
          </cell>
          <cell r="AD12">
            <v>8.3000000000000004E-2</v>
          </cell>
          <cell r="AE12">
            <v>4.9799999999999997E-2</v>
          </cell>
          <cell r="AF12">
            <v>0.56979999999999997</v>
          </cell>
          <cell r="AG12">
            <v>3.32E-2</v>
          </cell>
          <cell r="AH12">
            <v>7.400000000000001E-2</v>
          </cell>
          <cell r="AI12">
            <v>7.0000000000000007E-2</v>
          </cell>
          <cell r="AJ12">
            <v>6.4000000000000001E-2</v>
          </cell>
          <cell r="AK12">
            <v>0.06</v>
          </cell>
          <cell r="AL12">
            <v>4.4999999999999998E-2</v>
          </cell>
          <cell r="AM12">
            <v>2.8999999999999998E-2</v>
          </cell>
          <cell r="AN12">
            <v>2.3E-2</v>
          </cell>
          <cell r="AO12">
            <v>1.1000000000000001E-2</v>
          </cell>
          <cell r="AP12">
            <v>0.40920000000000001</v>
          </cell>
          <cell r="AQ12">
            <v>0.01</v>
          </cell>
          <cell r="AR12">
            <v>6.0000000000000001E-3</v>
          </cell>
          <cell r="AS12">
            <v>3.0000000000000001E-3</v>
          </cell>
          <cell r="AT12">
            <v>2E-3</v>
          </cell>
          <cell r="AU12">
            <v>2.0999999999999998E-2</v>
          </cell>
        </row>
        <row r="13">
          <cell r="B13" t="str">
            <v>CD20</v>
          </cell>
          <cell r="C13">
            <v>0.49299999999999999</v>
          </cell>
          <cell r="D13">
            <v>0.50700000000000001</v>
          </cell>
          <cell r="F13">
            <v>0.20499999999999999</v>
          </cell>
          <cell r="G13">
            <v>0.17</v>
          </cell>
          <cell r="H13">
            <v>0.14099999999999999</v>
          </cell>
          <cell r="I13">
            <v>0.10199999999999999</v>
          </cell>
          <cell r="J13">
            <v>6.1199999999999991E-2</v>
          </cell>
          <cell r="K13">
            <v>0.57720000000000005</v>
          </cell>
          <cell r="L13">
            <v>4.0799999999999996E-2</v>
          </cell>
          <cell r="M13">
            <v>8.3000000000000004E-2</v>
          </cell>
          <cell r="N13">
            <v>7.4999999999999997E-2</v>
          </cell>
          <cell r="O13">
            <v>6.0999999999999999E-2</v>
          </cell>
          <cell r="P13">
            <v>4.0999999999999995E-2</v>
          </cell>
          <cell r="Q13">
            <v>3.1E-2</v>
          </cell>
          <cell r="R13">
            <v>2.3E-2</v>
          </cell>
          <cell r="S13">
            <v>1.7000000000000001E-2</v>
          </cell>
          <cell r="T13">
            <v>1.3999999999999999E-2</v>
          </cell>
          <cell r="U13">
            <v>0.38580000000000003</v>
          </cell>
          <cell r="V13">
            <v>1.2E-2</v>
          </cell>
          <cell r="W13">
            <v>1.1000000000000001E-2</v>
          </cell>
          <cell r="X13">
            <v>6.9999999999999993E-3</v>
          </cell>
          <cell r="Y13">
            <v>6.9999999999999993E-3</v>
          </cell>
          <cell r="Z13">
            <v>3.6999999999999998E-2</v>
          </cell>
          <cell r="AA13">
            <v>0.2</v>
          </cell>
          <cell r="AB13">
            <v>0.16500000000000001</v>
          </cell>
          <cell r="AC13">
            <v>0.13600000000000001</v>
          </cell>
          <cell r="AD13">
            <v>9.6000000000000002E-2</v>
          </cell>
          <cell r="AE13">
            <v>5.7600000000000005E-2</v>
          </cell>
          <cell r="AF13">
            <v>0.55859999999999999</v>
          </cell>
          <cell r="AG13">
            <v>3.8400000000000004E-2</v>
          </cell>
          <cell r="AH13">
            <v>0.08</v>
          </cell>
          <cell r="AI13">
            <v>6.9000000000000006E-2</v>
          </cell>
          <cell r="AJ13">
            <v>5.5999999999999994E-2</v>
          </cell>
          <cell r="AK13">
            <v>4.4999999999999998E-2</v>
          </cell>
          <cell r="AL13">
            <v>3.7000000000000005E-2</v>
          </cell>
          <cell r="AM13">
            <v>2.6000000000000002E-2</v>
          </cell>
          <cell r="AN13">
            <v>2.2000000000000002E-2</v>
          </cell>
          <cell r="AO13">
            <v>1.8000000000000002E-2</v>
          </cell>
          <cell r="AP13">
            <v>0.39140000000000008</v>
          </cell>
          <cell r="AQ13">
            <v>1.7000000000000001E-2</v>
          </cell>
          <cell r="AR13">
            <v>1.3999999999999999E-2</v>
          </cell>
          <cell r="AS13">
            <v>0.01</v>
          </cell>
          <cell r="AT13">
            <v>9.0000000000000011E-3</v>
          </cell>
          <cell r="AU13">
            <v>0.05</v>
          </cell>
        </row>
        <row r="14">
          <cell r="B14" t="str">
            <v>CD31</v>
          </cell>
          <cell r="C14">
            <v>0.48599999999999999</v>
          </cell>
          <cell r="D14">
            <v>0.51400000000000001</v>
          </cell>
          <cell r="F14">
            <v>0.20100000000000001</v>
          </cell>
          <cell r="G14">
            <v>0.16</v>
          </cell>
          <cell r="H14">
            <v>0.13500000000000001</v>
          </cell>
          <cell r="I14">
            <v>0.106</v>
          </cell>
          <cell r="J14">
            <v>6.3600000000000004E-2</v>
          </cell>
          <cell r="K14">
            <v>0.55959999999999999</v>
          </cell>
          <cell r="L14">
            <v>4.24E-2</v>
          </cell>
          <cell r="M14">
            <v>8.5999999999999993E-2</v>
          </cell>
          <cell r="N14">
            <v>7.5999999999999998E-2</v>
          </cell>
          <cell r="O14">
            <v>6.4000000000000001E-2</v>
          </cell>
          <cell r="P14">
            <v>0.05</v>
          </cell>
          <cell r="Q14">
            <v>3.5000000000000003E-2</v>
          </cell>
          <cell r="R14">
            <v>1.9E-2</v>
          </cell>
          <cell r="S14">
            <v>1.7000000000000001E-2</v>
          </cell>
          <cell r="T14">
            <v>1.3999999999999999E-2</v>
          </cell>
          <cell r="U14">
            <v>0.40339999999999998</v>
          </cell>
          <cell r="V14">
            <v>1.3000000000000001E-2</v>
          </cell>
          <cell r="W14">
            <v>1.2E-2</v>
          </cell>
          <cell r="X14">
            <v>6.9999999999999993E-3</v>
          </cell>
          <cell r="Y14">
            <v>6.9999999999999993E-3</v>
          </cell>
          <cell r="Z14">
            <v>3.9E-2</v>
          </cell>
          <cell r="AA14">
            <v>0.188</v>
          </cell>
          <cell r="AB14">
            <v>0.155</v>
          </cell>
          <cell r="AC14">
            <v>0.128</v>
          </cell>
          <cell r="AD14">
            <v>9.9000000000000005E-2</v>
          </cell>
          <cell r="AE14">
            <v>5.9400000000000008E-2</v>
          </cell>
          <cell r="AF14">
            <v>0.53039999999999998</v>
          </cell>
          <cell r="AG14">
            <v>3.9600000000000003E-2</v>
          </cell>
          <cell r="AH14">
            <v>8.3000000000000004E-2</v>
          </cell>
          <cell r="AI14">
            <v>7.2999999999999995E-2</v>
          </cell>
          <cell r="AJ14">
            <v>5.9000000000000004E-2</v>
          </cell>
          <cell r="AK14">
            <v>0.05</v>
          </cell>
          <cell r="AL14">
            <v>3.7000000000000005E-2</v>
          </cell>
          <cell r="AM14">
            <v>2.7999999999999997E-2</v>
          </cell>
          <cell r="AN14">
            <v>2.6000000000000002E-2</v>
          </cell>
          <cell r="AO14">
            <v>2.2000000000000002E-2</v>
          </cell>
          <cell r="AP14">
            <v>0.41760000000000008</v>
          </cell>
          <cell r="AQ14">
            <v>1.9E-2</v>
          </cell>
          <cell r="AR14">
            <v>1.7000000000000001E-2</v>
          </cell>
          <cell r="AS14">
            <v>8.0000000000000002E-3</v>
          </cell>
          <cell r="AT14">
            <v>8.0000000000000002E-3</v>
          </cell>
          <cell r="AU14">
            <v>5.2000000000000005E-2</v>
          </cell>
        </row>
        <row r="15">
          <cell r="B15" t="str">
            <v>CD32</v>
          </cell>
          <cell r="C15">
            <v>0.48700000000000004</v>
          </cell>
          <cell r="D15">
            <v>0.51300000000000001</v>
          </cell>
          <cell r="F15">
            <v>0.2</v>
          </cell>
          <cell r="G15">
            <v>0.16</v>
          </cell>
          <cell r="H15">
            <v>0.13500000000000001</v>
          </cell>
          <cell r="I15">
            <v>0.105</v>
          </cell>
          <cell r="J15">
            <v>6.3E-2</v>
          </cell>
          <cell r="K15">
            <v>0.55800000000000005</v>
          </cell>
          <cell r="L15">
            <v>4.1999999999999996E-2</v>
          </cell>
          <cell r="M15">
            <v>8.5999999999999993E-2</v>
          </cell>
          <cell r="N15">
            <v>7.5999999999999998E-2</v>
          </cell>
          <cell r="O15">
            <v>6.4000000000000001E-2</v>
          </cell>
          <cell r="P15">
            <v>0.05</v>
          </cell>
          <cell r="Q15">
            <v>3.5000000000000003E-2</v>
          </cell>
          <cell r="R15">
            <v>1.9E-2</v>
          </cell>
          <cell r="S15">
            <v>1.7000000000000001E-2</v>
          </cell>
          <cell r="T15">
            <v>1.3999999999999999E-2</v>
          </cell>
          <cell r="U15">
            <v>0.40300000000000002</v>
          </cell>
          <cell r="V15">
            <v>1.3000000000000001E-2</v>
          </cell>
          <cell r="W15">
            <v>1.2E-2</v>
          </cell>
          <cell r="X15">
            <v>6.9999999999999993E-3</v>
          </cell>
          <cell r="Y15">
            <v>6.9999999999999993E-3</v>
          </cell>
          <cell r="Z15">
            <v>3.9E-2</v>
          </cell>
          <cell r="AA15">
            <v>0.188</v>
          </cell>
          <cell r="AB15">
            <v>0.155</v>
          </cell>
          <cell r="AC15">
            <v>0.128</v>
          </cell>
          <cell r="AD15">
            <v>9.9000000000000005E-2</v>
          </cell>
          <cell r="AE15">
            <v>5.9400000000000008E-2</v>
          </cell>
          <cell r="AF15">
            <v>0.53039999999999998</v>
          </cell>
          <cell r="AG15">
            <v>3.9600000000000003E-2</v>
          </cell>
          <cell r="AH15">
            <v>8.3000000000000004E-2</v>
          </cell>
          <cell r="AI15">
            <v>7.2999999999999995E-2</v>
          </cell>
          <cell r="AJ15">
            <v>5.9000000000000004E-2</v>
          </cell>
          <cell r="AK15">
            <v>0.05</v>
          </cell>
          <cell r="AL15">
            <v>3.7000000000000005E-2</v>
          </cell>
          <cell r="AM15">
            <v>2.7999999999999997E-2</v>
          </cell>
          <cell r="AN15">
            <v>2.6000000000000002E-2</v>
          </cell>
          <cell r="AO15">
            <v>2.2000000000000002E-2</v>
          </cell>
          <cell r="AP15">
            <v>0.41760000000000008</v>
          </cell>
          <cell r="AQ15">
            <v>1.9E-2</v>
          </cell>
          <cell r="AR15">
            <v>1.7000000000000001E-2</v>
          </cell>
          <cell r="AS15">
            <v>8.0000000000000002E-3</v>
          </cell>
          <cell r="AT15">
            <v>8.0000000000000002E-3</v>
          </cell>
          <cell r="AU15">
            <v>5.2000000000000005E-2</v>
          </cell>
        </row>
        <row r="16">
          <cell r="B16" t="str">
            <v>CD81</v>
          </cell>
          <cell r="C16">
            <v>0.495</v>
          </cell>
          <cell r="D16">
            <v>0.505</v>
          </cell>
          <cell r="F16">
            <v>0.20499999999999999</v>
          </cell>
          <cell r="G16">
            <v>0.16300000000000001</v>
          </cell>
          <cell r="H16">
            <v>0.13300000000000001</v>
          </cell>
          <cell r="I16">
            <v>0.109</v>
          </cell>
          <cell r="J16">
            <v>6.54E-2</v>
          </cell>
          <cell r="K16">
            <v>0.56640000000000001</v>
          </cell>
          <cell r="L16">
            <v>4.36E-2</v>
          </cell>
          <cell r="M16">
            <v>8.3000000000000004E-2</v>
          </cell>
          <cell r="N16">
            <v>7.2999999999999995E-2</v>
          </cell>
          <cell r="O16">
            <v>6.4000000000000001E-2</v>
          </cell>
          <cell r="P16">
            <v>0.05</v>
          </cell>
          <cell r="Q16">
            <v>3.6000000000000004E-2</v>
          </cell>
          <cell r="R16">
            <v>2.2000000000000002E-2</v>
          </cell>
          <cell r="S16">
            <v>1.7000000000000001E-2</v>
          </cell>
          <cell r="T16">
            <v>1.2E-2</v>
          </cell>
          <cell r="U16">
            <v>0.40060000000000007</v>
          </cell>
          <cell r="V16">
            <v>1.2E-2</v>
          </cell>
          <cell r="W16">
            <v>9.0000000000000011E-3</v>
          </cell>
          <cell r="X16">
            <v>6.0000000000000001E-3</v>
          </cell>
          <cell r="Y16">
            <v>6.0000000000000001E-3</v>
          </cell>
          <cell r="Z16">
            <v>3.3000000000000002E-2</v>
          </cell>
          <cell r="AA16">
            <v>0.20100000000000001</v>
          </cell>
          <cell r="AB16">
            <v>0.159</v>
          </cell>
          <cell r="AC16">
            <v>0.129</v>
          </cell>
          <cell r="AD16">
            <v>0.10400000000000001</v>
          </cell>
          <cell r="AE16">
            <v>6.2400000000000011E-2</v>
          </cell>
          <cell r="AF16">
            <v>0.5514</v>
          </cell>
          <cell r="AG16">
            <v>4.1600000000000005E-2</v>
          </cell>
          <cell r="AH16">
            <v>8.199999999999999E-2</v>
          </cell>
          <cell r="AI16">
            <v>6.9000000000000006E-2</v>
          </cell>
          <cell r="AJ16">
            <v>6.0999999999999999E-2</v>
          </cell>
          <cell r="AK16">
            <v>4.9000000000000002E-2</v>
          </cell>
          <cell r="AL16">
            <v>3.6000000000000004E-2</v>
          </cell>
          <cell r="AM16">
            <v>2.6000000000000002E-2</v>
          </cell>
          <cell r="AN16">
            <v>2.1000000000000001E-2</v>
          </cell>
          <cell r="AO16">
            <v>1.6E-2</v>
          </cell>
          <cell r="AP16">
            <v>0.40160000000000007</v>
          </cell>
          <cell r="AQ16">
            <v>1.6E-2</v>
          </cell>
          <cell r="AR16">
            <v>1.3000000000000001E-2</v>
          </cell>
          <cell r="AS16">
            <v>9.0000000000000011E-3</v>
          </cell>
          <cell r="AT16">
            <v>9.0000000000000011E-3</v>
          </cell>
          <cell r="AU16">
            <v>4.7000000000000007E-2</v>
          </cell>
        </row>
        <row r="17">
          <cell r="B17" t="str">
            <v>CD72</v>
          </cell>
          <cell r="C17">
            <v>0.49700000000000005</v>
          </cell>
          <cell r="D17">
            <v>0.503</v>
          </cell>
          <cell r="F17">
            <v>0.21299999999999999</v>
          </cell>
          <cell r="G17">
            <v>0.16899999999999998</v>
          </cell>
          <cell r="H17">
            <v>0.13699999999999998</v>
          </cell>
          <cell r="I17">
            <v>0.10400000000000001</v>
          </cell>
          <cell r="J17">
            <v>6.2400000000000011E-2</v>
          </cell>
          <cell r="K17">
            <v>0.58140000000000003</v>
          </cell>
          <cell r="L17">
            <v>4.1600000000000005E-2</v>
          </cell>
          <cell r="M17">
            <v>8.3000000000000004E-2</v>
          </cell>
          <cell r="N17">
            <v>7.0999999999999994E-2</v>
          </cell>
          <cell r="O17">
            <v>5.5999999999999994E-2</v>
          </cell>
          <cell r="P17">
            <v>4.4999999999999998E-2</v>
          </cell>
          <cell r="Q17">
            <v>3.5000000000000003E-2</v>
          </cell>
          <cell r="R17">
            <v>2.5000000000000001E-2</v>
          </cell>
          <cell r="S17">
            <v>1.9E-2</v>
          </cell>
          <cell r="T17">
            <v>1.3000000000000001E-2</v>
          </cell>
          <cell r="U17">
            <v>0.38860000000000006</v>
          </cell>
          <cell r="V17">
            <v>1.1000000000000001E-2</v>
          </cell>
          <cell r="W17">
            <v>9.0000000000000011E-3</v>
          </cell>
          <cell r="X17">
            <v>5.0000000000000001E-3</v>
          </cell>
          <cell r="Y17">
            <v>5.0000000000000001E-3</v>
          </cell>
          <cell r="Z17">
            <v>3.0000000000000006E-2</v>
          </cell>
          <cell r="AA17">
            <v>0.21</v>
          </cell>
          <cell r="AB17">
            <v>0.16600000000000001</v>
          </cell>
          <cell r="AC17">
            <v>0.13400000000000001</v>
          </cell>
          <cell r="AD17">
            <v>0.10099999999999999</v>
          </cell>
          <cell r="AE17">
            <v>6.0600000000000001E-2</v>
          </cell>
          <cell r="AF17">
            <v>0.5706</v>
          </cell>
          <cell r="AG17">
            <v>4.0399999999999998E-2</v>
          </cell>
          <cell r="AH17">
            <v>8.199999999999999E-2</v>
          </cell>
          <cell r="AI17">
            <v>7.0000000000000007E-2</v>
          </cell>
          <cell r="AJ17">
            <v>5.5E-2</v>
          </cell>
          <cell r="AK17">
            <v>4.8000000000000001E-2</v>
          </cell>
          <cell r="AL17">
            <v>3.6000000000000004E-2</v>
          </cell>
          <cell r="AM17">
            <v>2.7000000000000003E-2</v>
          </cell>
          <cell r="AN17">
            <v>2.1000000000000001E-2</v>
          </cell>
          <cell r="AO17">
            <v>1.4999999999999999E-2</v>
          </cell>
          <cell r="AP17">
            <v>0.39440000000000008</v>
          </cell>
          <cell r="AQ17">
            <v>1.3000000000000001E-2</v>
          </cell>
          <cell r="AR17">
            <v>0.01</v>
          </cell>
          <cell r="AS17">
            <v>6.0000000000000001E-3</v>
          </cell>
          <cell r="AT17">
            <v>6.0000000000000001E-3</v>
          </cell>
          <cell r="AU17">
            <v>3.4999999999999996E-2</v>
          </cell>
        </row>
        <row r="18">
          <cell r="B18" t="str">
            <v>CD33</v>
          </cell>
          <cell r="C18">
            <v>0.48599999999999999</v>
          </cell>
          <cell r="D18">
            <v>0.51400000000000001</v>
          </cell>
          <cell r="F18">
            <v>0.20100000000000001</v>
          </cell>
          <cell r="G18">
            <v>0.16</v>
          </cell>
          <cell r="H18">
            <v>0.13500000000000001</v>
          </cell>
          <cell r="I18">
            <v>0.105</v>
          </cell>
          <cell r="J18">
            <v>6.3E-2</v>
          </cell>
          <cell r="K18">
            <v>0.55899999999999994</v>
          </cell>
          <cell r="L18">
            <v>4.1999999999999996E-2</v>
          </cell>
          <cell r="M18">
            <v>8.5999999999999993E-2</v>
          </cell>
          <cell r="N18">
            <v>7.5999999999999998E-2</v>
          </cell>
          <cell r="O18">
            <v>6.4000000000000001E-2</v>
          </cell>
          <cell r="P18">
            <v>0.05</v>
          </cell>
          <cell r="Q18">
            <v>3.5000000000000003E-2</v>
          </cell>
          <cell r="R18">
            <v>1.9E-2</v>
          </cell>
          <cell r="S18">
            <v>1.7000000000000001E-2</v>
          </cell>
          <cell r="T18">
            <v>1.3999999999999999E-2</v>
          </cell>
          <cell r="U18">
            <v>0.40300000000000002</v>
          </cell>
          <cell r="V18">
            <v>1.3000000000000001E-2</v>
          </cell>
          <cell r="W18">
            <v>1.2E-2</v>
          </cell>
          <cell r="X18">
            <v>6.9999999999999993E-3</v>
          </cell>
          <cell r="Y18">
            <v>6.9999999999999993E-3</v>
          </cell>
          <cell r="Z18">
            <v>3.9E-2</v>
          </cell>
          <cell r="AA18">
            <v>0.188</v>
          </cell>
          <cell r="AB18">
            <v>0.155</v>
          </cell>
          <cell r="AC18">
            <v>0.128</v>
          </cell>
          <cell r="AD18">
            <v>9.9000000000000005E-2</v>
          </cell>
          <cell r="AE18">
            <v>5.9400000000000008E-2</v>
          </cell>
          <cell r="AF18">
            <v>0.53039999999999998</v>
          </cell>
          <cell r="AG18">
            <v>3.9600000000000003E-2</v>
          </cell>
          <cell r="AH18">
            <v>8.3000000000000004E-2</v>
          </cell>
          <cell r="AI18">
            <v>7.2999999999999995E-2</v>
          </cell>
          <cell r="AJ18">
            <v>5.9000000000000004E-2</v>
          </cell>
          <cell r="AK18">
            <v>0.05</v>
          </cell>
          <cell r="AL18">
            <v>3.7000000000000005E-2</v>
          </cell>
          <cell r="AM18">
            <v>2.7999999999999997E-2</v>
          </cell>
          <cell r="AN18">
            <v>2.6000000000000002E-2</v>
          </cell>
          <cell r="AO18">
            <v>2.1000000000000001E-2</v>
          </cell>
          <cell r="AP18">
            <v>0.41660000000000008</v>
          </cell>
          <cell r="AQ18">
            <v>1.9E-2</v>
          </cell>
          <cell r="AR18">
            <v>1.7000000000000001E-2</v>
          </cell>
          <cell r="AS18">
            <v>8.0000000000000002E-3</v>
          </cell>
          <cell r="AT18">
            <v>8.0000000000000002E-3</v>
          </cell>
          <cell r="AU18">
            <v>5.2000000000000005E-2</v>
          </cell>
        </row>
        <row r="19">
          <cell r="B19" t="str">
            <v>CD63</v>
          </cell>
          <cell r="C19">
            <v>0.48599999999999999</v>
          </cell>
          <cell r="D19">
            <v>0.51400000000000001</v>
          </cell>
          <cell r="F19">
            <v>0.191</v>
          </cell>
          <cell r="G19">
            <v>0.152</v>
          </cell>
          <cell r="H19">
            <v>0.11800000000000001</v>
          </cell>
          <cell r="I19">
            <v>9.9000000000000005E-2</v>
          </cell>
          <cell r="J19">
            <v>5.9400000000000008E-2</v>
          </cell>
          <cell r="K19">
            <v>0.52039999999999997</v>
          </cell>
          <cell r="L19">
            <v>3.9600000000000003E-2</v>
          </cell>
          <cell r="M19">
            <v>9.4E-2</v>
          </cell>
          <cell r="N19">
            <v>6.8000000000000005E-2</v>
          </cell>
          <cell r="O19">
            <v>4.5999999999999999E-2</v>
          </cell>
          <cell r="P19">
            <v>4.0999999999999995E-2</v>
          </cell>
          <cell r="Q19">
            <v>3.7000000000000005E-2</v>
          </cell>
          <cell r="R19">
            <v>3.1E-2</v>
          </cell>
          <cell r="S19">
            <v>3.1E-2</v>
          </cell>
          <cell r="T19">
            <v>2.8999999999999998E-2</v>
          </cell>
          <cell r="U19">
            <v>0.41660000000000008</v>
          </cell>
          <cell r="V19">
            <v>2.6000000000000002E-2</v>
          </cell>
          <cell r="W19">
            <v>1.7000000000000001E-2</v>
          </cell>
          <cell r="X19">
            <v>1.3000000000000001E-2</v>
          </cell>
          <cell r="Y19">
            <v>6.9999999999999993E-3</v>
          </cell>
          <cell r="Z19">
            <v>6.3E-2</v>
          </cell>
          <cell r="AA19">
            <v>0.18600000000000003</v>
          </cell>
          <cell r="AB19">
            <v>0.13600000000000001</v>
          </cell>
          <cell r="AC19">
            <v>0.11699999999999999</v>
          </cell>
          <cell r="AD19">
            <v>9.1999999999999998E-2</v>
          </cell>
          <cell r="AE19">
            <v>5.5199999999999999E-2</v>
          </cell>
          <cell r="AF19">
            <v>0.49420000000000008</v>
          </cell>
          <cell r="AG19">
            <v>3.6799999999999999E-2</v>
          </cell>
          <cell r="AH19">
            <v>9.1999999999999998E-2</v>
          </cell>
          <cell r="AI19">
            <v>6.8000000000000005E-2</v>
          </cell>
          <cell r="AJ19">
            <v>5.2000000000000005E-2</v>
          </cell>
          <cell r="AK19">
            <v>4.8000000000000001E-2</v>
          </cell>
          <cell r="AL19">
            <v>4.2999999999999997E-2</v>
          </cell>
          <cell r="AM19">
            <v>3.9E-2</v>
          </cell>
          <cell r="AN19">
            <v>3.9E-2</v>
          </cell>
          <cell r="AO19">
            <v>0.03</v>
          </cell>
          <cell r="AP19">
            <v>0.44779999999999998</v>
          </cell>
          <cell r="AQ19">
            <v>2.7999999999999997E-2</v>
          </cell>
          <cell r="AR19">
            <v>1.3999999999999999E-2</v>
          </cell>
          <cell r="AS19">
            <v>9.0000000000000011E-3</v>
          </cell>
          <cell r="AT19">
            <v>6.9999999999999993E-3</v>
          </cell>
          <cell r="AU19">
            <v>5.7999999999999996E-2</v>
          </cell>
        </row>
        <row r="20">
          <cell r="B20" t="str">
            <v>CD44</v>
          </cell>
          <cell r="C20">
            <v>0.49200000000000005</v>
          </cell>
          <cell r="D20">
            <v>0.50800000000000001</v>
          </cell>
          <cell r="F20">
            <v>0.18600000000000003</v>
          </cell>
          <cell r="G20">
            <v>0.15</v>
          </cell>
          <cell r="H20">
            <v>0.126</v>
          </cell>
          <cell r="I20">
            <v>0.111</v>
          </cell>
          <cell r="J20">
            <v>6.6600000000000006E-2</v>
          </cell>
          <cell r="K20">
            <v>0.52860000000000007</v>
          </cell>
          <cell r="L20">
            <v>4.4400000000000002E-2</v>
          </cell>
          <cell r="M20">
            <v>8.8000000000000009E-2</v>
          </cell>
          <cell r="N20">
            <v>7.4999999999999997E-2</v>
          </cell>
          <cell r="O20">
            <v>6.5000000000000002E-2</v>
          </cell>
          <cell r="P20">
            <v>5.5E-2</v>
          </cell>
          <cell r="Q20">
            <v>3.9E-2</v>
          </cell>
          <cell r="R20">
            <v>2.6000000000000002E-2</v>
          </cell>
          <cell r="S20">
            <v>2.1000000000000001E-2</v>
          </cell>
          <cell r="T20">
            <v>1.6E-2</v>
          </cell>
          <cell r="U20">
            <v>0.42940000000000006</v>
          </cell>
          <cell r="V20">
            <v>1.4999999999999999E-2</v>
          </cell>
          <cell r="W20">
            <v>1.3000000000000001E-2</v>
          </cell>
          <cell r="X20">
            <v>8.0000000000000002E-3</v>
          </cell>
          <cell r="Y20">
            <v>6.9999999999999993E-3</v>
          </cell>
          <cell r="Z20">
            <v>4.3000000000000003E-2</v>
          </cell>
          <cell r="AA20">
            <v>0.17800000000000002</v>
          </cell>
          <cell r="AB20">
            <v>0.14400000000000002</v>
          </cell>
          <cell r="AC20">
            <v>0.122</v>
          </cell>
          <cell r="AD20">
            <v>0.107</v>
          </cell>
          <cell r="AE20">
            <v>6.4199999999999993E-2</v>
          </cell>
          <cell r="AF20">
            <v>0.5082000000000001</v>
          </cell>
          <cell r="AG20">
            <v>4.2799999999999998E-2</v>
          </cell>
          <cell r="AH20">
            <v>8.4000000000000005E-2</v>
          </cell>
          <cell r="AI20">
            <v>7.0999999999999994E-2</v>
          </cell>
          <cell r="AJ20">
            <v>6.2E-2</v>
          </cell>
          <cell r="AK20">
            <v>5.5E-2</v>
          </cell>
          <cell r="AL20">
            <v>4.0999999999999995E-2</v>
          </cell>
          <cell r="AM20">
            <v>2.8999999999999998E-2</v>
          </cell>
          <cell r="AN20">
            <v>2.6000000000000002E-2</v>
          </cell>
          <cell r="AO20">
            <v>2.1000000000000001E-2</v>
          </cell>
          <cell r="AP20">
            <v>0.43179999999999996</v>
          </cell>
          <cell r="AQ20">
            <v>1.8000000000000002E-2</v>
          </cell>
          <cell r="AR20">
            <v>1.8000000000000002E-2</v>
          </cell>
          <cell r="AS20">
            <v>1.2E-2</v>
          </cell>
          <cell r="AT20">
            <v>1.1000000000000001E-2</v>
          </cell>
          <cell r="AU20">
            <v>5.9000000000000004E-2</v>
          </cell>
        </row>
        <row r="21">
          <cell r="B21" t="str">
            <v>CD61</v>
          </cell>
          <cell r="C21">
            <v>0.48700000000000004</v>
          </cell>
          <cell r="D21">
            <v>0.51300000000000001</v>
          </cell>
          <cell r="F21">
            <v>0.20199999999999999</v>
          </cell>
          <cell r="G21">
            <v>0.157</v>
          </cell>
          <cell r="H21">
            <v>0.129</v>
          </cell>
          <cell r="I21">
            <v>0.105</v>
          </cell>
          <cell r="J21">
            <v>6.3E-2</v>
          </cell>
          <cell r="K21">
            <v>0.55099999999999993</v>
          </cell>
          <cell r="L21">
            <v>4.1999999999999996E-2</v>
          </cell>
          <cell r="M21">
            <v>9.3000000000000013E-2</v>
          </cell>
          <cell r="N21">
            <v>7.2000000000000008E-2</v>
          </cell>
          <cell r="O21">
            <v>5.5E-2</v>
          </cell>
          <cell r="P21">
            <v>4.2999999999999997E-2</v>
          </cell>
          <cell r="Q21">
            <v>3.1E-2</v>
          </cell>
          <cell r="R21">
            <v>2.7000000000000003E-2</v>
          </cell>
          <cell r="S21">
            <v>2.4E-2</v>
          </cell>
          <cell r="T21">
            <v>1.9E-2</v>
          </cell>
          <cell r="U21">
            <v>0.40600000000000003</v>
          </cell>
          <cell r="V21">
            <v>1.7000000000000001E-2</v>
          </cell>
          <cell r="W21">
            <v>1.1000000000000001E-2</v>
          </cell>
          <cell r="X21">
            <v>8.0000000000000002E-3</v>
          </cell>
          <cell r="Y21">
            <v>6.9999999999999993E-3</v>
          </cell>
          <cell r="Z21">
            <v>4.3000000000000003E-2</v>
          </cell>
          <cell r="AA21">
            <v>0.19699999999999998</v>
          </cell>
          <cell r="AB21">
            <v>0.14699999999999999</v>
          </cell>
          <cell r="AC21">
            <v>0.126</v>
          </cell>
          <cell r="AD21">
            <v>0.10400000000000001</v>
          </cell>
          <cell r="AE21">
            <v>6.2400000000000011E-2</v>
          </cell>
          <cell r="AF21">
            <v>0.53239999999999998</v>
          </cell>
          <cell r="AG21">
            <v>4.1600000000000005E-2</v>
          </cell>
          <cell r="AH21">
            <v>9.4E-2</v>
          </cell>
          <cell r="AI21">
            <v>7.2999999999999995E-2</v>
          </cell>
          <cell r="AJ21">
            <v>5.7999999999999996E-2</v>
          </cell>
          <cell r="AK21">
            <v>4.4999999999999998E-2</v>
          </cell>
          <cell r="AL21">
            <v>3.6000000000000004E-2</v>
          </cell>
          <cell r="AM21">
            <v>3.1E-2</v>
          </cell>
          <cell r="AN21">
            <v>2.8999999999999998E-2</v>
          </cell>
          <cell r="AO21">
            <v>1.9E-2</v>
          </cell>
          <cell r="AP21">
            <v>0.42660000000000009</v>
          </cell>
          <cell r="AQ21">
            <v>1.9E-2</v>
          </cell>
          <cell r="AR21">
            <v>0.01</v>
          </cell>
          <cell r="AS21">
            <v>6.9999999999999993E-3</v>
          </cell>
          <cell r="AT21">
            <v>5.0000000000000001E-3</v>
          </cell>
          <cell r="AU21">
            <v>4.0999999999999995E-2</v>
          </cell>
        </row>
        <row r="22">
          <cell r="B22" t="str">
            <v>CD43</v>
          </cell>
          <cell r="C22">
            <v>0.49299999999999999</v>
          </cell>
          <cell r="D22">
            <v>0.50700000000000001</v>
          </cell>
          <cell r="F22">
            <v>0.185</v>
          </cell>
          <cell r="G22">
            <v>0.15</v>
          </cell>
          <cell r="H22">
            <v>0.125</v>
          </cell>
          <cell r="I22">
            <v>0.111</v>
          </cell>
          <cell r="J22">
            <v>6.6600000000000006E-2</v>
          </cell>
          <cell r="K22">
            <v>0.52659999999999996</v>
          </cell>
          <cell r="L22">
            <v>4.4400000000000002E-2</v>
          </cell>
          <cell r="M22">
            <v>8.6999999999999994E-2</v>
          </cell>
          <cell r="N22">
            <v>7.4999999999999997E-2</v>
          </cell>
          <cell r="O22">
            <v>6.6000000000000003E-2</v>
          </cell>
          <cell r="P22">
            <v>5.5999999999999994E-2</v>
          </cell>
          <cell r="Q22">
            <v>3.7999999999999999E-2</v>
          </cell>
          <cell r="R22">
            <v>2.6000000000000002E-2</v>
          </cell>
          <cell r="S22">
            <v>2.1000000000000001E-2</v>
          </cell>
          <cell r="T22">
            <v>1.6E-2</v>
          </cell>
          <cell r="U22">
            <v>0.4294</v>
          </cell>
          <cell r="V22">
            <v>1.6E-2</v>
          </cell>
          <cell r="W22">
            <v>1.3000000000000001E-2</v>
          </cell>
          <cell r="X22">
            <v>9.0000000000000011E-3</v>
          </cell>
          <cell r="Y22">
            <v>6.9999999999999993E-3</v>
          </cell>
          <cell r="Z22">
            <v>4.5000000000000005E-2</v>
          </cell>
          <cell r="AA22">
            <v>0.17699999999999999</v>
          </cell>
          <cell r="AB22">
            <v>0.14499999999999999</v>
          </cell>
          <cell r="AC22">
            <v>0.122</v>
          </cell>
          <cell r="AD22">
            <v>0.107</v>
          </cell>
          <cell r="AE22">
            <v>6.4199999999999993E-2</v>
          </cell>
          <cell r="AF22">
            <v>0.50819999999999999</v>
          </cell>
          <cell r="AG22">
            <v>4.2799999999999998E-2</v>
          </cell>
          <cell r="AH22">
            <v>8.4000000000000005E-2</v>
          </cell>
          <cell r="AI22">
            <v>7.0999999999999994E-2</v>
          </cell>
          <cell r="AJ22">
            <v>6.2E-2</v>
          </cell>
          <cell r="AK22">
            <v>5.5E-2</v>
          </cell>
          <cell r="AL22">
            <v>4.0999999999999995E-2</v>
          </cell>
          <cell r="AM22">
            <v>2.8999999999999998E-2</v>
          </cell>
          <cell r="AN22">
            <v>2.6000000000000002E-2</v>
          </cell>
          <cell r="AO22">
            <v>2.1000000000000001E-2</v>
          </cell>
          <cell r="AP22">
            <v>0.43179999999999996</v>
          </cell>
          <cell r="AQ22">
            <v>1.8000000000000002E-2</v>
          </cell>
          <cell r="AR22">
            <v>1.8000000000000002E-2</v>
          </cell>
          <cell r="AS22">
            <v>1.2E-2</v>
          </cell>
          <cell r="AT22">
            <v>1.1000000000000001E-2</v>
          </cell>
          <cell r="AU22">
            <v>5.9000000000000004E-2</v>
          </cell>
        </row>
        <row r="23">
          <cell r="B23" t="str">
            <v>CD83</v>
          </cell>
          <cell r="C23">
            <v>0.495</v>
          </cell>
          <cell r="D23">
            <v>0.505</v>
          </cell>
          <cell r="F23">
            <v>0.20600000000000002</v>
          </cell>
          <cell r="G23">
            <v>0.16300000000000001</v>
          </cell>
          <cell r="H23">
            <v>0.13300000000000001</v>
          </cell>
          <cell r="I23">
            <v>0.11</v>
          </cell>
          <cell r="J23">
            <v>6.6000000000000003E-2</v>
          </cell>
          <cell r="K23">
            <v>0.56800000000000006</v>
          </cell>
          <cell r="L23">
            <v>4.3999999999999997E-2</v>
          </cell>
          <cell r="M23">
            <v>8.3000000000000004E-2</v>
          </cell>
          <cell r="N23">
            <v>7.2999999999999995E-2</v>
          </cell>
          <cell r="O23">
            <v>6.4000000000000001E-2</v>
          </cell>
          <cell r="P23">
            <v>0.05</v>
          </cell>
          <cell r="Q23">
            <v>3.6000000000000004E-2</v>
          </cell>
          <cell r="R23">
            <v>2.2000000000000002E-2</v>
          </cell>
          <cell r="S23">
            <v>1.7000000000000001E-2</v>
          </cell>
          <cell r="T23">
            <v>1.2E-2</v>
          </cell>
          <cell r="U23">
            <v>0.40100000000000002</v>
          </cell>
          <cell r="V23">
            <v>1.2E-2</v>
          </cell>
          <cell r="W23">
            <v>9.0000000000000011E-3</v>
          </cell>
          <cell r="X23">
            <v>6.0000000000000001E-3</v>
          </cell>
          <cell r="Y23">
            <v>6.0000000000000001E-3</v>
          </cell>
          <cell r="Z23">
            <v>3.3000000000000002E-2</v>
          </cell>
          <cell r="AA23">
            <v>0.20100000000000001</v>
          </cell>
          <cell r="AB23">
            <v>0.159</v>
          </cell>
          <cell r="AC23">
            <v>0.129</v>
          </cell>
          <cell r="AD23">
            <v>0.10400000000000001</v>
          </cell>
          <cell r="AE23">
            <v>6.2400000000000011E-2</v>
          </cell>
          <cell r="AF23">
            <v>0.5514</v>
          </cell>
          <cell r="AG23">
            <v>4.1600000000000005E-2</v>
          </cell>
          <cell r="AH23">
            <v>8.199999999999999E-2</v>
          </cell>
          <cell r="AI23">
            <v>6.9000000000000006E-2</v>
          </cell>
          <cell r="AJ23">
            <v>6.0999999999999999E-2</v>
          </cell>
          <cell r="AK23">
            <v>4.9000000000000002E-2</v>
          </cell>
          <cell r="AL23">
            <v>3.6000000000000004E-2</v>
          </cell>
          <cell r="AM23">
            <v>2.6000000000000002E-2</v>
          </cell>
          <cell r="AN23">
            <v>2.1000000000000001E-2</v>
          </cell>
          <cell r="AO23">
            <v>1.6E-2</v>
          </cell>
          <cell r="AP23">
            <v>0.40160000000000007</v>
          </cell>
          <cell r="AQ23">
            <v>1.6E-2</v>
          </cell>
          <cell r="AR23">
            <v>1.3000000000000001E-2</v>
          </cell>
          <cell r="AS23">
            <v>9.0000000000000011E-3</v>
          </cell>
          <cell r="AT23">
            <v>9.0000000000000011E-3</v>
          </cell>
          <cell r="AU23">
            <v>4.7000000000000007E-2</v>
          </cell>
        </row>
        <row r="24">
          <cell r="B24" t="str">
            <v>CD62</v>
          </cell>
          <cell r="C24">
            <v>0.49099999999999999</v>
          </cell>
          <cell r="D24">
            <v>0.50900000000000001</v>
          </cell>
          <cell r="F24">
            <v>0.20100000000000001</v>
          </cell>
          <cell r="G24">
            <v>0.14599999999999999</v>
          </cell>
          <cell r="H24">
            <v>0.11699999999999999</v>
          </cell>
          <cell r="I24">
            <v>0.11599999999999999</v>
          </cell>
          <cell r="J24">
            <v>6.9599999999999995E-2</v>
          </cell>
          <cell r="K24">
            <v>0.53359999999999996</v>
          </cell>
          <cell r="L24">
            <v>4.6399999999999997E-2</v>
          </cell>
          <cell r="M24">
            <v>0.10099999999999999</v>
          </cell>
          <cell r="N24">
            <v>7.0000000000000007E-2</v>
          </cell>
          <cell r="O24">
            <v>5.9000000000000004E-2</v>
          </cell>
          <cell r="P24">
            <v>4.2000000000000003E-2</v>
          </cell>
          <cell r="Q24">
            <v>0.03</v>
          </cell>
          <cell r="R24">
            <v>0.03</v>
          </cell>
          <cell r="S24">
            <v>2.3E-2</v>
          </cell>
          <cell r="T24">
            <v>1.8000000000000002E-2</v>
          </cell>
          <cell r="U24">
            <v>0.4194</v>
          </cell>
          <cell r="V24">
            <v>1.7000000000000001E-2</v>
          </cell>
          <cell r="W24">
            <v>0.01</v>
          </cell>
          <cell r="X24">
            <v>0.01</v>
          </cell>
          <cell r="Y24">
            <v>0.01</v>
          </cell>
          <cell r="Z24">
            <v>4.7000000000000007E-2</v>
          </cell>
          <cell r="AA24">
            <v>0.19699999999999998</v>
          </cell>
          <cell r="AB24">
            <v>0.14599999999999999</v>
          </cell>
          <cell r="AC24">
            <v>0.115</v>
          </cell>
          <cell r="AD24">
            <v>0.11</v>
          </cell>
          <cell r="AE24">
            <v>6.6000000000000003E-2</v>
          </cell>
          <cell r="AF24">
            <v>0.52400000000000002</v>
          </cell>
          <cell r="AG24">
            <v>4.3999999999999997E-2</v>
          </cell>
          <cell r="AH24">
            <v>8.900000000000001E-2</v>
          </cell>
          <cell r="AI24">
            <v>7.400000000000001E-2</v>
          </cell>
          <cell r="AJ24">
            <v>5.7000000000000002E-2</v>
          </cell>
          <cell r="AK24">
            <v>4.5999999999999999E-2</v>
          </cell>
          <cell r="AL24">
            <v>3.7000000000000005E-2</v>
          </cell>
          <cell r="AM24">
            <v>3.4000000000000002E-2</v>
          </cell>
          <cell r="AN24">
            <v>2.8999999999999998E-2</v>
          </cell>
          <cell r="AO24">
            <v>0.02</v>
          </cell>
          <cell r="AP24">
            <v>0.43000000000000005</v>
          </cell>
          <cell r="AQ24">
            <v>1.9E-2</v>
          </cell>
          <cell r="AR24">
            <v>1.2E-2</v>
          </cell>
          <cell r="AS24">
            <v>9.0000000000000011E-3</v>
          </cell>
          <cell r="AT24">
            <v>6.0000000000000001E-3</v>
          </cell>
          <cell r="AU24">
            <v>4.5999999999999999E-2</v>
          </cell>
        </row>
        <row r="25">
          <cell r="B25" t="str">
            <v>CD42</v>
          </cell>
          <cell r="C25">
            <v>0.49299999999999999</v>
          </cell>
          <cell r="D25">
            <v>0.50700000000000001</v>
          </cell>
          <cell r="F25">
            <v>0.18600000000000003</v>
          </cell>
          <cell r="G25">
            <v>0.15</v>
          </cell>
          <cell r="H25">
            <v>0.126</v>
          </cell>
          <cell r="I25">
            <v>0.111</v>
          </cell>
          <cell r="J25">
            <v>6.6600000000000006E-2</v>
          </cell>
          <cell r="K25">
            <v>0.52860000000000007</v>
          </cell>
          <cell r="L25">
            <v>4.4400000000000002E-2</v>
          </cell>
          <cell r="M25">
            <v>8.6999999999999994E-2</v>
          </cell>
          <cell r="N25">
            <v>7.4999999999999997E-2</v>
          </cell>
          <cell r="O25">
            <v>6.5000000000000002E-2</v>
          </cell>
          <cell r="P25">
            <v>5.5E-2</v>
          </cell>
          <cell r="Q25">
            <v>3.9E-2</v>
          </cell>
          <cell r="R25">
            <v>2.6000000000000002E-2</v>
          </cell>
          <cell r="S25">
            <v>2.1000000000000001E-2</v>
          </cell>
          <cell r="T25">
            <v>1.6E-2</v>
          </cell>
          <cell r="U25">
            <v>0.4284</v>
          </cell>
          <cell r="V25">
            <v>1.4999999999999999E-2</v>
          </cell>
          <cell r="W25">
            <v>1.3000000000000001E-2</v>
          </cell>
          <cell r="X25">
            <v>8.0000000000000002E-3</v>
          </cell>
          <cell r="Y25">
            <v>6.9999999999999993E-3</v>
          </cell>
          <cell r="Z25">
            <v>4.3000000000000003E-2</v>
          </cell>
          <cell r="AA25">
            <v>0.17800000000000002</v>
          </cell>
          <cell r="AB25">
            <v>0.14499999999999999</v>
          </cell>
          <cell r="AC25">
            <v>0.122</v>
          </cell>
          <cell r="AD25">
            <v>0.107</v>
          </cell>
          <cell r="AE25">
            <v>6.4199999999999993E-2</v>
          </cell>
          <cell r="AF25">
            <v>0.50919999999999999</v>
          </cell>
          <cell r="AG25">
            <v>4.2799999999999998E-2</v>
          </cell>
          <cell r="AH25">
            <v>8.4000000000000005E-2</v>
          </cell>
          <cell r="AI25">
            <v>7.0999999999999994E-2</v>
          </cell>
          <cell r="AJ25">
            <v>6.2E-2</v>
          </cell>
          <cell r="AK25">
            <v>5.5E-2</v>
          </cell>
          <cell r="AL25">
            <v>4.0999999999999995E-2</v>
          </cell>
          <cell r="AM25">
            <v>2.8999999999999998E-2</v>
          </cell>
          <cell r="AN25">
            <v>2.6000000000000002E-2</v>
          </cell>
          <cell r="AO25">
            <v>2.1000000000000001E-2</v>
          </cell>
          <cell r="AP25">
            <v>0.43179999999999996</v>
          </cell>
          <cell r="AQ25">
            <v>1.8000000000000002E-2</v>
          </cell>
          <cell r="AR25">
            <v>1.8000000000000002E-2</v>
          </cell>
          <cell r="AS25">
            <v>1.2E-2</v>
          </cell>
          <cell r="AT25">
            <v>1.1000000000000001E-2</v>
          </cell>
          <cell r="AU25">
            <v>5.9000000000000004E-2</v>
          </cell>
        </row>
        <row r="26">
          <cell r="B26" t="str">
            <v>CD74</v>
          </cell>
          <cell r="C26">
            <v>0.49700000000000005</v>
          </cell>
          <cell r="D26">
            <v>0.503</v>
          </cell>
          <cell r="F26">
            <v>0.21299999999999999</v>
          </cell>
          <cell r="G26">
            <v>0.16899999999999998</v>
          </cell>
          <cell r="H26">
            <v>0.13699999999999998</v>
          </cell>
          <cell r="I26">
            <v>0.10400000000000001</v>
          </cell>
          <cell r="J26">
            <v>6.2400000000000011E-2</v>
          </cell>
          <cell r="K26">
            <v>0.58140000000000003</v>
          </cell>
          <cell r="L26">
            <v>4.1600000000000005E-2</v>
          </cell>
          <cell r="M26">
            <v>8.3000000000000004E-2</v>
          </cell>
          <cell r="N26">
            <v>7.0999999999999994E-2</v>
          </cell>
          <cell r="O26">
            <v>5.5999999999999994E-2</v>
          </cell>
          <cell r="P26">
            <v>4.4999999999999998E-2</v>
          </cell>
          <cell r="Q26">
            <v>3.5000000000000003E-2</v>
          </cell>
          <cell r="R26">
            <v>2.5000000000000001E-2</v>
          </cell>
          <cell r="S26">
            <v>1.9E-2</v>
          </cell>
          <cell r="T26">
            <v>1.3000000000000001E-2</v>
          </cell>
          <cell r="U26">
            <v>0.38860000000000006</v>
          </cell>
          <cell r="V26">
            <v>1.1000000000000001E-2</v>
          </cell>
          <cell r="W26">
            <v>9.0000000000000011E-3</v>
          </cell>
          <cell r="X26">
            <v>5.0000000000000001E-3</v>
          </cell>
          <cell r="Y26">
            <v>5.0000000000000001E-3</v>
          </cell>
          <cell r="Z26">
            <v>3.0000000000000006E-2</v>
          </cell>
          <cell r="AA26">
            <v>0.21</v>
          </cell>
          <cell r="AB26">
            <v>0.16600000000000001</v>
          </cell>
          <cell r="AC26">
            <v>0.13400000000000001</v>
          </cell>
          <cell r="AD26">
            <v>0.10099999999999999</v>
          </cell>
          <cell r="AE26">
            <v>6.0600000000000001E-2</v>
          </cell>
          <cell r="AF26">
            <v>0.5706</v>
          </cell>
          <cell r="AG26">
            <v>4.0399999999999998E-2</v>
          </cell>
          <cell r="AH26">
            <v>8.199999999999999E-2</v>
          </cell>
          <cell r="AI26">
            <v>7.0000000000000007E-2</v>
          </cell>
          <cell r="AJ26">
            <v>5.5E-2</v>
          </cell>
          <cell r="AK26">
            <v>4.8000000000000001E-2</v>
          </cell>
          <cell r="AL26">
            <v>3.6000000000000004E-2</v>
          </cell>
          <cell r="AM26">
            <v>2.7000000000000003E-2</v>
          </cell>
          <cell r="AN26">
            <v>2.1000000000000001E-2</v>
          </cell>
          <cell r="AO26">
            <v>1.4999999999999999E-2</v>
          </cell>
          <cell r="AP26">
            <v>0.39440000000000008</v>
          </cell>
          <cell r="AQ26">
            <v>1.3000000000000001E-2</v>
          </cell>
          <cell r="AR26">
            <v>0.01</v>
          </cell>
          <cell r="AS26">
            <v>6.0000000000000001E-3</v>
          </cell>
          <cell r="AT26">
            <v>6.0000000000000001E-3</v>
          </cell>
          <cell r="AU26">
            <v>3.4999999999999996E-2</v>
          </cell>
        </row>
        <row r="27">
          <cell r="B27" t="str">
            <v>CD51</v>
          </cell>
          <cell r="C27">
            <v>0.49099999999999999</v>
          </cell>
          <cell r="D27">
            <v>0.50900000000000001</v>
          </cell>
          <cell r="F27">
            <v>0.16</v>
          </cell>
          <cell r="G27">
            <v>0.13400000000000001</v>
          </cell>
          <cell r="H27">
            <v>0.11800000000000001</v>
          </cell>
          <cell r="I27">
            <v>0.11199999999999999</v>
          </cell>
          <cell r="J27">
            <v>6.7199999999999982E-2</v>
          </cell>
          <cell r="K27">
            <v>0.47920000000000001</v>
          </cell>
          <cell r="L27">
            <v>4.4799999999999993E-2</v>
          </cell>
          <cell r="M27">
            <v>0.09</v>
          </cell>
          <cell r="N27">
            <v>7.6999999999999999E-2</v>
          </cell>
          <cell r="O27">
            <v>0.06</v>
          </cell>
          <cell r="P27">
            <v>5.9000000000000004E-2</v>
          </cell>
          <cell r="Q27">
            <v>4.8000000000000001E-2</v>
          </cell>
          <cell r="R27">
            <v>3.4000000000000002E-2</v>
          </cell>
          <cell r="S27">
            <v>0.03</v>
          </cell>
          <cell r="T27">
            <v>2.1000000000000001E-2</v>
          </cell>
          <cell r="U27">
            <v>0.46379999999999999</v>
          </cell>
          <cell r="V27">
            <v>0.02</v>
          </cell>
          <cell r="W27">
            <v>1.7000000000000001E-2</v>
          </cell>
          <cell r="X27">
            <v>1.1000000000000001E-2</v>
          </cell>
          <cell r="Y27">
            <v>9.0000000000000011E-3</v>
          </cell>
          <cell r="Z27">
            <v>5.7000000000000009E-2</v>
          </cell>
          <cell r="AA27">
            <v>0.153</v>
          </cell>
          <cell r="AB27">
            <v>0.128</v>
          </cell>
          <cell r="AC27">
            <v>0.11199999999999999</v>
          </cell>
          <cell r="AD27">
            <v>0.10800000000000001</v>
          </cell>
          <cell r="AE27">
            <v>6.4799999999999996E-2</v>
          </cell>
          <cell r="AF27">
            <v>0.45779999999999998</v>
          </cell>
          <cell r="AG27">
            <v>4.3200000000000002E-2</v>
          </cell>
          <cell r="AH27">
            <v>8.8000000000000009E-2</v>
          </cell>
          <cell r="AI27">
            <v>7.0000000000000007E-2</v>
          </cell>
          <cell r="AJ27">
            <v>6.3E-2</v>
          </cell>
          <cell r="AK27">
            <v>5.9000000000000004E-2</v>
          </cell>
          <cell r="AL27">
            <v>4.9000000000000002E-2</v>
          </cell>
          <cell r="AM27">
            <v>3.7000000000000005E-2</v>
          </cell>
          <cell r="AN27">
            <v>3.3000000000000002E-2</v>
          </cell>
          <cell r="AO27">
            <v>2.7000000000000003E-2</v>
          </cell>
          <cell r="AP27">
            <v>0.46920000000000006</v>
          </cell>
          <cell r="AQ27">
            <v>2.7000000000000003E-2</v>
          </cell>
          <cell r="AR27">
            <v>2.2000000000000002E-2</v>
          </cell>
          <cell r="AS27">
            <v>1.2E-2</v>
          </cell>
          <cell r="AT27">
            <v>1.2E-2</v>
          </cell>
          <cell r="AU27">
            <v>7.2999999999999995E-2</v>
          </cell>
        </row>
        <row r="28">
          <cell r="B28" t="str">
            <v>CD45</v>
          </cell>
          <cell r="C28">
            <v>0.49200000000000005</v>
          </cell>
          <cell r="D28">
            <v>0.50800000000000001</v>
          </cell>
          <cell r="F28">
            <v>0.18600000000000003</v>
          </cell>
          <cell r="G28">
            <v>0.15</v>
          </cell>
          <cell r="H28">
            <v>0.126</v>
          </cell>
          <cell r="I28">
            <v>0.111</v>
          </cell>
          <cell r="J28">
            <v>6.6600000000000006E-2</v>
          </cell>
          <cell r="K28">
            <v>0.52860000000000007</v>
          </cell>
          <cell r="L28">
            <v>4.4400000000000002E-2</v>
          </cell>
          <cell r="M28">
            <v>8.6999999999999994E-2</v>
          </cell>
          <cell r="N28">
            <v>7.4999999999999997E-2</v>
          </cell>
          <cell r="O28">
            <v>6.5000000000000002E-2</v>
          </cell>
          <cell r="P28">
            <v>5.5999999999999994E-2</v>
          </cell>
          <cell r="Q28">
            <v>3.9E-2</v>
          </cell>
          <cell r="R28">
            <v>2.6000000000000002E-2</v>
          </cell>
          <cell r="S28">
            <v>2.2000000000000002E-2</v>
          </cell>
          <cell r="T28">
            <v>1.6E-2</v>
          </cell>
          <cell r="U28">
            <v>0.4304</v>
          </cell>
          <cell r="V28">
            <v>1.4999999999999999E-2</v>
          </cell>
          <cell r="W28">
            <v>1.2E-2</v>
          </cell>
          <cell r="X28">
            <v>8.0000000000000002E-3</v>
          </cell>
          <cell r="Y28">
            <v>6.9999999999999993E-3</v>
          </cell>
          <cell r="Z28">
            <v>4.2000000000000003E-2</v>
          </cell>
          <cell r="AA28">
            <v>0.17800000000000002</v>
          </cell>
          <cell r="AB28">
            <v>0.14499999999999999</v>
          </cell>
          <cell r="AC28">
            <v>0.122</v>
          </cell>
          <cell r="AD28">
            <v>0.107</v>
          </cell>
          <cell r="AE28">
            <v>6.4199999999999993E-2</v>
          </cell>
          <cell r="AF28">
            <v>0.50919999999999999</v>
          </cell>
          <cell r="AG28">
            <v>4.2799999999999998E-2</v>
          </cell>
          <cell r="AH28">
            <v>8.4000000000000005E-2</v>
          </cell>
          <cell r="AI28">
            <v>7.2000000000000008E-2</v>
          </cell>
          <cell r="AJ28">
            <v>6.2E-2</v>
          </cell>
          <cell r="AK28">
            <v>5.5E-2</v>
          </cell>
          <cell r="AL28">
            <v>4.0999999999999995E-2</v>
          </cell>
          <cell r="AM28">
            <v>2.8999999999999998E-2</v>
          </cell>
          <cell r="AN28">
            <v>2.6000000000000002E-2</v>
          </cell>
          <cell r="AO28">
            <v>2.1000000000000001E-2</v>
          </cell>
          <cell r="AP28">
            <v>0.43280000000000007</v>
          </cell>
          <cell r="AQ28">
            <v>1.8000000000000002E-2</v>
          </cell>
          <cell r="AR28">
            <v>1.8000000000000002E-2</v>
          </cell>
          <cell r="AS28">
            <v>1.2E-2</v>
          </cell>
          <cell r="AT28">
            <v>1.1000000000000001E-2</v>
          </cell>
          <cell r="AU28">
            <v>5.9000000000000004E-2</v>
          </cell>
        </row>
        <row r="29">
          <cell r="B29" t="str">
            <v>CD</v>
          </cell>
          <cell r="C29">
            <v>0.49299999999999999</v>
          </cell>
          <cell r="D29">
            <v>0.50600000000000001</v>
          </cell>
          <cell r="F29">
            <v>0.19800000000000001</v>
          </cell>
          <cell r="G29">
            <v>0.159</v>
          </cell>
          <cell r="H29">
            <v>0.13100000000000001</v>
          </cell>
          <cell r="I29">
            <v>0.10400000000000001</v>
          </cell>
          <cell r="J29">
            <v>6.2400000000000011E-2</v>
          </cell>
          <cell r="K29">
            <v>0.5504</v>
          </cell>
          <cell r="L29">
            <v>4.1600000000000005E-2</v>
          </cell>
          <cell r="M29">
            <v>8.5000000000000006E-2</v>
          </cell>
          <cell r="N29">
            <v>7.2000000000000008E-2</v>
          </cell>
          <cell r="O29">
            <v>0.06</v>
          </cell>
          <cell r="P29">
            <v>0.05</v>
          </cell>
          <cell r="Q29">
            <v>3.7999999999999999E-2</v>
          </cell>
          <cell r="R29">
            <v>2.7000000000000003E-2</v>
          </cell>
          <cell r="S29">
            <v>2.2000000000000002E-2</v>
          </cell>
          <cell r="T29">
            <v>1.6E-2</v>
          </cell>
          <cell r="U29">
            <v>0.41160000000000008</v>
          </cell>
          <cell r="V29">
            <v>1.3999999999999999E-2</v>
          </cell>
          <cell r="W29">
            <v>1.1000000000000001E-2</v>
          </cell>
          <cell r="X29">
            <v>6.9999999999999993E-3</v>
          </cell>
          <cell r="Y29">
            <v>6.0000000000000001E-3</v>
          </cell>
          <cell r="Z29">
            <v>3.7999999999999999E-2</v>
          </cell>
          <cell r="AA29">
            <v>0.193</v>
          </cell>
          <cell r="AB29">
            <v>0.155</v>
          </cell>
          <cell r="AC29">
            <v>0.128</v>
          </cell>
          <cell r="AD29">
            <v>0.1</v>
          </cell>
          <cell r="AE29">
            <v>0.06</v>
          </cell>
          <cell r="AF29">
            <v>0.53600000000000003</v>
          </cell>
          <cell r="AG29">
            <v>0.04</v>
          </cell>
          <cell r="AH29">
            <v>8.3000000000000004E-2</v>
          </cell>
          <cell r="AI29">
            <v>7.0999999999999994E-2</v>
          </cell>
          <cell r="AJ29">
            <v>5.9000000000000004E-2</v>
          </cell>
          <cell r="AK29">
            <v>5.0999999999999997E-2</v>
          </cell>
          <cell r="AL29">
            <v>0.04</v>
          </cell>
          <cell r="AM29">
            <v>0.03</v>
          </cell>
          <cell r="AN29">
            <v>2.6000000000000002E-2</v>
          </cell>
          <cell r="AO29">
            <v>1.9E-2</v>
          </cell>
          <cell r="AP29">
            <v>0.41900000000000004</v>
          </cell>
          <cell r="AQ29">
            <v>1.7000000000000001E-2</v>
          </cell>
          <cell r="AR29">
            <v>1.3000000000000001E-2</v>
          </cell>
          <cell r="AS29">
            <v>8.0000000000000002E-3</v>
          </cell>
          <cell r="AT29">
            <v>7.0000000000000001E-3</v>
          </cell>
          <cell r="AU29">
            <v>4.5000000000000005E-2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F909-26D9-4FD4-B5DE-74948498A6BA}">
  <dimension ref="A1:BD527"/>
  <sheetViews>
    <sheetView tabSelected="1" zoomScale="90" zoomScaleNormal="90" workbookViewId="0">
      <selection activeCell="H1" sqref="H1:H1048576"/>
    </sheetView>
  </sheetViews>
  <sheetFormatPr defaultColWidth="11.42578125" defaultRowHeight="15" x14ac:dyDescent="0.25"/>
  <cols>
    <col min="1" max="1" width="13.7109375" customWidth="1"/>
    <col min="2" max="2" width="16.42578125" customWidth="1"/>
    <col min="3" max="3" width="12.42578125" customWidth="1"/>
    <col min="4" max="4" width="14.7109375" customWidth="1"/>
    <col min="5" max="5" width="16.42578125" customWidth="1"/>
    <col min="6" max="6" width="15.85546875" customWidth="1"/>
    <col min="7" max="7" width="15.7109375" bestFit="1" customWidth="1"/>
    <col min="8" max="12" width="11" bestFit="1" customWidth="1"/>
    <col min="13" max="13" width="12" bestFit="1" customWidth="1"/>
    <col min="14" max="21" width="11" bestFit="1" customWidth="1"/>
    <col min="22" max="22" width="9.85546875" bestFit="1" customWidth="1"/>
    <col min="23" max="23" width="12" bestFit="1" customWidth="1"/>
    <col min="24" max="26" width="9.85546875" bestFit="1" customWidth="1"/>
    <col min="27" max="27" width="8.28515625" bestFit="1" customWidth="1"/>
    <col min="28" max="28" width="11" bestFit="1" customWidth="1"/>
    <col min="29" max="29" width="12" bestFit="1" customWidth="1"/>
    <col min="30" max="34" width="11" bestFit="1" customWidth="1"/>
    <col min="35" max="35" width="12" bestFit="1" customWidth="1"/>
    <col min="36" max="42" width="11" bestFit="1" customWidth="1"/>
    <col min="43" max="44" width="9.85546875" bestFit="1" customWidth="1"/>
    <col min="45" max="45" width="12" bestFit="1" customWidth="1"/>
    <col min="46" max="48" width="9.85546875" bestFit="1" customWidth="1"/>
    <col min="49" max="49" width="8.28515625" bestFit="1" customWidth="1"/>
    <col min="50" max="50" width="9.85546875" bestFit="1" customWidth="1"/>
    <col min="51" max="52" width="12" bestFit="1" customWidth="1"/>
    <col min="53" max="53" width="10.85546875" bestFit="1" customWidth="1"/>
    <col min="54" max="54" width="12" bestFit="1" customWidth="1"/>
    <col min="55" max="55" width="5.7109375" bestFit="1" customWidth="1"/>
    <col min="56" max="56" width="12" bestFit="1" customWidth="1"/>
  </cols>
  <sheetData>
    <row r="1" spans="1:56" ht="50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1282</v>
      </c>
      <c r="H1" s="5" t="s">
        <v>6</v>
      </c>
      <c r="I1" s="5" t="s">
        <v>6</v>
      </c>
      <c r="J1" s="5" t="s">
        <v>6</v>
      </c>
      <c r="K1" s="5" t="s">
        <v>6</v>
      </c>
      <c r="L1" s="5" t="s">
        <v>6</v>
      </c>
      <c r="M1" s="5" t="s">
        <v>6</v>
      </c>
      <c r="N1" s="5" t="s">
        <v>6</v>
      </c>
      <c r="O1" s="5" t="s">
        <v>6</v>
      </c>
      <c r="P1" s="5" t="s">
        <v>6</v>
      </c>
      <c r="Q1" s="5" t="s">
        <v>6</v>
      </c>
      <c r="R1" s="5" t="s">
        <v>6</v>
      </c>
      <c r="S1" s="5" t="s">
        <v>6</v>
      </c>
      <c r="T1" s="5" t="s">
        <v>6</v>
      </c>
      <c r="U1" s="5" t="s">
        <v>6</v>
      </c>
      <c r="V1" s="5" t="s">
        <v>6</v>
      </c>
      <c r="W1" s="5" t="s">
        <v>6</v>
      </c>
      <c r="X1" s="5" t="s">
        <v>6</v>
      </c>
      <c r="Y1" s="5" t="s">
        <v>6</v>
      </c>
      <c r="Z1" s="5" t="s">
        <v>6</v>
      </c>
      <c r="AA1" s="5" t="s">
        <v>6</v>
      </c>
      <c r="AB1" s="5" t="s">
        <v>6</v>
      </c>
      <c r="AC1" s="6"/>
      <c r="AD1" s="7" t="s">
        <v>7</v>
      </c>
      <c r="AE1" s="7" t="s">
        <v>7</v>
      </c>
      <c r="AF1" s="7" t="s">
        <v>7</v>
      </c>
      <c r="AG1" s="7" t="s">
        <v>7</v>
      </c>
      <c r="AH1" s="7" t="s">
        <v>7</v>
      </c>
      <c r="AI1" s="7" t="s">
        <v>7</v>
      </c>
      <c r="AJ1" s="7" t="s">
        <v>7</v>
      </c>
      <c r="AK1" s="7" t="s">
        <v>7</v>
      </c>
      <c r="AL1" s="7" t="s">
        <v>7</v>
      </c>
      <c r="AM1" s="7" t="s">
        <v>7</v>
      </c>
      <c r="AN1" s="7" t="s">
        <v>7</v>
      </c>
      <c r="AO1" s="7" t="s">
        <v>7</v>
      </c>
      <c r="AP1" s="7" t="s">
        <v>7</v>
      </c>
      <c r="AQ1" s="7" t="s">
        <v>7</v>
      </c>
      <c r="AR1" s="7" t="s">
        <v>7</v>
      </c>
      <c r="AS1" s="7" t="s">
        <v>7</v>
      </c>
      <c r="AT1" s="7" t="s">
        <v>7</v>
      </c>
      <c r="AU1" s="7" t="s">
        <v>7</v>
      </c>
      <c r="AV1" s="7" t="s">
        <v>7</v>
      </c>
      <c r="AW1" s="7" t="s">
        <v>7</v>
      </c>
      <c r="AX1" s="7" t="s">
        <v>7</v>
      </c>
      <c r="AY1" s="1"/>
      <c r="AZ1" s="2"/>
      <c r="BA1" s="4" t="s">
        <v>8</v>
      </c>
      <c r="BB1" s="7" t="s">
        <v>7</v>
      </c>
      <c r="BC1" s="7" t="s">
        <v>9</v>
      </c>
      <c r="BD1" s="5" t="s">
        <v>6</v>
      </c>
    </row>
    <row r="2" spans="1:56" x14ac:dyDescent="0.25">
      <c r="A2" s="8" t="s">
        <v>10</v>
      </c>
      <c r="B2" s="8" t="s">
        <v>11</v>
      </c>
      <c r="C2" s="8" t="s">
        <v>10</v>
      </c>
      <c r="D2" s="8" t="s">
        <v>12</v>
      </c>
      <c r="E2" s="8" t="s">
        <v>13</v>
      </c>
      <c r="F2" s="8" t="s">
        <v>14</v>
      </c>
      <c r="G2" s="9">
        <v>337289</v>
      </c>
      <c r="H2" s="10">
        <f>INDEX([1]ratio_ins!F:F,MATCH('001_population_health_zone_zs'!$B$2,[1]ratio_ins!$B:$B,0))*$G2*INDEX([1]ratio_ins!$C:$C,MATCH('001_population_health_zone_zs'!$B2,[1]ratio_ins!$B:$B,0))</f>
        <v>35458.180702999998</v>
      </c>
      <c r="I2" s="10">
        <f>INDEX([1]ratio_ins!G:G,MATCH('001_population_health_zone_zs'!$B$2,[1]ratio_ins!$B:$B,0))*$G2*INDEX([1]ratio_ins!$C:$C,MATCH('001_population_health_zone_zs'!$B2,[1]ratio_ins!$B:$B,0))</f>
        <v>29011.238757000003</v>
      </c>
      <c r="J2" s="10">
        <f>INDEX([1]ratio_ins!H:H,MATCH('001_population_health_zone_zs'!$B$2,[1]ratio_ins!$B:$B,0))*$G2*INDEX([1]ratio_ins!$C:$C,MATCH('001_population_health_zone_zs'!$B2,[1]ratio_ins!$B:$B,0))</f>
        <v>22903.609544999999</v>
      </c>
      <c r="K2" s="10">
        <f>INDEX([1]ratio_ins!I:I,MATCH('001_population_health_zone_zs'!$B$2,[1]ratio_ins!$B:$B,0))*$G2*INDEX([1]ratio_ins!$C:$C,MATCH('001_population_health_zone_zs'!$B2,[1]ratio_ins!$B:$B,0))</f>
        <v>14081.478461000001</v>
      </c>
      <c r="L2" s="10">
        <f>INDEX([1]ratio_ins!J:J,MATCH('001_population_health_zone_zs'!$B$2,[1]ratio_ins!$B:$B,0))*$G2*INDEX([1]ratio_ins!$C:$C,MATCH('001_population_health_zone_zs'!$B2,[1]ratio_ins!$B:$B,0))</f>
        <v>8448.8870766</v>
      </c>
      <c r="M2" s="11">
        <f>INDEX([1]ratio_ins!K:K,MATCH('001_population_health_zone_zs'!$B$2,[1]ratio_ins!$B:$B,0))*$G2*INDEX([1]ratio_ins!$C:$C,MATCH('001_population_health_zone_zs'!$B2,[1]ratio_ins!$B:$B,0))</f>
        <v>95821.916081600008</v>
      </c>
      <c r="N2" s="10">
        <f>INDEX([1]ratio_ins!L:L,MATCH('001_population_health_zone_zs'!$B$2,[1]ratio_ins!$B:$B,0))*$G2*INDEX([1]ratio_ins!$C:$C,MATCH('001_population_health_zone_zs'!$B2,[1]ratio_ins!$B:$B,0))</f>
        <v>5632.5913844000006</v>
      </c>
      <c r="O2" s="10">
        <f>INDEX([1]ratio_ins!M:M,MATCH('001_population_health_zone_zs'!$B$2,[1]ratio_ins!$B:$B,0))*$G2*INDEX([1]ratio_ins!$C:$C,MATCH('001_population_health_zone_zs'!$B2,[1]ratio_ins!$B:$B,0))</f>
        <v>12215.258424000001</v>
      </c>
      <c r="P2" s="10">
        <f>INDEX([1]ratio_ins!N:N,MATCH('001_population_health_zone_zs'!$B$2,[1]ratio_ins!$B:$B,0))*$G2*INDEX([1]ratio_ins!$C:$C,MATCH('001_population_health_zone_zs'!$B2,[1]ratio_ins!$B:$B,0))</f>
        <v>11027.663855000001</v>
      </c>
      <c r="Q2" s="10">
        <f>INDEX([1]ratio_ins!O:O,MATCH('001_population_health_zone_zs'!$B$2,[1]ratio_ins!$B:$B,0))*$G2*INDEX([1]ratio_ins!$C:$C,MATCH('001_population_health_zone_zs'!$B2,[1]ratio_ins!$B:$B,0))</f>
        <v>9840.0692859999999</v>
      </c>
      <c r="R2" s="10">
        <f>INDEX([1]ratio_ins!P:P,MATCH('001_population_health_zone_zs'!$B$2,[1]ratio_ins!$B:$B,0))*$G2*INDEX([1]ratio_ins!$C:$C,MATCH('001_population_health_zone_zs'!$B2,[1]ratio_ins!$B:$B,0))</f>
        <v>9670.4129190000003</v>
      </c>
      <c r="S2" s="10">
        <f>INDEX([1]ratio_ins!Q:Q,MATCH('001_population_health_zone_zs'!$B$2,[1]ratio_ins!$B:$B,0))*$G2*INDEX([1]ratio_ins!$C:$C,MATCH('001_population_health_zone_zs'!$B2,[1]ratio_ins!$B:$B,0))</f>
        <v>8143.5056160000004</v>
      </c>
      <c r="T2" s="10">
        <f>INDEX([1]ratio_ins!R:R,MATCH('001_population_health_zone_zs'!$B$2,[1]ratio_ins!$B:$B,0))*$G2*INDEX([1]ratio_ins!$C:$C,MATCH('001_population_health_zone_zs'!$B2,[1]ratio_ins!$B:$B,0))</f>
        <v>5768.3164780000006</v>
      </c>
      <c r="U2" s="10">
        <f>INDEX([1]ratio_ins!S:S,MATCH('001_population_health_zone_zs'!$B$2,[1]ratio_ins!$B:$B,0))*$G2*INDEX([1]ratio_ins!$C:$C,MATCH('001_population_health_zone_zs'!$B2,[1]ratio_ins!$B:$B,0))</f>
        <v>4580.7219090000008</v>
      </c>
      <c r="V2" s="10">
        <f>INDEX([1]ratio_ins!T:T,MATCH('001_population_health_zone_zs'!$B$2,[1]ratio_ins!$B:$B,0))*$G2*INDEX([1]ratio_ins!$C:$C,MATCH('001_population_health_zone_zs'!$B2,[1]ratio_ins!$B:$B,0))</f>
        <v>2544.8455050000002</v>
      </c>
      <c r="W2" s="11">
        <f>INDEX([1]ratio_ins!U:U,MATCH('001_population_health_zone_zs'!$B$2,[1]ratio_ins!$B:$B,0))*$G2*INDEX([1]ratio_ins!$C:$C,MATCH('001_population_health_zone_zs'!$B2,[1]ratio_ins!$B:$B,0))</f>
        <v>69423.385376400009</v>
      </c>
      <c r="X2" s="10">
        <f>INDEX([1]ratio_ins!V:V,MATCH('001_population_health_zone_zs'!$B$2,[1]ratio_ins!$B:$B,0))*$G2*INDEX([1]ratio_ins!$C:$C,MATCH('001_population_health_zone_zs'!$B2,[1]ratio_ins!$B:$B,0))</f>
        <v>2035.8764040000001</v>
      </c>
      <c r="Y2" s="10">
        <f>INDEX([1]ratio_ins!W:W,MATCH('001_population_health_zone_zs'!$B$2,[1]ratio_ins!$B:$B,0))*$G2*INDEX([1]ratio_ins!$C:$C,MATCH('001_population_health_zone_zs'!$B2,[1]ratio_ins!$B:$B,0))</f>
        <v>1357.2509359999999</v>
      </c>
      <c r="Z2" s="10">
        <f>INDEX([1]ratio_ins!X:X,MATCH('001_population_health_zone_zs'!$B$2,[1]ratio_ins!$B:$B,0))*$G2*INDEX([1]ratio_ins!$C:$C,MATCH('001_population_health_zone_zs'!$B2,[1]ratio_ins!$B:$B,0))</f>
        <v>678.62546799999996</v>
      </c>
      <c r="AA2" s="10">
        <f>INDEX([1]ratio_ins!Y:Y,MATCH('001_population_health_zone_zs'!$B$2,[1]ratio_ins!$B:$B,0))*$G2*INDEX([1]ratio_ins!$C:$C,MATCH('001_population_health_zone_zs'!$B2,[1]ratio_ins!$B:$B,0))</f>
        <v>339.31273399999998</v>
      </c>
      <c r="AB2" s="11">
        <f>INDEX([1]ratio_ins!Z:Z,MATCH('001_population_health_zone_zs'!$B$2,[1]ratio_ins!$B:$B,0))*$G2*INDEX([1]ratio_ins!$C:$C,MATCH('001_population_health_zone_zs'!$B2,[1]ratio_ins!$B:$B,0))</f>
        <v>4411.0655420000003</v>
      </c>
      <c r="AC2" s="12">
        <f>M2+W2+AB2</f>
        <v>169656.36700000003</v>
      </c>
      <c r="AD2" s="10">
        <f>INDEX([1]ratio_ins!AA:AA,MATCH('001_population_health_zone_zs'!$B$2,[1]ratio_ins!$B:$B,0))*$G2*INDEX([1]ratio_ins!$D:$D,MATCH('001_population_health_zone_zs'!$B2,[1]ratio_ins!$B:$B,0))</f>
        <v>35202.852930000008</v>
      </c>
      <c r="AE2" s="10">
        <f>INDEX([1]ratio_ins!AB:AB,MATCH('001_population_health_zone_zs'!$B$2,[1]ratio_ins!$B:$B,0))*$G2*INDEX([1]ratio_ins!$D:$D,MATCH('001_population_health_zone_zs'!$B2,[1]ratio_ins!$B:$B,0))</f>
        <v>29000.445509000005</v>
      </c>
      <c r="AF2" s="10">
        <f>INDEX([1]ratio_ins!AC:AC,MATCH('001_population_health_zone_zs'!$B$2,[1]ratio_ins!$B:$B,0))*$G2*INDEX([1]ratio_ins!$D:$D,MATCH('001_population_health_zone_zs'!$B2,[1]ratio_ins!$B:$B,0))</f>
        <v>22965.670720999999</v>
      </c>
      <c r="AG2" s="10">
        <f>INDEX([1]ratio_ins!AD:AD,MATCH('001_population_health_zone_zs'!$B$2,[1]ratio_ins!$B:$B,0))*$G2*INDEX([1]ratio_ins!$D:$D,MATCH('001_population_health_zone_zs'!$B2,[1]ratio_ins!$B:$B,0))</f>
        <v>13913.508539000002</v>
      </c>
      <c r="AH2" s="10">
        <f>INDEX([1]ratio_ins!AE:AE,MATCH('001_population_health_zone_zs'!$B$2,[1]ratio_ins!$B:$B,0))*$G2*INDEX([1]ratio_ins!$D:$D,MATCH('001_population_health_zone_zs'!$B2,[1]ratio_ins!$B:$B,0))</f>
        <v>8348.1051234000006</v>
      </c>
      <c r="AI2" s="13">
        <f>INDEX([1]ratio_ins!AF:AF,MATCH('001_population_health_zone_zs'!$B$2,[1]ratio_ins!$B:$B,0))*$G2*INDEX([1]ratio_ins!$D:$D,MATCH('001_population_health_zone_zs'!$B2,[1]ratio_ins!$B:$B,0))</f>
        <v>95517.074283399998</v>
      </c>
      <c r="AJ2" s="10">
        <f>INDEX([1]ratio_ins!AG:AG,MATCH('001_population_health_zone_zs'!$B$2,[1]ratio_ins!$B:$B,0))*$G2*INDEX([1]ratio_ins!$D:$D,MATCH('001_population_health_zone_zs'!$B2,[1]ratio_ins!$B:$B,0))</f>
        <v>5565.4034156000007</v>
      </c>
      <c r="AK2" s="10">
        <f>INDEX([1]ratio_ins!AH:AH,MATCH('001_population_health_zone_zs'!$B$2,[1]ratio_ins!$B:$B,0))*$G2*INDEX([1]ratio_ins!$D:$D,MATCH('001_population_health_zone_zs'!$B2,[1]ratio_ins!$B:$B,0))</f>
        <v>12404.814842000002</v>
      </c>
      <c r="AL2" s="10">
        <f>INDEX([1]ratio_ins!AI:AI,MATCH('001_population_health_zone_zs'!$B$2,[1]ratio_ins!$B:$B,0))*$G2*INDEX([1]ratio_ins!$D:$D,MATCH('001_population_health_zone_zs'!$B2,[1]ratio_ins!$B:$B,0))</f>
        <v>11734.284310000003</v>
      </c>
      <c r="AM2" s="10">
        <f>INDEX([1]ratio_ins!AJ:AJ,MATCH('001_population_health_zone_zs'!$B$2,[1]ratio_ins!$B:$B,0))*$G2*INDEX([1]ratio_ins!$D:$D,MATCH('001_population_health_zone_zs'!$B2,[1]ratio_ins!$B:$B,0))</f>
        <v>10728.488512</v>
      </c>
      <c r="AN2" s="10">
        <f>INDEX([1]ratio_ins!AK:AK,MATCH('001_population_health_zone_zs'!$B$2,[1]ratio_ins!$B:$B,0))*$G2*INDEX([1]ratio_ins!$D:$D,MATCH('001_population_health_zone_zs'!$B2,[1]ratio_ins!$B:$B,0))</f>
        <v>10057.957980000001</v>
      </c>
      <c r="AO2" s="10">
        <f>INDEX([1]ratio_ins!AL:AL,MATCH('001_population_health_zone_zs'!$B$2,[1]ratio_ins!$B:$B,0))*$G2*INDEX([1]ratio_ins!$D:$D,MATCH('001_population_health_zone_zs'!$B2,[1]ratio_ins!$B:$B,0))</f>
        <v>7543.4684850000003</v>
      </c>
      <c r="AP2" s="10">
        <f>INDEX([1]ratio_ins!AM:AM,MATCH('001_population_health_zone_zs'!$B$2,[1]ratio_ins!$B:$B,0))*$G2*INDEX([1]ratio_ins!$D:$D,MATCH('001_population_health_zone_zs'!$B2,[1]ratio_ins!$B:$B,0))</f>
        <v>4861.3463570000004</v>
      </c>
      <c r="AQ2" s="10">
        <f>INDEX([1]ratio_ins!AN:AN,MATCH('001_population_health_zone_zs'!$B$2,[1]ratio_ins!$B:$B,0))*$G2*INDEX([1]ratio_ins!$D:$D,MATCH('001_population_health_zone_zs'!$B2,[1]ratio_ins!$B:$B,0))</f>
        <v>3855.5505590000002</v>
      </c>
      <c r="AR2" s="10">
        <f>INDEX([1]ratio_ins!AO:AO,MATCH('001_population_health_zone_zs'!$B$2,[1]ratio_ins!$B:$B,0))*$G2*INDEX([1]ratio_ins!$D:$D,MATCH('001_population_health_zone_zs'!$B2,[1]ratio_ins!$B:$B,0))</f>
        <v>1843.9589630000005</v>
      </c>
      <c r="AS2" s="13">
        <f>INDEX([1]ratio_ins!AP:AP,MATCH('001_population_health_zone_zs'!$B$2,[1]ratio_ins!$B:$B,0))*$G2*INDEX([1]ratio_ins!$D:$D,MATCH('001_population_health_zone_zs'!$B2,[1]ratio_ins!$B:$B,0))</f>
        <v>68595.273423600011</v>
      </c>
      <c r="AT2" s="10">
        <f>INDEX([1]ratio_ins!AQ:AQ,MATCH('001_population_health_zone_zs'!$B$2,[1]ratio_ins!$B:$B,0))*$G2*INDEX([1]ratio_ins!$D:$D,MATCH('001_population_health_zone_zs'!$B2,[1]ratio_ins!$B:$B,0))</f>
        <v>1676.3263300000001</v>
      </c>
      <c r="AU2" s="10">
        <f>INDEX([1]ratio_ins!AR:AR,MATCH('001_population_health_zone_zs'!$B$2,[1]ratio_ins!$B:$B,0))*$G2*INDEX([1]ratio_ins!$D:$D,MATCH('001_population_health_zone_zs'!$B2,[1]ratio_ins!$B:$B,0))</f>
        <v>1005.7957980000002</v>
      </c>
      <c r="AV2" s="10">
        <f>INDEX([1]ratio_ins!AS:AS,MATCH('001_population_health_zone_zs'!$B$2,[1]ratio_ins!$B:$B,0))*$G2*INDEX([1]ratio_ins!$D:$D,MATCH('001_population_health_zone_zs'!$B2,[1]ratio_ins!$B:$B,0))</f>
        <v>502.89789900000011</v>
      </c>
      <c r="AW2" s="10">
        <f>INDEX([1]ratio_ins!AT:AT,MATCH('001_population_health_zone_zs'!$B$2,[1]ratio_ins!$B:$B,0))*$G2*INDEX([1]ratio_ins!$D:$D,MATCH('001_population_health_zone_zs'!$B2,[1]ratio_ins!$B:$B,0))</f>
        <v>335.265266</v>
      </c>
      <c r="AX2" s="13">
        <f>INDEX([1]ratio_ins!AU:AU,MATCH('001_population_health_zone_zs'!$B$2,[1]ratio_ins!$B:$B,0))*$G2*INDEX([1]ratio_ins!$D:$D,MATCH('001_population_health_zone_zs'!$B2,[1]ratio_ins!$B:$B,0))</f>
        <v>3520.2852929999999</v>
      </c>
      <c r="AY2" s="14">
        <f>AI2+AS2+AX2</f>
        <v>167632.633</v>
      </c>
      <c r="AZ2" s="15">
        <f>AC2+AY2</f>
        <v>337289</v>
      </c>
      <c r="BA2" s="16">
        <v>333386.65896113997</v>
      </c>
      <c r="BB2" s="10">
        <f>SUM(AH2,AJ2,AK2:AP2)</f>
        <v>71243.869025000007</v>
      </c>
      <c r="BC2" s="17">
        <f>BB2/G2</f>
        <v>0.21122500000000002</v>
      </c>
      <c r="BD2" s="10">
        <f>SUM(L2,N2:T2)</f>
        <v>70746.705039000008</v>
      </c>
    </row>
    <row r="3" spans="1:56" x14ac:dyDescent="0.25">
      <c r="A3" s="8" t="s">
        <v>10</v>
      </c>
      <c r="B3" s="8" t="s">
        <v>11</v>
      </c>
      <c r="C3" s="8" t="s">
        <v>10</v>
      </c>
      <c r="D3" s="8" t="s">
        <v>12</v>
      </c>
      <c r="E3" s="8" t="s">
        <v>15</v>
      </c>
      <c r="F3" s="8" t="s">
        <v>16</v>
      </c>
      <c r="G3" s="9">
        <v>281886</v>
      </c>
      <c r="H3" s="10">
        <f>INDEX([1]ratio_ins!F:F,MATCH('001_population_health_zone_zs'!$B$2,[1]ratio_ins!$B:$B,0))*$G3*INDEX([1]ratio_ins!$C:$C,MATCH('001_population_health_zone_zs'!$B3,[1]ratio_ins!$B:$B,0))</f>
        <v>29633.829522</v>
      </c>
      <c r="I3" s="10">
        <f>INDEX([1]ratio_ins!G:G,MATCH('001_population_health_zone_zs'!$B$2,[1]ratio_ins!$B:$B,0))*$G3*INDEX([1]ratio_ins!$C:$C,MATCH('001_population_health_zone_zs'!$B3,[1]ratio_ins!$B:$B,0))</f>
        <v>24245.860518000001</v>
      </c>
      <c r="J3" s="10">
        <f>INDEX([1]ratio_ins!H:H,MATCH('001_population_health_zone_zs'!$B$2,[1]ratio_ins!$B:$B,0))*$G3*INDEX([1]ratio_ins!$C:$C,MATCH('001_population_health_zone_zs'!$B3,[1]ratio_ins!$B:$B,0))</f>
        <v>19141.468830000002</v>
      </c>
      <c r="K3" s="10">
        <f>INDEX([1]ratio_ins!I:I,MATCH('001_population_health_zone_zs'!$B$2,[1]ratio_ins!$B:$B,0))*$G3*INDEX([1]ratio_ins!$C:$C,MATCH('001_population_health_zone_zs'!$B3,[1]ratio_ins!$B:$B,0))</f>
        <v>11768.458614000001</v>
      </c>
      <c r="L3" s="10">
        <f>INDEX([1]ratio_ins!J:J,MATCH('001_population_health_zone_zs'!$B$2,[1]ratio_ins!$B:$B,0))*$G3*INDEX([1]ratio_ins!$C:$C,MATCH('001_population_health_zone_zs'!$B3,[1]ratio_ins!$B:$B,0))</f>
        <v>7061.0751683999997</v>
      </c>
      <c r="M3" s="11">
        <f>INDEX([1]ratio_ins!K:K,MATCH('001_population_health_zone_zs'!$B$2,[1]ratio_ins!$B:$B,0))*$G3*INDEX([1]ratio_ins!$C:$C,MATCH('001_population_health_zone_zs'!$B3,[1]ratio_ins!$B:$B,0))</f>
        <v>80082.234038399984</v>
      </c>
      <c r="N3" s="10">
        <f>INDEX([1]ratio_ins!L:L,MATCH('001_population_health_zone_zs'!$B$2,[1]ratio_ins!$B:$B,0))*$G3*INDEX([1]ratio_ins!$C:$C,MATCH('001_population_health_zone_zs'!$B3,[1]ratio_ins!$B:$B,0))</f>
        <v>4707.3834456000004</v>
      </c>
      <c r="O3" s="10">
        <f>INDEX([1]ratio_ins!M:M,MATCH('001_population_health_zone_zs'!$B$2,[1]ratio_ins!$B:$B,0))*$G3*INDEX([1]ratio_ins!$C:$C,MATCH('001_population_health_zone_zs'!$B3,[1]ratio_ins!$B:$B,0))</f>
        <v>10208.783376000001</v>
      </c>
      <c r="P3" s="10">
        <f>INDEX([1]ratio_ins!N:N,MATCH('001_population_health_zone_zs'!$B$2,[1]ratio_ins!$B:$B,0))*$G3*INDEX([1]ratio_ins!$C:$C,MATCH('001_population_health_zone_zs'!$B3,[1]ratio_ins!$B:$B,0))</f>
        <v>9216.2627699999994</v>
      </c>
      <c r="Q3" s="10">
        <f>INDEX([1]ratio_ins!O:O,MATCH('001_population_health_zone_zs'!$B$2,[1]ratio_ins!$B:$B,0))*$G3*INDEX([1]ratio_ins!$C:$C,MATCH('001_population_health_zone_zs'!$B3,[1]ratio_ins!$B:$B,0))</f>
        <v>8223.7421639999993</v>
      </c>
      <c r="R3" s="10">
        <f>INDEX([1]ratio_ins!P:P,MATCH('001_population_health_zone_zs'!$B$2,[1]ratio_ins!$B:$B,0))*$G3*INDEX([1]ratio_ins!$C:$C,MATCH('001_population_health_zone_zs'!$B3,[1]ratio_ins!$B:$B,0))</f>
        <v>8081.9535059999998</v>
      </c>
      <c r="S3" s="10">
        <f>INDEX([1]ratio_ins!Q:Q,MATCH('001_population_health_zone_zs'!$B$2,[1]ratio_ins!$B:$B,0))*$G3*INDEX([1]ratio_ins!$C:$C,MATCH('001_population_health_zone_zs'!$B3,[1]ratio_ins!$B:$B,0))</f>
        <v>6805.8555839999999</v>
      </c>
      <c r="T3" s="10">
        <f>INDEX([1]ratio_ins!R:R,MATCH('001_population_health_zone_zs'!$B$2,[1]ratio_ins!$B:$B,0))*$G3*INDEX([1]ratio_ins!$C:$C,MATCH('001_population_health_zone_zs'!$B3,[1]ratio_ins!$B:$B,0))</f>
        <v>4820.8143719999998</v>
      </c>
      <c r="U3" s="10">
        <f>INDEX([1]ratio_ins!S:S,MATCH('001_population_health_zone_zs'!$B$2,[1]ratio_ins!$B:$B,0))*$G3*INDEX([1]ratio_ins!$C:$C,MATCH('001_population_health_zone_zs'!$B3,[1]ratio_ins!$B:$B,0))</f>
        <v>3828.2937660000002</v>
      </c>
      <c r="V3" s="10">
        <f>INDEX([1]ratio_ins!T:T,MATCH('001_population_health_zone_zs'!$B$2,[1]ratio_ins!$B:$B,0))*$G3*INDEX([1]ratio_ins!$C:$C,MATCH('001_population_health_zone_zs'!$B3,[1]ratio_ins!$B:$B,0))</f>
        <v>2126.82987</v>
      </c>
      <c r="W3" s="11">
        <f>INDEX([1]ratio_ins!U:U,MATCH('001_population_health_zone_zs'!$B$2,[1]ratio_ins!$B:$B,0))*$G3*INDEX([1]ratio_ins!$C:$C,MATCH('001_population_health_zone_zs'!$B3,[1]ratio_ins!$B:$B,0))</f>
        <v>58019.9188536</v>
      </c>
      <c r="X3" s="10">
        <f>INDEX([1]ratio_ins!V:V,MATCH('001_population_health_zone_zs'!$B$2,[1]ratio_ins!$B:$B,0))*$G3*INDEX([1]ratio_ins!$C:$C,MATCH('001_population_health_zone_zs'!$B3,[1]ratio_ins!$B:$B,0))</f>
        <v>1701.463896</v>
      </c>
      <c r="Y3" s="10">
        <f>INDEX([1]ratio_ins!W:W,MATCH('001_population_health_zone_zs'!$B$2,[1]ratio_ins!$B:$B,0))*$G3*INDEX([1]ratio_ins!$C:$C,MATCH('001_population_health_zone_zs'!$B3,[1]ratio_ins!$B:$B,0))</f>
        <v>1134.3092640000002</v>
      </c>
      <c r="Z3" s="10">
        <f>INDEX([1]ratio_ins!X:X,MATCH('001_population_health_zone_zs'!$B$2,[1]ratio_ins!$B:$B,0))*$G3*INDEX([1]ratio_ins!$C:$C,MATCH('001_population_health_zone_zs'!$B3,[1]ratio_ins!$B:$B,0))</f>
        <v>567.15463200000011</v>
      </c>
      <c r="AA3" s="10">
        <f>INDEX([1]ratio_ins!Y:Y,MATCH('001_population_health_zone_zs'!$B$2,[1]ratio_ins!$B:$B,0))*$G3*INDEX([1]ratio_ins!$C:$C,MATCH('001_population_health_zone_zs'!$B3,[1]ratio_ins!$B:$B,0))</f>
        <v>283.57731600000005</v>
      </c>
      <c r="AB3" s="11">
        <f>INDEX([1]ratio_ins!Z:Z,MATCH('001_population_health_zone_zs'!$B$2,[1]ratio_ins!$B:$B,0))*$G3*INDEX([1]ratio_ins!$C:$C,MATCH('001_population_health_zone_zs'!$B3,[1]ratio_ins!$B:$B,0))</f>
        <v>3686.5051080000003</v>
      </c>
      <c r="AC3" s="12">
        <f t="shared" ref="AC3:AC66" si="0">M3+W3+AB3</f>
        <v>141788.658</v>
      </c>
      <c r="AD3" s="10">
        <f>INDEX([1]ratio_ins!AA:AA,MATCH('001_population_health_zone_zs'!$B$2,[1]ratio_ins!$B:$B,0))*$G3*INDEX([1]ratio_ins!$D:$D,MATCH('001_population_health_zone_zs'!$B3,[1]ratio_ins!$B:$B,0))</f>
        <v>29420.441820000004</v>
      </c>
      <c r="AE3" s="10">
        <f>INDEX([1]ratio_ins!AB:AB,MATCH('001_population_health_zone_zs'!$B$2,[1]ratio_ins!$B:$B,0))*$G3*INDEX([1]ratio_ins!$D:$D,MATCH('001_population_health_zone_zs'!$B3,[1]ratio_ins!$B:$B,0))</f>
        <v>24236.840166000005</v>
      </c>
      <c r="AF3" s="10">
        <f>INDEX([1]ratio_ins!AC:AC,MATCH('001_population_health_zone_zs'!$B$2,[1]ratio_ins!$B:$B,0))*$G3*INDEX([1]ratio_ins!$D:$D,MATCH('001_population_health_zone_zs'!$B3,[1]ratio_ins!$B:$B,0))</f>
        <v>19193.335854000001</v>
      </c>
      <c r="AG3" s="10">
        <f>INDEX([1]ratio_ins!AD:AD,MATCH('001_population_health_zone_zs'!$B$2,[1]ratio_ins!$B:$B,0))*$G3*INDEX([1]ratio_ins!$D:$D,MATCH('001_population_health_zone_zs'!$B3,[1]ratio_ins!$B:$B,0))</f>
        <v>11628.079386000001</v>
      </c>
      <c r="AH3" s="10">
        <f>INDEX([1]ratio_ins!AE:AE,MATCH('001_population_health_zone_zs'!$B$2,[1]ratio_ins!$B:$B,0))*$G3*INDEX([1]ratio_ins!$D:$D,MATCH('001_population_health_zone_zs'!$B3,[1]ratio_ins!$B:$B,0))</f>
        <v>6976.8476315999997</v>
      </c>
      <c r="AI3" s="13">
        <f>INDEX([1]ratio_ins!AF:AF,MATCH('001_population_health_zone_zs'!$B$2,[1]ratio_ins!$B:$B,0))*$G3*INDEX([1]ratio_ins!$D:$D,MATCH('001_population_health_zone_zs'!$B3,[1]ratio_ins!$B:$B,0))</f>
        <v>79827.465471600008</v>
      </c>
      <c r="AJ3" s="10">
        <f>INDEX([1]ratio_ins!AG:AG,MATCH('001_population_health_zone_zs'!$B$2,[1]ratio_ins!$B:$B,0))*$G3*INDEX([1]ratio_ins!$D:$D,MATCH('001_population_health_zone_zs'!$B3,[1]ratio_ins!$B:$B,0))</f>
        <v>4651.2317544000007</v>
      </c>
      <c r="AK3" s="10">
        <f>INDEX([1]ratio_ins!AH:AH,MATCH('001_population_health_zone_zs'!$B$2,[1]ratio_ins!$B:$B,0))*$G3*INDEX([1]ratio_ins!$D:$D,MATCH('001_population_health_zone_zs'!$B3,[1]ratio_ins!$B:$B,0))</f>
        <v>10367.203308000002</v>
      </c>
      <c r="AL3" s="10">
        <f>INDEX([1]ratio_ins!AI:AI,MATCH('001_population_health_zone_zs'!$B$2,[1]ratio_ins!$B:$B,0))*$G3*INDEX([1]ratio_ins!$D:$D,MATCH('001_population_health_zone_zs'!$B3,[1]ratio_ins!$B:$B,0))</f>
        <v>9806.8139400000018</v>
      </c>
      <c r="AM3" s="10">
        <f>INDEX([1]ratio_ins!AJ:AJ,MATCH('001_population_health_zone_zs'!$B$2,[1]ratio_ins!$B:$B,0))*$G3*INDEX([1]ratio_ins!$D:$D,MATCH('001_population_health_zone_zs'!$B3,[1]ratio_ins!$B:$B,0))</f>
        <v>8966.2298880000017</v>
      </c>
      <c r="AN3" s="10">
        <f>INDEX([1]ratio_ins!AK:AK,MATCH('001_population_health_zone_zs'!$B$2,[1]ratio_ins!$B:$B,0))*$G3*INDEX([1]ratio_ins!$D:$D,MATCH('001_population_health_zone_zs'!$B3,[1]ratio_ins!$B:$B,0))</f>
        <v>8405.8405200000016</v>
      </c>
      <c r="AO3" s="10">
        <f>INDEX([1]ratio_ins!AL:AL,MATCH('001_population_health_zone_zs'!$B$2,[1]ratio_ins!$B:$B,0))*$G3*INDEX([1]ratio_ins!$D:$D,MATCH('001_population_health_zone_zs'!$B3,[1]ratio_ins!$B:$B,0))</f>
        <v>6304.3803900000003</v>
      </c>
      <c r="AP3" s="10">
        <f>INDEX([1]ratio_ins!AM:AM,MATCH('001_population_health_zone_zs'!$B$2,[1]ratio_ins!$B:$B,0))*$G3*INDEX([1]ratio_ins!$D:$D,MATCH('001_population_health_zone_zs'!$B3,[1]ratio_ins!$B:$B,0))</f>
        <v>4062.8229180000003</v>
      </c>
      <c r="AQ3" s="10">
        <f>INDEX([1]ratio_ins!AN:AN,MATCH('001_population_health_zone_zs'!$B$2,[1]ratio_ins!$B:$B,0))*$G3*INDEX([1]ratio_ins!$D:$D,MATCH('001_population_health_zone_zs'!$B3,[1]ratio_ins!$B:$B,0))</f>
        <v>3222.2388660000001</v>
      </c>
      <c r="AR3" s="10">
        <f>INDEX([1]ratio_ins!AO:AO,MATCH('001_population_health_zone_zs'!$B$2,[1]ratio_ins!$B:$B,0))*$G3*INDEX([1]ratio_ins!$D:$D,MATCH('001_population_health_zone_zs'!$B3,[1]ratio_ins!$B:$B,0))</f>
        <v>1541.0707620000003</v>
      </c>
      <c r="AS3" s="13">
        <f>INDEX([1]ratio_ins!AP:AP,MATCH('001_population_health_zone_zs'!$B$2,[1]ratio_ins!$B:$B,0))*$G3*INDEX([1]ratio_ins!$D:$D,MATCH('001_population_health_zone_zs'!$B3,[1]ratio_ins!$B:$B,0))</f>
        <v>57327.832346400006</v>
      </c>
      <c r="AT3" s="10">
        <f>INDEX([1]ratio_ins!AQ:AQ,MATCH('001_population_health_zone_zs'!$B$2,[1]ratio_ins!$B:$B,0))*$G3*INDEX([1]ratio_ins!$D:$D,MATCH('001_population_health_zone_zs'!$B3,[1]ratio_ins!$B:$B,0))</f>
        <v>1400.9734200000003</v>
      </c>
      <c r="AU3" s="10">
        <f>INDEX([1]ratio_ins!AR:AR,MATCH('001_population_health_zone_zs'!$B$2,[1]ratio_ins!$B:$B,0))*$G3*INDEX([1]ratio_ins!$D:$D,MATCH('001_population_health_zone_zs'!$B3,[1]ratio_ins!$B:$B,0))</f>
        <v>840.58405200000016</v>
      </c>
      <c r="AV3" s="10">
        <f>INDEX([1]ratio_ins!AS:AS,MATCH('001_population_health_zone_zs'!$B$2,[1]ratio_ins!$B:$B,0))*$G3*INDEX([1]ratio_ins!$D:$D,MATCH('001_population_health_zone_zs'!$B3,[1]ratio_ins!$B:$B,0))</f>
        <v>420.29202600000008</v>
      </c>
      <c r="AW3" s="10">
        <f>INDEX([1]ratio_ins!AT:AT,MATCH('001_population_health_zone_zs'!$B$2,[1]ratio_ins!$B:$B,0))*$G3*INDEX([1]ratio_ins!$D:$D,MATCH('001_population_health_zone_zs'!$B3,[1]ratio_ins!$B:$B,0))</f>
        <v>280.19468400000005</v>
      </c>
      <c r="AX3" s="13">
        <f>INDEX([1]ratio_ins!AU:AU,MATCH('001_population_health_zone_zs'!$B$2,[1]ratio_ins!$B:$B,0))*$G3*INDEX([1]ratio_ins!$D:$D,MATCH('001_population_health_zone_zs'!$B3,[1]ratio_ins!$B:$B,0))</f>
        <v>2942.0441820000001</v>
      </c>
      <c r="AY3" s="14">
        <f t="shared" ref="AY3:AY66" si="1">AI3+AS3+AX3</f>
        <v>140097.34200000003</v>
      </c>
      <c r="AZ3" s="15">
        <f t="shared" ref="AZ3:AZ66" si="2">AC3+AY3</f>
        <v>281886</v>
      </c>
      <c r="BA3" s="16">
        <v>278624.89520413225</v>
      </c>
      <c r="BB3" s="10">
        <f t="shared" ref="BB3:BB66" si="3">SUM(AH3,AJ3,AK3:AP3)</f>
        <v>59541.370349999997</v>
      </c>
      <c r="BC3" s="17">
        <f t="shared" ref="BC3:BC66" si="4">BB3/G3</f>
        <v>0.211225</v>
      </c>
      <c r="BD3" s="10">
        <f t="shared" ref="BD3:BD66" si="5">SUM(L3,N3:T3)</f>
        <v>59125.870386000002</v>
      </c>
    </row>
    <row r="4" spans="1:56" x14ac:dyDescent="0.25">
      <c r="A4" s="8" t="s">
        <v>10</v>
      </c>
      <c r="B4" s="8" t="s">
        <v>11</v>
      </c>
      <c r="C4" s="8" t="s">
        <v>10</v>
      </c>
      <c r="D4" s="8" t="s">
        <v>12</v>
      </c>
      <c r="E4" s="8" t="s">
        <v>17</v>
      </c>
      <c r="F4" s="8" t="s">
        <v>18</v>
      </c>
      <c r="G4" s="9">
        <v>745289</v>
      </c>
      <c r="H4" s="10">
        <f>INDEX([1]ratio_ins!F:F,MATCH('001_population_health_zone_zs'!$B$2,[1]ratio_ins!$B:$B,0))*$G4*INDEX([1]ratio_ins!$C:$C,MATCH('001_population_health_zone_zs'!$B4,[1]ratio_ins!$B:$B,0))</f>
        <v>78349.996702999997</v>
      </c>
      <c r="I4" s="10">
        <f>INDEX([1]ratio_ins!G:G,MATCH('001_population_health_zone_zs'!$B$2,[1]ratio_ins!$B:$B,0))*$G4*INDEX([1]ratio_ins!$C:$C,MATCH('001_population_health_zone_zs'!$B4,[1]ratio_ins!$B:$B,0))</f>
        <v>64104.542757000003</v>
      </c>
      <c r="J4" s="10">
        <f>INDEX([1]ratio_ins!H:H,MATCH('001_population_health_zone_zs'!$B$2,[1]ratio_ins!$B:$B,0))*$G4*INDEX([1]ratio_ins!$C:$C,MATCH('001_population_health_zone_zs'!$B4,[1]ratio_ins!$B:$B,0))</f>
        <v>50608.849544999997</v>
      </c>
      <c r="K4" s="10">
        <f>INDEX([1]ratio_ins!I:I,MATCH('001_population_health_zone_zs'!$B$2,[1]ratio_ins!$B:$B,0))*$G4*INDEX([1]ratio_ins!$C:$C,MATCH('001_population_health_zone_zs'!$B4,[1]ratio_ins!$B:$B,0))</f>
        <v>31115.070460999999</v>
      </c>
      <c r="L4" s="10">
        <f>INDEX([1]ratio_ins!J:J,MATCH('001_population_health_zone_zs'!$B$2,[1]ratio_ins!$B:$B,0))*$G4*INDEX([1]ratio_ins!$C:$C,MATCH('001_population_health_zone_zs'!$B4,[1]ratio_ins!$B:$B,0))</f>
        <v>18669.042276599997</v>
      </c>
      <c r="M4" s="11">
        <f>INDEX([1]ratio_ins!K:K,MATCH('001_population_health_zone_zs'!$B$2,[1]ratio_ins!$B:$B,0))*$G4*INDEX([1]ratio_ins!$C:$C,MATCH('001_population_health_zone_zs'!$B4,[1]ratio_ins!$B:$B,0))</f>
        <v>211732.43128159997</v>
      </c>
      <c r="N4" s="10">
        <f>INDEX([1]ratio_ins!L:L,MATCH('001_population_health_zone_zs'!$B$2,[1]ratio_ins!$B:$B,0))*$G4*INDEX([1]ratio_ins!$C:$C,MATCH('001_population_health_zone_zs'!$B4,[1]ratio_ins!$B:$B,0))</f>
        <v>12446.0281844</v>
      </c>
      <c r="O4" s="10">
        <f>INDEX([1]ratio_ins!M:M,MATCH('001_population_health_zone_zs'!$B$2,[1]ratio_ins!$B:$B,0))*$G4*INDEX([1]ratio_ins!$C:$C,MATCH('001_population_health_zone_zs'!$B4,[1]ratio_ins!$B:$B,0))</f>
        <v>26991.386424000004</v>
      </c>
      <c r="P4" s="10">
        <f>INDEX([1]ratio_ins!N:N,MATCH('001_population_health_zone_zs'!$B$2,[1]ratio_ins!$B:$B,0))*$G4*INDEX([1]ratio_ins!$C:$C,MATCH('001_population_health_zone_zs'!$B4,[1]ratio_ins!$B:$B,0))</f>
        <v>24367.223855</v>
      </c>
      <c r="Q4" s="10">
        <f>INDEX([1]ratio_ins!O:O,MATCH('001_population_health_zone_zs'!$B$2,[1]ratio_ins!$B:$B,0))*$G4*INDEX([1]ratio_ins!$C:$C,MATCH('001_population_health_zone_zs'!$B4,[1]ratio_ins!$B:$B,0))</f>
        <v>21743.061285999996</v>
      </c>
      <c r="R4" s="10">
        <f>INDEX([1]ratio_ins!P:P,MATCH('001_population_health_zone_zs'!$B$2,[1]ratio_ins!$B:$B,0))*$G4*INDEX([1]ratio_ins!$C:$C,MATCH('001_population_health_zone_zs'!$B4,[1]ratio_ins!$B:$B,0))</f>
        <v>21368.180918999999</v>
      </c>
      <c r="S4" s="10">
        <f>INDEX([1]ratio_ins!Q:Q,MATCH('001_population_health_zone_zs'!$B$2,[1]ratio_ins!$B:$B,0))*$G4*INDEX([1]ratio_ins!$C:$C,MATCH('001_population_health_zone_zs'!$B4,[1]ratio_ins!$B:$B,0))</f>
        <v>17994.257616000003</v>
      </c>
      <c r="T4" s="10">
        <f>INDEX([1]ratio_ins!R:R,MATCH('001_population_health_zone_zs'!$B$2,[1]ratio_ins!$B:$B,0))*$G4*INDEX([1]ratio_ins!$C:$C,MATCH('001_population_health_zone_zs'!$B4,[1]ratio_ins!$B:$B,0))</f>
        <v>12745.932478000001</v>
      </c>
      <c r="U4" s="10">
        <f>INDEX([1]ratio_ins!S:S,MATCH('001_population_health_zone_zs'!$B$2,[1]ratio_ins!$B:$B,0))*$G4*INDEX([1]ratio_ins!$C:$C,MATCH('001_population_health_zone_zs'!$B4,[1]ratio_ins!$B:$B,0))</f>
        <v>10121.769909000002</v>
      </c>
      <c r="V4" s="10">
        <f>INDEX([1]ratio_ins!T:T,MATCH('001_population_health_zone_zs'!$B$2,[1]ratio_ins!$B:$B,0))*$G4*INDEX([1]ratio_ins!$C:$C,MATCH('001_population_health_zone_zs'!$B4,[1]ratio_ins!$B:$B,0))</f>
        <v>5623.2055049999999</v>
      </c>
      <c r="W4" s="11">
        <f>INDEX([1]ratio_ins!U:U,MATCH('001_population_health_zone_zs'!$B$2,[1]ratio_ins!$B:$B,0))*$G4*INDEX([1]ratio_ins!$C:$C,MATCH('001_population_health_zone_zs'!$B4,[1]ratio_ins!$B:$B,0))</f>
        <v>153401.04617640001</v>
      </c>
      <c r="X4" s="10">
        <f>INDEX([1]ratio_ins!V:V,MATCH('001_population_health_zone_zs'!$B$2,[1]ratio_ins!$B:$B,0))*$G4*INDEX([1]ratio_ins!$C:$C,MATCH('001_population_health_zone_zs'!$B4,[1]ratio_ins!$B:$B,0))</f>
        <v>4498.5644040000006</v>
      </c>
      <c r="Y4" s="10">
        <f>INDEX([1]ratio_ins!W:W,MATCH('001_population_health_zone_zs'!$B$2,[1]ratio_ins!$B:$B,0))*$G4*INDEX([1]ratio_ins!$C:$C,MATCH('001_population_health_zone_zs'!$B4,[1]ratio_ins!$B:$B,0))</f>
        <v>2999.0429359999998</v>
      </c>
      <c r="Z4" s="10">
        <f>INDEX([1]ratio_ins!X:X,MATCH('001_population_health_zone_zs'!$B$2,[1]ratio_ins!$B:$B,0))*$G4*INDEX([1]ratio_ins!$C:$C,MATCH('001_population_health_zone_zs'!$B4,[1]ratio_ins!$B:$B,0))</f>
        <v>1499.5214679999999</v>
      </c>
      <c r="AA4" s="10">
        <f>INDEX([1]ratio_ins!Y:Y,MATCH('001_population_health_zone_zs'!$B$2,[1]ratio_ins!$B:$B,0))*$G4*INDEX([1]ratio_ins!$C:$C,MATCH('001_population_health_zone_zs'!$B4,[1]ratio_ins!$B:$B,0))</f>
        <v>749.76073399999996</v>
      </c>
      <c r="AB4" s="11">
        <f>INDEX([1]ratio_ins!Z:Z,MATCH('001_population_health_zone_zs'!$B$2,[1]ratio_ins!$B:$B,0))*$G4*INDEX([1]ratio_ins!$C:$C,MATCH('001_population_health_zone_zs'!$B4,[1]ratio_ins!$B:$B,0))</f>
        <v>9746.8895420000008</v>
      </c>
      <c r="AC4" s="12">
        <f t="shared" si="0"/>
        <v>374880.36699999997</v>
      </c>
      <c r="AD4" s="10">
        <f>INDEX([1]ratio_ins!AA:AA,MATCH('001_population_health_zone_zs'!$B$2,[1]ratio_ins!$B:$B,0))*$G4*INDEX([1]ratio_ins!$D:$D,MATCH('001_population_health_zone_zs'!$B4,[1]ratio_ins!$B:$B,0))</f>
        <v>77785.812930000015</v>
      </c>
      <c r="AE4" s="10">
        <f>INDEX([1]ratio_ins!AB:AB,MATCH('001_population_health_zone_zs'!$B$2,[1]ratio_ins!$B:$B,0))*$G4*INDEX([1]ratio_ins!$D:$D,MATCH('001_population_health_zone_zs'!$B4,[1]ratio_ins!$B:$B,0))</f>
        <v>64080.693509000019</v>
      </c>
      <c r="AF4" s="10">
        <f>INDEX([1]ratio_ins!AC:AC,MATCH('001_population_health_zone_zs'!$B$2,[1]ratio_ins!$B:$B,0))*$G4*INDEX([1]ratio_ins!$D:$D,MATCH('001_population_health_zone_zs'!$B4,[1]ratio_ins!$B:$B,0))</f>
        <v>50745.982721</v>
      </c>
      <c r="AG4" s="10">
        <f>INDEX([1]ratio_ins!AD:AD,MATCH('001_population_health_zone_zs'!$B$2,[1]ratio_ins!$B:$B,0))*$G4*INDEX([1]ratio_ins!$D:$D,MATCH('001_population_health_zone_zs'!$B4,[1]ratio_ins!$B:$B,0))</f>
        <v>30743.916539000005</v>
      </c>
      <c r="AH4" s="10">
        <f>INDEX([1]ratio_ins!AE:AE,MATCH('001_population_health_zone_zs'!$B$2,[1]ratio_ins!$B:$B,0))*$G4*INDEX([1]ratio_ins!$D:$D,MATCH('001_population_health_zone_zs'!$B4,[1]ratio_ins!$B:$B,0))</f>
        <v>18446.349923400001</v>
      </c>
      <c r="AI4" s="13">
        <f>INDEX([1]ratio_ins!AF:AF,MATCH('001_population_health_zone_zs'!$B$2,[1]ratio_ins!$B:$B,0))*$G4*INDEX([1]ratio_ins!$D:$D,MATCH('001_population_health_zone_zs'!$B4,[1]ratio_ins!$B:$B,0))</f>
        <v>211058.8390834</v>
      </c>
      <c r="AJ4" s="10">
        <f>INDEX([1]ratio_ins!AG:AG,MATCH('001_population_health_zone_zs'!$B$2,[1]ratio_ins!$B:$B,0))*$G4*INDEX([1]ratio_ins!$D:$D,MATCH('001_population_health_zone_zs'!$B4,[1]ratio_ins!$B:$B,0))</f>
        <v>12297.566615600001</v>
      </c>
      <c r="AK4" s="10">
        <f>INDEX([1]ratio_ins!AH:AH,MATCH('001_population_health_zone_zs'!$B$2,[1]ratio_ins!$B:$B,0))*$G4*INDEX([1]ratio_ins!$D:$D,MATCH('001_population_health_zone_zs'!$B4,[1]ratio_ins!$B:$B,0))</f>
        <v>27410.238842000006</v>
      </c>
      <c r="AL4" s="10">
        <f>INDEX([1]ratio_ins!AI:AI,MATCH('001_population_health_zone_zs'!$B$2,[1]ratio_ins!$B:$B,0))*$G4*INDEX([1]ratio_ins!$D:$D,MATCH('001_population_health_zone_zs'!$B4,[1]ratio_ins!$B:$B,0))</f>
        <v>25928.604310000006</v>
      </c>
      <c r="AM4" s="10">
        <f>INDEX([1]ratio_ins!AJ:AJ,MATCH('001_population_health_zone_zs'!$B$2,[1]ratio_ins!$B:$B,0))*$G4*INDEX([1]ratio_ins!$D:$D,MATCH('001_population_health_zone_zs'!$B4,[1]ratio_ins!$B:$B,0))</f>
        <v>23706.152512000001</v>
      </c>
      <c r="AN4" s="10">
        <f>INDEX([1]ratio_ins!AK:AK,MATCH('001_population_health_zone_zs'!$B$2,[1]ratio_ins!$B:$B,0))*$G4*INDEX([1]ratio_ins!$D:$D,MATCH('001_population_health_zone_zs'!$B4,[1]ratio_ins!$B:$B,0))</f>
        <v>22224.517980000001</v>
      </c>
      <c r="AO4" s="10">
        <f>INDEX([1]ratio_ins!AL:AL,MATCH('001_population_health_zone_zs'!$B$2,[1]ratio_ins!$B:$B,0))*$G4*INDEX([1]ratio_ins!$D:$D,MATCH('001_population_health_zone_zs'!$B4,[1]ratio_ins!$B:$B,0))</f>
        <v>16668.388484999999</v>
      </c>
      <c r="AP4" s="10">
        <f>INDEX([1]ratio_ins!AM:AM,MATCH('001_population_health_zone_zs'!$B$2,[1]ratio_ins!$B:$B,0))*$G4*INDEX([1]ratio_ins!$D:$D,MATCH('001_population_health_zone_zs'!$B4,[1]ratio_ins!$B:$B,0))</f>
        <v>10741.850356999999</v>
      </c>
      <c r="AQ4" s="10">
        <f>INDEX([1]ratio_ins!AN:AN,MATCH('001_population_health_zone_zs'!$B$2,[1]ratio_ins!$B:$B,0))*$G4*INDEX([1]ratio_ins!$D:$D,MATCH('001_population_health_zone_zs'!$B4,[1]ratio_ins!$B:$B,0))</f>
        <v>8519.3985590000011</v>
      </c>
      <c r="AR4" s="10">
        <f>INDEX([1]ratio_ins!AO:AO,MATCH('001_population_health_zone_zs'!$B$2,[1]ratio_ins!$B:$B,0))*$G4*INDEX([1]ratio_ins!$D:$D,MATCH('001_population_health_zone_zs'!$B4,[1]ratio_ins!$B:$B,0))</f>
        <v>4074.4949630000006</v>
      </c>
      <c r="AS4" s="13">
        <f>INDEX([1]ratio_ins!AP:AP,MATCH('001_population_health_zone_zs'!$B$2,[1]ratio_ins!$B:$B,0))*$G4*INDEX([1]ratio_ins!$D:$D,MATCH('001_population_health_zone_zs'!$B4,[1]ratio_ins!$B:$B,0))</f>
        <v>151571.21262360003</v>
      </c>
      <c r="AT4" s="10">
        <f>INDEX([1]ratio_ins!AQ:AQ,MATCH('001_population_health_zone_zs'!$B$2,[1]ratio_ins!$B:$B,0))*$G4*INDEX([1]ratio_ins!$D:$D,MATCH('001_population_health_zone_zs'!$B4,[1]ratio_ins!$B:$B,0))</f>
        <v>3704.0863300000005</v>
      </c>
      <c r="AU4" s="10">
        <f>INDEX([1]ratio_ins!AR:AR,MATCH('001_population_health_zone_zs'!$B$2,[1]ratio_ins!$B:$B,0))*$G4*INDEX([1]ratio_ins!$D:$D,MATCH('001_population_health_zone_zs'!$B4,[1]ratio_ins!$B:$B,0))</f>
        <v>2222.4517980000005</v>
      </c>
      <c r="AV4" s="10">
        <f>INDEX([1]ratio_ins!AS:AS,MATCH('001_population_health_zone_zs'!$B$2,[1]ratio_ins!$B:$B,0))*$G4*INDEX([1]ratio_ins!$D:$D,MATCH('001_population_health_zone_zs'!$B4,[1]ratio_ins!$B:$B,0))</f>
        <v>1111.2258990000003</v>
      </c>
      <c r="AW4" s="10">
        <f>INDEX([1]ratio_ins!AT:AT,MATCH('001_population_health_zone_zs'!$B$2,[1]ratio_ins!$B:$B,0))*$G4*INDEX([1]ratio_ins!$D:$D,MATCH('001_population_health_zone_zs'!$B4,[1]ratio_ins!$B:$B,0))</f>
        <v>740.81726600000002</v>
      </c>
      <c r="AX4" s="13">
        <f>INDEX([1]ratio_ins!AU:AU,MATCH('001_population_health_zone_zs'!$B$2,[1]ratio_ins!$B:$B,0))*$G4*INDEX([1]ratio_ins!$D:$D,MATCH('001_population_health_zone_zs'!$B4,[1]ratio_ins!$B:$B,0))</f>
        <v>7778.5812929999993</v>
      </c>
      <c r="AY4" s="14">
        <f t="shared" si="1"/>
        <v>370408.63300000003</v>
      </c>
      <c r="AZ4" s="15">
        <f t="shared" si="2"/>
        <v>745289</v>
      </c>
      <c r="BA4" s="16">
        <v>736666.72745680762</v>
      </c>
      <c r="BB4" s="10">
        <f t="shared" si="3"/>
        <v>157423.66902500001</v>
      </c>
      <c r="BC4" s="17">
        <f t="shared" si="4"/>
        <v>0.21122500000000002</v>
      </c>
      <c r="BD4" s="10">
        <f t="shared" si="5"/>
        <v>156325.11303900002</v>
      </c>
    </row>
    <row r="5" spans="1:56" x14ac:dyDescent="0.25">
      <c r="A5" s="8" t="s">
        <v>10</v>
      </c>
      <c r="B5" s="8" t="s">
        <v>11</v>
      </c>
      <c r="C5" s="8" t="s">
        <v>10</v>
      </c>
      <c r="D5" s="8" t="s">
        <v>12</v>
      </c>
      <c r="E5" s="8" t="s">
        <v>19</v>
      </c>
      <c r="F5" s="8" t="s">
        <v>20</v>
      </c>
      <c r="G5" s="9">
        <v>694614</v>
      </c>
      <c r="H5" s="10">
        <f>INDEX([1]ratio_ins!F:F,MATCH('001_population_health_zone_zs'!$B$2,[1]ratio_ins!$B:$B,0))*$G5*INDEX([1]ratio_ins!$C:$C,MATCH('001_population_health_zone_zs'!$B5,[1]ratio_ins!$B:$B,0))</f>
        <v>73022.685977999994</v>
      </c>
      <c r="I5" s="10">
        <f>INDEX([1]ratio_ins!G:G,MATCH('001_population_health_zone_zs'!$B$2,[1]ratio_ins!$B:$B,0))*$G5*INDEX([1]ratio_ins!$C:$C,MATCH('001_population_health_zone_zs'!$B5,[1]ratio_ins!$B:$B,0))</f>
        <v>59745.833982000004</v>
      </c>
      <c r="J5" s="10">
        <f>INDEX([1]ratio_ins!H:H,MATCH('001_population_health_zone_zs'!$B$2,[1]ratio_ins!$B:$B,0))*$G5*INDEX([1]ratio_ins!$C:$C,MATCH('001_population_health_zone_zs'!$B5,[1]ratio_ins!$B:$B,0))</f>
        <v>47167.76367</v>
      </c>
      <c r="K5" s="10">
        <f>INDEX([1]ratio_ins!I:I,MATCH('001_population_health_zone_zs'!$B$2,[1]ratio_ins!$B:$B,0))*$G5*INDEX([1]ratio_ins!$C:$C,MATCH('001_population_health_zone_zs'!$B5,[1]ratio_ins!$B:$B,0))</f>
        <v>28999.439886</v>
      </c>
      <c r="L5" s="10">
        <f>INDEX([1]ratio_ins!J:J,MATCH('001_population_health_zone_zs'!$B$2,[1]ratio_ins!$B:$B,0))*$G5*INDEX([1]ratio_ins!$C:$C,MATCH('001_population_health_zone_zs'!$B5,[1]ratio_ins!$B:$B,0))</f>
        <v>17399.6639316</v>
      </c>
      <c r="M5" s="11">
        <f>INDEX([1]ratio_ins!K:K,MATCH('001_population_health_zone_zs'!$B$2,[1]ratio_ins!$B:$B,0))*$G5*INDEX([1]ratio_ins!$C:$C,MATCH('001_population_health_zone_zs'!$B5,[1]ratio_ins!$B:$B,0))</f>
        <v>197335.94756159998</v>
      </c>
      <c r="N5" s="10">
        <f>INDEX([1]ratio_ins!L:L,MATCH('001_population_health_zone_zs'!$B$2,[1]ratio_ins!$B:$B,0))*$G5*INDEX([1]ratio_ins!$C:$C,MATCH('001_population_health_zone_zs'!$B5,[1]ratio_ins!$B:$B,0))</f>
        <v>11599.7759544</v>
      </c>
      <c r="O5" s="10">
        <f>INDEX([1]ratio_ins!M:M,MATCH('001_population_health_zone_zs'!$B$2,[1]ratio_ins!$B:$B,0))*$G5*INDEX([1]ratio_ins!$C:$C,MATCH('001_population_health_zone_zs'!$B5,[1]ratio_ins!$B:$B,0))</f>
        <v>25156.140624000003</v>
      </c>
      <c r="P5" s="10">
        <f>INDEX([1]ratio_ins!N:N,MATCH('001_population_health_zone_zs'!$B$2,[1]ratio_ins!$B:$B,0))*$G5*INDEX([1]ratio_ins!$C:$C,MATCH('001_population_health_zone_zs'!$B5,[1]ratio_ins!$B:$B,0))</f>
        <v>22710.404730000002</v>
      </c>
      <c r="Q5" s="10">
        <f>INDEX([1]ratio_ins!O:O,MATCH('001_population_health_zone_zs'!$B$2,[1]ratio_ins!$B:$B,0))*$G5*INDEX([1]ratio_ins!$C:$C,MATCH('001_population_health_zone_zs'!$B5,[1]ratio_ins!$B:$B,0))</f>
        <v>20264.668835999997</v>
      </c>
      <c r="R5" s="10">
        <f>INDEX([1]ratio_ins!P:P,MATCH('001_population_health_zone_zs'!$B$2,[1]ratio_ins!$B:$B,0))*$G5*INDEX([1]ratio_ins!$C:$C,MATCH('001_population_health_zone_zs'!$B5,[1]ratio_ins!$B:$B,0))</f>
        <v>19915.277994</v>
      </c>
      <c r="S5" s="10">
        <f>INDEX([1]ratio_ins!Q:Q,MATCH('001_population_health_zone_zs'!$B$2,[1]ratio_ins!$B:$B,0))*$G5*INDEX([1]ratio_ins!$C:$C,MATCH('001_population_health_zone_zs'!$B5,[1]ratio_ins!$B:$B,0))</f>
        <v>16770.760416000001</v>
      </c>
      <c r="T5" s="10">
        <f>INDEX([1]ratio_ins!R:R,MATCH('001_population_health_zone_zs'!$B$2,[1]ratio_ins!$B:$B,0))*$G5*INDEX([1]ratio_ins!$C:$C,MATCH('001_population_health_zone_zs'!$B5,[1]ratio_ins!$B:$B,0))</f>
        <v>11879.288628</v>
      </c>
      <c r="U5" s="10">
        <f>INDEX([1]ratio_ins!S:S,MATCH('001_population_health_zone_zs'!$B$2,[1]ratio_ins!$B:$B,0))*$G5*INDEX([1]ratio_ins!$C:$C,MATCH('001_population_health_zone_zs'!$B5,[1]ratio_ins!$B:$B,0))</f>
        <v>9433.5527340000008</v>
      </c>
      <c r="V5" s="10">
        <f>INDEX([1]ratio_ins!T:T,MATCH('001_population_health_zone_zs'!$B$2,[1]ratio_ins!$B:$B,0))*$G5*INDEX([1]ratio_ins!$C:$C,MATCH('001_population_health_zone_zs'!$B5,[1]ratio_ins!$B:$B,0))</f>
        <v>5240.8626299999996</v>
      </c>
      <c r="W5" s="11">
        <f>INDEX([1]ratio_ins!U:U,MATCH('001_population_health_zone_zs'!$B$2,[1]ratio_ins!$B:$B,0))*$G5*INDEX([1]ratio_ins!$C:$C,MATCH('001_population_health_zone_zs'!$B5,[1]ratio_ins!$B:$B,0))</f>
        <v>142970.73254639999</v>
      </c>
      <c r="X5" s="10">
        <f>INDEX([1]ratio_ins!V:V,MATCH('001_population_health_zone_zs'!$B$2,[1]ratio_ins!$B:$B,0))*$G5*INDEX([1]ratio_ins!$C:$C,MATCH('001_population_health_zone_zs'!$B5,[1]ratio_ins!$B:$B,0))</f>
        <v>4192.6901040000002</v>
      </c>
      <c r="Y5" s="10">
        <f>INDEX([1]ratio_ins!W:W,MATCH('001_population_health_zone_zs'!$B$2,[1]ratio_ins!$B:$B,0))*$G5*INDEX([1]ratio_ins!$C:$C,MATCH('001_population_health_zone_zs'!$B5,[1]ratio_ins!$B:$B,0))</f>
        <v>2795.1267360000002</v>
      </c>
      <c r="Z5" s="10">
        <f>INDEX([1]ratio_ins!X:X,MATCH('001_population_health_zone_zs'!$B$2,[1]ratio_ins!$B:$B,0))*$G5*INDEX([1]ratio_ins!$C:$C,MATCH('001_population_health_zone_zs'!$B5,[1]ratio_ins!$B:$B,0))</f>
        <v>1397.5633680000001</v>
      </c>
      <c r="AA5" s="10">
        <f>INDEX([1]ratio_ins!Y:Y,MATCH('001_population_health_zone_zs'!$B$2,[1]ratio_ins!$B:$B,0))*$G5*INDEX([1]ratio_ins!$C:$C,MATCH('001_population_health_zone_zs'!$B5,[1]ratio_ins!$B:$B,0))</f>
        <v>698.78168400000004</v>
      </c>
      <c r="AB5" s="11">
        <f>INDEX([1]ratio_ins!Z:Z,MATCH('001_population_health_zone_zs'!$B$2,[1]ratio_ins!$B:$B,0))*$G5*INDEX([1]ratio_ins!$C:$C,MATCH('001_population_health_zone_zs'!$B5,[1]ratio_ins!$B:$B,0))</f>
        <v>9084.1618920000001</v>
      </c>
      <c r="AC5" s="12">
        <f t="shared" si="0"/>
        <v>349390.84199999995</v>
      </c>
      <c r="AD5" s="10">
        <f>INDEX([1]ratio_ins!AA:AA,MATCH('001_population_health_zone_zs'!$B$2,[1]ratio_ins!$B:$B,0))*$G5*INDEX([1]ratio_ins!$D:$D,MATCH('001_population_health_zone_zs'!$B5,[1]ratio_ins!$B:$B,0))</f>
        <v>72496.863180000015</v>
      </c>
      <c r="AE5" s="10">
        <f>INDEX([1]ratio_ins!AB:AB,MATCH('001_population_health_zone_zs'!$B$2,[1]ratio_ins!$B:$B,0))*$G5*INDEX([1]ratio_ins!$D:$D,MATCH('001_population_health_zone_zs'!$B5,[1]ratio_ins!$B:$B,0))</f>
        <v>59723.606334000011</v>
      </c>
      <c r="AF5" s="10">
        <f>INDEX([1]ratio_ins!AC:AC,MATCH('001_population_health_zone_zs'!$B$2,[1]ratio_ins!$B:$B,0))*$G5*INDEX([1]ratio_ins!$D:$D,MATCH('001_population_health_zone_zs'!$B5,[1]ratio_ins!$B:$B,0))</f>
        <v>47295.572646000001</v>
      </c>
      <c r="AG5" s="10">
        <f>INDEX([1]ratio_ins!AD:AD,MATCH('001_population_health_zone_zs'!$B$2,[1]ratio_ins!$B:$B,0))*$G5*INDEX([1]ratio_ins!$D:$D,MATCH('001_population_health_zone_zs'!$B5,[1]ratio_ins!$B:$B,0))</f>
        <v>28653.522114000003</v>
      </c>
      <c r="AH5" s="10">
        <f>INDEX([1]ratio_ins!AE:AE,MATCH('001_population_health_zone_zs'!$B$2,[1]ratio_ins!$B:$B,0))*$G5*INDEX([1]ratio_ins!$D:$D,MATCH('001_population_health_zone_zs'!$B5,[1]ratio_ins!$B:$B,0))</f>
        <v>17192.1132684</v>
      </c>
      <c r="AI5" s="13">
        <f>INDEX([1]ratio_ins!AF:AF,MATCH('001_population_health_zone_zs'!$B$2,[1]ratio_ins!$B:$B,0))*$G5*INDEX([1]ratio_ins!$D:$D,MATCH('001_population_health_zone_zs'!$B5,[1]ratio_ins!$B:$B,0))</f>
        <v>196708.1554284</v>
      </c>
      <c r="AJ5" s="10">
        <f>INDEX([1]ratio_ins!AG:AG,MATCH('001_population_health_zone_zs'!$B$2,[1]ratio_ins!$B:$B,0))*$G5*INDEX([1]ratio_ins!$D:$D,MATCH('001_population_health_zone_zs'!$B5,[1]ratio_ins!$B:$B,0))</f>
        <v>11461.408845600001</v>
      </c>
      <c r="AK5" s="10">
        <f>INDEX([1]ratio_ins!AH:AH,MATCH('001_population_health_zone_zs'!$B$2,[1]ratio_ins!$B:$B,0))*$G5*INDEX([1]ratio_ins!$D:$D,MATCH('001_population_health_zone_zs'!$B5,[1]ratio_ins!$B:$B,0))</f>
        <v>25546.513692000008</v>
      </c>
      <c r="AL5" s="10">
        <f>INDEX([1]ratio_ins!AI:AI,MATCH('001_population_health_zone_zs'!$B$2,[1]ratio_ins!$B:$B,0))*$G5*INDEX([1]ratio_ins!$D:$D,MATCH('001_population_health_zone_zs'!$B5,[1]ratio_ins!$B:$B,0))</f>
        <v>24165.621060000005</v>
      </c>
      <c r="AM5" s="10">
        <f>INDEX([1]ratio_ins!AJ:AJ,MATCH('001_population_health_zone_zs'!$B$2,[1]ratio_ins!$B:$B,0))*$G5*INDEX([1]ratio_ins!$D:$D,MATCH('001_population_health_zone_zs'!$B5,[1]ratio_ins!$B:$B,0))</f>
        <v>22094.282112000004</v>
      </c>
      <c r="AN5" s="10">
        <f>INDEX([1]ratio_ins!AK:AK,MATCH('001_population_health_zone_zs'!$B$2,[1]ratio_ins!$B:$B,0))*$G5*INDEX([1]ratio_ins!$D:$D,MATCH('001_population_health_zone_zs'!$B5,[1]ratio_ins!$B:$B,0))</f>
        <v>20713.389480000002</v>
      </c>
      <c r="AO5" s="10">
        <f>INDEX([1]ratio_ins!AL:AL,MATCH('001_population_health_zone_zs'!$B$2,[1]ratio_ins!$B:$B,0))*$G5*INDEX([1]ratio_ins!$D:$D,MATCH('001_population_health_zone_zs'!$B5,[1]ratio_ins!$B:$B,0))</f>
        <v>15535.04211</v>
      </c>
      <c r="AP5" s="10">
        <f>INDEX([1]ratio_ins!AM:AM,MATCH('001_population_health_zone_zs'!$B$2,[1]ratio_ins!$B:$B,0))*$G5*INDEX([1]ratio_ins!$D:$D,MATCH('001_population_health_zone_zs'!$B5,[1]ratio_ins!$B:$B,0))</f>
        <v>10011.471582</v>
      </c>
      <c r="AQ5" s="10">
        <f>INDEX([1]ratio_ins!AN:AN,MATCH('001_population_health_zone_zs'!$B$2,[1]ratio_ins!$B:$B,0))*$G5*INDEX([1]ratio_ins!$D:$D,MATCH('001_population_health_zone_zs'!$B5,[1]ratio_ins!$B:$B,0))</f>
        <v>7940.1326340000005</v>
      </c>
      <c r="AR5" s="10">
        <f>INDEX([1]ratio_ins!AO:AO,MATCH('001_population_health_zone_zs'!$B$2,[1]ratio_ins!$B:$B,0))*$G5*INDEX([1]ratio_ins!$D:$D,MATCH('001_population_health_zone_zs'!$B5,[1]ratio_ins!$B:$B,0))</f>
        <v>3797.4547380000008</v>
      </c>
      <c r="AS5" s="13">
        <f>INDEX([1]ratio_ins!AP:AP,MATCH('001_population_health_zone_zs'!$B$2,[1]ratio_ins!$B:$B,0))*$G5*INDEX([1]ratio_ins!$D:$D,MATCH('001_population_health_zone_zs'!$B5,[1]ratio_ins!$B:$B,0))</f>
        <v>141265.3162536</v>
      </c>
      <c r="AT5" s="10">
        <f>INDEX([1]ratio_ins!AQ:AQ,MATCH('001_population_health_zone_zs'!$B$2,[1]ratio_ins!$B:$B,0))*$G5*INDEX([1]ratio_ins!$D:$D,MATCH('001_population_health_zone_zs'!$B5,[1]ratio_ins!$B:$B,0))</f>
        <v>3452.2315800000006</v>
      </c>
      <c r="AU5" s="10">
        <f>INDEX([1]ratio_ins!AR:AR,MATCH('001_population_health_zone_zs'!$B$2,[1]ratio_ins!$B:$B,0))*$G5*INDEX([1]ratio_ins!$D:$D,MATCH('001_population_health_zone_zs'!$B5,[1]ratio_ins!$B:$B,0))</f>
        <v>2071.3389480000005</v>
      </c>
      <c r="AV5" s="10">
        <f>INDEX([1]ratio_ins!AS:AS,MATCH('001_population_health_zone_zs'!$B$2,[1]ratio_ins!$B:$B,0))*$G5*INDEX([1]ratio_ins!$D:$D,MATCH('001_population_health_zone_zs'!$B5,[1]ratio_ins!$B:$B,0))</f>
        <v>1035.6694740000003</v>
      </c>
      <c r="AW5" s="10">
        <f>INDEX([1]ratio_ins!AT:AT,MATCH('001_population_health_zone_zs'!$B$2,[1]ratio_ins!$B:$B,0))*$G5*INDEX([1]ratio_ins!$D:$D,MATCH('001_population_health_zone_zs'!$B5,[1]ratio_ins!$B:$B,0))</f>
        <v>690.44631600000014</v>
      </c>
      <c r="AX5" s="13">
        <f>INDEX([1]ratio_ins!AU:AU,MATCH('001_population_health_zone_zs'!$B$2,[1]ratio_ins!$B:$B,0))*$G5*INDEX([1]ratio_ins!$D:$D,MATCH('001_population_health_zone_zs'!$B5,[1]ratio_ins!$B:$B,0))</f>
        <v>7249.686318</v>
      </c>
      <c r="AY5" s="14">
        <f t="shared" si="1"/>
        <v>345223.158</v>
      </c>
      <c r="AZ5" s="15">
        <f t="shared" si="2"/>
        <v>694614</v>
      </c>
      <c r="BA5" s="16">
        <v>686577.65665288281</v>
      </c>
      <c r="BB5" s="10">
        <f t="shared" si="3"/>
        <v>146719.84215000001</v>
      </c>
      <c r="BC5" s="17">
        <f t="shared" si="4"/>
        <v>0.21122500000000002</v>
      </c>
      <c r="BD5" s="10">
        <f t="shared" si="5"/>
        <v>145695.98111400002</v>
      </c>
    </row>
    <row r="6" spans="1:56" x14ac:dyDescent="0.25">
      <c r="A6" s="8" t="s">
        <v>10</v>
      </c>
      <c r="B6" s="8" t="s">
        <v>11</v>
      </c>
      <c r="C6" s="8" t="s">
        <v>10</v>
      </c>
      <c r="D6" s="8" t="s">
        <v>12</v>
      </c>
      <c r="E6" s="8" t="s">
        <v>21</v>
      </c>
      <c r="F6" s="8" t="s">
        <v>22</v>
      </c>
      <c r="G6" s="9">
        <v>417747</v>
      </c>
      <c r="H6" s="10">
        <f>INDEX([1]ratio_ins!F:F,MATCH('001_population_health_zone_zs'!$B$2,[1]ratio_ins!$B:$B,0))*$G6*INDEX([1]ratio_ins!$C:$C,MATCH('001_population_health_zone_zs'!$B6,[1]ratio_ins!$B:$B,0))</f>
        <v>43916.488868999993</v>
      </c>
      <c r="I6" s="10">
        <f>INDEX([1]ratio_ins!G:G,MATCH('001_population_health_zone_zs'!$B$2,[1]ratio_ins!$B:$B,0))*$G6*INDEX([1]ratio_ins!$C:$C,MATCH('001_population_health_zone_zs'!$B6,[1]ratio_ins!$B:$B,0))</f>
        <v>35931.672711000007</v>
      </c>
      <c r="J6" s="10">
        <f>INDEX([1]ratio_ins!H:H,MATCH('001_population_health_zone_zs'!$B$2,[1]ratio_ins!$B:$B,0))*$G6*INDEX([1]ratio_ins!$C:$C,MATCH('001_population_health_zone_zs'!$B6,[1]ratio_ins!$B:$B,0))</f>
        <v>28367.110035000002</v>
      </c>
      <c r="K6" s="10">
        <f>INDEX([1]ratio_ins!I:I,MATCH('001_population_health_zone_zs'!$B$2,[1]ratio_ins!$B:$B,0))*$G6*INDEX([1]ratio_ins!$C:$C,MATCH('001_population_health_zone_zs'!$B6,[1]ratio_ins!$B:$B,0))</f>
        <v>17440.519503000003</v>
      </c>
      <c r="L6" s="10">
        <f>INDEX([1]ratio_ins!J:J,MATCH('001_population_health_zone_zs'!$B$2,[1]ratio_ins!$B:$B,0))*$G6*INDEX([1]ratio_ins!$C:$C,MATCH('001_population_health_zone_zs'!$B6,[1]ratio_ins!$B:$B,0))</f>
        <v>10464.311701799999</v>
      </c>
      <c r="M6" s="11">
        <f>INDEX([1]ratio_ins!K:K,MATCH('001_population_health_zone_zs'!$B$2,[1]ratio_ins!$B:$B,0))*$G6*INDEX([1]ratio_ins!$C:$C,MATCH('001_population_health_zone_zs'!$B6,[1]ratio_ins!$B:$B,0))</f>
        <v>118679.58331679998</v>
      </c>
      <c r="N6" s="10">
        <f>INDEX([1]ratio_ins!L:L,MATCH('001_population_health_zone_zs'!$B$2,[1]ratio_ins!$B:$B,0))*$G6*INDEX([1]ratio_ins!$C:$C,MATCH('001_population_health_zone_zs'!$B6,[1]ratio_ins!$B:$B,0))</f>
        <v>6976.2078012000002</v>
      </c>
      <c r="O6" s="10">
        <f>INDEX([1]ratio_ins!M:M,MATCH('001_population_health_zone_zs'!$B$2,[1]ratio_ins!$B:$B,0))*$G6*INDEX([1]ratio_ins!$C:$C,MATCH('001_population_health_zone_zs'!$B6,[1]ratio_ins!$B:$B,0))</f>
        <v>15129.125352000001</v>
      </c>
      <c r="P6" s="10">
        <f>INDEX([1]ratio_ins!N:N,MATCH('001_population_health_zone_zs'!$B$2,[1]ratio_ins!$B:$B,0))*$G6*INDEX([1]ratio_ins!$C:$C,MATCH('001_population_health_zone_zs'!$B6,[1]ratio_ins!$B:$B,0))</f>
        <v>13658.238165000001</v>
      </c>
      <c r="Q6" s="10">
        <f>INDEX([1]ratio_ins!O:O,MATCH('001_population_health_zone_zs'!$B$2,[1]ratio_ins!$B:$B,0))*$G6*INDEX([1]ratio_ins!$C:$C,MATCH('001_population_health_zone_zs'!$B6,[1]ratio_ins!$B:$B,0))</f>
        <v>12187.350977999999</v>
      </c>
      <c r="R6" s="10">
        <f>INDEX([1]ratio_ins!P:P,MATCH('001_population_health_zone_zs'!$B$2,[1]ratio_ins!$B:$B,0))*$G6*INDEX([1]ratio_ins!$C:$C,MATCH('001_population_health_zone_zs'!$B6,[1]ratio_ins!$B:$B,0))</f>
        <v>11977.224237</v>
      </c>
      <c r="S6" s="10">
        <f>INDEX([1]ratio_ins!Q:Q,MATCH('001_population_health_zone_zs'!$B$2,[1]ratio_ins!$B:$B,0))*$G6*INDEX([1]ratio_ins!$C:$C,MATCH('001_population_health_zone_zs'!$B6,[1]ratio_ins!$B:$B,0))</f>
        <v>10086.083568</v>
      </c>
      <c r="T6" s="10">
        <f>INDEX([1]ratio_ins!R:R,MATCH('001_population_health_zone_zs'!$B$2,[1]ratio_ins!$B:$B,0))*$G6*INDEX([1]ratio_ins!$C:$C,MATCH('001_population_health_zone_zs'!$B6,[1]ratio_ins!$B:$B,0))</f>
        <v>7144.3091940000004</v>
      </c>
      <c r="U6" s="10">
        <f>INDEX([1]ratio_ins!S:S,MATCH('001_population_health_zone_zs'!$B$2,[1]ratio_ins!$B:$B,0))*$G6*INDEX([1]ratio_ins!$C:$C,MATCH('001_population_health_zone_zs'!$B6,[1]ratio_ins!$B:$B,0))</f>
        <v>5673.422007000001</v>
      </c>
      <c r="V6" s="10">
        <f>INDEX([1]ratio_ins!T:T,MATCH('001_population_health_zone_zs'!$B$2,[1]ratio_ins!$B:$B,0))*$G6*INDEX([1]ratio_ins!$C:$C,MATCH('001_population_health_zone_zs'!$B6,[1]ratio_ins!$B:$B,0))</f>
        <v>3151.9011150000001</v>
      </c>
      <c r="W6" s="11">
        <f>INDEX([1]ratio_ins!U:U,MATCH('001_population_health_zone_zs'!$B$2,[1]ratio_ins!$B:$B,0))*$G6*INDEX([1]ratio_ins!$C:$C,MATCH('001_population_health_zone_zs'!$B6,[1]ratio_ins!$B:$B,0))</f>
        <v>85983.862417199998</v>
      </c>
      <c r="X6" s="10">
        <f>INDEX([1]ratio_ins!V:V,MATCH('001_population_health_zone_zs'!$B$2,[1]ratio_ins!$B:$B,0))*$G6*INDEX([1]ratio_ins!$C:$C,MATCH('001_population_health_zone_zs'!$B6,[1]ratio_ins!$B:$B,0))</f>
        <v>2521.520892</v>
      </c>
      <c r="Y6" s="10">
        <f>INDEX([1]ratio_ins!W:W,MATCH('001_population_health_zone_zs'!$B$2,[1]ratio_ins!$B:$B,0))*$G6*INDEX([1]ratio_ins!$C:$C,MATCH('001_population_health_zone_zs'!$B6,[1]ratio_ins!$B:$B,0))</f>
        <v>1681.0139280000001</v>
      </c>
      <c r="Z6" s="10">
        <f>INDEX([1]ratio_ins!X:X,MATCH('001_population_health_zone_zs'!$B$2,[1]ratio_ins!$B:$B,0))*$G6*INDEX([1]ratio_ins!$C:$C,MATCH('001_population_health_zone_zs'!$B6,[1]ratio_ins!$B:$B,0))</f>
        <v>840.50696400000004</v>
      </c>
      <c r="AA6" s="10">
        <f>INDEX([1]ratio_ins!Y:Y,MATCH('001_population_health_zone_zs'!$B$2,[1]ratio_ins!$B:$B,0))*$G6*INDEX([1]ratio_ins!$C:$C,MATCH('001_population_health_zone_zs'!$B6,[1]ratio_ins!$B:$B,0))</f>
        <v>420.25348200000002</v>
      </c>
      <c r="AB6" s="11">
        <f>INDEX([1]ratio_ins!Z:Z,MATCH('001_population_health_zone_zs'!$B$2,[1]ratio_ins!$B:$B,0))*$G6*INDEX([1]ratio_ins!$C:$C,MATCH('001_population_health_zone_zs'!$B6,[1]ratio_ins!$B:$B,0))</f>
        <v>5463.2952660000001</v>
      </c>
      <c r="AC6" s="12">
        <f t="shared" si="0"/>
        <v>210126.74099999998</v>
      </c>
      <c r="AD6" s="10">
        <f>INDEX([1]ratio_ins!AA:AA,MATCH('001_population_health_zone_zs'!$B$2,[1]ratio_ins!$B:$B,0))*$G6*INDEX([1]ratio_ins!$D:$D,MATCH('001_population_health_zone_zs'!$B6,[1]ratio_ins!$B:$B,0))</f>
        <v>43600.254390000002</v>
      </c>
      <c r="AE6" s="10">
        <f>INDEX([1]ratio_ins!AB:AB,MATCH('001_population_health_zone_zs'!$B$2,[1]ratio_ins!$B:$B,0))*$G6*INDEX([1]ratio_ins!$D:$D,MATCH('001_population_health_zone_zs'!$B6,[1]ratio_ins!$B:$B,0))</f>
        <v>35918.304807</v>
      </c>
      <c r="AF6" s="10">
        <f>INDEX([1]ratio_ins!AC:AC,MATCH('001_population_health_zone_zs'!$B$2,[1]ratio_ins!$B:$B,0))*$G6*INDEX([1]ratio_ins!$D:$D,MATCH('001_population_health_zone_zs'!$B6,[1]ratio_ins!$B:$B,0))</f>
        <v>28443.975482999998</v>
      </c>
      <c r="AG6" s="10">
        <f>INDEX([1]ratio_ins!AD:AD,MATCH('001_population_health_zone_zs'!$B$2,[1]ratio_ins!$B:$B,0))*$G6*INDEX([1]ratio_ins!$D:$D,MATCH('001_population_health_zone_zs'!$B6,[1]ratio_ins!$B:$B,0))</f>
        <v>17232.481497000004</v>
      </c>
      <c r="AH6" s="10">
        <f>INDEX([1]ratio_ins!AE:AE,MATCH('001_population_health_zone_zs'!$B$2,[1]ratio_ins!$B:$B,0))*$G6*INDEX([1]ratio_ins!$D:$D,MATCH('001_population_health_zone_zs'!$B6,[1]ratio_ins!$B:$B,0))</f>
        <v>10339.488898200001</v>
      </c>
      <c r="AI6" s="13">
        <f>INDEX([1]ratio_ins!AF:AF,MATCH('001_population_health_zone_zs'!$B$2,[1]ratio_ins!$B:$B,0))*$G6*INDEX([1]ratio_ins!$D:$D,MATCH('001_population_health_zone_zs'!$B6,[1]ratio_ins!$B:$B,0))</f>
        <v>118302.02357820001</v>
      </c>
      <c r="AJ6" s="10">
        <f>INDEX([1]ratio_ins!AG:AG,MATCH('001_population_health_zone_zs'!$B$2,[1]ratio_ins!$B:$B,0))*$G6*INDEX([1]ratio_ins!$D:$D,MATCH('001_population_health_zone_zs'!$B6,[1]ratio_ins!$B:$B,0))</f>
        <v>6892.9925988000005</v>
      </c>
      <c r="AK6" s="10">
        <f>INDEX([1]ratio_ins!AH:AH,MATCH('001_population_health_zone_zs'!$B$2,[1]ratio_ins!$B:$B,0))*$G6*INDEX([1]ratio_ins!$D:$D,MATCH('001_population_health_zone_zs'!$B6,[1]ratio_ins!$B:$B,0))</f>
        <v>15363.899166000005</v>
      </c>
      <c r="AL6" s="10">
        <f>INDEX([1]ratio_ins!AI:AI,MATCH('001_population_health_zone_zs'!$B$2,[1]ratio_ins!$B:$B,0))*$G6*INDEX([1]ratio_ins!$D:$D,MATCH('001_population_health_zone_zs'!$B6,[1]ratio_ins!$B:$B,0))</f>
        <v>14533.418130000004</v>
      </c>
      <c r="AM6" s="10">
        <f>INDEX([1]ratio_ins!AJ:AJ,MATCH('001_population_health_zone_zs'!$B$2,[1]ratio_ins!$B:$B,0))*$G6*INDEX([1]ratio_ins!$D:$D,MATCH('001_population_health_zone_zs'!$B6,[1]ratio_ins!$B:$B,0))</f>
        <v>13287.696576000002</v>
      </c>
      <c r="AN6" s="10">
        <f>INDEX([1]ratio_ins!AK:AK,MATCH('001_population_health_zone_zs'!$B$2,[1]ratio_ins!$B:$B,0))*$G6*INDEX([1]ratio_ins!$D:$D,MATCH('001_population_health_zone_zs'!$B6,[1]ratio_ins!$B:$B,0))</f>
        <v>12457.215540000001</v>
      </c>
      <c r="AO6" s="10">
        <f>INDEX([1]ratio_ins!AL:AL,MATCH('001_population_health_zone_zs'!$B$2,[1]ratio_ins!$B:$B,0))*$G6*INDEX([1]ratio_ins!$D:$D,MATCH('001_population_health_zone_zs'!$B6,[1]ratio_ins!$B:$B,0))</f>
        <v>9342.9116549999999</v>
      </c>
      <c r="AP6" s="10">
        <f>INDEX([1]ratio_ins!AM:AM,MATCH('001_population_health_zone_zs'!$B$2,[1]ratio_ins!$B:$B,0))*$G6*INDEX([1]ratio_ins!$D:$D,MATCH('001_population_health_zone_zs'!$B6,[1]ratio_ins!$B:$B,0))</f>
        <v>6020.9875110000003</v>
      </c>
      <c r="AQ6" s="10">
        <f>INDEX([1]ratio_ins!AN:AN,MATCH('001_population_health_zone_zs'!$B$2,[1]ratio_ins!$B:$B,0))*$G6*INDEX([1]ratio_ins!$D:$D,MATCH('001_population_health_zone_zs'!$B6,[1]ratio_ins!$B:$B,0))</f>
        <v>4775.2659570000005</v>
      </c>
      <c r="AR6" s="10">
        <f>INDEX([1]ratio_ins!AO:AO,MATCH('001_population_health_zone_zs'!$B$2,[1]ratio_ins!$B:$B,0))*$G6*INDEX([1]ratio_ins!$D:$D,MATCH('001_population_health_zone_zs'!$B6,[1]ratio_ins!$B:$B,0))</f>
        <v>2283.8228490000006</v>
      </c>
      <c r="AS6" s="13">
        <f>INDEX([1]ratio_ins!AP:AP,MATCH('001_population_health_zone_zs'!$B$2,[1]ratio_ins!$B:$B,0))*$G6*INDEX([1]ratio_ins!$D:$D,MATCH('001_population_health_zone_zs'!$B6,[1]ratio_ins!$B:$B,0))</f>
        <v>84958.209982800006</v>
      </c>
      <c r="AT6" s="10">
        <f>INDEX([1]ratio_ins!AQ:AQ,MATCH('001_population_health_zone_zs'!$B$2,[1]ratio_ins!$B:$B,0))*$G6*INDEX([1]ratio_ins!$D:$D,MATCH('001_population_health_zone_zs'!$B6,[1]ratio_ins!$B:$B,0))</f>
        <v>2076.2025900000003</v>
      </c>
      <c r="AU6" s="10">
        <f>INDEX([1]ratio_ins!AR:AR,MATCH('001_population_health_zone_zs'!$B$2,[1]ratio_ins!$B:$B,0))*$G6*INDEX([1]ratio_ins!$D:$D,MATCH('001_population_health_zone_zs'!$B6,[1]ratio_ins!$B:$B,0))</f>
        <v>1245.7215540000002</v>
      </c>
      <c r="AV6" s="10">
        <f>INDEX([1]ratio_ins!AS:AS,MATCH('001_population_health_zone_zs'!$B$2,[1]ratio_ins!$B:$B,0))*$G6*INDEX([1]ratio_ins!$D:$D,MATCH('001_population_health_zone_zs'!$B6,[1]ratio_ins!$B:$B,0))</f>
        <v>622.8607770000001</v>
      </c>
      <c r="AW6" s="10">
        <f>INDEX([1]ratio_ins!AT:AT,MATCH('001_population_health_zone_zs'!$B$2,[1]ratio_ins!$B:$B,0))*$G6*INDEX([1]ratio_ins!$D:$D,MATCH('001_population_health_zone_zs'!$B6,[1]ratio_ins!$B:$B,0))</f>
        <v>415.24051800000007</v>
      </c>
      <c r="AX6" s="13">
        <f>INDEX([1]ratio_ins!AU:AU,MATCH('001_population_health_zone_zs'!$B$2,[1]ratio_ins!$B:$B,0))*$G6*INDEX([1]ratio_ins!$D:$D,MATCH('001_population_health_zone_zs'!$B6,[1]ratio_ins!$B:$B,0))</f>
        <v>4360.025439</v>
      </c>
      <c r="AY6" s="14">
        <f t="shared" si="1"/>
        <v>207620.25900000002</v>
      </c>
      <c r="AZ6" s="15">
        <f t="shared" si="2"/>
        <v>417747</v>
      </c>
      <c r="BA6" s="16">
        <v>412913.56136624777</v>
      </c>
      <c r="BB6" s="10">
        <f t="shared" si="3"/>
        <v>88238.610075000019</v>
      </c>
      <c r="BC6" s="17">
        <f t="shared" si="4"/>
        <v>0.21122500000000005</v>
      </c>
      <c r="BD6" s="10">
        <f t="shared" si="5"/>
        <v>87622.850997000001</v>
      </c>
    </row>
    <row r="7" spans="1:56" x14ac:dyDescent="0.25">
      <c r="A7" s="8" t="s">
        <v>10</v>
      </c>
      <c r="B7" s="8" t="s">
        <v>11</v>
      </c>
      <c r="C7" s="8" t="s">
        <v>10</v>
      </c>
      <c r="D7" s="8" t="s">
        <v>12</v>
      </c>
      <c r="E7" s="8" t="s">
        <v>23</v>
      </c>
      <c r="F7" s="8" t="s">
        <v>24</v>
      </c>
      <c r="G7" s="9">
        <v>769113</v>
      </c>
      <c r="H7" s="10">
        <f>INDEX([1]ratio_ins!F:F,MATCH('001_population_health_zone_zs'!$B$2,[1]ratio_ins!$B:$B,0))*$G7*INDEX([1]ratio_ins!$C:$C,MATCH('001_population_health_zone_zs'!$B7,[1]ratio_ins!$B:$B,0))</f>
        <v>80854.542350999996</v>
      </c>
      <c r="I7" s="10">
        <f>INDEX([1]ratio_ins!G:G,MATCH('001_population_health_zone_zs'!$B$2,[1]ratio_ins!$B:$B,0))*$G7*INDEX([1]ratio_ins!$C:$C,MATCH('001_population_health_zone_zs'!$B7,[1]ratio_ins!$B:$B,0))</f>
        <v>66153.716469000006</v>
      </c>
      <c r="J7" s="10">
        <f>INDEX([1]ratio_ins!H:H,MATCH('001_population_health_zone_zs'!$B$2,[1]ratio_ins!$B:$B,0))*$G7*INDEX([1]ratio_ins!$C:$C,MATCH('001_population_health_zone_zs'!$B7,[1]ratio_ins!$B:$B,0))</f>
        <v>52226.618265000005</v>
      </c>
      <c r="K7" s="10">
        <f>INDEX([1]ratio_ins!I:I,MATCH('001_population_health_zone_zs'!$B$2,[1]ratio_ins!$B:$B,0))*$G7*INDEX([1]ratio_ins!$C:$C,MATCH('001_population_health_zone_zs'!$B7,[1]ratio_ins!$B:$B,0))</f>
        <v>32109.698637000001</v>
      </c>
      <c r="L7" s="10">
        <f>INDEX([1]ratio_ins!J:J,MATCH('001_population_health_zone_zs'!$B$2,[1]ratio_ins!$B:$B,0))*$G7*INDEX([1]ratio_ins!$C:$C,MATCH('001_population_health_zone_zs'!$B7,[1]ratio_ins!$B:$B,0))</f>
        <v>19265.819182199997</v>
      </c>
      <c r="M7" s="11">
        <f>INDEX([1]ratio_ins!K:K,MATCH('001_population_health_zone_zs'!$B$2,[1]ratio_ins!$B:$B,0))*$G7*INDEX([1]ratio_ins!$C:$C,MATCH('001_population_health_zone_zs'!$B7,[1]ratio_ins!$B:$B,0))</f>
        <v>218500.69626719999</v>
      </c>
      <c r="N7" s="10">
        <f>INDEX([1]ratio_ins!L:L,MATCH('001_population_health_zone_zs'!$B$2,[1]ratio_ins!$B:$B,0))*$G7*INDEX([1]ratio_ins!$C:$C,MATCH('001_population_health_zone_zs'!$B7,[1]ratio_ins!$B:$B,0))</f>
        <v>12843.879454799999</v>
      </c>
      <c r="O7" s="10">
        <f>INDEX([1]ratio_ins!M:M,MATCH('001_population_health_zone_zs'!$B$2,[1]ratio_ins!$B:$B,0))*$G7*INDEX([1]ratio_ins!$C:$C,MATCH('001_population_health_zone_zs'!$B7,[1]ratio_ins!$B:$B,0))</f>
        <v>27854.196408000003</v>
      </c>
      <c r="P7" s="10">
        <f>INDEX([1]ratio_ins!N:N,MATCH('001_population_health_zone_zs'!$B$2,[1]ratio_ins!$B:$B,0))*$G7*INDEX([1]ratio_ins!$C:$C,MATCH('001_population_health_zone_zs'!$B7,[1]ratio_ins!$B:$B,0))</f>
        <v>25146.149535</v>
      </c>
      <c r="Q7" s="10">
        <f>INDEX([1]ratio_ins!O:O,MATCH('001_population_health_zone_zs'!$B$2,[1]ratio_ins!$B:$B,0))*$G7*INDEX([1]ratio_ins!$C:$C,MATCH('001_population_health_zone_zs'!$B7,[1]ratio_ins!$B:$B,0))</f>
        <v>22438.102661999998</v>
      </c>
      <c r="R7" s="10">
        <f>INDEX([1]ratio_ins!P:P,MATCH('001_population_health_zone_zs'!$B$2,[1]ratio_ins!$B:$B,0))*$G7*INDEX([1]ratio_ins!$C:$C,MATCH('001_population_health_zone_zs'!$B7,[1]ratio_ins!$B:$B,0))</f>
        <v>22051.238823</v>
      </c>
      <c r="S7" s="10">
        <f>INDEX([1]ratio_ins!Q:Q,MATCH('001_population_health_zone_zs'!$B$2,[1]ratio_ins!$B:$B,0))*$G7*INDEX([1]ratio_ins!$C:$C,MATCH('001_population_health_zone_zs'!$B7,[1]ratio_ins!$B:$B,0))</f>
        <v>18569.464272000001</v>
      </c>
      <c r="T7" s="10">
        <f>INDEX([1]ratio_ins!R:R,MATCH('001_population_health_zone_zs'!$B$2,[1]ratio_ins!$B:$B,0))*$G7*INDEX([1]ratio_ins!$C:$C,MATCH('001_population_health_zone_zs'!$B7,[1]ratio_ins!$B:$B,0))</f>
        <v>13153.370526000001</v>
      </c>
      <c r="U7" s="10">
        <f>INDEX([1]ratio_ins!S:S,MATCH('001_population_health_zone_zs'!$B$2,[1]ratio_ins!$B:$B,0))*$G7*INDEX([1]ratio_ins!$C:$C,MATCH('001_population_health_zone_zs'!$B7,[1]ratio_ins!$B:$B,0))</f>
        <v>10445.323653000001</v>
      </c>
      <c r="V7" s="10">
        <f>INDEX([1]ratio_ins!T:T,MATCH('001_population_health_zone_zs'!$B$2,[1]ratio_ins!$B:$B,0))*$G7*INDEX([1]ratio_ins!$C:$C,MATCH('001_population_health_zone_zs'!$B7,[1]ratio_ins!$B:$B,0))</f>
        <v>5802.9575850000001</v>
      </c>
      <c r="W7" s="11">
        <f>INDEX([1]ratio_ins!U:U,MATCH('001_population_health_zone_zs'!$B$2,[1]ratio_ins!$B:$B,0))*$G7*INDEX([1]ratio_ins!$C:$C,MATCH('001_population_health_zone_zs'!$B7,[1]ratio_ins!$B:$B,0))</f>
        <v>158304.68291880001</v>
      </c>
      <c r="X7" s="10">
        <f>INDEX([1]ratio_ins!V:V,MATCH('001_population_health_zone_zs'!$B$2,[1]ratio_ins!$B:$B,0))*$G7*INDEX([1]ratio_ins!$C:$C,MATCH('001_population_health_zone_zs'!$B7,[1]ratio_ins!$B:$B,0))</f>
        <v>4642.3660680000003</v>
      </c>
      <c r="Y7" s="10">
        <f>INDEX([1]ratio_ins!W:W,MATCH('001_population_health_zone_zs'!$B$2,[1]ratio_ins!$B:$B,0))*$G7*INDEX([1]ratio_ins!$C:$C,MATCH('001_population_health_zone_zs'!$B7,[1]ratio_ins!$B:$B,0))</f>
        <v>3094.9107120000003</v>
      </c>
      <c r="Z7" s="10">
        <f>INDEX([1]ratio_ins!X:X,MATCH('001_population_health_zone_zs'!$B$2,[1]ratio_ins!$B:$B,0))*$G7*INDEX([1]ratio_ins!$C:$C,MATCH('001_population_health_zone_zs'!$B7,[1]ratio_ins!$B:$B,0))</f>
        <v>1547.4553560000002</v>
      </c>
      <c r="AA7" s="10">
        <f>INDEX([1]ratio_ins!Y:Y,MATCH('001_population_health_zone_zs'!$B$2,[1]ratio_ins!$B:$B,0))*$G7*INDEX([1]ratio_ins!$C:$C,MATCH('001_population_health_zone_zs'!$B7,[1]ratio_ins!$B:$B,0))</f>
        <v>773.72767800000008</v>
      </c>
      <c r="AB7" s="11">
        <f>INDEX([1]ratio_ins!Z:Z,MATCH('001_population_health_zone_zs'!$B$2,[1]ratio_ins!$B:$B,0))*$G7*INDEX([1]ratio_ins!$C:$C,MATCH('001_population_health_zone_zs'!$B7,[1]ratio_ins!$B:$B,0))</f>
        <v>10058.459814000002</v>
      </c>
      <c r="AC7" s="12">
        <f t="shared" si="0"/>
        <v>386863.83899999998</v>
      </c>
      <c r="AD7" s="10">
        <f>INDEX([1]ratio_ins!AA:AA,MATCH('001_population_health_zone_zs'!$B$2,[1]ratio_ins!$B:$B,0))*$G7*INDEX([1]ratio_ins!$D:$D,MATCH('001_population_health_zone_zs'!$B7,[1]ratio_ins!$B:$B,0))</f>
        <v>80272.323810000002</v>
      </c>
      <c r="AE7" s="10">
        <f>INDEX([1]ratio_ins!AB:AB,MATCH('001_population_health_zone_zs'!$B$2,[1]ratio_ins!$B:$B,0))*$G7*INDEX([1]ratio_ins!$D:$D,MATCH('001_population_health_zone_zs'!$B7,[1]ratio_ins!$B:$B,0))</f>
        <v>66129.104853000012</v>
      </c>
      <c r="AF7" s="10">
        <f>INDEX([1]ratio_ins!AC:AC,MATCH('001_population_health_zone_zs'!$B$2,[1]ratio_ins!$B:$B,0))*$G7*INDEX([1]ratio_ins!$D:$D,MATCH('001_population_health_zone_zs'!$B7,[1]ratio_ins!$B:$B,0))</f>
        <v>52368.135057</v>
      </c>
      <c r="AG7" s="10">
        <f>INDEX([1]ratio_ins!AD:AD,MATCH('001_population_health_zone_zs'!$B$2,[1]ratio_ins!$B:$B,0))*$G7*INDEX([1]ratio_ins!$D:$D,MATCH('001_population_health_zone_zs'!$B7,[1]ratio_ins!$B:$B,0))</f>
        <v>31726.680363000003</v>
      </c>
      <c r="AH7" s="10">
        <f>INDEX([1]ratio_ins!AE:AE,MATCH('001_population_health_zone_zs'!$B$2,[1]ratio_ins!$B:$B,0))*$G7*INDEX([1]ratio_ins!$D:$D,MATCH('001_population_health_zone_zs'!$B7,[1]ratio_ins!$B:$B,0))</f>
        <v>19036.008217800001</v>
      </c>
      <c r="AI7" s="13">
        <f>INDEX([1]ratio_ins!AF:AF,MATCH('001_population_health_zone_zs'!$B$2,[1]ratio_ins!$B:$B,0))*$G7*INDEX([1]ratio_ins!$D:$D,MATCH('001_population_health_zone_zs'!$B7,[1]ratio_ins!$B:$B,0))</f>
        <v>217805.57193780001</v>
      </c>
      <c r="AJ7" s="10">
        <f>INDEX([1]ratio_ins!AG:AG,MATCH('001_population_health_zone_zs'!$B$2,[1]ratio_ins!$B:$B,0))*$G7*INDEX([1]ratio_ins!$D:$D,MATCH('001_population_health_zone_zs'!$B7,[1]ratio_ins!$B:$B,0))</f>
        <v>12690.6721452</v>
      </c>
      <c r="AK7" s="10">
        <f>INDEX([1]ratio_ins!AH:AH,MATCH('001_population_health_zone_zs'!$B$2,[1]ratio_ins!$B:$B,0))*$G7*INDEX([1]ratio_ins!$D:$D,MATCH('001_population_health_zone_zs'!$B7,[1]ratio_ins!$B:$B,0))</f>
        <v>28286.437914000006</v>
      </c>
      <c r="AL7" s="10">
        <f>INDEX([1]ratio_ins!AI:AI,MATCH('001_population_health_zone_zs'!$B$2,[1]ratio_ins!$B:$B,0))*$G7*INDEX([1]ratio_ins!$D:$D,MATCH('001_population_health_zone_zs'!$B7,[1]ratio_ins!$B:$B,0))</f>
        <v>26757.441270000003</v>
      </c>
      <c r="AM7" s="10">
        <f>INDEX([1]ratio_ins!AJ:AJ,MATCH('001_population_health_zone_zs'!$B$2,[1]ratio_ins!$B:$B,0))*$G7*INDEX([1]ratio_ins!$D:$D,MATCH('001_population_health_zone_zs'!$B7,[1]ratio_ins!$B:$B,0))</f>
        <v>24463.946304000005</v>
      </c>
      <c r="AN7" s="10">
        <f>INDEX([1]ratio_ins!AK:AK,MATCH('001_population_health_zone_zs'!$B$2,[1]ratio_ins!$B:$B,0))*$G7*INDEX([1]ratio_ins!$D:$D,MATCH('001_population_health_zone_zs'!$B7,[1]ratio_ins!$B:$B,0))</f>
        <v>22934.949660000002</v>
      </c>
      <c r="AO7" s="10">
        <f>INDEX([1]ratio_ins!AL:AL,MATCH('001_population_health_zone_zs'!$B$2,[1]ratio_ins!$B:$B,0))*$G7*INDEX([1]ratio_ins!$D:$D,MATCH('001_population_health_zone_zs'!$B7,[1]ratio_ins!$B:$B,0))</f>
        <v>17201.212245000002</v>
      </c>
      <c r="AP7" s="10">
        <f>INDEX([1]ratio_ins!AM:AM,MATCH('001_population_health_zone_zs'!$B$2,[1]ratio_ins!$B:$B,0))*$G7*INDEX([1]ratio_ins!$D:$D,MATCH('001_population_health_zone_zs'!$B7,[1]ratio_ins!$B:$B,0))</f>
        <v>11085.225668999999</v>
      </c>
      <c r="AQ7" s="10">
        <f>INDEX([1]ratio_ins!AN:AN,MATCH('001_population_health_zone_zs'!$B$2,[1]ratio_ins!$B:$B,0))*$G7*INDEX([1]ratio_ins!$D:$D,MATCH('001_population_health_zone_zs'!$B7,[1]ratio_ins!$B:$B,0))</f>
        <v>8791.7307029999993</v>
      </c>
      <c r="AR7" s="10">
        <f>INDEX([1]ratio_ins!AO:AO,MATCH('001_population_health_zone_zs'!$B$2,[1]ratio_ins!$B:$B,0))*$G7*INDEX([1]ratio_ins!$D:$D,MATCH('001_population_health_zone_zs'!$B7,[1]ratio_ins!$B:$B,0))</f>
        <v>4204.7407710000007</v>
      </c>
      <c r="AS7" s="13">
        <f>INDEX([1]ratio_ins!AP:AP,MATCH('001_population_health_zone_zs'!$B$2,[1]ratio_ins!$B:$B,0))*$G7*INDEX([1]ratio_ins!$D:$D,MATCH('001_population_health_zone_zs'!$B7,[1]ratio_ins!$B:$B,0))</f>
        <v>156416.35668120004</v>
      </c>
      <c r="AT7" s="10">
        <f>INDEX([1]ratio_ins!AQ:AQ,MATCH('001_population_health_zone_zs'!$B$2,[1]ratio_ins!$B:$B,0))*$G7*INDEX([1]ratio_ins!$D:$D,MATCH('001_population_health_zone_zs'!$B7,[1]ratio_ins!$B:$B,0))</f>
        <v>3822.4916100000005</v>
      </c>
      <c r="AU7" s="10">
        <f>INDEX([1]ratio_ins!AR:AR,MATCH('001_population_health_zone_zs'!$B$2,[1]ratio_ins!$B:$B,0))*$G7*INDEX([1]ratio_ins!$D:$D,MATCH('001_population_health_zone_zs'!$B7,[1]ratio_ins!$B:$B,0))</f>
        <v>2293.4949660000002</v>
      </c>
      <c r="AV7" s="10">
        <f>INDEX([1]ratio_ins!AS:AS,MATCH('001_population_health_zone_zs'!$B$2,[1]ratio_ins!$B:$B,0))*$G7*INDEX([1]ratio_ins!$D:$D,MATCH('001_population_health_zone_zs'!$B7,[1]ratio_ins!$B:$B,0))</f>
        <v>1146.7474830000001</v>
      </c>
      <c r="AW7" s="10">
        <f>INDEX([1]ratio_ins!AT:AT,MATCH('001_population_health_zone_zs'!$B$2,[1]ratio_ins!$B:$B,0))*$G7*INDEX([1]ratio_ins!$D:$D,MATCH('001_population_health_zone_zs'!$B7,[1]ratio_ins!$B:$B,0))</f>
        <v>764.49832200000014</v>
      </c>
      <c r="AX7" s="13">
        <f>INDEX([1]ratio_ins!AU:AU,MATCH('001_population_health_zone_zs'!$B$2,[1]ratio_ins!$B:$B,0))*$G7*INDEX([1]ratio_ins!$D:$D,MATCH('001_population_health_zone_zs'!$B7,[1]ratio_ins!$B:$B,0))</f>
        <v>8027.2323809999998</v>
      </c>
      <c r="AY7" s="14">
        <f t="shared" si="1"/>
        <v>382249.16100000002</v>
      </c>
      <c r="AZ7" s="15">
        <f t="shared" si="2"/>
        <v>769113</v>
      </c>
      <c r="BA7" s="16">
        <v>760215.11669240438</v>
      </c>
      <c r="BB7" s="10">
        <f t="shared" si="3"/>
        <v>162455.89342500005</v>
      </c>
      <c r="BC7" s="17">
        <f t="shared" si="4"/>
        <v>0.21122500000000005</v>
      </c>
      <c r="BD7" s="10">
        <f t="shared" si="5"/>
        <v>161322.22086300002</v>
      </c>
    </row>
    <row r="8" spans="1:56" x14ac:dyDescent="0.25">
      <c r="A8" s="8" t="s">
        <v>10</v>
      </c>
      <c r="B8" s="8" t="s">
        <v>11</v>
      </c>
      <c r="C8" s="8" t="s">
        <v>10</v>
      </c>
      <c r="D8" s="8" t="s">
        <v>12</v>
      </c>
      <c r="E8" s="8" t="s">
        <v>25</v>
      </c>
      <c r="F8" s="8" t="s">
        <v>26</v>
      </c>
      <c r="G8" s="9">
        <v>165407</v>
      </c>
      <c r="H8" s="10">
        <f>INDEX([1]ratio_ins!F:F,MATCH('001_population_health_zone_zs'!$B$2,[1]ratio_ins!$B:$B,0))*$G8*INDEX([1]ratio_ins!$C:$C,MATCH('001_population_health_zone_zs'!$B8,[1]ratio_ins!$B:$B,0))</f>
        <v>17388.741689000002</v>
      </c>
      <c r="I8" s="10">
        <f>INDEX([1]ratio_ins!G:G,MATCH('001_population_health_zone_zs'!$B$2,[1]ratio_ins!$B:$B,0))*$G8*INDEX([1]ratio_ins!$C:$C,MATCH('001_population_health_zone_zs'!$B8,[1]ratio_ins!$B:$B,0))</f>
        <v>14227.152291</v>
      </c>
      <c r="J8" s="10">
        <f>INDEX([1]ratio_ins!H:H,MATCH('001_population_health_zone_zs'!$B$2,[1]ratio_ins!$B:$B,0))*$G8*INDEX([1]ratio_ins!$C:$C,MATCH('001_population_health_zone_zs'!$B8,[1]ratio_ins!$B:$B,0))</f>
        <v>11231.962335</v>
      </c>
      <c r="K8" s="10">
        <f>INDEX([1]ratio_ins!I:I,MATCH('001_population_health_zone_zs'!$B$2,[1]ratio_ins!$B:$B,0))*$G8*INDEX([1]ratio_ins!$C:$C,MATCH('001_population_health_zone_zs'!$B8,[1]ratio_ins!$B:$B,0))</f>
        <v>6905.5768430000007</v>
      </c>
      <c r="L8" s="10">
        <f>INDEX([1]ratio_ins!J:J,MATCH('001_population_health_zone_zs'!$B$2,[1]ratio_ins!$B:$B,0))*$G8*INDEX([1]ratio_ins!$C:$C,MATCH('001_population_health_zone_zs'!$B8,[1]ratio_ins!$B:$B,0))</f>
        <v>4143.3461057999993</v>
      </c>
      <c r="M8" s="11">
        <f>INDEX([1]ratio_ins!K:K,MATCH('001_population_health_zone_zs'!$B$2,[1]ratio_ins!$B:$B,0))*$G8*INDEX([1]ratio_ins!$C:$C,MATCH('001_population_health_zone_zs'!$B8,[1]ratio_ins!$B:$B,0))</f>
        <v>46991.202420799993</v>
      </c>
      <c r="N8" s="10">
        <f>INDEX([1]ratio_ins!L:L,MATCH('001_population_health_zone_zs'!$B$2,[1]ratio_ins!$B:$B,0))*$G8*INDEX([1]ratio_ins!$C:$C,MATCH('001_population_health_zone_zs'!$B8,[1]ratio_ins!$B:$B,0))</f>
        <v>2762.2307372</v>
      </c>
      <c r="O8" s="10">
        <f>INDEX([1]ratio_ins!M:M,MATCH('001_population_health_zone_zs'!$B$2,[1]ratio_ins!$B:$B,0))*$G8*INDEX([1]ratio_ins!$C:$C,MATCH('001_population_health_zone_zs'!$B8,[1]ratio_ins!$B:$B,0))</f>
        <v>5990.3799120000012</v>
      </c>
      <c r="P8" s="10">
        <f>INDEX([1]ratio_ins!N:N,MATCH('001_population_health_zone_zs'!$B$2,[1]ratio_ins!$B:$B,0))*$G8*INDEX([1]ratio_ins!$C:$C,MATCH('001_population_health_zone_zs'!$B8,[1]ratio_ins!$B:$B,0))</f>
        <v>5407.9818649999997</v>
      </c>
      <c r="Q8" s="10">
        <f>INDEX([1]ratio_ins!O:O,MATCH('001_population_health_zone_zs'!$B$2,[1]ratio_ins!$B:$B,0))*$G8*INDEX([1]ratio_ins!$C:$C,MATCH('001_population_health_zone_zs'!$B8,[1]ratio_ins!$B:$B,0))</f>
        <v>4825.5838180000001</v>
      </c>
      <c r="R8" s="10">
        <f>INDEX([1]ratio_ins!P:P,MATCH('001_population_health_zone_zs'!$B$2,[1]ratio_ins!$B:$B,0))*$G8*INDEX([1]ratio_ins!$C:$C,MATCH('001_population_health_zone_zs'!$B8,[1]ratio_ins!$B:$B,0))</f>
        <v>4742.3840970000001</v>
      </c>
      <c r="S8" s="10">
        <f>INDEX([1]ratio_ins!Q:Q,MATCH('001_population_health_zone_zs'!$B$2,[1]ratio_ins!$B:$B,0))*$G8*INDEX([1]ratio_ins!$C:$C,MATCH('001_population_health_zone_zs'!$B8,[1]ratio_ins!$B:$B,0))</f>
        <v>3993.5866080000001</v>
      </c>
      <c r="T8" s="10">
        <f>INDEX([1]ratio_ins!R:R,MATCH('001_population_health_zone_zs'!$B$2,[1]ratio_ins!$B:$B,0))*$G8*INDEX([1]ratio_ins!$C:$C,MATCH('001_population_health_zone_zs'!$B8,[1]ratio_ins!$B:$B,0))</f>
        <v>2828.7905140000003</v>
      </c>
      <c r="U8" s="10">
        <f>INDEX([1]ratio_ins!S:S,MATCH('001_population_health_zone_zs'!$B$2,[1]ratio_ins!$B:$B,0))*$G8*INDEX([1]ratio_ins!$C:$C,MATCH('001_population_health_zone_zs'!$B8,[1]ratio_ins!$B:$B,0))</f>
        <v>2246.3924670000001</v>
      </c>
      <c r="V8" s="10">
        <f>INDEX([1]ratio_ins!T:T,MATCH('001_population_health_zone_zs'!$B$2,[1]ratio_ins!$B:$B,0))*$G8*INDEX([1]ratio_ins!$C:$C,MATCH('001_population_health_zone_zs'!$B8,[1]ratio_ins!$B:$B,0))</f>
        <v>1247.995815</v>
      </c>
      <c r="W8" s="11">
        <f>INDEX([1]ratio_ins!U:U,MATCH('001_population_health_zone_zs'!$B$2,[1]ratio_ins!$B:$B,0))*$G8*INDEX([1]ratio_ins!$C:$C,MATCH('001_population_health_zone_zs'!$B8,[1]ratio_ins!$B:$B,0))</f>
        <v>34045.325833199997</v>
      </c>
      <c r="X8" s="10">
        <f>INDEX([1]ratio_ins!V:V,MATCH('001_population_health_zone_zs'!$B$2,[1]ratio_ins!$B:$B,0))*$G8*INDEX([1]ratio_ins!$C:$C,MATCH('001_population_health_zone_zs'!$B8,[1]ratio_ins!$B:$B,0))</f>
        <v>998.39665200000002</v>
      </c>
      <c r="Y8" s="10">
        <f>INDEX([1]ratio_ins!W:W,MATCH('001_population_health_zone_zs'!$B$2,[1]ratio_ins!$B:$B,0))*$G8*INDEX([1]ratio_ins!$C:$C,MATCH('001_population_health_zone_zs'!$B8,[1]ratio_ins!$B:$B,0))</f>
        <v>665.59776800000009</v>
      </c>
      <c r="Z8" s="10">
        <f>INDEX([1]ratio_ins!X:X,MATCH('001_population_health_zone_zs'!$B$2,[1]ratio_ins!$B:$B,0))*$G8*INDEX([1]ratio_ins!$C:$C,MATCH('001_population_health_zone_zs'!$B8,[1]ratio_ins!$B:$B,0))</f>
        <v>332.79888400000004</v>
      </c>
      <c r="AA8" s="10">
        <f>INDEX([1]ratio_ins!Y:Y,MATCH('001_population_health_zone_zs'!$B$2,[1]ratio_ins!$B:$B,0))*$G8*INDEX([1]ratio_ins!$C:$C,MATCH('001_population_health_zone_zs'!$B8,[1]ratio_ins!$B:$B,0))</f>
        <v>166.39944200000002</v>
      </c>
      <c r="AB8" s="11">
        <f>INDEX([1]ratio_ins!Z:Z,MATCH('001_population_health_zone_zs'!$B$2,[1]ratio_ins!$B:$B,0))*$G8*INDEX([1]ratio_ins!$C:$C,MATCH('001_population_health_zone_zs'!$B8,[1]ratio_ins!$B:$B,0))</f>
        <v>2163.1927460000002</v>
      </c>
      <c r="AC8" s="12">
        <f t="shared" si="0"/>
        <v>83199.72099999999</v>
      </c>
      <c r="AD8" s="10">
        <f>INDEX([1]ratio_ins!AA:AA,MATCH('001_population_health_zone_zs'!$B$2,[1]ratio_ins!$B:$B,0))*$G8*INDEX([1]ratio_ins!$D:$D,MATCH('001_population_health_zone_zs'!$B8,[1]ratio_ins!$B:$B,0))</f>
        <v>17263.528590000002</v>
      </c>
      <c r="AE8" s="10">
        <f>INDEX([1]ratio_ins!AB:AB,MATCH('001_population_health_zone_zs'!$B$2,[1]ratio_ins!$B:$B,0))*$G8*INDEX([1]ratio_ins!$D:$D,MATCH('001_population_health_zone_zs'!$B8,[1]ratio_ins!$B:$B,0))</f>
        <v>14221.859267000003</v>
      </c>
      <c r="AF8" s="10">
        <f>INDEX([1]ratio_ins!AC:AC,MATCH('001_population_health_zone_zs'!$B$2,[1]ratio_ins!$B:$B,0))*$G8*INDEX([1]ratio_ins!$D:$D,MATCH('001_population_health_zone_zs'!$B8,[1]ratio_ins!$B:$B,0))</f>
        <v>11262.397223</v>
      </c>
      <c r="AG8" s="10">
        <f>INDEX([1]ratio_ins!AD:AD,MATCH('001_population_health_zone_zs'!$B$2,[1]ratio_ins!$B:$B,0))*$G8*INDEX([1]ratio_ins!$D:$D,MATCH('001_population_health_zone_zs'!$B8,[1]ratio_ins!$B:$B,0))</f>
        <v>6823.204157000001</v>
      </c>
      <c r="AH8" s="10">
        <f>INDEX([1]ratio_ins!AE:AE,MATCH('001_population_health_zone_zs'!$B$2,[1]ratio_ins!$B:$B,0))*$G8*INDEX([1]ratio_ins!$D:$D,MATCH('001_population_health_zone_zs'!$B8,[1]ratio_ins!$B:$B,0))</f>
        <v>4093.9224942000001</v>
      </c>
      <c r="AI8" s="13">
        <f>INDEX([1]ratio_ins!AF:AF,MATCH('001_population_health_zone_zs'!$B$2,[1]ratio_ins!$B:$B,0))*$G8*INDEX([1]ratio_ins!$D:$D,MATCH('001_population_health_zone_zs'!$B8,[1]ratio_ins!$B:$B,0))</f>
        <v>46841.707574200002</v>
      </c>
      <c r="AJ8" s="10">
        <f>INDEX([1]ratio_ins!AG:AG,MATCH('001_population_health_zone_zs'!$B$2,[1]ratio_ins!$B:$B,0))*$G8*INDEX([1]ratio_ins!$D:$D,MATCH('001_population_health_zone_zs'!$B8,[1]ratio_ins!$B:$B,0))</f>
        <v>2729.2816628</v>
      </c>
      <c r="AK8" s="10">
        <f>INDEX([1]ratio_ins!AH:AH,MATCH('001_population_health_zone_zs'!$B$2,[1]ratio_ins!$B:$B,0))*$G8*INDEX([1]ratio_ins!$D:$D,MATCH('001_population_health_zone_zs'!$B8,[1]ratio_ins!$B:$B,0))</f>
        <v>6083.338646000002</v>
      </c>
      <c r="AL8" s="10">
        <f>INDEX([1]ratio_ins!AI:AI,MATCH('001_population_health_zone_zs'!$B$2,[1]ratio_ins!$B:$B,0))*$G8*INDEX([1]ratio_ins!$D:$D,MATCH('001_population_health_zone_zs'!$B8,[1]ratio_ins!$B:$B,0))</f>
        <v>5754.5095300000012</v>
      </c>
      <c r="AM8" s="10">
        <f>INDEX([1]ratio_ins!AJ:AJ,MATCH('001_population_health_zone_zs'!$B$2,[1]ratio_ins!$B:$B,0))*$G8*INDEX([1]ratio_ins!$D:$D,MATCH('001_population_health_zone_zs'!$B8,[1]ratio_ins!$B:$B,0))</f>
        <v>5261.2658560000009</v>
      </c>
      <c r="AN8" s="10">
        <f>INDEX([1]ratio_ins!AK:AK,MATCH('001_population_health_zone_zs'!$B$2,[1]ratio_ins!$B:$B,0))*$G8*INDEX([1]ratio_ins!$D:$D,MATCH('001_population_health_zone_zs'!$B8,[1]ratio_ins!$B:$B,0))</f>
        <v>4932.436740000001</v>
      </c>
      <c r="AO8" s="10">
        <f>INDEX([1]ratio_ins!AL:AL,MATCH('001_population_health_zone_zs'!$B$2,[1]ratio_ins!$B:$B,0))*$G8*INDEX([1]ratio_ins!$D:$D,MATCH('001_population_health_zone_zs'!$B8,[1]ratio_ins!$B:$B,0))</f>
        <v>3699.3275550000003</v>
      </c>
      <c r="AP8" s="10">
        <f>INDEX([1]ratio_ins!AM:AM,MATCH('001_population_health_zone_zs'!$B$2,[1]ratio_ins!$B:$B,0))*$G8*INDEX([1]ratio_ins!$D:$D,MATCH('001_population_health_zone_zs'!$B8,[1]ratio_ins!$B:$B,0))</f>
        <v>2384.0110910000003</v>
      </c>
      <c r="AQ8" s="10">
        <f>INDEX([1]ratio_ins!AN:AN,MATCH('001_population_health_zone_zs'!$B$2,[1]ratio_ins!$B:$B,0))*$G8*INDEX([1]ratio_ins!$D:$D,MATCH('001_population_health_zone_zs'!$B8,[1]ratio_ins!$B:$B,0))</f>
        <v>1890.7674170000003</v>
      </c>
      <c r="AR8" s="10">
        <f>INDEX([1]ratio_ins!AO:AO,MATCH('001_population_health_zone_zs'!$B$2,[1]ratio_ins!$B:$B,0))*$G8*INDEX([1]ratio_ins!$D:$D,MATCH('001_population_health_zone_zs'!$B8,[1]ratio_ins!$B:$B,0))</f>
        <v>904.28006900000014</v>
      </c>
      <c r="AS8" s="13">
        <f>INDEX([1]ratio_ins!AP:AP,MATCH('001_population_health_zone_zs'!$B$2,[1]ratio_ins!$B:$B,0))*$G8*INDEX([1]ratio_ins!$D:$D,MATCH('001_population_health_zone_zs'!$B8,[1]ratio_ins!$B:$B,0))</f>
        <v>33639.218566800002</v>
      </c>
      <c r="AT8" s="10">
        <f>INDEX([1]ratio_ins!AQ:AQ,MATCH('001_population_health_zone_zs'!$B$2,[1]ratio_ins!$B:$B,0))*$G8*INDEX([1]ratio_ins!$D:$D,MATCH('001_population_health_zone_zs'!$B8,[1]ratio_ins!$B:$B,0))</f>
        <v>822.07279000000005</v>
      </c>
      <c r="AU8" s="10">
        <f>INDEX([1]ratio_ins!AR:AR,MATCH('001_population_health_zone_zs'!$B$2,[1]ratio_ins!$B:$B,0))*$G8*INDEX([1]ratio_ins!$D:$D,MATCH('001_population_health_zone_zs'!$B8,[1]ratio_ins!$B:$B,0))</f>
        <v>493.24367400000006</v>
      </c>
      <c r="AV8" s="10">
        <f>INDEX([1]ratio_ins!AS:AS,MATCH('001_population_health_zone_zs'!$B$2,[1]ratio_ins!$B:$B,0))*$G8*INDEX([1]ratio_ins!$D:$D,MATCH('001_population_health_zone_zs'!$B8,[1]ratio_ins!$B:$B,0))</f>
        <v>246.62183700000003</v>
      </c>
      <c r="AW8" s="10">
        <f>INDEX([1]ratio_ins!AT:AT,MATCH('001_population_health_zone_zs'!$B$2,[1]ratio_ins!$B:$B,0))*$G8*INDEX([1]ratio_ins!$D:$D,MATCH('001_population_health_zone_zs'!$B8,[1]ratio_ins!$B:$B,0))</f>
        <v>164.41455800000003</v>
      </c>
      <c r="AX8" s="13">
        <f>INDEX([1]ratio_ins!AU:AU,MATCH('001_population_health_zone_zs'!$B$2,[1]ratio_ins!$B:$B,0))*$G8*INDEX([1]ratio_ins!$D:$D,MATCH('001_population_health_zone_zs'!$B8,[1]ratio_ins!$B:$B,0))</f>
        <v>1726.3528590000001</v>
      </c>
      <c r="AY8" s="14">
        <f t="shared" si="1"/>
        <v>82207.27900000001</v>
      </c>
      <c r="AZ8" s="15">
        <f t="shared" si="2"/>
        <v>165407</v>
      </c>
      <c r="BA8" s="16">
        <v>163493.33212698181</v>
      </c>
      <c r="BB8" s="10">
        <f t="shared" si="3"/>
        <v>34938.093575000006</v>
      </c>
      <c r="BC8" s="17">
        <f t="shared" si="4"/>
        <v>0.21122500000000002</v>
      </c>
      <c r="BD8" s="10">
        <f t="shared" si="5"/>
        <v>34694.283657000007</v>
      </c>
    </row>
    <row r="9" spans="1:56" x14ac:dyDescent="0.25">
      <c r="A9" s="8" t="s">
        <v>10</v>
      </c>
      <c r="B9" s="8" t="s">
        <v>11</v>
      </c>
      <c r="C9" s="8" t="s">
        <v>10</v>
      </c>
      <c r="D9" s="8" t="s">
        <v>12</v>
      </c>
      <c r="E9" s="8" t="s">
        <v>27</v>
      </c>
      <c r="F9" s="8" t="s">
        <v>28</v>
      </c>
      <c r="G9" s="9">
        <v>270729</v>
      </c>
      <c r="H9" s="10">
        <f>INDEX([1]ratio_ins!F:F,MATCH('001_population_health_zone_zs'!$B$2,[1]ratio_ins!$B:$B,0))*$G9*INDEX([1]ratio_ins!$C:$C,MATCH('001_population_health_zone_zs'!$B9,[1]ratio_ins!$B:$B,0))</f>
        <v>28460.927582999997</v>
      </c>
      <c r="I9" s="10">
        <f>INDEX([1]ratio_ins!G:G,MATCH('001_population_health_zone_zs'!$B$2,[1]ratio_ins!$B:$B,0))*$G9*INDEX([1]ratio_ins!$C:$C,MATCH('001_population_health_zone_zs'!$B9,[1]ratio_ins!$B:$B,0))</f>
        <v>23286.213477000005</v>
      </c>
      <c r="J9" s="10">
        <f>INDEX([1]ratio_ins!H:H,MATCH('001_population_health_zone_zs'!$B$2,[1]ratio_ins!$B:$B,0))*$G9*INDEX([1]ratio_ins!$C:$C,MATCH('001_population_health_zone_zs'!$B9,[1]ratio_ins!$B:$B,0))</f>
        <v>18383.852745</v>
      </c>
      <c r="K9" s="10">
        <f>INDEX([1]ratio_ins!I:I,MATCH('001_population_health_zone_zs'!$B$2,[1]ratio_ins!$B:$B,0))*$G9*INDEX([1]ratio_ins!$C:$C,MATCH('001_population_health_zone_zs'!$B9,[1]ratio_ins!$B:$B,0))</f>
        <v>11302.665021000001</v>
      </c>
      <c r="L9" s="10">
        <f>INDEX([1]ratio_ins!J:J,MATCH('001_population_health_zone_zs'!$B$2,[1]ratio_ins!$B:$B,0))*$G9*INDEX([1]ratio_ins!$C:$C,MATCH('001_population_health_zone_zs'!$B9,[1]ratio_ins!$B:$B,0))</f>
        <v>6781.5990125999997</v>
      </c>
      <c r="M9" s="11">
        <f>INDEX([1]ratio_ins!K:K,MATCH('001_population_health_zone_zs'!$B$2,[1]ratio_ins!$B:$B,0))*$G9*INDEX([1]ratio_ins!$C:$C,MATCH('001_population_health_zone_zs'!$B9,[1]ratio_ins!$B:$B,0))</f>
        <v>76912.592817599987</v>
      </c>
      <c r="N9" s="10">
        <f>INDEX([1]ratio_ins!L:L,MATCH('001_population_health_zone_zs'!$B$2,[1]ratio_ins!$B:$B,0))*$G9*INDEX([1]ratio_ins!$C:$C,MATCH('001_population_health_zone_zs'!$B9,[1]ratio_ins!$B:$B,0))</f>
        <v>4521.0660084000001</v>
      </c>
      <c r="O9" s="10">
        <f>INDEX([1]ratio_ins!M:M,MATCH('001_population_health_zone_zs'!$B$2,[1]ratio_ins!$B:$B,0))*$G9*INDEX([1]ratio_ins!$C:$C,MATCH('001_population_health_zone_zs'!$B9,[1]ratio_ins!$B:$B,0))</f>
        <v>9804.7214640000002</v>
      </c>
      <c r="P9" s="10">
        <f>INDEX([1]ratio_ins!N:N,MATCH('001_population_health_zone_zs'!$B$2,[1]ratio_ins!$B:$B,0))*$G9*INDEX([1]ratio_ins!$C:$C,MATCH('001_population_health_zone_zs'!$B9,[1]ratio_ins!$B:$B,0))</f>
        <v>8851.4846550000002</v>
      </c>
      <c r="Q9" s="10">
        <f>INDEX([1]ratio_ins!O:O,MATCH('001_population_health_zone_zs'!$B$2,[1]ratio_ins!$B:$B,0))*$G9*INDEX([1]ratio_ins!$C:$C,MATCH('001_population_health_zone_zs'!$B9,[1]ratio_ins!$B:$B,0))</f>
        <v>7898.2478459999993</v>
      </c>
      <c r="R9" s="10">
        <f>INDEX([1]ratio_ins!P:P,MATCH('001_population_health_zone_zs'!$B$2,[1]ratio_ins!$B:$B,0))*$G9*INDEX([1]ratio_ins!$C:$C,MATCH('001_population_health_zone_zs'!$B9,[1]ratio_ins!$B:$B,0))</f>
        <v>7762.0711590000001</v>
      </c>
      <c r="S9" s="10">
        <f>INDEX([1]ratio_ins!Q:Q,MATCH('001_population_health_zone_zs'!$B$2,[1]ratio_ins!$B:$B,0))*$G9*INDEX([1]ratio_ins!$C:$C,MATCH('001_population_health_zone_zs'!$B9,[1]ratio_ins!$B:$B,0))</f>
        <v>6536.4809759999998</v>
      </c>
      <c r="T9" s="10">
        <f>INDEX([1]ratio_ins!R:R,MATCH('001_population_health_zone_zs'!$B$2,[1]ratio_ins!$B:$B,0))*$G9*INDEX([1]ratio_ins!$C:$C,MATCH('001_population_health_zone_zs'!$B9,[1]ratio_ins!$B:$B,0))</f>
        <v>4630.0073579999998</v>
      </c>
      <c r="U9" s="10">
        <f>INDEX([1]ratio_ins!S:S,MATCH('001_population_health_zone_zs'!$B$2,[1]ratio_ins!$B:$B,0))*$G9*INDEX([1]ratio_ins!$C:$C,MATCH('001_population_health_zone_zs'!$B9,[1]ratio_ins!$B:$B,0))</f>
        <v>3676.7705490000003</v>
      </c>
      <c r="V9" s="10">
        <f>INDEX([1]ratio_ins!T:T,MATCH('001_population_health_zone_zs'!$B$2,[1]ratio_ins!$B:$B,0))*$G9*INDEX([1]ratio_ins!$C:$C,MATCH('001_population_health_zone_zs'!$B9,[1]ratio_ins!$B:$B,0))</f>
        <v>2042.6503049999999</v>
      </c>
      <c r="W9" s="11">
        <f>INDEX([1]ratio_ins!U:U,MATCH('001_population_health_zone_zs'!$B$2,[1]ratio_ins!$B:$B,0))*$G9*INDEX([1]ratio_ins!$C:$C,MATCH('001_population_health_zone_zs'!$B9,[1]ratio_ins!$B:$B,0))</f>
        <v>55723.500320400002</v>
      </c>
      <c r="X9" s="10">
        <f>INDEX([1]ratio_ins!V:V,MATCH('001_population_health_zone_zs'!$B$2,[1]ratio_ins!$B:$B,0))*$G9*INDEX([1]ratio_ins!$C:$C,MATCH('001_population_health_zone_zs'!$B9,[1]ratio_ins!$B:$B,0))</f>
        <v>1634.120244</v>
      </c>
      <c r="Y9" s="10">
        <f>INDEX([1]ratio_ins!W:W,MATCH('001_population_health_zone_zs'!$B$2,[1]ratio_ins!$B:$B,0))*$G9*INDEX([1]ratio_ins!$C:$C,MATCH('001_population_health_zone_zs'!$B9,[1]ratio_ins!$B:$B,0))</f>
        <v>1089.4134959999999</v>
      </c>
      <c r="Z9" s="10">
        <f>INDEX([1]ratio_ins!X:X,MATCH('001_population_health_zone_zs'!$B$2,[1]ratio_ins!$B:$B,0))*$G9*INDEX([1]ratio_ins!$C:$C,MATCH('001_population_health_zone_zs'!$B9,[1]ratio_ins!$B:$B,0))</f>
        <v>544.70674799999995</v>
      </c>
      <c r="AA9" s="10">
        <f>INDEX([1]ratio_ins!Y:Y,MATCH('001_population_health_zone_zs'!$B$2,[1]ratio_ins!$B:$B,0))*$G9*INDEX([1]ratio_ins!$C:$C,MATCH('001_population_health_zone_zs'!$B9,[1]ratio_ins!$B:$B,0))</f>
        <v>272.35337399999997</v>
      </c>
      <c r="AB9" s="11">
        <f>INDEX([1]ratio_ins!Z:Z,MATCH('001_population_health_zone_zs'!$B$2,[1]ratio_ins!$B:$B,0))*$G9*INDEX([1]ratio_ins!$C:$C,MATCH('001_population_health_zone_zs'!$B9,[1]ratio_ins!$B:$B,0))</f>
        <v>3540.5938620000002</v>
      </c>
      <c r="AC9" s="12">
        <f t="shared" si="0"/>
        <v>136176.68700000001</v>
      </c>
      <c r="AD9" s="10">
        <f>INDEX([1]ratio_ins!AA:AA,MATCH('001_population_health_zone_zs'!$B$2,[1]ratio_ins!$B:$B,0))*$G9*INDEX([1]ratio_ins!$D:$D,MATCH('001_population_health_zone_zs'!$B9,[1]ratio_ins!$B:$B,0))</f>
        <v>28255.98573</v>
      </c>
      <c r="AE9" s="10">
        <f>INDEX([1]ratio_ins!AB:AB,MATCH('001_population_health_zone_zs'!$B$2,[1]ratio_ins!$B:$B,0))*$G9*INDEX([1]ratio_ins!$D:$D,MATCH('001_population_health_zone_zs'!$B9,[1]ratio_ins!$B:$B,0))</f>
        <v>23277.550149000006</v>
      </c>
      <c r="AF9" s="10">
        <f>INDEX([1]ratio_ins!AC:AC,MATCH('001_population_health_zone_zs'!$B$2,[1]ratio_ins!$B:$B,0))*$G9*INDEX([1]ratio_ins!$D:$D,MATCH('001_population_health_zone_zs'!$B9,[1]ratio_ins!$B:$B,0))</f>
        <v>18433.666880999997</v>
      </c>
      <c r="AG9" s="10">
        <f>INDEX([1]ratio_ins!AD:AD,MATCH('001_population_health_zone_zs'!$B$2,[1]ratio_ins!$B:$B,0))*$G9*INDEX([1]ratio_ins!$D:$D,MATCH('001_population_health_zone_zs'!$B9,[1]ratio_ins!$B:$B,0))</f>
        <v>11167.841979000003</v>
      </c>
      <c r="AH9" s="10">
        <f>INDEX([1]ratio_ins!AE:AE,MATCH('001_population_health_zone_zs'!$B$2,[1]ratio_ins!$B:$B,0))*$G9*INDEX([1]ratio_ins!$D:$D,MATCH('001_population_health_zone_zs'!$B9,[1]ratio_ins!$B:$B,0))</f>
        <v>6700.7051873999999</v>
      </c>
      <c r="AI9" s="13">
        <f>INDEX([1]ratio_ins!AF:AF,MATCH('001_population_health_zone_zs'!$B$2,[1]ratio_ins!$B:$B,0))*$G9*INDEX([1]ratio_ins!$D:$D,MATCH('001_population_health_zone_zs'!$B9,[1]ratio_ins!$B:$B,0))</f>
        <v>76667.907947400003</v>
      </c>
      <c r="AJ9" s="10">
        <f>INDEX([1]ratio_ins!AG:AG,MATCH('001_population_health_zone_zs'!$B$2,[1]ratio_ins!$B:$B,0))*$G9*INDEX([1]ratio_ins!$D:$D,MATCH('001_population_health_zone_zs'!$B9,[1]ratio_ins!$B:$B,0))</f>
        <v>4467.1367916000008</v>
      </c>
      <c r="AK9" s="10">
        <f>INDEX([1]ratio_ins!AH:AH,MATCH('001_population_health_zone_zs'!$B$2,[1]ratio_ins!$B:$B,0))*$G9*INDEX([1]ratio_ins!$D:$D,MATCH('001_population_health_zone_zs'!$B9,[1]ratio_ins!$B:$B,0))</f>
        <v>9956.8711620000031</v>
      </c>
      <c r="AL9" s="10">
        <f>INDEX([1]ratio_ins!AI:AI,MATCH('001_population_health_zone_zs'!$B$2,[1]ratio_ins!$B:$B,0))*$G9*INDEX([1]ratio_ins!$D:$D,MATCH('001_population_health_zone_zs'!$B9,[1]ratio_ins!$B:$B,0))</f>
        <v>9418.6619100000025</v>
      </c>
      <c r="AM9" s="10">
        <f>INDEX([1]ratio_ins!AJ:AJ,MATCH('001_population_health_zone_zs'!$B$2,[1]ratio_ins!$B:$B,0))*$G9*INDEX([1]ratio_ins!$D:$D,MATCH('001_population_health_zone_zs'!$B9,[1]ratio_ins!$B:$B,0))</f>
        <v>8611.3480319999999</v>
      </c>
      <c r="AN9" s="10">
        <f>INDEX([1]ratio_ins!AK:AK,MATCH('001_population_health_zone_zs'!$B$2,[1]ratio_ins!$B:$B,0))*$G9*INDEX([1]ratio_ins!$D:$D,MATCH('001_population_health_zone_zs'!$B9,[1]ratio_ins!$B:$B,0))</f>
        <v>8073.1387800000011</v>
      </c>
      <c r="AO9" s="10">
        <f>INDEX([1]ratio_ins!AL:AL,MATCH('001_population_health_zone_zs'!$B$2,[1]ratio_ins!$B:$B,0))*$G9*INDEX([1]ratio_ins!$D:$D,MATCH('001_population_health_zone_zs'!$B9,[1]ratio_ins!$B:$B,0))</f>
        <v>6054.8540850000009</v>
      </c>
      <c r="AP9" s="10">
        <f>INDEX([1]ratio_ins!AM:AM,MATCH('001_population_health_zone_zs'!$B$2,[1]ratio_ins!$B:$B,0))*$G9*INDEX([1]ratio_ins!$D:$D,MATCH('001_population_health_zone_zs'!$B9,[1]ratio_ins!$B:$B,0))</f>
        <v>3902.0170770000004</v>
      </c>
      <c r="AQ9" s="10">
        <f>INDEX([1]ratio_ins!AN:AN,MATCH('001_population_health_zone_zs'!$B$2,[1]ratio_ins!$B:$B,0))*$G9*INDEX([1]ratio_ins!$D:$D,MATCH('001_population_health_zone_zs'!$B9,[1]ratio_ins!$B:$B,0))</f>
        <v>3094.703199</v>
      </c>
      <c r="AR9" s="10">
        <f>INDEX([1]ratio_ins!AO:AO,MATCH('001_population_health_zone_zs'!$B$2,[1]ratio_ins!$B:$B,0))*$G9*INDEX([1]ratio_ins!$D:$D,MATCH('001_population_health_zone_zs'!$B9,[1]ratio_ins!$B:$B,0))</f>
        <v>1480.0754430000002</v>
      </c>
      <c r="AS9" s="13">
        <f>INDEX([1]ratio_ins!AP:AP,MATCH('001_population_health_zone_zs'!$B$2,[1]ratio_ins!$B:$B,0))*$G9*INDEX([1]ratio_ins!$D:$D,MATCH('001_population_health_zone_zs'!$B9,[1]ratio_ins!$B:$B,0))</f>
        <v>55058.806479600011</v>
      </c>
      <c r="AT9" s="10">
        <f>INDEX([1]ratio_ins!AQ:AQ,MATCH('001_population_health_zone_zs'!$B$2,[1]ratio_ins!$B:$B,0))*$G9*INDEX([1]ratio_ins!$D:$D,MATCH('001_population_health_zone_zs'!$B9,[1]ratio_ins!$B:$B,0))</f>
        <v>1345.52313</v>
      </c>
      <c r="AU9" s="10">
        <f>INDEX([1]ratio_ins!AR:AR,MATCH('001_population_health_zone_zs'!$B$2,[1]ratio_ins!$B:$B,0))*$G9*INDEX([1]ratio_ins!$D:$D,MATCH('001_population_health_zone_zs'!$B9,[1]ratio_ins!$B:$B,0))</f>
        <v>807.31387800000005</v>
      </c>
      <c r="AV9" s="10">
        <f>INDEX([1]ratio_ins!AS:AS,MATCH('001_population_health_zone_zs'!$B$2,[1]ratio_ins!$B:$B,0))*$G9*INDEX([1]ratio_ins!$D:$D,MATCH('001_population_health_zone_zs'!$B9,[1]ratio_ins!$B:$B,0))</f>
        <v>403.65693900000002</v>
      </c>
      <c r="AW9" s="10">
        <f>INDEX([1]ratio_ins!AT:AT,MATCH('001_population_health_zone_zs'!$B$2,[1]ratio_ins!$B:$B,0))*$G9*INDEX([1]ratio_ins!$D:$D,MATCH('001_population_health_zone_zs'!$B9,[1]ratio_ins!$B:$B,0))</f>
        <v>269.104626</v>
      </c>
      <c r="AX9" s="13">
        <f>INDEX([1]ratio_ins!AU:AU,MATCH('001_population_health_zone_zs'!$B$2,[1]ratio_ins!$B:$B,0))*$G9*INDEX([1]ratio_ins!$D:$D,MATCH('001_population_health_zone_zs'!$B9,[1]ratio_ins!$B:$B,0))</f>
        <v>2825.5985729999998</v>
      </c>
      <c r="AY9" s="14">
        <f t="shared" si="1"/>
        <v>134552.31300000002</v>
      </c>
      <c r="AZ9" s="15">
        <f t="shared" si="2"/>
        <v>270729</v>
      </c>
      <c r="BA9" s="16">
        <v>267596.42861282965</v>
      </c>
      <c r="BB9" s="10">
        <f t="shared" si="3"/>
        <v>57184.733025000009</v>
      </c>
      <c r="BC9" s="17">
        <f t="shared" si="4"/>
        <v>0.21122500000000002</v>
      </c>
      <c r="BD9" s="10">
        <f t="shared" si="5"/>
        <v>56785.678479000002</v>
      </c>
    </row>
    <row r="10" spans="1:56" x14ac:dyDescent="0.25">
      <c r="A10" s="8" t="s">
        <v>10</v>
      </c>
      <c r="B10" s="8" t="s">
        <v>11</v>
      </c>
      <c r="C10" s="8" t="s">
        <v>10</v>
      </c>
      <c r="D10" s="8" t="s">
        <v>12</v>
      </c>
      <c r="E10" s="8" t="s">
        <v>29</v>
      </c>
      <c r="F10" s="8" t="s">
        <v>30</v>
      </c>
      <c r="G10" s="9">
        <v>241639</v>
      </c>
      <c r="H10" s="10">
        <f>INDEX([1]ratio_ins!F:F,MATCH('001_population_health_zone_zs'!$B$2,[1]ratio_ins!$B:$B,0))*$G10*INDEX([1]ratio_ins!$C:$C,MATCH('001_population_health_zone_zs'!$B10,[1]ratio_ins!$B:$B,0))</f>
        <v>25402.783153</v>
      </c>
      <c r="I10" s="10">
        <f>INDEX([1]ratio_ins!G:G,MATCH('001_population_health_zone_zs'!$B$2,[1]ratio_ins!$B:$B,0))*$G10*INDEX([1]ratio_ins!$C:$C,MATCH('001_population_health_zone_zs'!$B10,[1]ratio_ins!$B:$B,0))</f>
        <v>20784.095307</v>
      </c>
      <c r="J10" s="10">
        <f>INDEX([1]ratio_ins!H:H,MATCH('001_population_health_zone_zs'!$B$2,[1]ratio_ins!$B:$B,0))*$G10*INDEX([1]ratio_ins!$C:$C,MATCH('001_population_health_zone_zs'!$B10,[1]ratio_ins!$B:$B,0))</f>
        <v>16408.496295000001</v>
      </c>
      <c r="K10" s="10">
        <f>INDEX([1]ratio_ins!I:I,MATCH('001_population_health_zone_zs'!$B$2,[1]ratio_ins!$B:$B,0))*$G10*INDEX([1]ratio_ins!$C:$C,MATCH('001_population_health_zone_zs'!$B10,[1]ratio_ins!$B:$B,0))</f>
        <v>10088.186611000001</v>
      </c>
      <c r="L10" s="10">
        <f>INDEX([1]ratio_ins!J:J,MATCH('001_population_health_zone_zs'!$B$2,[1]ratio_ins!$B:$B,0))*$G10*INDEX([1]ratio_ins!$C:$C,MATCH('001_population_health_zone_zs'!$B10,[1]ratio_ins!$B:$B,0))</f>
        <v>6052.9119665999997</v>
      </c>
      <c r="M10" s="11">
        <f>INDEX([1]ratio_ins!K:K,MATCH('001_population_health_zone_zs'!$B$2,[1]ratio_ins!$B:$B,0))*$G10*INDEX([1]ratio_ins!$C:$C,MATCH('001_population_health_zone_zs'!$B10,[1]ratio_ins!$B:$B,0))</f>
        <v>68648.286721600001</v>
      </c>
      <c r="N10" s="10">
        <f>INDEX([1]ratio_ins!L:L,MATCH('001_population_health_zone_zs'!$B$2,[1]ratio_ins!$B:$B,0))*$G10*INDEX([1]ratio_ins!$C:$C,MATCH('001_population_health_zone_zs'!$B10,[1]ratio_ins!$B:$B,0))</f>
        <v>4035.2746444000004</v>
      </c>
      <c r="O10" s="10">
        <f>INDEX([1]ratio_ins!M:M,MATCH('001_population_health_zone_zs'!$B$2,[1]ratio_ins!$B:$B,0))*$G10*INDEX([1]ratio_ins!$C:$C,MATCH('001_population_health_zone_zs'!$B10,[1]ratio_ins!$B:$B,0))</f>
        <v>8751.1980240000012</v>
      </c>
      <c r="P10" s="10">
        <f>INDEX([1]ratio_ins!N:N,MATCH('001_population_health_zone_zs'!$B$2,[1]ratio_ins!$B:$B,0))*$G10*INDEX([1]ratio_ins!$C:$C,MATCH('001_population_health_zone_zs'!$B10,[1]ratio_ins!$B:$B,0))</f>
        <v>7900.3871049999998</v>
      </c>
      <c r="Q10" s="10">
        <f>INDEX([1]ratio_ins!O:O,MATCH('001_population_health_zone_zs'!$B$2,[1]ratio_ins!$B:$B,0))*$G10*INDEX([1]ratio_ins!$C:$C,MATCH('001_population_health_zone_zs'!$B10,[1]ratio_ins!$B:$B,0))</f>
        <v>7049.5761860000002</v>
      </c>
      <c r="R10" s="10">
        <f>INDEX([1]ratio_ins!P:P,MATCH('001_population_health_zone_zs'!$B$2,[1]ratio_ins!$B:$B,0))*$G10*INDEX([1]ratio_ins!$C:$C,MATCH('001_population_health_zone_zs'!$B10,[1]ratio_ins!$B:$B,0))</f>
        <v>6928.0317690000002</v>
      </c>
      <c r="S10" s="10">
        <f>INDEX([1]ratio_ins!Q:Q,MATCH('001_population_health_zone_zs'!$B$2,[1]ratio_ins!$B:$B,0))*$G10*INDEX([1]ratio_ins!$C:$C,MATCH('001_population_health_zone_zs'!$B10,[1]ratio_ins!$B:$B,0))</f>
        <v>5834.1320160000005</v>
      </c>
      <c r="T10" s="10">
        <f>INDEX([1]ratio_ins!R:R,MATCH('001_population_health_zone_zs'!$B$2,[1]ratio_ins!$B:$B,0))*$G10*INDEX([1]ratio_ins!$C:$C,MATCH('001_population_health_zone_zs'!$B10,[1]ratio_ins!$B:$B,0))</f>
        <v>4132.5101780000005</v>
      </c>
      <c r="U10" s="10">
        <f>INDEX([1]ratio_ins!S:S,MATCH('001_population_health_zone_zs'!$B$2,[1]ratio_ins!$B:$B,0))*$G10*INDEX([1]ratio_ins!$C:$C,MATCH('001_population_health_zone_zs'!$B10,[1]ratio_ins!$B:$B,0))</f>
        <v>3281.6992590000004</v>
      </c>
      <c r="V10" s="10">
        <f>INDEX([1]ratio_ins!T:T,MATCH('001_population_health_zone_zs'!$B$2,[1]ratio_ins!$B:$B,0))*$G10*INDEX([1]ratio_ins!$C:$C,MATCH('001_population_health_zone_zs'!$B10,[1]ratio_ins!$B:$B,0))</f>
        <v>1823.1662550000001</v>
      </c>
      <c r="W10" s="11">
        <f>INDEX([1]ratio_ins!U:U,MATCH('001_population_health_zone_zs'!$B$2,[1]ratio_ins!$B:$B,0))*$G10*INDEX([1]ratio_ins!$C:$C,MATCH('001_population_health_zone_zs'!$B10,[1]ratio_ins!$B:$B,0))</f>
        <v>49735.975436400004</v>
      </c>
      <c r="X10" s="10">
        <f>INDEX([1]ratio_ins!V:V,MATCH('001_population_health_zone_zs'!$B$2,[1]ratio_ins!$B:$B,0))*$G10*INDEX([1]ratio_ins!$C:$C,MATCH('001_population_health_zone_zs'!$B10,[1]ratio_ins!$B:$B,0))</f>
        <v>1458.5330040000001</v>
      </c>
      <c r="Y10" s="10">
        <f>INDEX([1]ratio_ins!W:W,MATCH('001_population_health_zone_zs'!$B$2,[1]ratio_ins!$B:$B,0))*$G10*INDEX([1]ratio_ins!$C:$C,MATCH('001_population_health_zone_zs'!$B10,[1]ratio_ins!$B:$B,0))</f>
        <v>972.35533600000008</v>
      </c>
      <c r="Z10" s="10">
        <f>INDEX([1]ratio_ins!X:X,MATCH('001_population_health_zone_zs'!$B$2,[1]ratio_ins!$B:$B,0))*$G10*INDEX([1]ratio_ins!$C:$C,MATCH('001_population_health_zone_zs'!$B10,[1]ratio_ins!$B:$B,0))</f>
        <v>486.17766800000004</v>
      </c>
      <c r="AA10" s="10">
        <f>INDEX([1]ratio_ins!Y:Y,MATCH('001_population_health_zone_zs'!$B$2,[1]ratio_ins!$B:$B,0))*$G10*INDEX([1]ratio_ins!$C:$C,MATCH('001_population_health_zone_zs'!$B10,[1]ratio_ins!$B:$B,0))</f>
        <v>243.08883400000002</v>
      </c>
      <c r="AB10" s="11">
        <f>INDEX([1]ratio_ins!Z:Z,MATCH('001_population_health_zone_zs'!$B$2,[1]ratio_ins!$B:$B,0))*$G10*INDEX([1]ratio_ins!$C:$C,MATCH('001_population_health_zone_zs'!$B10,[1]ratio_ins!$B:$B,0))</f>
        <v>3160.1548420000004</v>
      </c>
      <c r="AC10" s="12">
        <f t="shared" si="0"/>
        <v>121544.417</v>
      </c>
      <c r="AD10" s="10">
        <f>INDEX([1]ratio_ins!AA:AA,MATCH('001_population_health_zone_zs'!$B$2,[1]ratio_ins!$B:$B,0))*$G10*INDEX([1]ratio_ins!$D:$D,MATCH('001_population_health_zone_zs'!$B10,[1]ratio_ins!$B:$B,0))</f>
        <v>25219.862430000001</v>
      </c>
      <c r="AE10" s="10">
        <f>INDEX([1]ratio_ins!AB:AB,MATCH('001_population_health_zone_zs'!$B$2,[1]ratio_ins!$B:$B,0))*$G10*INDEX([1]ratio_ins!$D:$D,MATCH('001_population_health_zone_zs'!$B10,[1]ratio_ins!$B:$B,0))</f>
        <v>20776.362859000004</v>
      </c>
      <c r="AF10" s="10">
        <f>INDEX([1]ratio_ins!AC:AC,MATCH('001_population_health_zone_zs'!$B$2,[1]ratio_ins!$B:$B,0))*$G10*INDEX([1]ratio_ins!$D:$D,MATCH('001_population_health_zone_zs'!$B10,[1]ratio_ins!$B:$B,0))</f>
        <v>16452.957871000002</v>
      </c>
      <c r="AG10" s="10">
        <f>INDEX([1]ratio_ins!AD:AD,MATCH('001_population_health_zone_zs'!$B$2,[1]ratio_ins!$B:$B,0))*$G10*INDEX([1]ratio_ins!$D:$D,MATCH('001_population_health_zone_zs'!$B10,[1]ratio_ins!$B:$B,0))</f>
        <v>9967.8503890000011</v>
      </c>
      <c r="AH10" s="10">
        <f>INDEX([1]ratio_ins!AE:AE,MATCH('001_population_health_zone_zs'!$B$2,[1]ratio_ins!$B:$B,0))*$G10*INDEX([1]ratio_ins!$D:$D,MATCH('001_population_health_zone_zs'!$B10,[1]ratio_ins!$B:$B,0))</f>
        <v>5980.7102334000001</v>
      </c>
      <c r="AI10" s="13">
        <f>INDEX([1]ratio_ins!AF:AF,MATCH('001_population_health_zone_zs'!$B$2,[1]ratio_ins!$B:$B,0))*$G10*INDEX([1]ratio_ins!$D:$D,MATCH('001_population_health_zone_zs'!$B10,[1]ratio_ins!$B:$B,0))</f>
        <v>68429.893393399994</v>
      </c>
      <c r="AJ10" s="10">
        <f>INDEX([1]ratio_ins!AG:AG,MATCH('001_population_health_zone_zs'!$B$2,[1]ratio_ins!$B:$B,0))*$G10*INDEX([1]ratio_ins!$D:$D,MATCH('001_population_health_zone_zs'!$B10,[1]ratio_ins!$B:$B,0))</f>
        <v>3987.1401556000005</v>
      </c>
      <c r="AK10" s="10">
        <f>INDEX([1]ratio_ins!AH:AH,MATCH('001_population_health_zone_zs'!$B$2,[1]ratio_ins!$B:$B,0))*$G10*INDEX([1]ratio_ins!$D:$D,MATCH('001_population_health_zone_zs'!$B10,[1]ratio_ins!$B:$B,0))</f>
        <v>8886.9991420000024</v>
      </c>
      <c r="AL10" s="10">
        <f>INDEX([1]ratio_ins!AI:AI,MATCH('001_population_health_zone_zs'!$B$2,[1]ratio_ins!$B:$B,0))*$G10*INDEX([1]ratio_ins!$D:$D,MATCH('001_population_health_zone_zs'!$B10,[1]ratio_ins!$B:$B,0))</f>
        <v>8406.6208100000022</v>
      </c>
      <c r="AM10" s="10">
        <f>INDEX([1]ratio_ins!AJ:AJ,MATCH('001_population_health_zone_zs'!$B$2,[1]ratio_ins!$B:$B,0))*$G10*INDEX([1]ratio_ins!$D:$D,MATCH('001_population_health_zone_zs'!$B10,[1]ratio_ins!$B:$B,0))</f>
        <v>7686.0533120000009</v>
      </c>
      <c r="AN10" s="10">
        <f>INDEX([1]ratio_ins!AK:AK,MATCH('001_population_health_zone_zs'!$B$2,[1]ratio_ins!$B:$B,0))*$G10*INDEX([1]ratio_ins!$D:$D,MATCH('001_population_health_zone_zs'!$B10,[1]ratio_ins!$B:$B,0))</f>
        <v>7205.6749800000007</v>
      </c>
      <c r="AO10" s="10">
        <f>INDEX([1]ratio_ins!AL:AL,MATCH('001_population_health_zone_zs'!$B$2,[1]ratio_ins!$B:$B,0))*$G10*INDEX([1]ratio_ins!$D:$D,MATCH('001_population_health_zone_zs'!$B10,[1]ratio_ins!$B:$B,0))</f>
        <v>5404.2562349999998</v>
      </c>
      <c r="AP10" s="10">
        <f>INDEX([1]ratio_ins!AM:AM,MATCH('001_population_health_zone_zs'!$B$2,[1]ratio_ins!$B:$B,0))*$G10*INDEX([1]ratio_ins!$D:$D,MATCH('001_population_health_zone_zs'!$B10,[1]ratio_ins!$B:$B,0))</f>
        <v>3482.7429070000003</v>
      </c>
      <c r="AQ10" s="10">
        <f>INDEX([1]ratio_ins!AN:AN,MATCH('001_population_health_zone_zs'!$B$2,[1]ratio_ins!$B:$B,0))*$G10*INDEX([1]ratio_ins!$D:$D,MATCH('001_population_health_zone_zs'!$B10,[1]ratio_ins!$B:$B,0))</f>
        <v>2762.1754090000004</v>
      </c>
      <c r="AR10" s="10">
        <f>INDEX([1]ratio_ins!AO:AO,MATCH('001_population_health_zone_zs'!$B$2,[1]ratio_ins!$B:$B,0))*$G10*INDEX([1]ratio_ins!$D:$D,MATCH('001_population_health_zone_zs'!$B10,[1]ratio_ins!$B:$B,0))</f>
        <v>1321.0404130000004</v>
      </c>
      <c r="AS10" s="13">
        <f>INDEX([1]ratio_ins!AP:AP,MATCH('001_population_health_zone_zs'!$B$2,[1]ratio_ins!$B:$B,0))*$G10*INDEX([1]ratio_ins!$D:$D,MATCH('001_population_health_zone_zs'!$B10,[1]ratio_ins!$B:$B,0))</f>
        <v>49142.703363600012</v>
      </c>
      <c r="AT10" s="10">
        <f>INDEX([1]ratio_ins!AQ:AQ,MATCH('001_population_health_zone_zs'!$B$2,[1]ratio_ins!$B:$B,0))*$G10*INDEX([1]ratio_ins!$D:$D,MATCH('001_population_health_zone_zs'!$B10,[1]ratio_ins!$B:$B,0))</f>
        <v>1200.9458300000001</v>
      </c>
      <c r="AU10" s="10">
        <f>INDEX([1]ratio_ins!AR:AR,MATCH('001_population_health_zone_zs'!$B$2,[1]ratio_ins!$B:$B,0))*$G10*INDEX([1]ratio_ins!$D:$D,MATCH('001_population_health_zone_zs'!$B10,[1]ratio_ins!$B:$B,0))</f>
        <v>720.56749800000011</v>
      </c>
      <c r="AV10" s="10">
        <f>INDEX([1]ratio_ins!AS:AS,MATCH('001_population_health_zone_zs'!$B$2,[1]ratio_ins!$B:$B,0))*$G10*INDEX([1]ratio_ins!$D:$D,MATCH('001_population_health_zone_zs'!$B10,[1]ratio_ins!$B:$B,0))</f>
        <v>360.28374900000006</v>
      </c>
      <c r="AW10" s="10">
        <f>INDEX([1]ratio_ins!AT:AT,MATCH('001_population_health_zone_zs'!$B$2,[1]ratio_ins!$B:$B,0))*$G10*INDEX([1]ratio_ins!$D:$D,MATCH('001_population_health_zone_zs'!$B10,[1]ratio_ins!$B:$B,0))</f>
        <v>240.18916600000003</v>
      </c>
      <c r="AX10" s="13">
        <f>INDEX([1]ratio_ins!AU:AU,MATCH('001_population_health_zone_zs'!$B$2,[1]ratio_ins!$B:$B,0))*$G10*INDEX([1]ratio_ins!$D:$D,MATCH('001_population_health_zone_zs'!$B10,[1]ratio_ins!$B:$B,0))</f>
        <v>2521.9862430000003</v>
      </c>
      <c r="AY10" s="14">
        <f t="shared" si="1"/>
        <v>120094.58300000001</v>
      </c>
      <c r="AZ10" s="15">
        <f t="shared" si="2"/>
        <v>241639</v>
      </c>
      <c r="BA10" s="16">
        <v>238843.3535642779</v>
      </c>
      <c r="BB10" s="10">
        <f t="shared" si="3"/>
        <v>51040.197775000015</v>
      </c>
      <c r="BC10" s="17">
        <f t="shared" si="4"/>
        <v>0.21122500000000005</v>
      </c>
      <c r="BD10" s="10">
        <f t="shared" si="5"/>
        <v>50684.021889000011</v>
      </c>
    </row>
    <row r="11" spans="1:56" x14ac:dyDescent="0.25">
      <c r="A11" s="8" t="s">
        <v>10</v>
      </c>
      <c r="B11" s="8" t="s">
        <v>11</v>
      </c>
      <c r="C11" s="8" t="s">
        <v>10</v>
      </c>
      <c r="D11" s="8" t="s">
        <v>12</v>
      </c>
      <c r="E11" s="8" t="s">
        <v>31</v>
      </c>
      <c r="F11" s="8" t="s">
        <v>32</v>
      </c>
      <c r="G11" s="9">
        <v>246610</v>
      </c>
      <c r="H11" s="10">
        <f>INDEX([1]ratio_ins!F:F,MATCH('001_population_health_zone_zs'!$B$2,[1]ratio_ins!$B:$B,0))*$G11*INDEX([1]ratio_ins!$C:$C,MATCH('001_population_health_zone_zs'!$B11,[1]ratio_ins!$B:$B,0))</f>
        <v>25925.369469999998</v>
      </c>
      <c r="I11" s="10">
        <f>INDEX([1]ratio_ins!G:G,MATCH('001_population_health_zone_zs'!$B$2,[1]ratio_ins!$B:$B,0))*$G11*INDEX([1]ratio_ins!$C:$C,MATCH('001_population_health_zone_zs'!$B11,[1]ratio_ins!$B:$B,0))</f>
        <v>21211.665930000003</v>
      </c>
      <c r="J11" s="10">
        <f>INDEX([1]ratio_ins!H:H,MATCH('001_population_health_zone_zs'!$B$2,[1]ratio_ins!$B:$B,0))*$G11*INDEX([1]ratio_ins!$C:$C,MATCH('001_population_health_zone_zs'!$B11,[1]ratio_ins!$B:$B,0))</f>
        <v>16746.052050000002</v>
      </c>
      <c r="K11" s="10">
        <f>INDEX([1]ratio_ins!I:I,MATCH('001_population_health_zone_zs'!$B$2,[1]ratio_ins!$B:$B,0))*$G11*INDEX([1]ratio_ins!$C:$C,MATCH('001_population_health_zone_zs'!$B11,[1]ratio_ins!$B:$B,0))</f>
        <v>10295.720890000001</v>
      </c>
      <c r="L11" s="10">
        <f>INDEX([1]ratio_ins!J:J,MATCH('001_population_health_zone_zs'!$B$2,[1]ratio_ins!$B:$B,0))*$G11*INDEX([1]ratio_ins!$C:$C,MATCH('001_population_health_zone_zs'!$B11,[1]ratio_ins!$B:$B,0))</f>
        <v>6177.4325339999996</v>
      </c>
      <c r="M11" s="11">
        <f>INDEX([1]ratio_ins!K:K,MATCH('001_population_health_zone_zs'!$B$2,[1]ratio_ins!$B:$B,0))*$G11*INDEX([1]ratio_ins!$C:$C,MATCH('001_population_health_zone_zs'!$B11,[1]ratio_ins!$B:$B,0))</f>
        <v>70060.519983999984</v>
      </c>
      <c r="N11" s="10">
        <f>INDEX([1]ratio_ins!L:L,MATCH('001_population_health_zone_zs'!$B$2,[1]ratio_ins!$B:$B,0))*$G11*INDEX([1]ratio_ins!$C:$C,MATCH('001_population_health_zone_zs'!$B11,[1]ratio_ins!$B:$B,0))</f>
        <v>4118.288356</v>
      </c>
      <c r="O11" s="10">
        <f>INDEX([1]ratio_ins!M:M,MATCH('001_population_health_zone_zs'!$B$2,[1]ratio_ins!$B:$B,0))*$G11*INDEX([1]ratio_ins!$C:$C,MATCH('001_population_health_zone_zs'!$B11,[1]ratio_ins!$B:$B,0))</f>
        <v>8931.2277600000016</v>
      </c>
      <c r="P11" s="10">
        <f>INDEX([1]ratio_ins!N:N,MATCH('001_population_health_zone_zs'!$B$2,[1]ratio_ins!$B:$B,0))*$G11*INDEX([1]ratio_ins!$C:$C,MATCH('001_population_health_zone_zs'!$B11,[1]ratio_ins!$B:$B,0))</f>
        <v>8062.913950000001</v>
      </c>
      <c r="Q11" s="10">
        <f>INDEX([1]ratio_ins!O:O,MATCH('001_population_health_zone_zs'!$B$2,[1]ratio_ins!$B:$B,0))*$G11*INDEX([1]ratio_ins!$C:$C,MATCH('001_population_health_zone_zs'!$B11,[1]ratio_ins!$B:$B,0))</f>
        <v>7194.6001399999996</v>
      </c>
      <c r="R11" s="10">
        <f>INDEX([1]ratio_ins!P:P,MATCH('001_population_health_zone_zs'!$B$2,[1]ratio_ins!$B:$B,0))*$G11*INDEX([1]ratio_ins!$C:$C,MATCH('001_population_health_zone_zs'!$B11,[1]ratio_ins!$B:$B,0))</f>
        <v>7070.5553100000006</v>
      </c>
      <c r="S11" s="10">
        <f>INDEX([1]ratio_ins!Q:Q,MATCH('001_population_health_zone_zs'!$B$2,[1]ratio_ins!$B:$B,0))*$G11*INDEX([1]ratio_ins!$C:$C,MATCH('001_population_health_zone_zs'!$B11,[1]ratio_ins!$B:$B,0))</f>
        <v>5954.1518400000004</v>
      </c>
      <c r="T11" s="10">
        <f>INDEX([1]ratio_ins!R:R,MATCH('001_population_health_zone_zs'!$B$2,[1]ratio_ins!$B:$B,0))*$G11*INDEX([1]ratio_ins!$C:$C,MATCH('001_population_health_zone_zs'!$B11,[1]ratio_ins!$B:$B,0))</f>
        <v>4217.5242200000002</v>
      </c>
      <c r="U11" s="10">
        <f>INDEX([1]ratio_ins!S:S,MATCH('001_population_health_zone_zs'!$B$2,[1]ratio_ins!$B:$B,0))*$G11*INDEX([1]ratio_ins!$C:$C,MATCH('001_population_health_zone_zs'!$B11,[1]ratio_ins!$B:$B,0))</f>
        <v>3349.2104100000006</v>
      </c>
      <c r="V11" s="10">
        <f>INDEX([1]ratio_ins!T:T,MATCH('001_population_health_zone_zs'!$B$2,[1]ratio_ins!$B:$B,0))*$G11*INDEX([1]ratio_ins!$C:$C,MATCH('001_population_health_zone_zs'!$B11,[1]ratio_ins!$B:$B,0))</f>
        <v>1860.6724499999998</v>
      </c>
      <c r="W11" s="11">
        <f>INDEX([1]ratio_ins!U:U,MATCH('001_population_health_zone_zs'!$B$2,[1]ratio_ins!$B:$B,0))*$G11*INDEX([1]ratio_ins!$C:$C,MATCH('001_population_health_zone_zs'!$B11,[1]ratio_ins!$B:$B,0))</f>
        <v>50759.144436000002</v>
      </c>
      <c r="X11" s="10">
        <f>INDEX([1]ratio_ins!V:V,MATCH('001_population_health_zone_zs'!$B$2,[1]ratio_ins!$B:$B,0))*$G11*INDEX([1]ratio_ins!$C:$C,MATCH('001_population_health_zone_zs'!$B11,[1]ratio_ins!$B:$B,0))</f>
        <v>1488.5379600000001</v>
      </c>
      <c r="Y11" s="10">
        <f>INDEX([1]ratio_ins!W:W,MATCH('001_population_health_zone_zs'!$B$2,[1]ratio_ins!$B:$B,0))*$G11*INDEX([1]ratio_ins!$C:$C,MATCH('001_population_health_zone_zs'!$B11,[1]ratio_ins!$B:$B,0))</f>
        <v>992.35864000000004</v>
      </c>
      <c r="Z11" s="10">
        <f>INDEX([1]ratio_ins!X:X,MATCH('001_population_health_zone_zs'!$B$2,[1]ratio_ins!$B:$B,0))*$G11*INDEX([1]ratio_ins!$C:$C,MATCH('001_population_health_zone_zs'!$B11,[1]ratio_ins!$B:$B,0))</f>
        <v>496.17932000000002</v>
      </c>
      <c r="AA11" s="10">
        <f>INDEX([1]ratio_ins!Y:Y,MATCH('001_population_health_zone_zs'!$B$2,[1]ratio_ins!$B:$B,0))*$G11*INDEX([1]ratio_ins!$C:$C,MATCH('001_population_health_zone_zs'!$B11,[1]ratio_ins!$B:$B,0))</f>
        <v>248.08966000000001</v>
      </c>
      <c r="AB11" s="11">
        <f>INDEX([1]ratio_ins!Z:Z,MATCH('001_population_health_zone_zs'!$B$2,[1]ratio_ins!$B:$B,0))*$G11*INDEX([1]ratio_ins!$C:$C,MATCH('001_population_health_zone_zs'!$B11,[1]ratio_ins!$B:$B,0))</f>
        <v>3225.1655800000003</v>
      </c>
      <c r="AC11" s="12">
        <f t="shared" si="0"/>
        <v>124044.82999999999</v>
      </c>
      <c r="AD11" s="10">
        <f>INDEX([1]ratio_ins!AA:AA,MATCH('001_population_health_zone_zs'!$B$2,[1]ratio_ins!$B:$B,0))*$G11*INDEX([1]ratio_ins!$D:$D,MATCH('001_population_health_zone_zs'!$B11,[1]ratio_ins!$B:$B,0))</f>
        <v>25738.685700000002</v>
      </c>
      <c r="AE11" s="10">
        <f>INDEX([1]ratio_ins!AB:AB,MATCH('001_population_health_zone_zs'!$B$2,[1]ratio_ins!$B:$B,0))*$G11*INDEX([1]ratio_ins!$D:$D,MATCH('001_population_health_zone_zs'!$B11,[1]ratio_ins!$B:$B,0))</f>
        <v>21203.774410000005</v>
      </c>
      <c r="AF11" s="10">
        <f>INDEX([1]ratio_ins!AC:AC,MATCH('001_population_health_zone_zs'!$B$2,[1]ratio_ins!$B:$B,0))*$G11*INDEX([1]ratio_ins!$D:$D,MATCH('001_population_health_zone_zs'!$B11,[1]ratio_ins!$B:$B,0))</f>
        <v>16791.42829</v>
      </c>
      <c r="AG11" s="10">
        <f>INDEX([1]ratio_ins!AD:AD,MATCH('001_population_health_zone_zs'!$B$2,[1]ratio_ins!$B:$B,0))*$G11*INDEX([1]ratio_ins!$D:$D,MATCH('001_population_health_zone_zs'!$B11,[1]ratio_ins!$B:$B,0))</f>
        <v>10172.909110000002</v>
      </c>
      <c r="AH11" s="10">
        <f>INDEX([1]ratio_ins!AE:AE,MATCH('001_population_health_zone_zs'!$B$2,[1]ratio_ins!$B:$B,0))*$G11*INDEX([1]ratio_ins!$D:$D,MATCH('001_population_health_zone_zs'!$B11,[1]ratio_ins!$B:$B,0))</f>
        <v>6103.7454660000003</v>
      </c>
      <c r="AI11" s="13">
        <f>INDEX([1]ratio_ins!AF:AF,MATCH('001_population_health_zone_zs'!$B$2,[1]ratio_ins!$B:$B,0))*$G11*INDEX([1]ratio_ins!$D:$D,MATCH('001_population_health_zone_zs'!$B11,[1]ratio_ins!$B:$B,0))</f>
        <v>69837.633866000004</v>
      </c>
      <c r="AJ11" s="10">
        <f>INDEX([1]ratio_ins!AG:AG,MATCH('001_population_health_zone_zs'!$B$2,[1]ratio_ins!$B:$B,0))*$G11*INDEX([1]ratio_ins!$D:$D,MATCH('001_population_health_zone_zs'!$B11,[1]ratio_ins!$B:$B,0))</f>
        <v>4069.1636440000007</v>
      </c>
      <c r="AK11" s="10">
        <f>INDEX([1]ratio_ins!AH:AH,MATCH('001_population_health_zone_zs'!$B$2,[1]ratio_ins!$B:$B,0))*$G11*INDEX([1]ratio_ins!$D:$D,MATCH('001_population_health_zone_zs'!$B11,[1]ratio_ins!$B:$B,0))</f>
        <v>9069.8225800000018</v>
      </c>
      <c r="AL11" s="10">
        <f>INDEX([1]ratio_ins!AI:AI,MATCH('001_population_health_zone_zs'!$B$2,[1]ratio_ins!$B:$B,0))*$G11*INDEX([1]ratio_ins!$D:$D,MATCH('001_population_health_zone_zs'!$B11,[1]ratio_ins!$B:$B,0))</f>
        <v>8579.5619000000006</v>
      </c>
      <c r="AM11" s="10">
        <f>INDEX([1]ratio_ins!AJ:AJ,MATCH('001_population_health_zone_zs'!$B$2,[1]ratio_ins!$B:$B,0))*$G11*INDEX([1]ratio_ins!$D:$D,MATCH('001_population_health_zone_zs'!$B11,[1]ratio_ins!$B:$B,0))</f>
        <v>7844.1708800000015</v>
      </c>
      <c r="AN11" s="10">
        <f>INDEX([1]ratio_ins!AK:AK,MATCH('001_population_health_zone_zs'!$B$2,[1]ratio_ins!$B:$B,0))*$G11*INDEX([1]ratio_ins!$D:$D,MATCH('001_population_health_zone_zs'!$B11,[1]ratio_ins!$B:$B,0))</f>
        <v>7353.9102000000003</v>
      </c>
      <c r="AO11" s="10">
        <f>INDEX([1]ratio_ins!AL:AL,MATCH('001_population_health_zone_zs'!$B$2,[1]ratio_ins!$B:$B,0))*$G11*INDEX([1]ratio_ins!$D:$D,MATCH('001_population_health_zone_zs'!$B11,[1]ratio_ins!$B:$B,0))</f>
        <v>5515.4326499999997</v>
      </c>
      <c r="AP11" s="10">
        <f>INDEX([1]ratio_ins!AM:AM,MATCH('001_population_health_zone_zs'!$B$2,[1]ratio_ins!$B:$B,0))*$G11*INDEX([1]ratio_ins!$D:$D,MATCH('001_population_health_zone_zs'!$B11,[1]ratio_ins!$B:$B,0))</f>
        <v>3554.3899300000003</v>
      </c>
      <c r="AQ11" s="10">
        <f>INDEX([1]ratio_ins!AN:AN,MATCH('001_population_health_zone_zs'!$B$2,[1]ratio_ins!$B:$B,0))*$G11*INDEX([1]ratio_ins!$D:$D,MATCH('001_population_health_zone_zs'!$B11,[1]ratio_ins!$B:$B,0))</f>
        <v>2818.9989100000003</v>
      </c>
      <c r="AR11" s="10">
        <f>INDEX([1]ratio_ins!AO:AO,MATCH('001_population_health_zone_zs'!$B$2,[1]ratio_ins!$B:$B,0))*$G11*INDEX([1]ratio_ins!$D:$D,MATCH('001_population_health_zone_zs'!$B11,[1]ratio_ins!$B:$B,0))</f>
        <v>1348.2168700000004</v>
      </c>
      <c r="AS11" s="13">
        <f>INDEX([1]ratio_ins!AP:AP,MATCH('001_population_health_zone_zs'!$B$2,[1]ratio_ins!$B:$B,0))*$G11*INDEX([1]ratio_ins!$D:$D,MATCH('001_population_health_zone_zs'!$B11,[1]ratio_ins!$B:$B,0))</f>
        <v>50153.66756400001</v>
      </c>
      <c r="AT11" s="10">
        <f>INDEX([1]ratio_ins!AQ:AQ,MATCH('001_population_health_zone_zs'!$B$2,[1]ratio_ins!$B:$B,0))*$G11*INDEX([1]ratio_ins!$D:$D,MATCH('001_population_health_zone_zs'!$B11,[1]ratio_ins!$B:$B,0))</f>
        <v>1225.6517000000001</v>
      </c>
      <c r="AU11" s="10">
        <f>INDEX([1]ratio_ins!AR:AR,MATCH('001_population_health_zone_zs'!$B$2,[1]ratio_ins!$B:$B,0))*$G11*INDEX([1]ratio_ins!$D:$D,MATCH('001_population_health_zone_zs'!$B11,[1]ratio_ins!$B:$B,0))</f>
        <v>735.39102000000014</v>
      </c>
      <c r="AV11" s="10">
        <f>INDEX([1]ratio_ins!AS:AS,MATCH('001_population_health_zone_zs'!$B$2,[1]ratio_ins!$B:$B,0))*$G11*INDEX([1]ratio_ins!$D:$D,MATCH('001_population_health_zone_zs'!$B11,[1]ratio_ins!$B:$B,0))</f>
        <v>367.69551000000007</v>
      </c>
      <c r="AW11" s="10">
        <f>INDEX([1]ratio_ins!AT:AT,MATCH('001_population_health_zone_zs'!$B$2,[1]ratio_ins!$B:$B,0))*$G11*INDEX([1]ratio_ins!$D:$D,MATCH('001_population_health_zone_zs'!$B11,[1]ratio_ins!$B:$B,0))</f>
        <v>245.13034000000005</v>
      </c>
      <c r="AX11" s="13">
        <f>INDEX([1]ratio_ins!AU:AU,MATCH('001_population_health_zone_zs'!$B$2,[1]ratio_ins!$B:$B,0))*$G11*INDEX([1]ratio_ins!$D:$D,MATCH('001_population_health_zone_zs'!$B11,[1]ratio_ins!$B:$B,0))</f>
        <v>2573.8685700000001</v>
      </c>
      <c r="AY11" s="14">
        <f t="shared" si="1"/>
        <v>122565.17000000003</v>
      </c>
      <c r="AZ11" s="15">
        <f t="shared" si="2"/>
        <v>246610</v>
      </c>
      <c r="BA11" s="16">
        <v>243757.2523480333</v>
      </c>
      <c r="BB11" s="10">
        <f t="shared" si="3"/>
        <v>52090.197250000005</v>
      </c>
      <c r="BC11" s="17">
        <f t="shared" si="4"/>
        <v>0.21122500000000002</v>
      </c>
      <c r="BD11" s="10">
        <f t="shared" si="5"/>
        <v>51726.694110000004</v>
      </c>
    </row>
    <row r="12" spans="1:56" x14ac:dyDescent="0.25">
      <c r="A12" s="8" t="s">
        <v>10</v>
      </c>
      <c r="B12" s="8" t="s">
        <v>11</v>
      </c>
      <c r="C12" s="8" t="s">
        <v>10</v>
      </c>
      <c r="D12" s="8" t="s">
        <v>12</v>
      </c>
      <c r="E12" s="8" t="s">
        <v>33</v>
      </c>
      <c r="F12" s="8" t="s">
        <v>34</v>
      </c>
      <c r="G12" s="9">
        <v>477122</v>
      </c>
      <c r="H12" s="10">
        <f>INDEX([1]ratio_ins!F:F,MATCH('001_population_health_zone_zs'!$B$2,[1]ratio_ins!$B:$B,0))*$G12*INDEX([1]ratio_ins!$C:$C,MATCH('001_population_health_zone_zs'!$B12,[1]ratio_ins!$B:$B,0))</f>
        <v>50158.404493999995</v>
      </c>
      <c r="I12" s="10">
        <f>INDEX([1]ratio_ins!G:G,MATCH('001_population_health_zone_zs'!$B$2,[1]ratio_ins!$B:$B,0))*$G12*INDEX([1]ratio_ins!$C:$C,MATCH('001_population_health_zone_zs'!$B12,[1]ratio_ins!$B:$B,0))</f>
        <v>41038.694586000005</v>
      </c>
      <c r="J12" s="10">
        <f>INDEX([1]ratio_ins!H:H,MATCH('001_population_health_zone_zs'!$B$2,[1]ratio_ins!$B:$B,0))*$G12*INDEX([1]ratio_ins!$C:$C,MATCH('001_population_health_zone_zs'!$B12,[1]ratio_ins!$B:$B,0))</f>
        <v>32398.969410000002</v>
      </c>
      <c r="K12" s="10">
        <f>INDEX([1]ratio_ins!I:I,MATCH('001_population_health_zone_zs'!$B$2,[1]ratio_ins!$B:$B,0))*$G12*INDEX([1]ratio_ins!$C:$C,MATCH('001_population_health_zone_zs'!$B12,[1]ratio_ins!$B:$B,0))</f>
        <v>19919.366378000002</v>
      </c>
      <c r="L12" s="10">
        <f>INDEX([1]ratio_ins!J:J,MATCH('001_population_health_zone_zs'!$B$2,[1]ratio_ins!$B:$B,0))*$G12*INDEX([1]ratio_ins!$C:$C,MATCH('001_population_health_zone_zs'!$B12,[1]ratio_ins!$B:$B,0))</f>
        <v>11951.619826799999</v>
      </c>
      <c r="M12" s="11">
        <f>INDEX([1]ratio_ins!K:K,MATCH('001_population_health_zone_zs'!$B$2,[1]ratio_ins!$B:$B,0))*$G12*INDEX([1]ratio_ins!$C:$C,MATCH('001_population_health_zone_zs'!$B12,[1]ratio_ins!$B:$B,0))</f>
        <v>135547.68831679999</v>
      </c>
      <c r="N12" s="10">
        <f>INDEX([1]ratio_ins!L:L,MATCH('001_population_health_zone_zs'!$B$2,[1]ratio_ins!$B:$B,0))*$G12*INDEX([1]ratio_ins!$C:$C,MATCH('001_population_health_zone_zs'!$B12,[1]ratio_ins!$B:$B,0))</f>
        <v>7967.7465511999999</v>
      </c>
      <c r="O12" s="10">
        <f>INDEX([1]ratio_ins!M:M,MATCH('001_population_health_zone_zs'!$B$2,[1]ratio_ins!$B:$B,0))*$G12*INDEX([1]ratio_ins!$C:$C,MATCH('001_population_health_zone_zs'!$B12,[1]ratio_ins!$B:$B,0))</f>
        <v>17279.450352000003</v>
      </c>
      <c r="P12" s="10">
        <f>INDEX([1]ratio_ins!N:N,MATCH('001_population_health_zone_zs'!$B$2,[1]ratio_ins!$B:$B,0))*$G12*INDEX([1]ratio_ins!$C:$C,MATCH('001_population_health_zone_zs'!$B12,[1]ratio_ins!$B:$B,0))</f>
        <v>15599.503790000001</v>
      </c>
      <c r="Q12" s="10">
        <f>INDEX([1]ratio_ins!O:O,MATCH('001_population_health_zone_zs'!$B$2,[1]ratio_ins!$B:$B,0))*$G12*INDEX([1]ratio_ins!$C:$C,MATCH('001_population_health_zone_zs'!$B12,[1]ratio_ins!$B:$B,0))</f>
        <v>13919.557227999998</v>
      </c>
      <c r="R12" s="10">
        <f>INDEX([1]ratio_ins!P:P,MATCH('001_population_health_zone_zs'!$B$2,[1]ratio_ins!$B:$B,0))*$G12*INDEX([1]ratio_ins!$C:$C,MATCH('001_population_health_zone_zs'!$B12,[1]ratio_ins!$B:$B,0))</f>
        <v>13679.564862000001</v>
      </c>
      <c r="S12" s="10">
        <f>INDEX([1]ratio_ins!Q:Q,MATCH('001_population_health_zone_zs'!$B$2,[1]ratio_ins!$B:$B,0))*$G12*INDEX([1]ratio_ins!$C:$C,MATCH('001_population_health_zone_zs'!$B12,[1]ratio_ins!$B:$B,0))</f>
        <v>11519.633567999999</v>
      </c>
      <c r="T12" s="10">
        <f>INDEX([1]ratio_ins!R:R,MATCH('001_population_health_zone_zs'!$B$2,[1]ratio_ins!$B:$B,0))*$G12*INDEX([1]ratio_ins!$C:$C,MATCH('001_population_health_zone_zs'!$B12,[1]ratio_ins!$B:$B,0))</f>
        <v>8159.7404440000009</v>
      </c>
      <c r="U12" s="10">
        <f>INDEX([1]ratio_ins!S:S,MATCH('001_population_health_zone_zs'!$B$2,[1]ratio_ins!$B:$B,0))*$G12*INDEX([1]ratio_ins!$C:$C,MATCH('001_population_health_zone_zs'!$B12,[1]ratio_ins!$B:$B,0))</f>
        <v>6479.7938820000008</v>
      </c>
      <c r="V12" s="10">
        <f>INDEX([1]ratio_ins!T:T,MATCH('001_population_health_zone_zs'!$B$2,[1]ratio_ins!$B:$B,0))*$G12*INDEX([1]ratio_ins!$C:$C,MATCH('001_population_health_zone_zs'!$B12,[1]ratio_ins!$B:$B,0))</f>
        <v>3599.8854900000001</v>
      </c>
      <c r="W12" s="11">
        <f>INDEX([1]ratio_ins!U:U,MATCH('001_population_health_zone_zs'!$B$2,[1]ratio_ins!$B:$B,0))*$G12*INDEX([1]ratio_ins!$C:$C,MATCH('001_population_health_zone_zs'!$B12,[1]ratio_ins!$B:$B,0))</f>
        <v>98204.876167199996</v>
      </c>
      <c r="X12" s="10">
        <f>INDEX([1]ratio_ins!V:V,MATCH('001_population_health_zone_zs'!$B$2,[1]ratio_ins!$B:$B,0))*$G12*INDEX([1]ratio_ins!$C:$C,MATCH('001_population_health_zone_zs'!$B12,[1]ratio_ins!$B:$B,0))</f>
        <v>2879.9083919999998</v>
      </c>
      <c r="Y12" s="10">
        <f>INDEX([1]ratio_ins!W:W,MATCH('001_population_health_zone_zs'!$B$2,[1]ratio_ins!$B:$B,0))*$G12*INDEX([1]ratio_ins!$C:$C,MATCH('001_population_health_zone_zs'!$B12,[1]ratio_ins!$B:$B,0))</f>
        <v>1919.938928</v>
      </c>
      <c r="Z12" s="10">
        <f>INDEX([1]ratio_ins!X:X,MATCH('001_population_health_zone_zs'!$B$2,[1]ratio_ins!$B:$B,0))*$G12*INDEX([1]ratio_ins!$C:$C,MATCH('001_population_health_zone_zs'!$B12,[1]ratio_ins!$B:$B,0))</f>
        <v>959.96946400000002</v>
      </c>
      <c r="AA12" s="10">
        <f>INDEX([1]ratio_ins!Y:Y,MATCH('001_population_health_zone_zs'!$B$2,[1]ratio_ins!$B:$B,0))*$G12*INDEX([1]ratio_ins!$C:$C,MATCH('001_population_health_zone_zs'!$B12,[1]ratio_ins!$B:$B,0))</f>
        <v>479.98473200000001</v>
      </c>
      <c r="AB12" s="11">
        <f>INDEX([1]ratio_ins!Z:Z,MATCH('001_population_health_zone_zs'!$B$2,[1]ratio_ins!$B:$B,0))*$G12*INDEX([1]ratio_ins!$C:$C,MATCH('001_population_health_zone_zs'!$B12,[1]ratio_ins!$B:$B,0))</f>
        <v>6239.8015160000004</v>
      </c>
      <c r="AC12" s="12">
        <f t="shared" si="0"/>
        <v>239992.36599999998</v>
      </c>
      <c r="AD12" s="10">
        <f>INDEX([1]ratio_ins!AA:AA,MATCH('001_population_health_zone_zs'!$B$2,[1]ratio_ins!$B:$B,0))*$G12*INDEX([1]ratio_ins!$D:$D,MATCH('001_population_health_zone_zs'!$B12,[1]ratio_ins!$B:$B,0))</f>
        <v>49797.223140000002</v>
      </c>
      <c r="AE12" s="10">
        <f>INDEX([1]ratio_ins!AB:AB,MATCH('001_population_health_zone_zs'!$B$2,[1]ratio_ins!$B:$B,0))*$G12*INDEX([1]ratio_ins!$D:$D,MATCH('001_population_health_zone_zs'!$B12,[1]ratio_ins!$B:$B,0))</f>
        <v>41023.426682000012</v>
      </c>
      <c r="AF12" s="10">
        <f>INDEX([1]ratio_ins!AC:AC,MATCH('001_population_health_zone_zs'!$B$2,[1]ratio_ins!$B:$B,0))*$G12*INDEX([1]ratio_ins!$D:$D,MATCH('001_population_health_zone_zs'!$B12,[1]ratio_ins!$B:$B,0))</f>
        <v>32486.759858000001</v>
      </c>
      <c r="AG12" s="10">
        <f>INDEX([1]ratio_ins!AD:AD,MATCH('001_population_health_zone_zs'!$B$2,[1]ratio_ins!$B:$B,0))*$G12*INDEX([1]ratio_ins!$D:$D,MATCH('001_population_health_zone_zs'!$B12,[1]ratio_ins!$B:$B,0))</f>
        <v>19681.759622000005</v>
      </c>
      <c r="AH12" s="10">
        <f>INDEX([1]ratio_ins!AE:AE,MATCH('001_population_health_zone_zs'!$B$2,[1]ratio_ins!$B:$B,0))*$G12*INDEX([1]ratio_ins!$D:$D,MATCH('001_population_health_zone_zs'!$B12,[1]ratio_ins!$B:$B,0))</f>
        <v>11809.0557732</v>
      </c>
      <c r="AI12" s="13">
        <f>INDEX([1]ratio_ins!AF:AF,MATCH('001_population_health_zone_zs'!$B$2,[1]ratio_ins!$B:$B,0))*$G12*INDEX([1]ratio_ins!$D:$D,MATCH('001_population_health_zone_zs'!$B12,[1]ratio_ins!$B:$B,0))</f>
        <v>135116.46545319998</v>
      </c>
      <c r="AJ12" s="10">
        <f>INDEX([1]ratio_ins!AG:AG,MATCH('001_population_health_zone_zs'!$B$2,[1]ratio_ins!$B:$B,0))*$G12*INDEX([1]ratio_ins!$D:$D,MATCH('001_population_health_zone_zs'!$B12,[1]ratio_ins!$B:$B,0))</f>
        <v>7872.7038488000007</v>
      </c>
      <c r="AK12" s="10">
        <f>INDEX([1]ratio_ins!AH:AH,MATCH('001_population_health_zone_zs'!$B$2,[1]ratio_ins!$B:$B,0))*$G12*INDEX([1]ratio_ins!$D:$D,MATCH('001_population_health_zone_zs'!$B12,[1]ratio_ins!$B:$B,0))</f>
        <v>17547.592916000005</v>
      </c>
      <c r="AL12" s="10">
        <f>INDEX([1]ratio_ins!AI:AI,MATCH('001_population_health_zone_zs'!$B$2,[1]ratio_ins!$B:$B,0))*$G12*INDEX([1]ratio_ins!$D:$D,MATCH('001_population_health_zone_zs'!$B12,[1]ratio_ins!$B:$B,0))</f>
        <v>16599.074380000002</v>
      </c>
      <c r="AM12" s="10">
        <f>INDEX([1]ratio_ins!AJ:AJ,MATCH('001_population_health_zone_zs'!$B$2,[1]ratio_ins!$B:$B,0))*$G12*INDEX([1]ratio_ins!$D:$D,MATCH('001_population_health_zone_zs'!$B12,[1]ratio_ins!$B:$B,0))</f>
        <v>15176.296576000002</v>
      </c>
      <c r="AN12" s="10">
        <f>INDEX([1]ratio_ins!AK:AK,MATCH('001_population_health_zone_zs'!$B$2,[1]ratio_ins!$B:$B,0))*$G12*INDEX([1]ratio_ins!$D:$D,MATCH('001_population_health_zone_zs'!$B12,[1]ratio_ins!$B:$B,0))</f>
        <v>14227.778040000001</v>
      </c>
      <c r="AO12" s="10">
        <f>INDEX([1]ratio_ins!AL:AL,MATCH('001_population_health_zone_zs'!$B$2,[1]ratio_ins!$B:$B,0))*$G12*INDEX([1]ratio_ins!$D:$D,MATCH('001_population_health_zone_zs'!$B12,[1]ratio_ins!$B:$B,0))</f>
        <v>10670.83353</v>
      </c>
      <c r="AP12" s="10">
        <f>INDEX([1]ratio_ins!AM:AM,MATCH('001_population_health_zone_zs'!$B$2,[1]ratio_ins!$B:$B,0))*$G12*INDEX([1]ratio_ins!$D:$D,MATCH('001_population_health_zone_zs'!$B12,[1]ratio_ins!$B:$B,0))</f>
        <v>6876.7593859999997</v>
      </c>
      <c r="AQ12" s="10">
        <f>INDEX([1]ratio_ins!AN:AN,MATCH('001_population_health_zone_zs'!$B$2,[1]ratio_ins!$B:$B,0))*$G12*INDEX([1]ratio_ins!$D:$D,MATCH('001_population_health_zone_zs'!$B12,[1]ratio_ins!$B:$B,0))</f>
        <v>5453.9815820000013</v>
      </c>
      <c r="AR12" s="10">
        <f>INDEX([1]ratio_ins!AO:AO,MATCH('001_population_health_zone_zs'!$B$2,[1]ratio_ins!$B:$B,0))*$G12*INDEX([1]ratio_ins!$D:$D,MATCH('001_population_health_zone_zs'!$B12,[1]ratio_ins!$B:$B,0))</f>
        <v>2608.4259740000007</v>
      </c>
      <c r="AS12" s="13">
        <f>INDEX([1]ratio_ins!AP:AP,MATCH('001_population_health_zone_zs'!$B$2,[1]ratio_ins!$B:$B,0))*$G12*INDEX([1]ratio_ins!$D:$D,MATCH('001_population_health_zone_zs'!$B12,[1]ratio_ins!$B:$B,0))</f>
        <v>97033.446232800008</v>
      </c>
      <c r="AT12" s="10">
        <f>INDEX([1]ratio_ins!AQ:AQ,MATCH('001_population_health_zone_zs'!$B$2,[1]ratio_ins!$B:$B,0))*$G12*INDEX([1]ratio_ins!$D:$D,MATCH('001_population_health_zone_zs'!$B12,[1]ratio_ins!$B:$B,0))</f>
        <v>2371.2963400000003</v>
      </c>
      <c r="AU12" s="10">
        <f>INDEX([1]ratio_ins!AR:AR,MATCH('001_population_health_zone_zs'!$B$2,[1]ratio_ins!$B:$B,0))*$G12*INDEX([1]ratio_ins!$D:$D,MATCH('001_population_health_zone_zs'!$B12,[1]ratio_ins!$B:$B,0))</f>
        <v>1422.7778040000001</v>
      </c>
      <c r="AV12" s="10">
        <f>INDEX([1]ratio_ins!AS:AS,MATCH('001_population_health_zone_zs'!$B$2,[1]ratio_ins!$B:$B,0))*$G12*INDEX([1]ratio_ins!$D:$D,MATCH('001_population_health_zone_zs'!$B12,[1]ratio_ins!$B:$B,0))</f>
        <v>711.38890200000003</v>
      </c>
      <c r="AW12" s="10">
        <f>INDEX([1]ratio_ins!AT:AT,MATCH('001_population_health_zone_zs'!$B$2,[1]ratio_ins!$B:$B,0))*$G12*INDEX([1]ratio_ins!$D:$D,MATCH('001_population_health_zone_zs'!$B12,[1]ratio_ins!$B:$B,0))</f>
        <v>474.25926800000008</v>
      </c>
      <c r="AX12" s="13">
        <f>INDEX([1]ratio_ins!AU:AU,MATCH('001_population_health_zone_zs'!$B$2,[1]ratio_ins!$B:$B,0))*$G12*INDEX([1]ratio_ins!$D:$D,MATCH('001_population_health_zone_zs'!$B12,[1]ratio_ins!$B:$B,0))</f>
        <v>4979.7223139999996</v>
      </c>
      <c r="AY12" s="14">
        <f t="shared" si="1"/>
        <v>237129.63400000002</v>
      </c>
      <c r="AZ12" s="15">
        <f t="shared" si="2"/>
        <v>477122</v>
      </c>
      <c r="BA12" s="16">
        <v>471601.62003364641</v>
      </c>
      <c r="BB12" s="10">
        <f t="shared" si="3"/>
        <v>100780.09445000003</v>
      </c>
      <c r="BC12" s="17">
        <f t="shared" si="4"/>
        <v>0.21122500000000008</v>
      </c>
      <c r="BD12" s="10">
        <f t="shared" si="5"/>
        <v>100076.816622</v>
      </c>
    </row>
    <row r="13" spans="1:56" x14ac:dyDescent="0.25">
      <c r="A13" s="8" t="s">
        <v>10</v>
      </c>
      <c r="B13" s="8" t="s">
        <v>11</v>
      </c>
      <c r="C13" s="8" t="s">
        <v>10</v>
      </c>
      <c r="D13" s="8" t="s">
        <v>12</v>
      </c>
      <c r="E13" s="8" t="s">
        <v>35</v>
      </c>
      <c r="F13" s="8" t="s">
        <v>36</v>
      </c>
      <c r="G13" s="9">
        <v>522141</v>
      </c>
      <c r="H13" s="10">
        <f>INDEX([1]ratio_ins!F:F,MATCH('001_population_health_zone_zs'!$B$2,[1]ratio_ins!$B:$B,0))*$G13*INDEX([1]ratio_ins!$C:$C,MATCH('001_population_health_zone_zs'!$B13,[1]ratio_ins!$B:$B,0))</f>
        <v>54891.116906999996</v>
      </c>
      <c r="I13" s="10">
        <f>INDEX([1]ratio_ins!G:G,MATCH('001_population_health_zone_zs'!$B$2,[1]ratio_ins!$B:$B,0))*$G13*INDEX([1]ratio_ins!$C:$C,MATCH('001_population_health_zone_zs'!$B13,[1]ratio_ins!$B:$B,0))</f>
        <v>44910.913833000006</v>
      </c>
      <c r="J13" s="10">
        <f>INDEX([1]ratio_ins!H:H,MATCH('001_population_health_zone_zs'!$B$2,[1]ratio_ins!$B:$B,0))*$G13*INDEX([1]ratio_ins!$C:$C,MATCH('001_population_health_zone_zs'!$B13,[1]ratio_ins!$B:$B,0))</f>
        <v>35455.984605000005</v>
      </c>
      <c r="K13" s="10">
        <f>INDEX([1]ratio_ins!I:I,MATCH('001_population_health_zone_zs'!$B$2,[1]ratio_ins!$B:$B,0))*$G13*INDEX([1]ratio_ins!$C:$C,MATCH('001_population_health_zone_zs'!$B13,[1]ratio_ins!$B:$B,0))</f>
        <v>21798.864609</v>
      </c>
      <c r="L13" s="10">
        <f>INDEX([1]ratio_ins!J:J,MATCH('001_population_health_zone_zs'!$B$2,[1]ratio_ins!$B:$B,0))*$G13*INDEX([1]ratio_ins!$C:$C,MATCH('001_population_health_zone_zs'!$B13,[1]ratio_ins!$B:$B,0))</f>
        <v>13079.318765399999</v>
      </c>
      <c r="M13" s="11">
        <f>INDEX([1]ratio_ins!K:K,MATCH('001_population_health_zone_zs'!$B$2,[1]ratio_ins!$B:$B,0))*$G13*INDEX([1]ratio_ins!$C:$C,MATCH('001_population_health_zone_zs'!$B13,[1]ratio_ins!$B:$B,0))</f>
        <v>148337.33411039997</v>
      </c>
      <c r="N13" s="10">
        <f>INDEX([1]ratio_ins!L:L,MATCH('001_population_health_zone_zs'!$B$2,[1]ratio_ins!$B:$B,0))*$G13*INDEX([1]ratio_ins!$C:$C,MATCH('001_population_health_zone_zs'!$B13,[1]ratio_ins!$B:$B,0))</f>
        <v>8719.5458436000008</v>
      </c>
      <c r="O13" s="10">
        <f>INDEX([1]ratio_ins!M:M,MATCH('001_population_health_zone_zs'!$B$2,[1]ratio_ins!$B:$B,0))*$G13*INDEX([1]ratio_ins!$C:$C,MATCH('001_population_health_zone_zs'!$B13,[1]ratio_ins!$B:$B,0))</f>
        <v>18909.858456000002</v>
      </c>
      <c r="P13" s="10">
        <f>INDEX([1]ratio_ins!N:N,MATCH('001_population_health_zone_zs'!$B$2,[1]ratio_ins!$B:$B,0))*$G13*INDEX([1]ratio_ins!$C:$C,MATCH('001_population_health_zone_zs'!$B13,[1]ratio_ins!$B:$B,0))</f>
        <v>17071.399995</v>
      </c>
      <c r="Q13" s="10">
        <f>INDEX([1]ratio_ins!O:O,MATCH('001_population_health_zone_zs'!$B$2,[1]ratio_ins!$B:$B,0))*$G13*INDEX([1]ratio_ins!$C:$C,MATCH('001_population_health_zone_zs'!$B13,[1]ratio_ins!$B:$B,0))</f>
        <v>15232.941533999998</v>
      </c>
      <c r="R13" s="10">
        <f>INDEX([1]ratio_ins!P:P,MATCH('001_population_health_zone_zs'!$B$2,[1]ratio_ins!$B:$B,0))*$G13*INDEX([1]ratio_ins!$C:$C,MATCH('001_population_health_zone_zs'!$B13,[1]ratio_ins!$B:$B,0))</f>
        <v>14970.304611</v>
      </c>
      <c r="S13" s="10">
        <f>INDEX([1]ratio_ins!Q:Q,MATCH('001_population_health_zone_zs'!$B$2,[1]ratio_ins!$B:$B,0))*$G13*INDEX([1]ratio_ins!$C:$C,MATCH('001_population_health_zone_zs'!$B13,[1]ratio_ins!$B:$B,0))</f>
        <v>12606.572303999999</v>
      </c>
      <c r="T13" s="10">
        <f>INDEX([1]ratio_ins!R:R,MATCH('001_population_health_zone_zs'!$B$2,[1]ratio_ins!$B:$B,0))*$G13*INDEX([1]ratio_ins!$C:$C,MATCH('001_population_health_zone_zs'!$B13,[1]ratio_ins!$B:$B,0))</f>
        <v>8929.6553820000008</v>
      </c>
      <c r="U13" s="10">
        <f>INDEX([1]ratio_ins!S:S,MATCH('001_population_health_zone_zs'!$B$2,[1]ratio_ins!$B:$B,0))*$G13*INDEX([1]ratio_ins!$C:$C,MATCH('001_population_health_zone_zs'!$B13,[1]ratio_ins!$B:$B,0))</f>
        <v>7091.1969210000016</v>
      </c>
      <c r="V13" s="10">
        <f>INDEX([1]ratio_ins!T:T,MATCH('001_population_health_zone_zs'!$B$2,[1]ratio_ins!$B:$B,0))*$G13*INDEX([1]ratio_ins!$C:$C,MATCH('001_population_health_zone_zs'!$B13,[1]ratio_ins!$B:$B,0))</f>
        <v>3939.5538449999999</v>
      </c>
      <c r="W13" s="11">
        <f>INDEX([1]ratio_ins!U:U,MATCH('001_population_health_zone_zs'!$B$2,[1]ratio_ins!$B:$B,0))*$G13*INDEX([1]ratio_ins!$C:$C,MATCH('001_population_health_zone_zs'!$B13,[1]ratio_ins!$B:$B,0))</f>
        <v>107471.02889160001</v>
      </c>
      <c r="X13" s="10">
        <f>INDEX([1]ratio_ins!V:V,MATCH('001_population_health_zone_zs'!$B$2,[1]ratio_ins!$B:$B,0))*$G13*INDEX([1]ratio_ins!$C:$C,MATCH('001_population_health_zone_zs'!$B13,[1]ratio_ins!$B:$B,0))</f>
        <v>3151.6430759999998</v>
      </c>
      <c r="Y13" s="10">
        <f>INDEX([1]ratio_ins!W:W,MATCH('001_population_health_zone_zs'!$B$2,[1]ratio_ins!$B:$B,0))*$G13*INDEX([1]ratio_ins!$C:$C,MATCH('001_population_health_zone_zs'!$B13,[1]ratio_ins!$B:$B,0))</f>
        <v>2101.0953839999997</v>
      </c>
      <c r="Z13" s="10">
        <f>INDEX([1]ratio_ins!X:X,MATCH('001_population_health_zone_zs'!$B$2,[1]ratio_ins!$B:$B,0))*$G13*INDEX([1]ratio_ins!$C:$C,MATCH('001_population_health_zone_zs'!$B13,[1]ratio_ins!$B:$B,0))</f>
        <v>1050.5476919999999</v>
      </c>
      <c r="AA13" s="10">
        <f>INDEX([1]ratio_ins!Y:Y,MATCH('001_population_health_zone_zs'!$B$2,[1]ratio_ins!$B:$B,0))*$G13*INDEX([1]ratio_ins!$C:$C,MATCH('001_population_health_zone_zs'!$B13,[1]ratio_ins!$B:$B,0))</f>
        <v>525.27384599999993</v>
      </c>
      <c r="AB13" s="11">
        <f>INDEX([1]ratio_ins!Z:Z,MATCH('001_population_health_zone_zs'!$B$2,[1]ratio_ins!$B:$B,0))*$G13*INDEX([1]ratio_ins!$C:$C,MATCH('001_population_health_zone_zs'!$B13,[1]ratio_ins!$B:$B,0))</f>
        <v>6828.5599980000006</v>
      </c>
      <c r="AC13" s="12">
        <f t="shared" si="0"/>
        <v>262636.92299999995</v>
      </c>
      <c r="AD13" s="10">
        <f>INDEX([1]ratio_ins!AA:AA,MATCH('001_population_health_zone_zs'!$B$2,[1]ratio_ins!$B:$B,0))*$G13*INDEX([1]ratio_ins!$D:$D,MATCH('001_population_health_zone_zs'!$B13,[1]ratio_ins!$B:$B,0))</f>
        <v>54495.856170000006</v>
      </c>
      <c r="AE13" s="10">
        <f>INDEX([1]ratio_ins!AB:AB,MATCH('001_population_health_zone_zs'!$B$2,[1]ratio_ins!$B:$B,0))*$G13*INDEX([1]ratio_ins!$D:$D,MATCH('001_population_health_zone_zs'!$B13,[1]ratio_ins!$B:$B,0))</f>
        <v>44894.205321000009</v>
      </c>
      <c r="AF13" s="10">
        <f>INDEX([1]ratio_ins!AC:AC,MATCH('001_population_health_zone_zs'!$B$2,[1]ratio_ins!$B:$B,0))*$G13*INDEX([1]ratio_ins!$D:$D,MATCH('001_population_health_zone_zs'!$B13,[1]ratio_ins!$B:$B,0))</f>
        <v>35552.058549000001</v>
      </c>
      <c r="AG13" s="10">
        <f>INDEX([1]ratio_ins!AD:AD,MATCH('001_population_health_zone_zs'!$B$2,[1]ratio_ins!$B:$B,0))*$G13*INDEX([1]ratio_ins!$D:$D,MATCH('001_population_health_zone_zs'!$B13,[1]ratio_ins!$B:$B,0))</f>
        <v>21538.838391000001</v>
      </c>
      <c r="AH13" s="10">
        <f>INDEX([1]ratio_ins!AE:AE,MATCH('001_population_health_zone_zs'!$B$2,[1]ratio_ins!$B:$B,0))*$G13*INDEX([1]ratio_ins!$D:$D,MATCH('001_population_health_zone_zs'!$B13,[1]ratio_ins!$B:$B,0))</f>
        <v>12923.3030346</v>
      </c>
      <c r="AI13" s="13">
        <f>INDEX([1]ratio_ins!AF:AF,MATCH('001_population_health_zone_zs'!$B$2,[1]ratio_ins!$B:$B,0))*$G13*INDEX([1]ratio_ins!$D:$D,MATCH('001_population_health_zone_zs'!$B13,[1]ratio_ins!$B:$B,0))</f>
        <v>147865.4230746</v>
      </c>
      <c r="AJ13" s="10">
        <f>INDEX([1]ratio_ins!AG:AG,MATCH('001_population_health_zone_zs'!$B$2,[1]ratio_ins!$B:$B,0))*$G13*INDEX([1]ratio_ins!$D:$D,MATCH('001_population_health_zone_zs'!$B13,[1]ratio_ins!$B:$B,0))</f>
        <v>8615.5353564000015</v>
      </c>
      <c r="AK13" s="10">
        <f>INDEX([1]ratio_ins!AH:AH,MATCH('001_population_health_zone_zs'!$B$2,[1]ratio_ins!$B:$B,0))*$G13*INDEX([1]ratio_ins!$D:$D,MATCH('001_population_health_zone_zs'!$B13,[1]ratio_ins!$B:$B,0))</f>
        <v>19203.301698000007</v>
      </c>
      <c r="AL13" s="10">
        <f>INDEX([1]ratio_ins!AI:AI,MATCH('001_population_health_zone_zs'!$B$2,[1]ratio_ins!$B:$B,0))*$G13*INDEX([1]ratio_ins!$D:$D,MATCH('001_population_health_zone_zs'!$B13,[1]ratio_ins!$B:$B,0))</f>
        <v>18165.285390000005</v>
      </c>
      <c r="AM13" s="10">
        <f>INDEX([1]ratio_ins!AJ:AJ,MATCH('001_population_health_zone_zs'!$B$2,[1]ratio_ins!$B:$B,0))*$G13*INDEX([1]ratio_ins!$D:$D,MATCH('001_population_health_zone_zs'!$B13,[1]ratio_ins!$B:$B,0))</f>
        <v>16608.260928</v>
      </c>
      <c r="AN13" s="10">
        <f>INDEX([1]ratio_ins!AK:AK,MATCH('001_population_health_zone_zs'!$B$2,[1]ratio_ins!$B:$B,0))*$G13*INDEX([1]ratio_ins!$D:$D,MATCH('001_population_health_zone_zs'!$B13,[1]ratio_ins!$B:$B,0))</f>
        <v>15570.244620000001</v>
      </c>
      <c r="AO13" s="10">
        <f>INDEX([1]ratio_ins!AL:AL,MATCH('001_population_health_zone_zs'!$B$2,[1]ratio_ins!$B:$B,0))*$G13*INDEX([1]ratio_ins!$D:$D,MATCH('001_population_health_zone_zs'!$B13,[1]ratio_ins!$B:$B,0))</f>
        <v>11677.683465</v>
      </c>
      <c r="AP13" s="10">
        <f>INDEX([1]ratio_ins!AM:AM,MATCH('001_population_health_zone_zs'!$B$2,[1]ratio_ins!$B:$B,0))*$G13*INDEX([1]ratio_ins!$D:$D,MATCH('001_population_health_zone_zs'!$B13,[1]ratio_ins!$B:$B,0))</f>
        <v>7525.6182330000001</v>
      </c>
      <c r="AQ13" s="10">
        <f>INDEX([1]ratio_ins!AN:AN,MATCH('001_population_health_zone_zs'!$B$2,[1]ratio_ins!$B:$B,0))*$G13*INDEX([1]ratio_ins!$D:$D,MATCH('001_population_health_zone_zs'!$B13,[1]ratio_ins!$B:$B,0))</f>
        <v>5968.5937710000007</v>
      </c>
      <c r="AR13" s="10">
        <f>INDEX([1]ratio_ins!AO:AO,MATCH('001_population_health_zone_zs'!$B$2,[1]ratio_ins!$B:$B,0))*$G13*INDEX([1]ratio_ins!$D:$D,MATCH('001_population_health_zone_zs'!$B13,[1]ratio_ins!$B:$B,0))</f>
        <v>2854.5448470000006</v>
      </c>
      <c r="AS13" s="13">
        <f>INDEX([1]ratio_ins!AP:AP,MATCH('001_population_health_zone_zs'!$B$2,[1]ratio_ins!$B:$B,0))*$G13*INDEX([1]ratio_ins!$D:$D,MATCH('001_population_health_zone_zs'!$B13,[1]ratio_ins!$B:$B,0))</f>
        <v>106189.06830840002</v>
      </c>
      <c r="AT13" s="10">
        <f>INDEX([1]ratio_ins!AQ:AQ,MATCH('001_population_health_zone_zs'!$B$2,[1]ratio_ins!$B:$B,0))*$G13*INDEX([1]ratio_ins!$D:$D,MATCH('001_population_health_zone_zs'!$B13,[1]ratio_ins!$B:$B,0))</f>
        <v>2595.0407700000001</v>
      </c>
      <c r="AU13" s="10">
        <f>INDEX([1]ratio_ins!AR:AR,MATCH('001_population_health_zone_zs'!$B$2,[1]ratio_ins!$B:$B,0))*$G13*INDEX([1]ratio_ins!$D:$D,MATCH('001_population_health_zone_zs'!$B13,[1]ratio_ins!$B:$B,0))</f>
        <v>1557.0244620000001</v>
      </c>
      <c r="AV13" s="10">
        <f>INDEX([1]ratio_ins!AS:AS,MATCH('001_population_health_zone_zs'!$B$2,[1]ratio_ins!$B:$B,0))*$G13*INDEX([1]ratio_ins!$D:$D,MATCH('001_population_health_zone_zs'!$B13,[1]ratio_ins!$B:$B,0))</f>
        <v>778.51223100000004</v>
      </c>
      <c r="AW13" s="10">
        <f>INDEX([1]ratio_ins!AT:AT,MATCH('001_population_health_zone_zs'!$B$2,[1]ratio_ins!$B:$B,0))*$G13*INDEX([1]ratio_ins!$D:$D,MATCH('001_population_health_zone_zs'!$B13,[1]ratio_ins!$B:$B,0))</f>
        <v>519.00815399999999</v>
      </c>
      <c r="AX13" s="13">
        <f>INDEX([1]ratio_ins!AU:AU,MATCH('001_population_health_zone_zs'!$B$2,[1]ratio_ins!$B:$B,0))*$G13*INDEX([1]ratio_ins!$D:$D,MATCH('001_population_health_zone_zs'!$B13,[1]ratio_ins!$B:$B,0))</f>
        <v>5449.5856170000006</v>
      </c>
      <c r="AY13" s="14">
        <f t="shared" si="1"/>
        <v>259504.07700000002</v>
      </c>
      <c r="AZ13" s="15">
        <f t="shared" si="2"/>
        <v>522141</v>
      </c>
      <c r="BA13" s="16">
        <v>516100.07569554017</v>
      </c>
      <c r="BB13" s="10">
        <f t="shared" si="3"/>
        <v>110289.23272500001</v>
      </c>
      <c r="BC13" s="17">
        <f t="shared" si="4"/>
        <v>0.21122500000000002</v>
      </c>
      <c r="BD13" s="10">
        <f t="shared" si="5"/>
        <v>109519.59689099999</v>
      </c>
    </row>
    <row r="14" spans="1:56" x14ac:dyDescent="0.25">
      <c r="A14" s="8" t="s">
        <v>10</v>
      </c>
      <c r="B14" s="8" t="s">
        <v>11</v>
      </c>
      <c r="C14" s="8" t="s">
        <v>10</v>
      </c>
      <c r="D14" s="8" t="s">
        <v>12</v>
      </c>
      <c r="E14" s="8" t="s">
        <v>37</v>
      </c>
      <c r="F14" s="8" t="s">
        <v>38</v>
      </c>
      <c r="G14" s="9">
        <v>389193</v>
      </c>
      <c r="H14" s="10">
        <f>INDEX([1]ratio_ins!F:F,MATCH('001_population_health_zone_zs'!$B$2,[1]ratio_ins!$B:$B,0))*$G14*INDEX([1]ratio_ins!$C:$C,MATCH('001_population_health_zone_zs'!$B14,[1]ratio_ins!$B:$B,0))</f>
        <v>40914.692511000001</v>
      </c>
      <c r="I14" s="10">
        <f>INDEX([1]ratio_ins!G:G,MATCH('001_population_health_zone_zs'!$B$2,[1]ratio_ins!$B:$B,0))*$G14*INDEX([1]ratio_ins!$C:$C,MATCH('001_population_health_zone_zs'!$B14,[1]ratio_ins!$B:$B,0))</f>
        <v>33475.657509000004</v>
      </c>
      <c r="J14" s="10">
        <f>INDEX([1]ratio_ins!H:H,MATCH('001_population_health_zone_zs'!$B$2,[1]ratio_ins!$B:$B,0))*$G14*INDEX([1]ratio_ins!$C:$C,MATCH('001_population_health_zone_zs'!$B14,[1]ratio_ins!$B:$B,0))</f>
        <v>26428.150665000001</v>
      </c>
      <c r="K14" s="10">
        <f>INDEX([1]ratio_ins!I:I,MATCH('001_population_health_zone_zs'!$B$2,[1]ratio_ins!$B:$B,0))*$G14*INDEX([1]ratio_ins!$C:$C,MATCH('001_population_health_zone_zs'!$B14,[1]ratio_ins!$B:$B,0))</f>
        <v>16248.418557000001</v>
      </c>
      <c r="L14" s="10">
        <f>INDEX([1]ratio_ins!J:J,MATCH('001_population_health_zone_zs'!$B$2,[1]ratio_ins!$B:$B,0))*$G14*INDEX([1]ratio_ins!$C:$C,MATCH('001_population_health_zone_zs'!$B14,[1]ratio_ins!$B:$B,0))</f>
        <v>9749.0511341999991</v>
      </c>
      <c r="M14" s="11">
        <f>INDEX([1]ratio_ins!K:K,MATCH('001_population_health_zone_zs'!$B$2,[1]ratio_ins!$B:$B,0))*$G14*INDEX([1]ratio_ins!$C:$C,MATCH('001_population_health_zone_zs'!$B14,[1]ratio_ins!$B:$B,0))</f>
        <v>110567.5518192</v>
      </c>
      <c r="N14" s="10">
        <f>INDEX([1]ratio_ins!L:L,MATCH('001_population_health_zone_zs'!$B$2,[1]ratio_ins!$B:$B,0))*$G14*INDEX([1]ratio_ins!$C:$C,MATCH('001_population_health_zone_zs'!$B14,[1]ratio_ins!$B:$B,0))</f>
        <v>6499.3674228</v>
      </c>
      <c r="O14" s="10">
        <f>INDEX([1]ratio_ins!M:M,MATCH('001_population_health_zone_zs'!$B$2,[1]ratio_ins!$B:$B,0))*$G14*INDEX([1]ratio_ins!$C:$C,MATCH('001_population_health_zone_zs'!$B14,[1]ratio_ins!$B:$B,0))</f>
        <v>14095.013688000003</v>
      </c>
      <c r="P14" s="10">
        <f>INDEX([1]ratio_ins!N:N,MATCH('001_population_health_zone_zs'!$B$2,[1]ratio_ins!$B:$B,0))*$G14*INDEX([1]ratio_ins!$C:$C,MATCH('001_population_health_zone_zs'!$B14,[1]ratio_ins!$B:$B,0))</f>
        <v>12724.665135000001</v>
      </c>
      <c r="Q14" s="10">
        <f>INDEX([1]ratio_ins!O:O,MATCH('001_population_health_zone_zs'!$B$2,[1]ratio_ins!$B:$B,0))*$G14*INDEX([1]ratio_ins!$C:$C,MATCH('001_population_health_zone_zs'!$B14,[1]ratio_ins!$B:$B,0))</f>
        <v>11354.316581999999</v>
      </c>
      <c r="R14" s="10">
        <f>INDEX([1]ratio_ins!P:P,MATCH('001_population_health_zone_zs'!$B$2,[1]ratio_ins!$B:$B,0))*$G14*INDEX([1]ratio_ins!$C:$C,MATCH('001_population_health_zone_zs'!$B14,[1]ratio_ins!$B:$B,0))</f>
        <v>11158.552503000001</v>
      </c>
      <c r="S14" s="10">
        <f>INDEX([1]ratio_ins!Q:Q,MATCH('001_population_health_zone_zs'!$B$2,[1]ratio_ins!$B:$B,0))*$G14*INDEX([1]ratio_ins!$C:$C,MATCH('001_population_health_zone_zs'!$B14,[1]ratio_ins!$B:$B,0))</f>
        <v>9396.675792</v>
      </c>
      <c r="T14" s="10">
        <f>INDEX([1]ratio_ins!R:R,MATCH('001_population_health_zone_zs'!$B$2,[1]ratio_ins!$B:$B,0))*$G14*INDEX([1]ratio_ins!$C:$C,MATCH('001_population_health_zone_zs'!$B14,[1]ratio_ins!$B:$B,0))</f>
        <v>6655.9786860000013</v>
      </c>
      <c r="U14" s="10">
        <f>INDEX([1]ratio_ins!S:S,MATCH('001_population_health_zone_zs'!$B$2,[1]ratio_ins!$B:$B,0))*$G14*INDEX([1]ratio_ins!$C:$C,MATCH('001_population_health_zone_zs'!$B14,[1]ratio_ins!$B:$B,0))</f>
        <v>5285.6301330000006</v>
      </c>
      <c r="V14" s="10">
        <f>INDEX([1]ratio_ins!T:T,MATCH('001_population_health_zone_zs'!$B$2,[1]ratio_ins!$B:$B,0))*$G14*INDEX([1]ratio_ins!$C:$C,MATCH('001_population_health_zone_zs'!$B14,[1]ratio_ins!$B:$B,0))</f>
        <v>2936.4611849999997</v>
      </c>
      <c r="W14" s="11">
        <f>INDEX([1]ratio_ins!U:U,MATCH('001_population_health_zone_zs'!$B$2,[1]ratio_ins!$B:$B,0))*$G14*INDEX([1]ratio_ins!$C:$C,MATCH('001_population_health_zone_zs'!$B14,[1]ratio_ins!$B:$B,0))</f>
        <v>80106.661126799998</v>
      </c>
      <c r="X14" s="10">
        <f>INDEX([1]ratio_ins!V:V,MATCH('001_population_health_zone_zs'!$B$2,[1]ratio_ins!$B:$B,0))*$G14*INDEX([1]ratio_ins!$C:$C,MATCH('001_population_health_zone_zs'!$B14,[1]ratio_ins!$B:$B,0))</f>
        <v>2349.168948</v>
      </c>
      <c r="Y14" s="10">
        <f>INDEX([1]ratio_ins!W:W,MATCH('001_population_health_zone_zs'!$B$2,[1]ratio_ins!$B:$B,0))*$G14*INDEX([1]ratio_ins!$C:$C,MATCH('001_population_health_zone_zs'!$B14,[1]ratio_ins!$B:$B,0))</f>
        <v>1566.1126319999998</v>
      </c>
      <c r="Z14" s="10">
        <f>INDEX([1]ratio_ins!X:X,MATCH('001_population_health_zone_zs'!$B$2,[1]ratio_ins!$B:$B,0))*$G14*INDEX([1]ratio_ins!$C:$C,MATCH('001_population_health_zone_zs'!$B14,[1]ratio_ins!$B:$B,0))</f>
        <v>783.05631599999992</v>
      </c>
      <c r="AA14" s="10">
        <f>INDEX([1]ratio_ins!Y:Y,MATCH('001_population_health_zone_zs'!$B$2,[1]ratio_ins!$B:$B,0))*$G14*INDEX([1]ratio_ins!$C:$C,MATCH('001_population_health_zone_zs'!$B14,[1]ratio_ins!$B:$B,0))</f>
        <v>391.52815799999996</v>
      </c>
      <c r="AB14" s="11">
        <f>INDEX([1]ratio_ins!Z:Z,MATCH('001_population_health_zone_zs'!$B$2,[1]ratio_ins!$B:$B,0))*$G14*INDEX([1]ratio_ins!$C:$C,MATCH('001_population_health_zone_zs'!$B14,[1]ratio_ins!$B:$B,0))</f>
        <v>5089.8660540000001</v>
      </c>
      <c r="AC14" s="12">
        <f t="shared" si="0"/>
        <v>195764.079</v>
      </c>
      <c r="AD14" s="10">
        <f>INDEX([1]ratio_ins!AA:AA,MATCH('001_population_health_zone_zs'!$B$2,[1]ratio_ins!$B:$B,0))*$G14*INDEX([1]ratio_ins!$D:$D,MATCH('001_population_health_zone_zs'!$B14,[1]ratio_ins!$B:$B,0))</f>
        <v>40620.073410000005</v>
      </c>
      <c r="AE14" s="10">
        <f>INDEX([1]ratio_ins!AB:AB,MATCH('001_population_health_zone_zs'!$B$2,[1]ratio_ins!$B:$B,0))*$G14*INDEX([1]ratio_ins!$D:$D,MATCH('001_population_health_zone_zs'!$B14,[1]ratio_ins!$B:$B,0))</f>
        <v>33463.203333000012</v>
      </c>
      <c r="AF14" s="10">
        <f>INDEX([1]ratio_ins!AC:AC,MATCH('001_population_health_zone_zs'!$B$2,[1]ratio_ins!$B:$B,0))*$G14*INDEX([1]ratio_ins!$D:$D,MATCH('001_population_health_zone_zs'!$B14,[1]ratio_ins!$B:$B,0))</f>
        <v>26499.762176999997</v>
      </c>
      <c r="AG14" s="10">
        <f>INDEX([1]ratio_ins!AD:AD,MATCH('001_population_health_zone_zs'!$B$2,[1]ratio_ins!$B:$B,0))*$G14*INDEX([1]ratio_ins!$D:$D,MATCH('001_population_health_zone_zs'!$B14,[1]ratio_ins!$B:$B,0))</f>
        <v>16054.600443000001</v>
      </c>
      <c r="AH14" s="10">
        <f>INDEX([1]ratio_ins!AE:AE,MATCH('001_population_health_zone_zs'!$B$2,[1]ratio_ins!$B:$B,0))*$G14*INDEX([1]ratio_ins!$D:$D,MATCH('001_population_health_zone_zs'!$B14,[1]ratio_ins!$B:$B,0))</f>
        <v>9632.7602657999996</v>
      </c>
      <c r="AI14" s="13">
        <f>INDEX([1]ratio_ins!AF:AF,MATCH('001_population_health_zone_zs'!$B$2,[1]ratio_ins!$B:$B,0))*$G14*INDEX([1]ratio_ins!$D:$D,MATCH('001_population_health_zone_zs'!$B14,[1]ratio_ins!$B:$B,0))</f>
        <v>110215.7991858</v>
      </c>
      <c r="AJ14" s="10">
        <f>INDEX([1]ratio_ins!AG:AG,MATCH('001_population_health_zone_zs'!$B$2,[1]ratio_ins!$B:$B,0))*$G14*INDEX([1]ratio_ins!$D:$D,MATCH('001_population_health_zone_zs'!$B14,[1]ratio_ins!$B:$B,0))</f>
        <v>6421.8401772000007</v>
      </c>
      <c r="AK14" s="10">
        <f>INDEX([1]ratio_ins!AH:AH,MATCH('001_population_health_zone_zs'!$B$2,[1]ratio_ins!$B:$B,0))*$G14*INDEX([1]ratio_ins!$D:$D,MATCH('001_population_health_zone_zs'!$B14,[1]ratio_ins!$B:$B,0))</f>
        <v>14313.740154000003</v>
      </c>
      <c r="AL14" s="10">
        <f>INDEX([1]ratio_ins!AI:AI,MATCH('001_population_health_zone_zs'!$B$2,[1]ratio_ins!$B:$B,0))*$G14*INDEX([1]ratio_ins!$D:$D,MATCH('001_population_health_zone_zs'!$B14,[1]ratio_ins!$B:$B,0))</f>
        <v>13540.024470000002</v>
      </c>
      <c r="AM14" s="10">
        <f>INDEX([1]ratio_ins!AJ:AJ,MATCH('001_population_health_zone_zs'!$B$2,[1]ratio_ins!$B:$B,0))*$G14*INDEX([1]ratio_ins!$D:$D,MATCH('001_population_health_zone_zs'!$B14,[1]ratio_ins!$B:$B,0))</f>
        <v>12379.450944</v>
      </c>
      <c r="AN14" s="10">
        <f>INDEX([1]ratio_ins!AK:AK,MATCH('001_population_health_zone_zs'!$B$2,[1]ratio_ins!$B:$B,0))*$G14*INDEX([1]ratio_ins!$D:$D,MATCH('001_population_health_zone_zs'!$B14,[1]ratio_ins!$B:$B,0))</f>
        <v>11605.735259999999</v>
      </c>
      <c r="AO14" s="10">
        <f>INDEX([1]ratio_ins!AL:AL,MATCH('001_population_health_zone_zs'!$B$2,[1]ratio_ins!$B:$B,0))*$G14*INDEX([1]ratio_ins!$D:$D,MATCH('001_population_health_zone_zs'!$B14,[1]ratio_ins!$B:$B,0))</f>
        <v>8704.3014449999991</v>
      </c>
      <c r="AP14" s="10">
        <f>INDEX([1]ratio_ins!AM:AM,MATCH('001_population_health_zone_zs'!$B$2,[1]ratio_ins!$B:$B,0))*$G14*INDEX([1]ratio_ins!$D:$D,MATCH('001_population_health_zone_zs'!$B14,[1]ratio_ins!$B:$B,0))</f>
        <v>5609.4387090000009</v>
      </c>
      <c r="AQ14" s="10">
        <f>INDEX([1]ratio_ins!AN:AN,MATCH('001_population_health_zone_zs'!$B$2,[1]ratio_ins!$B:$B,0))*$G14*INDEX([1]ratio_ins!$D:$D,MATCH('001_population_health_zone_zs'!$B14,[1]ratio_ins!$B:$B,0))</f>
        <v>4448.8651830000008</v>
      </c>
      <c r="AR14" s="10">
        <f>INDEX([1]ratio_ins!AO:AO,MATCH('001_population_health_zone_zs'!$B$2,[1]ratio_ins!$B:$B,0))*$G14*INDEX([1]ratio_ins!$D:$D,MATCH('001_population_health_zone_zs'!$B14,[1]ratio_ins!$B:$B,0))</f>
        <v>2127.7181310000005</v>
      </c>
      <c r="AS14" s="13">
        <f>INDEX([1]ratio_ins!AP:AP,MATCH('001_population_health_zone_zs'!$B$2,[1]ratio_ins!$B:$B,0))*$G14*INDEX([1]ratio_ins!$D:$D,MATCH('001_population_health_zone_zs'!$B14,[1]ratio_ins!$B:$B,0))</f>
        <v>79151.11447320001</v>
      </c>
      <c r="AT14" s="10">
        <f>INDEX([1]ratio_ins!AQ:AQ,MATCH('001_population_health_zone_zs'!$B$2,[1]ratio_ins!$B:$B,0))*$G14*INDEX([1]ratio_ins!$D:$D,MATCH('001_population_health_zone_zs'!$B14,[1]ratio_ins!$B:$B,0))</f>
        <v>1934.2892100000004</v>
      </c>
      <c r="AU14" s="10">
        <f>INDEX([1]ratio_ins!AR:AR,MATCH('001_population_health_zone_zs'!$B$2,[1]ratio_ins!$B:$B,0))*$G14*INDEX([1]ratio_ins!$D:$D,MATCH('001_population_health_zone_zs'!$B14,[1]ratio_ins!$B:$B,0))</f>
        <v>1160.5735260000001</v>
      </c>
      <c r="AV14" s="10">
        <f>INDEX([1]ratio_ins!AS:AS,MATCH('001_population_health_zone_zs'!$B$2,[1]ratio_ins!$B:$B,0))*$G14*INDEX([1]ratio_ins!$D:$D,MATCH('001_population_health_zone_zs'!$B14,[1]ratio_ins!$B:$B,0))</f>
        <v>580.28676300000006</v>
      </c>
      <c r="AW14" s="10">
        <f>INDEX([1]ratio_ins!AT:AT,MATCH('001_population_health_zone_zs'!$B$2,[1]ratio_ins!$B:$B,0))*$G14*INDEX([1]ratio_ins!$D:$D,MATCH('001_population_health_zone_zs'!$B14,[1]ratio_ins!$B:$B,0))</f>
        <v>386.85784200000001</v>
      </c>
      <c r="AX14" s="13">
        <f>INDEX([1]ratio_ins!AU:AU,MATCH('001_population_health_zone_zs'!$B$2,[1]ratio_ins!$B:$B,0))*$G14*INDEX([1]ratio_ins!$D:$D,MATCH('001_population_health_zone_zs'!$B14,[1]ratio_ins!$B:$B,0))</f>
        <v>4062.007341</v>
      </c>
      <c r="AY14" s="14">
        <f t="shared" si="1"/>
        <v>193428.921</v>
      </c>
      <c r="AZ14" s="15">
        <f t="shared" si="2"/>
        <v>389193</v>
      </c>
      <c r="BA14" s="16">
        <v>384689.79911278287</v>
      </c>
      <c r="BB14" s="10">
        <f t="shared" si="3"/>
        <v>82207.291425000003</v>
      </c>
      <c r="BC14" s="17">
        <f t="shared" si="4"/>
        <v>0.211225</v>
      </c>
      <c r="BD14" s="10">
        <f t="shared" si="5"/>
        <v>81633.620943000002</v>
      </c>
    </row>
    <row r="15" spans="1:56" x14ac:dyDescent="0.25">
      <c r="A15" s="8" t="s">
        <v>10</v>
      </c>
      <c r="B15" s="8" t="s">
        <v>11</v>
      </c>
      <c r="C15" s="8" t="s">
        <v>10</v>
      </c>
      <c r="D15" s="8" t="s">
        <v>12</v>
      </c>
      <c r="E15" s="8" t="s">
        <v>39</v>
      </c>
      <c r="F15" s="8" t="s">
        <v>40</v>
      </c>
      <c r="G15" s="9">
        <v>411284</v>
      </c>
      <c r="H15" s="10">
        <f>INDEX([1]ratio_ins!F:F,MATCH('001_population_health_zone_zs'!$B$2,[1]ratio_ins!$B:$B,0))*$G15*INDEX([1]ratio_ins!$C:$C,MATCH('001_population_health_zone_zs'!$B15,[1]ratio_ins!$B:$B,0))</f>
        <v>43237.053068000001</v>
      </c>
      <c r="I15" s="10">
        <f>INDEX([1]ratio_ins!G:G,MATCH('001_population_health_zone_zs'!$B$2,[1]ratio_ins!$B:$B,0))*$G15*INDEX([1]ratio_ins!$C:$C,MATCH('001_population_health_zone_zs'!$B15,[1]ratio_ins!$B:$B,0))</f>
        <v>35375.770691999998</v>
      </c>
      <c r="J15" s="10">
        <f>INDEX([1]ratio_ins!H:H,MATCH('001_population_health_zone_zs'!$B$2,[1]ratio_ins!$B:$B,0))*$G15*INDEX([1]ratio_ins!$C:$C,MATCH('001_population_health_zone_zs'!$B15,[1]ratio_ins!$B:$B,0))</f>
        <v>27928.240020000001</v>
      </c>
      <c r="K15" s="10">
        <f>INDEX([1]ratio_ins!I:I,MATCH('001_population_health_zone_zs'!$B$2,[1]ratio_ins!$B:$B,0))*$G15*INDEX([1]ratio_ins!$C:$C,MATCH('001_population_health_zone_zs'!$B15,[1]ratio_ins!$B:$B,0))</f>
        <v>17170.695715999998</v>
      </c>
      <c r="L15" s="10">
        <f>INDEX([1]ratio_ins!J:J,MATCH('001_population_health_zone_zs'!$B$2,[1]ratio_ins!$B:$B,0))*$G15*INDEX([1]ratio_ins!$C:$C,MATCH('001_population_health_zone_zs'!$B15,[1]ratio_ins!$B:$B,0))</f>
        <v>10302.417429599998</v>
      </c>
      <c r="M15" s="11">
        <f>INDEX([1]ratio_ins!K:K,MATCH('001_population_health_zone_zs'!$B$2,[1]ratio_ins!$B:$B,0))*$G15*INDEX([1]ratio_ins!$C:$C,MATCH('001_population_health_zone_zs'!$B15,[1]ratio_ins!$B:$B,0))</f>
        <v>116843.4812096</v>
      </c>
      <c r="N15" s="10">
        <f>INDEX([1]ratio_ins!L:L,MATCH('001_population_health_zone_zs'!$B$2,[1]ratio_ins!$B:$B,0))*$G15*INDEX([1]ratio_ins!$C:$C,MATCH('001_population_health_zone_zs'!$B15,[1]ratio_ins!$B:$B,0))</f>
        <v>6868.2782864000001</v>
      </c>
      <c r="O15" s="10">
        <f>INDEX([1]ratio_ins!M:M,MATCH('001_population_health_zone_zs'!$B$2,[1]ratio_ins!$B:$B,0))*$G15*INDEX([1]ratio_ins!$C:$C,MATCH('001_population_health_zone_zs'!$B15,[1]ratio_ins!$B:$B,0))</f>
        <v>14895.061344000002</v>
      </c>
      <c r="P15" s="10">
        <f>INDEX([1]ratio_ins!N:N,MATCH('001_population_health_zone_zs'!$B$2,[1]ratio_ins!$B:$B,0))*$G15*INDEX([1]ratio_ins!$C:$C,MATCH('001_population_health_zone_zs'!$B15,[1]ratio_ins!$B:$B,0))</f>
        <v>13446.93038</v>
      </c>
      <c r="Q15" s="10">
        <f>INDEX([1]ratio_ins!O:O,MATCH('001_population_health_zone_zs'!$B$2,[1]ratio_ins!$B:$B,0))*$G15*INDEX([1]ratio_ins!$C:$C,MATCH('001_population_health_zone_zs'!$B15,[1]ratio_ins!$B:$B,0))</f>
        <v>11998.799416</v>
      </c>
      <c r="R15" s="10">
        <f>INDEX([1]ratio_ins!P:P,MATCH('001_population_health_zone_zs'!$B$2,[1]ratio_ins!$B:$B,0))*$G15*INDEX([1]ratio_ins!$C:$C,MATCH('001_population_health_zone_zs'!$B15,[1]ratio_ins!$B:$B,0))</f>
        <v>11791.923564000001</v>
      </c>
      <c r="S15" s="10">
        <f>INDEX([1]ratio_ins!Q:Q,MATCH('001_population_health_zone_zs'!$B$2,[1]ratio_ins!$B:$B,0))*$G15*INDEX([1]ratio_ins!$C:$C,MATCH('001_population_health_zone_zs'!$B15,[1]ratio_ins!$B:$B,0))</f>
        <v>9930.0408960000004</v>
      </c>
      <c r="T15" s="10">
        <f>INDEX([1]ratio_ins!R:R,MATCH('001_population_health_zone_zs'!$B$2,[1]ratio_ins!$B:$B,0))*$G15*INDEX([1]ratio_ins!$C:$C,MATCH('001_population_health_zone_zs'!$B15,[1]ratio_ins!$B:$B,0))</f>
        <v>7033.7789680000005</v>
      </c>
      <c r="U15" s="10">
        <f>INDEX([1]ratio_ins!S:S,MATCH('001_population_health_zone_zs'!$B$2,[1]ratio_ins!$B:$B,0))*$G15*INDEX([1]ratio_ins!$C:$C,MATCH('001_population_health_zone_zs'!$B15,[1]ratio_ins!$B:$B,0))</f>
        <v>5585.6480040000006</v>
      </c>
      <c r="V15" s="10">
        <f>INDEX([1]ratio_ins!T:T,MATCH('001_population_health_zone_zs'!$B$2,[1]ratio_ins!$B:$B,0))*$G15*INDEX([1]ratio_ins!$C:$C,MATCH('001_population_health_zone_zs'!$B15,[1]ratio_ins!$B:$B,0))</f>
        <v>3103.13778</v>
      </c>
      <c r="W15" s="11">
        <f>INDEX([1]ratio_ins!U:U,MATCH('001_population_health_zone_zs'!$B$2,[1]ratio_ins!$B:$B,0))*$G15*INDEX([1]ratio_ins!$C:$C,MATCH('001_population_health_zone_zs'!$B15,[1]ratio_ins!$B:$B,0))</f>
        <v>84653.598638399999</v>
      </c>
      <c r="X15" s="10">
        <f>INDEX([1]ratio_ins!V:V,MATCH('001_population_health_zone_zs'!$B$2,[1]ratio_ins!$B:$B,0))*$G15*INDEX([1]ratio_ins!$C:$C,MATCH('001_population_health_zone_zs'!$B15,[1]ratio_ins!$B:$B,0))</f>
        <v>2482.5102240000001</v>
      </c>
      <c r="Y15" s="10">
        <f>INDEX([1]ratio_ins!W:W,MATCH('001_population_health_zone_zs'!$B$2,[1]ratio_ins!$B:$B,0))*$G15*INDEX([1]ratio_ins!$C:$C,MATCH('001_population_health_zone_zs'!$B15,[1]ratio_ins!$B:$B,0))</f>
        <v>1655.0068160000001</v>
      </c>
      <c r="Z15" s="10">
        <f>INDEX([1]ratio_ins!X:X,MATCH('001_population_health_zone_zs'!$B$2,[1]ratio_ins!$B:$B,0))*$G15*INDEX([1]ratio_ins!$C:$C,MATCH('001_population_health_zone_zs'!$B15,[1]ratio_ins!$B:$B,0))</f>
        <v>827.50340800000004</v>
      </c>
      <c r="AA15" s="10">
        <f>INDEX([1]ratio_ins!Y:Y,MATCH('001_population_health_zone_zs'!$B$2,[1]ratio_ins!$B:$B,0))*$G15*INDEX([1]ratio_ins!$C:$C,MATCH('001_population_health_zone_zs'!$B15,[1]ratio_ins!$B:$B,0))</f>
        <v>413.75170400000002</v>
      </c>
      <c r="AB15" s="11">
        <f>INDEX([1]ratio_ins!Z:Z,MATCH('001_population_health_zone_zs'!$B$2,[1]ratio_ins!$B:$B,0))*$G15*INDEX([1]ratio_ins!$C:$C,MATCH('001_population_health_zone_zs'!$B15,[1]ratio_ins!$B:$B,0))</f>
        <v>5378.7721520000014</v>
      </c>
      <c r="AC15" s="12">
        <f t="shared" si="0"/>
        <v>206875.85199999998</v>
      </c>
      <c r="AD15" s="10">
        <f>INDEX([1]ratio_ins!AA:AA,MATCH('001_population_health_zone_zs'!$B$2,[1]ratio_ins!$B:$B,0))*$G15*INDEX([1]ratio_ins!$D:$D,MATCH('001_population_health_zone_zs'!$B15,[1]ratio_ins!$B:$B,0))</f>
        <v>42925.711080000001</v>
      </c>
      <c r="AE15" s="10">
        <f>INDEX([1]ratio_ins!AB:AB,MATCH('001_population_health_zone_zs'!$B$2,[1]ratio_ins!$B:$B,0))*$G15*INDEX([1]ratio_ins!$D:$D,MATCH('001_population_health_zone_zs'!$B15,[1]ratio_ins!$B:$B,0))</f>
        <v>35362.609604000012</v>
      </c>
      <c r="AF15" s="10">
        <f>INDEX([1]ratio_ins!AC:AC,MATCH('001_population_health_zone_zs'!$B$2,[1]ratio_ins!$B:$B,0))*$G15*INDEX([1]ratio_ins!$D:$D,MATCH('001_population_health_zone_zs'!$B15,[1]ratio_ins!$B:$B,0))</f>
        <v>28003.916276</v>
      </c>
      <c r="AG15" s="10">
        <f>INDEX([1]ratio_ins!AD:AD,MATCH('001_population_health_zone_zs'!$B$2,[1]ratio_ins!$B:$B,0))*$G15*INDEX([1]ratio_ins!$D:$D,MATCH('001_population_health_zone_zs'!$B15,[1]ratio_ins!$B:$B,0))</f>
        <v>16965.876284000002</v>
      </c>
      <c r="AH15" s="10">
        <f>INDEX([1]ratio_ins!AE:AE,MATCH('001_population_health_zone_zs'!$B$2,[1]ratio_ins!$B:$B,0))*$G15*INDEX([1]ratio_ins!$D:$D,MATCH('001_population_health_zone_zs'!$B15,[1]ratio_ins!$B:$B,0))</f>
        <v>10179.5257704</v>
      </c>
      <c r="AI15" s="13">
        <f>INDEX([1]ratio_ins!AF:AF,MATCH('001_population_health_zone_zs'!$B$2,[1]ratio_ins!$B:$B,0))*$G15*INDEX([1]ratio_ins!$D:$D,MATCH('001_population_health_zone_zs'!$B15,[1]ratio_ins!$B:$B,0))</f>
        <v>116471.76273040002</v>
      </c>
      <c r="AJ15" s="10">
        <f>INDEX([1]ratio_ins!AG:AG,MATCH('001_population_health_zone_zs'!$B$2,[1]ratio_ins!$B:$B,0))*$G15*INDEX([1]ratio_ins!$D:$D,MATCH('001_population_health_zone_zs'!$B15,[1]ratio_ins!$B:$B,0))</f>
        <v>6786.3505136000012</v>
      </c>
      <c r="AK15" s="10">
        <f>INDEX([1]ratio_ins!AH:AH,MATCH('001_population_health_zone_zs'!$B$2,[1]ratio_ins!$B:$B,0))*$G15*INDEX([1]ratio_ins!$D:$D,MATCH('001_population_health_zone_zs'!$B15,[1]ratio_ins!$B:$B,0))</f>
        <v>15126.202952000003</v>
      </c>
      <c r="AL15" s="10">
        <f>INDEX([1]ratio_ins!AI:AI,MATCH('001_population_health_zone_zs'!$B$2,[1]ratio_ins!$B:$B,0))*$G15*INDEX([1]ratio_ins!$D:$D,MATCH('001_population_health_zone_zs'!$B15,[1]ratio_ins!$B:$B,0))</f>
        <v>14308.570360000002</v>
      </c>
      <c r="AM15" s="10">
        <f>INDEX([1]ratio_ins!AJ:AJ,MATCH('001_population_health_zone_zs'!$B$2,[1]ratio_ins!$B:$B,0))*$G15*INDEX([1]ratio_ins!$D:$D,MATCH('001_population_health_zone_zs'!$B15,[1]ratio_ins!$B:$B,0))</f>
        <v>13082.121472000001</v>
      </c>
      <c r="AN15" s="10">
        <f>INDEX([1]ratio_ins!AK:AK,MATCH('001_population_health_zone_zs'!$B$2,[1]ratio_ins!$B:$B,0))*$G15*INDEX([1]ratio_ins!$D:$D,MATCH('001_population_health_zone_zs'!$B15,[1]ratio_ins!$B:$B,0))</f>
        <v>12264.488880000003</v>
      </c>
      <c r="AO15" s="10">
        <f>INDEX([1]ratio_ins!AL:AL,MATCH('001_population_health_zone_zs'!$B$2,[1]ratio_ins!$B:$B,0))*$G15*INDEX([1]ratio_ins!$D:$D,MATCH('001_population_health_zone_zs'!$B15,[1]ratio_ins!$B:$B,0))</f>
        <v>9198.3666599999997</v>
      </c>
      <c r="AP15" s="10">
        <f>INDEX([1]ratio_ins!AM:AM,MATCH('001_population_health_zone_zs'!$B$2,[1]ratio_ins!$B:$B,0))*$G15*INDEX([1]ratio_ins!$D:$D,MATCH('001_population_health_zone_zs'!$B15,[1]ratio_ins!$B:$B,0))</f>
        <v>5927.836292</v>
      </c>
      <c r="AQ15" s="10">
        <f>INDEX([1]ratio_ins!AN:AN,MATCH('001_population_health_zone_zs'!$B$2,[1]ratio_ins!$B:$B,0))*$G15*INDEX([1]ratio_ins!$D:$D,MATCH('001_population_health_zone_zs'!$B15,[1]ratio_ins!$B:$B,0))</f>
        <v>4701.3874040000001</v>
      </c>
      <c r="AR15" s="10">
        <f>INDEX([1]ratio_ins!AO:AO,MATCH('001_population_health_zone_zs'!$B$2,[1]ratio_ins!$B:$B,0))*$G15*INDEX([1]ratio_ins!$D:$D,MATCH('001_population_health_zone_zs'!$B15,[1]ratio_ins!$B:$B,0))</f>
        <v>2248.4896280000007</v>
      </c>
      <c r="AS15" s="13">
        <f>INDEX([1]ratio_ins!AP:AP,MATCH('001_population_health_zone_zs'!$B$2,[1]ratio_ins!$B:$B,0))*$G15*INDEX([1]ratio_ins!$D:$D,MATCH('001_population_health_zone_zs'!$B15,[1]ratio_ins!$B:$B,0))</f>
        <v>83643.814161600007</v>
      </c>
      <c r="AT15" s="10">
        <f>INDEX([1]ratio_ins!AQ:AQ,MATCH('001_population_health_zone_zs'!$B$2,[1]ratio_ins!$B:$B,0))*$G15*INDEX([1]ratio_ins!$D:$D,MATCH('001_population_health_zone_zs'!$B15,[1]ratio_ins!$B:$B,0))</f>
        <v>2044.0814800000003</v>
      </c>
      <c r="AU15" s="10">
        <f>INDEX([1]ratio_ins!AR:AR,MATCH('001_population_health_zone_zs'!$B$2,[1]ratio_ins!$B:$B,0))*$G15*INDEX([1]ratio_ins!$D:$D,MATCH('001_population_health_zone_zs'!$B15,[1]ratio_ins!$B:$B,0))</f>
        <v>1226.4488880000001</v>
      </c>
      <c r="AV15" s="10">
        <f>INDEX([1]ratio_ins!AS:AS,MATCH('001_population_health_zone_zs'!$B$2,[1]ratio_ins!$B:$B,0))*$G15*INDEX([1]ratio_ins!$D:$D,MATCH('001_population_health_zone_zs'!$B15,[1]ratio_ins!$B:$B,0))</f>
        <v>613.22444400000006</v>
      </c>
      <c r="AW15" s="10">
        <f>INDEX([1]ratio_ins!AT:AT,MATCH('001_population_health_zone_zs'!$B$2,[1]ratio_ins!$B:$B,0))*$G15*INDEX([1]ratio_ins!$D:$D,MATCH('001_population_health_zone_zs'!$B15,[1]ratio_ins!$B:$B,0))</f>
        <v>408.81629600000002</v>
      </c>
      <c r="AX15" s="13">
        <f>INDEX([1]ratio_ins!AU:AU,MATCH('001_population_health_zone_zs'!$B$2,[1]ratio_ins!$B:$B,0))*$G15*INDEX([1]ratio_ins!$D:$D,MATCH('001_population_health_zone_zs'!$B15,[1]ratio_ins!$B:$B,0))</f>
        <v>4292.5711080000001</v>
      </c>
      <c r="AY15" s="14">
        <f t="shared" si="1"/>
        <v>204408.14800000004</v>
      </c>
      <c r="AZ15" s="15">
        <f t="shared" si="2"/>
        <v>411284</v>
      </c>
      <c r="BA15" s="16">
        <v>406525.62695060507</v>
      </c>
      <c r="BB15" s="10">
        <f t="shared" si="3"/>
        <v>86873.462900000013</v>
      </c>
      <c r="BC15" s="17">
        <f t="shared" si="4"/>
        <v>0.21122500000000002</v>
      </c>
      <c r="BD15" s="10">
        <f t="shared" si="5"/>
        <v>86267.230284000005</v>
      </c>
    </row>
    <row r="16" spans="1:56" x14ac:dyDescent="0.25">
      <c r="A16" s="8" t="s">
        <v>10</v>
      </c>
      <c r="B16" s="8" t="s">
        <v>11</v>
      </c>
      <c r="C16" s="8" t="s">
        <v>10</v>
      </c>
      <c r="D16" s="8" t="s">
        <v>12</v>
      </c>
      <c r="E16" s="8" t="s">
        <v>10</v>
      </c>
      <c r="F16" s="8" t="s">
        <v>41</v>
      </c>
      <c r="G16" s="9">
        <v>310671</v>
      </c>
      <c r="H16" s="10">
        <f>INDEX([1]ratio_ins!F:F,MATCH('001_population_health_zone_zs'!$B$2,[1]ratio_ins!$B:$B,0))*$G16*INDEX([1]ratio_ins!$C:$C,MATCH('001_population_health_zone_zs'!$B16,[1]ratio_ins!$B:$B,0))</f>
        <v>32659.910216999997</v>
      </c>
      <c r="I16" s="10">
        <f>INDEX([1]ratio_ins!G:G,MATCH('001_population_health_zone_zs'!$B$2,[1]ratio_ins!$B:$B,0))*$G16*INDEX([1]ratio_ins!$C:$C,MATCH('001_population_health_zone_zs'!$B16,[1]ratio_ins!$B:$B,0))</f>
        <v>26721.744723</v>
      </c>
      <c r="J16" s="10">
        <f>INDEX([1]ratio_ins!H:H,MATCH('001_population_health_zone_zs'!$B$2,[1]ratio_ins!$B:$B,0))*$G16*INDEX([1]ratio_ins!$C:$C,MATCH('001_population_health_zone_zs'!$B16,[1]ratio_ins!$B:$B,0))</f>
        <v>21096.114255</v>
      </c>
      <c r="K16" s="10">
        <f>INDEX([1]ratio_ins!I:I,MATCH('001_population_health_zone_zs'!$B$2,[1]ratio_ins!$B:$B,0))*$G16*INDEX([1]ratio_ins!$C:$C,MATCH('001_population_health_zone_zs'!$B16,[1]ratio_ins!$B:$B,0))</f>
        <v>12970.203579000001</v>
      </c>
      <c r="L16" s="10">
        <f>INDEX([1]ratio_ins!J:J,MATCH('001_population_health_zone_zs'!$B$2,[1]ratio_ins!$B:$B,0))*$G16*INDEX([1]ratio_ins!$C:$C,MATCH('001_population_health_zone_zs'!$B16,[1]ratio_ins!$B:$B,0))</f>
        <v>7782.1221473999994</v>
      </c>
      <c r="M16" s="11">
        <f>INDEX([1]ratio_ins!K:K,MATCH('001_population_health_zone_zs'!$B$2,[1]ratio_ins!$B:$B,0))*$G16*INDEX([1]ratio_ins!$C:$C,MATCH('001_population_health_zone_zs'!$B16,[1]ratio_ins!$B:$B,0))</f>
        <v>88259.891342399991</v>
      </c>
      <c r="N16" s="10">
        <f>INDEX([1]ratio_ins!L:L,MATCH('001_population_health_zone_zs'!$B$2,[1]ratio_ins!$B:$B,0))*$G16*INDEX([1]ratio_ins!$C:$C,MATCH('001_population_health_zone_zs'!$B16,[1]ratio_ins!$B:$B,0))</f>
        <v>5188.0814316000005</v>
      </c>
      <c r="O16" s="10">
        <f>INDEX([1]ratio_ins!M:M,MATCH('001_population_health_zone_zs'!$B$2,[1]ratio_ins!$B:$B,0))*$G16*INDEX([1]ratio_ins!$C:$C,MATCH('001_population_health_zone_zs'!$B16,[1]ratio_ins!$B:$B,0))</f>
        <v>11251.260936000001</v>
      </c>
      <c r="P16" s="10">
        <f>INDEX([1]ratio_ins!N:N,MATCH('001_population_health_zone_zs'!$B$2,[1]ratio_ins!$B:$B,0))*$G16*INDEX([1]ratio_ins!$C:$C,MATCH('001_population_health_zone_zs'!$B16,[1]ratio_ins!$B:$B,0))</f>
        <v>10157.388345000001</v>
      </c>
      <c r="Q16" s="10">
        <f>INDEX([1]ratio_ins!O:O,MATCH('001_population_health_zone_zs'!$B$2,[1]ratio_ins!$B:$B,0))*$G16*INDEX([1]ratio_ins!$C:$C,MATCH('001_population_health_zone_zs'!$B16,[1]ratio_ins!$B:$B,0))</f>
        <v>9063.5157539999982</v>
      </c>
      <c r="R16" s="10">
        <f>INDEX([1]ratio_ins!P:P,MATCH('001_population_health_zone_zs'!$B$2,[1]ratio_ins!$B:$B,0))*$G16*INDEX([1]ratio_ins!$C:$C,MATCH('001_population_health_zone_zs'!$B16,[1]ratio_ins!$B:$B,0))</f>
        <v>8907.2482409999993</v>
      </c>
      <c r="S16" s="10">
        <f>INDEX([1]ratio_ins!Q:Q,MATCH('001_population_health_zone_zs'!$B$2,[1]ratio_ins!$B:$B,0))*$G16*INDEX([1]ratio_ins!$C:$C,MATCH('001_population_health_zone_zs'!$B16,[1]ratio_ins!$B:$B,0))</f>
        <v>7500.8406240000004</v>
      </c>
      <c r="T16" s="10">
        <f>INDEX([1]ratio_ins!R:R,MATCH('001_population_health_zone_zs'!$B$2,[1]ratio_ins!$B:$B,0))*$G16*INDEX([1]ratio_ins!$C:$C,MATCH('001_population_health_zone_zs'!$B16,[1]ratio_ins!$B:$B,0))</f>
        <v>5313.0954419999998</v>
      </c>
      <c r="U16" s="10">
        <f>INDEX([1]ratio_ins!S:S,MATCH('001_population_health_zone_zs'!$B$2,[1]ratio_ins!$B:$B,0))*$G16*INDEX([1]ratio_ins!$C:$C,MATCH('001_population_health_zone_zs'!$B16,[1]ratio_ins!$B:$B,0))</f>
        <v>4219.2228510000004</v>
      </c>
      <c r="V16" s="10">
        <f>INDEX([1]ratio_ins!T:T,MATCH('001_population_health_zone_zs'!$B$2,[1]ratio_ins!$B:$B,0))*$G16*INDEX([1]ratio_ins!$C:$C,MATCH('001_population_health_zone_zs'!$B16,[1]ratio_ins!$B:$B,0))</f>
        <v>2344.0126949999999</v>
      </c>
      <c r="W16" s="11">
        <f>INDEX([1]ratio_ins!U:U,MATCH('001_population_health_zone_zs'!$B$2,[1]ratio_ins!$B:$B,0))*$G16*INDEX([1]ratio_ins!$C:$C,MATCH('001_population_health_zone_zs'!$B16,[1]ratio_ins!$B:$B,0))</f>
        <v>63944.666319600001</v>
      </c>
      <c r="X16" s="10">
        <f>INDEX([1]ratio_ins!V:V,MATCH('001_population_health_zone_zs'!$B$2,[1]ratio_ins!$B:$B,0))*$G16*INDEX([1]ratio_ins!$C:$C,MATCH('001_population_health_zone_zs'!$B16,[1]ratio_ins!$B:$B,0))</f>
        <v>1875.2101560000001</v>
      </c>
      <c r="Y16" s="10">
        <f>INDEX([1]ratio_ins!W:W,MATCH('001_population_health_zone_zs'!$B$2,[1]ratio_ins!$B:$B,0))*$G16*INDEX([1]ratio_ins!$C:$C,MATCH('001_population_health_zone_zs'!$B16,[1]ratio_ins!$B:$B,0))</f>
        <v>1250.1401040000001</v>
      </c>
      <c r="Z16" s="10">
        <f>INDEX([1]ratio_ins!X:X,MATCH('001_population_health_zone_zs'!$B$2,[1]ratio_ins!$B:$B,0))*$G16*INDEX([1]ratio_ins!$C:$C,MATCH('001_population_health_zone_zs'!$B16,[1]ratio_ins!$B:$B,0))</f>
        <v>625.07005200000003</v>
      </c>
      <c r="AA16" s="10">
        <f>INDEX([1]ratio_ins!Y:Y,MATCH('001_population_health_zone_zs'!$B$2,[1]ratio_ins!$B:$B,0))*$G16*INDEX([1]ratio_ins!$C:$C,MATCH('001_population_health_zone_zs'!$B16,[1]ratio_ins!$B:$B,0))</f>
        <v>312.53502600000002</v>
      </c>
      <c r="AB16" s="11">
        <f>INDEX([1]ratio_ins!Z:Z,MATCH('001_population_health_zone_zs'!$B$2,[1]ratio_ins!$B:$B,0))*$G16*INDEX([1]ratio_ins!$C:$C,MATCH('001_population_health_zone_zs'!$B16,[1]ratio_ins!$B:$B,0))</f>
        <v>4062.9553380000002</v>
      </c>
      <c r="AC16" s="12">
        <f t="shared" si="0"/>
        <v>156267.51300000001</v>
      </c>
      <c r="AD16" s="10">
        <f>INDEX([1]ratio_ins!AA:AA,MATCH('001_population_health_zone_zs'!$B$2,[1]ratio_ins!$B:$B,0))*$G16*INDEX([1]ratio_ins!$D:$D,MATCH('001_population_health_zone_zs'!$B16,[1]ratio_ins!$B:$B,0))</f>
        <v>32424.73227</v>
      </c>
      <c r="AE16" s="10">
        <f>INDEX([1]ratio_ins!AB:AB,MATCH('001_population_health_zone_zs'!$B$2,[1]ratio_ins!$B:$B,0))*$G16*INDEX([1]ratio_ins!$D:$D,MATCH('001_population_health_zone_zs'!$B16,[1]ratio_ins!$B:$B,0))</f>
        <v>26711.803251000005</v>
      </c>
      <c r="AF16" s="10">
        <f>INDEX([1]ratio_ins!AC:AC,MATCH('001_population_health_zone_zs'!$B$2,[1]ratio_ins!$B:$B,0))*$G16*INDEX([1]ratio_ins!$D:$D,MATCH('001_population_health_zone_zs'!$B16,[1]ratio_ins!$B:$B,0))</f>
        <v>21153.277719000002</v>
      </c>
      <c r="AG16" s="10">
        <f>INDEX([1]ratio_ins!AD:AD,MATCH('001_population_health_zone_zs'!$B$2,[1]ratio_ins!$B:$B,0))*$G16*INDEX([1]ratio_ins!$D:$D,MATCH('001_population_health_zone_zs'!$B16,[1]ratio_ins!$B:$B,0))</f>
        <v>12815.489421000002</v>
      </c>
      <c r="AH16" s="10">
        <f>INDEX([1]ratio_ins!AE:AE,MATCH('001_population_health_zone_zs'!$B$2,[1]ratio_ins!$B:$B,0))*$G16*INDEX([1]ratio_ins!$D:$D,MATCH('001_population_health_zone_zs'!$B16,[1]ratio_ins!$B:$B,0))</f>
        <v>7689.2936526000003</v>
      </c>
      <c r="AI16" s="13">
        <f>INDEX([1]ratio_ins!AF:AF,MATCH('001_population_health_zone_zs'!$B$2,[1]ratio_ins!$B:$B,0))*$G16*INDEX([1]ratio_ins!$D:$D,MATCH('001_population_health_zone_zs'!$B16,[1]ratio_ins!$B:$B,0))</f>
        <v>87979.106892600015</v>
      </c>
      <c r="AJ16" s="10">
        <f>INDEX([1]ratio_ins!AG:AG,MATCH('001_population_health_zone_zs'!$B$2,[1]ratio_ins!$B:$B,0))*$G16*INDEX([1]ratio_ins!$D:$D,MATCH('001_population_health_zone_zs'!$B16,[1]ratio_ins!$B:$B,0))</f>
        <v>5126.1957684000008</v>
      </c>
      <c r="AK16" s="10">
        <f>INDEX([1]ratio_ins!AH:AH,MATCH('001_population_health_zone_zs'!$B$2,[1]ratio_ins!$B:$B,0))*$G16*INDEX([1]ratio_ins!$D:$D,MATCH('001_population_health_zone_zs'!$B16,[1]ratio_ins!$B:$B,0))</f>
        <v>11425.858038000002</v>
      </c>
      <c r="AL16" s="10">
        <f>INDEX([1]ratio_ins!AI:AI,MATCH('001_population_health_zone_zs'!$B$2,[1]ratio_ins!$B:$B,0))*$G16*INDEX([1]ratio_ins!$D:$D,MATCH('001_population_health_zone_zs'!$B16,[1]ratio_ins!$B:$B,0))</f>
        <v>10808.244090000002</v>
      </c>
      <c r="AM16" s="10">
        <f>INDEX([1]ratio_ins!AJ:AJ,MATCH('001_population_health_zone_zs'!$B$2,[1]ratio_ins!$B:$B,0))*$G16*INDEX([1]ratio_ins!$D:$D,MATCH('001_population_health_zone_zs'!$B16,[1]ratio_ins!$B:$B,0))</f>
        <v>9881.8231680000008</v>
      </c>
      <c r="AN16" s="10">
        <f>INDEX([1]ratio_ins!AK:AK,MATCH('001_population_health_zone_zs'!$B$2,[1]ratio_ins!$B:$B,0))*$G16*INDEX([1]ratio_ins!$D:$D,MATCH('001_population_health_zone_zs'!$B16,[1]ratio_ins!$B:$B,0))</f>
        <v>9264.2092200000006</v>
      </c>
      <c r="AO16" s="10">
        <f>INDEX([1]ratio_ins!AL:AL,MATCH('001_population_health_zone_zs'!$B$2,[1]ratio_ins!$B:$B,0))*$G16*INDEX([1]ratio_ins!$D:$D,MATCH('001_population_health_zone_zs'!$B16,[1]ratio_ins!$B:$B,0))</f>
        <v>6948.1569150000005</v>
      </c>
      <c r="AP16" s="10">
        <f>INDEX([1]ratio_ins!AM:AM,MATCH('001_population_health_zone_zs'!$B$2,[1]ratio_ins!$B:$B,0))*$G16*INDEX([1]ratio_ins!$D:$D,MATCH('001_population_health_zone_zs'!$B16,[1]ratio_ins!$B:$B,0))</f>
        <v>4477.7011229999998</v>
      </c>
      <c r="AQ16" s="10">
        <f>INDEX([1]ratio_ins!AN:AN,MATCH('001_population_health_zone_zs'!$B$2,[1]ratio_ins!$B:$B,0))*$G16*INDEX([1]ratio_ins!$D:$D,MATCH('001_population_health_zone_zs'!$B16,[1]ratio_ins!$B:$B,0))</f>
        <v>3551.2802010000005</v>
      </c>
      <c r="AR16" s="10">
        <f>INDEX([1]ratio_ins!AO:AO,MATCH('001_population_health_zone_zs'!$B$2,[1]ratio_ins!$B:$B,0))*$G16*INDEX([1]ratio_ins!$D:$D,MATCH('001_population_health_zone_zs'!$B16,[1]ratio_ins!$B:$B,0))</f>
        <v>1698.4383570000002</v>
      </c>
      <c r="AS16" s="13">
        <f>INDEX([1]ratio_ins!AP:AP,MATCH('001_population_health_zone_zs'!$B$2,[1]ratio_ins!$B:$B,0))*$G16*INDEX([1]ratio_ins!$D:$D,MATCH('001_population_health_zone_zs'!$B16,[1]ratio_ins!$B:$B,0))</f>
        <v>63181.906880400005</v>
      </c>
      <c r="AT16" s="10">
        <f>INDEX([1]ratio_ins!AQ:AQ,MATCH('001_population_health_zone_zs'!$B$2,[1]ratio_ins!$B:$B,0))*$G16*INDEX([1]ratio_ins!$D:$D,MATCH('001_population_health_zone_zs'!$B16,[1]ratio_ins!$B:$B,0))</f>
        <v>1544.0348700000002</v>
      </c>
      <c r="AU16" s="10">
        <f>INDEX([1]ratio_ins!AR:AR,MATCH('001_population_health_zone_zs'!$B$2,[1]ratio_ins!$B:$B,0))*$G16*INDEX([1]ratio_ins!$D:$D,MATCH('001_population_health_zone_zs'!$B16,[1]ratio_ins!$B:$B,0))</f>
        <v>926.42092200000013</v>
      </c>
      <c r="AV16" s="10">
        <f>INDEX([1]ratio_ins!AS:AS,MATCH('001_population_health_zone_zs'!$B$2,[1]ratio_ins!$B:$B,0))*$G16*INDEX([1]ratio_ins!$D:$D,MATCH('001_population_health_zone_zs'!$B16,[1]ratio_ins!$B:$B,0))</f>
        <v>463.21046100000007</v>
      </c>
      <c r="AW16" s="10">
        <f>INDEX([1]ratio_ins!AT:AT,MATCH('001_population_health_zone_zs'!$B$2,[1]ratio_ins!$B:$B,0))*$G16*INDEX([1]ratio_ins!$D:$D,MATCH('001_population_health_zone_zs'!$B16,[1]ratio_ins!$B:$B,0))</f>
        <v>308.80697400000003</v>
      </c>
      <c r="AX16" s="13">
        <f>INDEX([1]ratio_ins!AU:AU,MATCH('001_population_health_zone_zs'!$B$2,[1]ratio_ins!$B:$B,0))*$G16*INDEX([1]ratio_ins!$D:$D,MATCH('001_population_health_zone_zs'!$B16,[1]ratio_ins!$B:$B,0))</f>
        <v>3242.473227</v>
      </c>
      <c r="AY16" s="14">
        <f t="shared" si="1"/>
        <v>154403.48700000002</v>
      </c>
      <c r="AZ16" s="15">
        <f t="shared" si="2"/>
        <v>310671</v>
      </c>
      <c r="BA16" s="16">
        <v>307076.46296434337</v>
      </c>
      <c r="BB16" s="10">
        <f t="shared" si="3"/>
        <v>65621.481975000017</v>
      </c>
      <c r="BC16" s="17">
        <f t="shared" si="4"/>
        <v>0.21122500000000005</v>
      </c>
      <c r="BD16" s="10">
        <f t="shared" si="5"/>
        <v>65163.552921000002</v>
      </c>
    </row>
    <row r="17" spans="1:56" x14ac:dyDescent="0.25">
      <c r="A17" s="8" t="s">
        <v>10</v>
      </c>
      <c r="B17" s="8" t="s">
        <v>11</v>
      </c>
      <c r="C17" s="8" t="s">
        <v>10</v>
      </c>
      <c r="D17" s="8" t="s">
        <v>12</v>
      </c>
      <c r="E17" s="8" t="s">
        <v>42</v>
      </c>
      <c r="F17" s="8" t="s">
        <v>43</v>
      </c>
      <c r="G17" s="9">
        <v>194265</v>
      </c>
      <c r="H17" s="10">
        <f>INDEX([1]ratio_ins!F:F,MATCH('001_population_health_zone_zs'!$B$2,[1]ratio_ins!$B:$B,0))*$G17*INDEX([1]ratio_ins!$C:$C,MATCH('001_population_health_zone_zs'!$B17,[1]ratio_ins!$B:$B,0))</f>
        <v>20422.496654999999</v>
      </c>
      <c r="I17" s="10">
        <f>INDEX([1]ratio_ins!G:G,MATCH('001_population_health_zone_zs'!$B$2,[1]ratio_ins!$B:$B,0))*$G17*INDEX([1]ratio_ins!$C:$C,MATCH('001_population_health_zone_zs'!$B17,[1]ratio_ins!$B:$B,0))</f>
        <v>16709.315445</v>
      </c>
      <c r="J17" s="10">
        <f>INDEX([1]ratio_ins!H:H,MATCH('001_population_health_zone_zs'!$B$2,[1]ratio_ins!$B:$B,0))*$G17*INDEX([1]ratio_ins!$C:$C,MATCH('001_population_health_zone_zs'!$B17,[1]ratio_ins!$B:$B,0))</f>
        <v>13191.564825000001</v>
      </c>
      <c r="K17" s="10">
        <f>INDEX([1]ratio_ins!I:I,MATCH('001_population_health_zone_zs'!$B$2,[1]ratio_ins!$B:$B,0))*$G17*INDEX([1]ratio_ins!$C:$C,MATCH('001_population_health_zone_zs'!$B17,[1]ratio_ins!$B:$B,0))</f>
        <v>8110.3694850000002</v>
      </c>
      <c r="L17" s="10">
        <f>INDEX([1]ratio_ins!J:J,MATCH('001_population_health_zone_zs'!$B$2,[1]ratio_ins!$B:$B,0))*$G17*INDEX([1]ratio_ins!$C:$C,MATCH('001_population_health_zone_zs'!$B17,[1]ratio_ins!$B:$B,0))</f>
        <v>4866.2216909999997</v>
      </c>
      <c r="M17" s="11">
        <f>INDEX([1]ratio_ins!K:K,MATCH('001_population_health_zone_zs'!$B$2,[1]ratio_ins!$B:$B,0))*$G17*INDEX([1]ratio_ins!$C:$C,MATCH('001_population_health_zone_zs'!$B17,[1]ratio_ins!$B:$B,0))</f>
        <v>55189.598615999996</v>
      </c>
      <c r="N17" s="10">
        <f>INDEX([1]ratio_ins!L:L,MATCH('001_population_health_zone_zs'!$B$2,[1]ratio_ins!$B:$B,0))*$G17*INDEX([1]ratio_ins!$C:$C,MATCH('001_population_health_zone_zs'!$B17,[1]ratio_ins!$B:$B,0))</f>
        <v>3244.147794</v>
      </c>
      <c r="O17" s="10">
        <f>INDEX([1]ratio_ins!M:M,MATCH('001_population_health_zone_zs'!$B$2,[1]ratio_ins!$B:$B,0))*$G17*INDEX([1]ratio_ins!$C:$C,MATCH('001_population_health_zone_zs'!$B17,[1]ratio_ins!$B:$B,0))</f>
        <v>7035.5012400000005</v>
      </c>
      <c r="P17" s="10">
        <f>INDEX([1]ratio_ins!N:N,MATCH('001_population_health_zone_zs'!$B$2,[1]ratio_ins!$B:$B,0))*$G17*INDEX([1]ratio_ins!$C:$C,MATCH('001_population_health_zone_zs'!$B17,[1]ratio_ins!$B:$B,0))</f>
        <v>6351.4941749999998</v>
      </c>
      <c r="Q17" s="10">
        <f>INDEX([1]ratio_ins!O:O,MATCH('001_population_health_zone_zs'!$B$2,[1]ratio_ins!$B:$B,0))*$G17*INDEX([1]ratio_ins!$C:$C,MATCH('001_population_health_zone_zs'!$B17,[1]ratio_ins!$B:$B,0))</f>
        <v>5667.4871099999991</v>
      </c>
      <c r="R17" s="10">
        <f>INDEX([1]ratio_ins!P:P,MATCH('001_population_health_zone_zs'!$B$2,[1]ratio_ins!$B:$B,0))*$G17*INDEX([1]ratio_ins!$C:$C,MATCH('001_population_health_zone_zs'!$B17,[1]ratio_ins!$B:$B,0))</f>
        <v>5569.7718150000001</v>
      </c>
      <c r="S17" s="10">
        <f>INDEX([1]ratio_ins!Q:Q,MATCH('001_population_health_zone_zs'!$B$2,[1]ratio_ins!$B:$B,0))*$G17*INDEX([1]ratio_ins!$C:$C,MATCH('001_population_health_zone_zs'!$B17,[1]ratio_ins!$B:$B,0))</f>
        <v>4690.3341599999994</v>
      </c>
      <c r="T17" s="10">
        <f>INDEX([1]ratio_ins!R:R,MATCH('001_population_health_zone_zs'!$B$2,[1]ratio_ins!$B:$B,0))*$G17*INDEX([1]ratio_ins!$C:$C,MATCH('001_population_health_zone_zs'!$B17,[1]ratio_ins!$B:$B,0))</f>
        <v>3322.3200300000003</v>
      </c>
      <c r="U17" s="10">
        <f>INDEX([1]ratio_ins!S:S,MATCH('001_population_health_zone_zs'!$B$2,[1]ratio_ins!$B:$B,0))*$G17*INDEX([1]ratio_ins!$C:$C,MATCH('001_population_health_zone_zs'!$B17,[1]ratio_ins!$B:$B,0))</f>
        <v>2638.3129650000005</v>
      </c>
      <c r="V17" s="10">
        <f>INDEX([1]ratio_ins!T:T,MATCH('001_population_health_zone_zs'!$B$2,[1]ratio_ins!$B:$B,0))*$G17*INDEX([1]ratio_ins!$C:$C,MATCH('001_population_health_zone_zs'!$B17,[1]ratio_ins!$B:$B,0))</f>
        <v>1465.729425</v>
      </c>
      <c r="W17" s="11">
        <f>INDEX([1]ratio_ins!U:U,MATCH('001_population_health_zone_zs'!$B$2,[1]ratio_ins!$B:$B,0))*$G17*INDEX([1]ratio_ins!$C:$C,MATCH('001_population_health_zone_zs'!$B17,[1]ratio_ins!$B:$B,0))</f>
        <v>39985.098714</v>
      </c>
      <c r="X17" s="10">
        <f>INDEX([1]ratio_ins!V:V,MATCH('001_population_health_zone_zs'!$B$2,[1]ratio_ins!$B:$B,0))*$G17*INDEX([1]ratio_ins!$C:$C,MATCH('001_population_health_zone_zs'!$B17,[1]ratio_ins!$B:$B,0))</f>
        <v>1172.5835399999999</v>
      </c>
      <c r="Y17" s="10">
        <f>INDEX([1]ratio_ins!W:W,MATCH('001_population_health_zone_zs'!$B$2,[1]ratio_ins!$B:$B,0))*$G17*INDEX([1]ratio_ins!$C:$C,MATCH('001_population_health_zone_zs'!$B17,[1]ratio_ins!$B:$B,0))</f>
        <v>781.72236000000009</v>
      </c>
      <c r="Z17" s="10">
        <f>INDEX([1]ratio_ins!X:X,MATCH('001_population_health_zone_zs'!$B$2,[1]ratio_ins!$B:$B,0))*$G17*INDEX([1]ratio_ins!$C:$C,MATCH('001_population_health_zone_zs'!$B17,[1]ratio_ins!$B:$B,0))</f>
        <v>390.86118000000005</v>
      </c>
      <c r="AA17" s="10">
        <f>INDEX([1]ratio_ins!Y:Y,MATCH('001_population_health_zone_zs'!$B$2,[1]ratio_ins!$B:$B,0))*$G17*INDEX([1]ratio_ins!$C:$C,MATCH('001_population_health_zone_zs'!$B17,[1]ratio_ins!$B:$B,0))</f>
        <v>195.43059000000002</v>
      </c>
      <c r="AB17" s="11">
        <f>INDEX([1]ratio_ins!Z:Z,MATCH('001_population_health_zone_zs'!$B$2,[1]ratio_ins!$B:$B,0))*$G17*INDEX([1]ratio_ins!$C:$C,MATCH('001_population_health_zone_zs'!$B17,[1]ratio_ins!$B:$B,0))</f>
        <v>2540.5976700000001</v>
      </c>
      <c r="AC17" s="12">
        <f t="shared" si="0"/>
        <v>97715.294999999998</v>
      </c>
      <c r="AD17" s="10">
        <f>INDEX([1]ratio_ins!AA:AA,MATCH('001_population_health_zone_zs'!$B$2,[1]ratio_ins!$B:$B,0))*$G17*INDEX([1]ratio_ins!$D:$D,MATCH('001_population_health_zone_zs'!$B17,[1]ratio_ins!$B:$B,0))</f>
        <v>20275.438050000004</v>
      </c>
      <c r="AE17" s="10">
        <f>INDEX([1]ratio_ins!AB:AB,MATCH('001_population_health_zone_zs'!$B$2,[1]ratio_ins!$B:$B,0))*$G17*INDEX([1]ratio_ins!$D:$D,MATCH('001_population_health_zone_zs'!$B17,[1]ratio_ins!$B:$B,0))</f>
        <v>16703.098965000001</v>
      </c>
      <c r="AF17" s="10">
        <f>INDEX([1]ratio_ins!AC:AC,MATCH('001_population_health_zone_zs'!$B$2,[1]ratio_ins!$B:$B,0))*$G17*INDEX([1]ratio_ins!$D:$D,MATCH('001_population_health_zone_zs'!$B17,[1]ratio_ins!$B:$B,0))</f>
        <v>13227.309584999999</v>
      </c>
      <c r="AG17" s="10">
        <f>INDEX([1]ratio_ins!AD:AD,MATCH('001_population_health_zone_zs'!$B$2,[1]ratio_ins!$B:$B,0))*$G17*INDEX([1]ratio_ins!$D:$D,MATCH('001_population_health_zone_zs'!$B17,[1]ratio_ins!$B:$B,0))</f>
        <v>8013.6255150000015</v>
      </c>
      <c r="AH17" s="10">
        <f>INDEX([1]ratio_ins!AE:AE,MATCH('001_population_health_zone_zs'!$B$2,[1]ratio_ins!$B:$B,0))*$G17*INDEX([1]ratio_ins!$D:$D,MATCH('001_population_health_zone_zs'!$B17,[1]ratio_ins!$B:$B,0))</f>
        <v>4808.1753090000002</v>
      </c>
      <c r="AI17" s="13">
        <f>INDEX([1]ratio_ins!AF:AF,MATCH('001_population_health_zone_zs'!$B$2,[1]ratio_ins!$B:$B,0))*$G17*INDEX([1]ratio_ins!$D:$D,MATCH('001_population_health_zone_zs'!$B17,[1]ratio_ins!$B:$B,0))</f>
        <v>55014.021909000003</v>
      </c>
      <c r="AJ17" s="10">
        <f>INDEX([1]ratio_ins!AG:AG,MATCH('001_population_health_zone_zs'!$B$2,[1]ratio_ins!$B:$B,0))*$G17*INDEX([1]ratio_ins!$D:$D,MATCH('001_population_health_zone_zs'!$B17,[1]ratio_ins!$B:$B,0))</f>
        <v>3205.4502060000004</v>
      </c>
      <c r="AK17" s="10">
        <f>INDEX([1]ratio_ins!AH:AH,MATCH('001_population_health_zone_zs'!$B$2,[1]ratio_ins!$B:$B,0))*$G17*INDEX([1]ratio_ins!$D:$D,MATCH('001_population_health_zone_zs'!$B17,[1]ratio_ins!$B:$B,0))</f>
        <v>7144.678170000002</v>
      </c>
      <c r="AL17" s="10">
        <f>INDEX([1]ratio_ins!AI:AI,MATCH('001_population_health_zone_zs'!$B$2,[1]ratio_ins!$B:$B,0))*$G17*INDEX([1]ratio_ins!$D:$D,MATCH('001_population_health_zone_zs'!$B17,[1]ratio_ins!$B:$B,0))</f>
        <v>6758.4793500000014</v>
      </c>
      <c r="AM17" s="10">
        <f>INDEX([1]ratio_ins!AJ:AJ,MATCH('001_population_health_zone_zs'!$B$2,[1]ratio_ins!$B:$B,0))*$G17*INDEX([1]ratio_ins!$D:$D,MATCH('001_population_health_zone_zs'!$B17,[1]ratio_ins!$B:$B,0))</f>
        <v>6179.1811200000011</v>
      </c>
      <c r="AN17" s="10">
        <f>INDEX([1]ratio_ins!AK:AK,MATCH('001_population_health_zone_zs'!$B$2,[1]ratio_ins!$B:$B,0))*$G17*INDEX([1]ratio_ins!$D:$D,MATCH('001_population_health_zone_zs'!$B17,[1]ratio_ins!$B:$B,0))</f>
        <v>5792.9823000000006</v>
      </c>
      <c r="AO17" s="10">
        <f>INDEX([1]ratio_ins!AL:AL,MATCH('001_population_health_zone_zs'!$B$2,[1]ratio_ins!$B:$B,0))*$G17*INDEX([1]ratio_ins!$D:$D,MATCH('001_population_health_zone_zs'!$B17,[1]ratio_ins!$B:$B,0))</f>
        <v>4344.7367249999998</v>
      </c>
      <c r="AP17" s="10">
        <f>INDEX([1]ratio_ins!AM:AM,MATCH('001_population_health_zone_zs'!$B$2,[1]ratio_ins!$B:$B,0))*$G17*INDEX([1]ratio_ins!$D:$D,MATCH('001_population_health_zone_zs'!$B17,[1]ratio_ins!$B:$B,0))</f>
        <v>2799.9414449999999</v>
      </c>
      <c r="AQ17" s="10">
        <f>INDEX([1]ratio_ins!AN:AN,MATCH('001_population_health_zone_zs'!$B$2,[1]ratio_ins!$B:$B,0))*$G17*INDEX([1]ratio_ins!$D:$D,MATCH('001_population_health_zone_zs'!$B17,[1]ratio_ins!$B:$B,0))</f>
        <v>2220.6432150000005</v>
      </c>
      <c r="AR17" s="10">
        <f>INDEX([1]ratio_ins!AO:AO,MATCH('001_population_health_zone_zs'!$B$2,[1]ratio_ins!$B:$B,0))*$G17*INDEX([1]ratio_ins!$D:$D,MATCH('001_population_health_zone_zs'!$B17,[1]ratio_ins!$B:$B,0))</f>
        <v>1062.0467550000003</v>
      </c>
      <c r="AS17" s="13">
        <f>INDEX([1]ratio_ins!AP:AP,MATCH('001_population_health_zone_zs'!$B$2,[1]ratio_ins!$B:$B,0))*$G17*INDEX([1]ratio_ins!$D:$D,MATCH('001_population_health_zone_zs'!$B17,[1]ratio_ins!$B:$B,0))</f>
        <v>39508.139286000005</v>
      </c>
      <c r="AT17" s="10">
        <f>INDEX([1]ratio_ins!AQ:AQ,MATCH('001_population_health_zone_zs'!$B$2,[1]ratio_ins!$B:$B,0))*$G17*INDEX([1]ratio_ins!$D:$D,MATCH('001_population_health_zone_zs'!$B17,[1]ratio_ins!$B:$B,0))</f>
        <v>965.49705000000017</v>
      </c>
      <c r="AU17" s="10">
        <f>INDEX([1]ratio_ins!AR:AR,MATCH('001_population_health_zone_zs'!$B$2,[1]ratio_ins!$B:$B,0))*$G17*INDEX([1]ratio_ins!$D:$D,MATCH('001_population_health_zone_zs'!$B17,[1]ratio_ins!$B:$B,0))</f>
        <v>579.29822999999999</v>
      </c>
      <c r="AV17" s="10">
        <f>INDEX([1]ratio_ins!AS:AS,MATCH('001_population_health_zone_zs'!$B$2,[1]ratio_ins!$B:$B,0))*$G17*INDEX([1]ratio_ins!$D:$D,MATCH('001_population_health_zone_zs'!$B17,[1]ratio_ins!$B:$B,0))</f>
        <v>289.64911499999999</v>
      </c>
      <c r="AW17" s="10">
        <f>INDEX([1]ratio_ins!AT:AT,MATCH('001_population_health_zone_zs'!$B$2,[1]ratio_ins!$B:$B,0))*$G17*INDEX([1]ratio_ins!$D:$D,MATCH('001_population_health_zone_zs'!$B17,[1]ratio_ins!$B:$B,0))</f>
        <v>193.09941000000003</v>
      </c>
      <c r="AX17" s="13">
        <f>INDEX([1]ratio_ins!AU:AU,MATCH('001_population_health_zone_zs'!$B$2,[1]ratio_ins!$B:$B,0))*$G17*INDEX([1]ratio_ins!$D:$D,MATCH('001_population_health_zone_zs'!$B17,[1]ratio_ins!$B:$B,0))</f>
        <v>2027.543805</v>
      </c>
      <c r="AY17" s="14">
        <f t="shared" si="1"/>
        <v>96549.705000000002</v>
      </c>
      <c r="AZ17" s="15">
        <f t="shared" si="2"/>
        <v>194265</v>
      </c>
      <c r="BA17" s="16">
        <v>192017.26163639466</v>
      </c>
      <c r="BB17" s="10">
        <f t="shared" si="3"/>
        <v>41033.624625000004</v>
      </c>
      <c r="BC17" s="17">
        <f t="shared" si="4"/>
        <v>0.21122500000000002</v>
      </c>
      <c r="BD17" s="10">
        <f t="shared" si="5"/>
        <v>40747.278015000004</v>
      </c>
    </row>
    <row r="18" spans="1:56" x14ac:dyDescent="0.25">
      <c r="A18" s="8" t="s">
        <v>10</v>
      </c>
      <c r="B18" s="8" t="s">
        <v>11</v>
      </c>
      <c r="C18" s="8" t="s">
        <v>10</v>
      </c>
      <c r="D18" s="8" t="s">
        <v>12</v>
      </c>
      <c r="E18" s="8" t="s">
        <v>44</v>
      </c>
      <c r="F18" s="8" t="s">
        <v>45</v>
      </c>
      <c r="G18" s="9">
        <v>803841</v>
      </c>
      <c r="H18" s="10">
        <f>INDEX([1]ratio_ins!F:F,MATCH('001_population_health_zone_zs'!$B$2,[1]ratio_ins!$B:$B,0))*$G18*INDEX([1]ratio_ins!$C:$C,MATCH('001_population_health_zone_zs'!$B18,[1]ratio_ins!$B:$B,0))</f>
        <v>84505.392806999997</v>
      </c>
      <c r="I18" s="10">
        <f>INDEX([1]ratio_ins!G:G,MATCH('001_population_health_zone_zs'!$B$2,[1]ratio_ins!$B:$B,0))*$G18*INDEX([1]ratio_ins!$C:$C,MATCH('001_population_health_zone_zs'!$B18,[1]ratio_ins!$B:$B,0))</f>
        <v>69140.775933000012</v>
      </c>
      <c r="J18" s="10">
        <f>INDEX([1]ratio_ins!H:H,MATCH('001_population_health_zone_zs'!$B$2,[1]ratio_ins!$B:$B,0))*$G18*INDEX([1]ratio_ins!$C:$C,MATCH('001_population_health_zone_zs'!$B18,[1]ratio_ins!$B:$B,0))</f>
        <v>54584.823105000003</v>
      </c>
      <c r="K18" s="10">
        <f>INDEX([1]ratio_ins!I:I,MATCH('001_population_health_zone_zs'!$B$2,[1]ratio_ins!$B:$B,0))*$G18*INDEX([1]ratio_ins!$C:$C,MATCH('001_population_health_zone_zs'!$B18,[1]ratio_ins!$B:$B,0))</f>
        <v>33559.557909000003</v>
      </c>
      <c r="L18" s="10">
        <f>INDEX([1]ratio_ins!J:J,MATCH('001_population_health_zone_zs'!$B$2,[1]ratio_ins!$B:$B,0))*$G18*INDEX([1]ratio_ins!$C:$C,MATCH('001_population_health_zone_zs'!$B18,[1]ratio_ins!$B:$B,0))</f>
        <v>20135.734745399997</v>
      </c>
      <c r="M18" s="11">
        <f>INDEX([1]ratio_ins!K:K,MATCH('001_population_health_zone_zs'!$B$2,[1]ratio_ins!$B:$B,0))*$G18*INDEX([1]ratio_ins!$C:$C,MATCH('001_population_health_zone_zs'!$B18,[1]ratio_ins!$B:$B,0))</f>
        <v>228366.72659040001</v>
      </c>
      <c r="N18" s="10">
        <f>INDEX([1]ratio_ins!L:L,MATCH('001_population_health_zone_zs'!$B$2,[1]ratio_ins!$B:$B,0))*$G18*INDEX([1]ratio_ins!$C:$C,MATCH('001_population_health_zone_zs'!$B18,[1]ratio_ins!$B:$B,0))</f>
        <v>13423.8231636</v>
      </c>
      <c r="O18" s="10">
        <f>INDEX([1]ratio_ins!M:M,MATCH('001_population_health_zone_zs'!$B$2,[1]ratio_ins!$B:$B,0))*$G18*INDEX([1]ratio_ins!$C:$C,MATCH('001_population_health_zone_zs'!$B18,[1]ratio_ins!$B:$B,0))</f>
        <v>29111.905656000003</v>
      </c>
      <c r="P18" s="10">
        <f>INDEX([1]ratio_ins!N:N,MATCH('001_population_health_zone_zs'!$B$2,[1]ratio_ins!$B:$B,0))*$G18*INDEX([1]ratio_ins!$C:$C,MATCH('001_population_health_zone_zs'!$B18,[1]ratio_ins!$B:$B,0))</f>
        <v>26281.581495000002</v>
      </c>
      <c r="Q18" s="10">
        <f>INDEX([1]ratio_ins!O:O,MATCH('001_population_health_zone_zs'!$B$2,[1]ratio_ins!$B:$B,0))*$G18*INDEX([1]ratio_ins!$C:$C,MATCH('001_population_health_zone_zs'!$B18,[1]ratio_ins!$B:$B,0))</f>
        <v>23451.257333999998</v>
      </c>
      <c r="R18" s="10">
        <f>INDEX([1]ratio_ins!P:P,MATCH('001_population_health_zone_zs'!$B$2,[1]ratio_ins!$B:$B,0))*$G18*INDEX([1]ratio_ins!$C:$C,MATCH('001_population_health_zone_zs'!$B18,[1]ratio_ins!$B:$B,0))</f>
        <v>23046.925310999999</v>
      </c>
      <c r="S18" s="10">
        <f>INDEX([1]ratio_ins!Q:Q,MATCH('001_population_health_zone_zs'!$B$2,[1]ratio_ins!$B:$B,0))*$G18*INDEX([1]ratio_ins!$C:$C,MATCH('001_population_health_zone_zs'!$B18,[1]ratio_ins!$B:$B,0))</f>
        <v>19407.937104000001</v>
      </c>
      <c r="T18" s="10">
        <f>INDEX([1]ratio_ins!R:R,MATCH('001_population_health_zone_zs'!$B$2,[1]ratio_ins!$B:$B,0))*$G18*INDEX([1]ratio_ins!$C:$C,MATCH('001_population_health_zone_zs'!$B18,[1]ratio_ins!$B:$B,0))</f>
        <v>13747.288782000001</v>
      </c>
      <c r="U18" s="10">
        <f>INDEX([1]ratio_ins!S:S,MATCH('001_population_health_zone_zs'!$B$2,[1]ratio_ins!$B:$B,0))*$G18*INDEX([1]ratio_ins!$C:$C,MATCH('001_population_health_zone_zs'!$B18,[1]ratio_ins!$B:$B,0))</f>
        <v>10916.964621000001</v>
      </c>
      <c r="V18" s="10">
        <f>INDEX([1]ratio_ins!T:T,MATCH('001_population_health_zone_zs'!$B$2,[1]ratio_ins!$B:$B,0))*$G18*INDEX([1]ratio_ins!$C:$C,MATCH('001_population_health_zone_zs'!$B18,[1]ratio_ins!$B:$B,0))</f>
        <v>6064.9803449999999</v>
      </c>
      <c r="W18" s="11">
        <f>INDEX([1]ratio_ins!U:U,MATCH('001_population_health_zone_zs'!$B$2,[1]ratio_ins!$B:$B,0))*$G18*INDEX([1]ratio_ins!$C:$C,MATCH('001_population_health_zone_zs'!$B18,[1]ratio_ins!$B:$B,0))</f>
        <v>165452.66381160001</v>
      </c>
      <c r="X18" s="10">
        <f>INDEX([1]ratio_ins!V:V,MATCH('001_population_health_zone_zs'!$B$2,[1]ratio_ins!$B:$B,0))*$G18*INDEX([1]ratio_ins!$C:$C,MATCH('001_population_health_zone_zs'!$B18,[1]ratio_ins!$B:$B,0))</f>
        <v>4851.9842760000001</v>
      </c>
      <c r="Y18" s="10">
        <f>INDEX([1]ratio_ins!W:W,MATCH('001_population_health_zone_zs'!$B$2,[1]ratio_ins!$B:$B,0))*$G18*INDEX([1]ratio_ins!$C:$C,MATCH('001_population_health_zone_zs'!$B18,[1]ratio_ins!$B:$B,0))</f>
        <v>3234.6561839999999</v>
      </c>
      <c r="Z18" s="10">
        <f>INDEX([1]ratio_ins!X:X,MATCH('001_population_health_zone_zs'!$B$2,[1]ratio_ins!$B:$B,0))*$G18*INDEX([1]ratio_ins!$C:$C,MATCH('001_population_health_zone_zs'!$B18,[1]ratio_ins!$B:$B,0))</f>
        <v>1617.328092</v>
      </c>
      <c r="AA18" s="10">
        <f>INDEX([1]ratio_ins!Y:Y,MATCH('001_population_health_zone_zs'!$B$2,[1]ratio_ins!$B:$B,0))*$G18*INDEX([1]ratio_ins!$C:$C,MATCH('001_population_health_zone_zs'!$B18,[1]ratio_ins!$B:$B,0))</f>
        <v>808.66404599999998</v>
      </c>
      <c r="AB18" s="11">
        <f>INDEX([1]ratio_ins!Z:Z,MATCH('001_population_health_zone_zs'!$B$2,[1]ratio_ins!$B:$B,0))*$G18*INDEX([1]ratio_ins!$C:$C,MATCH('001_population_health_zone_zs'!$B18,[1]ratio_ins!$B:$B,0))</f>
        <v>10512.632598</v>
      </c>
      <c r="AC18" s="12">
        <f t="shared" si="0"/>
        <v>404332.02300000004</v>
      </c>
      <c r="AD18" s="10">
        <f>INDEX([1]ratio_ins!AA:AA,MATCH('001_population_health_zone_zs'!$B$2,[1]ratio_ins!$B:$B,0))*$G18*INDEX([1]ratio_ins!$D:$D,MATCH('001_population_health_zone_zs'!$B18,[1]ratio_ins!$B:$B,0))</f>
        <v>83896.885170000009</v>
      </c>
      <c r="AE18" s="10">
        <f>INDEX([1]ratio_ins!AB:AB,MATCH('001_population_health_zone_zs'!$B$2,[1]ratio_ins!$B:$B,0))*$G18*INDEX([1]ratio_ins!$D:$D,MATCH('001_population_health_zone_zs'!$B18,[1]ratio_ins!$B:$B,0))</f>
        <v>69115.053021000014</v>
      </c>
      <c r="AF18" s="10">
        <f>INDEX([1]ratio_ins!AC:AC,MATCH('001_population_health_zone_zs'!$B$2,[1]ratio_ins!$B:$B,0))*$G18*INDEX([1]ratio_ins!$D:$D,MATCH('001_population_health_zone_zs'!$B18,[1]ratio_ins!$B:$B,0))</f>
        <v>54732.729849000003</v>
      </c>
      <c r="AG18" s="10">
        <f>INDEX([1]ratio_ins!AD:AD,MATCH('001_population_health_zone_zs'!$B$2,[1]ratio_ins!$B:$B,0))*$G18*INDEX([1]ratio_ins!$D:$D,MATCH('001_population_health_zone_zs'!$B18,[1]ratio_ins!$B:$B,0))</f>
        <v>33159.245091000004</v>
      </c>
      <c r="AH18" s="10">
        <f>INDEX([1]ratio_ins!AE:AE,MATCH('001_population_health_zone_zs'!$B$2,[1]ratio_ins!$B:$B,0))*$G18*INDEX([1]ratio_ins!$D:$D,MATCH('001_population_health_zone_zs'!$B18,[1]ratio_ins!$B:$B,0))</f>
        <v>19895.5470546</v>
      </c>
      <c r="AI18" s="13">
        <f>INDEX([1]ratio_ins!AF:AF,MATCH('001_population_health_zone_zs'!$B$2,[1]ratio_ins!$B:$B,0))*$G18*INDEX([1]ratio_ins!$D:$D,MATCH('001_population_health_zone_zs'!$B18,[1]ratio_ins!$B:$B,0))</f>
        <v>227640.21509460002</v>
      </c>
      <c r="AJ18" s="10">
        <f>INDEX([1]ratio_ins!AG:AG,MATCH('001_population_health_zone_zs'!$B$2,[1]ratio_ins!$B:$B,0))*$G18*INDEX([1]ratio_ins!$D:$D,MATCH('001_population_health_zone_zs'!$B18,[1]ratio_ins!$B:$B,0))</f>
        <v>13263.698036400001</v>
      </c>
      <c r="AK18" s="10">
        <f>INDEX([1]ratio_ins!AH:AH,MATCH('001_population_health_zone_zs'!$B$2,[1]ratio_ins!$B:$B,0))*$G18*INDEX([1]ratio_ins!$D:$D,MATCH('001_population_health_zone_zs'!$B18,[1]ratio_ins!$B:$B,0))</f>
        <v>29563.664298000007</v>
      </c>
      <c r="AL18" s="10">
        <f>INDEX([1]ratio_ins!AI:AI,MATCH('001_population_health_zone_zs'!$B$2,[1]ratio_ins!$B:$B,0))*$G18*INDEX([1]ratio_ins!$D:$D,MATCH('001_population_health_zone_zs'!$B18,[1]ratio_ins!$B:$B,0))</f>
        <v>27965.628390000005</v>
      </c>
      <c r="AM18" s="10">
        <f>INDEX([1]ratio_ins!AJ:AJ,MATCH('001_population_health_zone_zs'!$B$2,[1]ratio_ins!$B:$B,0))*$G18*INDEX([1]ratio_ins!$D:$D,MATCH('001_population_health_zone_zs'!$B18,[1]ratio_ins!$B:$B,0))</f>
        <v>25568.574528000005</v>
      </c>
      <c r="AN18" s="10">
        <f>INDEX([1]ratio_ins!AK:AK,MATCH('001_population_health_zone_zs'!$B$2,[1]ratio_ins!$B:$B,0))*$G18*INDEX([1]ratio_ins!$D:$D,MATCH('001_population_health_zone_zs'!$B18,[1]ratio_ins!$B:$B,0))</f>
        <v>23970.538620000003</v>
      </c>
      <c r="AO18" s="10">
        <f>INDEX([1]ratio_ins!AL:AL,MATCH('001_population_health_zone_zs'!$B$2,[1]ratio_ins!$B:$B,0))*$G18*INDEX([1]ratio_ins!$D:$D,MATCH('001_population_health_zone_zs'!$B18,[1]ratio_ins!$B:$B,0))</f>
        <v>17977.903965000001</v>
      </c>
      <c r="AP18" s="10">
        <f>INDEX([1]ratio_ins!AM:AM,MATCH('001_population_health_zone_zs'!$B$2,[1]ratio_ins!$B:$B,0))*$G18*INDEX([1]ratio_ins!$D:$D,MATCH('001_population_health_zone_zs'!$B18,[1]ratio_ins!$B:$B,0))</f>
        <v>11585.760333</v>
      </c>
      <c r="AQ18" s="10">
        <f>INDEX([1]ratio_ins!AN:AN,MATCH('001_population_health_zone_zs'!$B$2,[1]ratio_ins!$B:$B,0))*$G18*INDEX([1]ratio_ins!$D:$D,MATCH('001_population_health_zone_zs'!$B18,[1]ratio_ins!$B:$B,0))</f>
        <v>9188.7064710000013</v>
      </c>
      <c r="AR18" s="10">
        <f>INDEX([1]ratio_ins!AO:AO,MATCH('001_population_health_zone_zs'!$B$2,[1]ratio_ins!$B:$B,0))*$G18*INDEX([1]ratio_ins!$D:$D,MATCH('001_population_health_zone_zs'!$B18,[1]ratio_ins!$B:$B,0))</f>
        <v>4394.5987470000009</v>
      </c>
      <c r="AS18" s="13">
        <f>INDEX([1]ratio_ins!AP:AP,MATCH('001_population_health_zone_zs'!$B$2,[1]ratio_ins!$B:$B,0))*$G18*INDEX([1]ratio_ins!$D:$D,MATCH('001_population_health_zone_zs'!$B18,[1]ratio_ins!$B:$B,0))</f>
        <v>163479.07338840002</v>
      </c>
      <c r="AT18" s="10">
        <f>INDEX([1]ratio_ins!AQ:AQ,MATCH('001_population_health_zone_zs'!$B$2,[1]ratio_ins!$B:$B,0))*$G18*INDEX([1]ratio_ins!$D:$D,MATCH('001_population_health_zone_zs'!$B18,[1]ratio_ins!$B:$B,0))</f>
        <v>3995.0897700000005</v>
      </c>
      <c r="AU18" s="10">
        <f>INDEX([1]ratio_ins!AR:AR,MATCH('001_population_health_zone_zs'!$B$2,[1]ratio_ins!$B:$B,0))*$G18*INDEX([1]ratio_ins!$D:$D,MATCH('001_population_health_zone_zs'!$B18,[1]ratio_ins!$B:$B,0))</f>
        <v>2397.0538620000002</v>
      </c>
      <c r="AV18" s="10">
        <f>INDEX([1]ratio_ins!AS:AS,MATCH('001_population_health_zone_zs'!$B$2,[1]ratio_ins!$B:$B,0))*$G18*INDEX([1]ratio_ins!$D:$D,MATCH('001_population_health_zone_zs'!$B18,[1]ratio_ins!$B:$B,0))</f>
        <v>1198.5269310000001</v>
      </c>
      <c r="AW18" s="10">
        <f>INDEX([1]ratio_ins!AT:AT,MATCH('001_population_health_zone_zs'!$B$2,[1]ratio_ins!$B:$B,0))*$G18*INDEX([1]ratio_ins!$D:$D,MATCH('001_population_health_zone_zs'!$B18,[1]ratio_ins!$B:$B,0))</f>
        <v>799.01795400000015</v>
      </c>
      <c r="AX18" s="13">
        <f>INDEX([1]ratio_ins!AU:AU,MATCH('001_population_health_zone_zs'!$B$2,[1]ratio_ins!$B:$B,0))*$G18*INDEX([1]ratio_ins!$D:$D,MATCH('001_population_health_zone_zs'!$B18,[1]ratio_ins!$B:$B,0))</f>
        <v>8389.6885170000005</v>
      </c>
      <c r="AY18" s="14">
        <f t="shared" si="1"/>
        <v>399508.97700000001</v>
      </c>
      <c r="AZ18" s="15">
        <f t="shared" si="2"/>
        <v>803841</v>
      </c>
      <c r="BA18" s="16">
        <v>794541.38646188285</v>
      </c>
      <c r="BB18" s="10">
        <f t="shared" si="3"/>
        <v>169791.31522500003</v>
      </c>
      <c r="BC18" s="17">
        <f t="shared" si="4"/>
        <v>0.21122500000000002</v>
      </c>
      <c r="BD18" s="10">
        <f t="shared" si="5"/>
        <v>168606.453591</v>
      </c>
    </row>
    <row r="19" spans="1:56" x14ac:dyDescent="0.25">
      <c r="A19" s="8" t="s">
        <v>10</v>
      </c>
      <c r="B19" s="8" t="s">
        <v>11</v>
      </c>
      <c r="C19" s="8" t="s">
        <v>10</v>
      </c>
      <c r="D19" s="8" t="s">
        <v>12</v>
      </c>
      <c r="E19" s="8" t="s">
        <v>46</v>
      </c>
      <c r="F19" s="8" t="s">
        <v>47</v>
      </c>
      <c r="G19" s="9">
        <v>497548</v>
      </c>
      <c r="H19" s="10">
        <f>INDEX([1]ratio_ins!F:F,MATCH('001_population_health_zone_zs'!$B$2,[1]ratio_ins!$B:$B,0))*$G19*INDEX([1]ratio_ins!$C:$C,MATCH('001_population_health_zone_zs'!$B19,[1]ratio_ins!$B:$B,0))</f>
        <v>52305.728595999994</v>
      </c>
      <c r="I19" s="10">
        <f>INDEX([1]ratio_ins!G:G,MATCH('001_population_health_zone_zs'!$B$2,[1]ratio_ins!$B:$B,0))*$G19*INDEX([1]ratio_ins!$C:$C,MATCH('001_population_health_zone_zs'!$B19,[1]ratio_ins!$B:$B,0))</f>
        <v>42795.596124000003</v>
      </c>
      <c r="J19" s="10">
        <f>INDEX([1]ratio_ins!H:H,MATCH('001_population_health_zone_zs'!$B$2,[1]ratio_ins!$B:$B,0))*$G19*INDEX([1]ratio_ins!$C:$C,MATCH('001_population_health_zone_zs'!$B19,[1]ratio_ins!$B:$B,0))</f>
        <v>33785.996940000005</v>
      </c>
      <c r="K19" s="10">
        <f>INDEX([1]ratio_ins!I:I,MATCH('001_population_health_zone_zs'!$B$2,[1]ratio_ins!$B:$B,0))*$G19*INDEX([1]ratio_ins!$C:$C,MATCH('001_population_health_zone_zs'!$B19,[1]ratio_ins!$B:$B,0))</f>
        <v>20772.131452000001</v>
      </c>
      <c r="L19" s="10">
        <f>INDEX([1]ratio_ins!J:J,MATCH('001_population_health_zone_zs'!$B$2,[1]ratio_ins!$B:$B,0))*$G19*INDEX([1]ratio_ins!$C:$C,MATCH('001_population_health_zone_zs'!$B19,[1]ratio_ins!$B:$B,0))</f>
        <v>12463.2788712</v>
      </c>
      <c r="M19" s="11">
        <f>INDEX([1]ratio_ins!K:K,MATCH('001_population_health_zone_zs'!$B$2,[1]ratio_ins!$B:$B,0))*$G19*INDEX([1]ratio_ins!$C:$C,MATCH('001_population_health_zone_zs'!$B19,[1]ratio_ins!$B:$B,0))</f>
        <v>141350.60053120001</v>
      </c>
      <c r="N19" s="10">
        <f>INDEX([1]ratio_ins!L:L,MATCH('001_population_health_zone_zs'!$B$2,[1]ratio_ins!$B:$B,0))*$G19*INDEX([1]ratio_ins!$C:$C,MATCH('001_population_health_zone_zs'!$B19,[1]ratio_ins!$B:$B,0))</f>
        <v>8308.8525807999995</v>
      </c>
      <c r="O19" s="10">
        <f>INDEX([1]ratio_ins!M:M,MATCH('001_population_health_zone_zs'!$B$2,[1]ratio_ins!$B:$B,0))*$G19*INDEX([1]ratio_ins!$C:$C,MATCH('001_population_health_zone_zs'!$B19,[1]ratio_ins!$B:$B,0))</f>
        <v>18019.198368000001</v>
      </c>
      <c r="P19" s="10">
        <f>INDEX([1]ratio_ins!N:N,MATCH('001_population_health_zone_zs'!$B$2,[1]ratio_ins!$B:$B,0))*$G19*INDEX([1]ratio_ins!$C:$C,MATCH('001_population_health_zone_zs'!$B19,[1]ratio_ins!$B:$B,0))</f>
        <v>16267.331860000002</v>
      </c>
      <c r="Q19" s="10">
        <f>INDEX([1]ratio_ins!O:O,MATCH('001_population_health_zone_zs'!$B$2,[1]ratio_ins!$B:$B,0))*$G19*INDEX([1]ratio_ins!$C:$C,MATCH('001_population_health_zone_zs'!$B19,[1]ratio_ins!$B:$B,0))</f>
        <v>14515.465351999999</v>
      </c>
      <c r="R19" s="10">
        <f>INDEX([1]ratio_ins!P:P,MATCH('001_population_health_zone_zs'!$B$2,[1]ratio_ins!$B:$B,0))*$G19*INDEX([1]ratio_ins!$C:$C,MATCH('001_population_health_zone_zs'!$B19,[1]ratio_ins!$B:$B,0))</f>
        <v>14265.198708</v>
      </c>
      <c r="S19" s="10">
        <f>INDEX([1]ratio_ins!Q:Q,MATCH('001_population_health_zone_zs'!$B$2,[1]ratio_ins!$B:$B,0))*$G19*INDEX([1]ratio_ins!$C:$C,MATCH('001_population_health_zone_zs'!$B19,[1]ratio_ins!$B:$B,0))</f>
        <v>12012.798912</v>
      </c>
      <c r="T19" s="10">
        <f>INDEX([1]ratio_ins!R:R,MATCH('001_population_health_zone_zs'!$B$2,[1]ratio_ins!$B:$B,0))*$G19*INDEX([1]ratio_ins!$C:$C,MATCH('001_population_health_zone_zs'!$B19,[1]ratio_ins!$B:$B,0))</f>
        <v>8509.0658960000001</v>
      </c>
      <c r="U19" s="10">
        <f>INDEX([1]ratio_ins!S:S,MATCH('001_population_health_zone_zs'!$B$2,[1]ratio_ins!$B:$B,0))*$G19*INDEX([1]ratio_ins!$C:$C,MATCH('001_population_health_zone_zs'!$B19,[1]ratio_ins!$B:$B,0))</f>
        <v>6757.1993880000009</v>
      </c>
      <c r="V19" s="10">
        <f>INDEX([1]ratio_ins!T:T,MATCH('001_population_health_zone_zs'!$B$2,[1]ratio_ins!$B:$B,0))*$G19*INDEX([1]ratio_ins!$C:$C,MATCH('001_population_health_zone_zs'!$B19,[1]ratio_ins!$B:$B,0))</f>
        <v>3753.9996599999995</v>
      </c>
      <c r="W19" s="11">
        <f>INDEX([1]ratio_ins!U:U,MATCH('001_population_health_zone_zs'!$B$2,[1]ratio_ins!$B:$B,0))*$G19*INDEX([1]ratio_ins!$C:$C,MATCH('001_population_health_zone_zs'!$B19,[1]ratio_ins!$B:$B,0))</f>
        <v>102409.1107248</v>
      </c>
      <c r="X19" s="10">
        <f>INDEX([1]ratio_ins!V:V,MATCH('001_population_health_zone_zs'!$B$2,[1]ratio_ins!$B:$B,0))*$G19*INDEX([1]ratio_ins!$C:$C,MATCH('001_population_health_zone_zs'!$B19,[1]ratio_ins!$B:$B,0))</f>
        <v>3003.1997280000001</v>
      </c>
      <c r="Y19" s="10">
        <f>INDEX([1]ratio_ins!W:W,MATCH('001_population_health_zone_zs'!$B$2,[1]ratio_ins!$B:$B,0))*$G19*INDEX([1]ratio_ins!$C:$C,MATCH('001_population_health_zone_zs'!$B19,[1]ratio_ins!$B:$B,0))</f>
        <v>2002.1331520000001</v>
      </c>
      <c r="Z19" s="10">
        <f>INDEX([1]ratio_ins!X:X,MATCH('001_population_health_zone_zs'!$B$2,[1]ratio_ins!$B:$B,0))*$G19*INDEX([1]ratio_ins!$C:$C,MATCH('001_population_health_zone_zs'!$B19,[1]ratio_ins!$B:$B,0))</f>
        <v>1001.0665760000001</v>
      </c>
      <c r="AA19" s="10">
        <f>INDEX([1]ratio_ins!Y:Y,MATCH('001_population_health_zone_zs'!$B$2,[1]ratio_ins!$B:$B,0))*$G19*INDEX([1]ratio_ins!$C:$C,MATCH('001_population_health_zone_zs'!$B19,[1]ratio_ins!$B:$B,0))</f>
        <v>500.53328800000003</v>
      </c>
      <c r="AB19" s="11">
        <f>INDEX([1]ratio_ins!Z:Z,MATCH('001_population_health_zone_zs'!$B$2,[1]ratio_ins!$B:$B,0))*$G19*INDEX([1]ratio_ins!$C:$C,MATCH('001_population_health_zone_zs'!$B19,[1]ratio_ins!$B:$B,0))</f>
        <v>6506.9327440000006</v>
      </c>
      <c r="AC19" s="12">
        <f t="shared" si="0"/>
        <v>250266.644</v>
      </c>
      <c r="AD19" s="10">
        <f>INDEX([1]ratio_ins!AA:AA,MATCH('001_population_health_zone_zs'!$B$2,[1]ratio_ins!$B:$B,0))*$G19*INDEX([1]ratio_ins!$D:$D,MATCH('001_population_health_zone_zs'!$B19,[1]ratio_ins!$B:$B,0))</f>
        <v>51929.084760000005</v>
      </c>
      <c r="AE19" s="10">
        <f>INDEX([1]ratio_ins!AB:AB,MATCH('001_population_health_zone_zs'!$B$2,[1]ratio_ins!$B:$B,0))*$G19*INDEX([1]ratio_ins!$D:$D,MATCH('001_population_health_zone_zs'!$B19,[1]ratio_ins!$B:$B,0))</f>
        <v>42779.674588000009</v>
      </c>
      <c r="AF19" s="10">
        <f>INDEX([1]ratio_ins!AC:AC,MATCH('001_population_health_zone_zs'!$B$2,[1]ratio_ins!$B:$B,0))*$G19*INDEX([1]ratio_ins!$D:$D,MATCH('001_population_health_zone_zs'!$B19,[1]ratio_ins!$B:$B,0))</f>
        <v>33877.545771999998</v>
      </c>
      <c r="AG19" s="10">
        <f>INDEX([1]ratio_ins!AD:AD,MATCH('001_population_health_zone_zs'!$B$2,[1]ratio_ins!$B:$B,0))*$G19*INDEX([1]ratio_ins!$D:$D,MATCH('001_population_health_zone_zs'!$B19,[1]ratio_ins!$B:$B,0))</f>
        <v>20524.352548000003</v>
      </c>
      <c r="AH19" s="10">
        <f>INDEX([1]ratio_ins!AE:AE,MATCH('001_population_health_zone_zs'!$B$2,[1]ratio_ins!$B:$B,0))*$G19*INDEX([1]ratio_ins!$D:$D,MATCH('001_population_health_zone_zs'!$B19,[1]ratio_ins!$B:$B,0))</f>
        <v>12314.611528800002</v>
      </c>
      <c r="AI19" s="13">
        <f>INDEX([1]ratio_ins!AF:AF,MATCH('001_population_health_zone_zs'!$B$2,[1]ratio_ins!$B:$B,0))*$G19*INDEX([1]ratio_ins!$D:$D,MATCH('001_population_health_zone_zs'!$B19,[1]ratio_ins!$B:$B,0))</f>
        <v>140900.91664880002</v>
      </c>
      <c r="AJ19" s="10">
        <f>INDEX([1]ratio_ins!AG:AG,MATCH('001_population_health_zone_zs'!$B$2,[1]ratio_ins!$B:$B,0))*$G19*INDEX([1]ratio_ins!$D:$D,MATCH('001_population_health_zone_zs'!$B19,[1]ratio_ins!$B:$B,0))</f>
        <v>8209.7410192000007</v>
      </c>
      <c r="AK19" s="10">
        <f>INDEX([1]ratio_ins!AH:AH,MATCH('001_population_health_zone_zs'!$B$2,[1]ratio_ins!$B:$B,0))*$G19*INDEX([1]ratio_ins!$D:$D,MATCH('001_population_health_zone_zs'!$B19,[1]ratio_ins!$B:$B,0))</f>
        <v>18298.820344000003</v>
      </c>
      <c r="AL19" s="10">
        <f>INDEX([1]ratio_ins!AI:AI,MATCH('001_population_health_zone_zs'!$B$2,[1]ratio_ins!$B:$B,0))*$G19*INDEX([1]ratio_ins!$D:$D,MATCH('001_population_health_zone_zs'!$B19,[1]ratio_ins!$B:$B,0))</f>
        <v>17309.694920000002</v>
      </c>
      <c r="AM19" s="10">
        <f>INDEX([1]ratio_ins!AJ:AJ,MATCH('001_population_health_zone_zs'!$B$2,[1]ratio_ins!$B:$B,0))*$G19*INDEX([1]ratio_ins!$D:$D,MATCH('001_population_health_zone_zs'!$B19,[1]ratio_ins!$B:$B,0))</f>
        <v>15826.006784000001</v>
      </c>
      <c r="AN19" s="10">
        <f>INDEX([1]ratio_ins!AK:AK,MATCH('001_population_health_zone_zs'!$B$2,[1]ratio_ins!$B:$B,0))*$G19*INDEX([1]ratio_ins!$D:$D,MATCH('001_population_health_zone_zs'!$B19,[1]ratio_ins!$B:$B,0))</f>
        <v>14836.881359999999</v>
      </c>
      <c r="AO19" s="10">
        <f>INDEX([1]ratio_ins!AL:AL,MATCH('001_population_health_zone_zs'!$B$2,[1]ratio_ins!$B:$B,0))*$G19*INDEX([1]ratio_ins!$D:$D,MATCH('001_population_health_zone_zs'!$B19,[1]ratio_ins!$B:$B,0))</f>
        <v>11127.661020000001</v>
      </c>
      <c r="AP19" s="10">
        <f>INDEX([1]ratio_ins!AM:AM,MATCH('001_population_health_zone_zs'!$B$2,[1]ratio_ins!$B:$B,0))*$G19*INDEX([1]ratio_ins!$D:$D,MATCH('001_population_health_zone_zs'!$B19,[1]ratio_ins!$B:$B,0))</f>
        <v>7171.1593240000011</v>
      </c>
      <c r="AQ19" s="10">
        <f>INDEX([1]ratio_ins!AN:AN,MATCH('001_population_health_zone_zs'!$B$2,[1]ratio_ins!$B:$B,0))*$G19*INDEX([1]ratio_ins!$D:$D,MATCH('001_population_health_zone_zs'!$B19,[1]ratio_ins!$B:$B,0))</f>
        <v>5687.4711880000004</v>
      </c>
      <c r="AR19" s="10">
        <f>INDEX([1]ratio_ins!AO:AO,MATCH('001_population_health_zone_zs'!$B$2,[1]ratio_ins!$B:$B,0))*$G19*INDEX([1]ratio_ins!$D:$D,MATCH('001_population_health_zone_zs'!$B19,[1]ratio_ins!$B:$B,0))</f>
        <v>2720.0949160000005</v>
      </c>
      <c r="AS19" s="13">
        <f>INDEX([1]ratio_ins!AP:AP,MATCH('001_population_health_zone_zs'!$B$2,[1]ratio_ins!$B:$B,0))*$G19*INDEX([1]ratio_ins!$D:$D,MATCH('001_population_health_zone_zs'!$B19,[1]ratio_ins!$B:$B,0))</f>
        <v>101187.53087520001</v>
      </c>
      <c r="AT19" s="10">
        <f>INDEX([1]ratio_ins!AQ:AQ,MATCH('001_population_health_zone_zs'!$B$2,[1]ratio_ins!$B:$B,0))*$G19*INDEX([1]ratio_ins!$D:$D,MATCH('001_population_health_zone_zs'!$B19,[1]ratio_ins!$B:$B,0))</f>
        <v>2472.8135600000005</v>
      </c>
      <c r="AU19" s="10">
        <f>INDEX([1]ratio_ins!AR:AR,MATCH('001_population_health_zone_zs'!$B$2,[1]ratio_ins!$B:$B,0))*$G19*INDEX([1]ratio_ins!$D:$D,MATCH('001_population_health_zone_zs'!$B19,[1]ratio_ins!$B:$B,0))</f>
        <v>1483.6881360000002</v>
      </c>
      <c r="AV19" s="10">
        <f>INDEX([1]ratio_ins!AS:AS,MATCH('001_population_health_zone_zs'!$B$2,[1]ratio_ins!$B:$B,0))*$G19*INDEX([1]ratio_ins!$D:$D,MATCH('001_population_health_zone_zs'!$B19,[1]ratio_ins!$B:$B,0))</f>
        <v>741.84406800000011</v>
      </c>
      <c r="AW19" s="10">
        <f>INDEX([1]ratio_ins!AT:AT,MATCH('001_population_health_zone_zs'!$B$2,[1]ratio_ins!$B:$B,0))*$G19*INDEX([1]ratio_ins!$D:$D,MATCH('001_population_health_zone_zs'!$B19,[1]ratio_ins!$B:$B,0))</f>
        <v>494.56271200000003</v>
      </c>
      <c r="AX19" s="13">
        <f>INDEX([1]ratio_ins!AU:AU,MATCH('001_population_health_zone_zs'!$B$2,[1]ratio_ins!$B:$B,0))*$G19*INDEX([1]ratio_ins!$D:$D,MATCH('001_population_health_zone_zs'!$B19,[1]ratio_ins!$B:$B,0))</f>
        <v>5192.9084760000005</v>
      </c>
      <c r="AY19" s="14">
        <f t="shared" si="1"/>
        <v>247281.35600000003</v>
      </c>
      <c r="AZ19" s="15">
        <f t="shared" si="2"/>
        <v>497548</v>
      </c>
      <c r="BA19" s="16">
        <v>491791.88809332513</v>
      </c>
      <c r="BB19" s="10">
        <f t="shared" si="3"/>
        <v>105094.57630000002</v>
      </c>
      <c r="BC19" s="17">
        <f t="shared" si="4"/>
        <v>0.21122500000000002</v>
      </c>
      <c r="BD19" s="10">
        <f t="shared" si="5"/>
        <v>104361.190548</v>
      </c>
    </row>
    <row r="20" spans="1:56" x14ac:dyDescent="0.25">
      <c r="A20" s="8" t="s">
        <v>10</v>
      </c>
      <c r="B20" s="8" t="s">
        <v>11</v>
      </c>
      <c r="C20" s="8" t="s">
        <v>10</v>
      </c>
      <c r="D20" s="8" t="s">
        <v>12</v>
      </c>
      <c r="E20" s="8" t="s">
        <v>48</v>
      </c>
      <c r="F20" s="8" t="s">
        <v>49</v>
      </c>
      <c r="G20" s="9">
        <v>597713</v>
      </c>
      <c r="H20" s="10">
        <f>INDEX([1]ratio_ins!F:F,MATCH('001_population_health_zone_zs'!$B$2,[1]ratio_ins!$B:$B,0))*$G20*INDEX([1]ratio_ins!$C:$C,MATCH('001_population_health_zone_zs'!$B20,[1]ratio_ins!$B:$B,0))</f>
        <v>62835.774550999995</v>
      </c>
      <c r="I20" s="10">
        <f>INDEX([1]ratio_ins!G:G,MATCH('001_population_health_zone_zs'!$B$2,[1]ratio_ins!$B:$B,0))*$G20*INDEX([1]ratio_ins!$C:$C,MATCH('001_population_health_zone_zs'!$B20,[1]ratio_ins!$B:$B,0))</f>
        <v>51411.088269000007</v>
      </c>
      <c r="J20" s="10">
        <f>INDEX([1]ratio_ins!H:H,MATCH('001_population_health_zone_zs'!$B$2,[1]ratio_ins!$B:$B,0))*$G20*INDEX([1]ratio_ins!$C:$C,MATCH('001_population_health_zone_zs'!$B20,[1]ratio_ins!$B:$B,0))</f>
        <v>40587.701265000003</v>
      </c>
      <c r="K20" s="10">
        <f>INDEX([1]ratio_ins!I:I,MATCH('001_population_health_zone_zs'!$B$2,[1]ratio_ins!$B:$B,0))*$G20*INDEX([1]ratio_ins!$C:$C,MATCH('001_population_health_zone_zs'!$B20,[1]ratio_ins!$B:$B,0))</f>
        <v>24953.920037000004</v>
      </c>
      <c r="L20" s="10">
        <f>INDEX([1]ratio_ins!J:J,MATCH('001_population_health_zone_zs'!$B$2,[1]ratio_ins!$B:$B,0))*$G20*INDEX([1]ratio_ins!$C:$C,MATCH('001_population_health_zone_zs'!$B20,[1]ratio_ins!$B:$B,0))</f>
        <v>14972.352022199999</v>
      </c>
      <c r="M20" s="11">
        <f>INDEX([1]ratio_ins!K:K,MATCH('001_population_health_zone_zs'!$B$2,[1]ratio_ins!$B:$B,0))*$G20*INDEX([1]ratio_ins!$C:$C,MATCH('001_population_health_zone_zs'!$B20,[1]ratio_ins!$B:$B,0))</f>
        <v>169806.9161072</v>
      </c>
      <c r="N20" s="10">
        <f>INDEX([1]ratio_ins!L:L,MATCH('001_population_health_zone_zs'!$B$2,[1]ratio_ins!$B:$B,0))*$G20*INDEX([1]ratio_ins!$C:$C,MATCH('001_population_health_zone_zs'!$B20,[1]ratio_ins!$B:$B,0))</f>
        <v>9981.5680147999992</v>
      </c>
      <c r="O20" s="10">
        <f>INDEX([1]ratio_ins!M:M,MATCH('001_population_health_zone_zs'!$B$2,[1]ratio_ins!$B:$B,0))*$G20*INDEX([1]ratio_ins!$C:$C,MATCH('001_population_health_zone_zs'!$B20,[1]ratio_ins!$B:$B,0))</f>
        <v>21646.774008</v>
      </c>
      <c r="P20" s="10">
        <f>INDEX([1]ratio_ins!N:N,MATCH('001_population_health_zone_zs'!$B$2,[1]ratio_ins!$B:$B,0))*$G20*INDEX([1]ratio_ins!$C:$C,MATCH('001_population_health_zone_zs'!$B20,[1]ratio_ins!$B:$B,0))</f>
        <v>19542.226535000002</v>
      </c>
      <c r="Q20" s="10">
        <f>INDEX([1]ratio_ins!O:O,MATCH('001_population_health_zone_zs'!$B$2,[1]ratio_ins!$B:$B,0))*$G20*INDEX([1]ratio_ins!$C:$C,MATCH('001_population_health_zone_zs'!$B20,[1]ratio_ins!$B:$B,0))</f>
        <v>17437.679061999999</v>
      </c>
      <c r="R20" s="10">
        <f>INDEX([1]ratio_ins!P:P,MATCH('001_population_health_zone_zs'!$B$2,[1]ratio_ins!$B:$B,0))*$G20*INDEX([1]ratio_ins!$C:$C,MATCH('001_population_health_zone_zs'!$B20,[1]ratio_ins!$B:$B,0))</f>
        <v>17137.029423</v>
      </c>
      <c r="S20" s="10">
        <f>INDEX([1]ratio_ins!Q:Q,MATCH('001_population_health_zone_zs'!$B$2,[1]ratio_ins!$B:$B,0))*$G20*INDEX([1]ratio_ins!$C:$C,MATCH('001_population_health_zone_zs'!$B20,[1]ratio_ins!$B:$B,0))</f>
        <v>14431.182672000001</v>
      </c>
      <c r="T20" s="10">
        <f>INDEX([1]ratio_ins!R:R,MATCH('001_population_health_zone_zs'!$B$2,[1]ratio_ins!$B:$B,0))*$G20*INDEX([1]ratio_ins!$C:$C,MATCH('001_population_health_zone_zs'!$B20,[1]ratio_ins!$B:$B,0))</f>
        <v>10222.087726000002</v>
      </c>
      <c r="U20" s="10">
        <f>INDEX([1]ratio_ins!S:S,MATCH('001_population_health_zone_zs'!$B$2,[1]ratio_ins!$B:$B,0))*$G20*INDEX([1]ratio_ins!$C:$C,MATCH('001_population_health_zone_zs'!$B20,[1]ratio_ins!$B:$B,0))</f>
        <v>8117.540253000001</v>
      </c>
      <c r="V20" s="10">
        <f>INDEX([1]ratio_ins!T:T,MATCH('001_population_health_zone_zs'!$B$2,[1]ratio_ins!$B:$B,0))*$G20*INDEX([1]ratio_ins!$C:$C,MATCH('001_population_health_zone_zs'!$B20,[1]ratio_ins!$B:$B,0))</f>
        <v>4509.7445849999995</v>
      </c>
      <c r="W20" s="11">
        <f>INDEX([1]ratio_ins!U:U,MATCH('001_population_health_zone_zs'!$B$2,[1]ratio_ins!$B:$B,0))*$G20*INDEX([1]ratio_ins!$C:$C,MATCH('001_population_health_zone_zs'!$B20,[1]ratio_ins!$B:$B,0))</f>
        <v>123025.83227880001</v>
      </c>
      <c r="X20" s="10">
        <f>INDEX([1]ratio_ins!V:V,MATCH('001_population_health_zone_zs'!$B$2,[1]ratio_ins!$B:$B,0))*$G20*INDEX([1]ratio_ins!$C:$C,MATCH('001_population_health_zone_zs'!$B20,[1]ratio_ins!$B:$B,0))</f>
        <v>3607.7956680000002</v>
      </c>
      <c r="Y20" s="10">
        <f>INDEX([1]ratio_ins!W:W,MATCH('001_population_health_zone_zs'!$B$2,[1]ratio_ins!$B:$B,0))*$G20*INDEX([1]ratio_ins!$C:$C,MATCH('001_population_health_zone_zs'!$B20,[1]ratio_ins!$B:$B,0))</f>
        <v>2405.1971119999998</v>
      </c>
      <c r="Z20" s="10">
        <f>INDEX([1]ratio_ins!X:X,MATCH('001_population_health_zone_zs'!$B$2,[1]ratio_ins!$B:$B,0))*$G20*INDEX([1]ratio_ins!$C:$C,MATCH('001_population_health_zone_zs'!$B20,[1]ratio_ins!$B:$B,0))</f>
        <v>1202.5985559999999</v>
      </c>
      <c r="AA20" s="10">
        <f>INDEX([1]ratio_ins!Y:Y,MATCH('001_population_health_zone_zs'!$B$2,[1]ratio_ins!$B:$B,0))*$G20*INDEX([1]ratio_ins!$C:$C,MATCH('001_population_health_zone_zs'!$B20,[1]ratio_ins!$B:$B,0))</f>
        <v>601.29927799999996</v>
      </c>
      <c r="AB20" s="11">
        <f>INDEX([1]ratio_ins!Z:Z,MATCH('001_population_health_zone_zs'!$B$2,[1]ratio_ins!$B:$B,0))*$G20*INDEX([1]ratio_ins!$C:$C,MATCH('001_population_health_zone_zs'!$B20,[1]ratio_ins!$B:$B,0))</f>
        <v>7816.8906139999999</v>
      </c>
      <c r="AC20" s="12">
        <f t="shared" si="0"/>
        <v>300649.63899999997</v>
      </c>
      <c r="AD20" s="10">
        <f>INDEX([1]ratio_ins!AA:AA,MATCH('001_population_health_zone_zs'!$B$2,[1]ratio_ins!$B:$B,0))*$G20*INDEX([1]ratio_ins!$D:$D,MATCH('001_population_health_zone_zs'!$B20,[1]ratio_ins!$B:$B,0))</f>
        <v>62383.305810000005</v>
      </c>
      <c r="AE20" s="10">
        <f>INDEX([1]ratio_ins!AB:AB,MATCH('001_population_health_zone_zs'!$B$2,[1]ratio_ins!$B:$B,0))*$G20*INDEX([1]ratio_ins!$D:$D,MATCH('001_population_health_zone_zs'!$B20,[1]ratio_ins!$B:$B,0))</f>
        <v>51391.961453000004</v>
      </c>
      <c r="AF20" s="10">
        <f>INDEX([1]ratio_ins!AC:AC,MATCH('001_population_health_zone_zs'!$B$2,[1]ratio_ins!$B:$B,0))*$G20*INDEX([1]ratio_ins!$D:$D,MATCH('001_population_health_zone_zs'!$B20,[1]ratio_ins!$B:$B,0))</f>
        <v>40697.680457000002</v>
      </c>
      <c r="AG20" s="10">
        <f>INDEX([1]ratio_ins!AD:AD,MATCH('001_population_health_zone_zs'!$B$2,[1]ratio_ins!$B:$B,0))*$G20*INDEX([1]ratio_ins!$D:$D,MATCH('001_population_health_zone_zs'!$B20,[1]ratio_ins!$B:$B,0))</f>
        <v>24656.258963000004</v>
      </c>
      <c r="AH20" s="10">
        <f>INDEX([1]ratio_ins!AE:AE,MATCH('001_population_health_zone_zs'!$B$2,[1]ratio_ins!$B:$B,0))*$G20*INDEX([1]ratio_ins!$D:$D,MATCH('001_population_health_zone_zs'!$B20,[1]ratio_ins!$B:$B,0))</f>
        <v>14793.7553778</v>
      </c>
      <c r="AI20" s="13">
        <f>INDEX([1]ratio_ins!AF:AF,MATCH('001_population_health_zone_zs'!$B$2,[1]ratio_ins!$B:$B,0))*$G20*INDEX([1]ratio_ins!$D:$D,MATCH('001_population_health_zone_zs'!$B20,[1]ratio_ins!$B:$B,0))</f>
        <v>169266.70309780003</v>
      </c>
      <c r="AJ20" s="10">
        <f>INDEX([1]ratio_ins!AG:AG,MATCH('001_population_health_zone_zs'!$B$2,[1]ratio_ins!$B:$B,0))*$G20*INDEX([1]ratio_ins!$D:$D,MATCH('001_population_health_zone_zs'!$B20,[1]ratio_ins!$B:$B,0))</f>
        <v>9862.5035852000001</v>
      </c>
      <c r="AK20" s="10">
        <f>INDEX([1]ratio_ins!AH:AH,MATCH('001_population_health_zone_zs'!$B$2,[1]ratio_ins!$B:$B,0))*$G20*INDEX([1]ratio_ins!$D:$D,MATCH('001_population_health_zone_zs'!$B20,[1]ratio_ins!$B:$B,0))</f>
        <v>21982.688714000007</v>
      </c>
      <c r="AL20" s="10">
        <f>INDEX([1]ratio_ins!AI:AI,MATCH('001_population_health_zone_zs'!$B$2,[1]ratio_ins!$B:$B,0))*$G20*INDEX([1]ratio_ins!$D:$D,MATCH('001_population_health_zone_zs'!$B20,[1]ratio_ins!$B:$B,0))</f>
        <v>20794.435270000005</v>
      </c>
      <c r="AM20" s="10">
        <f>INDEX([1]ratio_ins!AJ:AJ,MATCH('001_population_health_zone_zs'!$B$2,[1]ratio_ins!$B:$B,0))*$G20*INDEX([1]ratio_ins!$D:$D,MATCH('001_population_health_zone_zs'!$B20,[1]ratio_ins!$B:$B,0))</f>
        <v>19012.055103999999</v>
      </c>
      <c r="AN20" s="10">
        <f>INDEX([1]ratio_ins!AK:AK,MATCH('001_population_health_zone_zs'!$B$2,[1]ratio_ins!$B:$B,0))*$G20*INDEX([1]ratio_ins!$D:$D,MATCH('001_population_health_zone_zs'!$B20,[1]ratio_ins!$B:$B,0))</f>
        <v>17823.801660000001</v>
      </c>
      <c r="AO20" s="10">
        <f>INDEX([1]ratio_ins!AL:AL,MATCH('001_population_health_zone_zs'!$B$2,[1]ratio_ins!$B:$B,0))*$G20*INDEX([1]ratio_ins!$D:$D,MATCH('001_population_health_zone_zs'!$B20,[1]ratio_ins!$B:$B,0))</f>
        <v>13367.851245000002</v>
      </c>
      <c r="AP20" s="10">
        <f>INDEX([1]ratio_ins!AM:AM,MATCH('001_population_health_zone_zs'!$B$2,[1]ratio_ins!$B:$B,0))*$G20*INDEX([1]ratio_ins!$D:$D,MATCH('001_population_health_zone_zs'!$B20,[1]ratio_ins!$B:$B,0))</f>
        <v>8614.8374690000001</v>
      </c>
      <c r="AQ20" s="10">
        <f>INDEX([1]ratio_ins!AN:AN,MATCH('001_population_health_zone_zs'!$B$2,[1]ratio_ins!$B:$B,0))*$G20*INDEX([1]ratio_ins!$D:$D,MATCH('001_population_health_zone_zs'!$B20,[1]ratio_ins!$B:$B,0))</f>
        <v>6832.4573030000001</v>
      </c>
      <c r="AR20" s="10">
        <f>INDEX([1]ratio_ins!AO:AO,MATCH('001_population_health_zone_zs'!$B$2,[1]ratio_ins!$B:$B,0))*$G20*INDEX([1]ratio_ins!$D:$D,MATCH('001_population_health_zone_zs'!$B20,[1]ratio_ins!$B:$B,0))</f>
        <v>3267.6969710000008</v>
      </c>
      <c r="AS20" s="13">
        <f>INDEX([1]ratio_ins!AP:AP,MATCH('001_population_health_zone_zs'!$B$2,[1]ratio_ins!$B:$B,0))*$G20*INDEX([1]ratio_ins!$D:$D,MATCH('001_population_health_zone_zs'!$B20,[1]ratio_ins!$B:$B,0))</f>
        <v>121558.32732120002</v>
      </c>
      <c r="AT20" s="10">
        <f>INDEX([1]ratio_ins!AQ:AQ,MATCH('001_population_health_zone_zs'!$B$2,[1]ratio_ins!$B:$B,0))*$G20*INDEX([1]ratio_ins!$D:$D,MATCH('001_population_health_zone_zs'!$B20,[1]ratio_ins!$B:$B,0))</f>
        <v>2970.6336100000003</v>
      </c>
      <c r="AU20" s="10">
        <f>INDEX([1]ratio_ins!AR:AR,MATCH('001_population_health_zone_zs'!$B$2,[1]ratio_ins!$B:$B,0))*$G20*INDEX([1]ratio_ins!$D:$D,MATCH('001_population_health_zone_zs'!$B20,[1]ratio_ins!$B:$B,0))</f>
        <v>1782.3801660000004</v>
      </c>
      <c r="AV20" s="10">
        <f>INDEX([1]ratio_ins!AS:AS,MATCH('001_population_health_zone_zs'!$B$2,[1]ratio_ins!$B:$B,0))*$G20*INDEX([1]ratio_ins!$D:$D,MATCH('001_population_health_zone_zs'!$B20,[1]ratio_ins!$B:$B,0))</f>
        <v>891.19008300000019</v>
      </c>
      <c r="AW20" s="10">
        <f>INDEX([1]ratio_ins!AT:AT,MATCH('001_population_health_zone_zs'!$B$2,[1]ratio_ins!$B:$B,0))*$G20*INDEX([1]ratio_ins!$D:$D,MATCH('001_population_health_zone_zs'!$B20,[1]ratio_ins!$B:$B,0))</f>
        <v>594.12672199999997</v>
      </c>
      <c r="AX20" s="13">
        <f>INDEX([1]ratio_ins!AU:AU,MATCH('001_population_health_zone_zs'!$B$2,[1]ratio_ins!$B:$B,0))*$G20*INDEX([1]ratio_ins!$D:$D,MATCH('001_population_health_zone_zs'!$B20,[1]ratio_ins!$B:$B,0))</f>
        <v>6238.3305810000002</v>
      </c>
      <c r="AY20" s="14">
        <f t="shared" si="1"/>
        <v>297063.36100000009</v>
      </c>
      <c r="AZ20" s="15">
        <f t="shared" si="2"/>
        <v>597713</v>
      </c>
      <c r="BA20" s="16">
        <v>590797.50135762803</v>
      </c>
      <c r="BB20" s="10">
        <f t="shared" si="3"/>
        <v>126251.92842500001</v>
      </c>
      <c r="BC20" s="17">
        <f t="shared" si="4"/>
        <v>0.211225</v>
      </c>
      <c r="BD20" s="10">
        <f t="shared" si="5"/>
        <v>125370.89946299999</v>
      </c>
    </row>
    <row r="21" spans="1:56" x14ac:dyDescent="0.25">
      <c r="A21" s="8" t="s">
        <v>10</v>
      </c>
      <c r="B21" s="8" t="s">
        <v>11</v>
      </c>
      <c r="C21" s="8" t="s">
        <v>10</v>
      </c>
      <c r="D21" s="8" t="s">
        <v>12</v>
      </c>
      <c r="E21" s="8" t="s">
        <v>50</v>
      </c>
      <c r="F21" s="8" t="s">
        <v>51</v>
      </c>
      <c r="G21" s="9">
        <v>348455</v>
      </c>
      <c r="H21" s="10">
        <f>INDEX([1]ratio_ins!F:F,MATCH('001_population_health_zone_zs'!$B$2,[1]ratio_ins!$B:$B,0))*$G21*INDEX([1]ratio_ins!$C:$C,MATCH('001_population_health_zone_zs'!$B21,[1]ratio_ins!$B:$B,0))</f>
        <v>36632.028785000002</v>
      </c>
      <c r="I21" s="10">
        <f>INDEX([1]ratio_ins!G:G,MATCH('001_population_health_zone_zs'!$B$2,[1]ratio_ins!$B:$B,0))*$G21*INDEX([1]ratio_ins!$C:$C,MATCH('001_population_health_zone_zs'!$B21,[1]ratio_ins!$B:$B,0))</f>
        <v>29971.659915000004</v>
      </c>
      <c r="J21" s="10">
        <f>INDEX([1]ratio_ins!H:H,MATCH('001_population_health_zone_zs'!$B$2,[1]ratio_ins!$B:$B,0))*$G21*INDEX([1]ratio_ins!$C:$C,MATCH('001_population_health_zone_zs'!$B21,[1]ratio_ins!$B:$B,0))</f>
        <v>23661.836775000003</v>
      </c>
      <c r="K21" s="10">
        <f>INDEX([1]ratio_ins!I:I,MATCH('001_population_health_zone_zs'!$B$2,[1]ratio_ins!$B:$B,0))*$G21*INDEX([1]ratio_ins!$C:$C,MATCH('001_population_health_zone_zs'!$B21,[1]ratio_ins!$B:$B,0))</f>
        <v>14547.647795000001</v>
      </c>
      <c r="L21" s="10">
        <f>INDEX([1]ratio_ins!J:J,MATCH('001_population_health_zone_zs'!$B$2,[1]ratio_ins!$B:$B,0))*$G21*INDEX([1]ratio_ins!$C:$C,MATCH('001_population_health_zone_zs'!$B21,[1]ratio_ins!$B:$B,0))</f>
        <v>8728.5886769999979</v>
      </c>
      <c r="M21" s="11">
        <f>INDEX([1]ratio_ins!K:K,MATCH('001_population_health_zone_zs'!$B$2,[1]ratio_ins!$B:$B,0))*$G21*INDEX([1]ratio_ins!$C:$C,MATCH('001_population_health_zone_zs'!$B21,[1]ratio_ins!$B:$B,0))</f>
        <v>98994.114151999995</v>
      </c>
      <c r="N21" s="10">
        <f>INDEX([1]ratio_ins!L:L,MATCH('001_population_health_zone_zs'!$B$2,[1]ratio_ins!$B:$B,0))*$G21*INDEX([1]ratio_ins!$C:$C,MATCH('001_population_health_zone_zs'!$B21,[1]ratio_ins!$B:$B,0))</f>
        <v>5819.0591180000001</v>
      </c>
      <c r="O21" s="10">
        <f>INDEX([1]ratio_ins!M:M,MATCH('001_population_health_zone_zs'!$B$2,[1]ratio_ins!$B:$B,0))*$G21*INDEX([1]ratio_ins!$C:$C,MATCH('001_population_health_zone_zs'!$B21,[1]ratio_ins!$B:$B,0))</f>
        <v>12619.646280000001</v>
      </c>
      <c r="P21" s="10">
        <f>INDEX([1]ratio_ins!N:N,MATCH('001_population_health_zone_zs'!$B$2,[1]ratio_ins!$B:$B,0))*$G21*INDEX([1]ratio_ins!$C:$C,MATCH('001_population_health_zone_zs'!$B21,[1]ratio_ins!$B:$B,0))</f>
        <v>11392.736225000001</v>
      </c>
      <c r="Q21" s="10">
        <f>INDEX([1]ratio_ins!O:O,MATCH('001_population_health_zone_zs'!$B$2,[1]ratio_ins!$B:$B,0))*$G21*INDEX([1]ratio_ins!$C:$C,MATCH('001_population_health_zone_zs'!$B21,[1]ratio_ins!$B:$B,0))</f>
        <v>10165.82617</v>
      </c>
      <c r="R21" s="10">
        <f>INDEX([1]ratio_ins!P:P,MATCH('001_population_health_zone_zs'!$B$2,[1]ratio_ins!$B:$B,0))*$G21*INDEX([1]ratio_ins!$C:$C,MATCH('001_population_health_zone_zs'!$B21,[1]ratio_ins!$B:$B,0))</f>
        <v>9990.5533050000013</v>
      </c>
      <c r="S21" s="10">
        <f>INDEX([1]ratio_ins!Q:Q,MATCH('001_population_health_zone_zs'!$B$2,[1]ratio_ins!$B:$B,0))*$G21*INDEX([1]ratio_ins!$C:$C,MATCH('001_population_health_zone_zs'!$B21,[1]ratio_ins!$B:$B,0))</f>
        <v>8413.0975199999993</v>
      </c>
      <c r="T21" s="10">
        <f>INDEX([1]ratio_ins!R:R,MATCH('001_population_health_zone_zs'!$B$2,[1]ratio_ins!$B:$B,0))*$G21*INDEX([1]ratio_ins!$C:$C,MATCH('001_population_health_zone_zs'!$B21,[1]ratio_ins!$B:$B,0))</f>
        <v>5959.2774100000006</v>
      </c>
      <c r="U21" s="10">
        <f>INDEX([1]ratio_ins!S:S,MATCH('001_population_health_zone_zs'!$B$2,[1]ratio_ins!$B:$B,0))*$G21*INDEX([1]ratio_ins!$C:$C,MATCH('001_population_health_zone_zs'!$B21,[1]ratio_ins!$B:$B,0))</f>
        <v>4732.3673550000012</v>
      </c>
      <c r="V21" s="10">
        <f>INDEX([1]ratio_ins!T:T,MATCH('001_population_health_zone_zs'!$B$2,[1]ratio_ins!$B:$B,0))*$G21*INDEX([1]ratio_ins!$C:$C,MATCH('001_population_health_zone_zs'!$B21,[1]ratio_ins!$B:$B,0))</f>
        <v>2629.092975</v>
      </c>
      <c r="W21" s="11">
        <f>INDEX([1]ratio_ins!U:U,MATCH('001_population_health_zone_zs'!$B$2,[1]ratio_ins!$B:$B,0))*$G21*INDEX([1]ratio_ins!$C:$C,MATCH('001_population_health_zone_zs'!$B21,[1]ratio_ins!$B:$B,0))</f>
        <v>71721.656357999993</v>
      </c>
      <c r="X21" s="10">
        <f>INDEX([1]ratio_ins!V:V,MATCH('001_population_health_zone_zs'!$B$2,[1]ratio_ins!$B:$B,0))*$G21*INDEX([1]ratio_ins!$C:$C,MATCH('001_population_health_zone_zs'!$B21,[1]ratio_ins!$B:$B,0))</f>
        <v>2103.2743799999998</v>
      </c>
      <c r="Y21" s="10">
        <f>INDEX([1]ratio_ins!W:W,MATCH('001_population_health_zone_zs'!$B$2,[1]ratio_ins!$B:$B,0))*$G21*INDEX([1]ratio_ins!$C:$C,MATCH('001_population_health_zone_zs'!$B21,[1]ratio_ins!$B:$B,0))</f>
        <v>1402.18292</v>
      </c>
      <c r="Z21" s="10">
        <f>INDEX([1]ratio_ins!X:X,MATCH('001_population_health_zone_zs'!$B$2,[1]ratio_ins!$B:$B,0))*$G21*INDEX([1]ratio_ins!$C:$C,MATCH('001_population_health_zone_zs'!$B21,[1]ratio_ins!$B:$B,0))</f>
        <v>701.09145999999998</v>
      </c>
      <c r="AA21" s="10">
        <f>INDEX([1]ratio_ins!Y:Y,MATCH('001_population_health_zone_zs'!$B$2,[1]ratio_ins!$B:$B,0))*$G21*INDEX([1]ratio_ins!$C:$C,MATCH('001_population_health_zone_zs'!$B21,[1]ratio_ins!$B:$B,0))</f>
        <v>350.54572999999999</v>
      </c>
      <c r="AB21" s="11">
        <f>INDEX([1]ratio_ins!Z:Z,MATCH('001_population_health_zone_zs'!$B$2,[1]ratio_ins!$B:$B,0))*$G21*INDEX([1]ratio_ins!$C:$C,MATCH('001_population_health_zone_zs'!$B21,[1]ratio_ins!$B:$B,0))</f>
        <v>4557.0944900000004</v>
      </c>
      <c r="AC21" s="12">
        <f t="shared" si="0"/>
        <v>175272.86499999999</v>
      </c>
      <c r="AD21" s="10">
        <f>INDEX([1]ratio_ins!AA:AA,MATCH('001_population_health_zone_zs'!$B$2,[1]ratio_ins!$B:$B,0))*$G21*INDEX([1]ratio_ins!$D:$D,MATCH('001_population_health_zone_zs'!$B21,[1]ratio_ins!$B:$B,0))</f>
        <v>36368.248350000009</v>
      </c>
      <c r="AE21" s="10">
        <f>INDEX([1]ratio_ins!AB:AB,MATCH('001_population_health_zone_zs'!$B$2,[1]ratio_ins!$B:$B,0))*$G21*INDEX([1]ratio_ins!$D:$D,MATCH('001_population_health_zone_zs'!$B21,[1]ratio_ins!$B:$B,0))</f>
        <v>29960.509355000006</v>
      </c>
      <c r="AF21" s="10">
        <f>INDEX([1]ratio_ins!AC:AC,MATCH('001_population_health_zone_zs'!$B$2,[1]ratio_ins!$B:$B,0))*$G21*INDEX([1]ratio_ins!$D:$D,MATCH('001_population_health_zone_zs'!$B21,[1]ratio_ins!$B:$B,0))</f>
        <v>23725.952494999998</v>
      </c>
      <c r="AG21" s="10">
        <f>INDEX([1]ratio_ins!AD:AD,MATCH('001_population_health_zone_zs'!$B$2,[1]ratio_ins!$B:$B,0))*$G21*INDEX([1]ratio_ins!$D:$D,MATCH('001_population_health_zone_zs'!$B21,[1]ratio_ins!$B:$B,0))</f>
        <v>14374.117205000002</v>
      </c>
      <c r="AH21" s="10">
        <f>INDEX([1]ratio_ins!AE:AE,MATCH('001_population_health_zone_zs'!$B$2,[1]ratio_ins!$B:$B,0))*$G21*INDEX([1]ratio_ins!$D:$D,MATCH('001_population_health_zone_zs'!$B21,[1]ratio_ins!$B:$B,0))</f>
        <v>8624.4703229999996</v>
      </c>
      <c r="AI21" s="13">
        <f>INDEX([1]ratio_ins!AF:AF,MATCH('001_population_health_zone_zs'!$B$2,[1]ratio_ins!$B:$B,0))*$G21*INDEX([1]ratio_ins!$D:$D,MATCH('001_population_health_zone_zs'!$B21,[1]ratio_ins!$B:$B,0))</f>
        <v>98679.180523000003</v>
      </c>
      <c r="AJ21" s="10">
        <f>INDEX([1]ratio_ins!AG:AG,MATCH('001_population_health_zone_zs'!$B$2,[1]ratio_ins!$B:$B,0))*$G21*INDEX([1]ratio_ins!$D:$D,MATCH('001_population_health_zone_zs'!$B21,[1]ratio_ins!$B:$B,0))</f>
        <v>5749.6468820000009</v>
      </c>
      <c r="AK21" s="10">
        <f>INDEX([1]ratio_ins!AH:AH,MATCH('001_population_health_zone_zs'!$B$2,[1]ratio_ins!$B:$B,0))*$G21*INDEX([1]ratio_ins!$D:$D,MATCH('001_population_health_zone_zs'!$B21,[1]ratio_ins!$B:$B,0))</f>
        <v>12815.477990000003</v>
      </c>
      <c r="AL21" s="10">
        <f>INDEX([1]ratio_ins!AI:AI,MATCH('001_population_health_zone_zs'!$B$2,[1]ratio_ins!$B:$B,0))*$G21*INDEX([1]ratio_ins!$D:$D,MATCH('001_population_health_zone_zs'!$B21,[1]ratio_ins!$B:$B,0))</f>
        <v>12122.749450000003</v>
      </c>
      <c r="AM21" s="10">
        <f>INDEX([1]ratio_ins!AJ:AJ,MATCH('001_population_health_zone_zs'!$B$2,[1]ratio_ins!$B:$B,0))*$G21*INDEX([1]ratio_ins!$D:$D,MATCH('001_population_health_zone_zs'!$B21,[1]ratio_ins!$B:$B,0))</f>
        <v>11083.656640000001</v>
      </c>
      <c r="AN21" s="10">
        <f>INDEX([1]ratio_ins!AK:AK,MATCH('001_population_health_zone_zs'!$B$2,[1]ratio_ins!$B:$B,0))*$G21*INDEX([1]ratio_ins!$D:$D,MATCH('001_population_health_zone_zs'!$B21,[1]ratio_ins!$B:$B,0))</f>
        <v>10390.928100000001</v>
      </c>
      <c r="AO21" s="10">
        <f>INDEX([1]ratio_ins!AL:AL,MATCH('001_population_health_zone_zs'!$B$2,[1]ratio_ins!$B:$B,0))*$G21*INDEX([1]ratio_ins!$D:$D,MATCH('001_population_health_zone_zs'!$B21,[1]ratio_ins!$B:$B,0))</f>
        <v>7793.1960749999998</v>
      </c>
      <c r="AP21" s="10">
        <f>INDEX([1]ratio_ins!AM:AM,MATCH('001_population_health_zone_zs'!$B$2,[1]ratio_ins!$B:$B,0))*$G21*INDEX([1]ratio_ins!$D:$D,MATCH('001_population_health_zone_zs'!$B21,[1]ratio_ins!$B:$B,0))</f>
        <v>5022.2819150000005</v>
      </c>
      <c r="AQ21" s="10">
        <f>INDEX([1]ratio_ins!AN:AN,MATCH('001_population_health_zone_zs'!$B$2,[1]ratio_ins!$B:$B,0))*$G21*INDEX([1]ratio_ins!$D:$D,MATCH('001_population_health_zone_zs'!$B21,[1]ratio_ins!$B:$B,0))</f>
        <v>3983.1891050000004</v>
      </c>
      <c r="AR21" s="10">
        <f>INDEX([1]ratio_ins!AO:AO,MATCH('001_population_health_zone_zs'!$B$2,[1]ratio_ins!$B:$B,0))*$G21*INDEX([1]ratio_ins!$D:$D,MATCH('001_population_health_zone_zs'!$B21,[1]ratio_ins!$B:$B,0))</f>
        <v>1905.0034850000004</v>
      </c>
      <c r="AS21" s="13">
        <f>INDEX([1]ratio_ins!AP:AP,MATCH('001_population_health_zone_zs'!$B$2,[1]ratio_ins!$B:$B,0))*$G21*INDEX([1]ratio_ins!$D:$D,MATCH('001_population_health_zone_zs'!$B21,[1]ratio_ins!$B:$B,0))</f>
        <v>70866.129642</v>
      </c>
      <c r="AT21" s="10">
        <f>INDEX([1]ratio_ins!AQ:AQ,MATCH('001_population_health_zone_zs'!$B$2,[1]ratio_ins!$B:$B,0))*$G21*INDEX([1]ratio_ins!$D:$D,MATCH('001_population_health_zone_zs'!$B21,[1]ratio_ins!$B:$B,0))</f>
        <v>1731.8213500000002</v>
      </c>
      <c r="AU21" s="10">
        <f>INDEX([1]ratio_ins!AR:AR,MATCH('001_population_health_zone_zs'!$B$2,[1]ratio_ins!$B:$B,0))*$G21*INDEX([1]ratio_ins!$D:$D,MATCH('001_population_health_zone_zs'!$B21,[1]ratio_ins!$B:$B,0))</f>
        <v>1039.0928100000001</v>
      </c>
      <c r="AV21" s="10">
        <f>INDEX([1]ratio_ins!AS:AS,MATCH('001_population_health_zone_zs'!$B$2,[1]ratio_ins!$B:$B,0))*$G21*INDEX([1]ratio_ins!$D:$D,MATCH('001_population_health_zone_zs'!$B21,[1]ratio_ins!$B:$B,0))</f>
        <v>519.54640500000005</v>
      </c>
      <c r="AW21" s="10">
        <f>INDEX([1]ratio_ins!AT:AT,MATCH('001_population_health_zone_zs'!$B$2,[1]ratio_ins!$B:$B,0))*$G21*INDEX([1]ratio_ins!$D:$D,MATCH('001_population_health_zone_zs'!$B21,[1]ratio_ins!$B:$B,0))</f>
        <v>346.36427000000003</v>
      </c>
      <c r="AX21" s="13">
        <f>INDEX([1]ratio_ins!AU:AU,MATCH('001_population_health_zone_zs'!$B$2,[1]ratio_ins!$B:$B,0))*$G21*INDEX([1]ratio_ins!$D:$D,MATCH('001_population_health_zone_zs'!$B21,[1]ratio_ins!$B:$B,0))</f>
        <v>3636.8248349999999</v>
      </c>
      <c r="AY21" s="14">
        <f t="shared" si="1"/>
        <v>173182.13500000001</v>
      </c>
      <c r="AZ21" s="15">
        <f t="shared" si="2"/>
        <v>348455</v>
      </c>
      <c r="BA21" s="16">
        <v>344423.16574679839</v>
      </c>
      <c r="BB21" s="10">
        <f t="shared" si="3"/>
        <v>73602.40737500001</v>
      </c>
      <c r="BC21" s="17">
        <f t="shared" si="4"/>
        <v>0.21122500000000002</v>
      </c>
      <c r="BD21" s="10">
        <f t="shared" si="5"/>
        <v>73088.784704999998</v>
      </c>
    </row>
    <row r="22" spans="1:56" x14ac:dyDescent="0.25">
      <c r="A22" s="8" t="s">
        <v>10</v>
      </c>
      <c r="B22" s="8" t="s">
        <v>11</v>
      </c>
      <c r="C22" s="8" t="s">
        <v>10</v>
      </c>
      <c r="D22" s="8" t="s">
        <v>12</v>
      </c>
      <c r="E22" s="8" t="s">
        <v>52</v>
      </c>
      <c r="F22" s="8" t="s">
        <v>53</v>
      </c>
      <c r="G22" s="9">
        <v>159680</v>
      </c>
      <c r="H22" s="10">
        <f>INDEX([1]ratio_ins!F:F,MATCH('001_population_health_zone_zs'!$B$2,[1]ratio_ins!$B:$B,0))*$G22*INDEX([1]ratio_ins!$C:$C,MATCH('001_population_health_zone_zs'!$B22,[1]ratio_ins!$B:$B,0))</f>
        <v>16786.679359999998</v>
      </c>
      <c r="I22" s="10">
        <f>INDEX([1]ratio_ins!G:G,MATCH('001_population_health_zone_zs'!$B$2,[1]ratio_ins!$B:$B,0))*$G22*INDEX([1]ratio_ins!$C:$C,MATCH('001_population_health_zone_zs'!$B22,[1]ratio_ins!$B:$B,0))</f>
        <v>13734.555840000001</v>
      </c>
      <c r="J22" s="10">
        <f>INDEX([1]ratio_ins!H:H,MATCH('001_population_health_zone_zs'!$B$2,[1]ratio_ins!$B:$B,0))*$G22*INDEX([1]ratio_ins!$C:$C,MATCH('001_population_health_zone_zs'!$B22,[1]ratio_ins!$B:$B,0))</f>
        <v>10843.070400000002</v>
      </c>
      <c r="K22" s="10">
        <f>INDEX([1]ratio_ins!I:I,MATCH('001_population_health_zone_zs'!$B$2,[1]ratio_ins!$B:$B,0))*$G22*INDEX([1]ratio_ins!$C:$C,MATCH('001_population_health_zone_zs'!$B22,[1]ratio_ins!$B:$B,0))</f>
        <v>6666.4803200000006</v>
      </c>
      <c r="L22" s="10">
        <f>INDEX([1]ratio_ins!J:J,MATCH('001_population_health_zone_zs'!$B$2,[1]ratio_ins!$B:$B,0))*$G22*INDEX([1]ratio_ins!$C:$C,MATCH('001_population_health_zone_zs'!$B22,[1]ratio_ins!$B:$B,0))</f>
        <v>3999.8881919999999</v>
      </c>
      <c r="M22" s="11">
        <f>INDEX([1]ratio_ins!K:K,MATCH('001_population_health_zone_zs'!$B$2,[1]ratio_ins!$B:$B,0))*$G22*INDEX([1]ratio_ins!$C:$C,MATCH('001_population_health_zone_zs'!$B22,[1]ratio_ins!$B:$B,0))</f>
        <v>45364.193791999998</v>
      </c>
      <c r="N22" s="10">
        <f>INDEX([1]ratio_ins!L:L,MATCH('001_population_health_zone_zs'!$B$2,[1]ratio_ins!$B:$B,0))*$G22*INDEX([1]ratio_ins!$C:$C,MATCH('001_population_health_zone_zs'!$B22,[1]ratio_ins!$B:$B,0))</f>
        <v>2666.5921280000002</v>
      </c>
      <c r="O22" s="10">
        <f>INDEX([1]ratio_ins!M:M,MATCH('001_population_health_zone_zs'!$B$2,[1]ratio_ins!$B:$B,0))*$G22*INDEX([1]ratio_ins!$C:$C,MATCH('001_population_health_zone_zs'!$B22,[1]ratio_ins!$B:$B,0))</f>
        <v>5782.9708800000008</v>
      </c>
      <c r="P22" s="10">
        <f>INDEX([1]ratio_ins!N:N,MATCH('001_population_health_zone_zs'!$B$2,[1]ratio_ins!$B:$B,0))*$G22*INDEX([1]ratio_ins!$C:$C,MATCH('001_population_health_zone_zs'!$B22,[1]ratio_ins!$B:$B,0))</f>
        <v>5220.7376000000004</v>
      </c>
      <c r="Q22" s="10">
        <f>INDEX([1]ratio_ins!O:O,MATCH('001_population_health_zone_zs'!$B$2,[1]ratio_ins!$B:$B,0))*$G22*INDEX([1]ratio_ins!$C:$C,MATCH('001_population_health_zone_zs'!$B22,[1]ratio_ins!$B:$B,0))</f>
        <v>4658.5043199999991</v>
      </c>
      <c r="R22" s="10">
        <f>INDEX([1]ratio_ins!P:P,MATCH('001_population_health_zone_zs'!$B$2,[1]ratio_ins!$B:$B,0))*$G22*INDEX([1]ratio_ins!$C:$C,MATCH('001_population_health_zone_zs'!$B22,[1]ratio_ins!$B:$B,0))</f>
        <v>4578.1852799999997</v>
      </c>
      <c r="S22" s="10">
        <f>INDEX([1]ratio_ins!Q:Q,MATCH('001_population_health_zone_zs'!$B$2,[1]ratio_ins!$B:$B,0))*$G22*INDEX([1]ratio_ins!$C:$C,MATCH('001_population_health_zone_zs'!$B22,[1]ratio_ins!$B:$B,0))</f>
        <v>3855.3139200000001</v>
      </c>
      <c r="T22" s="10">
        <f>INDEX([1]ratio_ins!R:R,MATCH('001_population_health_zone_zs'!$B$2,[1]ratio_ins!$B:$B,0))*$G22*INDEX([1]ratio_ins!$C:$C,MATCH('001_population_health_zone_zs'!$B22,[1]ratio_ins!$B:$B,0))</f>
        <v>2730.8473600000002</v>
      </c>
      <c r="U22" s="10">
        <f>INDEX([1]ratio_ins!S:S,MATCH('001_population_health_zone_zs'!$B$2,[1]ratio_ins!$B:$B,0))*$G22*INDEX([1]ratio_ins!$C:$C,MATCH('001_population_health_zone_zs'!$B22,[1]ratio_ins!$B:$B,0))</f>
        <v>2168.6140800000003</v>
      </c>
      <c r="V22" s="10">
        <f>INDEX([1]ratio_ins!T:T,MATCH('001_population_health_zone_zs'!$B$2,[1]ratio_ins!$B:$B,0))*$G22*INDEX([1]ratio_ins!$C:$C,MATCH('001_population_health_zone_zs'!$B22,[1]ratio_ins!$B:$B,0))</f>
        <v>1204.7855999999999</v>
      </c>
      <c r="W22" s="11">
        <f>INDEX([1]ratio_ins!U:U,MATCH('001_population_health_zone_zs'!$B$2,[1]ratio_ins!$B:$B,0))*$G22*INDEX([1]ratio_ins!$C:$C,MATCH('001_population_health_zone_zs'!$B22,[1]ratio_ins!$B:$B,0))</f>
        <v>32866.551168000005</v>
      </c>
      <c r="X22" s="10">
        <f>INDEX([1]ratio_ins!V:V,MATCH('001_population_health_zone_zs'!$B$2,[1]ratio_ins!$B:$B,0))*$G22*INDEX([1]ratio_ins!$C:$C,MATCH('001_population_health_zone_zs'!$B22,[1]ratio_ins!$B:$B,0))</f>
        <v>963.82848000000001</v>
      </c>
      <c r="Y22" s="10">
        <f>INDEX([1]ratio_ins!W:W,MATCH('001_population_health_zone_zs'!$B$2,[1]ratio_ins!$B:$B,0))*$G22*INDEX([1]ratio_ins!$C:$C,MATCH('001_population_health_zone_zs'!$B22,[1]ratio_ins!$B:$B,0))</f>
        <v>642.55232000000001</v>
      </c>
      <c r="Z22" s="10">
        <f>INDEX([1]ratio_ins!X:X,MATCH('001_population_health_zone_zs'!$B$2,[1]ratio_ins!$B:$B,0))*$G22*INDEX([1]ratio_ins!$C:$C,MATCH('001_population_health_zone_zs'!$B22,[1]ratio_ins!$B:$B,0))</f>
        <v>321.27616</v>
      </c>
      <c r="AA22" s="10">
        <f>INDEX([1]ratio_ins!Y:Y,MATCH('001_population_health_zone_zs'!$B$2,[1]ratio_ins!$B:$B,0))*$G22*INDEX([1]ratio_ins!$C:$C,MATCH('001_population_health_zone_zs'!$B22,[1]ratio_ins!$B:$B,0))</f>
        <v>160.63808</v>
      </c>
      <c r="AB22" s="11">
        <f>INDEX([1]ratio_ins!Z:Z,MATCH('001_population_health_zone_zs'!$B$2,[1]ratio_ins!$B:$B,0))*$G22*INDEX([1]ratio_ins!$C:$C,MATCH('001_population_health_zone_zs'!$B22,[1]ratio_ins!$B:$B,0))</f>
        <v>2088.29504</v>
      </c>
      <c r="AC22" s="12">
        <f t="shared" si="0"/>
        <v>80319.040000000008</v>
      </c>
      <c r="AD22" s="10">
        <f>INDEX([1]ratio_ins!AA:AA,MATCH('001_population_health_zone_zs'!$B$2,[1]ratio_ins!$B:$B,0))*$G22*INDEX([1]ratio_ins!$D:$D,MATCH('001_population_health_zone_zs'!$B22,[1]ratio_ins!$B:$B,0))</f>
        <v>16665.801599999999</v>
      </c>
      <c r="AE22" s="10">
        <f>INDEX([1]ratio_ins!AB:AB,MATCH('001_population_health_zone_zs'!$B$2,[1]ratio_ins!$B:$B,0))*$G22*INDEX([1]ratio_ins!$D:$D,MATCH('001_population_health_zone_zs'!$B22,[1]ratio_ins!$B:$B,0))</f>
        <v>13729.446080000003</v>
      </c>
      <c r="AF22" s="10">
        <f>INDEX([1]ratio_ins!AC:AC,MATCH('001_population_health_zone_zs'!$B$2,[1]ratio_ins!$B:$B,0))*$G22*INDEX([1]ratio_ins!$D:$D,MATCH('001_population_health_zone_zs'!$B22,[1]ratio_ins!$B:$B,0))</f>
        <v>10872.451519999999</v>
      </c>
      <c r="AG22" s="10">
        <f>INDEX([1]ratio_ins!AD:AD,MATCH('001_population_health_zone_zs'!$B$2,[1]ratio_ins!$B:$B,0))*$G22*INDEX([1]ratio_ins!$D:$D,MATCH('001_population_health_zone_zs'!$B22,[1]ratio_ins!$B:$B,0))</f>
        <v>6586.9596800000008</v>
      </c>
      <c r="AH22" s="10">
        <f>INDEX([1]ratio_ins!AE:AE,MATCH('001_population_health_zone_zs'!$B$2,[1]ratio_ins!$B:$B,0))*$G22*INDEX([1]ratio_ins!$D:$D,MATCH('001_population_health_zone_zs'!$B22,[1]ratio_ins!$B:$B,0))</f>
        <v>3952.175808</v>
      </c>
      <c r="AI22" s="13">
        <f>INDEX([1]ratio_ins!AF:AF,MATCH('001_population_health_zone_zs'!$B$2,[1]ratio_ins!$B:$B,0))*$G22*INDEX([1]ratio_ins!$D:$D,MATCH('001_population_health_zone_zs'!$B22,[1]ratio_ins!$B:$B,0))</f>
        <v>45219.875008000003</v>
      </c>
      <c r="AJ22" s="10">
        <f>INDEX([1]ratio_ins!AG:AG,MATCH('001_population_health_zone_zs'!$B$2,[1]ratio_ins!$B:$B,0))*$G22*INDEX([1]ratio_ins!$D:$D,MATCH('001_population_health_zone_zs'!$B22,[1]ratio_ins!$B:$B,0))</f>
        <v>2634.7838720000004</v>
      </c>
      <c r="AK22" s="10">
        <f>INDEX([1]ratio_ins!AH:AH,MATCH('001_population_health_zone_zs'!$B$2,[1]ratio_ins!$B:$B,0))*$G22*INDEX([1]ratio_ins!$D:$D,MATCH('001_population_health_zone_zs'!$B22,[1]ratio_ins!$B:$B,0))</f>
        <v>5872.711040000001</v>
      </c>
      <c r="AL22" s="10">
        <f>INDEX([1]ratio_ins!AI:AI,MATCH('001_population_health_zone_zs'!$B$2,[1]ratio_ins!$B:$B,0))*$G22*INDEX([1]ratio_ins!$D:$D,MATCH('001_population_health_zone_zs'!$B22,[1]ratio_ins!$B:$B,0))</f>
        <v>5555.2672000000011</v>
      </c>
      <c r="AM22" s="10">
        <f>INDEX([1]ratio_ins!AJ:AJ,MATCH('001_population_health_zone_zs'!$B$2,[1]ratio_ins!$B:$B,0))*$G22*INDEX([1]ratio_ins!$D:$D,MATCH('001_population_health_zone_zs'!$B22,[1]ratio_ins!$B:$B,0))</f>
        <v>5079.1014400000004</v>
      </c>
      <c r="AN22" s="10">
        <f>INDEX([1]ratio_ins!AK:AK,MATCH('001_population_health_zone_zs'!$B$2,[1]ratio_ins!$B:$B,0))*$G22*INDEX([1]ratio_ins!$D:$D,MATCH('001_population_health_zone_zs'!$B22,[1]ratio_ins!$B:$B,0))</f>
        <v>4761.6576000000005</v>
      </c>
      <c r="AO22" s="10">
        <f>INDEX([1]ratio_ins!AL:AL,MATCH('001_population_health_zone_zs'!$B$2,[1]ratio_ins!$B:$B,0))*$G22*INDEX([1]ratio_ins!$D:$D,MATCH('001_population_health_zone_zs'!$B22,[1]ratio_ins!$B:$B,0))</f>
        <v>3571.2431999999999</v>
      </c>
      <c r="AP22" s="10">
        <f>INDEX([1]ratio_ins!AM:AM,MATCH('001_population_health_zone_zs'!$B$2,[1]ratio_ins!$B:$B,0))*$G22*INDEX([1]ratio_ins!$D:$D,MATCH('001_population_health_zone_zs'!$B22,[1]ratio_ins!$B:$B,0))</f>
        <v>2301.4678399999998</v>
      </c>
      <c r="AQ22" s="10">
        <f>INDEX([1]ratio_ins!AN:AN,MATCH('001_population_health_zone_zs'!$B$2,[1]ratio_ins!$B:$B,0))*$G22*INDEX([1]ratio_ins!$D:$D,MATCH('001_population_health_zone_zs'!$B22,[1]ratio_ins!$B:$B,0))</f>
        <v>1825.3020800000002</v>
      </c>
      <c r="AR22" s="10">
        <f>INDEX([1]ratio_ins!AO:AO,MATCH('001_population_health_zone_zs'!$B$2,[1]ratio_ins!$B:$B,0))*$G22*INDEX([1]ratio_ins!$D:$D,MATCH('001_population_health_zone_zs'!$B22,[1]ratio_ins!$B:$B,0))</f>
        <v>872.97056000000021</v>
      </c>
      <c r="AS22" s="13">
        <f>INDEX([1]ratio_ins!AP:AP,MATCH('001_population_health_zone_zs'!$B$2,[1]ratio_ins!$B:$B,0))*$G22*INDEX([1]ratio_ins!$D:$D,MATCH('001_population_health_zone_zs'!$B22,[1]ratio_ins!$B:$B,0))</f>
        <v>32474.504832000006</v>
      </c>
      <c r="AT22" s="10">
        <f>INDEX([1]ratio_ins!AQ:AQ,MATCH('001_population_health_zone_zs'!$B$2,[1]ratio_ins!$B:$B,0))*$G22*INDEX([1]ratio_ins!$D:$D,MATCH('001_population_health_zone_zs'!$B22,[1]ratio_ins!$B:$B,0))</f>
        <v>793.60960000000011</v>
      </c>
      <c r="AU22" s="10">
        <f>INDEX([1]ratio_ins!AR:AR,MATCH('001_population_health_zone_zs'!$B$2,[1]ratio_ins!$B:$B,0))*$G22*INDEX([1]ratio_ins!$D:$D,MATCH('001_population_health_zone_zs'!$B22,[1]ratio_ins!$B:$B,0))</f>
        <v>476.16576000000009</v>
      </c>
      <c r="AV22" s="10">
        <f>INDEX([1]ratio_ins!AS:AS,MATCH('001_population_health_zone_zs'!$B$2,[1]ratio_ins!$B:$B,0))*$G22*INDEX([1]ratio_ins!$D:$D,MATCH('001_population_health_zone_zs'!$B22,[1]ratio_ins!$B:$B,0))</f>
        <v>238.08288000000005</v>
      </c>
      <c r="AW22" s="10">
        <f>INDEX([1]ratio_ins!AT:AT,MATCH('001_population_health_zone_zs'!$B$2,[1]ratio_ins!$B:$B,0))*$G22*INDEX([1]ratio_ins!$D:$D,MATCH('001_population_health_zone_zs'!$B22,[1]ratio_ins!$B:$B,0))</f>
        <v>158.72192000000001</v>
      </c>
      <c r="AX22" s="13">
        <f>INDEX([1]ratio_ins!AU:AU,MATCH('001_population_health_zone_zs'!$B$2,[1]ratio_ins!$B:$B,0))*$G22*INDEX([1]ratio_ins!$D:$D,MATCH('001_population_health_zone_zs'!$B22,[1]ratio_ins!$B:$B,0))</f>
        <v>1666.58016</v>
      </c>
      <c r="AY22" s="14">
        <f t="shared" si="1"/>
        <v>79360.960000000006</v>
      </c>
      <c r="AZ22" s="15">
        <f t="shared" si="2"/>
        <v>159680</v>
      </c>
      <c r="BA22" s="16">
        <v>157833.03530053439</v>
      </c>
      <c r="BB22" s="10">
        <f t="shared" si="3"/>
        <v>33728.408000000003</v>
      </c>
      <c r="BC22" s="17">
        <f t="shared" si="4"/>
        <v>0.21122500000000002</v>
      </c>
      <c r="BD22" s="10">
        <f t="shared" si="5"/>
        <v>33493.039680000002</v>
      </c>
    </row>
    <row r="23" spans="1:56" x14ac:dyDescent="0.25">
      <c r="A23" s="8" t="s">
        <v>10</v>
      </c>
      <c r="B23" s="8" t="s">
        <v>11</v>
      </c>
      <c r="C23" s="8" t="s">
        <v>10</v>
      </c>
      <c r="D23" s="8" t="s">
        <v>12</v>
      </c>
      <c r="E23" s="8" t="s">
        <v>54</v>
      </c>
      <c r="F23" s="8" t="s">
        <v>55</v>
      </c>
      <c r="G23" s="9">
        <v>570852</v>
      </c>
      <c r="H23" s="10">
        <f>INDEX([1]ratio_ins!F:F,MATCH('001_population_health_zone_zs'!$B$2,[1]ratio_ins!$B:$B,0))*$G23*INDEX([1]ratio_ins!$C:$C,MATCH('001_population_health_zone_zs'!$B23,[1]ratio_ins!$B:$B,0))</f>
        <v>60011.958204000002</v>
      </c>
      <c r="I23" s="10">
        <f>INDEX([1]ratio_ins!G:G,MATCH('001_population_health_zone_zs'!$B$2,[1]ratio_ins!$B:$B,0))*$G23*INDEX([1]ratio_ins!$C:$C,MATCH('001_population_health_zone_zs'!$B23,[1]ratio_ins!$B:$B,0))</f>
        <v>49100.693076000003</v>
      </c>
      <c r="J23" s="10">
        <f>INDEX([1]ratio_ins!H:H,MATCH('001_population_health_zone_zs'!$B$2,[1]ratio_ins!$B:$B,0))*$G23*INDEX([1]ratio_ins!$C:$C,MATCH('001_population_health_zone_zs'!$B23,[1]ratio_ins!$B:$B,0))</f>
        <v>38763.70506</v>
      </c>
      <c r="K23" s="10">
        <f>INDEX([1]ratio_ins!I:I,MATCH('001_population_health_zone_zs'!$B$2,[1]ratio_ins!$B:$B,0))*$G23*INDEX([1]ratio_ins!$C:$C,MATCH('001_population_health_zone_zs'!$B23,[1]ratio_ins!$B:$B,0))</f>
        <v>23832.500147999999</v>
      </c>
      <c r="L23" s="10">
        <f>INDEX([1]ratio_ins!J:J,MATCH('001_population_health_zone_zs'!$B$2,[1]ratio_ins!$B:$B,0))*$G23*INDEX([1]ratio_ins!$C:$C,MATCH('001_population_health_zone_zs'!$B23,[1]ratio_ins!$B:$B,0))</f>
        <v>14299.5000888</v>
      </c>
      <c r="M23" s="11">
        <f>INDEX([1]ratio_ins!K:K,MATCH('001_population_health_zone_zs'!$B$2,[1]ratio_ins!$B:$B,0))*$G23*INDEX([1]ratio_ins!$C:$C,MATCH('001_population_health_zone_zs'!$B23,[1]ratio_ins!$B:$B,0))</f>
        <v>162175.85642880001</v>
      </c>
      <c r="N23" s="10">
        <f>INDEX([1]ratio_ins!L:L,MATCH('001_population_health_zone_zs'!$B$2,[1]ratio_ins!$B:$B,0))*$G23*INDEX([1]ratio_ins!$C:$C,MATCH('001_population_health_zone_zs'!$B23,[1]ratio_ins!$B:$B,0))</f>
        <v>9533.0000591999997</v>
      </c>
      <c r="O23" s="10">
        <f>INDEX([1]ratio_ins!M:M,MATCH('001_population_health_zone_zs'!$B$2,[1]ratio_ins!$B:$B,0))*$G23*INDEX([1]ratio_ins!$C:$C,MATCH('001_population_health_zone_zs'!$B23,[1]ratio_ins!$B:$B,0))</f>
        <v>20673.976032000002</v>
      </c>
      <c r="P23" s="10">
        <f>INDEX([1]ratio_ins!N:N,MATCH('001_population_health_zone_zs'!$B$2,[1]ratio_ins!$B:$B,0))*$G23*INDEX([1]ratio_ins!$C:$C,MATCH('001_population_health_zone_zs'!$B23,[1]ratio_ins!$B:$B,0))</f>
        <v>18664.006140000001</v>
      </c>
      <c r="Q23" s="10">
        <f>INDEX([1]ratio_ins!O:O,MATCH('001_population_health_zone_zs'!$B$2,[1]ratio_ins!$B:$B,0))*$G23*INDEX([1]ratio_ins!$C:$C,MATCH('001_population_health_zone_zs'!$B23,[1]ratio_ins!$B:$B,0))</f>
        <v>16654.036248</v>
      </c>
      <c r="R23" s="10">
        <f>INDEX([1]ratio_ins!P:P,MATCH('001_population_health_zone_zs'!$B$2,[1]ratio_ins!$B:$B,0))*$G23*INDEX([1]ratio_ins!$C:$C,MATCH('001_population_health_zone_zs'!$B23,[1]ratio_ins!$B:$B,0))</f>
        <v>16366.897692</v>
      </c>
      <c r="S23" s="10">
        <f>INDEX([1]ratio_ins!Q:Q,MATCH('001_population_health_zone_zs'!$B$2,[1]ratio_ins!$B:$B,0))*$G23*INDEX([1]ratio_ins!$C:$C,MATCH('001_population_health_zone_zs'!$B23,[1]ratio_ins!$B:$B,0))</f>
        <v>13782.650688</v>
      </c>
      <c r="T23" s="10">
        <f>INDEX([1]ratio_ins!R:R,MATCH('001_population_health_zone_zs'!$B$2,[1]ratio_ins!$B:$B,0))*$G23*INDEX([1]ratio_ins!$C:$C,MATCH('001_population_health_zone_zs'!$B23,[1]ratio_ins!$B:$B,0))</f>
        <v>9762.7109039999996</v>
      </c>
      <c r="U23" s="10">
        <f>INDEX([1]ratio_ins!S:S,MATCH('001_population_health_zone_zs'!$B$2,[1]ratio_ins!$B:$B,0))*$G23*INDEX([1]ratio_ins!$C:$C,MATCH('001_population_health_zone_zs'!$B23,[1]ratio_ins!$B:$B,0))</f>
        <v>7752.7410120000013</v>
      </c>
      <c r="V23" s="10">
        <f>INDEX([1]ratio_ins!T:T,MATCH('001_population_health_zone_zs'!$B$2,[1]ratio_ins!$B:$B,0))*$G23*INDEX([1]ratio_ins!$C:$C,MATCH('001_population_health_zone_zs'!$B23,[1]ratio_ins!$B:$B,0))</f>
        <v>4307.0783399999991</v>
      </c>
      <c r="W23" s="11">
        <f>INDEX([1]ratio_ins!U:U,MATCH('001_population_health_zone_zs'!$B$2,[1]ratio_ins!$B:$B,0))*$G23*INDEX([1]ratio_ins!$C:$C,MATCH('001_population_health_zone_zs'!$B23,[1]ratio_ins!$B:$B,0))</f>
        <v>117497.0971152</v>
      </c>
      <c r="X23" s="10">
        <f>INDEX([1]ratio_ins!V:V,MATCH('001_population_health_zone_zs'!$B$2,[1]ratio_ins!$B:$B,0))*$G23*INDEX([1]ratio_ins!$C:$C,MATCH('001_population_health_zone_zs'!$B23,[1]ratio_ins!$B:$B,0))</f>
        <v>3445.6626719999999</v>
      </c>
      <c r="Y23" s="10">
        <f>INDEX([1]ratio_ins!W:W,MATCH('001_population_health_zone_zs'!$B$2,[1]ratio_ins!$B:$B,0))*$G23*INDEX([1]ratio_ins!$C:$C,MATCH('001_population_health_zone_zs'!$B23,[1]ratio_ins!$B:$B,0))</f>
        <v>2297.108448</v>
      </c>
      <c r="Z23" s="10">
        <f>INDEX([1]ratio_ins!X:X,MATCH('001_population_health_zone_zs'!$B$2,[1]ratio_ins!$B:$B,0))*$G23*INDEX([1]ratio_ins!$C:$C,MATCH('001_population_health_zone_zs'!$B23,[1]ratio_ins!$B:$B,0))</f>
        <v>1148.554224</v>
      </c>
      <c r="AA23" s="10">
        <f>INDEX([1]ratio_ins!Y:Y,MATCH('001_population_health_zone_zs'!$B$2,[1]ratio_ins!$B:$B,0))*$G23*INDEX([1]ratio_ins!$C:$C,MATCH('001_population_health_zone_zs'!$B23,[1]ratio_ins!$B:$B,0))</f>
        <v>574.27711199999999</v>
      </c>
      <c r="AB23" s="11">
        <f>INDEX([1]ratio_ins!Z:Z,MATCH('001_population_health_zone_zs'!$B$2,[1]ratio_ins!$B:$B,0))*$G23*INDEX([1]ratio_ins!$C:$C,MATCH('001_population_health_zone_zs'!$B23,[1]ratio_ins!$B:$B,0))</f>
        <v>7465.6024560000005</v>
      </c>
      <c r="AC23" s="12">
        <f t="shared" si="0"/>
        <v>287138.55599999998</v>
      </c>
      <c r="AD23" s="10">
        <f>INDEX([1]ratio_ins!AA:AA,MATCH('001_population_health_zone_zs'!$B$2,[1]ratio_ins!$B:$B,0))*$G23*INDEX([1]ratio_ins!$D:$D,MATCH('001_population_health_zone_zs'!$B23,[1]ratio_ins!$B:$B,0))</f>
        <v>59579.823240000005</v>
      </c>
      <c r="AE23" s="10">
        <f>INDEX([1]ratio_ins!AB:AB,MATCH('001_population_health_zone_zs'!$B$2,[1]ratio_ins!$B:$B,0))*$G23*INDEX([1]ratio_ins!$D:$D,MATCH('001_population_health_zone_zs'!$B23,[1]ratio_ins!$B:$B,0))</f>
        <v>49082.425812000009</v>
      </c>
      <c r="AF23" s="10">
        <f>INDEX([1]ratio_ins!AC:AC,MATCH('001_population_health_zone_zs'!$B$2,[1]ratio_ins!$B:$B,0))*$G23*INDEX([1]ratio_ins!$D:$D,MATCH('001_population_health_zone_zs'!$B23,[1]ratio_ins!$B:$B,0))</f>
        <v>38868.741827999998</v>
      </c>
      <c r="AG23" s="10">
        <f>INDEX([1]ratio_ins!AD:AD,MATCH('001_population_health_zone_zs'!$B$2,[1]ratio_ins!$B:$B,0))*$G23*INDEX([1]ratio_ins!$D:$D,MATCH('001_population_health_zone_zs'!$B23,[1]ratio_ins!$B:$B,0))</f>
        <v>23548.215852000001</v>
      </c>
      <c r="AH23" s="10">
        <f>INDEX([1]ratio_ins!AE:AE,MATCH('001_population_health_zone_zs'!$B$2,[1]ratio_ins!$B:$B,0))*$G23*INDEX([1]ratio_ins!$D:$D,MATCH('001_population_health_zone_zs'!$B23,[1]ratio_ins!$B:$B,0))</f>
        <v>14128.929511200002</v>
      </c>
      <c r="AI23" s="13">
        <f>INDEX([1]ratio_ins!AF:AF,MATCH('001_population_health_zone_zs'!$B$2,[1]ratio_ins!$B:$B,0))*$G23*INDEX([1]ratio_ins!$D:$D,MATCH('001_population_health_zone_zs'!$B23,[1]ratio_ins!$B:$B,0))</f>
        <v>161659.92039120002</v>
      </c>
      <c r="AJ23" s="10">
        <f>INDEX([1]ratio_ins!AG:AG,MATCH('001_population_health_zone_zs'!$B$2,[1]ratio_ins!$B:$B,0))*$G23*INDEX([1]ratio_ins!$D:$D,MATCH('001_population_health_zone_zs'!$B23,[1]ratio_ins!$B:$B,0))</f>
        <v>9419.2863408000012</v>
      </c>
      <c r="AK23" s="10">
        <f>INDEX([1]ratio_ins!AH:AH,MATCH('001_population_health_zone_zs'!$B$2,[1]ratio_ins!$B:$B,0))*$G23*INDEX([1]ratio_ins!$D:$D,MATCH('001_population_health_zone_zs'!$B23,[1]ratio_ins!$B:$B,0))</f>
        <v>20994.794856000004</v>
      </c>
      <c r="AL23" s="10">
        <f>INDEX([1]ratio_ins!AI:AI,MATCH('001_population_health_zone_zs'!$B$2,[1]ratio_ins!$B:$B,0))*$G23*INDEX([1]ratio_ins!$D:$D,MATCH('001_population_health_zone_zs'!$B23,[1]ratio_ins!$B:$B,0))</f>
        <v>19859.941080000004</v>
      </c>
      <c r="AM23" s="10">
        <f>INDEX([1]ratio_ins!AJ:AJ,MATCH('001_population_health_zone_zs'!$B$2,[1]ratio_ins!$B:$B,0))*$G23*INDEX([1]ratio_ins!$D:$D,MATCH('001_population_health_zone_zs'!$B23,[1]ratio_ins!$B:$B,0))</f>
        <v>18157.660416000002</v>
      </c>
      <c r="AN23" s="10">
        <f>INDEX([1]ratio_ins!AK:AK,MATCH('001_population_health_zone_zs'!$B$2,[1]ratio_ins!$B:$B,0))*$G23*INDEX([1]ratio_ins!$D:$D,MATCH('001_population_health_zone_zs'!$B23,[1]ratio_ins!$B:$B,0))</f>
        <v>17022.806639999999</v>
      </c>
      <c r="AO23" s="10">
        <f>INDEX([1]ratio_ins!AL:AL,MATCH('001_population_health_zone_zs'!$B$2,[1]ratio_ins!$B:$B,0))*$G23*INDEX([1]ratio_ins!$D:$D,MATCH('001_population_health_zone_zs'!$B23,[1]ratio_ins!$B:$B,0))</f>
        <v>12767.104980000002</v>
      </c>
      <c r="AP23" s="10">
        <f>INDEX([1]ratio_ins!AM:AM,MATCH('001_population_health_zone_zs'!$B$2,[1]ratio_ins!$B:$B,0))*$G23*INDEX([1]ratio_ins!$D:$D,MATCH('001_population_health_zone_zs'!$B23,[1]ratio_ins!$B:$B,0))</f>
        <v>8227.6898760000004</v>
      </c>
      <c r="AQ23" s="10">
        <f>INDEX([1]ratio_ins!AN:AN,MATCH('001_population_health_zone_zs'!$B$2,[1]ratio_ins!$B:$B,0))*$G23*INDEX([1]ratio_ins!$D:$D,MATCH('001_population_health_zone_zs'!$B23,[1]ratio_ins!$B:$B,0))</f>
        <v>6525.4092120000005</v>
      </c>
      <c r="AR23" s="10">
        <f>INDEX([1]ratio_ins!AO:AO,MATCH('001_population_health_zone_zs'!$B$2,[1]ratio_ins!$B:$B,0))*$G23*INDEX([1]ratio_ins!$D:$D,MATCH('001_population_health_zone_zs'!$B23,[1]ratio_ins!$B:$B,0))</f>
        <v>3120.8478840000007</v>
      </c>
      <c r="AS23" s="13">
        <f>INDEX([1]ratio_ins!AP:AP,MATCH('001_population_health_zone_zs'!$B$2,[1]ratio_ins!$B:$B,0))*$G23*INDEX([1]ratio_ins!$D:$D,MATCH('001_population_health_zone_zs'!$B23,[1]ratio_ins!$B:$B,0))</f>
        <v>116095.54128480001</v>
      </c>
      <c r="AT23" s="10">
        <f>INDEX([1]ratio_ins!AQ:AQ,MATCH('001_population_health_zone_zs'!$B$2,[1]ratio_ins!$B:$B,0))*$G23*INDEX([1]ratio_ins!$D:$D,MATCH('001_population_health_zone_zs'!$B23,[1]ratio_ins!$B:$B,0))</f>
        <v>2837.1344400000007</v>
      </c>
      <c r="AU23" s="10">
        <f>INDEX([1]ratio_ins!AR:AR,MATCH('001_population_health_zone_zs'!$B$2,[1]ratio_ins!$B:$B,0))*$G23*INDEX([1]ratio_ins!$D:$D,MATCH('001_population_health_zone_zs'!$B23,[1]ratio_ins!$B:$B,0))</f>
        <v>1702.2806640000001</v>
      </c>
      <c r="AV23" s="10">
        <f>INDEX([1]ratio_ins!AS:AS,MATCH('001_population_health_zone_zs'!$B$2,[1]ratio_ins!$B:$B,0))*$G23*INDEX([1]ratio_ins!$D:$D,MATCH('001_population_health_zone_zs'!$B23,[1]ratio_ins!$B:$B,0))</f>
        <v>851.14033200000006</v>
      </c>
      <c r="AW23" s="10">
        <f>INDEX([1]ratio_ins!AT:AT,MATCH('001_population_health_zone_zs'!$B$2,[1]ratio_ins!$B:$B,0))*$G23*INDEX([1]ratio_ins!$D:$D,MATCH('001_population_health_zone_zs'!$B23,[1]ratio_ins!$B:$B,0))</f>
        <v>567.42688800000008</v>
      </c>
      <c r="AX23" s="13">
        <f>INDEX([1]ratio_ins!AU:AU,MATCH('001_population_health_zone_zs'!$B$2,[1]ratio_ins!$B:$B,0))*$G23*INDEX([1]ratio_ins!$D:$D,MATCH('001_population_health_zone_zs'!$B23,[1]ratio_ins!$B:$B,0))</f>
        <v>5957.9823239999996</v>
      </c>
      <c r="AY23" s="14">
        <f t="shared" si="1"/>
        <v>283713.44400000002</v>
      </c>
      <c r="AZ23" s="15">
        <f t="shared" si="2"/>
        <v>570852</v>
      </c>
      <c r="BA23" s="16">
        <v>564247.43956255156</v>
      </c>
      <c r="BB23" s="10">
        <f t="shared" si="3"/>
        <v>120578.21370000001</v>
      </c>
      <c r="BC23" s="17">
        <f t="shared" si="4"/>
        <v>0.21122500000000002</v>
      </c>
      <c r="BD23" s="10">
        <f t="shared" si="5"/>
        <v>119736.777852</v>
      </c>
    </row>
    <row r="24" spans="1:56" x14ac:dyDescent="0.25">
      <c r="A24" s="8" t="s">
        <v>10</v>
      </c>
      <c r="B24" s="8" t="s">
        <v>11</v>
      </c>
      <c r="C24" s="8" t="s">
        <v>10</v>
      </c>
      <c r="D24" s="8" t="s">
        <v>12</v>
      </c>
      <c r="E24" s="8" t="s">
        <v>56</v>
      </c>
      <c r="F24" s="8" t="s">
        <v>57</v>
      </c>
      <c r="G24" s="9">
        <v>333867</v>
      </c>
      <c r="H24" s="10">
        <f>INDEX([1]ratio_ins!F:F,MATCH('001_population_health_zone_zs'!$B$2,[1]ratio_ins!$B:$B,0))*$G24*INDEX([1]ratio_ins!$C:$C,MATCH('001_population_health_zone_zs'!$B24,[1]ratio_ins!$B:$B,0))</f>
        <v>35098.436108999995</v>
      </c>
      <c r="I24" s="10">
        <f>INDEX([1]ratio_ins!G:G,MATCH('001_population_health_zone_zs'!$B$2,[1]ratio_ins!$B:$B,0))*$G24*INDEX([1]ratio_ins!$C:$C,MATCH('001_population_health_zone_zs'!$B24,[1]ratio_ins!$B:$B,0))</f>
        <v>28716.902271000003</v>
      </c>
      <c r="J24" s="10">
        <f>INDEX([1]ratio_ins!H:H,MATCH('001_population_health_zone_zs'!$B$2,[1]ratio_ins!$B:$B,0))*$G24*INDEX([1]ratio_ins!$C:$C,MATCH('001_population_health_zone_zs'!$B24,[1]ratio_ins!$B:$B,0))</f>
        <v>22671.238635000002</v>
      </c>
      <c r="K24" s="10">
        <f>INDEX([1]ratio_ins!I:I,MATCH('001_population_health_zone_zs'!$B$2,[1]ratio_ins!$B:$B,0))*$G24*INDEX([1]ratio_ins!$C:$C,MATCH('001_population_health_zone_zs'!$B24,[1]ratio_ins!$B:$B,0))</f>
        <v>13938.613383000002</v>
      </c>
      <c r="L24" s="10">
        <f>INDEX([1]ratio_ins!J:J,MATCH('001_population_health_zone_zs'!$B$2,[1]ratio_ins!$B:$B,0))*$G24*INDEX([1]ratio_ins!$C:$C,MATCH('001_population_health_zone_zs'!$B24,[1]ratio_ins!$B:$B,0))</f>
        <v>8363.168029800001</v>
      </c>
      <c r="M24" s="11">
        <f>INDEX([1]ratio_ins!K:K,MATCH('001_population_health_zone_zs'!$B$2,[1]ratio_ins!$B:$B,0))*$G24*INDEX([1]ratio_ins!$C:$C,MATCH('001_population_health_zone_zs'!$B24,[1]ratio_ins!$B:$B,0))</f>
        <v>94849.745044799987</v>
      </c>
      <c r="N24" s="10">
        <f>INDEX([1]ratio_ins!L:L,MATCH('001_population_health_zone_zs'!$B$2,[1]ratio_ins!$B:$B,0))*$G24*INDEX([1]ratio_ins!$C:$C,MATCH('001_population_health_zone_zs'!$B24,[1]ratio_ins!$B:$B,0))</f>
        <v>5575.4453532000007</v>
      </c>
      <c r="O24" s="10">
        <f>INDEX([1]ratio_ins!M:M,MATCH('001_population_health_zone_zs'!$B$2,[1]ratio_ins!$B:$B,0))*$G24*INDEX([1]ratio_ins!$C:$C,MATCH('001_population_health_zone_zs'!$B24,[1]ratio_ins!$B:$B,0))</f>
        <v>12091.327272000002</v>
      </c>
      <c r="P24" s="10">
        <f>INDEX([1]ratio_ins!N:N,MATCH('001_population_health_zone_zs'!$B$2,[1]ratio_ins!$B:$B,0))*$G24*INDEX([1]ratio_ins!$C:$C,MATCH('001_population_health_zone_zs'!$B24,[1]ratio_ins!$B:$B,0))</f>
        <v>10915.781564999999</v>
      </c>
      <c r="Q24" s="10">
        <f>INDEX([1]ratio_ins!O:O,MATCH('001_population_health_zone_zs'!$B$2,[1]ratio_ins!$B:$B,0))*$G24*INDEX([1]ratio_ins!$C:$C,MATCH('001_population_health_zone_zs'!$B24,[1]ratio_ins!$B:$B,0))</f>
        <v>9740.235858</v>
      </c>
      <c r="R24" s="10">
        <f>INDEX([1]ratio_ins!P:P,MATCH('001_population_health_zone_zs'!$B$2,[1]ratio_ins!$B:$B,0))*$G24*INDEX([1]ratio_ins!$C:$C,MATCH('001_population_health_zone_zs'!$B24,[1]ratio_ins!$B:$B,0))</f>
        <v>9572.3007570000009</v>
      </c>
      <c r="S24" s="10">
        <f>INDEX([1]ratio_ins!Q:Q,MATCH('001_population_health_zone_zs'!$B$2,[1]ratio_ins!$B:$B,0))*$G24*INDEX([1]ratio_ins!$C:$C,MATCH('001_population_health_zone_zs'!$B24,[1]ratio_ins!$B:$B,0))</f>
        <v>8060.8848479999997</v>
      </c>
      <c r="T24" s="10">
        <f>INDEX([1]ratio_ins!R:R,MATCH('001_population_health_zone_zs'!$B$2,[1]ratio_ins!$B:$B,0))*$G24*INDEX([1]ratio_ins!$C:$C,MATCH('001_population_health_zone_zs'!$B24,[1]ratio_ins!$B:$B,0))</f>
        <v>5709.7934340000002</v>
      </c>
      <c r="U24" s="10">
        <f>INDEX([1]ratio_ins!S:S,MATCH('001_population_health_zone_zs'!$B$2,[1]ratio_ins!$B:$B,0))*$G24*INDEX([1]ratio_ins!$C:$C,MATCH('001_population_health_zone_zs'!$B24,[1]ratio_ins!$B:$B,0))</f>
        <v>4534.2477270000009</v>
      </c>
      <c r="V24" s="10">
        <f>INDEX([1]ratio_ins!T:T,MATCH('001_population_health_zone_zs'!$B$2,[1]ratio_ins!$B:$B,0))*$G24*INDEX([1]ratio_ins!$C:$C,MATCH('001_population_health_zone_zs'!$B24,[1]ratio_ins!$B:$B,0))</f>
        <v>2519.026515</v>
      </c>
      <c r="W24" s="11">
        <f>INDEX([1]ratio_ins!U:U,MATCH('001_population_health_zone_zs'!$B$2,[1]ratio_ins!$B:$B,0))*$G24*INDEX([1]ratio_ins!$C:$C,MATCH('001_population_health_zone_zs'!$B24,[1]ratio_ins!$B:$B,0))</f>
        <v>68719.043329200009</v>
      </c>
      <c r="X24" s="10">
        <f>INDEX([1]ratio_ins!V:V,MATCH('001_population_health_zone_zs'!$B$2,[1]ratio_ins!$B:$B,0))*$G24*INDEX([1]ratio_ins!$C:$C,MATCH('001_population_health_zone_zs'!$B24,[1]ratio_ins!$B:$B,0))</f>
        <v>2015.2212119999999</v>
      </c>
      <c r="Y24" s="10">
        <f>INDEX([1]ratio_ins!W:W,MATCH('001_population_health_zone_zs'!$B$2,[1]ratio_ins!$B:$B,0))*$G24*INDEX([1]ratio_ins!$C:$C,MATCH('001_population_health_zone_zs'!$B24,[1]ratio_ins!$B:$B,0))</f>
        <v>1343.480808</v>
      </c>
      <c r="Z24" s="10">
        <f>INDEX([1]ratio_ins!X:X,MATCH('001_population_health_zone_zs'!$B$2,[1]ratio_ins!$B:$B,0))*$G24*INDEX([1]ratio_ins!$C:$C,MATCH('001_population_health_zone_zs'!$B24,[1]ratio_ins!$B:$B,0))</f>
        <v>671.74040400000001</v>
      </c>
      <c r="AA24" s="10">
        <f>INDEX([1]ratio_ins!Y:Y,MATCH('001_population_health_zone_zs'!$B$2,[1]ratio_ins!$B:$B,0))*$G24*INDEX([1]ratio_ins!$C:$C,MATCH('001_population_health_zone_zs'!$B24,[1]ratio_ins!$B:$B,0))</f>
        <v>335.87020200000001</v>
      </c>
      <c r="AB24" s="11">
        <f>INDEX([1]ratio_ins!Z:Z,MATCH('001_population_health_zone_zs'!$B$2,[1]ratio_ins!$B:$B,0))*$G24*INDEX([1]ratio_ins!$C:$C,MATCH('001_population_health_zone_zs'!$B24,[1]ratio_ins!$B:$B,0))</f>
        <v>4366.3126260000008</v>
      </c>
      <c r="AC24" s="12">
        <f t="shared" si="0"/>
        <v>167935.101</v>
      </c>
      <c r="AD24" s="10">
        <f>INDEX([1]ratio_ins!AA:AA,MATCH('001_population_health_zone_zs'!$B$2,[1]ratio_ins!$B:$B,0))*$G24*INDEX([1]ratio_ins!$D:$D,MATCH('001_population_health_zone_zs'!$B24,[1]ratio_ins!$B:$B,0))</f>
        <v>34845.698790000002</v>
      </c>
      <c r="AE24" s="10">
        <f>INDEX([1]ratio_ins!AB:AB,MATCH('001_population_health_zone_zs'!$B$2,[1]ratio_ins!$B:$B,0))*$G24*INDEX([1]ratio_ins!$D:$D,MATCH('001_population_health_zone_zs'!$B24,[1]ratio_ins!$B:$B,0))</f>
        <v>28706.218527000005</v>
      </c>
      <c r="AF24" s="10">
        <f>INDEX([1]ratio_ins!AC:AC,MATCH('001_population_health_zone_zs'!$B$2,[1]ratio_ins!$B:$B,0))*$G24*INDEX([1]ratio_ins!$D:$D,MATCH('001_population_health_zone_zs'!$B24,[1]ratio_ins!$B:$B,0))</f>
        <v>22732.670162999999</v>
      </c>
      <c r="AG24" s="10">
        <f>INDEX([1]ratio_ins!AD:AD,MATCH('001_population_health_zone_zs'!$B$2,[1]ratio_ins!$B:$B,0))*$G24*INDEX([1]ratio_ins!$D:$D,MATCH('001_population_health_zone_zs'!$B24,[1]ratio_ins!$B:$B,0))</f>
        <v>13772.347617000003</v>
      </c>
      <c r="AH24" s="10">
        <f>INDEX([1]ratio_ins!AE:AE,MATCH('001_population_health_zone_zs'!$B$2,[1]ratio_ins!$B:$B,0))*$G24*INDEX([1]ratio_ins!$D:$D,MATCH('001_population_health_zone_zs'!$B24,[1]ratio_ins!$B:$B,0))</f>
        <v>8263.4085702000011</v>
      </c>
      <c r="AI24" s="13">
        <f>INDEX([1]ratio_ins!AF:AF,MATCH('001_population_health_zone_zs'!$B$2,[1]ratio_ins!$B:$B,0))*$G24*INDEX([1]ratio_ins!$D:$D,MATCH('001_population_health_zone_zs'!$B24,[1]ratio_ins!$B:$B,0))</f>
        <v>94547.996050200003</v>
      </c>
      <c r="AJ24" s="10">
        <f>INDEX([1]ratio_ins!AG:AG,MATCH('001_population_health_zone_zs'!$B$2,[1]ratio_ins!$B:$B,0))*$G24*INDEX([1]ratio_ins!$D:$D,MATCH('001_population_health_zone_zs'!$B24,[1]ratio_ins!$B:$B,0))</f>
        <v>5508.9390468000011</v>
      </c>
      <c r="AK24" s="10">
        <f>INDEX([1]ratio_ins!AH:AH,MATCH('001_population_health_zone_zs'!$B$2,[1]ratio_ins!$B:$B,0))*$G24*INDEX([1]ratio_ins!$D:$D,MATCH('001_population_health_zone_zs'!$B24,[1]ratio_ins!$B:$B,0))</f>
        <v>12278.960526000003</v>
      </c>
      <c r="AL24" s="10">
        <f>INDEX([1]ratio_ins!AI:AI,MATCH('001_population_health_zone_zs'!$B$2,[1]ratio_ins!$B:$B,0))*$G24*INDEX([1]ratio_ins!$D:$D,MATCH('001_population_health_zone_zs'!$B24,[1]ratio_ins!$B:$B,0))</f>
        <v>11615.232930000002</v>
      </c>
      <c r="AM24" s="10">
        <f>INDEX([1]ratio_ins!AJ:AJ,MATCH('001_population_health_zone_zs'!$B$2,[1]ratio_ins!$B:$B,0))*$G24*INDEX([1]ratio_ins!$D:$D,MATCH('001_population_health_zone_zs'!$B24,[1]ratio_ins!$B:$B,0))</f>
        <v>10619.641536000001</v>
      </c>
      <c r="AN24" s="10">
        <f>INDEX([1]ratio_ins!AK:AK,MATCH('001_population_health_zone_zs'!$B$2,[1]ratio_ins!$B:$B,0))*$G24*INDEX([1]ratio_ins!$D:$D,MATCH('001_population_health_zone_zs'!$B24,[1]ratio_ins!$B:$B,0))</f>
        <v>9955.9139400000004</v>
      </c>
      <c r="AO24" s="10">
        <f>INDEX([1]ratio_ins!AL:AL,MATCH('001_population_health_zone_zs'!$B$2,[1]ratio_ins!$B:$B,0))*$G24*INDEX([1]ratio_ins!$D:$D,MATCH('001_population_health_zone_zs'!$B24,[1]ratio_ins!$B:$B,0))</f>
        <v>7466.9354550000007</v>
      </c>
      <c r="AP24" s="10">
        <f>INDEX([1]ratio_ins!AM:AM,MATCH('001_population_health_zone_zs'!$B$2,[1]ratio_ins!$B:$B,0))*$G24*INDEX([1]ratio_ins!$D:$D,MATCH('001_population_health_zone_zs'!$B24,[1]ratio_ins!$B:$B,0))</f>
        <v>4812.0250710000009</v>
      </c>
      <c r="AQ24" s="10">
        <f>INDEX([1]ratio_ins!AN:AN,MATCH('001_population_health_zone_zs'!$B$2,[1]ratio_ins!$B:$B,0))*$G24*INDEX([1]ratio_ins!$D:$D,MATCH('001_population_health_zone_zs'!$B24,[1]ratio_ins!$B:$B,0))</f>
        <v>3816.4336770000004</v>
      </c>
      <c r="AR24" s="10">
        <f>INDEX([1]ratio_ins!AO:AO,MATCH('001_population_health_zone_zs'!$B$2,[1]ratio_ins!$B:$B,0))*$G24*INDEX([1]ratio_ins!$D:$D,MATCH('001_population_health_zone_zs'!$B24,[1]ratio_ins!$B:$B,0))</f>
        <v>1825.2508890000004</v>
      </c>
      <c r="AS24" s="13">
        <f>INDEX([1]ratio_ins!AP:AP,MATCH('001_population_health_zone_zs'!$B$2,[1]ratio_ins!$B:$B,0))*$G24*INDEX([1]ratio_ins!$D:$D,MATCH('001_population_health_zone_zs'!$B24,[1]ratio_ins!$B:$B,0))</f>
        <v>67899.333070800014</v>
      </c>
      <c r="AT24" s="10">
        <f>INDEX([1]ratio_ins!AQ:AQ,MATCH('001_population_health_zone_zs'!$B$2,[1]ratio_ins!$B:$B,0))*$G24*INDEX([1]ratio_ins!$D:$D,MATCH('001_population_health_zone_zs'!$B24,[1]ratio_ins!$B:$B,0))</f>
        <v>1659.3189900000002</v>
      </c>
      <c r="AU24" s="10">
        <f>INDEX([1]ratio_ins!AR:AR,MATCH('001_population_health_zone_zs'!$B$2,[1]ratio_ins!$B:$B,0))*$G24*INDEX([1]ratio_ins!$D:$D,MATCH('001_population_health_zone_zs'!$B24,[1]ratio_ins!$B:$B,0))</f>
        <v>995.59139400000015</v>
      </c>
      <c r="AV24" s="10">
        <f>INDEX([1]ratio_ins!AS:AS,MATCH('001_population_health_zone_zs'!$B$2,[1]ratio_ins!$B:$B,0))*$G24*INDEX([1]ratio_ins!$D:$D,MATCH('001_population_health_zone_zs'!$B24,[1]ratio_ins!$B:$B,0))</f>
        <v>497.79569700000008</v>
      </c>
      <c r="AW24" s="10">
        <f>INDEX([1]ratio_ins!AT:AT,MATCH('001_population_health_zone_zs'!$B$2,[1]ratio_ins!$B:$B,0))*$G24*INDEX([1]ratio_ins!$D:$D,MATCH('001_population_health_zone_zs'!$B24,[1]ratio_ins!$B:$B,0))</f>
        <v>331.86379800000003</v>
      </c>
      <c r="AX24" s="13">
        <f>INDEX([1]ratio_ins!AU:AU,MATCH('001_population_health_zone_zs'!$B$2,[1]ratio_ins!$B:$B,0))*$G24*INDEX([1]ratio_ins!$D:$D,MATCH('001_population_health_zone_zs'!$B24,[1]ratio_ins!$B:$B,0))</f>
        <v>3484.5698790000001</v>
      </c>
      <c r="AY24" s="14">
        <f t="shared" si="1"/>
        <v>165931.899</v>
      </c>
      <c r="AZ24" s="15">
        <f t="shared" si="2"/>
        <v>333867</v>
      </c>
      <c r="BA24" s="16">
        <v>330004.41720215481</v>
      </c>
      <c r="BB24" s="10">
        <f t="shared" si="3"/>
        <v>70521.057075000004</v>
      </c>
      <c r="BC24" s="17">
        <f t="shared" si="4"/>
        <v>0.21122500000000002</v>
      </c>
      <c r="BD24" s="10">
        <f t="shared" si="5"/>
        <v>70028.937117000009</v>
      </c>
    </row>
    <row r="25" spans="1:56" x14ac:dyDescent="0.25">
      <c r="A25" s="8" t="s">
        <v>10</v>
      </c>
      <c r="B25" s="8" t="s">
        <v>11</v>
      </c>
      <c r="C25" s="8" t="s">
        <v>10</v>
      </c>
      <c r="D25" s="8" t="s">
        <v>12</v>
      </c>
      <c r="E25" s="8" t="s">
        <v>58</v>
      </c>
      <c r="F25" s="8" t="s">
        <v>59</v>
      </c>
      <c r="G25" s="9">
        <v>122221</v>
      </c>
      <c r="H25" s="10">
        <f>INDEX([1]ratio_ins!F:F,MATCH('001_population_health_zone_zs'!$B$2,[1]ratio_ins!$B:$B,0))*$G25*INDEX([1]ratio_ins!$C:$C,MATCH('001_population_health_zone_zs'!$B25,[1]ratio_ins!$B:$B,0))</f>
        <v>12848.727067</v>
      </c>
      <c r="I25" s="10">
        <f>INDEX([1]ratio_ins!G:G,MATCH('001_population_health_zone_zs'!$B$2,[1]ratio_ins!$B:$B,0))*$G25*INDEX([1]ratio_ins!$C:$C,MATCH('001_population_health_zone_zs'!$B25,[1]ratio_ins!$B:$B,0))</f>
        <v>10512.594873</v>
      </c>
      <c r="J25" s="10">
        <f>INDEX([1]ratio_ins!H:H,MATCH('001_population_health_zone_zs'!$B$2,[1]ratio_ins!$B:$B,0))*$G25*INDEX([1]ratio_ins!$C:$C,MATCH('001_population_health_zone_zs'!$B25,[1]ratio_ins!$B:$B,0))</f>
        <v>8299.4170050000012</v>
      </c>
      <c r="K25" s="10">
        <f>INDEX([1]ratio_ins!I:I,MATCH('001_population_health_zone_zs'!$B$2,[1]ratio_ins!$B:$B,0))*$G25*INDEX([1]ratio_ins!$C:$C,MATCH('001_population_health_zone_zs'!$B25,[1]ratio_ins!$B:$B,0))</f>
        <v>5102.6045290000002</v>
      </c>
      <c r="L25" s="10">
        <f>INDEX([1]ratio_ins!J:J,MATCH('001_population_health_zone_zs'!$B$2,[1]ratio_ins!$B:$B,0))*$G25*INDEX([1]ratio_ins!$C:$C,MATCH('001_population_health_zone_zs'!$B25,[1]ratio_ins!$B:$B,0))</f>
        <v>3061.5627173999997</v>
      </c>
      <c r="M25" s="11">
        <f>INDEX([1]ratio_ins!K:K,MATCH('001_population_health_zone_zs'!$B$2,[1]ratio_ins!$B:$B,0))*$G25*INDEX([1]ratio_ins!$C:$C,MATCH('001_population_health_zone_zs'!$B25,[1]ratio_ins!$B:$B,0))</f>
        <v>34722.301662399994</v>
      </c>
      <c r="N25" s="10">
        <f>INDEX([1]ratio_ins!L:L,MATCH('001_population_health_zone_zs'!$B$2,[1]ratio_ins!$B:$B,0))*$G25*INDEX([1]ratio_ins!$C:$C,MATCH('001_population_health_zone_zs'!$B25,[1]ratio_ins!$B:$B,0))</f>
        <v>2041.0418116000001</v>
      </c>
      <c r="O25" s="10">
        <f>INDEX([1]ratio_ins!M:M,MATCH('001_population_health_zone_zs'!$B$2,[1]ratio_ins!$B:$B,0))*$G25*INDEX([1]ratio_ins!$C:$C,MATCH('001_population_health_zone_zs'!$B25,[1]ratio_ins!$B:$B,0))</f>
        <v>4426.3557360000004</v>
      </c>
      <c r="P25" s="10">
        <f>INDEX([1]ratio_ins!N:N,MATCH('001_population_health_zone_zs'!$B$2,[1]ratio_ins!$B:$B,0))*$G25*INDEX([1]ratio_ins!$C:$C,MATCH('001_population_health_zone_zs'!$B25,[1]ratio_ins!$B:$B,0))</f>
        <v>3996.0155950000003</v>
      </c>
      <c r="Q25" s="10">
        <f>INDEX([1]ratio_ins!O:O,MATCH('001_population_health_zone_zs'!$B$2,[1]ratio_ins!$B:$B,0))*$G25*INDEX([1]ratio_ins!$C:$C,MATCH('001_population_health_zone_zs'!$B25,[1]ratio_ins!$B:$B,0))</f>
        <v>3565.6754539999997</v>
      </c>
      <c r="R25" s="10">
        <f>INDEX([1]ratio_ins!P:P,MATCH('001_population_health_zone_zs'!$B$2,[1]ratio_ins!$B:$B,0))*$G25*INDEX([1]ratio_ins!$C:$C,MATCH('001_population_health_zone_zs'!$B25,[1]ratio_ins!$B:$B,0))</f>
        <v>3504.1982910000002</v>
      </c>
      <c r="S25" s="10">
        <f>INDEX([1]ratio_ins!Q:Q,MATCH('001_population_health_zone_zs'!$B$2,[1]ratio_ins!$B:$B,0))*$G25*INDEX([1]ratio_ins!$C:$C,MATCH('001_population_health_zone_zs'!$B25,[1]ratio_ins!$B:$B,0))</f>
        <v>2950.903824</v>
      </c>
      <c r="T25" s="10">
        <f>INDEX([1]ratio_ins!R:R,MATCH('001_population_health_zone_zs'!$B$2,[1]ratio_ins!$B:$B,0))*$G25*INDEX([1]ratio_ins!$C:$C,MATCH('001_population_health_zone_zs'!$B25,[1]ratio_ins!$B:$B,0))</f>
        <v>2090.2235420000002</v>
      </c>
      <c r="U25" s="10">
        <f>INDEX([1]ratio_ins!S:S,MATCH('001_population_health_zone_zs'!$B$2,[1]ratio_ins!$B:$B,0))*$G25*INDEX([1]ratio_ins!$C:$C,MATCH('001_population_health_zone_zs'!$B25,[1]ratio_ins!$B:$B,0))</f>
        <v>1659.8834010000003</v>
      </c>
      <c r="V25" s="10">
        <f>INDEX([1]ratio_ins!T:T,MATCH('001_population_health_zone_zs'!$B$2,[1]ratio_ins!$B:$B,0))*$G25*INDEX([1]ratio_ins!$C:$C,MATCH('001_population_health_zone_zs'!$B25,[1]ratio_ins!$B:$B,0))</f>
        <v>922.15744499999994</v>
      </c>
      <c r="W25" s="11">
        <f>INDEX([1]ratio_ins!U:U,MATCH('001_population_health_zone_zs'!$B$2,[1]ratio_ins!$B:$B,0))*$G25*INDEX([1]ratio_ins!$C:$C,MATCH('001_population_health_zone_zs'!$B25,[1]ratio_ins!$B:$B,0))</f>
        <v>25156.4550996</v>
      </c>
      <c r="X25" s="10">
        <f>INDEX([1]ratio_ins!V:V,MATCH('001_population_health_zone_zs'!$B$2,[1]ratio_ins!$B:$B,0))*$G25*INDEX([1]ratio_ins!$C:$C,MATCH('001_population_health_zone_zs'!$B25,[1]ratio_ins!$B:$B,0))</f>
        <v>737.725956</v>
      </c>
      <c r="Y25" s="10">
        <f>INDEX([1]ratio_ins!W:W,MATCH('001_population_health_zone_zs'!$B$2,[1]ratio_ins!$B:$B,0))*$G25*INDEX([1]ratio_ins!$C:$C,MATCH('001_population_health_zone_zs'!$B25,[1]ratio_ins!$B:$B,0))</f>
        <v>491.81730400000004</v>
      </c>
      <c r="Z25" s="10">
        <f>INDEX([1]ratio_ins!X:X,MATCH('001_population_health_zone_zs'!$B$2,[1]ratio_ins!$B:$B,0))*$G25*INDEX([1]ratio_ins!$C:$C,MATCH('001_population_health_zone_zs'!$B25,[1]ratio_ins!$B:$B,0))</f>
        <v>245.90865200000002</v>
      </c>
      <c r="AA25" s="10">
        <f>INDEX([1]ratio_ins!Y:Y,MATCH('001_population_health_zone_zs'!$B$2,[1]ratio_ins!$B:$B,0))*$G25*INDEX([1]ratio_ins!$C:$C,MATCH('001_population_health_zone_zs'!$B25,[1]ratio_ins!$B:$B,0))</f>
        <v>122.95432600000001</v>
      </c>
      <c r="AB25" s="11">
        <f>INDEX([1]ratio_ins!Z:Z,MATCH('001_population_health_zone_zs'!$B$2,[1]ratio_ins!$B:$B,0))*$G25*INDEX([1]ratio_ins!$C:$C,MATCH('001_population_health_zone_zs'!$B25,[1]ratio_ins!$B:$B,0))</f>
        <v>1598.406238</v>
      </c>
      <c r="AC25" s="12">
        <f t="shared" si="0"/>
        <v>61477.162999999993</v>
      </c>
      <c r="AD25" s="10">
        <f>INDEX([1]ratio_ins!AA:AA,MATCH('001_population_health_zone_zs'!$B$2,[1]ratio_ins!$B:$B,0))*$G25*INDEX([1]ratio_ins!$D:$D,MATCH('001_population_health_zone_zs'!$B25,[1]ratio_ins!$B:$B,0))</f>
        <v>12756.20577</v>
      </c>
      <c r="AE25" s="10">
        <f>INDEX([1]ratio_ins!AB:AB,MATCH('001_population_health_zone_zs'!$B$2,[1]ratio_ins!$B:$B,0))*$G25*INDEX([1]ratio_ins!$D:$D,MATCH('001_population_health_zone_zs'!$B25,[1]ratio_ins!$B:$B,0))</f>
        <v>10508.683801000001</v>
      </c>
      <c r="AF25" s="10">
        <f>INDEX([1]ratio_ins!AC:AC,MATCH('001_population_health_zone_zs'!$B$2,[1]ratio_ins!$B:$B,0))*$G25*INDEX([1]ratio_ins!$D:$D,MATCH('001_population_health_zone_zs'!$B25,[1]ratio_ins!$B:$B,0))</f>
        <v>8321.9056689999998</v>
      </c>
      <c r="AG25" s="10">
        <f>INDEX([1]ratio_ins!AD:AD,MATCH('001_population_health_zone_zs'!$B$2,[1]ratio_ins!$B:$B,0))*$G25*INDEX([1]ratio_ins!$D:$D,MATCH('001_population_health_zone_zs'!$B25,[1]ratio_ins!$B:$B,0))</f>
        <v>5041.7384710000006</v>
      </c>
      <c r="AH25" s="10">
        <f>INDEX([1]ratio_ins!AE:AE,MATCH('001_population_health_zone_zs'!$B$2,[1]ratio_ins!$B:$B,0))*$G25*INDEX([1]ratio_ins!$D:$D,MATCH('001_population_health_zone_zs'!$B25,[1]ratio_ins!$B:$B,0))</f>
        <v>3025.0430826000002</v>
      </c>
      <c r="AI25" s="13">
        <f>INDEX([1]ratio_ins!AF:AF,MATCH('001_population_health_zone_zs'!$B$2,[1]ratio_ins!$B:$B,0))*$G25*INDEX([1]ratio_ins!$D:$D,MATCH('001_population_health_zone_zs'!$B25,[1]ratio_ins!$B:$B,0))</f>
        <v>34611.838322600008</v>
      </c>
      <c r="AJ25" s="10">
        <f>INDEX([1]ratio_ins!AG:AG,MATCH('001_population_health_zone_zs'!$B$2,[1]ratio_ins!$B:$B,0))*$G25*INDEX([1]ratio_ins!$D:$D,MATCH('001_population_health_zone_zs'!$B25,[1]ratio_ins!$B:$B,0))</f>
        <v>2016.6953884000002</v>
      </c>
      <c r="AK25" s="10">
        <f>INDEX([1]ratio_ins!AH:AH,MATCH('001_population_health_zone_zs'!$B$2,[1]ratio_ins!$B:$B,0))*$G25*INDEX([1]ratio_ins!$D:$D,MATCH('001_population_health_zone_zs'!$B25,[1]ratio_ins!$B:$B,0))</f>
        <v>4495.0439380000007</v>
      </c>
      <c r="AL25" s="10">
        <f>INDEX([1]ratio_ins!AI:AI,MATCH('001_population_health_zone_zs'!$B$2,[1]ratio_ins!$B:$B,0))*$G25*INDEX([1]ratio_ins!$D:$D,MATCH('001_population_health_zone_zs'!$B25,[1]ratio_ins!$B:$B,0))</f>
        <v>4252.0685900000008</v>
      </c>
      <c r="AM25" s="10">
        <f>INDEX([1]ratio_ins!AJ:AJ,MATCH('001_population_health_zone_zs'!$B$2,[1]ratio_ins!$B:$B,0))*$G25*INDEX([1]ratio_ins!$D:$D,MATCH('001_population_health_zone_zs'!$B25,[1]ratio_ins!$B:$B,0))</f>
        <v>3887.6055680000004</v>
      </c>
      <c r="AN25" s="10">
        <f>INDEX([1]ratio_ins!AK:AK,MATCH('001_population_health_zone_zs'!$B$2,[1]ratio_ins!$B:$B,0))*$G25*INDEX([1]ratio_ins!$D:$D,MATCH('001_population_health_zone_zs'!$B25,[1]ratio_ins!$B:$B,0))</f>
        <v>3644.63022</v>
      </c>
      <c r="AO25" s="10">
        <f>INDEX([1]ratio_ins!AL:AL,MATCH('001_population_health_zone_zs'!$B$2,[1]ratio_ins!$B:$B,0))*$G25*INDEX([1]ratio_ins!$D:$D,MATCH('001_population_health_zone_zs'!$B25,[1]ratio_ins!$B:$B,0))</f>
        <v>2733.4726650000002</v>
      </c>
      <c r="AP25" s="10">
        <f>INDEX([1]ratio_ins!AM:AM,MATCH('001_population_health_zone_zs'!$B$2,[1]ratio_ins!$B:$B,0))*$G25*INDEX([1]ratio_ins!$D:$D,MATCH('001_population_health_zone_zs'!$B25,[1]ratio_ins!$B:$B,0))</f>
        <v>1761.571273</v>
      </c>
      <c r="AQ25" s="10">
        <f>INDEX([1]ratio_ins!AN:AN,MATCH('001_population_health_zone_zs'!$B$2,[1]ratio_ins!$B:$B,0))*$G25*INDEX([1]ratio_ins!$D:$D,MATCH('001_population_health_zone_zs'!$B25,[1]ratio_ins!$B:$B,0))</f>
        <v>1397.1082510000001</v>
      </c>
      <c r="AR25" s="10">
        <f>INDEX([1]ratio_ins!AO:AO,MATCH('001_population_health_zone_zs'!$B$2,[1]ratio_ins!$B:$B,0))*$G25*INDEX([1]ratio_ins!$D:$D,MATCH('001_population_health_zone_zs'!$B25,[1]ratio_ins!$B:$B,0))</f>
        <v>668.18220700000006</v>
      </c>
      <c r="AS25" s="13">
        <f>INDEX([1]ratio_ins!AP:AP,MATCH('001_population_health_zone_zs'!$B$2,[1]ratio_ins!$B:$B,0))*$G25*INDEX([1]ratio_ins!$D:$D,MATCH('001_population_health_zone_zs'!$B25,[1]ratio_ins!$B:$B,0))</f>
        <v>24856.378100400005</v>
      </c>
      <c r="AT25" s="10">
        <f>INDEX([1]ratio_ins!AQ:AQ,MATCH('001_population_health_zone_zs'!$B$2,[1]ratio_ins!$B:$B,0))*$G25*INDEX([1]ratio_ins!$D:$D,MATCH('001_population_health_zone_zs'!$B25,[1]ratio_ins!$B:$B,0))</f>
        <v>607.43837000000008</v>
      </c>
      <c r="AU25" s="10">
        <f>INDEX([1]ratio_ins!AR:AR,MATCH('001_population_health_zone_zs'!$B$2,[1]ratio_ins!$B:$B,0))*$G25*INDEX([1]ratio_ins!$D:$D,MATCH('001_population_health_zone_zs'!$B25,[1]ratio_ins!$B:$B,0))</f>
        <v>364.46302200000002</v>
      </c>
      <c r="AV25" s="10">
        <f>INDEX([1]ratio_ins!AS:AS,MATCH('001_population_health_zone_zs'!$B$2,[1]ratio_ins!$B:$B,0))*$G25*INDEX([1]ratio_ins!$D:$D,MATCH('001_population_health_zone_zs'!$B25,[1]ratio_ins!$B:$B,0))</f>
        <v>182.23151100000001</v>
      </c>
      <c r="AW25" s="10">
        <f>INDEX([1]ratio_ins!AT:AT,MATCH('001_population_health_zone_zs'!$B$2,[1]ratio_ins!$B:$B,0))*$G25*INDEX([1]ratio_ins!$D:$D,MATCH('001_population_health_zone_zs'!$B25,[1]ratio_ins!$B:$B,0))</f>
        <v>121.48767400000001</v>
      </c>
      <c r="AX25" s="13">
        <f>INDEX([1]ratio_ins!AU:AU,MATCH('001_population_health_zone_zs'!$B$2,[1]ratio_ins!$B:$B,0))*$G25*INDEX([1]ratio_ins!$D:$D,MATCH('001_population_health_zone_zs'!$B25,[1]ratio_ins!$B:$B,0))</f>
        <v>1275.6205769999999</v>
      </c>
      <c r="AY25" s="14">
        <f t="shared" si="1"/>
        <v>60743.837000000014</v>
      </c>
      <c r="AZ25" s="15">
        <f t="shared" si="2"/>
        <v>122221</v>
      </c>
      <c r="BA25" s="16">
        <v>120806.60025991676</v>
      </c>
      <c r="BB25" s="10">
        <f t="shared" si="3"/>
        <v>25816.130725000003</v>
      </c>
      <c r="BC25" s="17">
        <f t="shared" si="4"/>
        <v>0.21122500000000002</v>
      </c>
      <c r="BD25" s="10">
        <f t="shared" si="5"/>
        <v>25635.976971000004</v>
      </c>
    </row>
    <row r="26" spans="1:56" x14ac:dyDescent="0.25">
      <c r="A26" s="8" t="s">
        <v>10</v>
      </c>
      <c r="B26" s="8" t="s">
        <v>11</v>
      </c>
      <c r="C26" s="8" t="s">
        <v>10</v>
      </c>
      <c r="D26" s="8" t="s">
        <v>12</v>
      </c>
      <c r="E26" s="8" t="s">
        <v>60</v>
      </c>
      <c r="F26" s="8" t="s">
        <v>61</v>
      </c>
      <c r="G26" s="9">
        <v>620109</v>
      </c>
      <c r="H26" s="10">
        <f>INDEX([1]ratio_ins!F:F,MATCH('001_population_health_zone_zs'!$B$2,[1]ratio_ins!$B:$B,0))*$G26*INDEX([1]ratio_ins!$C:$C,MATCH('001_population_health_zone_zs'!$B26,[1]ratio_ins!$B:$B,0))</f>
        <v>65190.198842999991</v>
      </c>
      <c r="I26" s="10">
        <f>INDEX([1]ratio_ins!G:G,MATCH('001_population_health_zone_zs'!$B$2,[1]ratio_ins!$B:$B,0))*$G26*INDEX([1]ratio_ins!$C:$C,MATCH('001_population_health_zone_zs'!$B26,[1]ratio_ins!$B:$B,0))</f>
        <v>53337.435417000008</v>
      </c>
      <c r="J26" s="10">
        <f>INDEX([1]ratio_ins!H:H,MATCH('001_population_health_zone_zs'!$B$2,[1]ratio_ins!$B:$B,0))*$G26*INDEX([1]ratio_ins!$C:$C,MATCH('001_population_health_zone_zs'!$B26,[1]ratio_ins!$B:$B,0))</f>
        <v>42108.501645000004</v>
      </c>
      <c r="K26" s="10">
        <f>INDEX([1]ratio_ins!I:I,MATCH('001_population_health_zone_zs'!$B$2,[1]ratio_ins!$B:$B,0))*$G26*INDEX([1]ratio_ins!$C:$C,MATCH('001_population_health_zone_zs'!$B26,[1]ratio_ins!$B:$B,0))</f>
        <v>25888.930641000003</v>
      </c>
      <c r="L26" s="10">
        <f>INDEX([1]ratio_ins!J:J,MATCH('001_population_health_zone_zs'!$B$2,[1]ratio_ins!$B:$B,0))*$G26*INDEX([1]ratio_ins!$C:$C,MATCH('001_population_health_zone_zs'!$B26,[1]ratio_ins!$B:$B,0))</f>
        <v>15533.3583846</v>
      </c>
      <c r="M26" s="11">
        <f>INDEX([1]ratio_ins!K:K,MATCH('001_population_health_zone_zs'!$B$2,[1]ratio_ins!$B:$B,0))*$G26*INDEX([1]ratio_ins!$C:$C,MATCH('001_population_health_zone_zs'!$B26,[1]ratio_ins!$B:$B,0))</f>
        <v>176169.4942896</v>
      </c>
      <c r="N26" s="10">
        <f>INDEX([1]ratio_ins!L:L,MATCH('001_population_health_zone_zs'!$B$2,[1]ratio_ins!$B:$B,0))*$G26*INDEX([1]ratio_ins!$C:$C,MATCH('001_population_health_zone_zs'!$B26,[1]ratio_ins!$B:$B,0))</f>
        <v>10355.572256400001</v>
      </c>
      <c r="O26" s="10">
        <f>INDEX([1]ratio_ins!M:M,MATCH('001_population_health_zone_zs'!$B$2,[1]ratio_ins!$B:$B,0))*$G26*INDEX([1]ratio_ins!$C:$C,MATCH('001_population_health_zone_zs'!$B26,[1]ratio_ins!$B:$B,0))</f>
        <v>22457.867544000004</v>
      </c>
      <c r="P26" s="10">
        <f>INDEX([1]ratio_ins!N:N,MATCH('001_population_health_zone_zs'!$B$2,[1]ratio_ins!$B:$B,0))*$G26*INDEX([1]ratio_ins!$C:$C,MATCH('001_population_health_zone_zs'!$B26,[1]ratio_ins!$B:$B,0))</f>
        <v>20274.463755000001</v>
      </c>
      <c r="Q26" s="10">
        <f>INDEX([1]ratio_ins!O:O,MATCH('001_population_health_zone_zs'!$B$2,[1]ratio_ins!$B:$B,0))*$G26*INDEX([1]ratio_ins!$C:$C,MATCH('001_population_health_zone_zs'!$B26,[1]ratio_ins!$B:$B,0))</f>
        <v>18091.059966000001</v>
      </c>
      <c r="R26" s="10">
        <f>INDEX([1]ratio_ins!P:P,MATCH('001_population_health_zone_zs'!$B$2,[1]ratio_ins!$B:$B,0))*$G26*INDEX([1]ratio_ins!$C:$C,MATCH('001_population_health_zone_zs'!$B26,[1]ratio_ins!$B:$B,0))</f>
        <v>17779.145139</v>
      </c>
      <c r="S26" s="10">
        <f>INDEX([1]ratio_ins!Q:Q,MATCH('001_population_health_zone_zs'!$B$2,[1]ratio_ins!$B:$B,0))*$G26*INDEX([1]ratio_ins!$C:$C,MATCH('001_population_health_zone_zs'!$B26,[1]ratio_ins!$B:$B,0))</f>
        <v>14971.911695999999</v>
      </c>
      <c r="T26" s="10">
        <f>INDEX([1]ratio_ins!R:R,MATCH('001_population_health_zone_zs'!$B$2,[1]ratio_ins!$B:$B,0))*$G26*INDEX([1]ratio_ins!$C:$C,MATCH('001_population_health_zone_zs'!$B26,[1]ratio_ins!$B:$B,0))</f>
        <v>10605.104118000001</v>
      </c>
      <c r="U26" s="10">
        <f>INDEX([1]ratio_ins!S:S,MATCH('001_population_health_zone_zs'!$B$2,[1]ratio_ins!$B:$B,0))*$G26*INDEX([1]ratio_ins!$C:$C,MATCH('001_population_health_zone_zs'!$B26,[1]ratio_ins!$B:$B,0))</f>
        <v>8421.7003290000011</v>
      </c>
      <c r="V26" s="10">
        <f>INDEX([1]ratio_ins!T:T,MATCH('001_population_health_zone_zs'!$B$2,[1]ratio_ins!$B:$B,0))*$G26*INDEX([1]ratio_ins!$C:$C,MATCH('001_population_health_zone_zs'!$B26,[1]ratio_ins!$B:$B,0))</f>
        <v>4678.7224050000004</v>
      </c>
      <c r="W26" s="11">
        <f>INDEX([1]ratio_ins!U:U,MATCH('001_population_health_zone_zs'!$B$2,[1]ratio_ins!$B:$B,0))*$G26*INDEX([1]ratio_ins!$C:$C,MATCH('001_population_health_zone_zs'!$B26,[1]ratio_ins!$B:$B,0))</f>
        <v>127635.54720839999</v>
      </c>
      <c r="X26" s="10">
        <f>INDEX([1]ratio_ins!V:V,MATCH('001_population_health_zone_zs'!$B$2,[1]ratio_ins!$B:$B,0))*$G26*INDEX([1]ratio_ins!$C:$C,MATCH('001_population_health_zone_zs'!$B26,[1]ratio_ins!$B:$B,0))</f>
        <v>3742.9779239999998</v>
      </c>
      <c r="Y26" s="10">
        <f>INDEX([1]ratio_ins!W:W,MATCH('001_population_health_zone_zs'!$B$2,[1]ratio_ins!$B:$B,0))*$G26*INDEX([1]ratio_ins!$C:$C,MATCH('001_population_health_zone_zs'!$B26,[1]ratio_ins!$B:$B,0))</f>
        <v>2495.318616</v>
      </c>
      <c r="Z26" s="10">
        <f>INDEX([1]ratio_ins!X:X,MATCH('001_population_health_zone_zs'!$B$2,[1]ratio_ins!$B:$B,0))*$G26*INDEX([1]ratio_ins!$C:$C,MATCH('001_population_health_zone_zs'!$B26,[1]ratio_ins!$B:$B,0))</f>
        <v>1247.659308</v>
      </c>
      <c r="AA26" s="10">
        <f>INDEX([1]ratio_ins!Y:Y,MATCH('001_population_health_zone_zs'!$B$2,[1]ratio_ins!$B:$B,0))*$G26*INDEX([1]ratio_ins!$C:$C,MATCH('001_population_health_zone_zs'!$B26,[1]ratio_ins!$B:$B,0))</f>
        <v>623.829654</v>
      </c>
      <c r="AB26" s="11">
        <f>INDEX([1]ratio_ins!Z:Z,MATCH('001_population_health_zone_zs'!$B$2,[1]ratio_ins!$B:$B,0))*$G26*INDEX([1]ratio_ins!$C:$C,MATCH('001_population_health_zone_zs'!$B26,[1]ratio_ins!$B:$B,0))</f>
        <v>8109.7855020000006</v>
      </c>
      <c r="AC26" s="12">
        <f t="shared" si="0"/>
        <v>311914.82699999999</v>
      </c>
      <c r="AD26" s="10">
        <f>INDEX([1]ratio_ins!AA:AA,MATCH('001_population_health_zone_zs'!$B$2,[1]ratio_ins!$B:$B,0))*$G26*INDEX([1]ratio_ins!$D:$D,MATCH('001_population_health_zone_zs'!$B26,[1]ratio_ins!$B:$B,0))</f>
        <v>64720.776330000008</v>
      </c>
      <c r="AE26" s="10">
        <f>INDEX([1]ratio_ins!AB:AB,MATCH('001_population_health_zone_zs'!$B$2,[1]ratio_ins!$B:$B,0))*$G26*INDEX([1]ratio_ins!$D:$D,MATCH('001_population_health_zone_zs'!$B26,[1]ratio_ins!$B:$B,0))</f>
        <v>53317.591929000009</v>
      </c>
      <c r="AF26" s="10">
        <f>INDEX([1]ratio_ins!AC:AC,MATCH('001_population_health_zone_zs'!$B$2,[1]ratio_ins!$B:$B,0))*$G26*INDEX([1]ratio_ins!$D:$D,MATCH('001_population_health_zone_zs'!$B26,[1]ratio_ins!$B:$B,0))</f>
        <v>42222.601701</v>
      </c>
      <c r="AG26" s="10">
        <f>INDEX([1]ratio_ins!AD:AD,MATCH('001_population_health_zone_zs'!$B$2,[1]ratio_ins!$B:$B,0))*$G26*INDEX([1]ratio_ins!$D:$D,MATCH('001_population_health_zone_zs'!$B26,[1]ratio_ins!$B:$B,0))</f>
        <v>25580.116359000007</v>
      </c>
      <c r="AH26" s="10">
        <f>INDEX([1]ratio_ins!AE:AE,MATCH('001_population_health_zone_zs'!$B$2,[1]ratio_ins!$B:$B,0))*$G26*INDEX([1]ratio_ins!$D:$D,MATCH('001_population_health_zone_zs'!$B26,[1]ratio_ins!$B:$B,0))</f>
        <v>15348.0698154</v>
      </c>
      <c r="AI26" s="13">
        <f>INDEX([1]ratio_ins!AF:AF,MATCH('001_population_health_zone_zs'!$B$2,[1]ratio_ins!$B:$B,0))*$G26*INDEX([1]ratio_ins!$D:$D,MATCH('001_population_health_zone_zs'!$B26,[1]ratio_ins!$B:$B,0))</f>
        <v>175609.03977539999</v>
      </c>
      <c r="AJ26" s="10">
        <f>INDEX([1]ratio_ins!AG:AG,MATCH('001_population_health_zone_zs'!$B$2,[1]ratio_ins!$B:$B,0))*$G26*INDEX([1]ratio_ins!$D:$D,MATCH('001_population_health_zone_zs'!$B26,[1]ratio_ins!$B:$B,0))</f>
        <v>10232.046543600001</v>
      </c>
      <c r="AK26" s="10">
        <f>INDEX([1]ratio_ins!AH:AH,MATCH('001_population_health_zone_zs'!$B$2,[1]ratio_ins!$B:$B,0))*$G26*INDEX([1]ratio_ins!$D:$D,MATCH('001_population_health_zone_zs'!$B26,[1]ratio_ins!$B:$B,0))</f>
        <v>22806.368802000005</v>
      </c>
      <c r="AL26" s="10">
        <f>INDEX([1]ratio_ins!AI:AI,MATCH('001_population_health_zone_zs'!$B$2,[1]ratio_ins!$B:$B,0))*$G26*INDEX([1]ratio_ins!$D:$D,MATCH('001_population_health_zone_zs'!$B26,[1]ratio_ins!$B:$B,0))</f>
        <v>21573.592110000005</v>
      </c>
      <c r="AM26" s="10">
        <f>INDEX([1]ratio_ins!AJ:AJ,MATCH('001_population_health_zone_zs'!$B$2,[1]ratio_ins!$B:$B,0))*$G26*INDEX([1]ratio_ins!$D:$D,MATCH('001_population_health_zone_zs'!$B26,[1]ratio_ins!$B:$B,0))</f>
        <v>19724.427072000002</v>
      </c>
      <c r="AN26" s="10">
        <f>INDEX([1]ratio_ins!AK:AK,MATCH('001_population_health_zone_zs'!$B$2,[1]ratio_ins!$B:$B,0))*$G26*INDEX([1]ratio_ins!$D:$D,MATCH('001_population_health_zone_zs'!$B26,[1]ratio_ins!$B:$B,0))</f>
        <v>18491.650380000003</v>
      </c>
      <c r="AO26" s="10">
        <f>INDEX([1]ratio_ins!AL:AL,MATCH('001_population_health_zone_zs'!$B$2,[1]ratio_ins!$B:$B,0))*$G26*INDEX([1]ratio_ins!$D:$D,MATCH('001_population_health_zone_zs'!$B26,[1]ratio_ins!$B:$B,0))</f>
        <v>13868.737785000001</v>
      </c>
      <c r="AP26" s="10">
        <f>INDEX([1]ratio_ins!AM:AM,MATCH('001_population_health_zone_zs'!$B$2,[1]ratio_ins!$B:$B,0))*$G26*INDEX([1]ratio_ins!$D:$D,MATCH('001_population_health_zone_zs'!$B26,[1]ratio_ins!$B:$B,0))</f>
        <v>8937.6310170000015</v>
      </c>
      <c r="AQ26" s="10">
        <f>INDEX([1]ratio_ins!AN:AN,MATCH('001_population_health_zone_zs'!$B$2,[1]ratio_ins!$B:$B,0))*$G26*INDEX([1]ratio_ins!$D:$D,MATCH('001_population_health_zone_zs'!$B26,[1]ratio_ins!$B:$B,0))</f>
        <v>7088.4659790000005</v>
      </c>
      <c r="AR26" s="10">
        <f>INDEX([1]ratio_ins!AO:AO,MATCH('001_population_health_zone_zs'!$B$2,[1]ratio_ins!$B:$B,0))*$G26*INDEX([1]ratio_ins!$D:$D,MATCH('001_population_health_zone_zs'!$B26,[1]ratio_ins!$B:$B,0))</f>
        <v>3390.1359030000008</v>
      </c>
      <c r="AS26" s="13">
        <f>INDEX([1]ratio_ins!AP:AP,MATCH('001_population_health_zone_zs'!$B$2,[1]ratio_ins!$B:$B,0))*$G26*INDEX([1]ratio_ins!$D:$D,MATCH('001_population_health_zone_zs'!$B26,[1]ratio_ins!$B:$B,0))</f>
        <v>126113.05559160002</v>
      </c>
      <c r="AT26" s="10">
        <f>INDEX([1]ratio_ins!AQ:AQ,MATCH('001_population_health_zone_zs'!$B$2,[1]ratio_ins!$B:$B,0))*$G26*INDEX([1]ratio_ins!$D:$D,MATCH('001_population_health_zone_zs'!$B26,[1]ratio_ins!$B:$B,0))</f>
        <v>3081.9417300000005</v>
      </c>
      <c r="AU26" s="10">
        <f>INDEX([1]ratio_ins!AR:AR,MATCH('001_population_health_zone_zs'!$B$2,[1]ratio_ins!$B:$B,0))*$G26*INDEX([1]ratio_ins!$D:$D,MATCH('001_population_health_zone_zs'!$B26,[1]ratio_ins!$B:$B,0))</f>
        <v>1849.1650380000001</v>
      </c>
      <c r="AV26" s="10">
        <f>INDEX([1]ratio_ins!AS:AS,MATCH('001_population_health_zone_zs'!$B$2,[1]ratio_ins!$B:$B,0))*$G26*INDEX([1]ratio_ins!$D:$D,MATCH('001_population_health_zone_zs'!$B26,[1]ratio_ins!$B:$B,0))</f>
        <v>924.58251900000005</v>
      </c>
      <c r="AW26" s="10">
        <f>INDEX([1]ratio_ins!AT:AT,MATCH('001_population_health_zone_zs'!$B$2,[1]ratio_ins!$B:$B,0))*$G26*INDEX([1]ratio_ins!$D:$D,MATCH('001_population_health_zone_zs'!$B26,[1]ratio_ins!$B:$B,0))</f>
        <v>616.38834600000007</v>
      </c>
      <c r="AX26" s="13">
        <f>INDEX([1]ratio_ins!AU:AU,MATCH('001_population_health_zone_zs'!$B$2,[1]ratio_ins!$B:$B,0))*$G26*INDEX([1]ratio_ins!$D:$D,MATCH('001_population_health_zone_zs'!$B26,[1]ratio_ins!$B:$B,0))</f>
        <v>6472.0776329999999</v>
      </c>
      <c r="AY26" s="14">
        <f t="shared" si="1"/>
        <v>308194.17299999995</v>
      </c>
      <c r="AZ26" s="15">
        <f t="shared" si="2"/>
        <v>620109</v>
      </c>
      <c r="BA26" s="16">
        <v>612934.83648379077</v>
      </c>
      <c r="BB26" s="10">
        <f t="shared" si="3"/>
        <v>130982.52352500004</v>
      </c>
      <c r="BC26" s="17">
        <f t="shared" si="4"/>
        <v>0.21122500000000005</v>
      </c>
      <c r="BD26" s="10">
        <f t="shared" si="5"/>
        <v>130068.48285900001</v>
      </c>
    </row>
    <row r="27" spans="1:56" x14ac:dyDescent="0.25">
      <c r="A27" s="8" t="s">
        <v>10</v>
      </c>
      <c r="B27" s="8" t="s">
        <v>11</v>
      </c>
      <c r="C27" s="8" t="s">
        <v>10</v>
      </c>
      <c r="D27" s="8" t="s">
        <v>12</v>
      </c>
      <c r="E27" s="8" t="s">
        <v>62</v>
      </c>
      <c r="F27" s="8" t="s">
        <v>63</v>
      </c>
      <c r="G27" s="9">
        <v>512091</v>
      </c>
      <c r="H27" s="10">
        <f>INDEX([1]ratio_ins!F:F,MATCH('001_population_health_zone_zs'!$B$2,[1]ratio_ins!$B:$B,0))*$G27*INDEX([1]ratio_ins!$C:$C,MATCH('001_population_health_zone_zs'!$B27,[1]ratio_ins!$B:$B,0))</f>
        <v>53834.590557000003</v>
      </c>
      <c r="I27" s="10">
        <f>INDEX([1]ratio_ins!G:G,MATCH('001_population_health_zone_zs'!$B$2,[1]ratio_ins!$B:$B,0))*$G27*INDEX([1]ratio_ins!$C:$C,MATCH('001_population_health_zone_zs'!$B27,[1]ratio_ins!$B:$B,0))</f>
        <v>44046.483183000004</v>
      </c>
      <c r="J27" s="10">
        <f>INDEX([1]ratio_ins!H:H,MATCH('001_population_health_zone_zs'!$B$2,[1]ratio_ins!$B:$B,0))*$G27*INDEX([1]ratio_ins!$C:$C,MATCH('001_population_health_zone_zs'!$B27,[1]ratio_ins!$B:$B,0))</f>
        <v>34773.539355000001</v>
      </c>
      <c r="K27" s="10">
        <f>INDEX([1]ratio_ins!I:I,MATCH('001_population_health_zone_zs'!$B$2,[1]ratio_ins!$B:$B,0))*$G27*INDEX([1]ratio_ins!$C:$C,MATCH('001_population_health_zone_zs'!$B27,[1]ratio_ins!$B:$B,0))</f>
        <v>21379.287159</v>
      </c>
      <c r="L27" s="10">
        <f>INDEX([1]ratio_ins!J:J,MATCH('001_population_health_zone_zs'!$B$2,[1]ratio_ins!$B:$B,0))*$G27*INDEX([1]ratio_ins!$C:$C,MATCH('001_population_health_zone_zs'!$B27,[1]ratio_ins!$B:$B,0))</f>
        <v>12827.572295399999</v>
      </c>
      <c r="M27" s="11">
        <f>INDEX([1]ratio_ins!K:K,MATCH('001_population_health_zone_zs'!$B$2,[1]ratio_ins!$B:$B,0))*$G27*INDEX([1]ratio_ins!$C:$C,MATCH('001_population_health_zone_zs'!$B27,[1]ratio_ins!$B:$B,0))</f>
        <v>145482.18539039997</v>
      </c>
      <c r="N27" s="10">
        <f>INDEX([1]ratio_ins!L:L,MATCH('001_population_health_zone_zs'!$B$2,[1]ratio_ins!$B:$B,0))*$G27*INDEX([1]ratio_ins!$C:$C,MATCH('001_population_health_zone_zs'!$B27,[1]ratio_ins!$B:$B,0))</f>
        <v>8551.7148636000002</v>
      </c>
      <c r="O27" s="10">
        <f>INDEX([1]ratio_ins!M:M,MATCH('001_population_health_zone_zs'!$B$2,[1]ratio_ins!$B:$B,0))*$G27*INDEX([1]ratio_ins!$C:$C,MATCH('001_population_health_zone_zs'!$B27,[1]ratio_ins!$B:$B,0))</f>
        <v>18545.887656000003</v>
      </c>
      <c r="P27" s="10">
        <f>INDEX([1]ratio_ins!N:N,MATCH('001_population_health_zone_zs'!$B$2,[1]ratio_ins!$B:$B,0))*$G27*INDEX([1]ratio_ins!$C:$C,MATCH('001_population_health_zone_zs'!$B27,[1]ratio_ins!$B:$B,0))</f>
        <v>16742.815245000002</v>
      </c>
      <c r="Q27" s="10">
        <f>INDEX([1]ratio_ins!O:O,MATCH('001_population_health_zone_zs'!$B$2,[1]ratio_ins!$B:$B,0))*$G27*INDEX([1]ratio_ins!$C:$C,MATCH('001_population_health_zone_zs'!$B27,[1]ratio_ins!$B:$B,0))</f>
        <v>14939.742833999999</v>
      </c>
      <c r="R27" s="10">
        <f>INDEX([1]ratio_ins!P:P,MATCH('001_population_health_zone_zs'!$B$2,[1]ratio_ins!$B:$B,0))*$G27*INDEX([1]ratio_ins!$C:$C,MATCH('001_population_health_zone_zs'!$B27,[1]ratio_ins!$B:$B,0))</f>
        <v>14682.161061000001</v>
      </c>
      <c r="S27" s="10">
        <f>INDEX([1]ratio_ins!Q:Q,MATCH('001_population_health_zone_zs'!$B$2,[1]ratio_ins!$B:$B,0))*$G27*INDEX([1]ratio_ins!$C:$C,MATCH('001_population_health_zone_zs'!$B27,[1]ratio_ins!$B:$B,0))</f>
        <v>12363.925104000002</v>
      </c>
      <c r="T27" s="10">
        <f>INDEX([1]ratio_ins!R:R,MATCH('001_population_health_zone_zs'!$B$2,[1]ratio_ins!$B:$B,0))*$G27*INDEX([1]ratio_ins!$C:$C,MATCH('001_population_health_zone_zs'!$B27,[1]ratio_ins!$B:$B,0))</f>
        <v>8757.7802819999997</v>
      </c>
      <c r="U27" s="10">
        <f>INDEX([1]ratio_ins!S:S,MATCH('001_population_health_zone_zs'!$B$2,[1]ratio_ins!$B:$B,0))*$G27*INDEX([1]ratio_ins!$C:$C,MATCH('001_population_health_zone_zs'!$B27,[1]ratio_ins!$B:$B,0))</f>
        <v>6954.7078710000014</v>
      </c>
      <c r="V27" s="10">
        <f>INDEX([1]ratio_ins!T:T,MATCH('001_population_health_zone_zs'!$B$2,[1]ratio_ins!$B:$B,0))*$G27*INDEX([1]ratio_ins!$C:$C,MATCH('001_population_health_zone_zs'!$B27,[1]ratio_ins!$B:$B,0))</f>
        <v>3863.7265950000001</v>
      </c>
      <c r="W27" s="11">
        <f>INDEX([1]ratio_ins!U:U,MATCH('001_population_health_zone_zs'!$B$2,[1]ratio_ins!$B:$B,0))*$G27*INDEX([1]ratio_ins!$C:$C,MATCH('001_population_health_zone_zs'!$B27,[1]ratio_ins!$B:$B,0))</f>
        <v>105402.46151160001</v>
      </c>
      <c r="X27" s="10">
        <f>INDEX([1]ratio_ins!V:V,MATCH('001_population_health_zone_zs'!$B$2,[1]ratio_ins!$B:$B,0))*$G27*INDEX([1]ratio_ins!$C:$C,MATCH('001_population_health_zone_zs'!$B27,[1]ratio_ins!$B:$B,0))</f>
        <v>3090.9812760000004</v>
      </c>
      <c r="Y27" s="10">
        <f>INDEX([1]ratio_ins!W:W,MATCH('001_population_health_zone_zs'!$B$2,[1]ratio_ins!$B:$B,0))*$G27*INDEX([1]ratio_ins!$C:$C,MATCH('001_population_health_zone_zs'!$B27,[1]ratio_ins!$B:$B,0))</f>
        <v>2060.654184</v>
      </c>
      <c r="Z27" s="10">
        <f>INDEX([1]ratio_ins!X:X,MATCH('001_population_health_zone_zs'!$B$2,[1]ratio_ins!$B:$B,0))*$G27*INDEX([1]ratio_ins!$C:$C,MATCH('001_population_health_zone_zs'!$B27,[1]ratio_ins!$B:$B,0))</f>
        <v>1030.327092</v>
      </c>
      <c r="AA27" s="10">
        <f>INDEX([1]ratio_ins!Y:Y,MATCH('001_population_health_zone_zs'!$B$2,[1]ratio_ins!$B:$B,0))*$G27*INDEX([1]ratio_ins!$C:$C,MATCH('001_population_health_zone_zs'!$B27,[1]ratio_ins!$B:$B,0))</f>
        <v>515.163546</v>
      </c>
      <c r="AB27" s="11">
        <f>INDEX([1]ratio_ins!Z:Z,MATCH('001_population_health_zone_zs'!$B$2,[1]ratio_ins!$B:$B,0))*$G27*INDEX([1]ratio_ins!$C:$C,MATCH('001_population_health_zone_zs'!$B27,[1]ratio_ins!$B:$B,0))</f>
        <v>6697.1260980000006</v>
      </c>
      <c r="AC27" s="12">
        <f t="shared" si="0"/>
        <v>257581.77299999999</v>
      </c>
      <c r="AD27" s="10">
        <f>INDEX([1]ratio_ins!AA:AA,MATCH('001_population_health_zone_zs'!$B$2,[1]ratio_ins!$B:$B,0))*$G27*INDEX([1]ratio_ins!$D:$D,MATCH('001_population_health_zone_zs'!$B27,[1]ratio_ins!$B:$B,0))</f>
        <v>53446.937670000007</v>
      </c>
      <c r="AE27" s="10">
        <f>INDEX([1]ratio_ins!AB:AB,MATCH('001_population_health_zone_zs'!$B$2,[1]ratio_ins!$B:$B,0))*$G27*INDEX([1]ratio_ins!$D:$D,MATCH('001_population_health_zone_zs'!$B27,[1]ratio_ins!$B:$B,0))</f>
        <v>44030.096271000002</v>
      </c>
      <c r="AF27" s="10">
        <f>INDEX([1]ratio_ins!AC:AC,MATCH('001_population_health_zone_zs'!$B$2,[1]ratio_ins!$B:$B,0))*$G27*INDEX([1]ratio_ins!$D:$D,MATCH('001_population_health_zone_zs'!$B27,[1]ratio_ins!$B:$B,0))</f>
        <v>34867.764099</v>
      </c>
      <c r="AG27" s="10">
        <f>INDEX([1]ratio_ins!AD:AD,MATCH('001_population_health_zone_zs'!$B$2,[1]ratio_ins!$B:$B,0))*$G27*INDEX([1]ratio_ins!$D:$D,MATCH('001_population_health_zone_zs'!$B27,[1]ratio_ins!$B:$B,0))</f>
        <v>21124.265841000004</v>
      </c>
      <c r="AH27" s="10">
        <f>INDEX([1]ratio_ins!AE:AE,MATCH('001_population_health_zone_zs'!$B$2,[1]ratio_ins!$B:$B,0))*$G27*INDEX([1]ratio_ins!$D:$D,MATCH('001_population_health_zone_zs'!$B27,[1]ratio_ins!$B:$B,0))</f>
        <v>12674.559504600002</v>
      </c>
      <c r="AI27" s="13">
        <f>INDEX([1]ratio_ins!AF:AF,MATCH('001_population_health_zone_zs'!$B$2,[1]ratio_ins!$B:$B,0))*$G27*INDEX([1]ratio_ins!$D:$D,MATCH('001_population_health_zone_zs'!$B27,[1]ratio_ins!$B:$B,0))</f>
        <v>145019.3575446</v>
      </c>
      <c r="AJ27" s="10">
        <f>INDEX([1]ratio_ins!AG:AG,MATCH('001_population_health_zone_zs'!$B$2,[1]ratio_ins!$B:$B,0))*$G27*INDEX([1]ratio_ins!$D:$D,MATCH('001_population_health_zone_zs'!$B27,[1]ratio_ins!$B:$B,0))</f>
        <v>8449.7063364000005</v>
      </c>
      <c r="AK27" s="10">
        <f>INDEX([1]ratio_ins!AH:AH,MATCH('001_population_health_zone_zs'!$B$2,[1]ratio_ins!$B:$B,0))*$G27*INDEX([1]ratio_ins!$D:$D,MATCH('001_population_health_zone_zs'!$B27,[1]ratio_ins!$B:$B,0))</f>
        <v>18833.682798000005</v>
      </c>
      <c r="AL27" s="10">
        <f>INDEX([1]ratio_ins!AI:AI,MATCH('001_population_health_zone_zs'!$B$2,[1]ratio_ins!$B:$B,0))*$G27*INDEX([1]ratio_ins!$D:$D,MATCH('001_population_health_zone_zs'!$B27,[1]ratio_ins!$B:$B,0))</f>
        <v>17815.645890000003</v>
      </c>
      <c r="AM27" s="10">
        <f>INDEX([1]ratio_ins!AJ:AJ,MATCH('001_population_health_zone_zs'!$B$2,[1]ratio_ins!$B:$B,0))*$G27*INDEX([1]ratio_ins!$D:$D,MATCH('001_population_health_zone_zs'!$B27,[1]ratio_ins!$B:$B,0))</f>
        <v>16288.590528000002</v>
      </c>
      <c r="AN27" s="10">
        <f>INDEX([1]ratio_ins!AK:AK,MATCH('001_population_health_zone_zs'!$B$2,[1]ratio_ins!$B:$B,0))*$G27*INDEX([1]ratio_ins!$D:$D,MATCH('001_population_health_zone_zs'!$B27,[1]ratio_ins!$B:$B,0))</f>
        <v>15270.553620000001</v>
      </c>
      <c r="AO27" s="10">
        <f>INDEX([1]ratio_ins!AL:AL,MATCH('001_population_health_zone_zs'!$B$2,[1]ratio_ins!$B:$B,0))*$G27*INDEX([1]ratio_ins!$D:$D,MATCH('001_population_health_zone_zs'!$B27,[1]ratio_ins!$B:$B,0))</f>
        <v>11452.915214999999</v>
      </c>
      <c r="AP27" s="10">
        <f>INDEX([1]ratio_ins!AM:AM,MATCH('001_population_health_zone_zs'!$B$2,[1]ratio_ins!$B:$B,0))*$G27*INDEX([1]ratio_ins!$D:$D,MATCH('001_population_health_zone_zs'!$B27,[1]ratio_ins!$B:$B,0))</f>
        <v>7380.7675830000007</v>
      </c>
      <c r="AQ27" s="10">
        <f>INDEX([1]ratio_ins!AN:AN,MATCH('001_population_health_zone_zs'!$B$2,[1]ratio_ins!$B:$B,0))*$G27*INDEX([1]ratio_ins!$D:$D,MATCH('001_population_health_zone_zs'!$B27,[1]ratio_ins!$B:$B,0))</f>
        <v>5853.7122209999998</v>
      </c>
      <c r="AR27" s="10">
        <f>INDEX([1]ratio_ins!AO:AO,MATCH('001_population_health_zone_zs'!$B$2,[1]ratio_ins!$B:$B,0))*$G27*INDEX([1]ratio_ins!$D:$D,MATCH('001_population_health_zone_zs'!$B27,[1]ratio_ins!$B:$B,0))</f>
        <v>2799.6014970000006</v>
      </c>
      <c r="AS27" s="13">
        <f>INDEX([1]ratio_ins!AP:AP,MATCH('001_population_health_zone_zs'!$B$2,[1]ratio_ins!$B:$B,0))*$G27*INDEX([1]ratio_ins!$D:$D,MATCH('001_population_health_zone_zs'!$B27,[1]ratio_ins!$B:$B,0))</f>
        <v>104145.17568840001</v>
      </c>
      <c r="AT27" s="10">
        <f>INDEX([1]ratio_ins!AQ:AQ,MATCH('001_population_health_zone_zs'!$B$2,[1]ratio_ins!$B:$B,0))*$G27*INDEX([1]ratio_ins!$D:$D,MATCH('001_population_health_zone_zs'!$B27,[1]ratio_ins!$B:$B,0))</f>
        <v>2545.0922700000001</v>
      </c>
      <c r="AU27" s="10">
        <f>INDEX([1]ratio_ins!AR:AR,MATCH('001_population_health_zone_zs'!$B$2,[1]ratio_ins!$B:$B,0))*$G27*INDEX([1]ratio_ins!$D:$D,MATCH('001_population_health_zone_zs'!$B27,[1]ratio_ins!$B:$B,0))</f>
        <v>1527.0553620000003</v>
      </c>
      <c r="AV27" s="10">
        <f>INDEX([1]ratio_ins!AS:AS,MATCH('001_population_health_zone_zs'!$B$2,[1]ratio_ins!$B:$B,0))*$G27*INDEX([1]ratio_ins!$D:$D,MATCH('001_population_health_zone_zs'!$B27,[1]ratio_ins!$B:$B,0))</f>
        <v>763.52768100000014</v>
      </c>
      <c r="AW27" s="10">
        <f>INDEX([1]ratio_ins!AT:AT,MATCH('001_population_health_zone_zs'!$B$2,[1]ratio_ins!$B:$B,0))*$G27*INDEX([1]ratio_ins!$D:$D,MATCH('001_population_health_zone_zs'!$B27,[1]ratio_ins!$B:$B,0))</f>
        <v>509.01845400000008</v>
      </c>
      <c r="AX27" s="13">
        <f>INDEX([1]ratio_ins!AU:AU,MATCH('001_population_health_zone_zs'!$B$2,[1]ratio_ins!$B:$B,0))*$G27*INDEX([1]ratio_ins!$D:$D,MATCH('001_population_health_zone_zs'!$B27,[1]ratio_ins!$B:$B,0))</f>
        <v>5344.6937669999998</v>
      </c>
      <c r="AY27" s="14">
        <f t="shared" si="1"/>
        <v>254509.22700000001</v>
      </c>
      <c r="AZ27" s="15">
        <f t="shared" si="2"/>
        <v>512091</v>
      </c>
      <c r="BA27" s="16">
        <v>506166.41556901205</v>
      </c>
      <c r="BB27" s="10">
        <f t="shared" si="3"/>
        <v>108166.42147500001</v>
      </c>
      <c r="BC27" s="17">
        <f t="shared" si="4"/>
        <v>0.21122500000000002</v>
      </c>
      <c r="BD27" s="10">
        <f t="shared" si="5"/>
        <v>107411.59934100002</v>
      </c>
    </row>
    <row r="28" spans="1:56" x14ac:dyDescent="0.25">
      <c r="A28" s="8" t="s">
        <v>10</v>
      </c>
      <c r="B28" s="8" t="s">
        <v>11</v>
      </c>
      <c r="C28" s="8" t="s">
        <v>10</v>
      </c>
      <c r="D28" s="8" t="s">
        <v>12</v>
      </c>
      <c r="E28" s="8" t="s">
        <v>64</v>
      </c>
      <c r="F28" s="8" t="s">
        <v>65</v>
      </c>
      <c r="G28" s="9">
        <v>535270</v>
      </c>
      <c r="H28" s="10">
        <f>INDEX([1]ratio_ins!F:F,MATCH('001_population_health_zone_zs'!$B$2,[1]ratio_ins!$B:$B,0))*$G28*INDEX([1]ratio_ins!$C:$C,MATCH('001_population_health_zone_zs'!$B28,[1]ratio_ins!$B:$B,0))</f>
        <v>56271.329289999994</v>
      </c>
      <c r="I28" s="10">
        <f>INDEX([1]ratio_ins!G:G,MATCH('001_population_health_zone_zs'!$B$2,[1]ratio_ins!$B:$B,0))*$G28*INDEX([1]ratio_ins!$C:$C,MATCH('001_population_health_zone_zs'!$B28,[1]ratio_ins!$B:$B,0))</f>
        <v>46040.178510000005</v>
      </c>
      <c r="J28" s="10">
        <f>INDEX([1]ratio_ins!H:H,MATCH('001_population_health_zone_zs'!$B$2,[1]ratio_ins!$B:$B,0))*$G28*INDEX([1]ratio_ins!$C:$C,MATCH('001_population_health_zone_zs'!$B28,[1]ratio_ins!$B:$B,0))</f>
        <v>36347.509350000008</v>
      </c>
      <c r="K28" s="10">
        <f>INDEX([1]ratio_ins!I:I,MATCH('001_population_health_zone_zs'!$B$2,[1]ratio_ins!$B:$B,0))*$G28*INDEX([1]ratio_ins!$C:$C,MATCH('001_population_health_zone_zs'!$B28,[1]ratio_ins!$B:$B,0))</f>
        <v>22346.987230000002</v>
      </c>
      <c r="L28" s="10">
        <f>INDEX([1]ratio_ins!J:J,MATCH('001_population_health_zone_zs'!$B$2,[1]ratio_ins!$B:$B,0))*$G28*INDEX([1]ratio_ins!$C:$C,MATCH('001_population_health_zone_zs'!$B28,[1]ratio_ins!$B:$B,0))</f>
        <v>13408.192338000001</v>
      </c>
      <c r="M28" s="11">
        <f>INDEX([1]ratio_ins!K:K,MATCH('001_population_health_zone_zs'!$B$2,[1]ratio_ins!$B:$B,0))*$G28*INDEX([1]ratio_ins!$C:$C,MATCH('001_population_health_zone_zs'!$B28,[1]ratio_ins!$B:$B,0))</f>
        <v>152067.20948799999</v>
      </c>
      <c r="N28" s="10">
        <f>INDEX([1]ratio_ins!L:L,MATCH('001_population_health_zone_zs'!$B$2,[1]ratio_ins!$B:$B,0))*$G28*INDEX([1]ratio_ins!$C:$C,MATCH('001_population_health_zone_zs'!$B28,[1]ratio_ins!$B:$B,0))</f>
        <v>8938.7948919999999</v>
      </c>
      <c r="O28" s="10">
        <f>INDEX([1]ratio_ins!M:M,MATCH('001_population_health_zone_zs'!$B$2,[1]ratio_ins!$B:$B,0))*$G28*INDEX([1]ratio_ins!$C:$C,MATCH('001_population_health_zone_zs'!$B28,[1]ratio_ins!$B:$B,0))</f>
        <v>19385.338320000003</v>
      </c>
      <c r="P28" s="10">
        <f>INDEX([1]ratio_ins!N:N,MATCH('001_population_health_zone_zs'!$B$2,[1]ratio_ins!$B:$B,0))*$G28*INDEX([1]ratio_ins!$C:$C,MATCH('001_population_health_zone_zs'!$B28,[1]ratio_ins!$B:$B,0))</f>
        <v>17500.65265</v>
      </c>
      <c r="Q28" s="10">
        <f>INDEX([1]ratio_ins!O:O,MATCH('001_population_health_zone_zs'!$B$2,[1]ratio_ins!$B:$B,0))*$G28*INDEX([1]ratio_ins!$C:$C,MATCH('001_population_health_zone_zs'!$B28,[1]ratio_ins!$B:$B,0))</f>
        <v>15615.966979999997</v>
      </c>
      <c r="R28" s="10">
        <f>INDEX([1]ratio_ins!P:P,MATCH('001_population_health_zone_zs'!$B$2,[1]ratio_ins!$B:$B,0))*$G28*INDEX([1]ratio_ins!$C:$C,MATCH('001_population_health_zone_zs'!$B28,[1]ratio_ins!$B:$B,0))</f>
        <v>15346.72617</v>
      </c>
      <c r="S28" s="10">
        <f>INDEX([1]ratio_ins!Q:Q,MATCH('001_population_health_zone_zs'!$B$2,[1]ratio_ins!$B:$B,0))*$G28*INDEX([1]ratio_ins!$C:$C,MATCH('001_population_health_zone_zs'!$B28,[1]ratio_ins!$B:$B,0))</f>
        <v>12923.55888</v>
      </c>
      <c r="T28" s="10">
        <f>INDEX([1]ratio_ins!R:R,MATCH('001_population_health_zone_zs'!$B$2,[1]ratio_ins!$B:$B,0))*$G28*INDEX([1]ratio_ins!$C:$C,MATCH('001_population_health_zone_zs'!$B28,[1]ratio_ins!$B:$B,0))</f>
        <v>9154.1875400000008</v>
      </c>
      <c r="U28" s="10">
        <f>INDEX([1]ratio_ins!S:S,MATCH('001_population_health_zone_zs'!$B$2,[1]ratio_ins!$B:$B,0))*$G28*INDEX([1]ratio_ins!$C:$C,MATCH('001_population_health_zone_zs'!$B28,[1]ratio_ins!$B:$B,0))</f>
        <v>7269.5018700000001</v>
      </c>
      <c r="V28" s="10">
        <f>INDEX([1]ratio_ins!T:T,MATCH('001_population_health_zone_zs'!$B$2,[1]ratio_ins!$B:$B,0))*$G28*INDEX([1]ratio_ins!$C:$C,MATCH('001_population_health_zone_zs'!$B28,[1]ratio_ins!$B:$B,0))</f>
        <v>4038.6121499999995</v>
      </c>
      <c r="W28" s="11">
        <f>INDEX([1]ratio_ins!U:U,MATCH('001_population_health_zone_zs'!$B$2,[1]ratio_ins!$B:$B,0))*$G28*INDEX([1]ratio_ins!$C:$C,MATCH('001_population_health_zone_zs'!$B28,[1]ratio_ins!$B:$B,0))</f>
        <v>110173.339452</v>
      </c>
      <c r="X28" s="10">
        <f>INDEX([1]ratio_ins!V:V,MATCH('001_population_health_zone_zs'!$B$2,[1]ratio_ins!$B:$B,0))*$G28*INDEX([1]ratio_ins!$C:$C,MATCH('001_population_health_zone_zs'!$B28,[1]ratio_ins!$B:$B,0))</f>
        <v>3230.8897200000001</v>
      </c>
      <c r="Y28" s="10">
        <f>INDEX([1]ratio_ins!W:W,MATCH('001_population_health_zone_zs'!$B$2,[1]ratio_ins!$B:$B,0))*$G28*INDEX([1]ratio_ins!$C:$C,MATCH('001_population_health_zone_zs'!$B28,[1]ratio_ins!$B:$B,0))</f>
        <v>2153.9264800000001</v>
      </c>
      <c r="Z28" s="10">
        <f>INDEX([1]ratio_ins!X:X,MATCH('001_population_health_zone_zs'!$B$2,[1]ratio_ins!$B:$B,0))*$G28*INDEX([1]ratio_ins!$C:$C,MATCH('001_population_health_zone_zs'!$B28,[1]ratio_ins!$B:$B,0))</f>
        <v>1076.96324</v>
      </c>
      <c r="AA28" s="10">
        <f>INDEX([1]ratio_ins!Y:Y,MATCH('001_population_health_zone_zs'!$B$2,[1]ratio_ins!$B:$B,0))*$G28*INDEX([1]ratio_ins!$C:$C,MATCH('001_population_health_zone_zs'!$B28,[1]ratio_ins!$B:$B,0))</f>
        <v>538.48162000000002</v>
      </c>
      <c r="AB28" s="11">
        <f>INDEX([1]ratio_ins!Z:Z,MATCH('001_population_health_zone_zs'!$B$2,[1]ratio_ins!$B:$B,0))*$G28*INDEX([1]ratio_ins!$C:$C,MATCH('001_population_health_zone_zs'!$B28,[1]ratio_ins!$B:$B,0))</f>
        <v>7000.2610599999998</v>
      </c>
      <c r="AC28" s="12">
        <f t="shared" si="0"/>
        <v>269240.81</v>
      </c>
      <c r="AD28" s="10">
        <f>INDEX([1]ratio_ins!AA:AA,MATCH('001_population_health_zone_zs'!$B$2,[1]ratio_ins!$B:$B,0))*$G28*INDEX([1]ratio_ins!$D:$D,MATCH('001_population_health_zone_zs'!$B28,[1]ratio_ins!$B:$B,0))</f>
        <v>55866.129900000007</v>
      </c>
      <c r="AE28" s="10">
        <f>INDEX([1]ratio_ins!AB:AB,MATCH('001_population_health_zone_zs'!$B$2,[1]ratio_ins!$B:$B,0))*$G28*INDEX([1]ratio_ins!$D:$D,MATCH('001_population_health_zone_zs'!$B28,[1]ratio_ins!$B:$B,0))</f>
        <v>46023.04987000001</v>
      </c>
      <c r="AF28" s="10">
        <f>INDEX([1]ratio_ins!AC:AC,MATCH('001_population_health_zone_zs'!$B$2,[1]ratio_ins!$B:$B,0))*$G28*INDEX([1]ratio_ins!$D:$D,MATCH('001_population_health_zone_zs'!$B28,[1]ratio_ins!$B:$B,0))</f>
        <v>36445.999029999999</v>
      </c>
      <c r="AG28" s="10">
        <f>INDEX([1]ratio_ins!AD:AD,MATCH('001_population_health_zone_zs'!$B$2,[1]ratio_ins!$B:$B,0))*$G28*INDEX([1]ratio_ins!$D:$D,MATCH('001_population_health_zone_zs'!$B28,[1]ratio_ins!$B:$B,0))</f>
        <v>22080.422770000005</v>
      </c>
      <c r="AH28" s="10">
        <f>INDEX([1]ratio_ins!AE:AE,MATCH('001_population_health_zone_zs'!$B$2,[1]ratio_ins!$B:$B,0))*$G28*INDEX([1]ratio_ins!$D:$D,MATCH('001_population_health_zone_zs'!$B28,[1]ratio_ins!$B:$B,0))</f>
        <v>13248.253662000001</v>
      </c>
      <c r="AI28" s="13">
        <f>INDEX([1]ratio_ins!AF:AF,MATCH('001_population_health_zone_zs'!$B$2,[1]ratio_ins!$B:$B,0))*$G28*INDEX([1]ratio_ins!$D:$D,MATCH('001_population_health_zone_zs'!$B28,[1]ratio_ins!$B:$B,0))</f>
        <v>151583.432462</v>
      </c>
      <c r="AJ28" s="10">
        <f>INDEX([1]ratio_ins!AG:AG,MATCH('001_population_health_zone_zs'!$B$2,[1]ratio_ins!$B:$B,0))*$G28*INDEX([1]ratio_ins!$D:$D,MATCH('001_population_health_zone_zs'!$B28,[1]ratio_ins!$B:$B,0))</f>
        <v>8832.1691080000001</v>
      </c>
      <c r="AK28" s="10">
        <f>INDEX([1]ratio_ins!AH:AH,MATCH('001_population_health_zone_zs'!$B$2,[1]ratio_ins!$B:$B,0))*$G28*INDEX([1]ratio_ins!$D:$D,MATCH('001_population_health_zone_zs'!$B28,[1]ratio_ins!$B:$B,0))</f>
        <v>19686.160060000002</v>
      </c>
      <c r="AL28" s="10">
        <f>INDEX([1]ratio_ins!AI:AI,MATCH('001_population_health_zone_zs'!$B$2,[1]ratio_ins!$B:$B,0))*$G28*INDEX([1]ratio_ins!$D:$D,MATCH('001_population_health_zone_zs'!$B28,[1]ratio_ins!$B:$B,0))</f>
        <v>18622.043300000001</v>
      </c>
      <c r="AM28" s="10">
        <f>INDEX([1]ratio_ins!AJ:AJ,MATCH('001_population_health_zone_zs'!$B$2,[1]ratio_ins!$B:$B,0))*$G28*INDEX([1]ratio_ins!$D:$D,MATCH('001_population_health_zone_zs'!$B28,[1]ratio_ins!$B:$B,0))</f>
        <v>17025.868160000002</v>
      </c>
      <c r="AN28" s="10">
        <f>INDEX([1]ratio_ins!AK:AK,MATCH('001_population_health_zone_zs'!$B$2,[1]ratio_ins!$B:$B,0))*$G28*INDEX([1]ratio_ins!$D:$D,MATCH('001_population_health_zone_zs'!$B28,[1]ratio_ins!$B:$B,0))</f>
        <v>15961.751400000001</v>
      </c>
      <c r="AO28" s="10">
        <f>INDEX([1]ratio_ins!AL:AL,MATCH('001_population_health_zone_zs'!$B$2,[1]ratio_ins!$B:$B,0))*$G28*INDEX([1]ratio_ins!$D:$D,MATCH('001_population_health_zone_zs'!$B28,[1]ratio_ins!$B:$B,0))</f>
        <v>11971.313550000001</v>
      </c>
      <c r="AP28" s="10">
        <f>INDEX([1]ratio_ins!AM:AM,MATCH('001_population_health_zone_zs'!$B$2,[1]ratio_ins!$B:$B,0))*$G28*INDEX([1]ratio_ins!$D:$D,MATCH('001_population_health_zone_zs'!$B28,[1]ratio_ins!$B:$B,0))</f>
        <v>7714.8465100000003</v>
      </c>
      <c r="AQ28" s="10">
        <f>INDEX([1]ratio_ins!AN:AN,MATCH('001_population_health_zone_zs'!$B$2,[1]ratio_ins!$B:$B,0))*$G28*INDEX([1]ratio_ins!$D:$D,MATCH('001_population_health_zone_zs'!$B28,[1]ratio_ins!$B:$B,0))</f>
        <v>6118.67137</v>
      </c>
      <c r="AR28" s="10">
        <f>INDEX([1]ratio_ins!AO:AO,MATCH('001_population_health_zone_zs'!$B$2,[1]ratio_ins!$B:$B,0))*$G28*INDEX([1]ratio_ins!$D:$D,MATCH('001_population_health_zone_zs'!$B28,[1]ratio_ins!$B:$B,0))</f>
        <v>2926.3210900000004</v>
      </c>
      <c r="AS28" s="13">
        <f>INDEX([1]ratio_ins!AP:AP,MATCH('001_population_health_zone_zs'!$B$2,[1]ratio_ins!$B:$B,0))*$G28*INDEX([1]ratio_ins!$D:$D,MATCH('001_population_health_zone_zs'!$B28,[1]ratio_ins!$B:$B,0))</f>
        <v>108859.14454800001</v>
      </c>
      <c r="AT28" s="10">
        <f>INDEX([1]ratio_ins!AQ:AQ,MATCH('001_population_health_zone_zs'!$B$2,[1]ratio_ins!$B:$B,0))*$G28*INDEX([1]ratio_ins!$D:$D,MATCH('001_population_health_zone_zs'!$B28,[1]ratio_ins!$B:$B,0))</f>
        <v>2660.2919000000002</v>
      </c>
      <c r="AU28" s="10">
        <f>INDEX([1]ratio_ins!AR:AR,MATCH('001_population_health_zone_zs'!$B$2,[1]ratio_ins!$B:$B,0))*$G28*INDEX([1]ratio_ins!$D:$D,MATCH('001_population_health_zone_zs'!$B28,[1]ratio_ins!$B:$B,0))</f>
        <v>1596.1751400000001</v>
      </c>
      <c r="AV28" s="10">
        <f>INDEX([1]ratio_ins!AS:AS,MATCH('001_population_health_zone_zs'!$B$2,[1]ratio_ins!$B:$B,0))*$G28*INDEX([1]ratio_ins!$D:$D,MATCH('001_population_health_zone_zs'!$B28,[1]ratio_ins!$B:$B,0))</f>
        <v>798.08757000000003</v>
      </c>
      <c r="AW28" s="10">
        <f>INDEX([1]ratio_ins!AT:AT,MATCH('001_population_health_zone_zs'!$B$2,[1]ratio_ins!$B:$B,0))*$G28*INDEX([1]ratio_ins!$D:$D,MATCH('001_population_health_zone_zs'!$B28,[1]ratio_ins!$B:$B,0))</f>
        <v>532.05838000000006</v>
      </c>
      <c r="AX28" s="13">
        <f>INDEX([1]ratio_ins!AU:AU,MATCH('001_population_health_zone_zs'!$B$2,[1]ratio_ins!$B:$B,0))*$G28*INDEX([1]ratio_ins!$D:$D,MATCH('001_population_health_zone_zs'!$B28,[1]ratio_ins!$B:$B,0))</f>
        <v>5586.6129899999996</v>
      </c>
      <c r="AY28" s="14">
        <f t="shared" si="1"/>
        <v>266029.19</v>
      </c>
      <c r="AZ28" s="15">
        <f t="shared" si="2"/>
        <v>535270</v>
      </c>
      <c r="BA28" s="16">
        <v>529076.94938571937</v>
      </c>
      <c r="BB28" s="10">
        <f t="shared" si="3"/>
        <v>113062.40575000002</v>
      </c>
      <c r="BC28" s="17">
        <f t="shared" si="4"/>
        <v>0.21122500000000002</v>
      </c>
      <c r="BD28" s="10">
        <f t="shared" si="5"/>
        <v>112273.41776999999</v>
      </c>
    </row>
    <row r="29" spans="1:56" x14ac:dyDescent="0.25">
      <c r="A29" s="8" t="s">
        <v>10</v>
      </c>
      <c r="B29" s="8" t="s">
        <v>11</v>
      </c>
      <c r="C29" s="8" t="s">
        <v>10</v>
      </c>
      <c r="D29" s="8" t="s">
        <v>12</v>
      </c>
      <c r="E29" s="8" t="s">
        <v>66</v>
      </c>
      <c r="F29" s="8" t="s">
        <v>67</v>
      </c>
      <c r="G29" s="9">
        <v>458071</v>
      </c>
      <c r="H29" s="10">
        <f>INDEX([1]ratio_ins!F:F,MATCH('001_population_health_zone_zs'!$B$2,[1]ratio_ins!$B:$B,0))*$G29*INDEX([1]ratio_ins!$C:$C,MATCH('001_population_health_zone_zs'!$B29,[1]ratio_ins!$B:$B,0))</f>
        <v>48155.630016999996</v>
      </c>
      <c r="I29" s="10">
        <f>INDEX([1]ratio_ins!G:G,MATCH('001_population_health_zone_zs'!$B$2,[1]ratio_ins!$B:$B,0))*$G29*INDEX([1]ratio_ins!$C:$C,MATCH('001_population_health_zone_zs'!$B29,[1]ratio_ins!$B:$B,0))</f>
        <v>39400.060923000005</v>
      </c>
      <c r="J29" s="10">
        <f>INDEX([1]ratio_ins!H:H,MATCH('001_population_health_zone_zs'!$B$2,[1]ratio_ins!$B:$B,0))*$G29*INDEX([1]ratio_ins!$C:$C,MATCH('001_population_health_zone_zs'!$B29,[1]ratio_ins!$B:$B,0))</f>
        <v>31105.311255000004</v>
      </c>
      <c r="K29" s="10">
        <f>INDEX([1]ratio_ins!I:I,MATCH('001_population_health_zone_zs'!$B$2,[1]ratio_ins!$B:$B,0))*$G29*INDEX([1]ratio_ins!$C:$C,MATCH('001_population_health_zone_zs'!$B29,[1]ratio_ins!$B:$B,0))</f>
        <v>19124.006179000004</v>
      </c>
      <c r="L29" s="10">
        <f>INDEX([1]ratio_ins!J:J,MATCH('001_population_health_zone_zs'!$B$2,[1]ratio_ins!$B:$B,0))*$G29*INDEX([1]ratio_ins!$C:$C,MATCH('001_population_health_zone_zs'!$B29,[1]ratio_ins!$B:$B,0))</f>
        <v>11474.403707399999</v>
      </c>
      <c r="M29" s="11">
        <f>INDEX([1]ratio_ins!K:K,MATCH('001_population_health_zone_zs'!$B$2,[1]ratio_ins!$B:$B,0))*$G29*INDEX([1]ratio_ins!$C:$C,MATCH('001_population_health_zone_zs'!$B29,[1]ratio_ins!$B:$B,0))</f>
        <v>130135.40590239999</v>
      </c>
      <c r="N29" s="10">
        <f>INDEX([1]ratio_ins!L:L,MATCH('001_population_health_zone_zs'!$B$2,[1]ratio_ins!$B:$B,0))*$G29*INDEX([1]ratio_ins!$C:$C,MATCH('001_population_health_zone_zs'!$B29,[1]ratio_ins!$B:$B,0))</f>
        <v>7649.6024716000002</v>
      </c>
      <c r="O29" s="10">
        <f>INDEX([1]ratio_ins!M:M,MATCH('001_population_health_zone_zs'!$B$2,[1]ratio_ins!$B:$B,0))*$G29*INDEX([1]ratio_ins!$C:$C,MATCH('001_population_health_zone_zs'!$B29,[1]ratio_ins!$B:$B,0))</f>
        <v>16589.499336000001</v>
      </c>
      <c r="P29" s="10">
        <f>INDEX([1]ratio_ins!N:N,MATCH('001_population_health_zone_zs'!$B$2,[1]ratio_ins!$B:$B,0))*$G29*INDEX([1]ratio_ins!$C:$C,MATCH('001_population_health_zone_zs'!$B29,[1]ratio_ins!$B:$B,0))</f>
        <v>14976.631345000002</v>
      </c>
      <c r="Q29" s="10">
        <f>INDEX([1]ratio_ins!O:O,MATCH('001_population_health_zone_zs'!$B$2,[1]ratio_ins!$B:$B,0))*$G29*INDEX([1]ratio_ins!$C:$C,MATCH('001_population_health_zone_zs'!$B29,[1]ratio_ins!$B:$B,0))</f>
        <v>13363.763353999999</v>
      </c>
      <c r="R29" s="10">
        <f>INDEX([1]ratio_ins!P:P,MATCH('001_population_health_zone_zs'!$B$2,[1]ratio_ins!$B:$B,0))*$G29*INDEX([1]ratio_ins!$C:$C,MATCH('001_population_health_zone_zs'!$B29,[1]ratio_ins!$B:$B,0))</f>
        <v>13133.353641000002</v>
      </c>
      <c r="S29" s="10">
        <f>INDEX([1]ratio_ins!Q:Q,MATCH('001_population_health_zone_zs'!$B$2,[1]ratio_ins!$B:$B,0))*$G29*INDEX([1]ratio_ins!$C:$C,MATCH('001_population_health_zone_zs'!$B29,[1]ratio_ins!$B:$B,0))</f>
        <v>11059.666224000001</v>
      </c>
      <c r="T29" s="10">
        <f>INDEX([1]ratio_ins!R:R,MATCH('001_population_health_zone_zs'!$B$2,[1]ratio_ins!$B:$B,0))*$G29*INDEX([1]ratio_ins!$C:$C,MATCH('001_population_health_zone_zs'!$B29,[1]ratio_ins!$B:$B,0))</f>
        <v>7833.9302420000004</v>
      </c>
      <c r="U29" s="10">
        <f>INDEX([1]ratio_ins!S:S,MATCH('001_population_health_zone_zs'!$B$2,[1]ratio_ins!$B:$B,0))*$G29*INDEX([1]ratio_ins!$C:$C,MATCH('001_population_health_zone_zs'!$B29,[1]ratio_ins!$B:$B,0))</f>
        <v>6221.0622510000003</v>
      </c>
      <c r="V29" s="10">
        <f>INDEX([1]ratio_ins!T:T,MATCH('001_population_health_zone_zs'!$B$2,[1]ratio_ins!$B:$B,0))*$G29*INDEX([1]ratio_ins!$C:$C,MATCH('001_population_health_zone_zs'!$B29,[1]ratio_ins!$B:$B,0))</f>
        <v>3456.1456949999997</v>
      </c>
      <c r="W29" s="11">
        <f>INDEX([1]ratio_ins!U:U,MATCH('001_population_health_zone_zs'!$B$2,[1]ratio_ins!$B:$B,0))*$G29*INDEX([1]ratio_ins!$C:$C,MATCH('001_population_health_zone_zs'!$B29,[1]ratio_ins!$B:$B,0))</f>
        <v>94283.654559600007</v>
      </c>
      <c r="X29" s="10">
        <f>INDEX([1]ratio_ins!V:V,MATCH('001_population_health_zone_zs'!$B$2,[1]ratio_ins!$B:$B,0))*$G29*INDEX([1]ratio_ins!$C:$C,MATCH('001_population_health_zone_zs'!$B29,[1]ratio_ins!$B:$B,0))</f>
        <v>2764.9165560000001</v>
      </c>
      <c r="Y29" s="10">
        <f>INDEX([1]ratio_ins!W:W,MATCH('001_population_health_zone_zs'!$B$2,[1]ratio_ins!$B:$B,0))*$G29*INDEX([1]ratio_ins!$C:$C,MATCH('001_population_health_zone_zs'!$B29,[1]ratio_ins!$B:$B,0))</f>
        <v>1843.2777040000001</v>
      </c>
      <c r="Z29" s="10">
        <f>INDEX([1]ratio_ins!X:X,MATCH('001_population_health_zone_zs'!$B$2,[1]ratio_ins!$B:$B,0))*$G29*INDEX([1]ratio_ins!$C:$C,MATCH('001_population_health_zone_zs'!$B29,[1]ratio_ins!$B:$B,0))</f>
        <v>921.63885200000004</v>
      </c>
      <c r="AA29" s="10">
        <f>INDEX([1]ratio_ins!Y:Y,MATCH('001_population_health_zone_zs'!$B$2,[1]ratio_ins!$B:$B,0))*$G29*INDEX([1]ratio_ins!$C:$C,MATCH('001_population_health_zone_zs'!$B29,[1]ratio_ins!$B:$B,0))</f>
        <v>460.81942600000002</v>
      </c>
      <c r="AB29" s="11">
        <f>INDEX([1]ratio_ins!Z:Z,MATCH('001_population_health_zone_zs'!$B$2,[1]ratio_ins!$B:$B,0))*$G29*INDEX([1]ratio_ins!$C:$C,MATCH('001_population_health_zone_zs'!$B29,[1]ratio_ins!$B:$B,0))</f>
        <v>5990.6525380000003</v>
      </c>
      <c r="AC29" s="12">
        <f t="shared" si="0"/>
        <v>230409.71299999999</v>
      </c>
      <c r="AD29" s="10">
        <f>INDEX([1]ratio_ins!AA:AA,MATCH('001_population_health_zone_zs'!$B$2,[1]ratio_ins!$B:$B,0))*$G29*INDEX([1]ratio_ins!$D:$D,MATCH('001_population_health_zone_zs'!$B29,[1]ratio_ins!$B:$B,0))</f>
        <v>47808.870270000007</v>
      </c>
      <c r="AE29" s="10">
        <f>INDEX([1]ratio_ins!AB:AB,MATCH('001_population_health_zone_zs'!$B$2,[1]ratio_ins!$B:$B,0))*$G29*INDEX([1]ratio_ins!$D:$D,MATCH('001_population_health_zone_zs'!$B29,[1]ratio_ins!$B:$B,0))</f>
        <v>39385.402651000011</v>
      </c>
      <c r="AF29" s="10">
        <f>INDEX([1]ratio_ins!AC:AC,MATCH('001_population_health_zone_zs'!$B$2,[1]ratio_ins!$B:$B,0))*$G29*INDEX([1]ratio_ins!$D:$D,MATCH('001_population_health_zone_zs'!$B29,[1]ratio_ins!$B:$B,0))</f>
        <v>31189.596319</v>
      </c>
      <c r="AG29" s="10">
        <f>INDEX([1]ratio_ins!AD:AD,MATCH('001_population_health_zone_zs'!$B$2,[1]ratio_ins!$B:$B,0))*$G29*INDEX([1]ratio_ins!$D:$D,MATCH('001_population_health_zone_zs'!$B29,[1]ratio_ins!$B:$B,0))</f>
        <v>18895.886821000004</v>
      </c>
      <c r="AH29" s="10">
        <f>INDEX([1]ratio_ins!AE:AE,MATCH('001_population_health_zone_zs'!$B$2,[1]ratio_ins!$B:$B,0))*$G29*INDEX([1]ratio_ins!$D:$D,MATCH('001_population_health_zone_zs'!$B29,[1]ratio_ins!$B:$B,0))</f>
        <v>11337.5320926</v>
      </c>
      <c r="AI29" s="13">
        <f>INDEX([1]ratio_ins!AF:AF,MATCH('001_population_health_zone_zs'!$B$2,[1]ratio_ins!$B:$B,0))*$G29*INDEX([1]ratio_ins!$D:$D,MATCH('001_population_health_zone_zs'!$B29,[1]ratio_ins!$B:$B,0))</f>
        <v>129721.40133260001</v>
      </c>
      <c r="AJ29" s="10">
        <f>INDEX([1]ratio_ins!AG:AG,MATCH('001_population_health_zone_zs'!$B$2,[1]ratio_ins!$B:$B,0))*$G29*INDEX([1]ratio_ins!$D:$D,MATCH('001_population_health_zone_zs'!$B29,[1]ratio_ins!$B:$B,0))</f>
        <v>7558.3547284000015</v>
      </c>
      <c r="AK29" s="10">
        <f>INDEX([1]ratio_ins!AH:AH,MATCH('001_population_health_zone_zs'!$B$2,[1]ratio_ins!$B:$B,0))*$G29*INDEX([1]ratio_ins!$D:$D,MATCH('001_population_health_zone_zs'!$B29,[1]ratio_ins!$B:$B,0))</f>
        <v>16846.935238000005</v>
      </c>
      <c r="AL29" s="10">
        <f>INDEX([1]ratio_ins!AI:AI,MATCH('001_population_health_zone_zs'!$B$2,[1]ratio_ins!$B:$B,0))*$G29*INDEX([1]ratio_ins!$D:$D,MATCH('001_population_health_zone_zs'!$B29,[1]ratio_ins!$B:$B,0))</f>
        <v>15936.290090000004</v>
      </c>
      <c r="AM29" s="10">
        <f>INDEX([1]ratio_ins!AJ:AJ,MATCH('001_population_health_zone_zs'!$B$2,[1]ratio_ins!$B:$B,0))*$G29*INDEX([1]ratio_ins!$D:$D,MATCH('001_population_health_zone_zs'!$B29,[1]ratio_ins!$B:$B,0))</f>
        <v>14570.322368000003</v>
      </c>
      <c r="AN29" s="10">
        <f>INDEX([1]ratio_ins!AK:AK,MATCH('001_population_health_zone_zs'!$B$2,[1]ratio_ins!$B:$B,0))*$G29*INDEX([1]ratio_ins!$D:$D,MATCH('001_population_health_zone_zs'!$B29,[1]ratio_ins!$B:$B,0))</f>
        <v>13659.677220000001</v>
      </c>
      <c r="AO29" s="10">
        <f>INDEX([1]ratio_ins!AL:AL,MATCH('001_population_health_zone_zs'!$B$2,[1]ratio_ins!$B:$B,0))*$G29*INDEX([1]ratio_ins!$D:$D,MATCH('001_population_health_zone_zs'!$B29,[1]ratio_ins!$B:$B,0))</f>
        <v>10244.757915</v>
      </c>
      <c r="AP29" s="10">
        <f>INDEX([1]ratio_ins!AM:AM,MATCH('001_population_health_zone_zs'!$B$2,[1]ratio_ins!$B:$B,0))*$G29*INDEX([1]ratio_ins!$D:$D,MATCH('001_population_health_zone_zs'!$B29,[1]ratio_ins!$B:$B,0))</f>
        <v>6602.1773230000008</v>
      </c>
      <c r="AQ29" s="10">
        <f>INDEX([1]ratio_ins!AN:AN,MATCH('001_population_health_zone_zs'!$B$2,[1]ratio_ins!$B:$B,0))*$G29*INDEX([1]ratio_ins!$D:$D,MATCH('001_population_health_zone_zs'!$B29,[1]ratio_ins!$B:$B,0))</f>
        <v>5236.2096010000005</v>
      </c>
      <c r="AR29" s="10">
        <f>INDEX([1]ratio_ins!AO:AO,MATCH('001_population_health_zone_zs'!$B$2,[1]ratio_ins!$B:$B,0))*$G29*INDEX([1]ratio_ins!$D:$D,MATCH('001_population_health_zone_zs'!$B29,[1]ratio_ins!$B:$B,0))</f>
        <v>2504.2741570000007</v>
      </c>
      <c r="AS29" s="13">
        <f>INDEX([1]ratio_ins!AP:AP,MATCH('001_population_health_zone_zs'!$B$2,[1]ratio_ins!$B:$B,0))*$G29*INDEX([1]ratio_ins!$D:$D,MATCH('001_population_health_zone_zs'!$B29,[1]ratio_ins!$B:$B,0))</f>
        <v>93158.998640400008</v>
      </c>
      <c r="AT29" s="10">
        <f>INDEX([1]ratio_ins!AQ:AQ,MATCH('001_population_health_zone_zs'!$B$2,[1]ratio_ins!$B:$B,0))*$G29*INDEX([1]ratio_ins!$D:$D,MATCH('001_population_health_zone_zs'!$B29,[1]ratio_ins!$B:$B,0))</f>
        <v>2276.6128700000004</v>
      </c>
      <c r="AU29" s="10">
        <f>INDEX([1]ratio_ins!AR:AR,MATCH('001_population_health_zone_zs'!$B$2,[1]ratio_ins!$B:$B,0))*$G29*INDEX([1]ratio_ins!$D:$D,MATCH('001_population_health_zone_zs'!$B29,[1]ratio_ins!$B:$B,0))</f>
        <v>1365.9677220000001</v>
      </c>
      <c r="AV29" s="10">
        <f>INDEX([1]ratio_ins!AS:AS,MATCH('001_population_health_zone_zs'!$B$2,[1]ratio_ins!$B:$B,0))*$G29*INDEX([1]ratio_ins!$D:$D,MATCH('001_population_health_zone_zs'!$B29,[1]ratio_ins!$B:$B,0))</f>
        <v>682.98386100000005</v>
      </c>
      <c r="AW29" s="10">
        <f>INDEX([1]ratio_ins!AT:AT,MATCH('001_population_health_zone_zs'!$B$2,[1]ratio_ins!$B:$B,0))*$G29*INDEX([1]ratio_ins!$D:$D,MATCH('001_population_health_zone_zs'!$B29,[1]ratio_ins!$B:$B,0))</f>
        <v>455.32257400000009</v>
      </c>
      <c r="AX29" s="13">
        <f>INDEX([1]ratio_ins!AU:AU,MATCH('001_population_health_zone_zs'!$B$2,[1]ratio_ins!$B:$B,0))*$G29*INDEX([1]ratio_ins!$D:$D,MATCH('001_population_health_zone_zs'!$B29,[1]ratio_ins!$B:$B,0))</f>
        <v>4780.8870269999998</v>
      </c>
      <c r="AY29" s="14">
        <f t="shared" si="1"/>
        <v>227661.28700000001</v>
      </c>
      <c r="AZ29" s="15">
        <f t="shared" si="2"/>
        <v>458071</v>
      </c>
      <c r="BA29" s="16">
        <v>452771.48485248175</v>
      </c>
      <c r="BB29" s="10">
        <f t="shared" si="3"/>
        <v>96756.046975000005</v>
      </c>
      <c r="BC29" s="17">
        <f t="shared" si="4"/>
        <v>0.21122500000000002</v>
      </c>
      <c r="BD29" s="10">
        <f t="shared" si="5"/>
        <v>96080.850320999991</v>
      </c>
    </row>
    <row r="30" spans="1:56" x14ac:dyDescent="0.25">
      <c r="A30" s="8" t="s">
        <v>10</v>
      </c>
      <c r="B30" s="8" t="s">
        <v>11</v>
      </c>
      <c r="C30" s="8" t="s">
        <v>10</v>
      </c>
      <c r="D30" s="8" t="s">
        <v>12</v>
      </c>
      <c r="E30" s="8" t="s">
        <v>68</v>
      </c>
      <c r="F30" s="8" t="s">
        <v>69</v>
      </c>
      <c r="G30" s="9">
        <v>268351</v>
      </c>
      <c r="H30" s="10">
        <f>INDEX([1]ratio_ins!F:F,MATCH('001_population_health_zone_zs'!$B$2,[1]ratio_ins!$B:$B,0))*$G30*INDEX([1]ratio_ins!$C:$C,MATCH('001_population_health_zone_zs'!$B30,[1]ratio_ins!$B:$B,0))</f>
        <v>28210.935577</v>
      </c>
      <c r="I30" s="10">
        <f>INDEX([1]ratio_ins!G:G,MATCH('001_population_health_zone_zs'!$B$2,[1]ratio_ins!$B:$B,0))*$G30*INDEX([1]ratio_ins!$C:$C,MATCH('001_population_health_zone_zs'!$B30,[1]ratio_ins!$B:$B,0))</f>
        <v>23081.674563</v>
      </c>
      <c r="J30" s="10">
        <f>INDEX([1]ratio_ins!H:H,MATCH('001_population_health_zone_zs'!$B$2,[1]ratio_ins!$B:$B,0))*$G30*INDEX([1]ratio_ins!$C:$C,MATCH('001_population_health_zone_zs'!$B30,[1]ratio_ins!$B:$B,0))</f>
        <v>18222.374655</v>
      </c>
      <c r="K30" s="10">
        <f>INDEX([1]ratio_ins!I:I,MATCH('001_population_health_zone_zs'!$B$2,[1]ratio_ins!$B:$B,0))*$G30*INDEX([1]ratio_ins!$C:$C,MATCH('001_population_health_zone_zs'!$B30,[1]ratio_ins!$B:$B,0))</f>
        <v>11203.385899000001</v>
      </c>
      <c r="L30" s="10">
        <f>INDEX([1]ratio_ins!J:J,MATCH('001_population_health_zone_zs'!$B$2,[1]ratio_ins!$B:$B,0))*$G30*INDEX([1]ratio_ins!$C:$C,MATCH('001_population_health_zone_zs'!$B30,[1]ratio_ins!$B:$B,0))</f>
        <v>6722.031539399999</v>
      </c>
      <c r="M30" s="11">
        <f>INDEX([1]ratio_ins!K:K,MATCH('001_population_health_zone_zs'!$B$2,[1]ratio_ins!$B:$B,0))*$G30*INDEX([1]ratio_ins!$C:$C,MATCH('001_population_health_zone_zs'!$B30,[1]ratio_ins!$B:$B,0))</f>
        <v>76237.016334399988</v>
      </c>
      <c r="N30" s="10">
        <f>INDEX([1]ratio_ins!L:L,MATCH('001_population_health_zone_zs'!$B$2,[1]ratio_ins!$B:$B,0))*$G30*INDEX([1]ratio_ins!$C:$C,MATCH('001_population_health_zone_zs'!$B30,[1]ratio_ins!$B:$B,0))</f>
        <v>4481.3543596</v>
      </c>
      <c r="O30" s="10">
        <f>INDEX([1]ratio_ins!M:M,MATCH('001_population_health_zone_zs'!$B$2,[1]ratio_ins!$B:$B,0))*$G30*INDEX([1]ratio_ins!$C:$C,MATCH('001_population_health_zone_zs'!$B30,[1]ratio_ins!$B:$B,0))</f>
        <v>9718.5998159999999</v>
      </c>
      <c r="P30" s="10">
        <f>INDEX([1]ratio_ins!N:N,MATCH('001_population_health_zone_zs'!$B$2,[1]ratio_ins!$B:$B,0))*$G30*INDEX([1]ratio_ins!$C:$C,MATCH('001_population_health_zone_zs'!$B30,[1]ratio_ins!$B:$B,0))</f>
        <v>8773.7359450000004</v>
      </c>
      <c r="Q30" s="10">
        <f>INDEX([1]ratio_ins!O:O,MATCH('001_population_health_zone_zs'!$B$2,[1]ratio_ins!$B:$B,0))*$G30*INDEX([1]ratio_ins!$C:$C,MATCH('001_population_health_zone_zs'!$B30,[1]ratio_ins!$B:$B,0))</f>
        <v>7828.872073999999</v>
      </c>
      <c r="R30" s="10">
        <f>INDEX([1]ratio_ins!P:P,MATCH('001_population_health_zone_zs'!$B$2,[1]ratio_ins!$B:$B,0))*$G30*INDEX([1]ratio_ins!$C:$C,MATCH('001_population_health_zone_zs'!$B30,[1]ratio_ins!$B:$B,0))</f>
        <v>7693.8915210000005</v>
      </c>
      <c r="S30" s="10">
        <f>INDEX([1]ratio_ins!Q:Q,MATCH('001_population_health_zone_zs'!$B$2,[1]ratio_ins!$B:$B,0))*$G30*INDEX([1]ratio_ins!$C:$C,MATCH('001_population_health_zone_zs'!$B30,[1]ratio_ins!$B:$B,0))</f>
        <v>6479.0665440000002</v>
      </c>
      <c r="T30" s="10">
        <f>INDEX([1]ratio_ins!R:R,MATCH('001_population_health_zone_zs'!$B$2,[1]ratio_ins!$B:$B,0))*$G30*INDEX([1]ratio_ins!$C:$C,MATCH('001_population_health_zone_zs'!$B30,[1]ratio_ins!$B:$B,0))</f>
        <v>4589.3388020000002</v>
      </c>
      <c r="U30" s="10">
        <f>INDEX([1]ratio_ins!S:S,MATCH('001_population_health_zone_zs'!$B$2,[1]ratio_ins!$B:$B,0))*$G30*INDEX([1]ratio_ins!$C:$C,MATCH('001_population_health_zone_zs'!$B30,[1]ratio_ins!$B:$B,0))</f>
        <v>3644.4749310000002</v>
      </c>
      <c r="V30" s="10">
        <f>INDEX([1]ratio_ins!T:T,MATCH('001_population_health_zone_zs'!$B$2,[1]ratio_ins!$B:$B,0))*$G30*INDEX([1]ratio_ins!$C:$C,MATCH('001_population_health_zone_zs'!$B30,[1]ratio_ins!$B:$B,0))</f>
        <v>2024.7082949999999</v>
      </c>
      <c r="W30" s="11">
        <f>INDEX([1]ratio_ins!U:U,MATCH('001_population_health_zone_zs'!$B$2,[1]ratio_ins!$B:$B,0))*$G30*INDEX([1]ratio_ins!$C:$C,MATCH('001_population_health_zone_zs'!$B30,[1]ratio_ins!$B:$B,0))</f>
        <v>55234.042287600001</v>
      </c>
      <c r="X30" s="10">
        <f>INDEX([1]ratio_ins!V:V,MATCH('001_population_health_zone_zs'!$B$2,[1]ratio_ins!$B:$B,0))*$G30*INDEX([1]ratio_ins!$C:$C,MATCH('001_population_health_zone_zs'!$B30,[1]ratio_ins!$B:$B,0))</f>
        <v>1619.7666360000001</v>
      </c>
      <c r="Y30" s="10">
        <f>INDEX([1]ratio_ins!W:W,MATCH('001_population_health_zone_zs'!$B$2,[1]ratio_ins!$B:$B,0))*$G30*INDEX([1]ratio_ins!$C:$C,MATCH('001_population_health_zone_zs'!$B30,[1]ratio_ins!$B:$B,0))</f>
        <v>1079.8444239999999</v>
      </c>
      <c r="Z30" s="10">
        <f>INDEX([1]ratio_ins!X:X,MATCH('001_population_health_zone_zs'!$B$2,[1]ratio_ins!$B:$B,0))*$G30*INDEX([1]ratio_ins!$C:$C,MATCH('001_population_health_zone_zs'!$B30,[1]ratio_ins!$B:$B,0))</f>
        <v>539.92221199999994</v>
      </c>
      <c r="AA30" s="10">
        <f>INDEX([1]ratio_ins!Y:Y,MATCH('001_population_health_zone_zs'!$B$2,[1]ratio_ins!$B:$B,0))*$G30*INDEX([1]ratio_ins!$C:$C,MATCH('001_population_health_zone_zs'!$B30,[1]ratio_ins!$B:$B,0))</f>
        <v>269.96110599999997</v>
      </c>
      <c r="AB30" s="11">
        <f>INDEX([1]ratio_ins!Z:Z,MATCH('001_population_health_zone_zs'!$B$2,[1]ratio_ins!$B:$B,0))*$G30*INDEX([1]ratio_ins!$C:$C,MATCH('001_population_health_zone_zs'!$B30,[1]ratio_ins!$B:$B,0))</f>
        <v>3509.4943780000003</v>
      </c>
      <c r="AC30" s="12">
        <f t="shared" si="0"/>
        <v>134980.55299999999</v>
      </c>
      <c r="AD30" s="10">
        <f>INDEX([1]ratio_ins!AA:AA,MATCH('001_population_health_zone_zs'!$B$2,[1]ratio_ins!$B:$B,0))*$G30*INDEX([1]ratio_ins!$D:$D,MATCH('001_population_health_zone_zs'!$B30,[1]ratio_ins!$B:$B,0))</f>
        <v>28007.793870000001</v>
      </c>
      <c r="AE30" s="10">
        <f>INDEX([1]ratio_ins!AB:AB,MATCH('001_population_health_zone_zs'!$B$2,[1]ratio_ins!$B:$B,0))*$G30*INDEX([1]ratio_ins!$D:$D,MATCH('001_population_health_zone_zs'!$B30,[1]ratio_ins!$B:$B,0))</f>
        <v>23073.087331000006</v>
      </c>
      <c r="AF30" s="10">
        <f>INDEX([1]ratio_ins!AC:AC,MATCH('001_population_health_zone_zs'!$B$2,[1]ratio_ins!$B:$B,0))*$G30*INDEX([1]ratio_ins!$D:$D,MATCH('001_population_health_zone_zs'!$B30,[1]ratio_ins!$B:$B,0))</f>
        <v>18271.751238999997</v>
      </c>
      <c r="AG30" s="10">
        <f>INDEX([1]ratio_ins!AD:AD,MATCH('001_population_health_zone_zs'!$B$2,[1]ratio_ins!$B:$B,0))*$G30*INDEX([1]ratio_ins!$D:$D,MATCH('001_population_health_zone_zs'!$B30,[1]ratio_ins!$B:$B,0))</f>
        <v>11069.747101000003</v>
      </c>
      <c r="AH30" s="10">
        <f>INDEX([1]ratio_ins!AE:AE,MATCH('001_population_health_zone_zs'!$B$2,[1]ratio_ins!$B:$B,0))*$G30*INDEX([1]ratio_ins!$D:$D,MATCH('001_population_health_zone_zs'!$B30,[1]ratio_ins!$B:$B,0))</f>
        <v>6641.8482605999998</v>
      </c>
      <c r="AI30" s="13">
        <f>INDEX([1]ratio_ins!AF:AF,MATCH('001_population_health_zone_zs'!$B$2,[1]ratio_ins!$B:$B,0))*$G30*INDEX([1]ratio_ins!$D:$D,MATCH('001_population_health_zone_zs'!$B30,[1]ratio_ins!$B:$B,0))</f>
        <v>75994.480700600005</v>
      </c>
      <c r="AJ30" s="10">
        <f>INDEX([1]ratio_ins!AG:AG,MATCH('001_population_health_zone_zs'!$B$2,[1]ratio_ins!$B:$B,0))*$G30*INDEX([1]ratio_ins!$D:$D,MATCH('001_population_health_zone_zs'!$B30,[1]ratio_ins!$B:$B,0))</f>
        <v>4427.8988404000002</v>
      </c>
      <c r="AK30" s="10">
        <f>INDEX([1]ratio_ins!AH:AH,MATCH('001_population_health_zone_zs'!$B$2,[1]ratio_ins!$B:$B,0))*$G30*INDEX([1]ratio_ins!$D:$D,MATCH('001_population_health_zone_zs'!$B30,[1]ratio_ins!$B:$B,0))</f>
        <v>9869.4130780000014</v>
      </c>
      <c r="AL30" s="10">
        <f>INDEX([1]ratio_ins!AI:AI,MATCH('001_population_health_zone_zs'!$B$2,[1]ratio_ins!$B:$B,0))*$G30*INDEX([1]ratio_ins!$D:$D,MATCH('001_population_health_zone_zs'!$B30,[1]ratio_ins!$B:$B,0))</f>
        <v>9335.9312900000023</v>
      </c>
      <c r="AM30" s="10">
        <f>INDEX([1]ratio_ins!AJ:AJ,MATCH('001_population_health_zone_zs'!$B$2,[1]ratio_ins!$B:$B,0))*$G30*INDEX([1]ratio_ins!$D:$D,MATCH('001_population_health_zone_zs'!$B30,[1]ratio_ins!$B:$B,0))</f>
        <v>8535.7086080000008</v>
      </c>
      <c r="AN30" s="10">
        <f>INDEX([1]ratio_ins!AK:AK,MATCH('001_population_health_zone_zs'!$B$2,[1]ratio_ins!$B:$B,0))*$G30*INDEX([1]ratio_ins!$D:$D,MATCH('001_population_health_zone_zs'!$B30,[1]ratio_ins!$B:$B,0))</f>
        <v>8002.2268200000008</v>
      </c>
      <c r="AO30" s="10">
        <f>INDEX([1]ratio_ins!AL:AL,MATCH('001_population_health_zone_zs'!$B$2,[1]ratio_ins!$B:$B,0))*$G30*INDEX([1]ratio_ins!$D:$D,MATCH('001_population_health_zone_zs'!$B30,[1]ratio_ins!$B:$B,0))</f>
        <v>6001.6701150000008</v>
      </c>
      <c r="AP30" s="10">
        <f>INDEX([1]ratio_ins!AM:AM,MATCH('001_population_health_zone_zs'!$B$2,[1]ratio_ins!$B:$B,0))*$G30*INDEX([1]ratio_ins!$D:$D,MATCH('001_population_health_zone_zs'!$B30,[1]ratio_ins!$B:$B,0))</f>
        <v>3867.7429630000001</v>
      </c>
      <c r="AQ30" s="10">
        <f>INDEX([1]ratio_ins!AN:AN,MATCH('001_population_health_zone_zs'!$B$2,[1]ratio_ins!$B:$B,0))*$G30*INDEX([1]ratio_ins!$D:$D,MATCH('001_population_health_zone_zs'!$B30,[1]ratio_ins!$B:$B,0))</f>
        <v>3067.5202810000005</v>
      </c>
      <c r="AR30" s="10">
        <f>INDEX([1]ratio_ins!AO:AO,MATCH('001_population_health_zone_zs'!$B$2,[1]ratio_ins!$B:$B,0))*$G30*INDEX([1]ratio_ins!$D:$D,MATCH('001_population_health_zone_zs'!$B30,[1]ratio_ins!$B:$B,0))</f>
        <v>1467.0749170000004</v>
      </c>
      <c r="AS30" s="13">
        <f>INDEX([1]ratio_ins!AP:AP,MATCH('001_population_health_zone_zs'!$B$2,[1]ratio_ins!$B:$B,0))*$G30*INDEX([1]ratio_ins!$D:$D,MATCH('001_population_health_zone_zs'!$B30,[1]ratio_ins!$B:$B,0))</f>
        <v>54575.186912400008</v>
      </c>
      <c r="AT30" s="10">
        <f>INDEX([1]ratio_ins!AQ:AQ,MATCH('001_population_health_zone_zs'!$B$2,[1]ratio_ins!$B:$B,0))*$G30*INDEX([1]ratio_ins!$D:$D,MATCH('001_population_health_zone_zs'!$B30,[1]ratio_ins!$B:$B,0))</f>
        <v>1333.7044700000004</v>
      </c>
      <c r="AU30" s="10">
        <f>INDEX([1]ratio_ins!AR:AR,MATCH('001_population_health_zone_zs'!$B$2,[1]ratio_ins!$B:$B,0))*$G30*INDEX([1]ratio_ins!$D:$D,MATCH('001_population_health_zone_zs'!$B30,[1]ratio_ins!$B:$B,0))</f>
        <v>800.22268200000008</v>
      </c>
      <c r="AV30" s="10">
        <f>INDEX([1]ratio_ins!AS:AS,MATCH('001_population_health_zone_zs'!$B$2,[1]ratio_ins!$B:$B,0))*$G30*INDEX([1]ratio_ins!$D:$D,MATCH('001_population_health_zone_zs'!$B30,[1]ratio_ins!$B:$B,0))</f>
        <v>400.11134100000004</v>
      </c>
      <c r="AW30" s="10">
        <f>INDEX([1]ratio_ins!AT:AT,MATCH('001_population_health_zone_zs'!$B$2,[1]ratio_ins!$B:$B,0))*$G30*INDEX([1]ratio_ins!$D:$D,MATCH('001_population_health_zone_zs'!$B30,[1]ratio_ins!$B:$B,0))</f>
        <v>266.74089400000003</v>
      </c>
      <c r="AX30" s="13">
        <f>INDEX([1]ratio_ins!AU:AU,MATCH('001_population_health_zone_zs'!$B$2,[1]ratio_ins!$B:$B,0))*$G30*INDEX([1]ratio_ins!$D:$D,MATCH('001_population_health_zone_zs'!$B30,[1]ratio_ins!$B:$B,0))</f>
        <v>2800.779387</v>
      </c>
      <c r="AY30" s="14">
        <f t="shared" si="1"/>
        <v>133370.44700000001</v>
      </c>
      <c r="AZ30" s="15">
        <f t="shared" si="2"/>
        <v>268351</v>
      </c>
      <c r="BA30" s="16">
        <v>265246.01179616561</v>
      </c>
      <c r="BB30" s="10">
        <f t="shared" si="3"/>
        <v>56682.439975000008</v>
      </c>
      <c r="BC30" s="17">
        <f t="shared" si="4"/>
        <v>0.21122500000000002</v>
      </c>
      <c r="BD30" s="10">
        <f t="shared" si="5"/>
        <v>56286.890600999992</v>
      </c>
    </row>
    <row r="31" spans="1:56" x14ac:dyDescent="0.25">
      <c r="A31" s="8" t="s">
        <v>10</v>
      </c>
      <c r="B31" s="8" t="s">
        <v>11</v>
      </c>
      <c r="C31" s="8" t="s">
        <v>10</v>
      </c>
      <c r="D31" s="8" t="s">
        <v>12</v>
      </c>
      <c r="E31" s="8" t="s">
        <v>70</v>
      </c>
      <c r="F31" s="8" t="s">
        <v>71</v>
      </c>
      <c r="G31" s="9">
        <v>597747</v>
      </c>
      <c r="H31" s="10">
        <f>INDEX([1]ratio_ins!F:F,MATCH('001_population_health_zone_zs'!$B$2,[1]ratio_ins!$B:$B,0))*$G31*INDEX([1]ratio_ins!$C:$C,MATCH('001_population_health_zone_zs'!$B31,[1]ratio_ins!$B:$B,0))</f>
        <v>62839.348868999994</v>
      </c>
      <c r="I31" s="10">
        <f>INDEX([1]ratio_ins!G:G,MATCH('001_population_health_zone_zs'!$B$2,[1]ratio_ins!$B:$B,0))*$G31*INDEX([1]ratio_ins!$C:$C,MATCH('001_population_health_zone_zs'!$B31,[1]ratio_ins!$B:$B,0))</f>
        <v>51414.012711000003</v>
      </c>
      <c r="J31" s="10">
        <f>INDEX([1]ratio_ins!H:H,MATCH('001_population_health_zone_zs'!$B$2,[1]ratio_ins!$B:$B,0))*$G31*INDEX([1]ratio_ins!$C:$C,MATCH('001_population_health_zone_zs'!$B31,[1]ratio_ins!$B:$B,0))</f>
        <v>40590.010034999999</v>
      </c>
      <c r="K31" s="10">
        <f>INDEX([1]ratio_ins!I:I,MATCH('001_population_health_zone_zs'!$B$2,[1]ratio_ins!$B:$B,0))*$G31*INDEX([1]ratio_ins!$C:$C,MATCH('001_population_health_zone_zs'!$B31,[1]ratio_ins!$B:$B,0))</f>
        <v>24955.339503000003</v>
      </c>
      <c r="L31" s="10">
        <f>INDEX([1]ratio_ins!J:J,MATCH('001_population_health_zone_zs'!$B$2,[1]ratio_ins!$B:$B,0))*$G31*INDEX([1]ratio_ins!$C:$C,MATCH('001_population_health_zone_zs'!$B31,[1]ratio_ins!$B:$B,0))</f>
        <v>14973.203701799999</v>
      </c>
      <c r="M31" s="11">
        <f>INDEX([1]ratio_ins!K:K,MATCH('001_population_health_zone_zs'!$B$2,[1]ratio_ins!$B:$B,0))*$G31*INDEX([1]ratio_ins!$C:$C,MATCH('001_population_health_zone_zs'!$B31,[1]ratio_ins!$B:$B,0))</f>
        <v>169816.57531679998</v>
      </c>
      <c r="N31" s="10">
        <f>INDEX([1]ratio_ins!L:L,MATCH('001_population_health_zone_zs'!$B$2,[1]ratio_ins!$B:$B,0))*$G31*INDEX([1]ratio_ins!$C:$C,MATCH('001_population_health_zone_zs'!$B31,[1]ratio_ins!$B:$B,0))</f>
        <v>9982.1358012000001</v>
      </c>
      <c r="O31" s="10">
        <f>INDEX([1]ratio_ins!M:M,MATCH('001_population_health_zone_zs'!$B$2,[1]ratio_ins!$B:$B,0))*$G31*INDEX([1]ratio_ins!$C:$C,MATCH('001_population_health_zone_zs'!$B31,[1]ratio_ins!$B:$B,0))</f>
        <v>21648.005352000004</v>
      </c>
      <c r="P31" s="10">
        <f>INDEX([1]ratio_ins!N:N,MATCH('001_population_health_zone_zs'!$B$2,[1]ratio_ins!$B:$B,0))*$G31*INDEX([1]ratio_ins!$C:$C,MATCH('001_population_health_zone_zs'!$B31,[1]ratio_ins!$B:$B,0))</f>
        <v>19543.338165000001</v>
      </c>
      <c r="Q31" s="10">
        <f>INDEX([1]ratio_ins!O:O,MATCH('001_population_health_zone_zs'!$B$2,[1]ratio_ins!$B:$B,0))*$G31*INDEX([1]ratio_ins!$C:$C,MATCH('001_population_health_zone_zs'!$B31,[1]ratio_ins!$B:$B,0))</f>
        <v>17438.670978000002</v>
      </c>
      <c r="R31" s="10">
        <f>INDEX([1]ratio_ins!P:P,MATCH('001_population_health_zone_zs'!$B$2,[1]ratio_ins!$B:$B,0))*$G31*INDEX([1]ratio_ins!$C:$C,MATCH('001_population_health_zone_zs'!$B31,[1]ratio_ins!$B:$B,0))</f>
        <v>17138.004236999997</v>
      </c>
      <c r="S31" s="10">
        <f>INDEX([1]ratio_ins!Q:Q,MATCH('001_population_health_zone_zs'!$B$2,[1]ratio_ins!$B:$B,0))*$G31*INDEX([1]ratio_ins!$C:$C,MATCH('001_population_health_zone_zs'!$B31,[1]ratio_ins!$B:$B,0))</f>
        <v>14432.003568</v>
      </c>
      <c r="T31" s="10">
        <f>INDEX([1]ratio_ins!R:R,MATCH('001_population_health_zone_zs'!$B$2,[1]ratio_ins!$B:$B,0))*$G31*INDEX([1]ratio_ins!$C:$C,MATCH('001_population_health_zone_zs'!$B31,[1]ratio_ins!$B:$B,0))</f>
        <v>10222.669194</v>
      </c>
      <c r="U31" s="10">
        <f>INDEX([1]ratio_ins!S:S,MATCH('001_population_health_zone_zs'!$B$2,[1]ratio_ins!$B:$B,0))*$G31*INDEX([1]ratio_ins!$C:$C,MATCH('001_population_health_zone_zs'!$B31,[1]ratio_ins!$B:$B,0))</f>
        <v>8118.002007000001</v>
      </c>
      <c r="V31" s="10">
        <f>INDEX([1]ratio_ins!T:T,MATCH('001_population_health_zone_zs'!$B$2,[1]ratio_ins!$B:$B,0))*$G31*INDEX([1]ratio_ins!$C:$C,MATCH('001_population_health_zone_zs'!$B31,[1]ratio_ins!$B:$B,0))</f>
        <v>4510.001115</v>
      </c>
      <c r="W31" s="11">
        <f>INDEX([1]ratio_ins!U:U,MATCH('001_population_health_zone_zs'!$B$2,[1]ratio_ins!$B:$B,0))*$G31*INDEX([1]ratio_ins!$C:$C,MATCH('001_population_health_zone_zs'!$B31,[1]ratio_ins!$B:$B,0))</f>
        <v>123032.83041720001</v>
      </c>
      <c r="X31" s="10">
        <f>INDEX([1]ratio_ins!V:V,MATCH('001_population_health_zone_zs'!$B$2,[1]ratio_ins!$B:$B,0))*$G31*INDEX([1]ratio_ins!$C:$C,MATCH('001_population_health_zone_zs'!$B31,[1]ratio_ins!$B:$B,0))</f>
        <v>3608.000892</v>
      </c>
      <c r="Y31" s="10">
        <f>INDEX([1]ratio_ins!W:W,MATCH('001_population_health_zone_zs'!$B$2,[1]ratio_ins!$B:$B,0))*$G31*INDEX([1]ratio_ins!$C:$C,MATCH('001_population_health_zone_zs'!$B31,[1]ratio_ins!$B:$B,0))</f>
        <v>2405.333928</v>
      </c>
      <c r="Z31" s="10">
        <f>INDEX([1]ratio_ins!X:X,MATCH('001_population_health_zone_zs'!$B$2,[1]ratio_ins!$B:$B,0))*$G31*INDEX([1]ratio_ins!$C:$C,MATCH('001_population_health_zone_zs'!$B31,[1]ratio_ins!$B:$B,0))</f>
        <v>1202.666964</v>
      </c>
      <c r="AA31" s="10">
        <f>INDEX([1]ratio_ins!Y:Y,MATCH('001_population_health_zone_zs'!$B$2,[1]ratio_ins!$B:$B,0))*$G31*INDEX([1]ratio_ins!$C:$C,MATCH('001_population_health_zone_zs'!$B31,[1]ratio_ins!$B:$B,0))</f>
        <v>601.333482</v>
      </c>
      <c r="AB31" s="11">
        <f>INDEX([1]ratio_ins!Z:Z,MATCH('001_population_health_zone_zs'!$B$2,[1]ratio_ins!$B:$B,0))*$G31*INDEX([1]ratio_ins!$C:$C,MATCH('001_population_health_zone_zs'!$B31,[1]ratio_ins!$B:$B,0))</f>
        <v>7817.335266</v>
      </c>
      <c r="AC31" s="12">
        <f t="shared" si="0"/>
        <v>300666.74099999998</v>
      </c>
      <c r="AD31" s="10">
        <f>INDEX([1]ratio_ins!AA:AA,MATCH('001_population_health_zone_zs'!$B$2,[1]ratio_ins!$B:$B,0))*$G31*INDEX([1]ratio_ins!$D:$D,MATCH('001_population_health_zone_zs'!$B31,[1]ratio_ins!$B:$B,0))</f>
        <v>62386.854390000008</v>
      </c>
      <c r="AE31" s="10">
        <f>INDEX([1]ratio_ins!AB:AB,MATCH('001_population_health_zone_zs'!$B$2,[1]ratio_ins!$B:$B,0))*$G31*INDEX([1]ratio_ins!$D:$D,MATCH('001_population_health_zone_zs'!$B31,[1]ratio_ins!$B:$B,0))</f>
        <v>51394.884807000009</v>
      </c>
      <c r="AF31" s="10">
        <f>INDEX([1]ratio_ins!AC:AC,MATCH('001_population_health_zone_zs'!$B$2,[1]ratio_ins!$B:$B,0))*$G31*INDEX([1]ratio_ins!$D:$D,MATCH('001_population_health_zone_zs'!$B31,[1]ratio_ins!$B:$B,0))</f>
        <v>40699.995482999999</v>
      </c>
      <c r="AG31" s="10">
        <f>INDEX([1]ratio_ins!AD:AD,MATCH('001_population_health_zone_zs'!$B$2,[1]ratio_ins!$B:$B,0))*$G31*INDEX([1]ratio_ins!$D:$D,MATCH('001_population_health_zone_zs'!$B31,[1]ratio_ins!$B:$B,0))</f>
        <v>24657.661497000005</v>
      </c>
      <c r="AH31" s="10">
        <f>INDEX([1]ratio_ins!AE:AE,MATCH('001_population_health_zone_zs'!$B$2,[1]ratio_ins!$B:$B,0))*$G31*INDEX([1]ratio_ins!$D:$D,MATCH('001_population_health_zone_zs'!$B31,[1]ratio_ins!$B:$B,0))</f>
        <v>14794.596898200001</v>
      </c>
      <c r="AI31" s="13">
        <f>INDEX([1]ratio_ins!AF:AF,MATCH('001_population_health_zone_zs'!$B$2,[1]ratio_ins!$B:$B,0))*$G31*INDEX([1]ratio_ins!$D:$D,MATCH('001_population_health_zone_zs'!$B31,[1]ratio_ins!$B:$B,0))</f>
        <v>169276.33157819998</v>
      </c>
      <c r="AJ31" s="10">
        <f>INDEX([1]ratio_ins!AG:AG,MATCH('001_population_health_zone_zs'!$B$2,[1]ratio_ins!$B:$B,0))*$G31*INDEX([1]ratio_ins!$D:$D,MATCH('001_population_health_zone_zs'!$B31,[1]ratio_ins!$B:$B,0))</f>
        <v>9863.0645988000015</v>
      </c>
      <c r="AK31" s="10">
        <f>INDEX([1]ratio_ins!AH:AH,MATCH('001_population_health_zone_zs'!$B$2,[1]ratio_ins!$B:$B,0))*$G31*INDEX([1]ratio_ins!$D:$D,MATCH('001_population_health_zone_zs'!$B31,[1]ratio_ins!$B:$B,0))</f>
        <v>21983.939166000004</v>
      </c>
      <c r="AL31" s="10">
        <f>INDEX([1]ratio_ins!AI:AI,MATCH('001_population_health_zone_zs'!$B$2,[1]ratio_ins!$B:$B,0))*$G31*INDEX([1]ratio_ins!$D:$D,MATCH('001_population_health_zone_zs'!$B31,[1]ratio_ins!$B:$B,0))</f>
        <v>20795.618130000003</v>
      </c>
      <c r="AM31" s="10">
        <f>INDEX([1]ratio_ins!AJ:AJ,MATCH('001_population_health_zone_zs'!$B$2,[1]ratio_ins!$B:$B,0))*$G31*INDEX([1]ratio_ins!$D:$D,MATCH('001_population_health_zone_zs'!$B31,[1]ratio_ins!$B:$B,0))</f>
        <v>19013.136576000001</v>
      </c>
      <c r="AN31" s="10">
        <f>INDEX([1]ratio_ins!AK:AK,MATCH('001_population_health_zone_zs'!$B$2,[1]ratio_ins!$B:$B,0))*$G31*INDEX([1]ratio_ins!$D:$D,MATCH('001_population_health_zone_zs'!$B31,[1]ratio_ins!$B:$B,0))</f>
        <v>17824.815540000003</v>
      </c>
      <c r="AO31" s="10">
        <f>INDEX([1]ratio_ins!AL:AL,MATCH('001_population_health_zone_zs'!$B$2,[1]ratio_ins!$B:$B,0))*$G31*INDEX([1]ratio_ins!$D:$D,MATCH('001_population_health_zone_zs'!$B31,[1]ratio_ins!$B:$B,0))</f>
        <v>13368.611655000001</v>
      </c>
      <c r="AP31" s="10">
        <f>INDEX([1]ratio_ins!AM:AM,MATCH('001_population_health_zone_zs'!$B$2,[1]ratio_ins!$B:$B,0))*$G31*INDEX([1]ratio_ins!$D:$D,MATCH('001_population_health_zone_zs'!$B31,[1]ratio_ins!$B:$B,0))</f>
        <v>8615.3275110000013</v>
      </c>
      <c r="AQ31" s="10">
        <f>INDEX([1]ratio_ins!AN:AN,MATCH('001_population_health_zone_zs'!$B$2,[1]ratio_ins!$B:$B,0))*$G31*INDEX([1]ratio_ins!$D:$D,MATCH('001_population_health_zone_zs'!$B31,[1]ratio_ins!$B:$B,0))</f>
        <v>6832.8459570000014</v>
      </c>
      <c r="AR31" s="10">
        <f>INDEX([1]ratio_ins!AO:AO,MATCH('001_population_health_zone_zs'!$B$2,[1]ratio_ins!$B:$B,0))*$G31*INDEX([1]ratio_ins!$D:$D,MATCH('001_population_health_zone_zs'!$B31,[1]ratio_ins!$B:$B,0))</f>
        <v>3267.8828490000005</v>
      </c>
      <c r="AS31" s="13">
        <f>INDEX([1]ratio_ins!AP:AP,MATCH('001_population_health_zone_zs'!$B$2,[1]ratio_ins!$B:$B,0))*$G31*INDEX([1]ratio_ins!$D:$D,MATCH('001_population_health_zone_zs'!$B31,[1]ratio_ins!$B:$B,0))</f>
        <v>121565.24198280001</v>
      </c>
      <c r="AT31" s="10">
        <f>INDEX([1]ratio_ins!AQ:AQ,MATCH('001_population_health_zone_zs'!$B$2,[1]ratio_ins!$B:$B,0))*$G31*INDEX([1]ratio_ins!$D:$D,MATCH('001_population_health_zone_zs'!$B31,[1]ratio_ins!$B:$B,0))</f>
        <v>2970.8025900000002</v>
      </c>
      <c r="AU31" s="10">
        <f>INDEX([1]ratio_ins!AR:AR,MATCH('001_population_health_zone_zs'!$B$2,[1]ratio_ins!$B:$B,0))*$G31*INDEX([1]ratio_ins!$D:$D,MATCH('001_population_health_zone_zs'!$B31,[1]ratio_ins!$B:$B,0))</f>
        <v>1782.4815540000002</v>
      </c>
      <c r="AV31" s="10">
        <f>INDEX([1]ratio_ins!AS:AS,MATCH('001_population_health_zone_zs'!$B$2,[1]ratio_ins!$B:$B,0))*$G31*INDEX([1]ratio_ins!$D:$D,MATCH('001_population_health_zone_zs'!$B31,[1]ratio_ins!$B:$B,0))</f>
        <v>891.24077700000009</v>
      </c>
      <c r="AW31" s="10">
        <f>INDEX([1]ratio_ins!AT:AT,MATCH('001_population_health_zone_zs'!$B$2,[1]ratio_ins!$B:$B,0))*$G31*INDEX([1]ratio_ins!$D:$D,MATCH('001_population_health_zone_zs'!$B31,[1]ratio_ins!$B:$B,0))</f>
        <v>594.16051800000002</v>
      </c>
      <c r="AX31" s="13">
        <f>INDEX([1]ratio_ins!AU:AU,MATCH('001_population_health_zone_zs'!$B$2,[1]ratio_ins!$B:$B,0))*$G31*INDEX([1]ratio_ins!$D:$D,MATCH('001_population_health_zone_zs'!$B31,[1]ratio_ins!$B:$B,0))</f>
        <v>6238.6854389999999</v>
      </c>
      <c r="AY31" s="14">
        <f t="shared" si="1"/>
        <v>297080.25900000002</v>
      </c>
      <c r="AZ31" s="15">
        <f t="shared" si="2"/>
        <v>597747</v>
      </c>
      <c r="BA31" s="16">
        <v>590831.00216744363</v>
      </c>
      <c r="BB31" s="10">
        <f t="shared" si="3"/>
        <v>126259.110075</v>
      </c>
      <c r="BC31" s="17">
        <f t="shared" si="4"/>
        <v>0.211225</v>
      </c>
      <c r="BD31" s="10">
        <f t="shared" si="5"/>
        <v>125378.03099700001</v>
      </c>
    </row>
    <row r="32" spans="1:56" x14ac:dyDescent="0.25">
      <c r="A32" s="8" t="s">
        <v>10</v>
      </c>
      <c r="B32" s="8" t="s">
        <v>11</v>
      </c>
      <c r="C32" s="8" t="s">
        <v>10</v>
      </c>
      <c r="D32" s="8" t="s">
        <v>12</v>
      </c>
      <c r="E32" s="8" t="s">
        <v>72</v>
      </c>
      <c r="F32" s="8" t="s">
        <v>73</v>
      </c>
      <c r="G32" s="9">
        <v>337738</v>
      </c>
      <c r="H32" s="10">
        <f>INDEX([1]ratio_ins!F:F,MATCH('001_population_health_zone_zs'!$B$2,[1]ratio_ins!$B:$B,0))*$G32*INDEX([1]ratio_ins!$C:$C,MATCH('001_population_health_zone_zs'!$B32,[1]ratio_ins!$B:$B,0))</f>
        <v>35505.382725999996</v>
      </c>
      <c r="I32" s="10">
        <f>INDEX([1]ratio_ins!G:G,MATCH('001_population_health_zone_zs'!$B$2,[1]ratio_ins!$B:$B,0))*$G32*INDEX([1]ratio_ins!$C:$C,MATCH('001_population_health_zone_zs'!$B32,[1]ratio_ins!$B:$B,0))</f>
        <v>29049.858594000001</v>
      </c>
      <c r="J32" s="10">
        <f>INDEX([1]ratio_ins!H:H,MATCH('001_population_health_zone_zs'!$B$2,[1]ratio_ins!$B:$B,0))*$G32*INDEX([1]ratio_ins!$C:$C,MATCH('001_population_health_zone_zs'!$B32,[1]ratio_ins!$B:$B,0))</f>
        <v>22934.098890000001</v>
      </c>
      <c r="K32" s="10">
        <f>INDEX([1]ratio_ins!I:I,MATCH('001_population_health_zone_zs'!$B$2,[1]ratio_ins!$B:$B,0))*$G32*INDEX([1]ratio_ins!$C:$C,MATCH('001_population_health_zone_zs'!$B32,[1]ratio_ins!$B:$B,0))</f>
        <v>14100.223762</v>
      </c>
      <c r="L32" s="10">
        <f>INDEX([1]ratio_ins!J:J,MATCH('001_population_health_zone_zs'!$B$2,[1]ratio_ins!$B:$B,0))*$G32*INDEX([1]ratio_ins!$C:$C,MATCH('001_population_health_zone_zs'!$B32,[1]ratio_ins!$B:$B,0))</f>
        <v>8460.1342571999994</v>
      </c>
      <c r="M32" s="11">
        <f>INDEX([1]ratio_ins!K:K,MATCH('001_population_health_zone_zs'!$B$2,[1]ratio_ins!$B:$B,0))*$G32*INDEX([1]ratio_ins!$C:$C,MATCH('001_population_health_zone_zs'!$B32,[1]ratio_ins!$B:$B,0))</f>
        <v>95949.474467199994</v>
      </c>
      <c r="N32" s="10">
        <f>INDEX([1]ratio_ins!L:L,MATCH('001_population_health_zone_zs'!$B$2,[1]ratio_ins!$B:$B,0))*$G32*INDEX([1]ratio_ins!$C:$C,MATCH('001_population_health_zone_zs'!$B32,[1]ratio_ins!$B:$B,0))</f>
        <v>5640.0895047999993</v>
      </c>
      <c r="O32" s="10">
        <f>INDEX([1]ratio_ins!M:M,MATCH('001_population_health_zone_zs'!$B$2,[1]ratio_ins!$B:$B,0))*$G32*INDEX([1]ratio_ins!$C:$C,MATCH('001_population_health_zone_zs'!$B32,[1]ratio_ins!$B:$B,0))</f>
        <v>12231.519408000002</v>
      </c>
      <c r="P32" s="10">
        <f>INDEX([1]ratio_ins!N:N,MATCH('001_population_health_zone_zs'!$B$2,[1]ratio_ins!$B:$B,0))*$G32*INDEX([1]ratio_ins!$C:$C,MATCH('001_population_health_zone_zs'!$B32,[1]ratio_ins!$B:$B,0))</f>
        <v>11042.343910000001</v>
      </c>
      <c r="Q32" s="10">
        <f>INDEX([1]ratio_ins!O:O,MATCH('001_population_health_zone_zs'!$B$2,[1]ratio_ins!$B:$B,0))*$G32*INDEX([1]ratio_ins!$C:$C,MATCH('001_population_health_zone_zs'!$B32,[1]ratio_ins!$B:$B,0))</f>
        <v>9853.1684120000009</v>
      </c>
      <c r="R32" s="10">
        <f>INDEX([1]ratio_ins!P:P,MATCH('001_population_health_zone_zs'!$B$2,[1]ratio_ins!$B:$B,0))*$G32*INDEX([1]ratio_ins!$C:$C,MATCH('001_population_health_zone_zs'!$B32,[1]ratio_ins!$B:$B,0))</f>
        <v>9683.2861979999998</v>
      </c>
      <c r="S32" s="10">
        <f>INDEX([1]ratio_ins!Q:Q,MATCH('001_population_health_zone_zs'!$B$2,[1]ratio_ins!$B:$B,0))*$G32*INDEX([1]ratio_ins!$C:$C,MATCH('001_population_health_zone_zs'!$B32,[1]ratio_ins!$B:$B,0))</f>
        <v>8154.3462720000007</v>
      </c>
      <c r="T32" s="10">
        <f>INDEX([1]ratio_ins!R:R,MATCH('001_population_health_zone_zs'!$B$2,[1]ratio_ins!$B:$B,0))*$G32*INDEX([1]ratio_ins!$C:$C,MATCH('001_population_health_zone_zs'!$B32,[1]ratio_ins!$B:$B,0))</f>
        <v>5775.9952760000006</v>
      </c>
      <c r="U32" s="10">
        <f>INDEX([1]ratio_ins!S:S,MATCH('001_population_health_zone_zs'!$B$2,[1]ratio_ins!$B:$B,0))*$G32*INDEX([1]ratio_ins!$C:$C,MATCH('001_population_health_zone_zs'!$B32,[1]ratio_ins!$B:$B,0))</f>
        <v>4586.819778000001</v>
      </c>
      <c r="V32" s="10">
        <f>INDEX([1]ratio_ins!T:T,MATCH('001_population_health_zone_zs'!$B$2,[1]ratio_ins!$B:$B,0))*$G32*INDEX([1]ratio_ins!$C:$C,MATCH('001_population_health_zone_zs'!$B32,[1]ratio_ins!$B:$B,0))</f>
        <v>2548.2332099999999</v>
      </c>
      <c r="W32" s="11">
        <f>INDEX([1]ratio_ins!U:U,MATCH('001_population_health_zone_zs'!$B$2,[1]ratio_ins!$B:$B,0))*$G32*INDEX([1]ratio_ins!$C:$C,MATCH('001_population_health_zone_zs'!$B32,[1]ratio_ins!$B:$B,0))</f>
        <v>69515.801968799991</v>
      </c>
      <c r="X32" s="10">
        <f>INDEX([1]ratio_ins!V:V,MATCH('001_population_health_zone_zs'!$B$2,[1]ratio_ins!$B:$B,0))*$G32*INDEX([1]ratio_ins!$C:$C,MATCH('001_population_health_zone_zs'!$B32,[1]ratio_ins!$B:$B,0))</f>
        <v>2038.5865680000002</v>
      </c>
      <c r="Y32" s="10">
        <f>INDEX([1]ratio_ins!W:W,MATCH('001_population_health_zone_zs'!$B$2,[1]ratio_ins!$B:$B,0))*$G32*INDEX([1]ratio_ins!$C:$C,MATCH('001_population_health_zone_zs'!$B32,[1]ratio_ins!$B:$B,0))</f>
        <v>1359.057712</v>
      </c>
      <c r="Z32" s="10">
        <f>INDEX([1]ratio_ins!X:X,MATCH('001_population_health_zone_zs'!$B$2,[1]ratio_ins!$B:$B,0))*$G32*INDEX([1]ratio_ins!$C:$C,MATCH('001_population_health_zone_zs'!$B32,[1]ratio_ins!$B:$B,0))</f>
        <v>679.52885600000002</v>
      </c>
      <c r="AA32" s="10">
        <f>INDEX([1]ratio_ins!Y:Y,MATCH('001_population_health_zone_zs'!$B$2,[1]ratio_ins!$B:$B,0))*$G32*INDEX([1]ratio_ins!$C:$C,MATCH('001_population_health_zone_zs'!$B32,[1]ratio_ins!$B:$B,0))</f>
        <v>339.76442800000001</v>
      </c>
      <c r="AB32" s="11">
        <f>INDEX([1]ratio_ins!Z:Z,MATCH('001_population_health_zone_zs'!$B$2,[1]ratio_ins!$B:$B,0))*$G32*INDEX([1]ratio_ins!$C:$C,MATCH('001_population_health_zone_zs'!$B32,[1]ratio_ins!$B:$B,0))</f>
        <v>4416.9375639999998</v>
      </c>
      <c r="AC32" s="12">
        <f t="shared" si="0"/>
        <v>169882.21399999998</v>
      </c>
      <c r="AD32" s="10">
        <f>INDEX([1]ratio_ins!AA:AA,MATCH('001_population_health_zone_zs'!$B$2,[1]ratio_ins!$B:$B,0))*$G32*INDEX([1]ratio_ins!$D:$D,MATCH('001_population_health_zone_zs'!$B32,[1]ratio_ins!$B:$B,0))</f>
        <v>35249.715060000002</v>
      </c>
      <c r="AE32" s="10">
        <f>INDEX([1]ratio_ins!AB:AB,MATCH('001_population_health_zone_zs'!$B$2,[1]ratio_ins!$B:$B,0))*$G32*INDEX([1]ratio_ins!$D:$D,MATCH('001_population_health_zone_zs'!$B32,[1]ratio_ins!$B:$B,0))</f>
        <v>29039.050978000007</v>
      </c>
      <c r="AF32" s="10">
        <f>INDEX([1]ratio_ins!AC:AC,MATCH('001_population_health_zone_zs'!$B$2,[1]ratio_ins!$B:$B,0))*$G32*INDEX([1]ratio_ins!$D:$D,MATCH('001_population_health_zone_zs'!$B32,[1]ratio_ins!$B:$B,0))</f>
        <v>22996.242682</v>
      </c>
      <c r="AG32" s="10">
        <f>INDEX([1]ratio_ins!AD:AD,MATCH('001_population_health_zone_zs'!$B$2,[1]ratio_ins!$B:$B,0))*$G32*INDEX([1]ratio_ins!$D:$D,MATCH('001_population_health_zone_zs'!$B32,[1]ratio_ins!$B:$B,0))</f>
        <v>13932.030238000001</v>
      </c>
      <c r="AH32" s="10">
        <f>INDEX([1]ratio_ins!AE:AE,MATCH('001_population_health_zone_zs'!$B$2,[1]ratio_ins!$B:$B,0))*$G32*INDEX([1]ratio_ins!$D:$D,MATCH('001_population_health_zone_zs'!$B32,[1]ratio_ins!$B:$B,0))</f>
        <v>8359.2181428000004</v>
      </c>
      <c r="AI32" s="13">
        <f>INDEX([1]ratio_ins!AF:AF,MATCH('001_population_health_zone_zs'!$B$2,[1]ratio_ins!$B:$B,0))*$G32*INDEX([1]ratio_ins!$D:$D,MATCH('001_population_health_zone_zs'!$B32,[1]ratio_ins!$B:$B,0))</f>
        <v>95644.226862800002</v>
      </c>
      <c r="AJ32" s="10">
        <f>INDEX([1]ratio_ins!AG:AG,MATCH('001_population_health_zone_zs'!$B$2,[1]ratio_ins!$B:$B,0))*$G32*INDEX([1]ratio_ins!$D:$D,MATCH('001_population_health_zone_zs'!$B32,[1]ratio_ins!$B:$B,0))</f>
        <v>5572.8120951999999</v>
      </c>
      <c r="AK32" s="10">
        <f>INDEX([1]ratio_ins!AH:AH,MATCH('001_population_health_zone_zs'!$B$2,[1]ratio_ins!$B:$B,0))*$G32*INDEX([1]ratio_ins!$D:$D,MATCH('001_population_health_zone_zs'!$B32,[1]ratio_ins!$B:$B,0))</f>
        <v>12421.328164000004</v>
      </c>
      <c r="AL32" s="10">
        <f>INDEX([1]ratio_ins!AI:AI,MATCH('001_population_health_zone_zs'!$B$2,[1]ratio_ins!$B:$B,0))*$G32*INDEX([1]ratio_ins!$D:$D,MATCH('001_population_health_zone_zs'!$B32,[1]ratio_ins!$B:$B,0))</f>
        <v>11749.905020000004</v>
      </c>
      <c r="AM32" s="10">
        <f>INDEX([1]ratio_ins!AJ:AJ,MATCH('001_population_health_zone_zs'!$B$2,[1]ratio_ins!$B:$B,0))*$G32*INDEX([1]ratio_ins!$D:$D,MATCH('001_population_health_zone_zs'!$B32,[1]ratio_ins!$B:$B,0))</f>
        <v>10742.770304000001</v>
      </c>
      <c r="AN32" s="10">
        <f>INDEX([1]ratio_ins!AK:AK,MATCH('001_population_health_zone_zs'!$B$2,[1]ratio_ins!$B:$B,0))*$G32*INDEX([1]ratio_ins!$D:$D,MATCH('001_population_health_zone_zs'!$B32,[1]ratio_ins!$B:$B,0))</f>
        <v>10071.347160000001</v>
      </c>
      <c r="AO32" s="10">
        <f>INDEX([1]ratio_ins!AL:AL,MATCH('001_population_health_zone_zs'!$B$2,[1]ratio_ins!$B:$B,0))*$G32*INDEX([1]ratio_ins!$D:$D,MATCH('001_population_health_zone_zs'!$B32,[1]ratio_ins!$B:$B,0))</f>
        <v>7553.51037</v>
      </c>
      <c r="AP32" s="10">
        <f>INDEX([1]ratio_ins!AM:AM,MATCH('001_population_health_zone_zs'!$B$2,[1]ratio_ins!$B:$B,0))*$G32*INDEX([1]ratio_ins!$D:$D,MATCH('001_population_health_zone_zs'!$B32,[1]ratio_ins!$B:$B,0))</f>
        <v>4867.8177940000005</v>
      </c>
      <c r="AQ32" s="10">
        <f>INDEX([1]ratio_ins!AN:AN,MATCH('001_population_health_zone_zs'!$B$2,[1]ratio_ins!$B:$B,0))*$G32*INDEX([1]ratio_ins!$D:$D,MATCH('001_population_health_zone_zs'!$B32,[1]ratio_ins!$B:$B,0))</f>
        <v>3860.6830780000005</v>
      </c>
      <c r="AR32" s="10">
        <f>INDEX([1]ratio_ins!AO:AO,MATCH('001_population_health_zone_zs'!$B$2,[1]ratio_ins!$B:$B,0))*$G32*INDEX([1]ratio_ins!$D:$D,MATCH('001_population_health_zone_zs'!$B32,[1]ratio_ins!$B:$B,0))</f>
        <v>1846.4136460000004</v>
      </c>
      <c r="AS32" s="13">
        <f>INDEX([1]ratio_ins!AP:AP,MATCH('001_population_health_zone_zs'!$B$2,[1]ratio_ins!$B:$B,0))*$G32*INDEX([1]ratio_ins!$D:$D,MATCH('001_population_health_zone_zs'!$B32,[1]ratio_ins!$B:$B,0))</f>
        <v>68686.587631200004</v>
      </c>
      <c r="AT32" s="10">
        <f>INDEX([1]ratio_ins!AQ:AQ,MATCH('001_population_health_zone_zs'!$B$2,[1]ratio_ins!$B:$B,0))*$G32*INDEX([1]ratio_ins!$D:$D,MATCH('001_population_health_zone_zs'!$B32,[1]ratio_ins!$B:$B,0))</f>
        <v>1678.5578600000003</v>
      </c>
      <c r="AU32" s="10">
        <f>INDEX([1]ratio_ins!AR:AR,MATCH('001_population_health_zone_zs'!$B$2,[1]ratio_ins!$B:$B,0))*$G32*INDEX([1]ratio_ins!$D:$D,MATCH('001_population_health_zone_zs'!$B32,[1]ratio_ins!$B:$B,0))</f>
        <v>1007.1347160000001</v>
      </c>
      <c r="AV32" s="10">
        <f>INDEX([1]ratio_ins!AS:AS,MATCH('001_population_health_zone_zs'!$B$2,[1]ratio_ins!$B:$B,0))*$G32*INDEX([1]ratio_ins!$D:$D,MATCH('001_population_health_zone_zs'!$B32,[1]ratio_ins!$B:$B,0))</f>
        <v>503.56735800000007</v>
      </c>
      <c r="AW32" s="10">
        <f>INDEX([1]ratio_ins!AT:AT,MATCH('001_population_health_zone_zs'!$B$2,[1]ratio_ins!$B:$B,0))*$G32*INDEX([1]ratio_ins!$D:$D,MATCH('001_population_health_zone_zs'!$B32,[1]ratio_ins!$B:$B,0))</f>
        <v>335.71157200000005</v>
      </c>
      <c r="AX32" s="13">
        <f>INDEX([1]ratio_ins!AU:AU,MATCH('001_population_health_zone_zs'!$B$2,[1]ratio_ins!$B:$B,0))*$G32*INDEX([1]ratio_ins!$D:$D,MATCH('001_population_health_zone_zs'!$B32,[1]ratio_ins!$B:$B,0))</f>
        <v>3524.9715060000003</v>
      </c>
      <c r="AY32" s="14">
        <f t="shared" si="1"/>
        <v>167855.78599999999</v>
      </c>
      <c r="AZ32" s="15">
        <f t="shared" si="2"/>
        <v>337738</v>
      </c>
      <c r="BA32" s="16">
        <v>333830.20968309883</v>
      </c>
      <c r="BB32" s="10">
        <f t="shared" si="3"/>
        <v>71338.709050000019</v>
      </c>
      <c r="BC32" s="17">
        <f t="shared" si="4"/>
        <v>0.21122500000000005</v>
      </c>
      <c r="BD32" s="10">
        <f t="shared" si="5"/>
        <v>70840.883238000009</v>
      </c>
    </row>
    <row r="33" spans="1:56" x14ac:dyDescent="0.25">
      <c r="A33" s="8" t="s">
        <v>10</v>
      </c>
      <c r="B33" s="8" t="s">
        <v>11</v>
      </c>
      <c r="C33" s="8" t="s">
        <v>10</v>
      </c>
      <c r="D33" s="8" t="s">
        <v>12</v>
      </c>
      <c r="E33" s="8" t="s">
        <v>74</v>
      </c>
      <c r="F33" s="8" t="s">
        <v>75</v>
      </c>
      <c r="G33" s="9">
        <v>301137</v>
      </c>
      <c r="H33" s="10">
        <f>INDEX([1]ratio_ins!F:F,MATCH('001_population_health_zone_zs'!$B$2,[1]ratio_ins!$B:$B,0))*$G33*INDEX([1]ratio_ins!$C:$C,MATCH('001_population_health_zone_zs'!$B33,[1]ratio_ins!$B:$B,0))</f>
        <v>31657.629398999998</v>
      </c>
      <c r="I33" s="10">
        <f>INDEX([1]ratio_ins!G:G,MATCH('001_population_health_zone_zs'!$B$2,[1]ratio_ins!$B:$B,0))*$G33*INDEX([1]ratio_ins!$C:$C,MATCH('001_population_health_zone_zs'!$B33,[1]ratio_ins!$B:$B,0))</f>
        <v>25901.696781000002</v>
      </c>
      <c r="J33" s="10">
        <f>INDEX([1]ratio_ins!H:H,MATCH('001_population_health_zone_zs'!$B$2,[1]ratio_ins!$B:$B,0))*$G33*INDEX([1]ratio_ins!$C:$C,MATCH('001_population_health_zone_zs'!$B33,[1]ratio_ins!$B:$B,0))</f>
        <v>20448.707985000001</v>
      </c>
      <c r="K33" s="10">
        <f>INDEX([1]ratio_ins!I:I,MATCH('001_population_health_zone_zs'!$B$2,[1]ratio_ins!$B:$B,0))*$G33*INDEX([1]ratio_ins!$C:$C,MATCH('001_population_health_zone_zs'!$B33,[1]ratio_ins!$B:$B,0))</f>
        <v>12572.168613000002</v>
      </c>
      <c r="L33" s="10">
        <f>INDEX([1]ratio_ins!J:J,MATCH('001_population_health_zone_zs'!$B$2,[1]ratio_ins!$B:$B,0))*$G33*INDEX([1]ratio_ins!$C:$C,MATCH('001_population_health_zone_zs'!$B33,[1]ratio_ins!$B:$B,0))</f>
        <v>7543.3011677999993</v>
      </c>
      <c r="M33" s="11">
        <f>INDEX([1]ratio_ins!K:K,MATCH('001_population_health_zone_zs'!$B$2,[1]ratio_ins!$B:$B,0))*$G33*INDEX([1]ratio_ins!$C:$C,MATCH('001_population_health_zone_zs'!$B33,[1]ratio_ins!$B:$B,0))</f>
        <v>85551.335332799994</v>
      </c>
      <c r="N33" s="10">
        <f>INDEX([1]ratio_ins!L:L,MATCH('001_population_health_zone_zs'!$B$2,[1]ratio_ins!$B:$B,0))*$G33*INDEX([1]ratio_ins!$C:$C,MATCH('001_population_health_zone_zs'!$B33,[1]ratio_ins!$B:$B,0))</f>
        <v>5028.8674452000005</v>
      </c>
      <c r="O33" s="10">
        <f>INDEX([1]ratio_ins!M:M,MATCH('001_population_health_zone_zs'!$B$2,[1]ratio_ins!$B:$B,0))*$G33*INDEX([1]ratio_ins!$C:$C,MATCH('001_population_health_zone_zs'!$B33,[1]ratio_ins!$B:$B,0))</f>
        <v>10905.977592000001</v>
      </c>
      <c r="P33" s="10">
        <f>INDEX([1]ratio_ins!N:N,MATCH('001_population_health_zone_zs'!$B$2,[1]ratio_ins!$B:$B,0))*$G33*INDEX([1]ratio_ins!$C:$C,MATCH('001_population_health_zone_zs'!$B33,[1]ratio_ins!$B:$B,0))</f>
        <v>9845.6742150000009</v>
      </c>
      <c r="Q33" s="10">
        <f>INDEX([1]ratio_ins!O:O,MATCH('001_population_health_zone_zs'!$B$2,[1]ratio_ins!$B:$B,0))*$G33*INDEX([1]ratio_ins!$C:$C,MATCH('001_population_health_zone_zs'!$B33,[1]ratio_ins!$B:$B,0))</f>
        <v>8785.3708380000007</v>
      </c>
      <c r="R33" s="10">
        <f>INDEX([1]ratio_ins!P:P,MATCH('001_population_health_zone_zs'!$B$2,[1]ratio_ins!$B:$B,0))*$G33*INDEX([1]ratio_ins!$C:$C,MATCH('001_population_health_zone_zs'!$B33,[1]ratio_ins!$B:$B,0))</f>
        <v>8633.8989270000002</v>
      </c>
      <c r="S33" s="10">
        <f>INDEX([1]ratio_ins!Q:Q,MATCH('001_population_health_zone_zs'!$B$2,[1]ratio_ins!$B:$B,0))*$G33*INDEX([1]ratio_ins!$C:$C,MATCH('001_population_health_zone_zs'!$B33,[1]ratio_ins!$B:$B,0))</f>
        <v>7270.6517280000007</v>
      </c>
      <c r="T33" s="10">
        <f>INDEX([1]ratio_ins!R:R,MATCH('001_population_health_zone_zs'!$B$2,[1]ratio_ins!$B:$B,0))*$G33*INDEX([1]ratio_ins!$C:$C,MATCH('001_population_health_zone_zs'!$B33,[1]ratio_ins!$B:$B,0))</f>
        <v>5150.0449740000004</v>
      </c>
      <c r="U33" s="10">
        <f>INDEX([1]ratio_ins!S:S,MATCH('001_population_health_zone_zs'!$B$2,[1]ratio_ins!$B:$B,0))*$G33*INDEX([1]ratio_ins!$C:$C,MATCH('001_population_health_zone_zs'!$B33,[1]ratio_ins!$B:$B,0))</f>
        <v>4089.7415970000002</v>
      </c>
      <c r="V33" s="10">
        <f>INDEX([1]ratio_ins!T:T,MATCH('001_population_health_zone_zs'!$B$2,[1]ratio_ins!$B:$B,0))*$G33*INDEX([1]ratio_ins!$C:$C,MATCH('001_population_health_zone_zs'!$B33,[1]ratio_ins!$B:$B,0))</f>
        <v>2272.0786649999995</v>
      </c>
      <c r="W33" s="11">
        <f>INDEX([1]ratio_ins!U:U,MATCH('001_population_health_zone_zs'!$B$2,[1]ratio_ins!$B:$B,0))*$G33*INDEX([1]ratio_ins!$C:$C,MATCH('001_population_health_zone_zs'!$B33,[1]ratio_ins!$B:$B,0))</f>
        <v>61982.305981199999</v>
      </c>
      <c r="X33" s="10">
        <f>INDEX([1]ratio_ins!V:V,MATCH('001_population_health_zone_zs'!$B$2,[1]ratio_ins!$B:$B,0))*$G33*INDEX([1]ratio_ins!$C:$C,MATCH('001_population_health_zone_zs'!$B33,[1]ratio_ins!$B:$B,0))</f>
        <v>1817.6629320000002</v>
      </c>
      <c r="Y33" s="10">
        <f>INDEX([1]ratio_ins!W:W,MATCH('001_population_health_zone_zs'!$B$2,[1]ratio_ins!$B:$B,0))*$G33*INDEX([1]ratio_ins!$C:$C,MATCH('001_population_health_zone_zs'!$B33,[1]ratio_ins!$B:$B,0))</f>
        <v>1211.775288</v>
      </c>
      <c r="Z33" s="10">
        <f>INDEX([1]ratio_ins!X:X,MATCH('001_population_health_zone_zs'!$B$2,[1]ratio_ins!$B:$B,0))*$G33*INDEX([1]ratio_ins!$C:$C,MATCH('001_population_health_zone_zs'!$B33,[1]ratio_ins!$B:$B,0))</f>
        <v>605.88764400000002</v>
      </c>
      <c r="AA33" s="10">
        <f>INDEX([1]ratio_ins!Y:Y,MATCH('001_population_health_zone_zs'!$B$2,[1]ratio_ins!$B:$B,0))*$G33*INDEX([1]ratio_ins!$C:$C,MATCH('001_population_health_zone_zs'!$B33,[1]ratio_ins!$B:$B,0))</f>
        <v>302.94382200000001</v>
      </c>
      <c r="AB33" s="11">
        <f>INDEX([1]ratio_ins!Z:Z,MATCH('001_population_health_zone_zs'!$B$2,[1]ratio_ins!$B:$B,0))*$G33*INDEX([1]ratio_ins!$C:$C,MATCH('001_population_health_zone_zs'!$B33,[1]ratio_ins!$B:$B,0))</f>
        <v>3938.2696860000005</v>
      </c>
      <c r="AC33" s="12">
        <f t="shared" si="0"/>
        <v>151471.91100000002</v>
      </c>
      <c r="AD33" s="10">
        <f>INDEX([1]ratio_ins!AA:AA,MATCH('001_population_health_zone_zs'!$B$2,[1]ratio_ins!$B:$B,0))*$G33*INDEX([1]ratio_ins!$D:$D,MATCH('001_population_health_zone_zs'!$B33,[1]ratio_ins!$B:$B,0))</f>
        <v>31429.668690000002</v>
      </c>
      <c r="AE33" s="10">
        <f>INDEX([1]ratio_ins!AB:AB,MATCH('001_population_health_zone_zs'!$B$2,[1]ratio_ins!$B:$B,0))*$G33*INDEX([1]ratio_ins!$D:$D,MATCH('001_population_health_zone_zs'!$B33,[1]ratio_ins!$B:$B,0))</f>
        <v>25892.060397000005</v>
      </c>
      <c r="AF33" s="10">
        <f>INDEX([1]ratio_ins!AC:AC,MATCH('001_population_health_zone_zs'!$B$2,[1]ratio_ins!$B:$B,0))*$G33*INDEX([1]ratio_ins!$D:$D,MATCH('001_population_health_zone_zs'!$B33,[1]ratio_ins!$B:$B,0))</f>
        <v>20504.117192999998</v>
      </c>
      <c r="AG33" s="10">
        <f>INDEX([1]ratio_ins!AD:AD,MATCH('001_population_health_zone_zs'!$B$2,[1]ratio_ins!$B:$B,0))*$G33*INDEX([1]ratio_ins!$D:$D,MATCH('001_population_health_zone_zs'!$B33,[1]ratio_ins!$B:$B,0))</f>
        <v>12422.202387000003</v>
      </c>
      <c r="AH33" s="10">
        <f>INDEX([1]ratio_ins!AE:AE,MATCH('001_population_health_zone_zs'!$B$2,[1]ratio_ins!$B:$B,0))*$G33*INDEX([1]ratio_ins!$D:$D,MATCH('001_population_health_zone_zs'!$B33,[1]ratio_ins!$B:$B,0))</f>
        <v>7453.3214322000003</v>
      </c>
      <c r="AI33" s="13">
        <f>INDEX([1]ratio_ins!AF:AF,MATCH('001_population_health_zone_zs'!$B$2,[1]ratio_ins!$B:$B,0))*$G33*INDEX([1]ratio_ins!$D:$D,MATCH('001_population_health_zone_zs'!$B33,[1]ratio_ins!$B:$B,0))</f>
        <v>85279.167712200011</v>
      </c>
      <c r="AJ33" s="10">
        <f>INDEX([1]ratio_ins!AG:AG,MATCH('001_population_health_zone_zs'!$B$2,[1]ratio_ins!$B:$B,0))*$G33*INDEX([1]ratio_ins!$D:$D,MATCH('001_population_health_zone_zs'!$B33,[1]ratio_ins!$B:$B,0))</f>
        <v>4968.8809548000008</v>
      </c>
      <c r="AK33" s="10">
        <f>INDEX([1]ratio_ins!AH:AH,MATCH('001_population_health_zone_zs'!$B$2,[1]ratio_ins!$B:$B,0))*$G33*INDEX([1]ratio_ins!$D:$D,MATCH('001_population_health_zone_zs'!$B33,[1]ratio_ins!$B:$B,0))</f>
        <v>11075.216586000002</v>
      </c>
      <c r="AL33" s="10">
        <f>INDEX([1]ratio_ins!AI:AI,MATCH('001_population_health_zone_zs'!$B$2,[1]ratio_ins!$B:$B,0))*$G33*INDEX([1]ratio_ins!$D:$D,MATCH('001_population_health_zone_zs'!$B33,[1]ratio_ins!$B:$B,0))</f>
        <v>10476.556230000004</v>
      </c>
      <c r="AM33" s="10">
        <f>INDEX([1]ratio_ins!AJ:AJ,MATCH('001_population_health_zone_zs'!$B$2,[1]ratio_ins!$B:$B,0))*$G33*INDEX([1]ratio_ins!$D:$D,MATCH('001_population_health_zone_zs'!$B33,[1]ratio_ins!$B:$B,0))</f>
        <v>9578.5656960000015</v>
      </c>
      <c r="AN33" s="10">
        <f>INDEX([1]ratio_ins!AK:AK,MATCH('001_population_health_zone_zs'!$B$2,[1]ratio_ins!$B:$B,0))*$G33*INDEX([1]ratio_ins!$D:$D,MATCH('001_population_health_zone_zs'!$B33,[1]ratio_ins!$B:$B,0))</f>
        <v>8979.9053399999993</v>
      </c>
      <c r="AO33" s="10">
        <f>INDEX([1]ratio_ins!AL:AL,MATCH('001_population_health_zone_zs'!$B$2,[1]ratio_ins!$B:$B,0))*$G33*INDEX([1]ratio_ins!$D:$D,MATCH('001_population_health_zone_zs'!$B33,[1]ratio_ins!$B:$B,0))</f>
        <v>6734.929005</v>
      </c>
      <c r="AP33" s="10">
        <f>INDEX([1]ratio_ins!AM:AM,MATCH('001_population_health_zone_zs'!$B$2,[1]ratio_ins!$B:$B,0))*$G33*INDEX([1]ratio_ins!$D:$D,MATCH('001_population_health_zone_zs'!$B33,[1]ratio_ins!$B:$B,0))</f>
        <v>4340.2875810000005</v>
      </c>
      <c r="AQ33" s="10">
        <f>INDEX([1]ratio_ins!AN:AN,MATCH('001_population_health_zone_zs'!$B$2,[1]ratio_ins!$B:$B,0))*$G33*INDEX([1]ratio_ins!$D:$D,MATCH('001_population_health_zone_zs'!$B33,[1]ratio_ins!$B:$B,0))</f>
        <v>3442.2970470000005</v>
      </c>
      <c r="AR33" s="10">
        <f>INDEX([1]ratio_ins!AO:AO,MATCH('001_population_health_zone_zs'!$B$2,[1]ratio_ins!$B:$B,0))*$G33*INDEX([1]ratio_ins!$D:$D,MATCH('001_population_health_zone_zs'!$B33,[1]ratio_ins!$B:$B,0))</f>
        <v>1646.3159790000004</v>
      </c>
      <c r="AS33" s="13">
        <f>INDEX([1]ratio_ins!AP:AP,MATCH('001_population_health_zone_zs'!$B$2,[1]ratio_ins!$B:$B,0))*$G33*INDEX([1]ratio_ins!$D:$D,MATCH('001_population_health_zone_zs'!$B33,[1]ratio_ins!$B:$B,0))</f>
        <v>61242.954418800007</v>
      </c>
      <c r="AT33" s="10">
        <f>INDEX([1]ratio_ins!AQ:AQ,MATCH('001_population_health_zone_zs'!$B$2,[1]ratio_ins!$B:$B,0))*$G33*INDEX([1]ratio_ins!$D:$D,MATCH('001_population_health_zone_zs'!$B33,[1]ratio_ins!$B:$B,0))</f>
        <v>1496.6508900000001</v>
      </c>
      <c r="AU33" s="10">
        <f>INDEX([1]ratio_ins!AR:AR,MATCH('001_population_health_zone_zs'!$B$2,[1]ratio_ins!$B:$B,0))*$G33*INDEX([1]ratio_ins!$D:$D,MATCH('001_population_health_zone_zs'!$B33,[1]ratio_ins!$B:$B,0))</f>
        <v>897.99053400000014</v>
      </c>
      <c r="AV33" s="10">
        <f>INDEX([1]ratio_ins!AS:AS,MATCH('001_population_health_zone_zs'!$B$2,[1]ratio_ins!$B:$B,0))*$G33*INDEX([1]ratio_ins!$D:$D,MATCH('001_population_health_zone_zs'!$B33,[1]ratio_ins!$B:$B,0))</f>
        <v>448.99526700000007</v>
      </c>
      <c r="AW33" s="10">
        <f>INDEX([1]ratio_ins!AT:AT,MATCH('001_population_health_zone_zs'!$B$2,[1]ratio_ins!$B:$B,0))*$G33*INDEX([1]ratio_ins!$D:$D,MATCH('001_population_health_zone_zs'!$B33,[1]ratio_ins!$B:$B,0))</f>
        <v>299.33017800000005</v>
      </c>
      <c r="AX33" s="13">
        <f>INDEX([1]ratio_ins!AU:AU,MATCH('001_population_health_zone_zs'!$B$2,[1]ratio_ins!$B:$B,0))*$G33*INDEX([1]ratio_ins!$D:$D,MATCH('001_population_health_zone_zs'!$B33,[1]ratio_ins!$B:$B,0))</f>
        <v>3142.9668689999999</v>
      </c>
      <c r="AY33" s="14">
        <f t="shared" si="1"/>
        <v>149665.08900000001</v>
      </c>
      <c r="AZ33" s="15">
        <f t="shared" si="2"/>
        <v>301137</v>
      </c>
      <c r="BA33" s="16">
        <v>297653.35517940531</v>
      </c>
      <c r="BB33" s="10">
        <f t="shared" si="3"/>
        <v>63607.662825000007</v>
      </c>
      <c r="BC33" s="17">
        <f t="shared" si="4"/>
        <v>0.21122500000000002</v>
      </c>
      <c r="BD33" s="10">
        <f t="shared" si="5"/>
        <v>63163.786887000009</v>
      </c>
    </row>
    <row r="34" spans="1:56" x14ac:dyDescent="0.25">
      <c r="A34" s="8" t="s">
        <v>10</v>
      </c>
      <c r="B34" s="8" t="s">
        <v>11</v>
      </c>
      <c r="C34" s="8" t="s">
        <v>10</v>
      </c>
      <c r="D34" s="8" t="s">
        <v>12</v>
      </c>
      <c r="E34" s="8" t="s">
        <v>76</v>
      </c>
      <c r="F34" s="8" t="s">
        <v>77</v>
      </c>
      <c r="G34" s="9">
        <v>326615</v>
      </c>
      <c r="H34" s="10">
        <f>INDEX([1]ratio_ins!F:F,MATCH('001_population_health_zone_zs'!$B$2,[1]ratio_ins!$B:$B,0))*$G34*INDEX([1]ratio_ins!$C:$C,MATCH('001_population_health_zone_zs'!$B34,[1]ratio_ins!$B:$B,0))</f>
        <v>34336.055104999999</v>
      </c>
      <c r="I34" s="10">
        <f>INDEX([1]ratio_ins!G:G,MATCH('001_population_health_zone_zs'!$B$2,[1]ratio_ins!$B:$B,0))*$G34*INDEX([1]ratio_ins!$C:$C,MATCH('001_population_health_zone_zs'!$B34,[1]ratio_ins!$B:$B,0))</f>
        <v>28093.135995000001</v>
      </c>
      <c r="J34" s="10">
        <f>INDEX([1]ratio_ins!H:H,MATCH('001_population_health_zone_zs'!$B$2,[1]ratio_ins!$B:$B,0))*$G34*INDEX([1]ratio_ins!$C:$C,MATCH('001_population_health_zone_zs'!$B34,[1]ratio_ins!$B:$B,0))</f>
        <v>22178.791574999999</v>
      </c>
      <c r="K34" s="10">
        <f>INDEX([1]ratio_ins!I:I,MATCH('001_population_health_zone_zs'!$B$2,[1]ratio_ins!$B:$B,0))*$G34*INDEX([1]ratio_ins!$C:$C,MATCH('001_population_health_zone_zs'!$B34,[1]ratio_ins!$B:$B,0))</f>
        <v>13635.849635</v>
      </c>
      <c r="L34" s="10">
        <f>INDEX([1]ratio_ins!J:J,MATCH('001_population_health_zone_zs'!$B$2,[1]ratio_ins!$B:$B,0))*$G34*INDEX([1]ratio_ins!$C:$C,MATCH('001_population_health_zone_zs'!$B34,[1]ratio_ins!$B:$B,0))</f>
        <v>8181.5097809999997</v>
      </c>
      <c r="M34" s="11">
        <f>INDEX([1]ratio_ins!K:K,MATCH('001_population_health_zone_zs'!$B$2,[1]ratio_ins!$B:$B,0))*$G34*INDEX([1]ratio_ins!$C:$C,MATCH('001_population_health_zone_zs'!$B34,[1]ratio_ins!$B:$B,0))</f>
        <v>92789.492456000007</v>
      </c>
      <c r="N34" s="10">
        <f>INDEX([1]ratio_ins!L:L,MATCH('001_population_health_zone_zs'!$B$2,[1]ratio_ins!$B:$B,0))*$G34*INDEX([1]ratio_ins!$C:$C,MATCH('001_population_health_zone_zs'!$B34,[1]ratio_ins!$B:$B,0))</f>
        <v>5454.3398539999998</v>
      </c>
      <c r="O34" s="10">
        <f>INDEX([1]ratio_ins!M:M,MATCH('001_population_health_zone_zs'!$B$2,[1]ratio_ins!$B:$B,0))*$G34*INDEX([1]ratio_ins!$C:$C,MATCH('001_population_health_zone_zs'!$B34,[1]ratio_ins!$B:$B,0))</f>
        <v>11828.688840000001</v>
      </c>
      <c r="P34" s="10">
        <f>INDEX([1]ratio_ins!N:N,MATCH('001_population_health_zone_zs'!$B$2,[1]ratio_ins!$B:$B,0))*$G34*INDEX([1]ratio_ins!$C:$C,MATCH('001_population_health_zone_zs'!$B34,[1]ratio_ins!$B:$B,0))</f>
        <v>10678.677425000002</v>
      </c>
      <c r="Q34" s="10">
        <f>INDEX([1]ratio_ins!O:O,MATCH('001_population_health_zone_zs'!$B$2,[1]ratio_ins!$B:$B,0))*$G34*INDEX([1]ratio_ins!$C:$C,MATCH('001_population_health_zone_zs'!$B34,[1]ratio_ins!$B:$B,0))</f>
        <v>9528.666009999999</v>
      </c>
      <c r="R34" s="10">
        <f>INDEX([1]ratio_ins!P:P,MATCH('001_population_health_zone_zs'!$B$2,[1]ratio_ins!$B:$B,0))*$G34*INDEX([1]ratio_ins!$C:$C,MATCH('001_population_health_zone_zs'!$B34,[1]ratio_ins!$B:$B,0))</f>
        <v>9364.3786650000002</v>
      </c>
      <c r="S34" s="10">
        <f>INDEX([1]ratio_ins!Q:Q,MATCH('001_population_health_zone_zs'!$B$2,[1]ratio_ins!$B:$B,0))*$G34*INDEX([1]ratio_ins!$C:$C,MATCH('001_population_health_zone_zs'!$B34,[1]ratio_ins!$B:$B,0))</f>
        <v>7885.7925599999999</v>
      </c>
      <c r="T34" s="10">
        <f>INDEX([1]ratio_ins!R:R,MATCH('001_population_health_zone_zs'!$B$2,[1]ratio_ins!$B:$B,0))*$G34*INDEX([1]ratio_ins!$C:$C,MATCH('001_population_health_zone_zs'!$B34,[1]ratio_ins!$B:$B,0))</f>
        <v>5585.7697300000009</v>
      </c>
      <c r="U34" s="10">
        <f>INDEX([1]ratio_ins!S:S,MATCH('001_population_health_zone_zs'!$B$2,[1]ratio_ins!$B:$B,0))*$G34*INDEX([1]ratio_ins!$C:$C,MATCH('001_population_health_zone_zs'!$B34,[1]ratio_ins!$B:$B,0))</f>
        <v>4435.7583150000009</v>
      </c>
      <c r="V34" s="10">
        <f>INDEX([1]ratio_ins!T:T,MATCH('001_population_health_zone_zs'!$B$2,[1]ratio_ins!$B:$B,0))*$G34*INDEX([1]ratio_ins!$C:$C,MATCH('001_population_health_zone_zs'!$B34,[1]ratio_ins!$B:$B,0))</f>
        <v>2464.3101749999996</v>
      </c>
      <c r="W34" s="11">
        <f>INDEX([1]ratio_ins!U:U,MATCH('001_population_health_zone_zs'!$B$2,[1]ratio_ins!$B:$B,0))*$G34*INDEX([1]ratio_ins!$C:$C,MATCH('001_population_health_zone_zs'!$B34,[1]ratio_ins!$B:$B,0))</f>
        <v>67226.381573999999</v>
      </c>
      <c r="X34" s="10">
        <f>INDEX([1]ratio_ins!V:V,MATCH('001_population_health_zone_zs'!$B$2,[1]ratio_ins!$B:$B,0))*$G34*INDEX([1]ratio_ins!$C:$C,MATCH('001_population_health_zone_zs'!$B34,[1]ratio_ins!$B:$B,0))</f>
        <v>1971.44814</v>
      </c>
      <c r="Y34" s="10">
        <f>INDEX([1]ratio_ins!W:W,MATCH('001_population_health_zone_zs'!$B$2,[1]ratio_ins!$B:$B,0))*$G34*INDEX([1]ratio_ins!$C:$C,MATCH('001_population_health_zone_zs'!$B34,[1]ratio_ins!$B:$B,0))</f>
        <v>1314.2987600000001</v>
      </c>
      <c r="Z34" s="10">
        <f>INDEX([1]ratio_ins!X:X,MATCH('001_population_health_zone_zs'!$B$2,[1]ratio_ins!$B:$B,0))*$G34*INDEX([1]ratio_ins!$C:$C,MATCH('001_population_health_zone_zs'!$B34,[1]ratio_ins!$B:$B,0))</f>
        <v>657.14938000000006</v>
      </c>
      <c r="AA34" s="10">
        <f>INDEX([1]ratio_ins!Y:Y,MATCH('001_population_health_zone_zs'!$B$2,[1]ratio_ins!$B:$B,0))*$G34*INDEX([1]ratio_ins!$C:$C,MATCH('001_population_health_zone_zs'!$B34,[1]ratio_ins!$B:$B,0))</f>
        <v>328.57469000000003</v>
      </c>
      <c r="AB34" s="11">
        <f>INDEX([1]ratio_ins!Z:Z,MATCH('001_population_health_zone_zs'!$B$2,[1]ratio_ins!$B:$B,0))*$G34*INDEX([1]ratio_ins!$C:$C,MATCH('001_population_health_zone_zs'!$B34,[1]ratio_ins!$B:$B,0))</f>
        <v>4271.4709700000012</v>
      </c>
      <c r="AC34" s="12">
        <f t="shared" si="0"/>
        <v>164287.345</v>
      </c>
      <c r="AD34" s="10">
        <f>INDEX([1]ratio_ins!AA:AA,MATCH('001_population_health_zone_zs'!$B$2,[1]ratio_ins!$B:$B,0))*$G34*INDEX([1]ratio_ins!$D:$D,MATCH('001_population_health_zone_zs'!$B34,[1]ratio_ins!$B:$B,0))</f>
        <v>34088.807549999998</v>
      </c>
      <c r="AE34" s="10">
        <f>INDEX([1]ratio_ins!AB:AB,MATCH('001_population_health_zone_zs'!$B$2,[1]ratio_ins!$B:$B,0))*$G34*INDEX([1]ratio_ins!$D:$D,MATCH('001_population_health_zone_zs'!$B34,[1]ratio_ins!$B:$B,0))</f>
        <v>28082.684315000006</v>
      </c>
      <c r="AF34" s="10">
        <f>INDEX([1]ratio_ins!AC:AC,MATCH('001_population_health_zone_zs'!$B$2,[1]ratio_ins!$B:$B,0))*$G34*INDEX([1]ratio_ins!$D:$D,MATCH('001_population_health_zone_zs'!$B34,[1]ratio_ins!$B:$B,0))</f>
        <v>22238.888735</v>
      </c>
      <c r="AG34" s="10">
        <f>INDEX([1]ratio_ins!AD:AD,MATCH('001_population_health_zone_zs'!$B$2,[1]ratio_ins!$B:$B,0))*$G34*INDEX([1]ratio_ins!$D:$D,MATCH('001_population_health_zone_zs'!$B34,[1]ratio_ins!$B:$B,0))</f>
        <v>13473.195365000003</v>
      </c>
      <c r="AH34" s="10">
        <f>INDEX([1]ratio_ins!AE:AE,MATCH('001_population_health_zone_zs'!$B$2,[1]ratio_ins!$B:$B,0))*$G34*INDEX([1]ratio_ins!$D:$D,MATCH('001_population_health_zone_zs'!$B34,[1]ratio_ins!$B:$B,0))</f>
        <v>8083.9172190000008</v>
      </c>
      <c r="AI34" s="13">
        <f>INDEX([1]ratio_ins!AF:AF,MATCH('001_population_health_zone_zs'!$B$2,[1]ratio_ins!$B:$B,0))*$G34*INDEX([1]ratio_ins!$D:$D,MATCH('001_population_health_zone_zs'!$B34,[1]ratio_ins!$B:$B,0))</f>
        <v>92494.297818999999</v>
      </c>
      <c r="AJ34" s="10">
        <f>INDEX([1]ratio_ins!AG:AG,MATCH('001_population_health_zone_zs'!$B$2,[1]ratio_ins!$B:$B,0))*$G34*INDEX([1]ratio_ins!$D:$D,MATCH('001_population_health_zone_zs'!$B34,[1]ratio_ins!$B:$B,0))</f>
        <v>5389.2781460000006</v>
      </c>
      <c r="AK34" s="10">
        <f>INDEX([1]ratio_ins!AH:AH,MATCH('001_population_health_zone_zs'!$B$2,[1]ratio_ins!$B:$B,0))*$G34*INDEX([1]ratio_ins!$D:$D,MATCH('001_population_health_zone_zs'!$B34,[1]ratio_ins!$B:$B,0))</f>
        <v>12012.246470000002</v>
      </c>
      <c r="AL34" s="10">
        <f>INDEX([1]ratio_ins!AI:AI,MATCH('001_population_health_zone_zs'!$B$2,[1]ratio_ins!$B:$B,0))*$G34*INDEX([1]ratio_ins!$D:$D,MATCH('001_population_health_zone_zs'!$B34,[1]ratio_ins!$B:$B,0))</f>
        <v>11362.935850000003</v>
      </c>
      <c r="AM34" s="10">
        <f>INDEX([1]ratio_ins!AJ:AJ,MATCH('001_population_health_zone_zs'!$B$2,[1]ratio_ins!$B:$B,0))*$G34*INDEX([1]ratio_ins!$D:$D,MATCH('001_population_health_zone_zs'!$B34,[1]ratio_ins!$B:$B,0))</f>
        <v>10388.969920000001</v>
      </c>
      <c r="AN34" s="10">
        <f>INDEX([1]ratio_ins!AK:AK,MATCH('001_population_health_zone_zs'!$B$2,[1]ratio_ins!$B:$B,0))*$G34*INDEX([1]ratio_ins!$D:$D,MATCH('001_population_health_zone_zs'!$B34,[1]ratio_ins!$B:$B,0))</f>
        <v>9739.6592999999993</v>
      </c>
      <c r="AO34" s="10">
        <f>INDEX([1]ratio_ins!AL:AL,MATCH('001_population_health_zone_zs'!$B$2,[1]ratio_ins!$B:$B,0))*$G34*INDEX([1]ratio_ins!$D:$D,MATCH('001_population_health_zone_zs'!$B34,[1]ratio_ins!$B:$B,0))</f>
        <v>7304.7444750000004</v>
      </c>
      <c r="AP34" s="10">
        <f>INDEX([1]ratio_ins!AM:AM,MATCH('001_population_health_zone_zs'!$B$2,[1]ratio_ins!$B:$B,0))*$G34*INDEX([1]ratio_ins!$D:$D,MATCH('001_population_health_zone_zs'!$B34,[1]ratio_ins!$B:$B,0))</f>
        <v>4707.5019949999996</v>
      </c>
      <c r="AQ34" s="10">
        <f>INDEX([1]ratio_ins!AN:AN,MATCH('001_population_health_zone_zs'!$B$2,[1]ratio_ins!$B:$B,0))*$G34*INDEX([1]ratio_ins!$D:$D,MATCH('001_population_health_zone_zs'!$B34,[1]ratio_ins!$B:$B,0))</f>
        <v>3733.5360650000002</v>
      </c>
      <c r="AR34" s="10">
        <f>INDEX([1]ratio_ins!AO:AO,MATCH('001_population_health_zone_zs'!$B$2,[1]ratio_ins!$B:$B,0))*$G34*INDEX([1]ratio_ins!$D:$D,MATCH('001_population_health_zone_zs'!$B34,[1]ratio_ins!$B:$B,0))</f>
        <v>1785.6042050000003</v>
      </c>
      <c r="AS34" s="13">
        <f>INDEX([1]ratio_ins!AP:AP,MATCH('001_population_health_zone_zs'!$B$2,[1]ratio_ins!$B:$B,0))*$G34*INDEX([1]ratio_ins!$D:$D,MATCH('001_population_health_zone_zs'!$B34,[1]ratio_ins!$B:$B,0))</f>
        <v>66424.476426000008</v>
      </c>
      <c r="AT34" s="10">
        <f>INDEX([1]ratio_ins!AQ:AQ,MATCH('001_population_health_zone_zs'!$B$2,[1]ratio_ins!$B:$B,0))*$G34*INDEX([1]ratio_ins!$D:$D,MATCH('001_population_health_zone_zs'!$B34,[1]ratio_ins!$B:$B,0))</f>
        <v>1623.2765500000003</v>
      </c>
      <c r="AU34" s="10">
        <f>INDEX([1]ratio_ins!AR:AR,MATCH('001_population_health_zone_zs'!$B$2,[1]ratio_ins!$B:$B,0))*$G34*INDEX([1]ratio_ins!$D:$D,MATCH('001_population_health_zone_zs'!$B34,[1]ratio_ins!$B:$B,0))</f>
        <v>973.96593000000018</v>
      </c>
      <c r="AV34" s="10">
        <f>INDEX([1]ratio_ins!AS:AS,MATCH('001_population_health_zone_zs'!$B$2,[1]ratio_ins!$B:$B,0))*$G34*INDEX([1]ratio_ins!$D:$D,MATCH('001_population_health_zone_zs'!$B34,[1]ratio_ins!$B:$B,0))</f>
        <v>486.98296500000009</v>
      </c>
      <c r="AW34" s="10">
        <f>INDEX([1]ratio_ins!AT:AT,MATCH('001_population_health_zone_zs'!$B$2,[1]ratio_ins!$B:$B,0))*$G34*INDEX([1]ratio_ins!$D:$D,MATCH('001_population_health_zone_zs'!$B34,[1]ratio_ins!$B:$B,0))</f>
        <v>324.65531000000004</v>
      </c>
      <c r="AX34" s="13">
        <f>INDEX([1]ratio_ins!AU:AU,MATCH('001_population_health_zone_zs'!$B$2,[1]ratio_ins!$B:$B,0))*$G34*INDEX([1]ratio_ins!$D:$D,MATCH('001_population_health_zone_zs'!$B34,[1]ratio_ins!$B:$B,0))</f>
        <v>3408.8807549999997</v>
      </c>
      <c r="AY34" s="14">
        <f t="shared" si="1"/>
        <v>162327.655</v>
      </c>
      <c r="AZ34" s="15">
        <f t="shared" si="2"/>
        <v>326615</v>
      </c>
      <c r="BA34" s="16">
        <v>322836.58393400442</v>
      </c>
      <c r="BB34" s="10">
        <f t="shared" si="3"/>
        <v>68989.253375000015</v>
      </c>
      <c r="BC34" s="17">
        <f t="shared" si="4"/>
        <v>0.21122500000000005</v>
      </c>
      <c r="BD34" s="10">
        <f t="shared" si="5"/>
        <v>68507.822865000009</v>
      </c>
    </row>
    <row r="35" spans="1:56" x14ac:dyDescent="0.25">
      <c r="A35" s="8" t="s">
        <v>10</v>
      </c>
      <c r="B35" s="8" t="s">
        <v>11</v>
      </c>
      <c r="C35" s="8" t="s">
        <v>10</v>
      </c>
      <c r="D35" s="8" t="s">
        <v>12</v>
      </c>
      <c r="E35" s="8" t="s">
        <v>78</v>
      </c>
      <c r="F35" s="8" t="s">
        <v>79</v>
      </c>
      <c r="G35" s="9">
        <v>237251</v>
      </c>
      <c r="H35" s="10">
        <f>INDEX([1]ratio_ins!F:F,MATCH('001_population_health_zone_zs'!$B$2,[1]ratio_ins!$B:$B,0))*$G35*INDEX([1]ratio_ins!$C:$C,MATCH('001_population_health_zone_zs'!$B35,[1]ratio_ins!$B:$B,0))</f>
        <v>24941.485876999999</v>
      </c>
      <c r="I35" s="10">
        <f>INDEX([1]ratio_ins!G:G,MATCH('001_population_health_zone_zs'!$B$2,[1]ratio_ins!$B:$B,0))*$G35*INDEX([1]ratio_ins!$C:$C,MATCH('001_population_health_zone_zs'!$B35,[1]ratio_ins!$B:$B,0))</f>
        <v>20406.670263</v>
      </c>
      <c r="J35" s="10">
        <f>INDEX([1]ratio_ins!H:H,MATCH('001_population_health_zone_zs'!$B$2,[1]ratio_ins!$B:$B,0))*$G35*INDEX([1]ratio_ins!$C:$C,MATCH('001_population_health_zone_zs'!$B35,[1]ratio_ins!$B:$B,0))</f>
        <v>16110.529155000002</v>
      </c>
      <c r="K35" s="10">
        <f>INDEX([1]ratio_ins!I:I,MATCH('001_population_health_zone_zs'!$B$2,[1]ratio_ins!$B:$B,0))*$G35*INDEX([1]ratio_ins!$C:$C,MATCH('001_population_health_zone_zs'!$B35,[1]ratio_ins!$B:$B,0))</f>
        <v>9904.9919990000017</v>
      </c>
      <c r="L35" s="10">
        <f>INDEX([1]ratio_ins!J:J,MATCH('001_population_health_zone_zs'!$B$2,[1]ratio_ins!$B:$B,0))*$G35*INDEX([1]ratio_ins!$C:$C,MATCH('001_population_health_zone_zs'!$B35,[1]ratio_ins!$B:$B,0))</f>
        <v>5942.9951994000003</v>
      </c>
      <c r="M35" s="11">
        <f>INDEX([1]ratio_ins!K:K,MATCH('001_population_health_zone_zs'!$B$2,[1]ratio_ins!$B:$B,0))*$G35*INDEX([1]ratio_ins!$C:$C,MATCH('001_population_health_zone_zs'!$B35,[1]ratio_ins!$B:$B,0))</f>
        <v>67401.680494399989</v>
      </c>
      <c r="N35" s="10">
        <f>INDEX([1]ratio_ins!L:L,MATCH('001_population_health_zone_zs'!$B$2,[1]ratio_ins!$B:$B,0))*$G35*INDEX([1]ratio_ins!$C:$C,MATCH('001_population_health_zone_zs'!$B35,[1]ratio_ins!$B:$B,0))</f>
        <v>3961.9967996</v>
      </c>
      <c r="O35" s="10">
        <f>INDEX([1]ratio_ins!M:M,MATCH('001_population_health_zone_zs'!$B$2,[1]ratio_ins!$B:$B,0))*$G35*INDEX([1]ratio_ins!$C:$C,MATCH('001_population_health_zone_zs'!$B35,[1]ratio_ins!$B:$B,0))</f>
        <v>8592.2822160000014</v>
      </c>
      <c r="P35" s="10">
        <f>INDEX([1]ratio_ins!N:N,MATCH('001_population_health_zone_zs'!$B$2,[1]ratio_ins!$B:$B,0))*$G35*INDEX([1]ratio_ins!$C:$C,MATCH('001_population_health_zone_zs'!$B35,[1]ratio_ins!$B:$B,0))</f>
        <v>7756.9214449999999</v>
      </c>
      <c r="Q35" s="10">
        <f>INDEX([1]ratio_ins!O:O,MATCH('001_population_health_zone_zs'!$B$2,[1]ratio_ins!$B:$B,0))*$G35*INDEX([1]ratio_ins!$C:$C,MATCH('001_population_health_zone_zs'!$B35,[1]ratio_ins!$B:$B,0))</f>
        <v>6921.5606739999994</v>
      </c>
      <c r="R35" s="10">
        <f>INDEX([1]ratio_ins!P:P,MATCH('001_population_health_zone_zs'!$B$2,[1]ratio_ins!$B:$B,0))*$G35*INDEX([1]ratio_ins!$C:$C,MATCH('001_population_health_zone_zs'!$B35,[1]ratio_ins!$B:$B,0))</f>
        <v>6802.2234210000006</v>
      </c>
      <c r="S35" s="10">
        <f>INDEX([1]ratio_ins!Q:Q,MATCH('001_population_health_zone_zs'!$B$2,[1]ratio_ins!$B:$B,0))*$G35*INDEX([1]ratio_ins!$C:$C,MATCH('001_population_health_zone_zs'!$B35,[1]ratio_ins!$B:$B,0))</f>
        <v>5728.1881440000006</v>
      </c>
      <c r="T35" s="10">
        <f>INDEX([1]ratio_ins!R:R,MATCH('001_population_health_zone_zs'!$B$2,[1]ratio_ins!$B:$B,0))*$G35*INDEX([1]ratio_ins!$C:$C,MATCH('001_population_health_zone_zs'!$B35,[1]ratio_ins!$B:$B,0))</f>
        <v>4057.4666020000004</v>
      </c>
      <c r="U35" s="10">
        <f>INDEX([1]ratio_ins!S:S,MATCH('001_population_health_zone_zs'!$B$2,[1]ratio_ins!$B:$B,0))*$G35*INDEX([1]ratio_ins!$C:$C,MATCH('001_population_health_zone_zs'!$B35,[1]ratio_ins!$B:$B,0))</f>
        <v>3222.1058310000003</v>
      </c>
      <c r="V35" s="10">
        <f>INDEX([1]ratio_ins!T:T,MATCH('001_population_health_zone_zs'!$B$2,[1]ratio_ins!$B:$B,0))*$G35*INDEX([1]ratio_ins!$C:$C,MATCH('001_population_health_zone_zs'!$B35,[1]ratio_ins!$B:$B,0))</f>
        <v>1790.0587949999999</v>
      </c>
      <c r="W35" s="11">
        <f>INDEX([1]ratio_ins!U:U,MATCH('001_population_health_zone_zs'!$B$2,[1]ratio_ins!$B:$B,0))*$G35*INDEX([1]ratio_ins!$C:$C,MATCH('001_population_health_zone_zs'!$B35,[1]ratio_ins!$B:$B,0))</f>
        <v>48832.803927600005</v>
      </c>
      <c r="X35" s="10">
        <f>INDEX([1]ratio_ins!V:V,MATCH('001_population_health_zone_zs'!$B$2,[1]ratio_ins!$B:$B,0))*$G35*INDEX([1]ratio_ins!$C:$C,MATCH('001_population_health_zone_zs'!$B35,[1]ratio_ins!$B:$B,0))</f>
        <v>1432.0470360000002</v>
      </c>
      <c r="Y35" s="10">
        <f>INDEX([1]ratio_ins!W:W,MATCH('001_population_health_zone_zs'!$B$2,[1]ratio_ins!$B:$B,0))*$G35*INDEX([1]ratio_ins!$C:$C,MATCH('001_population_health_zone_zs'!$B35,[1]ratio_ins!$B:$B,0))</f>
        <v>954.69802400000003</v>
      </c>
      <c r="Z35" s="10">
        <f>INDEX([1]ratio_ins!X:X,MATCH('001_population_health_zone_zs'!$B$2,[1]ratio_ins!$B:$B,0))*$G35*INDEX([1]ratio_ins!$C:$C,MATCH('001_population_health_zone_zs'!$B35,[1]ratio_ins!$B:$B,0))</f>
        <v>477.34901200000002</v>
      </c>
      <c r="AA35" s="10">
        <f>INDEX([1]ratio_ins!Y:Y,MATCH('001_population_health_zone_zs'!$B$2,[1]ratio_ins!$B:$B,0))*$G35*INDEX([1]ratio_ins!$C:$C,MATCH('001_population_health_zone_zs'!$B35,[1]ratio_ins!$B:$B,0))</f>
        <v>238.67450600000001</v>
      </c>
      <c r="AB35" s="11">
        <f>INDEX([1]ratio_ins!Z:Z,MATCH('001_population_health_zone_zs'!$B$2,[1]ratio_ins!$B:$B,0))*$G35*INDEX([1]ratio_ins!$C:$C,MATCH('001_population_health_zone_zs'!$B35,[1]ratio_ins!$B:$B,0))</f>
        <v>3102.7685780000006</v>
      </c>
      <c r="AC35" s="12">
        <f t="shared" si="0"/>
        <v>119337.253</v>
      </c>
      <c r="AD35" s="10">
        <f>INDEX([1]ratio_ins!AA:AA,MATCH('001_population_health_zone_zs'!$B$2,[1]ratio_ins!$B:$B,0))*$G35*INDEX([1]ratio_ins!$D:$D,MATCH('001_population_health_zone_zs'!$B35,[1]ratio_ins!$B:$B,0))</f>
        <v>24761.886870000002</v>
      </c>
      <c r="AE35" s="10">
        <f>INDEX([1]ratio_ins!AB:AB,MATCH('001_population_health_zone_zs'!$B$2,[1]ratio_ins!$B:$B,0))*$G35*INDEX([1]ratio_ins!$D:$D,MATCH('001_population_health_zone_zs'!$B35,[1]ratio_ins!$B:$B,0))</f>
        <v>20399.078231000003</v>
      </c>
      <c r="AF35" s="10">
        <f>INDEX([1]ratio_ins!AC:AC,MATCH('001_population_health_zone_zs'!$B$2,[1]ratio_ins!$B:$B,0))*$G35*INDEX([1]ratio_ins!$D:$D,MATCH('001_population_health_zone_zs'!$B35,[1]ratio_ins!$B:$B,0))</f>
        <v>16154.183338999999</v>
      </c>
      <c r="AG35" s="10">
        <f>INDEX([1]ratio_ins!AD:AD,MATCH('001_population_health_zone_zs'!$B$2,[1]ratio_ins!$B:$B,0))*$G35*INDEX([1]ratio_ins!$D:$D,MATCH('001_population_health_zone_zs'!$B35,[1]ratio_ins!$B:$B,0))</f>
        <v>9786.8410010000025</v>
      </c>
      <c r="AH35" s="10">
        <f>INDEX([1]ratio_ins!AE:AE,MATCH('001_population_health_zone_zs'!$B$2,[1]ratio_ins!$B:$B,0))*$G35*INDEX([1]ratio_ins!$D:$D,MATCH('001_population_health_zone_zs'!$B35,[1]ratio_ins!$B:$B,0))</f>
        <v>5872.1046006000006</v>
      </c>
      <c r="AI35" s="13">
        <f>INDEX([1]ratio_ins!AF:AF,MATCH('001_population_health_zone_zs'!$B$2,[1]ratio_ins!$B:$B,0))*$G35*INDEX([1]ratio_ins!$D:$D,MATCH('001_population_health_zone_zs'!$B35,[1]ratio_ins!$B:$B,0))</f>
        <v>67187.253040600001</v>
      </c>
      <c r="AJ35" s="10">
        <f>INDEX([1]ratio_ins!AG:AG,MATCH('001_population_health_zone_zs'!$B$2,[1]ratio_ins!$B:$B,0))*$G35*INDEX([1]ratio_ins!$D:$D,MATCH('001_population_health_zone_zs'!$B35,[1]ratio_ins!$B:$B,0))</f>
        <v>3914.7364004000001</v>
      </c>
      <c r="AK35" s="10">
        <f>INDEX([1]ratio_ins!AH:AH,MATCH('001_population_health_zone_zs'!$B$2,[1]ratio_ins!$B:$B,0))*$G35*INDEX([1]ratio_ins!$D:$D,MATCH('001_population_health_zone_zs'!$B35,[1]ratio_ins!$B:$B,0))</f>
        <v>8725.6172780000034</v>
      </c>
      <c r="AL35" s="10">
        <f>INDEX([1]ratio_ins!AI:AI,MATCH('001_population_health_zone_zs'!$B$2,[1]ratio_ins!$B:$B,0))*$G35*INDEX([1]ratio_ins!$D:$D,MATCH('001_population_health_zone_zs'!$B35,[1]ratio_ins!$B:$B,0))</f>
        <v>8253.9622900000031</v>
      </c>
      <c r="AM35" s="10">
        <f>INDEX([1]ratio_ins!AJ:AJ,MATCH('001_population_health_zone_zs'!$B$2,[1]ratio_ins!$B:$B,0))*$G35*INDEX([1]ratio_ins!$D:$D,MATCH('001_population_health_zone_zs'!$B35,[1]ratio_ins!$B:$B,0))</f>
        <v>7546.479808000001</v>
      </c>
      <c r="AN35" s="10">
        <f>INDEX([1]ratio_ins!AK:AK,MATCH('001_population_health_zone_zs'!$B$2,[1]ratio_ins!$B:$B,0))*$G35*INDEX([1]ratio_ins!$D:$D,MATCH('001_population_health_zone_zs'!$B35,[1]ratio_ins!$B:$B,0))</f>
        <v>7074.8248200000007</v>
      </c>
      <c r="AO35" s="10">
        <f>INDEX([1]ratio_ins!AL:AL,MATCH('001_population_health_zone_zs'!$B$2,[1]ratio_ins!$B:$B,0))*$G35*INDEX([1]ratio_ins!$D:$D,MATCH('001_population_health_zone_zs'!$B35,[1]ratio_ins!$B:$B,0))</f>
        <v>5306.1186150000003</v>
      </c>
      <c r="AP35" s="10">
        <f>INDEX([1]ratio_ins!AM:AM,MATCH('001_population_health_zone_zs'!$B$2,[1]ratio_ins!$B:$B,0))*$G35*INDEX([1]ratio_ins!$D:$D,MATCH('001_population_health_zone_zs'!$B35,[1]ratio_ins!$B:$B,0))</f>
        <v>3419.4986630000003</v>
      </c>
      <c r="AQ35" s="10">
        <f>INDEX([1]ratio_ins!AN:AN,MATCH('001_population_health_zone_zs'!$B$2,[1]ratio_ins!$B:$B,0))*$G35*INDEX([1]ratio_ins!$D:$D,MATCH('001_population_health_zone_zs'!$B35,[1]ratio_ins!$B:$B,0))</f>
        <v>2712.0161810000004</v>
      </c>
      <c r="AR35" s="10">
        <f>INDEX([1]ratio_ins!AO:AO,MATCH('001_population_health_zone_zs'!$B$2,[1]ratio_ins!$B:$B,0))*$G35*INDEX([1]ratio_ins!$D:$D,MATCH('001_population_health_zone_zs'!$B35,[1]ratio_ins!$B:$B,0))</f>
        <v>1297.0512170000004</v>
      </c>
      <c r="AS35" s="13">
        <f>INDEX([1]ratio_ins!AP:AP,MATCH('001_population_health_zone_zs'!$B$2,[1]ratio_ins!$B:$B,0))*$G35*INDEX([1]ratio_ins!$D:$D,MATCH('001_population_health_zone_zs'!$B35,[1]ratio_ins!$B:$B,0))</f>
        <v>48250.305272400008</v>
      </c>
      <c r="AT35" s="10">
        <f>INDEX([1]ratio_ins!AQ:AQ,MATCH('001_population_health_zone_zs'!$B$2,[1]ratio_ins!$B:$B,0))*$G35*INDEX([1]ratio_ins!$D:$D,MATCH('001_population_health_zone_zs'!$B35,[1]ratio_ins!$B:$B,0))</f>
        <v>1179.1374700000001</v>
      </c>
      <c r="AU35" s="10">
        <f>INDEX([1]ratio_ins!AR:AR,MATCH('001_population_health_zone_zs'!$B$2,[1]ratio_ins!$B:$B,0))*$G35*INDEX([1]ratio_ins!$D:$D,MATCH('001_population_health_zone_zs'!$B35,[1]ratio_ins!$B:$B,0))</f>
        <v>707.48248200000012</v>
      </c>
      <c r="AV35" s="10">
        <f>INDEX([1]ratio_ins!AS:AS,MATCH('001_population_health_zone_zs'!$B$2,[1]ratio_ins!$B:$B,0))*$G35*INDEX([1]ratio_ins!$D:$D,MATCH('001_population_health_zone_zs'!$B35,[1]ratio_ins!$B:$B,0))</f>
        <v>353.74124100000006</v>
      </c>
      <c r="AW35" s="10">
        <f>INDEX([1]ratio_ins!AT:AT,MATCH('001_population_health_zone_zs'!$B$2,[1]ratio_ins!$B:$B,0))*$G35*INDEX([1]ratio_ins!$D:$D,MATCH('001_population_health_zone_zs'!$B35,[1]ratio_ins!$B:$B,0))</f>
        <v>235.82749400000003</v>
      </c>
      <c r="AX35" s="13">
        <f>INDEX([1]ratio_ins!AU:AU,MATCH('001_population_health_zone_zs'!$B$2,[1]ratio_ins!$B:$B,0))*$G35*INDEX([1]ratio_ins!$D:$D,MATCH('001_population_health_zone_zs'!$B35,[1]ratio_ins!$B:$B,0))</f>
        <v>2476.1886870000003</v>
      </c>
      <c r="AY35" s="14">
        <f t="shared" si="1"/>
        <v>117913.74700000002</v>
      </c>
      <c r="AZ35" s="15">
        <f t="shared" si="2"/>
        <v>237251</v>
      </c>
      <c r="BA35" s="16">
        <v>234505.66870935124</v>
      </c>
      <c r="BB35" s="10">
        <f t="shared" si="3"/>
        <v>50113.342475000012</v>
      </c>
      <c r="BC35" s="17">
        <f t="shared" si="4"/>
        <v>0.21122500000000005</v>
      </c>
      <c r="BD35" s="10">
        <f t="shared" si="5"/>
        <v>49763.634501</v>
      </c>
    </row>
    <row r="36" spans="1:56" x14ac:dyDescent="0.25">
      <c r="A36" s="8" t="s">
        <v>10</v>
      </c>
      <c r="B36" s="8" t="s">
        <v>11</v>
      </c>
      <c r="C36" s="8" t="s">
        <v>10</v>
      </c>
      <c r="D36" s="8" t="s">
        <v>12</v>
      </c>
      <c r="E36" s="8" t="s">
        <v>80</v>
      </c>
      <c r="F36" s="8" t="s">
        <v>81</v>
      </c>
      <c r="G36" s="9">
        <v>646158</v>
      </c>
      <c r="H36" s="10">
        <f>INDEX([1]ratio_ins!F:F,MATCH('001_population_health_zone_zs'!$B$2,[1]ratio_ins!$B:$B,0))*$G36*INDEX([1]ratio_ins!$C:$C,MATCH('001_population_health_zone_zs'!$B36,[1]ratio_ins!$B:$B,0))</f>
        <v>67928.652065999995</v>
      </c>
      <c r="I36" s="10">
        <f>INDEX([1]ratio_ins!G:G,MATCH('001_population_health_zone_zs'!$B$2,[1]ratio_ins!$B:$B,0))*$G36*INDEX([1]ratio_ins!$C:$C,MATCH('001_population_health_zone_zs'!$B36,[1]ratio_ins!$B:$B,0))</f>
        <v>55577.988054000009</v>
      </c>
      <c r="J36" s="10">
        <f>INDEX([1]ratio_ins!H:H,MATCH('001_population_health_zone_zs'!$B$2,[1]ratio_ins!$B:$B,0))*$G36*INDEX([1]ratio_ins!$C:$C,MATCH('001_population_health_zone_zs'!$B36,[1]ratio_ins!$B:$B,0))</f>
        <v>43877.358990000001</v>
      </c>
      <c r="K36" s="10">
        <f>INDEX([1]ratio_ins!I:I,MATCH('001_population_health_zone_zs'!$B$2,[1]ratio_ins!$B:$B,0))*$G36*INDEX([1]ratio_ins!$C:$C,MATCH('001_population_health_zone_zs'!$B36,[1]ratio_ins!$B:$B,0))</f>
        <v>26976.450342</v>
      </c>
      <c r="L36" s="10">
        <f>INDEX([1]ratio_ins!J:J,MATCH('001_population_health_zone_zs'!$B$2,[1]ratio_ins!$B:$B,0))*$G36*INDEX([1]ratio_ins!$C:$C,MATCH('001_population_health_zone_zs'!$B36,[1]ratio_ins!$B:$B,0))</f>
        <v>16185.870205199999</v>
      </c>
      <c r="M36" s="11">
        <f>INDEX([1]ratio_ins!K:K,MATCH('001_population_health_zone_zs'!$B$2,[1]ratio_ins!$B:$B,0))*$G36*INDEX([1]ratio_ins!$C:$C,MATCH('001_population_health_zone_zs'!$B36,[1]ratio_ins!$B:$B,0))</f>
        <v>183569.86931519999</v>
      </c>
      <c r="N36" s="10">
        <f>INDEX([1]ratio_ins!L:L,MATCH('001_population_health_zone_zs'!$B$2,[1]ratio_ins!$B:$B,0))*$G36*INDEX([1]ratio_ins!$C:$C,MATCH('001_population_health_zone_zs'!$B36,[1]ratio_ins!$B:$B,0))</f>
        <v>10790.580136799999</v>
      </c>
      <c r="O36" s="10">
        <f>INDEX([1]ratio_ins!M:M,MATCH('001_population_health_zone_zs'!$B$2,[1]ratio_ins!$B:$B,0))*$G36*INDEX([1]ratio_ins!$C:$C,MATCH('001_population_health_zone_zs'!$B36,[1]ratio_ins!$B:$B,0))</f>
        <v>23401.258128000001</v>
      </c>
      <c r="P36" s="10">
        <f>INDEX([1]ratio_ins!N:N,MATCH('001_population_health_zone_zs'!$B$2,[1]ratio_ins!$B:$B,0))*$G36*INDEX([1]ratio_ins!$C:$C,MATCH('001_population_health_zone_zs'!$B36,[1]ratio_ins!$B:$B,0))</f>
        <v>21126.135810000003</v>
      </c>
      <c r="Q36" s="10">
        <f>INDEX([1]ratio_ins!O:O,MATCH('001_population_health_zone_zs'!$B$2,[1]ratio_ins!$B:$B,0))*$G36*INDEX([1]ratio_ins!$C:$C,MATCH('001_population_health_zone_zs'!$B36,[1]ratio_ins!$B:$B,0))</f>
        <v>18851.013491999998</v>
      </c>
      <c r="R36" s="10">
        <f>INDEX([1]ratio_ins!P:P,MATCH('001_population_health_zone_zs'!$B$2,[1]ratio_ins!$B:$B,0))*$G36*INDEX([1]ratio_ins!$C:$C,MATCH('001_population_health_zone_zs'!$B36,[1]ratio_ins!$B:$B,0))</f>
        <v>18525.996018000002</v>
      </c>
      <c r="S36" s="10">
        <f>INDEX([1]ratio_ins!Q:Q,MATCH('001_population_health_zone_zs'!$B$2,[1]ratio_ins!$B:$B,0))*$G36*INDEX([1]ratio_ins!$C:$C,MATCH('001_population_health_zone_zs'!$B36,[1]ratio_ins!$B:$B,0))</f>
        <v>15600.838752</v>
      </c>
      <c r="T36" s="10">
        <f>INDEX([1]ratio_ins!R:R,MATCH('001_population_health_zone_zs'!$B$2,[1]ratio_ins!$B:$B,0))*$G36*INDEX([1]ratio_ins!$C:$C,MATCH('001_population_health_zone_zs'!$B36,[1]ratio_ins!$B:$B,0))</f>
        <v>11050.594116000002</v>
      </c>
      <c r="U36" s="10">
        <f>INDEX([1]ratio_ins!S:S,MATCH('001_population_health_zone_zs'!$B$2,[1]ratio_ins!$B:$B,0))*$G36*INDEX([1]ratio_ins!$C:$C,MATCH('001_population_health_zone_zs'!$B36,[1]ratio_ins!$B:$B,0))</f>
        <v>8775.4717980000023</v>
      </c>
      <c r="V36" s="10">
        <f>INDEX([1]ratio_ins!T:T,MATCH('001_population_health_zone_zs'!$B$2,[1]ratio_ins!$B:$B,0))*$G36*INDEX([1]ratio_ins!$C:$C,MATCH('001_population_health_zone_zs'!$B36,[1]ratio_ins!$B:$B,0))</f>
        <v>4875.2621099999997</v>
      </c>
      <c r="W36" s="11">
        <f>INDEX([1]ratio_ins!U:U,MATCH('001_population_health_zone_zs'!$B$2,[1]ratio_ins!$B:$B,0))*$G36*INDEX([1]ratio_ins!$C:$C,MATCH('001_population_health_zone_zs'!$B36,[1]ratio_ins!$B:$B,0))</f>
        <v>132997.15036080001</v>
      </c>
      <c r="X36" s="10">
        <f>INDEX([1]ratio_ins!V:V,MATCH('001_population_health_zone_zs'!$B$2,[1]ratio_ins!$B:$B,0))*$G36*INDEX([1]ratio_ins!$C:$C,MATCH('001_population_health_zone_zs'!$B36,[1]ratio_ins!$B:$B,0))</f>
        <v>3900.2096879999999</v>
      </c>
      <c r="Y36" s="10">
        <f>INDEX([1]ratio_ins!W:W,MATCH('001_population_health_zone_zs'!$B$2,[1]ratio_ins!$B:$B,0))*$G36*INDEX([1]ratio_ins!$C:$C,MATCH('001_population_health_zone_zs'!$B36,[1]ratio_ins!$B:$B,0))</f>
        <v>2600.1397919999999</v>
      </c>
      <c r="Z36" s="10">
        <f>INDEX([1]ratio_ins!X:X,MATCH('001_population_health_zone_zs'!$B$2,[1]ratio_ins!$B:$B,0))*$G36*INDEX([1]ratio_ins!$C:$C,MATCH('001_population_health_zone_zs'!$B36,[1]ratio_ins!$B:$B,0))</f>
        <v>1300.069896</v>
      </c>
      <c r="AA36" s="10">
        <f>INDEX([1]ratio_ins!Y:Y,MATCH('001_population_health_zone_zs'!$B$2,[1]ratio_ins!$B:$B,0))*$G36*INDEX([1]ratio_ins!$C:$C,MATCH('001_population_health_zone_zs'!$B36,[1]ratio_ins!$B:$B,0))</f>
        <v>650.03494799999999</v>
      </c>
      <c r="AB36" s="11">
        <f>INDEX([1]ratio_ins!Z:Z,MATCH('001_population_health_zone_zs'!$B$2,[1]ratio_ins!$B:$B,0))*$G36*INDEX([1]ratio_ins!$C:$C,MATCH('001_population_health_zone_zs'!$B36,[1]ratio_ins!$B:$B,0))</f>
        <v>8450.4543240000003</v>
      </c>
      <c r="AC36" s="12">
        <f t="shared" si="0"/>
        <v>325017.47399999999</v>
      </c>
      <c r="AD36" s="10">
        <f>INDEX([1]ratio_ins!AA:AA,MATCH('001_population_health_zone_zs'!$B$2,[1]ratio_ins!$B:$B,0))*$G36*INDEX([1]ratio_ins!$D:$D,MATCH('001_population_health_zone_zs'!$B36,[1]ratio_ins!$B:$B,0))</f>
        <v>67439.510460000005</v>
      </c>
      <c r="AE36" s="10">
        <f>INDEX([1]ratio_ins!AB:AB,MATCH('001_population_health_zone_zs'!$B$2,[1]ratio_ins!$B:$B,0))*$G36*INDEX([1]ratio_ins!$D:$D,MATCH('001_population_health_zone_zs'!$B36,[1]ratio_ins!$B:$B,0))</f>
        <v>55557.310998000008</v>
      </c>
      <c r="AF36" s="10">
        <f>INDEX([1]ratio_ins!AC:AC,MATCH('001_population_health_zone_zs'!$B$2,[1]ratio_ins!$B:$B,0))*$G36*INDEX([1]ratio_ins!$D:$D,MATCH('001_population_health_zone_zs'!$B36,[1]ratio_ins!$B:$B,0))</f>
        <v>43996.252062</v>
      </c>
      <c r="AG36" s="10">
        <f>INDEX([1]ratio_ins!AD:AD,MATCH('001_population_health_zone_zs'!$B$2,[1]ratio_ins!$B:$B,0))*$G36*INDEX([1]ratio_ins!$D:$D,MATCH('001_population_health_zone_zs'!$B36,[1]ratio_ins!$B:$B,0))</f>
        <v>26654.663658000005</v>
      </c>
      <c r="AH36" s="10">
        <f>INDEX([1]ratio_ins!AE:AE,MATCH('001_population_health_zone_zs'!$B$2,[1]ratio_ins!$B:$B,0))*$G36*INDEX([1]ratio_ins!$D:$D,MATCH('001_population_health_zone_zs'!$B36,[1]ratio_ins!$B:$B,0))</f>
        <v>15992.798194800002</v>
      </c>
      <c r="AI36" s="13">
        <f>INDEX([1]ratio_ins!AF:AF,MATCH('001_population_health_zone_zs'!$B$2,[1]ratio_ins!$B:$B,0))*$G36*INDEX([1]ratio_ins!$D:$D,MATCH('001_population_health_zone_zs'!$B36,[1]ratio_ins!$B:$B,0))</f>
        <v>182985.87171480001</v>
      </c>
      <c r="AJ36" s="10">
        <f>INDEX([1]ratio_ins!AG:AG,MATCH('001_population_health_zone_zs'!$B$2,[1]ratio_ins!$B:$B,0))*$G36*INDEX([1]ratio_ins!$D:$D,MATCH('001_population_health_zone_zs'!$B36,[1]ratio_ins!$B:$B,0))</f>
        <v>10661.8654632</v>
      </c>
      <c r="AK36" s="10">
        <f>INDEX([1]ratio_ins!AH:AH,MATCH('001_population_health_zone_zs'!$B$2,[1]ratio_ins!$B:$B,0))*$G36*INDEX([1]ratio_ins!$D:$D,MATCH('001_population_health_zone_zs'!$B36,[1]ratio_ins!$B:$B,0))</f>
        <v>23764.398924000008</v>
      </c>
      <c r="AL36" s="10">
        <f>INDEX([1]ratio_ins!AI:AI,MATCH('001_population_health_zone_zs'!$B$2,[1]ratio_ins!$B:$B,0))*$G36*INDEX([1]ratio_ins!$D:$D,MATCH('001_population_health_zone_zs'!$B36,[1]ratio_ins!$B:$B,0))</f>
        <v>22479.836820000004</v>
      </c>
      <c r="AM36" s="10">
        <f>INDEX([1]ratio_ins!AJ:AJ,MATCH('001_population_health_zone_zs'!$B$2,[1]ratio_ins!$B:$B,0))*$G36*INDEX([1]ratio_ins!$D:$D,MATCH('001_population_health_zone_zs'!$B36,[1]ratio_ins!$B:$B,0))</f>
        <v>20552.993664000001</v>
      </c>
      <c r="AN36" s="10">
        <f>INDEX([1]ratio_ins!AK:AK,MATCH('001_population_health_zone_zs'!$B$2,[1]ratio_ins!$B:$B,0))*$G36*INDEX([1]ratio_ins!$D:$D,MATCH('001_population_health_zone_zs'!$B36,[1]ratio_ins!$B:$B,0))</f>
        <v>19268.431560000001</v>
      </c>
      <c r="AO36" s="10">
        <f>INDEX([1]ratio_ins!AL:AL,MATCH('001_population_health_zone_zs'!$B$2,[1]ratio_ins!$B:$B,0))*$G36*INDEX([1]ratio_ins!$D:$D,MATCH('001_population_health_zone_zs'!$B36,[1]ratio_ins!$B:$B,0))</f>
        <v>14451.323670000002</v>
      </c>
      <c r="AP36" s="10">
        <f>INDEX([1]ratio_ins!AM:AM,MATCH('001_population_health_zone_zs'!$B$2,[1]ratio_ins!$B:$B,0))*$G36*INDEX([1]ratio_ins!$D:$D,MATCH('001_population_health_zone_zs'!$B36,[1]ratio_ins!$B:$B,0))</f>
        <v>9313.0752539999994</v>
      </c>
      <c r="AQ36" s="10">
        <f>INDEX([1]ratio_ins!AN:AN,MATCH('001_population_health_zone_zs'!$B$2,[1]ratio_ins!$B:$B,0))*$G36*INDEX([1]ratio_ins!$D:$D,MATCH('001_population_health_zone_zs'!$B36,[1]ratio_ins!$B:$B,0))</f>
        <v>7386.2320980000004</v>
      </c>
      <c r="AR36" s="10">
        <f>INDEX([1]ratio_ins!AO:AO,MATCH('001_population_health_zone_zs'!$B$2,[1]ratio_ins!$B:$B,0))*$G36*INDEX([1]ratio_ins!$D:$D,MATCH('001_population_health_zone_zs'!$B36,[1]ratio_ins!$B:$B,0))</f>
        <v>3532.5457860000006</v>
      </c>
      <c r="AS36" s="13">
        <f>INDEX([1]ratio_ins!AP:AP,MATCH('001_population_health_zone_zs'!$B$2,[1]ratio_ins!$B:$B,0))*$G36*INDEX([1]ratio_ins!$D:$D,MATCH('001_population_health_zone_zs'!$B36,[1]ratio_ins!$B:$B,0))</f>
        <v>131410.70323920003</v>
      </c>
      <c r="AT36" s="10">
        <f>INDEX([1]ratio_ins!AQ:AQ,MATCH('001_population_health_zone_zs'!$B$2,[1]ratio_ins!$B:$B,0))*$G36*INDEX([1]ratio_ins!$D:$D,MATCH('001_population_health_zone_zs'!$B36,[1]ratio_ins!$B:$B,0))</f>
        <v>3211.4052600000005</v>
      </c>
      <c r="AU36" s="10">
        <f>INDEX([1]ratio_ins!AR:AR,MATCH('001_population_health_zone_zs'!$B$2,[1]ratio_ins!$B:$B,0))*$G36*INDEX([1]ratio_ins!$D:$D,MATCH('001_population_health_zone_zs'!$B36,[1]ratio_ins!$B:$B,0))</f>
        <v>1926.8431560000001</v>
      </c>
      <c r="AV36" s="10">
        <f>INDEX([1]ratio_ins!AS:AS,MATCH('001_population_health_zone_zs'!$B$2,[1]ratio_ins!$B:$B,0))*$G36*INDEX([1]ratio_ins!$D:$D,MATCH('001_population_health_zone_zs'!$B36,[1]ratio_ins!$B:$B,0))</f>
        <v>963.42157800000007</v>
      </c>
      <c r="AW36" s="10">
        <f>INDEX([1]ratio_ins!AT:AT,MATCH('001_population_health_zone_zs'!$B$2,[1]ratio_ins!$B:$B,0))*$G36*INDEX([1]ratio_ins!$D:$D,MATCH('001_population_health_zone_zs'!$B36,[1]ratio_ins!$B:$B,0))</f>
        <v>642.28105200000005</v>
      </c>
      <c r="AX36" s="13">
        <f>INDEX([1]ratio_ins!AU:AU,MATCH('001_population_health_zone_zs'!$B$2,[1]ratio_ins!$B:$B,0))*$G36*INDEX([1]ratio_ins!$D:$D,MATCH('001_population_health_zone_zs'!$B36,[1]ratio_ins!$B:$B,0))</f>
        <v>6743.9510460000001</v>
      </c>
      <c r="AY36" s="14">
        <f t="shared" si="1"/>
        <v>321140.52600000007</v>
      </c>
      <c r="AZ36" s="15">
        <f t="shared" si="2"/>
        <v>646158</v>
      </c>
      <c r="BA36" s="16">
        <v>638682.21887568501</v>
      </c>
      <c r="BB36" s="10">
        <f t="shared" si="3"/>
        <v>136484.72355000002</v>
      </c>
      <c r="BC36" s="17">
        <f t="shared" si="4"/>
        <v>0.21122500000000002</v>
      </c>
      <c r="BD36" s="10">
        <f t="shared" si="5"/>
        <v>135532.286658</v>
      </c>
    </row>
    <row r="37" spans="1:56" x14ac:dyDescent="0.25">
      <c r="A37" s="8" t="s">
        <v>82</v>
      </c>
      <c r="B37" s="8" t="s">
        <v>83</v>
      </c>
      <c r="C37" s="8" t="s">
        <v>84</v>
      </c>
      <c r="D37" s="8" t="s">
        <v>85</v>
      </c>
      <c r="E37" s="8" t="s">
        <v>84</v>
      </c>
      <c r="F37" s="8" t="s">
        <v>86</v>
      </c>
      <c r="G37" s="9">
        <v>351301</v>
      </c>
      <c r="H37" s="10">
        <f>INDEX([1]ratio_ins!F:F,MATCH('001_population_health_zone_zs'!$B$2,[1]ratio_ins!$B:$B,0))*$G37*INDEX([1]ratio_ins!$C:$C,MATCH('001_population_health_zone_zs'!$B37,[1]ratio_ins!$B:$B,0))</f>
        <v>36197.001136999999</v>
      </c>
      <c r="I37" s="10">
        <f>INDEX([1]ratio_ins!G:G,MATCH('001_population_health_zone_zs'!$B$2,[1]ratio_ins!$B:$B,0))*$G37*INDEX([1]ratio_ins!$C:$C,MATCH('001_population_health_zone_zs'!$B37,[1]ratio_ins!$B:$B,0))</f>
        <v>29615.728203000002</v>
      </c>
      <c r="J37" s="10">
        <f>INDEX([1]ratio_ins!H:H,MATCH('001_population_health_zone_zs'!$B$2,[1]ratio_ins!$B:$B,0))*$G37*INDEX([1]ratio_ins!$C:$C,MATCH('001_population_health_zone_zs'!$B37,[1]ratio_ins!$B:$B,0))</f>
        <v>23380.838055</v>
      </c>
      <c r="K37" s="10">
        <f>INDEX([1]ratio_ins!I:I,MATCH('001_population_health_zone_zs'!$B$2,[1]ratio_ins!$B:$B,0))*$G37*INDEX([1]ratio_ins!$C:$C,MATCH('001_population_health_zone_zs'!$B37,[1]ratio_ins!$B:$B,0))</f>
        <v>14374.885619000001</v>
      </c>
      <c r="L37" s="10">
        <f>INDEX([1]ratio_ins!J:J,MATCH('001_population_health_zone_zs'!$B$2,[1]ratio_ins!$B:$B,0))*$G37*INDEX([1]ratio_ins!$C:$C,MATCH('001_population_health_zone_zs'!$B37,[1]ratio_ins!$B:$B,0))</f>
        <v>8624.9313714</v>
      </c>
      <c r="M37" s="11">
        <f>INDEX([1]ratio_ins!K:K,MATCH('001_population_health_zone_zs'!$B$2,[1]ratio_ins!$B:$B,0))*$G37*INDEX([1]ratio_ins!$C:$C,MATCH('001_population_health_zone_zs'!$B37,[1]ratio_ins!$B:$B,0))</f>
        <v>97818.498766399993</v>
      </c>
      <c r="N37" s="10">
        <f>INDEX([1]ratio_ins!L:L,MATCH('001_population_health_zone_zs'!$B$2,[1]ratio_ins!$B:$B,0))*$G37*INDEX([1]ratio_ins!$C:$C,MATCH('001_population_health_zone_zs'!$B37,[1]ratio_ins!$B:$B,0))</f>
        <v>5749.9542475999997</v>
      </c>
      <c r="O37" s="10">
        <f>INDEX([1]ratio_ins!M:M,MATCH('001_population_health_zone_zs'!$B$2,[1]ratio_ins!$B:$B,0))*$G37*INDEX([1]ratio_ins!$C:$C,MATCH('001_population_health_zone_zs'!$B37,[1]ratio_ins!$B:$B,0))</f>
        <v>12469.780296000001</v>
      </c>
      <c r="P37" s="10">
        <f>INDEX([1]ratio_ins!N:N,MATCH('001_population_health_zone_zs'!$B$2,[1]ratio_ins!$B:$B,0))*$G37*INDEX([1]ratio_ins!$C:$C,MATCH('001_population_health_zone_zs'!$B37,[1]ratio_ins!$B:$B,0))</f>
        <v>11257.440545000001</v>
      </c>
      <c r="Q37" s="10">
        <f>INDEX([1]ratio_ins!O:O,MATCH('001_population_health_zone_zs'!$B$2,[1]ratio_ins!$B:$B,0))*$G37*INDEX([1]ratio_ins!$C:$C,MATCH('001_population_health_zone_zs'!$B37,[1]ratio_ins!$B:$B,0))</f>
        <v>10045.100794</v>
      </c>
      <c r="R37" s="10">
        <f>INDEX([1]ratio_ins!P:P,MATCH('001_population_health_zone_zs'!$B$2,[1]ratio_ins!$B:$B,0))*$G37*INDEX([1]ratio_ins!$C:$C,MATCH('001_population_health_zone_zs'!$B37,[1]ratio_ins!$B:$B,0))</f>
        <v>9871.909400999999</v>
      </c>
      <c r="S37" s="10">
        <f>INDEX([1]ratio_ins!Q:Q,MATCH('001_population_health_zone_zs'!$B$2,[1]ratio_ins!$B:$B,0))*$G37*INDEX([1]ratio_ins!$C:$C,MATCH('001_population_health_zone_zs'!$B37,[1]ratio_ins!$B:$B,0))</f>
        <v>8313.1868639999993</v>
      </c>
      <c r="T37" s="10">
        <f>INDEX([1]ratio_ins!R:R,MATCH('001_population_health_zone_zs'!$B$2,[1]ratio_ins!$B:$B,0))*$G37*INDEX([1]ratio_ins!$C:$C,MATCH('001_population_health_zone_zs'!$B37,[1]ratio_ins!$B:$B,0))</f>
        <v>5888.5073620000003</v>
      </c>
      <c r="U37" s="10">
        <f>INDEX([1]ratio_ins!S:S,MATCH('001_population_health_zone_zs'!$B$2,[1]ratio_ins!$B:$B,0))*$G37*INDEX([1]ratio_ins!$C:$C,MATCH('001_population_health_zone_zs'!$B37,[1]ratio_ins!$B:$B,0))</f>
        <v>4676.1676109999999</v>
      </c>
      <c r="V37" s="10">
        <f>INDEX([1]ratio_ins!T:T,MATCH('001_population_health_zone_zs'!$B$2,[1]ratio_ins!$B:$B,0))*$G37*INDEX([1]ratio_ins!$C:$C,MATCH('001_population_health_zone_zs'!$B37,[1]ratio_ins!$B:$B,0))</f>
        <v>2597.8708949999996</v>
      </c>
      <c r="W37" s="11">
        <f>INDEX([1]ratio_ins!U:U,MATCH('001_population_health_zone_zs'!$B$2,[1]ratio_ins!$B:$B,0))*$G37*INDEX([1]ratio_ins!$C:$C,MATCH('001_population_health_zone_zs'!$B37,[1]ratio_ins!$B:$B,0))</f>
        <v>70869.918015600007</v>
      </c>
      <c r="X37" s="10">
        <f>INDEX([1]ratio_ins!V:V,MATCH('001_population_health_zone_zs'!$B$2,[1]ratio_ins!$B:$B,0))*$G37*INDEX([1]ratio_ins!$C:$C,MATCH('001_population_health_zone_zs'!$B37,[1]ratio_ins!$B:$B,0))</f>
        <v>2078.2967159999998</v>
      </c>
      <c r="Y37" s="10">
        <f>INDEX([1]ratio_ins!W:W,MATCH('001_population_health_zone_zs'!$B$2,[1]ratio_ins!$B:$B,0))*$G37*INDEX([1]ratio_ins!$C:$C,MATCH('001_population_health_zone_zs'!$B37,[1]ratio_ins!$B:$B,0))</f>
        <v>1385.531144</v>
      </c>
      <c r="Z37" s="10">
        <f>INDEX([1]ratio_ins!X:X,MATCH('001_population_health_zone_zs'!$B$2,[1]ratio_ins!$B:$B,0))*$G37*INDEX([1]ratio_ins!$C:$C,MATCH('001_population_health_zone_zs'!$B37,[1]ratio_ins!$B:$B,0))</f>
        <v>692.76557200000002</v>
      </c>
      <c r="AA37" s="10">
        <f>INDEX([1]ratio_ins!Y:Y,MATCH('001_population_health_zone_zs'!$B$2,[1]ratio_ins!$B:$B,0))*$G37*INDEX([1]ratio_ins!$C:$C,MATCH('001_population_health_zone_zs'!$B37,[1]ratio_ins!$B:$B,0))</f>
        <v>346.38278600000001</v>
      </c>
      <c r="AB37" s="11">
        <f>INDEX([1]ratio_ins!Z:Z,MATCH('001_population_health_zone_zs'!$B$2,[1]ratio_ins!$B:$B,0))*$G37*INDEX([1]ratio_ins!$C:$C,MATCH('001_population_health_zone_zs'!$B37,[1]ratio_ins!$B:$B,0))</f>
        <v>4502.9762180000007</v>
      </c>
      <c r="AC37" s="12">
        <f t="shared" si="0"/>
        <v>173191.39299999998</v>
      </c>
      <c r="AD37" s="10">
        <f>INDEX([1]ratio_ins!AA:AA,MATCH('001_population_health_zone_zs'!$B$2,[1]ratio_ins!$B:$B,0))*$G37*INDEX([1]ratio_ins!$D:$D,MATCH('001_population_health_zone_zs'!$B37,[1]ratio_ins!$B:$B,0))</f>
        <v>37403.017469999999</v>
      </c>
      <c r="AE37" s="10">
        <f>INDEX([1]ratio_ins!AB:AB,MATCH('001_population_health_zone_zs'!$B$2,[1]ratio_ins!$B:$B,0))*$G37*INDEX([1]ratio_ins!$D:$D,MATCH('001_population_health_zone_zs'!$B37,[1]ratio_ins!$B:$B,0))</f>
        <v>30812.962011000003</v>
      </c>
      <c r="AF37" s="10">
        <f>INDEX([1]ratio_ins!AC:AC,MATCH('001_population_health_zone_zs'!$B$2,[1]ratio_ins!$B:$B,0))*$G37*INDEX([1]ratio_ins!$D:$D,MATCH('001_population_health_zone_zs'!$B37,[1]ratio_ins!$B:$B,0))</f>
        <v>24401.016158999999</v>
      </c>
      <c r="AG37" s="10">
        <f>INDEX([1]ratio_ins!AD:AD,MATCH('001_population_health_zone_zs'!$B$2,[1]ratio_ins!$B:$B,0))*$G37*INDEX([1]ratio_ins!$D:$D,MATCH('001_population_health_zone_zs'!$B37,[1]ratio_ins!$B:$B,0))</f>
        <v>14783.097381</v>
      </c>
      <c r="AH37" s="10">
        <f>INDEX([1]ratio_ins!AE:AE,MATCH('001_population_health_zone_zs'!$B$2,[1]ratio_ins!$B:$B,0))*$G37*INDEX([1]ratio_ins!$D:$D,MATCH('001_population_health_zone_zs'!$B37,[1]ratio_ins!$B:$B,0))</f>
        <v>8869.8584285999987</v>
      </c>
      <c r="AI37" s="13">
        <f>INDEX([1]ratio_ins!AF:AF,MATCH('001_population_health_zone_zs'!$B$2,[1]ratio_ins!$B:$B,0))*$G37*INDEX([1]ratio_ins!$D:$D,MATCH('001_population_health_zone_zs'!$B37,[1]ratio_ins!$B:$B,0))</f>
        <v>101486.85406859999</v>
      </c>
      <c r="AJ37" s="10">
        <f>INDEX([1]ratio_ins!AG:AG,MATCH('001_population_health_zone_zs'!$B$2,[1]ratio_ins!$B:$B,0))*$G37*INDEX([1]ratio_ins!$D:$D,MATCH('001_population_health_zone_zs'!$B37,[1]ratio_ins!$B:$B,0))</f>
        <v>5913.2389524</v>
      </c>
      <c r="AK37" s="10">
        <f>INDEX([1]ratio_ins!AH:AH,MATCH('001_population_health_zone_zs'!$B$2,[1]ratio_ins!$B:$B,0))*$G37*INDEX([1]ratio_ins!$D:$D,MATCH('001_population_health_zone_zs'!$B37,[1]ratio_ins!$B:$B,0))</f>
        <v>13180.110918000002</v>
      </c>
      <c r="AL37" s="10">
        <f>INDEX([1]ratio_ins!AI:AI,MATCH('001_population_health_zone_zs'!$B$2,[1]ratio_ins!$B:$B,0))*$G37*INDEX([1]ratio_ins!$D:$D,MATCH('001_population_health_zone_zs'!$B37,[1]ratio_ins!$B:$B,0))</f>
        <v>12467.672490000003</v>
      </c>
      <c r="AM37" s="10">
        <f>INDEX([1]ratio_ins!AJ:AJ,MATCH('001_population_health_zone_zs'!$B$2,[1]ratio_ins!$B:$B,0))*$G37*INDEX([1]ratio_ins!$D:$D,MATCH('001_population_health_zone_zs'!$B37,[1]ratio_ins!$B:$B,0))</f>
        <v>11399.014847999999</v>
      </c>
      <c r="AN37" s="10">
        <f>INDEX([1]ratio_ins!AK:AK,MATCH('001_population_health_zone_zs'!$B$2,[1]ratio_ins!$B:$B,0))*$G37*INDEX([1]ratio_ins!$D:$D,MATCH('001_population_health_zone_zs'!$B37,[1]ratio_ins!$B:$B,0))</f>
        <v>10686.576419999999</v>
      </c>
      <c r="AO37" s="10">
        <f>INDEX([1]ratio_ins!AL:AL,MATCH('001_population_health_zone_zs'!$B$2,[1]ratio_ins!$B:$B,0))*$G37*INDEX([1]ratio_ins!$D:$D,MATCH('001_population_health_zone_zs'!$B37,[1]ratio_ins!$B:$B,0))</f>
        <v>8014.932315</v>
      </c>
      <c r="AP37" s="10">
        <f>INDEX([1]ratio_ins!AM:AM,MATCH('001_population_health_zone_zs'!$B$2,[1]ratio_ins!$B:$B,0))*$G37*INDEX([1]ratio_ins!$D:$D,MATCH('001_population_health_zone_zs'!$B37,[1]ratio_ins!$B:$B,0))</f>
        <v>5165.1786029999994</v>
      </c>
      <c r="AQ37" s="10">
        <f>INDEX([1]ratio_ins!AN:AN,MATCH('001_population_health_zone_zs'!$B$2,[1]ratio_ins!$B:$B,0))*$G37*INDEX([1]ratio_ins!$D:$D,MATCH('001_population_health_zone_zs'!$B37,[1]ratio_ins!$B:$B,0))</f>
        <v>4096.5209610000002</v>
      </c>
      <c r="AR37" s="10">
        <f>INDEX([1]ratio_ins!AO:AO,MATCH('001_population_health_zone_zs'!$B$2,[1]ratio_ins!$B:$B,0))*$G37*INDEX([1]ratio_ins!$D:$D,MATCH('001_population_health_zone_zs'!$B37,[1]ratio_ins!$B:$B,0))</f>
        <v>1959.2056770000004</v>
      </c>
      <c r="AS37" s="13">
        <f>INDEX([1]ratio_ins!AP:AP,MATCH('001_population_health_zone_zs'!$B$2,[1]ratio_ins!$B:$B,0))*$G37*INDEX([1]ratio_ins!$D:$D,MATCH('001_population_health_zone_zs'!$B37,[1]ratio_ins!$B:$B,0))</f>
        <v>72882.451184400008</v>
      </c>
      <c r="AT37" s="10">
        <f>INDEX([1]ratio_ins!AQ:AQ,MATCH('001_population_health_zone_zs'!$B$2,[1]ratio_ins!$B:$B,0))*$G37*INDEX([1]ratio_ins!$D:$D,MATCH('001_population_health_zone_zs'!$B37,[1]ratio_ins!$B:$B,0))</f>
        <v>1781.0960700000001</v>
      </c>
      <c r="AU37" s="10">
        <f>INDEX([1]ratio_ins!AR:AR,MATCH('001_population_health_zone_zs'!$B$2,[1]ratio_ins!$B:$B,0))*$G37*INDEX([1]ratio_ins!$D:$D,MATCH('001_population_health_zone_zs'!$B37,[1]ratio_ins!$B:$B,0))</f>
        <v>1068.6576420000001</v>
      </c>
      <c r="AV37" s="10">
        <f>INDEX([1]ratio_ins!AS:AS,MATCH('001_population_health_zone_zs'!$B$2,[1]ratio_ins!$B:$B,0))*$G37*INDEX([1]ratio_ins!$D:$D,MATCH('001_population_health_zone_zs'!$B37,[1]ratio_ins!$B:$B,0))</f>
        <v>534.32882100000006</v>
      </c>
      <c r="AW37" s="10">
        <f>INDEX([1]ratio_ins!AT:AT,MATCH('001_population_health_zone_zs'!$B$2,[1]ratio_ins!$B:$B,0))*$G37*INDEX([1]ratio_ins!$D:$D,MATCH('001_population_health_zone_zs'!$B37,[1]ratio_ins!$B:$B,0))</f>
        <v>356.21921399999997</v>
      </c>
      <c r="AX37" s="13">
        <f>INDEX([1]ratio_ins!AU:AU,MATCH('001_population_health_zone_zs'!$B$2,[1]ratio_ins!$B:$B,0))*$G37*INDEX([1]ratio_ins!$D:$D,MATCH('001_population_health_zone_zs'!$B37,[1]ratio_ins!$B:$B,0))</f>
        <v>3740.3017469999995</v>
      </c>
      <c r="AY37" s="14">
        <f t="shared" si="1"/>
        <v>178109.60699999999</v>
      </c>
      <c r="AZ37" s="15">
        <f t="shared" si="2"/>
        <v>351301</v>
      </c>
      <c r="BA37" s="16">
        <v>337005.94603752252</v>
      </c>
      <c r="BB37" s="10">
        <f t="shared" si="3"/>
        <v>75696.582974999998</v>
      </c>
      <c r="BC37" s="17">
        <f t="shared" si="4"/>
        <v>0.215475</v>
      </c>
      <c r="BD37" s="10">
        <f t="shared" si="5"/>
        <v>72220.810880999998</v>
      </c>
    </row>
    <row r="38" spans="1:56" x14ac:dyDescent="0.25">
      <c r="A38" s="8" t="s">
        <v>82</v>
      </c>
      <c r="B38" s="8" t="s">
        <v>83</v>
      </c>
      <c r="C38" s="8" t="s">
        <v>84</v>
      </c>
      <c r="D38" s="8" t="s">
        <v>85</v>
      </c>
      <c r="E38" s="8" t="s">
        <v>87</v>
      </c>
      <c r="F38" s="8" t="s">
        <v>88</v>
      </c>
      <c r="G38" s="9">
        <v>311532</v>
      </c>
      <c r="H38" s="10">
        <f>INDEX([1]ratio_ins!F:F,MATCH('001_population_health_zone_zs'!$B$2,[1]ratio_ins!$B:$B,0))*$G38*INDEX([1]ratio_ins!$C:$C,MATCH('001_population_health_zone_zs'!$B38,[1]ratio_ins!$B:$B,0))</f>
        <v>32099.322683999995</v>
      </c>
      <c r="I38" s="10">
        <f>INDEX([1]ratio_ins!G:G,MATCH('001_population_health_zone_zs'!$B$2,[1]ratio_ins!$B:$B,0))*$G38*INDEX([1]ratio_ins!$C:$C,MATCH('001_population_health_zone_zs'!$B38,[1]ratio_ins!$B:$B,0))</f>
        <v>26263.082195999999</v>
      </c>
      <c r="J38" s="10">
        <f>INDEX([1]ratio_ins!H:H,MATCH('001_population_health_zone_zs'!$B$2,[1]ratio_ins!$B:$B,0))*$G38*INDEX([1]ratio_ins!$C:$C,MATCH('001_population_health_zone_zs'!$B38,[1]ratio_ins!$B:$B,0))</f>
        <v>20734.01226</v>
      </c>
      <c r="K38" s="10">
        <f>INDEX([1]ratio_ins!I:I,MATCH('001_population_health_zone_zs'!$B$2,[1]ratio_ins!$B:$B,0))*$G38*INDEX([1]ratio_ins!$C:$C,MATCH('001_population_health_zone_zs'!$B38,[1]ratio_ins!$B:$B,0))</f>
        <v>12747.577908000001</v>
      </c>
      <c r="L38" s="10">
        <f>INDEX([1]ratio_ins!J:J,MATCH('001_population_health_zone_zs'!$B$2,[1]ratio_ins!$B:$B,0))*$G38*INDEX([1]ratio_ins!$C:$C,MATCH('001_population_health_zone_zs'!$B38,[1]ratio_ins!$B:$B,0))</f>
        <v>7648.546744799999</v>
      </c>
      <c r="M38" s="11">
        <f>INDEX([1]ratio_ins!K:K,MATCH('001_population_health_zone_zs'!$B$2,[1]ratio_ins!$B:$B,0))*$G38*INDEX([1]ratio_ins!$C:$C,MATCH('001_population_health_zone_zs'!$B38,[1]ratio_ins!$B:$B,0))</f>
        <v>86744.963884799989</v>
      </c>
      <c r="N38" s="10">
        <f>INDEX([1]ratio_ins!L:L,MATCH('001_population_health_zone_zs'!$B$2,[1]ratio_ins!$B:$B,0))*$G38*INDEX([1]ratio_ins!$C:$C,MATCH('001_population_health_zone_zs'!$B38,[1]ratio_ins!$B:$B,0))</f>
        <v>5099.0311632000003</v>
      </c>
      <c r="O38" s="10">
        <f>INDEX([1]ratio_ins!M:M,MATCH('001_population_health_zone_zs'!$B$2,[1]ratio_ins!$B:$B,0))*$G38*INDEX([1]ratio_ins!$C:$C,MATCH('001_population_health_zone_zs'!$B38,[1]ratio_ins!$B:$B,0))</f>
        <v>11058.139872000002</v>
      </c>
      <c r="P38" s="10">
        <f>INDEX([1]ratio_ins!N:N,MATCH('001_population_health_zone_zs'!$B$2,[1]ratio_ins!$B:$B,0))*$G38*INDEX([1]ratio_ins!$C:$C,MATCH('001_population_health_zone_zs'!$B38,[1]ratio_ins!$B:$B,0))</f>
        <v>9983.0429400000012</v>
      </c>
      <c r="Q38" s="10">
        <f>INDEX([1]ratio_ins!O:O,MATCH('001_population_health_zone_zs'!$B$2,[1]ratio_ins!$B:$B,0))*$G38*INDEX([1]ratio_ins!$C:$C,MATCH('001_population_health_zone_zs'!$B38,[1]ratio_ins!$B:$B,0))</f>
        <v>8907.946007999999</v>
      </c>
      <c r="R38" s="10">
        <f>INDEX([1]ratio_ins!P:P,MATCH('001_population_health_zone_zs'!$B$2,[1]ratio_ins!$B:$B,0))*$G38*INDEX([1]ratio_ins!$C:$C,MATCH('001_population_health_zone_zs'!$B38,[1]ratio_ins!$B:$B,0))</f>
        <v>8754.360732000001</v>
      </c>
      <c r="S38" s="10">
        <f>INDEX([1]ratio_ins!Q:Q,MATCH('001_population_health_zone_zs'!$B$2,[1]ratio_ins!$B:$B,0))*$G38*INDEX([1]ratio_ins!$C:$C,MATCH('001_population_health_zone_zs'!$B38,[1]ratio_ins!$B:$B,0))</f>
        <v>7372.0932480000001</v>
      </c>
      <c r="T38" s="10">
        <f>INDEX([1]ratio_ins!R:R,MATCH('001_population_health_zone_zs'!$B$2,[1]ratio_ins!$B:$B,0))*$G38*INDEX([1]ratio_ins!$C:$C,MATCH('001_population_health_zone_zs'!$B38,[1]ratio_ins!$B:$B,0))</f>
        <v>5221.8993840000003</v>
      </c>
      <c r="U38" s="10">
        <f>INDEX([1]ratio_ins!S:S,MATCH('001_population_health_zone_zs'!$B$2,[1]ratio_ins!$B:$B,0))*$G38*INDEX([1]ratio_ins!$C:$C,MATCH('001_population_health_zone_zs'!$B38,[1]ratio_ins!$B:$B,0))</f>
        <v>4146.8024520000008</v>
      </c>
      <c r="V38" s="10">
        <f>INDEX([1]ratio_ins!T:T,MATCH('001_population_health_zone_zs'!$B$2,[1]ratio_ins!$B:$B,0))*$G38*INDEX([1]ratio_ins!$C:$C,MATCH('001_population_health_zone_zs'!$B38,[1]ratio_ins!$B:$B,0))</f>
        <v>2303.7791399999996</v>
      </c>
      <c r="W38" s="11">
        <f>INDEX([1]ratio_ins!U:U,MATCH('001_population_health_zone_zs'!$B$2,[1]ratio_ins!$B:$B,0))*$G38*INDEX([1]ratio_ins!$C:$C,MATCH('001_population_health_zone_zs'!$B38,[1]ratio_ins!$B:$B,0))</f>
        <v>62847.094939200004</v>
      </c>
      <c r="X38" s="10">
        <f>INDEX([1]ratio_ins!V:V,MATCH('001_population_health_zone_zs'!$B$2,[1]ratio_ins!$B:$B,0))*$G38*INDEX([1]ratio_ins!$C:$C,MATCH('001_population_health_zone_zs'!$B38,[1]ratio_ins!$B:$B,0))</f>
        <v>1843.023312</v>
      </c>
      <c r="Y38" s="10">
        <f>INDEX([1]ratio_ins!W:W,MATCH('001_population_health_zone_zs'!$B$2,[1]ratio_ins!$B:$B,0))*$G38*INDEX([1]ratio_ins!$C:$C,MATCH('001_population_health_zone_zs'!$B38,[1]ratio_ins!$B:$B,0))</f>
        <v>1228.6822079999999</v>
      </c>
      <c r="Z38" s="10">
        <f>INDEX([1]ratio_ins!X:X,MATCH('001_population_health_zone_zs'!$B$2,[1]ratio_ins!$B:$B,0))*$G38*INDEX([1]ratio_ins!$C:$C,MATCH('001_population_health_zone_zs'!$B38,[1]ratio_ins!$B:$B,0))</f>
        <v>614.34110399999997</v>
      </c>
      <c r="AA38" s="10">
        <f>INDEX([1]ratio_ins!Y:Y,MATCH('001_population_health_zone_zs'!$B$2,[1]ratio_ins!$B:$B,0))*$G38*INDEX([1]ratio_ins!$C:$C,MATCH('001_population_health_zone_zs'!$B38,[1]ratio_ins!$B:$B,0))</f>
        <v>307.17055199999999</v>
      </c>
      <c r="AB38" s="11">
        <f>INDEX([1]ratio_ins!Z:Z,MATCH('001_population_health_zone_zs'!$B$2,[1]ratio_ins!$B:$B,0))*$G38*INDEX([1]ratio_ins!$C:$C,MATCH('001_population_health_zone_zs'!$B38,[1]ratio_ins!$B:$B,0))</f>
        <v>3993.2171760000001</v>
      </c>
      <c r="AC38" s="12">
        <f t="shared" si="0"/>
        <v>153585.27600000001</v>
      </c>
      <c r="AD38" s="10">
        <f>INDEX([1]ratio_ins!AA:AA,MATCH('001_population_health_zone_zs'!$B$2,[1]ratio_ins!$B:$B,0))*$G38*INDEX([1]ratio_ins!$D:$D,MATCH('001_population_health_zone_zs'!$B38,[1]ratio_ins!$B:$B,0))</f>
        <v>33168.812040000004</v>
      </c>
      <c r="AE38" s="10">
        <f>INDEX([1]ratio_ins!AB:AB,MATCH('001_population_health_zone_zs'!$B$2,[1]ratio_ins!$B:$B,0))*$G38*INDEX([1]ratio_ins!$D:$D,MATCH('001_population_health_zone_zs'!$B38,[1]ratio_ins!$B:$B,0))</f>
        <v>27324.783252000005</v>
      </c>
      <c r="AF38" s="10">
        <f>INDEX([1]ratio_ins!AC:AC,MATCH('001_population_health_zone_zs'!$B$2,[1]ratio_ins!$B:$B,0))*$G38*INDEX([1]ratio_ins!$D:$D,MATCH('001_population_health_zone_zs'!$B38,[1]ratio_ins!$B:$B,0))</f>
        <v>21638.701187999999</v>
      </c>
      <c r="AG38" s="10">
        <f>INDEX([1]ratio_ins!AD:AD,MATCH('001_population_health_zone_zs'!$B$2,[1]ratio_ins!$B:$B,0))*$G38*INDEX([1]ratio_ins!$D:$D,MATCH('001_population_health_zone_zs'!$B38,[1]ratio_ins!$B:$B,0))</f>
        <v>13109.578092000002</v>
      </c>
      <c r="AH38" s="10">
        <f>INDEX([1]ratio_ins!AE:AE,MATCH('001_population_health_zone_zs'!$B$2,[1]ratio_ins!$B:$B,0))*$G38*INDEX([1]ratio_ins!$D:$D,MATCH('001_population_health_zone_zs'!$B38,[1]ratio_ins!$B:$B,0))</f>
        <v>7865.7468552</v>
      </c>
      <c r="AI38" s="13">
        <f>INDEX([1]ratio_ins!AF:AF,MATCH('001_population_health_zone_zs'!$B$2,[1]ratio_ins!$B:$B,0))*$G38*INDEX([1]ratio_ins!$D:$D,MATCH('001_population_health_zone_zs'!$B38,[1]ratio_ins!$B:$B,0))</f>
        <v>89998.043335199996</v>
      </c>
      <c r="AJ38" s="10">
        <f>INDEX([1]ratio_ins!AG:AG,MATCH('001_population_health_zone_zs'!$B$2,[1]ratio_ins!$B:$B,0))*$G38*INDEX([1]ratio_ins!$D:$D,MATCH('001_population_health_zone_zs'!$B38,[1]ratio_ins!$B:$B,0))</f>
        <v>5243.8312367999997</v>
      </c>
      <c r="AK38" s="10">
        <f>INDEX([1]ratio_ins!AH:AH,MATCH('001_population_health_zone_zs'!$B$2,[1]ratio_ins!$B:$B,0))*$G38*INDEX([1]ratio_ins!$D:$D,MATCH('001_population_health_zone_zs'!$B38,[1]ratio_ins!$B:$B,0))</f>
        <v>11688.057576000001</v>
      </c>
      <c r="AL38" s="10">
        <f>INDEX([1]ratio_ins!AI:AI,MATCH('001_population_health_zone_zs'!$B$2,[1]ratio_ins!$B:$B,0))*$G38*INDEX([1]ratio_ins!$D:$D,MATCH('001_population_health_zone_zs'!$B38,[1]ratio_ins!$B:$B,0))</f>
        <v>11056.270680000001</v>
      </c>
      <c r="AM38" s="10">
        <f>INDEX([1]ratio_ins!AJ:AJ,MATCH('001_population_health_zone_zs'!$B$2,[1]ratio_ins!$B:$B,0))*$G38*INDEX([1]ratio_ins!$D:$D,MATCH('001_population_health_zone_zs'!$B38,[1]ratio_ins!$B:$B,0))</f>
        <v>10108.590335999999</v>
      </c>
      <c r="AN38" s="10">
        <f>INDEX([1]ratio_ins!AK:AK,MATCH('001_population_health_zone_zs'!$B$2,[1]ratio_ins!$B:$B,0))*$G38*INDEX([1]ratio_ins!$D:$D,MATCH('001_population_health_zone_zs'!$B38,[1]ratio_ins!$B:$B,0))</f>
        <v>9476.8034399999997</v>
      </c>
      <c r="AO38" s="10">
        <f>INDEX([1]ratio_ins!AL:AL,MATCH('001_population_health_zone_zs'!$B$2,[1]ratio_ins!$B:$B,0))*$G38*INDEX([1]ratio_ins!$D:$D,MATCH('001_population_health_zone_zs'!$B38,[1]ratio_ins!$B:$B,0))</f>
        <v>7107.6025799999998</v>
      </c>
      <c r="AP38" s="10">
        <f>INDEX([1]ratio_ins!AM:AM,MATCH('001_population_health_zone_zs'!$B$2,[1]ratio_ins!$B:$B,0))*$G38*INDEX([1]ratio_ins!$D:$D,MATCH('001_population_health_zone_zs'!$B38,[1]ratio_ins!$B:$B,0))</f>
        <v>4580.4549960000004</v>
      </c>
      <c r="AQ38" s="10">
        <f>INDEX([1]ratio_ins!AN:AN,MATCH('001_population_health_zone_zs'!$B$2,[1]ratio_ins!$B:$B,0))*$G38*INDEX([1]ratio_ins!$D:$D,MATCH('001_population_health_zone_zs'!$B38,[1]ratio_ins!$B:$B,0))</f>
        <v>3632.7746520000001</v>
      </c>
      <c r="AR38" s="10">
        <f>INDEX([1]ratio_ins!AO:AO,MATCH('001_population_health_zone_zs'!$B$2,[1]ratio_ins!$B:$B,0))*$G38*INDEX([1]ratio_ins!$D:$D,MATCH('001_population_health_zone_zs'!$B38,[1]ratio_ins!$B:$B,0))</f>
        <v>1737.4139640000001</v>
      </c>
      <c r="AS38" s="13">
        <f>INDEX([1]ratio_ins!AP:AP,MATCH('001_population_health_zone_zs'!$B$2,[1]ratio_ins!$B:$B,0))*$G38*INDEX([1]ratio_ins!$D:$D,MATCH('001_population_health_zone_zs'!$B38,[1]ratio_ins!$B:$B,0))</f>
        <v>64631.799460800001</v>
      </c>
      <c r="AT38" s="10">
        <f>INDEX([1]ratio_ins!AQ:AQ,MATCH('001_population_health_zone_zs'!$B$2,[1]ratio_ins!$B:$B,0))*$G38*INDEX([1]ratio_ins!$D:$D,MATCH('001_population_health_zone_zs'!$B38,[1]ratio_ins!$B:$B,0))</f>
        <v>1579.4672400000002</v>
      </c>
      <c r="AU38" s="10">
        <f>INDEX([1]ratio_ins!AR:AR,MATCH('001_population_health_zone_zs'!$B$2,[1]ratio_ins!$B:$B,0))*$G38*INDEX([1]ratio_ins!$D:$D,MATCH('001_population_health_zone_zs'!$B38,[1]ratio_ins!$B:$B,0))</f>
        <v>947.68034399999999</v>
      </c>
      <c r="AV38" s="10">
        <f>INDEX([1]ratio_ins!AS:AS,MATCH('001_population_health_zone_zs'!$B$2,[1]ratio_ins!$B:$B,0))*$G38*INDEX([1]ratio_ins!$D:$D,MATCH('001_population_health_zone_zs'!$B38,[1]ratio_ins!$B:$B,0))</f>
        <v>473.840172</v>
      </c>
      <c r="AW38" s="10">
        <f>INDEX([1]ratio_ins!AT:AT,MATCH('001_population_health_zone_zs'!$B$2,[1]ratio_ins!$B:$B,0))*$G38*INDEX([1]ratio_ins!$D:$D,MATCH('001_population_health_zone_zs'!$B38,[1]ratio_ins!$B:$B,0))</f>
        <v>315.89344799999998</v>
      </c>
      <c r="AX38" s="13">
        <f>INDEX([1]ratio_ins!AU:AU,MATCH('001_population_health_zone_zs'!$B$2,[1]ratio_ins!$B:$B,0))*$G38*INDEX([1]ratio_ins!$D:$D,MATCH('001_population_health_zone_zs'!$B38,[1]ratio_ins!$B:$B,0))</f>
        <v>3316.8812039999998</v>
      </c>
      <c r="AY38" s="14">
        <f t="shared" si="1"/>
        <v>157946.72400000002</v>
      </c>
      <c r="AZ38" s="15">
        <f t="shared" si="2"/>
        <v>311532</v>
      </c>
      <c r="BA38" s="16">
        <v>298855.02250472817</v>
      </c>
      <c r="BB38" s="10">
        <f t="shared" si="3"/>
        <v>67127.357699999993</v>
      </c>
      <c r="BC38" s="17">
        <f t="shared" si="4"/>
        <v>0.21547499999999997</v>
      </c>
      <c r="BD38" s="10">
        <f t="shared" si="5"/>
        <v>64045.060092</v>
      </c>
    </row>
    <row r="39" spans="1:56" x14ac:dyDescent="0.25">
      <c r="A39" s="8" t="s">
        <v>82</v>
      </c>
      <c r="B39" s="8" t="s">
        <v>83</v>
      </c>
      <c r="C39" s="8" t="s">
        <v>89</v>
      </c>
      <c r="D39" s="8" t="s">
        <v>90</v>
      </c>
      <c r="E39" s="8" t="s">
        <v>89</v>
      </c>
      <c r="F39" s="8" t="s">
        <v>91</v>
      </c>
      <c r="G39" s="9">
        <v>347569</v>
      </c>
      <c r="H39" s="10">
        <f>INDEX([1]ratio_ins!F:F,MATCH('001_population_health_zone_zs'!$B$2,[1]ratio_ins!$B:$B,0))*$G39*INDEX([1]ratio_ins!$C:$C,MATCH('001_population_health_zone_zs'!$B39,[1]ratio_ins!$B:$B,0))</f>
        <v>35812.467053</v>
      </c>
      <c r="I39" s="10">
        <f>INDEX([1]ratio_ins!G:G,MATCH('001_population_health_zone_zs'!$B$2,[1]ratio_ins!$B:$B,0))*$G39*INDEX([1]ratio_ins!$C:$C,MATCH('001_population_health_zone_zs'!$B39,[1]ratio_ins!$B:$B,0))</f>
        <v>29301.109407000004</v>
      </c>
      <c r="J39" s="10">
        <f>INDEX([1]ratio_ins!H:H,MATCH('001_population_health_zone_zs'!$B$2,[1]ratio_ins!$B:$B,0))*$G39*INDEX([1]ratio_ins!$C:$C,MATCH('001_population_health_zone_zs'!$B39,[1]ratio_ins!$B:$B,0))</f>
        <v>23132.454795000001</v>
      </c>
      <c r="K39" s="10">
        <f>INDEX([1]ratio_ins!I:I,MATCH('001_population_health_zone_zs'!$B$2,[1]ratio_ins!$B:$B,0))*$G39*INDEX([1]ratio_ins!$C:$C,MATCH('001_population_health_zone_zs'!$B39,[1]ratio_ins!$B:$B,0))</f>
        <v>14222.175911</v>
      </c>
      <c r="L39" s="10">
        <f>INDEX([1]ratio_ins!J:J,MATCH('001_population_health_zone_zs'!$B$2,[1]ratio_ins!$B:$B,0))*$G39*INDEX([1]ratio_ins!$C:$C,MATCH('001_population_health_zone_zs'!$B39,[1]ratio_ins!$B:$B,0))</f>
        <v>8533.3055466000005</v>
      </c>
      <c r="M39" s="11">
        <f>INDEX([1]ratio_ins!K:K,MATCH('001_population_health_zone_zs'!$B$2,[1]ratio_ins!$B:$B,0))*$G39*INDEX([1]ratio_ins!$C:$C,MATCH('001_population_health_zone_zs'!$B39,[1]ratio_ins!$B:$B,0))</f>
        <v>96779.336801600002</v>
      </c>
      <c r="N39" s="10">
        <f>INDEX([1]ratio_ins!L:L,MATCH('001_population_health_zone_zs'!$B$2,[1]ratio_ins!$B:$B,0))*$G39*INDEX([1]ratio_ins!$C:$C,MATCH('001_population_health_zone_zs'!$B39,[1]ratio_ins!$B:$B,0))</f>
        <v>5688.8703644000007</v>
      </c>
      <c r="O39" s="10">
        <f>INDEX([1]ratio_ins!M:M,MATCH('001_population_health_zone_zs'!$B$2,[1]ratio_ins!$B:$B,0))*$G39*INDEX([1]ratio_ins!$C:$C,MATCH('001_population_health_zone_zs'!$B39,[1]ratio_ins!$B:$B,0))</f>
        <v>12337.309224000002</v>
      </c>
      <c r="P39" s="10">
        <f>INDEX([1]ratio_ins!N:N,MATCH('001_population_health_zone_zs'!$B$2,[1]ratio_ins!$B:$B,0))*$G39*INDEX([1]ratio_ins!$C:$C,MATCH('001_population_health_zone_zs'!$B39,[1]ratio_ins!$B:$B,0))</f>
        <v>11137.848605000001</v>
      </c>
      <c r="Q39" s="10">
        <f>INDEX([1]ratio_ins!O:O,MATCH('001_population_health_zone_zs'!$B$2,[1]ratio_ins!$B:$B,0))*$G39*INDEX([1]ratio_ins!$C:$C,MATCH('001_population_health_zone_zs'!$B39,[1]ratio_ins!$B:$B,0))</f>
        <v>9938.3879859999997</v>
      </c>
      <c r="R39" s="10">
        <f>INDEX([1]ratio_ins!P:P,MATCH('001_population_health_zone_zs'!$B$2,[1]ratio_ins!$B:$B,0))*$G39*INDEX([1]ratio_ins!$C:$C,MATCH('001_population_health_zone_zs'!$B39,[1]ratio_ins!$B:$B,0))</f>
        <v>9767.0364690000006</v>
      </c>
      <c r="S39" s="10">
        <f>INDEX([1]ratio_ins!Q:Q,MATCH('001_population_health_zone_zs'!$B$2,[1]ratio_ins!$B:$B,0))*$G39*INDEX([1]ratio_ins!$C:$C,MATCH('001_population_health_zone_zs'!$B39,[1]ratio_ins!$B:$B,0))</f>
        <v>8224.872816000001</v>
      </c>
      <c r="T39" s="10">
        <f>INDEX([1]ratio_ins!R:R,MATCH('001_population_health_zone_zs'!$B$2,[1]ratio_ins!$B:$B,0))*$G39*INDEX([1]ratio_ins!$C:$C,MATCH('001_population_health_zone_zs'!$B39,[1]ratio_ins!$B:$B,0))</f>
        <v>5825.9515780000002</v>
      </c>
      <c r="U39" s="10">
        <f>INDEX([1]ratio_ins!S:S,MATCH('001_population_health_zone_zs'!$B$2,[1]ratio_ins!$B:$B,0))*$G39*INDEX([1]ratio_ins!$C:$C,MATCH('001_population_health_zone_zs'!$B39,[1]ratio_ins!$B:$B,0))</f>
        <v>4626.4909590000007</v>
      </c>
      <c r="V39" s="10">
        <f>INDEX([1]ratio_ins!T:T,MATCH('001_population_health_zone_zs'!$B$2,[1]ratio_ins!$B:$B,0))*$G39*INDEX([1]ratio_ins!$C:$C,MATCH('001_population_health_zone_zs'!$B39,[1]ratio_ins!$B:$B,0))</f>
        <v>2570.272755</v>
      </c>
      <c r="W39" s="11">
        <f>INDEX([1]ratio_ins!U:U,MATCH('001_population_health_zone_zs'!$B$2,[1]ratio_ins!$B:$B,0))*$G39*INDEX([1]ratio_ins!$C:$C,MATCH('001_population_health_zone_zs'!$B39,[1]ratio_ins!$B:$B,0))</f>
        <v>70117.040756400005</v>
      </c>
      <c r="X39" s="10">
        <f>INDEX([1]ratio_ins!V:V,MATCH('001_population_health_zone_zs'!$B$2,[1]ratio_ins!$B:$B,0))*$G39*INDEX([1]ratio_ins!$C:$C,MATCH('001_population_health_zone_zs'!$B39,[1]ratio_ins!$B:$B,0))</f>
        <v>2056.2182040000002</v>
      </c>
      <c r="Y39" s="10">
        <f>INDEX([1]ratio_ins!W:W,MATCH('001_population_health_zone_zs'!$B$2,[1]ratio_ins!$B:$B,0))*$G39*INDEX([1]ratio_ins!$C:$C,MATCH('001_population_health_zone_zs'!$B39,[1]ratio_ins!$B:$B,0))</f>
        <v>1370.812136</v>
      </c>
      <c r="Z39" s="10">
        <f>INDEX([1]ratio_ins!X:X,MATCH('001_population_health_zone_zs'!$B$2,[1]ratio_ins!$B:$B,0))*$G39*INDEX([1]ratio_ins!$C:$C,MATCH('001_population_health_zone_zs'!$B39,[1]ratio_ins!$B:$B,0))</f>
        <v>685.406068</v>
      </c>
      <c r="AA39" s="10">
        <f>INDEX([1]ratio_ins!Y:Y,MATCH('001_population_health_zone_zs'!$B$2,[1]ratio_ins!$B:$B,0))*$G39*INDEX([1]ratio_ins!$C:$C,MATCH('001_population_health_zone_zs'!$B39,[1]ratio_ins!$B:$B,0))</f>
        <v>342.703034</v>
      </c>
      <c r="AB39" s="11">
        <f>INDEX([1]ratio_ins!Z:Z,MATCH('001_population_health_zone_zs'!$B$2,[1]ratio_ins!$B:$B,0))*$G39*INDEX([1]ratio_ins!$C:$C,MATCH('001_population_health_zone_zs'!$B39,[1]ratio_ins!$B:$B,0))</f>
        <v>4455.1394420000006</v>
      </c>
      <c r="AC39" s="12">
        <f t="shared" si="0"/>
        <v>171351.51700000002</v>
      </c>
      <c r="AD39" s="10">
        <f>INDEX([1]ratio_ins!AA:AA,MATCH('001_population_health_zone_zs'!$B$2,[1]ratio_ins!$B:$B,0))*$G39*INDEX([1]ratio_ins!$D:$D,MATCH('001_population_health_zone_zs'!$B39,[1]ratio_ins!$B:$B,0))</f>
        <v>37005.671429999995</v>
      </c>
      <c r="AE39" s="10">
        <f>INDEX([1]ratio_ins!AB:AB,MATCH('001_population_health_zone_zs'!$B$2,[1]ratio_ins!$B:$B,0))*$G39*INDEX([1]ratio_ins!$D:$D,MATCH('001_population_health_zone_zs'!$B39,[1]ratio_ins!$B:$B,0))</f>
        <v>30485.624559000004</v>
      </c>
      <c r="AF39" s="10">
        <f>INDEX([1]ratio_ins!AC:AC,MATCH('001_population_health_zone_zs'!$B$2,[1]ratio_ins!$B:$B,0))*$G39*INDEX([1]ratio_ins!$D:$D,MATCH('001_population_health_zone_zs'!$B39,[1]ratio_ins!$B:$B,0))</f>
        <v>24141.795170999998</v>
      </c>
      <c r="AG39" s="10">
        <f>INDEX([1]ratio_ins!AD:AD,MATCH('001_population_health_zone_zs'!$B$2,[1]ratio_ins!$B:$B,0))*$G39*INDEX([1]ratio_ins!$D:$D,MATCH('001_population_health_zone_zs'!$B39,[1]ratio_ins!$B:$B,0))</f>
        <v>14626.051089000002</v>
      </c>
      <c r="AH39" s="10">
        <f>INDEX([1]ratio_ins!AE:AE,MATCH('001_population_health_zone_zs'!$B$2,[1]ratio_ins!$B:$B,0))*$G39*INDEX([1]ratio_ins!$D:$D,MATCH('001_population_health_zone_zs'!$B39,[1]ratio_ins!$B:$B,0))</f>
        <v>8775.6306533999996</v>
      </c>
      <c r="AI39" s="13">
        <f>INDEX([1]ratio_ins!AF:AF,MATCH('001_population_health_zone_zs'!$B$2,[1]ratio_ins!$B:$B,0))*$G39*INDEX([1]ratio_ins!$D:$D,MATCH('001_population_health_zone_zs'!$B39,[1]ratio_ins!$B:$B,0))</f>
        <v>100408.7218134</v>
      </c>
      <c r="AJ39" s="10">
        <f>INDEX([1]ratio_ins!AG:AG,MATCH('001_population_health_zone_zs'!$B$2,[1]ratio_ins!$B:$B,0))*$G39*INDEX([1]ratio_ins!$D:$D,MATCH('001_population_health_zone_zs'!$B39,[1]ratio_ins!$B:$B,0))</f>
        <v>5850.4204356</v>
      </c>
      <c r="AK39" s="10">
        <f>INDEX([1]ratio_ins!AH:AH,MATCH('001_population_health_zone_zs'!$B$2,[1]ratio_ins!$B:$B,0))*$G39*INDEX([1]ratio_ins!$D:$D,MATCH('001_population_health_zone_zs'!$B39,[1]ratio_ins!$B:$B,0))</f>
        <v>13040.093742000003</v>
      </c>
      <c r="AL39" s="10">
        <f>INDEX([1]ratio_ins!AI:AI,MATCH('001_population_health_zone_zs'!$B$2,[1]ratio_ins!$B:$B,0))*$G39*INDEX([1]ratio_ins!$D:$D,MATCH('001_population_health_zone_zs'!$B39,[1]ratio_ins!$B:$B,0))</f>
        <v>12335.223810000001</v>
      </c>
      <c r="AM39" s="10">
        <f>INDEX([1]ratio_ins!AJ:AJ,MATCH('001_population_health_zone_zs'!$B$2,[1]ratio_ins!$B:$B,0))*$G39*INDEX([1]ratio_ins!$D:$D,MATCH('001_population_health_zone_zs'!$B39,[1]ratio_ins!$B:$B,0))</f>
        <v>11277.918912000001</v>
      </c>
      <c r="AN39" s="10">
        <f>INDEX([1]ratio_ins!AK:AK,MATCH('001_population_health_zone_zs'!$B$2,[1]ratio_ins!$B:$B,0))*$G39*INDEX([1]ratio_ins!$D:$D,MATCH('001_population_health_zone_zs'!$B39,[1]ratio_ins!$B:$B,0))</f>
        <v>10573.04898</v>
      </c>
      <c r="AO39" s="10">
        <f>INDEX([1]ratio_ins!AL:AL,MATCH('001_population_health_zone_zs'!$B$2,[1]ratio_ins!$B:$B,0))*$G39*INDEX([1]ratio_ins!$D:$D,MATCH('001_population_health_zone_zs'!$B39,[1]ratio_ins!$B:$B,0))</f>
        <v>7929.7867349999997</v>
      </c>
      <c r="AP39" s="10">
        <f>INDEX([1]ratio_ins!AM:AM,MATCH('001_population_health_zone_zs'!$B$2,[1]ratio_ins!$B:$B,0))*$G39*INDEX([1]ratio_ins!$D:$D,MATCH('001_population_health_zone_zs'!$B39,[1]ratio_ins!$B:$B,0))</f>
        <v>5110.3070070000003</v>
      </c>
      <c r="AQ39" s="10">
        <f>INDEX([1]ratio_ins!AN:AN,MATCH('001_population_health_zone_zs'!$B$2,[1]ratio_ins!$B:$B,0))*$G39*INDEX([1]ratio_ins!$D:$D,MATCH('001_population_health_zone_zs'!$B39,[1]ratio_ins!$B:$B,0))</f>
        <v>4053.002109</v>
      </c>
      <c r="AR39" s="10">
        <f>INDEX([1]ratio_ins!AO:AO,MATCH('001_population_health_zone_zs'!$B$2,[1]ratio_ins!$B:$B,0))*$G39*INDEX([1]ratio_ins!$D:$D,MATCH('001_population_health_zone_zs'!$B39,[1]ratio_ins!$B:$B,0))</f>
        <v>1938.3923130000003</v>
      </c>
      <c r="AS39" s="13">
        <f>INDEX([1]ratio_ins!AP:AP,MATCH('001_population_health_zone_zs'!$B$2,[1]ratio_ins!$B:$B,0))*$G39*INDEX([1]ratio_ins!$D:$D,MATCH('001_population_health_zone_zs'!$B39,[1]ratio_ins!$B:$B,0))</f>
        <v>72108.1940436</v>
      </c>
      <c r="AT39" s="10">
        <f>INDEX([1]ratio_ins!AQ:AQ,MATCH('001_population_health_zone_zs'!$B$2,[1]ratio_ins!$B:$B,0))*$G39*INDEX([1]ratio_ins!$D:$D,MATCH('001_population_health_zone_zs'!$B39,[1]ratio_ins!$B:$B,0))</f>
        <v>1762.1748300000002</v>
      </c>
      <c r="AU39" s="10">
        <f>INDEX([1]ratio_ins!AR:AR,MATCH('001_population_health_zone_zs'!$B$2,[1]ratio_ins!$B:$B,0))*$G39*INDEX([1]ratio_ins!$D:$D,MATCH('001_population_health_zone_zs'!$B39,[1]ratio_ins!$B:$B,0))</f>
        <v>1057.3048980000001</v>
      </c>
      <c r="AV39" s="10">
        <f>INDEX([1]ratio_ins!AS:AS,MATCH('001_population_health_zone_zs'!$B$2,[1]ratio_ins!$B:$B,0))*$G39*INDEX([1]ratio_ins!$D:$D,MATCH('001_population_health_zone_zs'!$B39,[1]ratio_ins!$B:$B,0))</f>
        <v>528.65244900000005</v>
      </c>
      <c r="AW39" s="10">
        <f>INDEX([1]ratio_ins!AT:AT,MATCH('001_population_health_zone_zs'!$B$2,[1]ratio_ins!$B:$B,0))*$G39*INDEX([1]ratio_ins!$D:$D,MATCH('001_population_health_zone_zs'!$B39,[1]ratio_ins!$B:$B,0))</f>
        <v>352.43496600000003</v>
      </c>
      <c r="AX39" s="13">
        <f>INDEX([1]ratio_ins!AU:AU,MATCH('001_population_health_zone_zs'!$B$2,[1]ratio_ins!$B:$B,0))*$G39*INDEX([1]ratio_ins!$D:$D,MATCH('001_population_health_zone_zs'!$B39,[1]ratio_ins!$B:$B,0))</f>
        <v>3700.5671429999998</v>
      </c>
      <c r="AY39" s="14">
        <f t="shared" si="1"/>
        <v>176217.48299999998</v>
      </c>
      <c r="AZ39" s="15">
        <f t="shared" si="2"/>
        <v>347569</v>
      </c>
      <c r="BA39" s="16">
        <v>333425.74430132715</v>
      </c>
      <c r="BB39" s="10">
        <f t="shared" si="3"/>
        <v>74892.430275000006</v>
      </c>
      <c r="BC39" s="17">
        <f t="shared" si="4"/>
        <v>0.21547500000000003</v>
      </c>
      <c r="BD39" s="10">
        <f t="shared" si="5"/>
        <v>71453.582588999998</v>
      </c>
    </row>
    <row r="40" spans="1:56" x14ac:dyDescent="0.25">
      <c r="A40" s="8" t="s">
        <v>82</v>
      </c>
      <c r="B40" s="8" t="s">
        <v>83</v>
      </c>
      <c r="C40" s="8" t="s">
        <v>92</v>
      </c>
      <c r="D40" s="8" t="s">
        <v>93</v>
      </c>
      <c r="E40" s="8" t="s">
        <v>94</v>
      </c>
      <c r="F40" s="8" t="s">
        <v>95</v>
      </c>
      <c r="G40" s="9">
        <v>174840</v>
      </c>
      <c r="H40" s="10">
        <f>INDEX([1]ratio_ins!F:F,MATCH('001_population_health_zone_zs'!$B$2,[1]ratio_ins!$B:$B,0))*$G40*INDEX([1]ratio_ins!$C:$C,MATCH('001_population_health_zone_zs'!$B40,[1]ratio_ins!$B:$B,0))</f>
        <v>18014.989079999999</v>
      </c>
      <c r="I40" s="10">
        <f>INDEX([1]ratio_ins!G:G,MATCH('001_population_health_zone_zs'!$B$2,[1]ratio_ins!$B:$B,0))*$G40*INDEX([1]ratio_ins!$C:$C,MATCH('001_population_health_zone_zs'!$B40,[1]ratio_ins!$B:$B,0))</f>
        <v>14739.536520000001</v>
      </c>
      <c r="J40" s="10">
        <f>INDEX([1]ratio_ins!H:H,MATCH('001_population_health_zone_zs'!$B$2,[1]ratio_ins!$B:$B,0))*$G40*INDEX([1]ratio_ins!$C:$C,MATCH('001_population_health_zone_zs'!$B40,[1]ratio_ins!$B:$B,0))</f>
        <v>11636.476200000001</v>
      </c>
      <c r="K40" s="10">
        <f>INDEX([1]ratio_ins!I:I,MATCH('001_population_health_zone_zs'!$B$2,[1]ratio_ins!$B:$B,0))*$G40*INDEX([1]ratio_ins!$C:$C,MATCH('001_population_health_zone_zs'!$B40,[1]ratio_ins!$B:$B,0))</f>
        <v>7154.2779600000003</v>
      </c>
      <c r="L40" s="10">
        <f>INDEX([1]ratio_ins!J:J,MATCH('001_population_health_zone_zs'!$B$2,[1]ratio_ins!$B:$B,0))*$G40*INDEX([1]ratio_ins!$C:$C,MATCH('001_population_health_zone_zs'!$B40,[1]ratio_ins!$B:$B,0))</f>
        <v>4292.5667759999997</v>
      </c>
      <c r="M40" s="11">
        <f>INDEX([1]ratio_ins!K:K,MATCH('001_population_health_zone_zs'!$B$2,[1]ratio_ins!$B:$B,0))*$G40*INDEX([1]ratio_ins!$C:$C,MATCH('001_population_health_zone_zs'!$B40,[1]ratio_ins!$B:$B,0))</f>
        <v>48683.568575999998</v>
      </c>
      <c r="N40" s="10">
        <f>INDEX([1]ratio_ins!L:L,MATCH('001_population_health_zone_zs'!$B$2,[1]ratio_ins!$B:$B,0))*$G40*INDEX([1]ratio_ins!$C:$C,MATCH('001_population_health_zone_zs'!$B40,[1]ratio_ins!$B:$B,0))</f>
        <v>2861.7111840000002</v>
      </c>
      <c r="O40" s="10">
        <f>INDEX([1]ratio_ins!M:M,MATCH('001_population_health_zone_zs'!$B$2,[1]ratio_ins!$B:$B,0))*$G40*INDEX([1]ratio_ins!$C:$C,MATCH('001_population_health_zone_zs'!$B40,[1]ratio_ins!$B:$B,0))</f>
        <v>6206.120640000001</v>
      </c>
      <c r="P40" s="10">
        <f>INDEX([1]ratio_ins!N:N,MATCH('001_population_health_zone_zs'!$B$2,[1]ratio_ins!$B:$B,0))*$G40*INDEX([1]ratio_ins!$C:$C,MATCH('001_population_health_zone_zs'!$B40,[1]ratio_ins!$B:$B,0))</f>
        <v>5602.7478000000001</v>
      </c>
      <c r="Q40" s="10">
        <f>INDEX([1]ratio_ins!O:O,MATCH('001_population_health_zone_zs'!$B$2,[1]ratio_ins!$B:$B,0))*$G40*INDEX([1]ratio_ins!$C:$C,MATCH('001_population_health_zone_zs'!$B40,[1]ratio_ins!$B:$B,0))</f>
        <v>4999.3749599999992</v>
      </c>
      <c r="R40" s="10">
        <f>INDEX([1]ratio_ins!P:P,MATCH('001_population_health_zone_zs'!$B$2,[1]ratio_ins!$B:$B,0))*$G40*INDEX([1]ratio_ins!$C:$C,MATCH('001_population_health_zone_zs'!$B40,[1]ratio_ins!$B:$B,0))</f>
        <v>4913.1788400000005</v>
      </c>
      <c r="S40" s="10">
        <f>INDEX([1]ratio_ins!Q:Q,MATCH('001_population_health_zone_zs'!$B$2,[1]ratio_ins!$B:$B,0))*$G40*INDEX([1]ratio_ins!$C:$C,MATCH('001_population_health_zone_zs'!$B40,[1]ratio_ins!$B:$B,0))</f>
        <v>4137.4137599999995</v>
      </c>
      <c r="T40" s="10">
        <f>INDEX([1]ratio_ins!R:R,MATCH('001_population_health_zone_zs'!$B$2,[1]ratio_ins!$B:$B,0))*$G40*INDEX([1]ratio_ins!$C:$C,MATCH('001_population_health_zone_zs'!$B40,[1]ratio_ins!$B:$B,0))</f>
        <v>2930.6680800000004</v>
      </c>
      <c r="U40" s="10">
        <f>INDEX([1]ratio_ins!S:S,MATCH('001_population_health_zone_zs'!$B$2,[1]ratio_ins!$B:$B,0))*$G40*INDEX([1]ratio_ins!$C:$C,MATCH('001_population_health_zone_zs'!$B40,[1]ratio_ins!$B:$B,0))</f>
        <v>2327.2952399999999</v>
      </c>
      <c r="V40" s="10">
        <f>INDEX([1]ratio_ins!T:T,MATCH('001_population_health_zone_zs'!$B$2,[1]ratio_ins!$B:$B,0))*$G40*INDEX([1]ratio_ins!$C:$C,MATCH('001_population_health_zone_zs'!$B40,[1]ratio_ins!$B:$B,0))</f>
        <v>1292.9417999999998</v>
      </c>
      <c r="W40" s="11">
        <f>INDEX([1]ratio_ins!U:U,MATCH('001_population_health_zone_zs'!$B$2,[1]ratio_ins!$B:$B,0))*$G40*INDEX([1]ratio_ins!$C:$C,MATCH('001_population_health_zone_zs'!$B40,[1]ratio_ins!$B:$B,0))</f>
        <v>35271.452304000006</v>
      </c>
      <c r="X40" s="10">
        <f>INDEX([1]ratio_ins!V:V,MATCH('001_population_health_zone_zs'!$B$2,[1]ratio_ins!$B:$B,0))*$G40*INDEX([1]ratio_ins!$C:$C,MATCH('001_population_health_zone_zs'!$B40,[1]ratio_ins!$B:$B,0))</f>
        <v>1034.3534399999999</v>
      </c>
      <c r="Y40" s="10">
        <f>INDEX([1]ratio_ins!W:W,MATCH('001_population_health_zone_zs'!$B$2,[1]ratio_ins!$B:$B,0))*$G40*INDEX([1]ratio_ins!$C:$C,MATCH('001_population_health_zone_zs'!$B40,[1]ratio_ins!$B:$B,0))</f>
        <v>689.56896000000006</v>
      </c>
      <c r="Z40" s="10">
        <f>INDEX([1]ratio_ins!X:X,MATCH('001_population_health_zone_zs'!$B$2,[1]ratio_ins!$B:$B,0))*$G40*INDEX([1]ratio_ins!$C:$C,MATCH('001_population_health_zone_zs'!$B40,[1]ratio_ins!$B:$B,0))</f>
        <v>344.78448000000003</v>
      </c>
      <c r="AA40" s="10">
        <f>INDEX([1]ratio_ins!Y:Y,MATCH('001_population_health_zone_zs'!$B$2,[1]ratio_ins!$B:$B,0))*$G40*INDEX([1]ratio_ins!$C:$C,MATCH('001_population_health_zone_zs'!$B40,[1]ratio_ins!$B:$B,0))</f>
        <v>172.39224000000002</v>
      </c>
      <c r="AB40" s="11">
        <f>INDEX([1]ratio_ins!Z:Z,MATCH('001_population_health_zone_zs'!$B$2,[1]ratio_ins!$B:$B,0))*$G40*INDEX([1]ratio_ins!$C:$C,MATCH('001_population_health_zone_zs'!$B40,[1]ratio_ins!$B:$B,0))</f>
        <v>2241.0991199999999</v>
      </c>
      <c r="AC40" s="12">
        <f t="shared" si="0"/>
        <v>86196.12</v>
      </c>
      <c r="AD40" s="10">
        <f>INDEX([1]ratio_ins!AA:AA,MATCH('001_population_health_zone_zs'!$B$2,[1]ratio_ins!$B:$B,0))*$G40*INDEX([1]ratio_ins!$D:$D,MATCH('001_population_health_zone_zs'!$B40,[1]ratio_ins!$B:$B,0))</f>
        <v>18615.214800000002</v>
      </c>
      <c r="AE40" s="10">
        <f>INDEX([1]ratio_ins!AB:AB,MATCH('001_population_health_zone_zs'!$B$2,[1]ratio_ins!$B:$B,0))*$G40*INDEX([1]ratio_ins!$D:$D,MATCH('001_population_health_zone_zs'!$B40,[1]ratio_ins!$B:$B,0))</f>
        <v>15335.391240000003</v>
      </c>
      <c r="AF40" s="10">
        <f>INDEX([1]ratio_ins!AC:AC,MATCH('001_population_health_zone_zs'!$B$2,[1]ratio_ins!$B:$B,0))*$G40*INDEX([1]ratio_ins!$D:$D,MATCH('001_population_health_zone_zs'!$B40,[1]ratio_ins!$B:$B,0))</f>
        <v>12144.21156</v>
      </c>
      <c r="AG40" s="10">
        <f>INDEX([1]ratio_ins!AD:AD,MATCH('001_population_health_zone_zs'!$B$2,[1]ratio_ins!$B:$B,0))*$G40*INDEX([1]ratio_ins!$D:$D,MATCH('001_population_health_zone_zs'!$B40,[1]ratio_ins!$B:$B,0))</f>
        <v>7357.4420400000008</v>
      </c>
      <c r="AH40" s="10">
        <f>INDEX([1]ratio_ins!AE:AE,MATCH('001_population_health_zone_zs'!$B$2,[1]ratio_ins!$B:$B,0))*$G40*INDEX([1]ratio_ins!$D:$D,MATCH('001_population_health_zone_zs'!$B40,[1]ratio_ins!$B:$B,0))</f>
        <v>4414.4652239999996</v>
      </c>
      <c r="AI40" s="13">
        <f>INDEX([1]ratio_ins!AF:AF,MATCH('001_population_health_zone_zs'!$B$2,[1]ratio_ins!$B:$B,0))*$G40*INDEX([1]ratio_ins!$D:$D,MATCH('001_population_health_zone_zs'!$B40,[1]ratio_ins!$B:$B,0))</f>
        <v>50509.282823999994</v>
      </c>
      <c r="AJ40" s="10">
        <f>INDEX([1]ratio_ins!AG:AG,MATCH('001_population_health_zone_zs'!$B$2,[1]ratio_ins!$B:$B,0))*$G40*INDEX([1]ratio_ins!$D:$D,MATCH('001_population_health_zone_zs'!$B40,[1]ratio_ins!$B:$B,0))</f>
        <v>2942.9768159999999</v>
      </c>
      <c r="AK40" s="10">
        <f>INDEX([1]ratio_ins!AH:AH,MATCH('001_population_health_zone_zs'!$B$2,[1]ratio_ins!$B:$B,0))*$G40*INDEX([1]ratio_ins!$D:$D,MATCH('001_population_health_zone_zs'!$B40,[1]ratio_ins!$B:$B,0))</f>
        <v>6559.6471200000005</v>
      </c>
      <c r="AL40" s="10">
        <f>INDEX([1]ratio_ins!AI:AI,MATCH('001_population_health_zone_zs'!$B$2,[1]ratio_ins!$B:$B,0))*$G40*INDEX([1]ratio_ins!$D:$D,MATCH('001_population_health_zone_zs'!$B40,[1]ratio_ins!$B:$B,0))</f>
        <v>6205.0716000000002</v>
      </c>
      <c r="AM40" s="10">
        <f>INDEX([1]ratio_ins!AJ:AJ,MATCH('001_population_health_zone_zs'!$B$2,[1]ratio_ins!$B:$B,0))*$G40*INDEX([1]ratio_ins!$D:$D,MATCH('001_population_health_zone_zs'!$B40,[1]ratio_ins!$B:$B,0))</f>
        <v>5673.2083199999997</v>
      </c>
      <c r="AN40" s="10">
        <f>INDEX([1]ratio_ins!AK:AK,MATCH('001_population_health_zone_zs'!$B$2,[1]ratio_ins!$B:$B,0))*$G40*INDEX([1]ratio_ins!$D:$D,MATCH('001_population_health_zone_zs'!$B40,[1]ratio_ins!$B:$B,0))</f>
        <v>5318.6328000000003</v>
      </c>
      <c r="AO40" s="10">
        <f>INDEX([1]ratio_ins!AL:AL,MATCH('001_population_health_zone_zs'!$B$2,[1]ratio_ins!$B:$B,0))*$G40*INDEX([1]ratio_ins!$D:$D,MATCH('001_population_health_zone_zs'!$B40,[1]ratio_ins!$B:$B,0))</f>
        <v>3988.9745999999996</v>
      </c>
      <c r="AP40" s="10">
        <f>INDEX([1]ratio_ins!AM:AM,MATCH('001_population_health_zone_zs'!$B$2,[1]ratio_ins!$B:$B,0))*$G40*INDEX([1]ratio_ins!$D:$D,MATCH('001_population_health_zone_zs'!$B40,[1]ratio_ins!$B:$B,0))</f>
        <v>2570.6725200000001</v>
      </c>
      <c r="AQ40" s="10">
        <f>INDEX([1]ratio_ins!AN:AN,MATCH('001_population_health_zone_zs'!$B$2,[1]ratio_ins!$B:$B,0))*$G40*INDEX([1]ratio_ins!$D:$D,MATCH('001_population_health_zone_zs'!$B40,[1]ratio_ins!$B:$B,0))</f>
        <v>2038.8092399999998</v>
      </c>
      <c r="AR40" s="10">
        <f>INDEX([1]ratio_ins!AO:AO,MATCH('001_population_health_zone_zs'!$B$2,[1]ratio_ins!$B:$B,0))*$G40*INDEX([1]ratio_ins!$D:$D,MATCH('001_population_health_zone_zs'!$B40,[1]ratio_ins!$B:$B,0))</f>
        <v>975.0826800000001</v>
      </c>
      <c r="AS40" s="13">
        <f>INDEX([1]ratio_ins!AP:AP,MATCH('001_population_health_zone_zs'!$B$2,[1]ratio_ins!$B:$B,0))*$G40*INDEX([1]ratio_ins!$D:$D,MATCH('001_population_health_zone_zs'!$B40,[1]ratio_ins!$B:$B,0))</f>
        <v>36273.075696</v>
      </c>
      <c r="AT40" s="10">
        <f>INDEX([1]ratio_ins!AQ:AQ,MATCH('001_population_health_zone_zs'!$B$2,[1]ratio_ins!$B:$B,0))*$G40*INDEX([1]ratio_ins!$D:$D,MATCH('001_population_health_zone_zs'!$B40,[1]ratio_ins!$B:$B,0))</f>
        <v>886.43880000000001</v>
      </c>
      <c r="AU40" s="10">
        <f>INDEX([1]ratio_ins!AR:AR,MATCH('001_population_health_zone_zs'!$B$2,[1]ratio_ins!$B:$B,0))*$G40*INDEX([1]ratio_ins!$D:$D,MATCH('001_population_health_zone_zs'!$B40,[1]ratio_ins!$B:$B,0))</f>
        <v>531.86328000000003</v>
      </c>
      <c r="AV40" s="10">
        <f>INDEX([1]ratio_ins!AS:AS,MATCH('001_population_health_zone_zs'!$B$2,[1]ratio_ins!$B:$B,0))*$G40*INDEX([1]ratio_ins!$D:$D,MATCH('001_population_health_zone_zs'!$B40,[1]ratio_ins!$B:$B,0))</f>
        <v>265.93164000000002</v>
      </c>
      <c r="AW40" s="10">
        <f>INDEX([1]ratio_ins!AT:AT,MATCH('001_population_health_zone_zs'!$B$2,[1]ratio_ins!$B:$B,0))*$G40*INDEX([1]ratio_ins!$D:$D,MATCH('001_population_health_zone_zs'!$B40,[1]ratio_ins!$B:$B,0))</f>
        <v>177.28775999999999</v>
      </c>
      <c r="AX40" s="13">
        <f>INDEX([1]ratio_ins!AU:AU,MATCH('001_population_health_zone_zs'!$B$2,[1]ratio_ins!$B:$B,0))*$G40*INDEX([1]ratio_ins!$D:$D,MATCH('001_population_health_zone_zs'!$B40,[1]ratio_ins!$B:$B,0))</f>
        <v>1861.5214799999997</v>
      </c>
      <c r="AY40" s="14">
        <f t="shared" si="1"/>
        <v>88643.87999999999</v>
      </c>
      <c r="AZ40" s="15">
        <f t="shared" si="2"/>
        <v>174840</v>
      </c>
      <c r="BA40" s="16">
        <v>167725.5427931927</v>
      </c>
      <c r="BB40" s="10">
        <f t="shared" si="3"/>
        <v>37673.648999999998</v>
      </c>
      <c r="BC40" s="17">
        <f t="shared" si="4"/>
        <v>0.215475</v>
      </c>
      <c r="BD40" s="10">
        <f t="shared" si="5"/>
        <v>35943.782040000006</v>
      </c>
    </row>
    <row r="41" spans="1:56" x14ac:dyDescent="0.25">
      <c r="A41" s="8" t="s">
        <v>82</v>
      </c>
      <c r="B41" s="8" t="s">
        <v>83</v>
      </c>
      <c r="C41" s="8" t="s">
        <v>92</v>
      </c>
      <c r="D41" s="8" t="s">
        <v>93</v>
      </c>
      <c r="E41" s="8" t="s">
        <v>96</v>
      </c>
      <c r="F41" s="8" t="s">
        <v>97</v>
      </c>
      <c r="G41" s="9">
        <v>212461</v>
      </c>
      <c r="H41" s="10">
        <f>INDEX([1]ratio_ins!F:F,MATCH('001_population_health_zone_zs'!$B$2,[1]ratio_ins!$B:$B,0))*$G41*INDEX([1]ratio_ins!$C:$C,MATCH('001_population_health_zone_zs'!$B41,[1]ratio_ins!$B:$B,0))</f>
        <v>21891.344056999998</v>
      </c>
      <c r="I41" s="10">
        <f>INDEX([1]ratio_ins!G:G,MATCH('001_population_health_zone_zs'!$B$2,[1]ratio_ins!$B:$B,0))*$G41*INDEX([1]ratio_ins!$C:$C,MATCH('001_population_health_zone_zs'!$B41,[1]ratio_ins!$B:$B,0))</f>
        <v>17911.099683000004</v>
      </c>
      <c r="J41" s="10">
        <f>INDEX([1]ratio_ins!H:H,MATCH('001_population_health_zone_zs'!$B$2,[1]ratio_ins!$B:$B,0))*$G41*INDEX([1]ratio_ins!$C:$C,MATCH('001_population_health_zone_zs'!$B41,[1]ratio_ins!$B:$B,0))</f>
        <v>14140.341855000001</v>
      </c>
      <c r="K41" s="10">
        <f>INDEX([1]ratio_ins!I:I,MATCH('001_population_health_zone_zs'!$B$2,[1]ratio_ins!$B:$B,0))*$G41*INDEX([1]ratio_ins!$C:$C,MATCH('001_population_health_zone_zs'!$B41,[1]ratio_ins!$B:$B,0))</f>
        <v>8693.6916590000019</v>
      </c>
      <c r="L41" s="10">
        <f>INDEX([1]ratio_ins!J:J,MATCH('001_population_health_zone_zs'!$B$2,[1]ratio_ins!$B:$B,0))*$G41*INDEX([1]ratio_ins!$C:$C,MATCH('001_population_health_zone_zs'!$B41,[1]ratio_ins!$B:$B,0))</f>
        <v>5216.2149953999997</v>
      </c>
      <c r="M41" s="11">
        <f>INDEX([1]ratio_ins!K:K,MATCH('001_population_health_zone_zs'!$B$2,[1]ratio_ins!$B:$B,0))*$G41*INDEX([1]ratio_ins!$C:$C,MATCH('001_population_health_zone_zs'!$B41,[1]ratio_ins!$B:$B,0))</f>
        <v>59159.000590399992</v>
      </c>
      <c r="N41" s="10">
        <f>INDEX([1]ratio_ins!L:L,MATCH('001_population_health_zone_zs'!$B$2,[1]ratio_ins!$B:$B,0))*$G41*INDEX([1]ratio_ins!$C:$C,MATCH('001_population_health_zone_zs'!$B41,[1]ratio_ins!$B:$B,0))</f>
        <v>3477.4766635999999</v>
      </c>
      <c r="O41" s="10">
        <f>INDEX([1]ratio_ins!M:M,MATCH('001_population_health_zone_zs'!$B$2,[1]ratio_ins!$B:$B,0))*$G41*INDEX([1]ratio_ins!$C:$C,MATCH('001_population_health_zone_zs'!$B41,[1]ratio_ins!$B:$B,0))</f>
        <v>7541.5156560000005</v>
      </c>
      <c r="P41" s="10">
        <f>INDEX([1]ratio_ins!N:N,MATCH('001_population_health_zone_zs'!$B$2,[1]ratio_ins!$B:$B,0))*$G41*INDEX([1]ratio_ins!$C:$C,MATCH('001_population_health_zone_zs'!$B41,[1]ratio_ins!$B:$B,0))</f>
        <v>6808.3127450000002</v>
      </c>
      <c r="Q41" s="10">
        <f>INDEX([1]ratio_ins!O:O,MATCH('001_population_health_zone_zs'!$B$2,[1]ratio_ins!$B:$B,0))*$G41*INDEX([1]ratio_ins!$C:$C,MATCH('001_population_health_zone_zs'!$B41,[1]ratio_ins!$B:$B,0))</f>
        <v>6075.1098339999999</v>
      </c>
      <c r="R41" s="10">
        <f>INDEX([1]ratio_ins!P:P,MATCH('001_population_health_zone_zs'!$B$2,[1]ratio_ins!$B:$B,0))*$G41*INDEX([1]ratio_ins!$C:$C,MATCH('001_population_health_zone_zs'!$B41,[1]ratio_ins!$B:$B,0))</f>
        <v>5970.3665609999998</v>
      </c>
      <c r="S41" s="10">
        <f>INDEX([1]ratio_ins!Q:Q,MATCH('001_population_health_zone_zs'!$B$2,[1]ratio_ins!$B:$B,0))*$G41*INDEX([1]ratio_ins!$C:$C,MATCH('001_population_health_zone_zs'!$B41,[1]ratio_ins!$B:$B,0))</f>
        <v>5027.6771040000003</v>
      </c>
      <c r="T41" s="10">
        <f>INDEX([1]ratio_ins!R:R,MATCH('001_population_health_zone_zs'!$B$2,[1]ratio_ins!$B:$B,0))*$G41*INDEX([1]ratio_ins!$C:$C,MATCH('001_population_health_zone_zs'!$B41,[1]ratio_ins!$B:$B,0))</f>
        <v>3561.2712820000006</v>
      </c>
      <c r="U41" s="10">
        <f>INDEX([1]ratio_ins!S:S,MATCH('001_population_health_zone_zs'!$B$2,[1]ratio_ins!$B:$B,0))*$G41*INDEX([1]ratio_ins!$C:$C,MATCH('001_population_health_zone_zs'!$B41,[1]ratio_ins!$B:$B,0))</f>
        <v>2828.0683710000003</v>
      </c>
      <c r="V41" s="10">
        <f>INDEX([1]ratio_ins!T:T,MATCH('001_population_health_zone_zs'!$B$2,[1]ratio_ins!$B:$B,0))*$G41*INDEX([1]ratio_ins!$C:$C,MATCH('001_population_health_zone_zs'!$B41,[1]ratio_ins!$B:$B,0))</f>
        <v>1571.149095</v>
      </c>
      <c r="W41" s="11">
        <f>INDEX([1]ratio_ins!U:U,MATCH('001_population_health_zone_zs'!$B$2,[1]ratio_ins!$B:$B,0))*$G41*INDEX([1]ratio_ins!$C:$C,MATCH('001_population_health_zone_zs'!$B41,[1]ratio_ins!$B:$B,0))</f>
        <v>42860.947311600001</v>
      </c>
      <c r="X41" s="10">
        <f>INDEX([1]ratio_ins!V:V,MATCH('001_population_health_zone_zs'!$B$2,[1]ratio_ins!$B:$B,0))*$G41*INDEX([1]ratio_ins!$C:$C,MATCH('001_population_health_zone_zs'!$B41,[1]ratio_ins!$B:$B,0))</f>
        <v>1256.9192760000001</v>
      </c>
      <c r="Y41" s="10">
        <f>INDEX([1]ratio_ins!W:W,MATCH('001_population_health_zone_zs'!$B$2,[1]ratio_ins!$B:$B,0))*$G41*INDEX([1]ratio_ins!$C:$C,MATCH('001_population_health_zone_zs'!$B41,[1]ratio_ins!$B:$B,0))</f>
        <v>837.94618400000002</v>
      </c>
      <c r="Z41" s="10">
        <f>INDEX([1]ratio_ins!X:X,MATCH('001_population_health_zone_zs'!$B$2,[1]ratio_ins!$B:$B,0))*$G41*INDEX([1]ratio_ins!$C:$C,MATCH('001_population_health_zone_zs'!$B41,[1]ratio_ins!$B:$B,0))</f>
        <v>418.97309200000001</v>
      </c>
      <c r="AA41" s="10">
        <f>INDEX([1]ratio_ins!Y:Y,MATCH('001_population_health_zone_zs'!$B$2,[1]ratio_ins!$B:$B,0))*$G41*INDEX([1]ratio_ins!$C:$C,MATCH('001_population_health_zone_zs'!$B41,[1]ratio_ins!$B:$B,0))</f>
        <v>209.486546</v>
      </c>
      <c r="AB41" s="11">
        <f>INDEX([1]ratio_ins!Z:Z,MATCH('001_population_health_zone_zs'!$B$2,[1]ratio_ins!$B:$B,0))*$G41*INDEX([1]ratio_ins!$C:$C,MATCH('001_population_health_zone_zs'!$B41,[1]ratio_ins!$B:$B,0))</f>
        <v>2723.3250980000003</v>
      </c>
      <c r="AC41" s="12">
        <f t="shared" si="0"/>
        <v>104743.27299999999</v>
      </c>
      <c r="AD41" s="10">
        <f>INDEX([1]ratio_ins!AA:AA,MATCH('001_population_health_zone_zs'!$B$2,[1]ratio_ins!$B:$B,0))*$G41*INDEX([1]ratio_ins!$D:$D,MATCH('001_population_health_zone_zs'!$B41,[1]ratio_ins!$B:$B,0))</f>
        <v>22620.722669999999</v>
      </c>
      <c r="AE41" s="10">
        <f>INDEX([1]ratio_ins!AB:AB,MATCH('001_population_health_zone_zs'!$B$2,[1]ratio_ins!$B:$B,0))*$G41*INDEX([1]ratio_ins!$D:$D,MATCH('001_population_health_zone_zs'!$B41,[1]ratio_ins!$B:$B,0))</f>
        <v>18635.166771000004</v>
      </c>
      <c r="AF41" s="10">
        <f>INDEX([1]ratio_ins!AC:AC,MATCH('001_population_health_zone_zs'!$B$2,[1]ratio_ins!$B:$B,0))*$G41*INDEX([1]ratio_ins!$D:$D,MATCH('001_population_health_zone_zs'!$B41,[1]ratio_ins!$B:$B,0))</f>
        <v>14757.328598999999</v>
      </c>
      <c r="AG41" s="10">
        <f>INDEX([1]ratio_ins!AD:AD,MATCH('001_population_health_zone_zs'!$B$2,[1]ratio_ins!$B:$B,0))*$G41*INDEX([1]ratio_ins!$D:$D,MATCH('001_population_health_zone_zs'!$B41,[1]ratio_ins!$B:$B,0))</f>
        <v>8940.5713410000008</v>
      </c>
      <c r="AH41" s="10">
        <f>INDEX([1]ratio_ins!AE:AE,MATCH('001_population_health_zone_zs'!$B$2,[1]ratio_ins!$B:$B,0))*$G41*INDEX([1]ratio_ins!$D:$D,MATCH('001_population_health_zone_zs'!$B41,[1]ratio_ins!$B:$B,0))</f>
        <v>5364.342804599999</v>
      </c>
      <c r="AI41" s="13">
        <f>INDEX([1]ratio_ins!AF:AF,MATCH('001_population_health_zone_zs'!$B$2,[1]ratio_ins!$B:$B,0))*$G41*INDEX([1]ratio_ins!$D:$D,MATCH('001_population_health_zone_zs'!$B41,[1]ratio_ins!$B:$B,0))</f>
        <v>61377.560844599997</v>
      </c>
      <c r="AJ41" s="10">
        <f>INDEX([1]ratio_ins!AG:AG,MATCH('001_population_health_zone_zs'!$B$2,[1]ratio_ins!$B:$B,0))*$G41*INDEX([1]ratio_ins!$D:$D,MATCH('001_population_health_zone_zs'!$B41,[1]ratio_ins!$B:$B,0))</f>
        <v>3576.2285364000004</v>
      </c>
      <c r="AK41" s="10">
        <f>INDEX([1]ratio_ins!AH:AH,MATCH('001_population_health_zone_zs'!$B$2,[1]ratio_ins!$B:$B,0))*$G41*INDEX([1]ratio_ins!$D:$D,MATCH('001_population_health_zone_zs'!$B41,[1]ratio_ins!$B:$B,0))</f>
        <v>7971.1117980000008</v>
      </c>
      <c r="AL41" s="10">
        <f>INDEX([1]ratio_ins!AI:AI,MATCH('001_population_health_zone_zs'!$B$2,[1]ratio_ins!$B:$B,0))*$G41*INDEX([1]ratio_ins!$D:$D,MATCH('001_population_health_zone_zs'!$B41,[1]ratio_ins!$B:$B,0))</f>
        <v>7540.2408900000009</v>
      </c>
      <c r="AM41" s="10">
        <f>INDEX([1]ratio_ins!AJ:AJ,MATCH('001_population_health_zone_zs'!$B$2,[1]ratio_ins!$B:$B,0))*$G41*INDEX([1]ratio_ins!$D:$D,MATCH('001_population_health_zone_zs'!$B41,[1]ratio_ins!$B:$B,0))</f>
        <v>6893.9345280000007</v>
      </c>
      <c r="AN41" s="10">
        <f>INDEX([1]ratio_ins!AK:AK,MATCH('001_population_health_zone_zs'!$B$2,[1]ratio_ins!$B:$B,0))*$G41*INDEX([1]ratio_ins!$D:$D,MATCH('001_population_health_zone_zs'!$B41,[1]ratio_ins!$B:$B,0))</f>
        <v>6463.0636199999999</v>
      </c>
      <c r="AO41" s="10">
        <f>INDEX([1]ratio_ins!AL:AL,MATCH('001_population_health_zone_zs'!$B$2,[1]ratio_ins!$B:$B,0))*$G41*INDEX([1]ratio_ins!$D:$D,MATCH('001_population_health_zone_zs'!$B41,[1]ratio_ins!$B:$B,0))</f>
        <v>4847.2977149999997</v>
      </c>
      <c r="AP41" s="10">
        <f>INDEX([1]ratio_ins!AM:AM,MATCH('001_population_health_zone_zs'!$B$2,[1]ratio_ins!$B:$B,0))*$G41*INDEX([1]ratio_ins!$D:$D,MATCH('001_population_health_zone_zs'!$B41,[1]ratio_ins!$B:$B,0))</f>
        <v>3123.8140829999998</v>
      </c>
      <c r="AQ41" s="10">
        <f>INDEX([1]ratio_ins!AN:AN,MATCH('001_population_health_zone_zs'!$B$2,[1]ratio_ins!$B:$B,0))*$G41*INDEX([1]ratio_ins!$D:$D,MATCH('001_population_health_zone_zs'!$B41,[1]ratio_ins!$B:$B,0))</f>
        <v>2477.5077209999999</v>
      </c>
      <c r="AR41" s="10">
        <f>INDEX([1]ratio_ins!AO:AO,MATCH('001_population_health_zone_zs'!$B$2,[1]ratio_ins!$B:$B,0))*$G41*INDEX([1]ratio_ins!$D:$D,MATCH('001_population_health_zone_zs'!$B41,[1]ratio_ins!$B:$B,0))</f>
        <v>1184.8949970000001</v>
      </c>
      <c r="AS41" s="13">
        <f>INDEX([1]ratio_ins!AP:AP,MATCH('001_population_health_zone_zs'!$B$2,[1]ratio_ins!$B:$B,0))*$G41*INDEX([1]ratio_ins!$D:$D,MATCH('001_population_health_zone_zs'!$B41,[1]ratio_ins!$B:$B,0))</f>
        <v>44078.093888400006</v>
      </c>
      <c r="AT41" s="10">
        <f>INDEX([1]ratio_ins!AQ:AQ,MATCH('001_population_health_zone_zs'!$B$2,[1]ratio_ins!$B:$B,0))*$G41*INDEX([1]ratio_ins!$D:$D,MATCH('001_population_health_zone_zs'!$B41,[1]ratio_ins!$B:$B,0))</f>
        <v>1077.1772700000001</v>
      </c>
      <c r="AU41" s="10">
        <f>INDEX([1]ratio_ins!AR:AR,MATCH('001_population_health_zone_zs'!$B$2,[1]ratio_ins!$B:$B,0))*$G41*INDEX([1]ratio_ins!$D:$D,MATCH('001_population_health_zone_zs'!$B41,[1]ratio_ins!$B:$B,0))</f>
        <v>646.30636200000004</v>
      </c>
      <c r="AV41" s="10">
        <f>INDEX([1]ratio_ins!AS:AS,MATCH('001_population_health_zone_zs'!$B$2,[1]ratio_ins!$B:$B,0))*$G41*INDEX([1]ratio_ins!$D:$D,MATCH('001_population_health_zone_zs'!$B41,[1]ratio_ins!$B:$B,0))</f>
        <v>323.15318100000002</v>
      </c>
      <c r="AW41" s="10">
        <f>INDEX([1]ratio_ins!AT:AT,MATCH('001_population_health_zone_zs'!$B$2,[1]ratio_ins!$B:$B,0))*$G41*INDEX([1]ratio_ins!$D:$D,MATCH('001_population_health_zone_zs'!$B41,[1]ratio_ins!$B:$B,0))</f>
        <v>215.43545400000002</v>
      </c>
      <c r="AX41" s="13">
        <f>INDEX([1]ratio_ins!AU:AU,MATCH('001_population_health_zone_zs'!$B$2,[1]ratio_ins!$B:$B,0))*$G41*INDEX([1]ratio_ins!$D:$D,MATCH('001_population_health_zone_zs'!$B41,[1]ratio_ins!$B:$B,0))</f>
        <v>2262.072267</v>
      </c>
      <c r="AY41" s="14">
        <f t="shared" si="1"/>
        <v>107717.727</v>
      </c>
      <c r="AZ41" s="15">
        <f t="shared" si="2"/>
        <v>212461</v>
      </c>
      <c r="BA41" s="16">
        <v>203816.14505327665</v>
      </c>
      <c r="BB41" s="10">
        <f t="shared" si="3"/>
        <v>45780.033974999998</v>
      </c>
      <c r="BC41" s="17">
        <f t="shared" si="4"/>
        <v>0.215475</v>
      </c>
      <c r="BD41" s="10">
        <f t="shared" si="5"/>
        <v>43677.944841000004</v>
      </c>
    </row>
    <row r="42" spans="1:56" x14ac:dyDescent="0.25">
      <c r="A42" s="8" t="s">
        <v>82</v>
      </c>
      <c r="B42" s="8" t="s">
        <v>83</v>
      </c>
      <c r="C42" s="8" t="s">
        <v>92</v>
      </c>
      <c r="D42" s="8" t="s">
        <v>93</v>
      </c>
      <c r="E42" s="8" t="s">
        <v>92</v>
      </c>
      <c r="F42" s="8" t="s">
        <v>98</v>
      </c>
      <c r="G42" s="9">
        <v>306562</v>
      </c>
      <c r="H42" s="10">
        <f>INDEX([1]ratio_ins!F:F,MATCH('001_population_health_zone_zs'!$B$2,[1]ratio_ins!$B:$B,0))*$G42*INDEX([1]ratio_ins!$C:$C,MATCH('001_population_health_zone_zs'!$B42,[1]ratio_ins!$B:$B,0))</f>
        <v>31587.228793999999</v>
      </c>
      <c r="I42" s="10">
        <f>INDEX([1]ratio_ins!G:G,MATCH('001_population_health_zone_zs'!$B$2,[1]ratio_ins!$B:$B,0))*$G42*INDEX([1]ratio_ins!$C:$C,MATCH('001_population_health_zone_zs'!$B42,[1]ratio_ins!$B:$B,0))</f>
        <v>25844.096286000004</v>
      </c>
      <c r="J42" s="10">
        <f>INDEX([1]ratio_ins!H:H,MATCH('001_population_health_zone_zs'!$B$2,[1]ratio_ins!$B:$B,0))*$G42*INDEX([1]ratio_ins!$C:$C,MATCH('001_population_health_zone_zs'!$B42,[1]ratio_ins!$B:$B,0))</f>
        <v>20403.233910000003</v>
      </c>
      <c r="K42" s="10">
        <f>INDEX([1]ratio_ins!I:I,MATCH('001_population_health_zone_zs'!$B$2,[1]ratio_ins!$B:$B,0))*$G42*INDEX([1]ratio_ins!$C:$C,MATCH('001_population_health_zone_zs'!$B42,[1]ratio_ins!$B:$B,0))</f>
        <v>12544.210478000001</v>
      </c>
      <c r="L42" s="10">
        <f>INDEX([1]ratio_ins!J:J,MATCH('001_population_health_zone_zs'!$B$2,[1]ratio_ins!$B:$B,0))*$G42*INDEX([1]ratio_ins!$C:$C,MATCH('001_population_health_zone_zs'!$B42,[1]ratio_ins!$B:$B,0))</f>
        <v>7526.5262868</v>
      </c>
      <c r="M42" s="11">
        <f>INDEX([1]ratio_ins!K:K,MATCH('001_population_health_zone_zs'!$B$2,[1]ratio_ins!$B:$B,0))*$G42*INDEX([1]ratio_ins!$C:$C,MATCH('001_population_health_zone_zs'!$B42,[1]ratio_ins!$B:$B,0))</f>
        <v>85361.085276800004</v>
      </c>
      <c r="N42" s="10">
        <f>INDEX([1]ratio_ins!L:L,MATCH('001_population_health_zone_zs'!$B$2,[1]ratio_ins!$B:$B,0))*$G42*INDEX([1]ratio_ins!$C:$C,MATCH('001_population_health_zone_zs'!$B42,[1]ratio_ins!$B:$B,0))</f>
        <v>5017.6841912</v>
      </c>
      <c r="O42" s="10">
        <f>INDEX([1]ratio_ins!M:M,MATCH('001_population_health_zone_zs'!$B$2,[1]ratio_ins!$B:$B,0))*$G42*INDEX([1]ratio_ins!$C:$C,MATCH('001_population_health_zone_zs'!$B42,[1]ratio_ins!$B:$B,0))</f>
        <v>10881.724752000002</v>
      </c>
      <c r="P42" s="10">
        <f>INDEX([1]ratio_ins!N:N,MATCH('001_population_health_zone_zs'!$B$2,[1]ratio_ins!$B:$B,0))*$G42*INDEX([1]ratio_ins!$C:$C,MATCH('001_population_health_zone_zs'!$B42,[1]ratio_ins!$B:$B,0))</f>
        <v>9823.7792900000004</v>
      </c>
      <c r="Q42" s="10">
        <f>INDEX([1]ratio_ins!O:O,MATCH('001_population_health_zone_zs'!$B$2,[1]ratio_ins!$B:$B,0))*$G42*INDEX([1]ratio_ins!$C:$C,MATCH('001_population_health_zone_zs'!$B42,[1]ratio_ins!$B:$B,0))</f>
        <v>8765.8338279999989</v>
      </c>
      <c r="R42" s="10">
        <f>INDEX([1]ratio_ins!P:P,MATCH('001_population_health_zone_zs'!$B$2,[1]ratio_ins!$B:$B,0))*$G42*INDEX([1]ratio_ins!$C:$C,MATCH('001_population_health_zone_zs'!$B42,[1]ratio_ins!$B:$B,0))</f>
        <v>8614.698762</v>
      </c>
      <c r="S42" s="10">
        <f>INDEX([1]ratio_ins!Q:Q,MATCH('001_population_health_zone_zs'!$B$2,[1]ratio_ins!$B:$B,0))*$G42*INDEX([1]ratio_ins!$C:$C,MATCH('001_population_health_zone_zs'!$B42,[1]ratio_ins!$B:$B,0))</f>
        <v>7254.4831679999998</v>
      </c>
      <c r="T42" s="10">
        <f>INDEX([1]ratio_ins!R:R,MATCH('001_population_health_zone_zs'!$B$2,[1]ratio_ins!$B:$B,0))*$G42*INDEX([1]ratio_ins!$C:$C,MATCH('001_population_health_zone_zs'!$B42,[1]ratio_ins!$B:$B,0))</f>
        <v>5138.5922440000004</v>
      </c>
      <c r="U42" s="10">
        <f>INDEX([1]ratio_ins!S:S,MATCH('001_population_health_zone_zs'!$B$2,[1]ratio_ins!$B:$B,0))*$G42*INDEX([1]ratio_ins!$C:$C,MATCH('001_population_health_zone_zs'!$B42,[1]ratio_ins!$B:$B,0))</f>
        <v>4080.6467820000003</v>
      </c>
      <c r="V42" s="10">
        <f>INDEX([1]ratio_ins!T:T,MATCH('001_population_health_zone_zs'!$B$2,[1]ratio_ins!$B:$B,0))*$G42*INDEX([1]ratio_ins!$C:$C,MATCH('001_population_health_zone_zs'!$B42,[1]ratio_ins!$B:$B,0))</f>
        <v>2267.0259899999996</v>
      </c>
      <c r="W42" s="11">
        <f>INDEX([1]ratio_ins!U:U,MATCH('001_population_health_zone_zs'!$B$2,[1]ratio_ins!$B:$B,0))*$G42*INDEX([1]ratio_ins!$C:$C,MATCH('001_population_health_zone_zs'!$B42,[1]ratio_ins!$B:$B,0))</f>
        <v>61844.469007200001</v>
      </c>
      <c r="X42" s="10">
        <f>INDEX([1]ratio_ins!V:V,MATCH('001_population_health_zone_zs'!$B$2,[1]ratio_ins!$B:$B,0))*$G42*INDEX([1]ratio_ins!$C:$C,MATCH('001_population_health_zone_zs'!$B42,[1]ratio_ins!$B:$B,0))</f>
        <v>1813.6207919999999</v>
      </c>
      <c r="Y42" s="10">
        <f>INDEX([1]ratio_ins!W:W,MATCH('001_population_health_zone_zs'!$B$2,[1]ratio_ins!$B:$B,0))*$G42*INDEX([1]ratio_ins!$C:$C,MATCH('001_population_health_zone_zs'!$B42,[1]ratio_ins!$B:$B,0))</f>
        <v>1209.080528</v>
      </c>
      <c r="Z42" s="10">
        <f>INDEX([1]ratio_ins!X:X,MATCH('001_population_health_zone_zs'!$B$2,[1]ratio_ins!$B:$B,0))*$G42*INDEX([1]ratio_ins!$C:$C,MATCH('001_population_health_zone_zs'!$B42,[1]ratio_ins!$B:$B,0))</f>
        <v>604.54026399999998</v>
      </c>
      <c r="AA42" s="10">
        <f>INDEX([1]ratio_ins!Y:Y,MATCH('001_population_health_zone_zs'!$B$2,[1]ratio_ins!$B:$B,0))*$G42*INDEX([1]ratio_ins!$C:$C,MATCH('001_population_health_zone_zs'!$B42,[1]ratio_ins!$B:$B,0))</f>
        <v>302.27013199999999</v>
      </c>
      <c r="AB42" s="11">
        <f>INDEX([1]ratio_ins!Z:Z,MATCH('001_population_health_zone_zs'!$B$2,[1]ratio_ins!$B:$B,0))*$G42*INDEX([1]ratio_ins!$C:$C,MATCH('001_population_health_zone_zs'!$B42,[1]ratio_ins!$B:$B,0))</f>
        <v>3929.5117160000004</v>
      </c>
      <c r="AC42" s="12">
        <f t="shared" si="0"/>
        <v>151135.06600000002</v>
      </c>
      <c r="AD42" s="10">
        <f>INDEX([1]ratio_ins!AA:AA,MATCH('001_population_health_zone_zs'!$B$2,[1]ratio_ins!$B:$B,0))*$G42*INDEX([1]ratio_ins!$D:$D,MATCH('001_population_health_zone_zs'!$B42,[1]ratio_ins!$B:$B,0))</f>
        <v>32639.656139999999</v>
      </c>
      <c r="AE42" s="10">
        <f>INDEX([1]ratio_ins!AB:AB,MATCH('001_population_health_zone_zs'!$B$2,[1]ratio_ins!$B:$B,0))*$G42*INDEX([1]ratio_ins!$D:$D,MATCH('001_population_health_zone_zs'!$B42,[1]ratio_ins!$B:$B,0))</f>
        <v>26888.859582000001</v>
      </c>
      <c r="AF42" s="10">
        <f>INDEX([1]ratio_ins!AC:AC,MATCH('001_population_health_zone_zs'!$B$2,[1]ratio_ins!$B:$B,0))*$G42*INDEX([1]ratio_ins!$D:$D,MATCH('001_population_health_zone_zs'!$B42,[1]ratio_ins!$B:$B,0))</f>
        <v>21293.489957999995</v>
      </c>
      <c r="AG42" s="10">
        <f>INDEX([1]ratio_ins!AD:AD,MATCH('001_population_health_zone_zs'!$B$2,[1]ratio_ins!$B:$B,0))*$G42*INDEX([1]ratio_ins!$D:$D,MATCH('001_population_health_zone_zs'!$B42,[1]ratio_ins!$B:$B,0))</f>
        <v>12900.435522</v>
      </c>
      <c r="AH42" s="10">
        <f>INDEX([1]ratio_ins!AE:AE,MATCH('001_population_health_zone_zs'!$B$2,[1]ratio_ins!$B:$B,0))*$G42*INDEX([1]ratio_ins!$D:$D,MATCH('001_population_health_zone_zs'!$B42,[1]ratio_ins!$B:$B,0))</f>
        <v>7740.2613131999997</v>
      </c>
      <c r="AI42" s="13">
        <f>INDEX([1]ratio_ins!AF:AF,MATCH('001_population_health_zone_zs'!$B$2,[1]ratio_ins!$B:$B,0))*$G42*INDEX([1]ratio_ins!$D:$D,MATCH('001_population_health_zone_zs'!$B42,[1]ratio_ins!$B:$B,0))</f>
        <v>88562.266993199999</v>
      </c>
      <c r="AJ42" s="10">
        <f>INDEX([1]ratio_ins!AG:AG,MATCH('001_population_health_zone_zs'!$B$2,[1]ratio_ins!$B:$B,0))*$G42*INDEX([1]ratio_ins!$D:$D,MATCH('001_population_health_zone_zs'!$B42,[1]ratio_ins!$B:$B,0))</f>
        <v>5160.174208800001</v>
      </c>
      <c r="AK42" s="10">
        <f>INDEX([1]ratio_ins!AH:AH,MATCH('001_population_health_zone_zs'!$B$2,[1]ratio_ins!$B:$B,0))*$G42*INDEX([1]ratio_ins!$D:$D,MATCH('001_population_health_zone_zs'!$B42,[1]ratio_ins!$B:$B,0))</f>
        <v>11501.593116000002</v>
      </c>
      <c r="AL42" s="10">
        <f>INDEX([1]ratio_ins!AI:AI,MATCH('001_population_health_zone_zs'!$B$2,[1]ratio_ins!$B:$B,0))*$G42*INDEX([1]ratio_ins!$D:$D,MATCH('001_population_health_zone_zs'!$B42,[1]ratio_ins!$B:$B,0))</f>
        <v>10879.885380000002</v>
      </c>
      <c r="AM42" s="10">
        <f>INDEX([1]ratio_ins!AJ:AJ,MATCH('001_population_health_zone_zs'!$B$2,[1]ratio_ins!$B:$B,0))*$G42*INDEX([1]ratio_ins!$D:$D,MATCH('001_population_health_zone_zs'!$B42,[1]ratio_ins!$B:$B,0))</f>
        <v>9947.3237760000011</v>
      </c>
      <c r="AN42" s="10">
        <f>INDEX([1]ratio_ins!AK:AK,MATCH('001_population_health_zone_zs'!$B$2,[1]ratio_ins!$B:$B,0))*$G42*INDEX([1]ratio_ins!$D:$D,MATCH('001_population_health_zone_zs'!$B42,[1]ratio_ins!$B:$B,0))</f>
        <v>9325.616039999999</v>
      </c>
      <c r="AO42" s="10">
        <f>INDEX([1]ratio_ins!AL:AL,MATCH('001_population_health_zone_zs'!$B$2,[1]ratio_ins!$B:$B,0))*$G42*INDEX([1]ratio_ins!$D:$D,MATCH('001_population_health_zone_zs'!$B42,[1]ratio_ins!$B:$B,0))</f>
        <v>6994.2120299999997</v>
      </c>
      <c r="AP42" s="10">
        <f>INDEX([1]ratio_ins!AM:AM,MATCH('001_population_health_zone_zs'!$B$2,[1]ratio_ins!$B:$B,0))*$G42*INDEX([1]ratio_ins!$D:$D,MATCH('001_population_health_zone_zs'!$B42,[1]ratio_ins!$B:$B,0))</f>
        <v>4507.3810859999994</v>
      </c>
      <c r="AQ42" s="10">
        <f>INDEX([1]ratio_ins!AN:AN,MATCH('001_population_health_zone_zs'!$B$2,[1]ratio_ins!$B:$B,0))*$G42*INDEX([1]ratio_ins!$D:$D,MATCH('001_population_health_zone_zs'!$B42,[1]ratio_ins!$B:$B,0))</f>
        <v>3574.8194819999999</v>
      </c>
      <c r="AR42" s="10">
        <f>INDEX([1]ratio_ins!AO:AO,MATCH('001_population_health_zone_zs'!$B$2,[1]ratio_ins!$B:$B,0))*$G42*INDEX([1]ratio_ins!$D:$D,MATCH('001_population_health_zone_zs'!$B42,[1]ratio_ins!$B:$B,0))</f>
        <v>1709.6962740000001</v>
      </c>
      <c r="AS42" s="13">
        <f>INDEX([1]ratio_ins!AP:AP,MATCH('001_population_health_zone_zs'!$B$2,[1]ratio_ins!$B:$B,0))*$G42*INDEX([1]ratio_ins!$D:$D,MATCH('001_population_health_zone_zs'!$B42,[1]ratio_ins!$B:$B,0))</f>
        <v>63600.701392800001</v>
      </c>
      <c r="AT42" s="10">
        <f>INDEX([1]ratio_ins!AQ:AQ,MATCH('001_population_health_zone_zs'!$B$2,[1]ratio_ins!$B:$B,0))*$G42*INDEX([1]ratio_ins!$D:$D,MATCH('001_population_health_zone_zs'!$B42,[1]ratio_ins!$B:$B,0))</f>
        <v>1554.2693400000001</v>
      </c>
      <c r="AU42" s="10">
        <f>INDEX([1]ratio_ins!AR:AR,MATCH('001_population_health_zone_zs'!$B$2,[1]ratio_ins!$B:$B,0))*$G42*INDEX([1]ratio_ins!$D:$D,MATCH('001_population_health_zone_zs'!$B42,[1]ratio_ins!$B:$B,0))</f>
        <v>932.5616040000001</v>
      </c>
      <c r="AV42" s="10">
        <f>INDEX([1]ratio_ins!AS:AS,MATCH('001_population_health_zone_zs'!$B$2,[1]ratio_ins!$B:$B,0))*$G42*INDEX([1]ratio_ins!$D:$D,MATCH('001_population_health_zone_zs'!$B42,[1]ratio_ins!$B:$B,0))</f>
        <v>466.28080200000005</v>
      </c>
      <c r="AW42" s="10">
        <f>INDEX([1]ratio_ins!AT:AT,MATCH('001_population_health_zone_zs'!$B$2,[1]ratio_ins!$B:$B,0))*$G42*INDEX([1]ratio_ins!$D:$D,MATCH('001_population_health_zone_zs'!$B42,[1]ratio_ins!$B:$B,0))</f>
        <v>310.85386800000003</v>
      </c>
      <c r="AX42" s="13">
        <f>INDEX([1]ratio_ins!AU:AU,MATCH('001_population_health_zone_zs'!$B$2,[1]ratio_ins!$B:$B,0))*$G42*INDEX([1]ratio_ins!$D:$D,MATCH('001_population_health_zone_zs'!$B42,[1]ratio_ins!$B:$B,0))</f>
        <v>3263.9656139999997</v>
      </c>
      <c r="AY42" s="14">
        <f t="shared" si="1"/>
        <v>155426.93399999998</v>
      </c>
      <c r="AZ42" s="15">
        <f t="shared" si="2"/>
        <v>306562</v>
      </c>
      <c r="BA42" s="16">
        <v>294087.25018774305</v>
      </c>
      <c r="BB42" s="10">
        <f t="shared" si="3"/>
        <v>66056.446949999998</v>
      </c>
      <c r="BC42" s="17">
        <f t="shared" si="4"/>
        <v>0.215475</v>
      </c>
      <c r="BD42" s="10">
        <f t="shared" si="5"/>
        <v>63023.322521999995</v>
      </c>
    </row>
    <row r="43" spans="1:56" x14ac:dyDescent="0.25">
      <c r="A43" s="8" t="s">
        <v>82</v>
      </c>
      <c r="B43" s="8" t="s">
        <v>83</v>
      </c>
      <c r="C43" s="8" t="s">
        <v>99</v>
      </c>
      <c r="D43" s="8" t="s">
        <v>100</v>
      </c>
      <c r="E43" s="8" t="s">
        <v>101</v>
      </c>
      <c r="F43" s="8" t="s">
        <v>102</v>
      </c>
      <c r="G43" s="9">
        <v>226549</v>
      </c>
      <c r="H43" s="10">
        <f>INDEX([1]ratio_ins!F:F,MATCH('001_population_health_zone_zs'!$B$2,[1]ratio_ins!$B:$B,0))*$G43*INDEX([1]ratio_ins!$C:$C,MATCH('001_population_health_zone_zs'!$B43,[1]ratio_ins!$B:$B,0))</f>
        <v>23342.929312999997</v>
      </c>
      <c r="I43" s="10">
        <f>INDEX([1]ratio_ins!G:G,MATCH('001_population_health_zone_zs'!$B$2,[1]ratio_ins!$B:$B,0))*$G43*INDEX([1]ratio_ins!$C:$C,MATCH('001_population_health_zone_zs'!$B43,[1]ratio_ins!$B:$B,0))</f>
        <v>19098.760346999999</v>
      </c>
      <c r="J43" s="10">
        <f>INDEX([1]ratio_ins!H:H,MATCH('001_population_health_zone_zs'!$B$2,[1]ratio_ins!$B:$B,0))*$G43*INDEX([1]ratio_ins!$C:$C,MATCH('001_population_health_zone_zs'!$B43,[1]ratio_ins!$B:$B,0))</f>
        <v>15077.968695000001</v>
      </c>
      <c r="K43" s="10">
        <f>INDEX([1]ratio_ins!I:I,MATCH('001_population_health_zone_zs'!$B$2,[1]ratio_ins!$B:$B,0))*$G43*INDEX([1]ratio_ins!$C:$C,MATCH('001_population_health_zone_zs'!$B43,[1]ratio_ins!$B:$B,0))</f>
        <v>9270.1585310000009</v>
      </c>
      <c r="L43" s="10">
        <f>INDEX([1]ratio_ins!J:J,MATCH('001_population_health_zone_zs'!$B$2,[1]ratio_ins!$B:$B,0))*$G43*INDEX([1]ratio_ins!$C:$C,MATCH('001_population_health_zone_zs'!$B43,[1]ratio_ins!$B:$B,0))</f>
        <v>5562.0951186000002</v>
      </c>
      <c r="M43" s="11">
        <f>INDEX([1]ratio_ins!K:K,MATCH('001_population_health_zone_zs'!$B$2,[1]ratio_ins!$B:$B,0))*$G43*INDEX([1]ratio_ins!$C:$C,MATCH('001_population_health_zone_zs'!$B43,[1]ratio_ins!$B:$B,0))</f>
        <v>63081.753473599994</v>
      </c>
      <c r="N43" s="10">
        <f>INDEX([1]ratio_ins!L:L,MATCH('001_population_health_zone_zs'!$B$2,[1]ratio_ins!$B:$B,0))*$G43*INDEX([1]ratio_ins!$C:$C,MATCH('001_population_health_zone_zs'!$B43,[1]ratio_ins!$B:$B,0))</f>
        <v>3708.0634123999998</v>
      </c>
      <c r="O43" s="10">
        <f>INDEX([1]ratio_ins!M:M,MATCH('001_population_health_zone_zs'!$B$2,[1]ratio_ins!$B:$B,0))*$G43*INDEX([1]ratio_ins!$C:$C,MATCH('001_population_health_zone_zs'!$B43,[1]ratio_ins!$B:$B,0))</f>
        <v>8041.5833040000007</v>
      </c>
      <c r="P43" s="10">
        <f>INDEX([1]ratio_ins!N:N,MATCH('001_population_health_zone_zs'!$B$2,[1]ratio_ins!$B:$B,0))*$G43*INDEX([1]ratio_ins!$C:$C,MATCH('001_population_health_zone_zs'!$B43,[1]ratio_ins!$B:$B,0))</f>
        <v>7259.762705000001</v>
      </c>
      <c r="Q43" s="10">
        <f>INDEX([1]ratio_ins!O:O,MATCH('001_population_health_zone_zs'!$B$2,[1]ratio_ins!$B:$B,0))*$G43*INDEX([1]ratio_ins!$C:$C,MATCH('001_population_health_zone_zs'!$B43,[1]ratio_ins!$B:$B,0))</f>
        <v>6477.9421059999995</v>
      </c>
      <c r="R43" s="10">
        <f>INDEX([1]ratio_ins!P:P,MATCH('001_population_health_zone_zs'!$B$2,[1]ratio_ins!$B:$B,0))*$G43*INDEX([1]ratio_ins!$C:$C,MATCH('001_population_health_zone_zs'!$B43,[1]ratio_ins!$B:$B,0))</f>
        <v>6366.2534489999998</v>
      </c>
      <c r="S43" s="10">
        <f>INDEX([1]ratio_ins!Q:Q,MATCH('001_population_health_zone_zs'!$B$2,[1]ratio_ins!$B:$B,0))*$G43*INDEX([1]ratio_ins!$C:$C,MATCH('001_population_health_zone_zs'!$B43,[1]ratio_ins!$B:$B,0))</f>
        <v>5361.0555360000008</v>
      </c>
      <c r="T43" s="10">
        <f>INDEX([1]ratio_ins!R:R,MATCH('001_population_health_zone_zs'!$B$2,[1]ratio_ins!$B:$B,0))*$G43*INDEX([1]ratio_ins!$C:$C,MATCH('001_population_health_zone_zs'!$B43,[1]ratio_ins!$B:$B,0))</f>
        <v>3797.414338</v>
      </c>
      <c r="U43" s="10">
        <f>INDEX([1]ratio_ins!S:S,MATCH('001_population_health_zone_zs'!$B$2,[1]ratio_ins!$B:$B,0))*$G43*INDEX([1]ratio_ins!$C:$C,MATCH('001_population_health_zone_zs'!$B43,[1]ratio_ins!$B:$B,0))</f>
        <v>3015.5937389999999</v>
      </c>
      <c r="V43" s="10">
        <f>INDEX([1]ratio_ins!T:T,MATCH('001_population_health_zone_zs'!$B$2,[1]ratio_ins!$B:$B,0))*$G43*INDEX([1]ratio_ins!$C:$C,MATCH('001_population_health_zone_zs'!$B43,[1]ratio_ins!$B:$B,0))</f>
        <v>1675.3298549999997</v>
      </c>
      <c r="W43" s="11">
        <f>INDEX([1]ratio_ins!U:U,MATCH('001_population_health_zone_zs'!$B$2,[1]ratio_ins!$B:$B,0))*$G43*INDEX([1]ratio_ins!$C:$C,MATCH('001_population_health_zone_zs'!$B43,[1]ratio_ins!$B:$B,0))</f>
        <v>45702.9984444</v>
      </c>
      <c r="X43" s="10">
        <f>INDEX([1]ratio_ins!V:V,MATCH('001_population_health_zone_zs'!$B$2,[1]ratio_ins!$B:$B,0))*$G43*INDEX([1]ratio_ins!$C:$C,MATCH('001_population_health_zone_zs'!$B43,[1]ratio_ins!$B:$B,0))</f>
        <v>1340.2638840000002</v>
      </c>
      <c r="Y43" s="10">
        <f>INDEX([1]ratio_ins!W:W,MATCH('001_population_health_zone_zs'!$B$2,[1]ratio_ins!$B:$B,0))*$G43*INDEX([1]ratio_ins!$C:$C,MATCH('001_population_health_zone_zs'!$B43,[1]ratio_ins!$B:$B,0))</f>
        <v>893.50925600000005</v>
      </c>
      <c r="Z43" s="10">
        <f>INDEX([1]ratio_ins!X:X,MATCH('001_population_health_zone_zs'!$B$2,[1]ratio_ins!$B:$B,0))*$G43*INDEX([1]ratio_ins!$C:$C,MATCH('001_population_health_zone_zs'!$B43,[1]ratio_ins!$B:$B,0))</f>
        <v>446.75462800000003</v>
      </c>
      <c r="AA43" s="10">
        <f>INDEX([1]ratio_ins!Y:Y,MATCH('001_population_health_zone_zs'!$B$2,[1]ratio_ins!$B:$B,0))*$G43*INDEX([1]ratio_ins!$C:$C,MATCH('001_population_health_zone_zs'!$B43,[1]ratio_ins!$B:$B,0))</f>
        <v>223.37731400000001</v>
      </c>
      <c r="AB43" s="11">
        <f>INDEX([1]ratio_ins!Z:Z,MATCH('001_population_health_zone_zs'!$B$2,[1]ratio_ins!$B:$B,0))*$G43*INDEX([1]ratio_ins!$C:$C,MATCH('001_population_health_zone_zs'!$B43,[1]ratio_ins!$B:$B,0))</f>
        <v>2903.9050820000002</v>
      </c>
      <c r="AC43" s="12">
        <f t="shared" si="0"/>
        <v>111688.65699999999</v>
      </c>
      <c r="AD43" s="10">
        <f>INDEX([1]ratio_ins!AA:AA,MATCH('001_population_health_zone_zs'!$B$2,[1]ratio_ins!$B:$B,0))*$G43*INDEX([1]ratio_ins!$D:$D,MATCH('001_population_health_zone_zs'!$B43,[1]ratio_ins!$B:$B,0))</f>
        <v>24120.672030000002</v>
      </c>
      <c r="AE43" s="10">
        <f>INDEX([1]ratio_ins!AB:AB,MATCH('001_population_health_zone_zs'!$B$2,[1]ratio_ins!$B:$B,0))*$G43*INDEX([1]ratio_ins!$D:$D,MATCH('001_population_health_zone_zs'!$B43,[1]ratio_ins!$B:$B,0))</f>
        <v>19870.839339000002</v>
      </c>
      <c r="AF43" s="10">
        <f>INDEX([1]ratio_ins!AC:AC,MATCH('001_population_health_zone_zs'!$B$2,[1]ratio_ins!$B:$B,0))*$G43*INDEX([1]ratio_ins!$D:$D,MATCH('001_population_health_zone_zs'!$B43,[1]ratio_ins!$B:$B,0))</f>
        <v>15735.866990999999</v>
      </c>
      <c r="AG43" s="10">
        <f>INDEX([1]ratio_ins!AD:AD,MATCH('001_population_health_zone_zs'!$B$2,[1]ratio_ins!$B:$B,0))*$G43*INDEX([1]ratio_ins!$D:$D,MATCH('001_population_health_zone_zs'!$B43,[1]ratio_ins!$B:$B,0))</f>
        <v>9533.4084690000018</v>
      </c>
      <c r="AH43" s="10">
        <f>INDEX([1]ratio_ins!AE:AE,MATCH('001_population_health_zone_zs'!$B$2,[1]ratio_ins!$B:$B,0))*$G43*INDEX([1]ratio_ins!$D:$D,MATCH('001_population_health_zone_zs'!$B43,[1]ratio_ins!$B:$B,0))</f>
        <v>5720.0450813999996</v>
      </c>
      <c r="AI43" s="13">
        <f>INDEX([1]ratio_ins!AF:AF,MATCH('001_population_health_zone_zs'!$B$2,[1]ratio_ins!$B:$B,0))*$G43*INDEX([1]ratio_ins!$D:$D,MATCH('001_population_health_zone_zs'!$B43,[1]ratio_ins!$B:$B,0))</f>
        <v>65447.423441399995</v>
      </c>
      <c r="AJ43" s="10">
        <f>INDEX([1]ratio_ins!AG:AG,MATCH('001_population_health_zone_zs'!$B$2,[1]ratio_ins!$B:$B,0))*$G43*INDEX([1]ratio_ins!$D:$D,MATCH('001_population_health_zone_zs'!$B43,[1]ratio_ins!$B:$B,0))</f>
        <v>3813.3633876000004</v>
      </c>
      <c r="AK43" s="10">
        <f>INDEX([1]ratio_ins!AH:AH,MATCH('001_population_health_zone_zs'!$B$2,[1]ratio_ins!$B:$B,0))*$G43*INDEX([1]ratio_ins!$D:$D,MATCH('001_population_health_zone_zs'!$B43,[1]ratio_ins!$B:$B,0))</f>
        <v>8499.6653820000029</v>
      </c>
      <c r="AL43" s="10">
        <f>INDEX([1]ratio_ins!AI:AI,MATCH('001_population_health_zone_zs'!$B$2,[1]ratio_ins!$B:$B,0))*$G43*INDEX([1]ratio_ins!$D:$D,MATCH('001_population_health_zone_zs'!$B43,[1]ratio_ins!$B:$B,0))</f>
        <v>8040.2240100000008</v>
      </c>
      <c r="AM43" s="10">
        <f>INDEX([1]ratio_ins!AJ:AJ,MATCH('001_population_health_zone_zs'!$B$2,[1]ratio_ins!$B:$B,0))*$G43*INDEX([1]ratio_ins!$D:$D,MATCH('001_population_health_zone_zs'!$B43,[1]ratio_ins!$B:$B,0))</f>
        <v>7351.061952</v>
      </c>
      <c r="AN43" s="10">
        <f>INDEX([1]ratio_ins!AK:AK,MATCH('001_population_health_zone_zs'!$B$2,[1]ratio_ins!$B:$B,0))*$G43*INDEX([1]ratio_ins!$D:$D,MATCH('001_population_health_zone_zs'!$B43,[1]ratio_ins!$B:$B,0))</f>
        <v>6891.6205799999998</v>
      </c>
      <c r="AO43" s="10">
        <f>INDEX([1]ratio_ins!AL:AL,MATCH('001_population_health_zone_zs'!$B$2,[1]ratio_ins!$B:$B,0))*$G43*INDEX([1]ratio_ins!$D:$D,MATCH('001_population_health_zone_zs'!$B43,[1]ratio_ins!$B:$B,0))</f>
        <v>5168.7154350000001</v>
      </c>
      <c r="AP43" s="10">
        <f>INDEX([1]ratio_ins!AM:AM,MATCH('001_population_health_zone_zs'!$B$2,[1]ratio_ins!$B:$B,0))*$G43*INDEX([1]ratio_ins!$D:$D,MATCH('001_population_health_zone_zs'!$B43,[1]ratio_ins!$B:$B,0))</f>
        <v>3330.9499469999996</v>
      </c>
      <c r="AQ43" s="10">
        <f>INDEX([1]ratio_ins!AN:AN,MATCH('001_population_health_zone_zs'!$B$2,[1]ratio_ins!$B:$B,0))*$G43*INDEX([1]ratio_ins!$D:$D,MATCH('001_population_health_zone_zs'!$B43,[1]ratio_ins!$B:$B,0))</f>
        <v>2641.7878889999997</v>
      </c>
      <c r="AR43" s="10">
        <f>INDEX([1]ratio_ins!AO:AO,MATCH('001_population_health_zone_zs'!$B$2,[1]ratio_ins!$B:$B,0))*$G43*INDEX([1]ratio_ins!$D:$D,MATCH('001_population_health_zone_zs'!$B43,[1]ratio_ins!$B:$B,0))</f>
        <v>1263.4637730000002</v>
      </c>
      <c r="AS43" s="13">
        <f>INDEX([1]ratio_ins!AP:AP,MATCH('001_population_health_zone_zs'!$B$2,[1]ratio_ins!$B:$B,0))*$G43*INDEX([1]ratio_ins!$D:$D,MATCH('001_population_health_zone_zs'!$B43,[1]ratio_ins!$B:$B,0))</f>
        <v>47000.8523556</v>
      </c>
      <c r="AT43" s="10">
        <f>INDEX([1]ratio_ins!AQ:AQ,MATCH('001_population_health_zone_zs'!$B$2,[1]ratio_ins!$B:$B,0))*$G43*INDEX([1]ratio_ins!$D:$D,MATCH('001_population_health_zone_zs'!$B43,[1]ratio_ins!$B:$B,0))</f>
        <v>1148.6034300000001</v>
      </c>
      <c r="AU43" s="10">
        <f>INDEX([1]ratio_ins!AR:AR,MATCH('001_population_health_zone_zs'!$B$2,[1]ratio_ins!$B:$B,0))*$G43*INDEX([1]ratio_ins!$D:$D,MATCH('001_population_health_zone_zs'!$B43,[1]ratio_ins!$B:$B,0))</f>
        <v>689.162058</v>
      </c>
      <c r="AV43" s="10">
        <f>INDEX([1]ratio_ins!AS:AS,MATCH('001_population_health_zone_zs'!$B$2,[1]ratio_ins!$B:$B,0))*$G43*INDEX([1]ratio_ins!$D:$D,MATCH('001_population_health_zone_zs'!$B43,[1]ratio_ins!$B:$B,0))</f>
        <v>344.581029</v>
      </c>
      <c r="AW43" s="10">
        <f>INDEX([1]ratio_ins!AT:AT,MATCH('001_population_health_zone_zs'!$B$2,[1]ratio_ins!$B:$B,0))*$G43*INDEX([1]ratio_ins!$D:$D,MATCH('001_population_health_zone_zs'!$B43,[1]ratio_ins!$B:$B,0))</f>
        <v>229.720686</v>
      </c>
      <c r="AX43" s="13">
        <f>INDEX([1]ratio_ins!AU:AU,MATCH('001_population_health_zone_zs'!$B$2,[1]ratio_ins!$B:$B,0))*$G43*INDEX([1]ratio_ins!$D:$D,MATCH('001_population_health_zone_zs'!$B43,[1]ratio_ins!$B:$B,0))</f>
        <v>2412.0672029999996</v>
      </c>
      <c r="AY43" s="14">
        <f t="shared" si="1"/>
        <v>114860.34299999999</v>
      </c>
      <c r="AZ43" s="15">
        <f t="shared" si="2"/>
        <v>226549</v>
      </c>
      <c r="BA43" s="16">
        <v>217330.66328267666</v>
      </c>
      <c r="BB43" s="10">
        <f t="shared" si="3"/>
        <v>48815.645775000005</v>
      </c>
      <c r="BC43" s="17">
        <f t="shared" si="4"/>
        <v>0.21547500000000003</v>
      </c>
      <c r="BD43" s="10">
        <f t="shared" si="5"/>
        <v>46574.169969000002</v>
      </c>
    </row>
    <row r="44" spans="1:56" x14ac:dyDescent="0.25">
      <c r="A44" s="8" t="s">
        <v>82</v>
      </c>
      <c r="B44" s="8" t="s">
        <v>83</v>
      </c>
      <c r="C44" s="8" t="s">
        <v>99</v>
      </c>
      <c r="D44" s="8" t="s">
        <v>100</v>
      </c>
      <c r="E44" s="8" t="s">
        <v>99</v>
      </c>
      <c r="F44" s="8" t="s">
        <v>103</v>
      </c>
      <c r="G44" s="9">
        <v>437948</v>
      </c>
      <c r="H44" s="10">
        <f>INDEX([1]ratio_ins!F:F,MATCH('001_population_health_zone_zs'!$B$2,[1]ratio_ins!$B:$B,0))*$G44*INDEX([1]ratio_ins!$C:$C,MATCH('001_population_health_zone_zs'!$B44,[1]ratio_ins!$B:$B,0))</f>
        <v>45124.848075999995</v>
      </c>
      <c r="I44" s="10">
        <f>INDEX([1]ratio_ins!G:G,MATCH('001_population_health_zone_zs'!$B$2,[1]ratio_ins!$B:$B,0))*$G44*INDEX([1]ratio_ins!$C:$C,MATCH('001_population_health_zone_zs'!$B44,[1]ratio_ins!$B:$B,0))</f>
        <v>36920.330244000004</v>
      </c>
      <c r="J44" s="10">
        <f>INDEX([1]ratio_ins!H:H,MATCH('001_population_health_zone_zs'!$B$2,[1]ratio_ins!$B:$B,0))*$G44*INDEX([1]ratio_ins!$C:$C,MATCH('001_population_health_zone_zs'!$B44,[1]ratio_ins!$B:$B,0))</f>
        <v>29147.629140000001</v>
      </c>
      <c r="K44" s="10">
        <f>INDEX([1]ratio_ins!I:I,MATCH('001_population_health_zone_zs'!$B$2,[1]ratio_ins!$B:$B,0))*$G44*INDEX([1]ratio_ins!$C:$C,MATCH('001_population_health_zone_zs'!$B44,[1]ratio_ins!$B:$B,0))</f>
        <v>17920.394211999999</v>
      </c>
      <c r="L44" s="10">
        <f>INDEX([1]ratio_ins!J:J,MATCH('001_population_health_zone_zs'!$B$2,[1]ratio_ins!$B:$B,0))*$G44*INDEX([1]ratio_ins!$C:$C,MATCH('001_population_health_zone_zs'!$B44,[1]ratio_ins!$B:$B,0))</f>
        <v>10752.236527199999</v>
      </c>
      <c r="M44" s="11">
        <f>INDEX([1]ratio_ins!K:K,MATCH('001_population_health_zone_zs'!$B$2,[1]ratio_ins!$B:$B,0))*$G44*INDEX([1]ratio_ins!$C:$C,MATCH('001_population_health_zone_zs'!$B44,[1]ratio_ins!$B:$B,0))</f>
        <v>121945.0439872</v>
      </c>
      <c r="N44" s="10">
        <f>INDEX([1]ratio_ins!L:L,MATCH('001_population_health_zone_zs'!$B$2,[1]ratio_ins!$B:$B,0))*$G44*INDEX([1]ratio_ins!$C:$C,MATCH('001_population_health_zone_zs'!$B44,[1]ratio_ins!$B:$B,0))</f>
        <v>7168.1576848000004</v>
      </c>
      <c r="O44" s="10">
        <f>INDEX([1]ratio_ins!M:M,MATCH('001_population_health_zone_zs'!$B$2,[1]ratio_ins!$B:$B,0))*$G44*INDEX([1]ratio_ins!$C:$C,MATCH('001_population_health_zone_zs'!$B44,[1]ratio_ins!$B:$B,0))</f>
        <v>15545.402208000001</v>
      </c>
      <c r="P44" s="10">
        <f>INDEX([1]ratio_ins!N:N,MATCH('001_population_health_zone_zs'!$B$2,[1]ratio_ins!$B:$B,0))*$G44*INDEX([1]ratio_ins!$C:$C,MATCH('001_population_health_zone_zs'!$B44,[1]ratio_ins!$B:$B,0))</f>
        <v>14034.043660000001</v>
      </c>
      <c r="Q44" s="10">
        <f>INDEX([1]ratio_ins!O:O,MATCH('001_population_health_zone_zs'!$B$2,[1]ratio_ins!$B:$B,0))*$G44*INDEX([1]ratio_ins!$C:$C,MATCH('001_population_health_zone_zs'!$B44,[1]ratio_ins!$B:$B,0))</f>
        <v>12522.685111999997</v>
      </c>
      <c r="R44" s="10">
        <f>INDEX([1]ratio_ins!P:P,MATCH('001_population_health_zone_zs'!$B$2,[1]ratio_ins!$B:$B,0))*$G44*INDEX([1]ratio_ins!$C:$C,MATCH('001_population_health_zone_zs'!$B44,[1]ratio_ins!$B:$B,0))</f>
        <v>12306.776748</v>
      </c>
      <c r="S44" s="10">
        <f>INDEX([1]ratio_ins!Q:Q,MATCH('001_population_health_zone_zs'!$B$2,[1]ratio_ins!$B:$B,0))*$G44*INDEX([1]ratio_ins!$C:$C,MATCH('001_population_health_zone_zs'!$B44,[1]ratio_ins!$B:$B,0))</f>
        <v>10363.601472</v>
      </c>
      <c r="T44" s="10">
        <f>INDEX([1]ratio_ins!R:R,MATCH('001_population_health_zone_zs'!$B$2,[1]ratio_ins!$B:$B,0))*$G44*INDEX([1]ratio_ins!$C:$C,MATCH('001_population_health_zone_zs'!$B44,[1]ratio_ins!$B:$B,0))</f>
        <v>7340.8843760000009</v>
      </c>
      <c r="U44" s="10">
        <f>INDEX([1]ratio_ins!S:S,MATCH('001_population_health_zone_zs'!$B$2,[1]ratio_ins!$B:$B,0))*$G44*INDEX([1]ratio_ins!$C:$C,MATCH('001_population_health_zone_zs'!$B44,[1]ratio_ins!$B:$B,0))</f>
        <v>5829.5258280000007</v>
      </c>
      <c r="V44" s="10">
        <f>INDEX([1]ratio_ins!T:T,MATCH('001_population_health_zone_zs'!$B$2,[1]ratio_ins!$B:$B,0))*$G44*INDEX([1]ratio_ins!$C:$C,MATCH('001_population_health_zone_zs'!$B44,[1]ratio_ins!$B:$B,0))</f>
        <v>3238.6254599999997</v>
      </c>
      <c r="W44" s="11">
        <f>INDEX([1]ratio_ins!U:U,MATCH('001_population_health_zone_zs'!$B$2,[1]ratio_ins!$B:$B,0))*$G44*INDEX([1]ratio_ins!$C:$C,MATCH('001_population_health_zone_zs'!$B44,[1]ratio_ins!$B:$B,0))</f>
        <v>88349.702548799993</v>
      </c>
      <c r="X44" s="10">
        <f>INDEX([1]ratio_ins!V:V,MATCH('001_population_health_zone_zs'!$B$2,[1]ratio_ins!$B:$B,0))*$G44*INDEX([1]ratio_ins!$C:$C,MATCH('001_population_health_zone_zs'!$B44,[1]ratio_ins!$B:$B,0))</f>
        <v>2590.9003680000001</v>
      </c>
      <c r="Y44" s="10">
        <f>INDEX([1]ratio_ins!W:W,MATCH('001_population_health_zone_zs'!$B$2,[1]ratio_ins!$B:$B,0))*$G44*INDEX([1]ratio_ins!$C:$C,MATCH('001_population_health_zone_zs'!$B44,[1]ratio_ins!$B:$B,0))</f>
        <v>1727.266912</v>
      </c>
      <c r="Z44" s="10">
        <f>INDEX([1]ratio_ins!X:X,MATCH('001_population_health_zone_zs'!$B$2,[1]ratio_ins!$B:$B,0))*$G44*INDEX([1]ratio_ins!$C:$C,MATCH('001_population_health_zone_zs'!$B44,[1]ratio_ins!$B:$B,0))</f>
        <v>863.63345600000002</v>
      </c>
      <c r="AA44" s="10">
        <f>INDEX([1]ratio_ins!Y:Y,MATCH('001_population_health_zone_zs'!$B$2,[1]ratio_ins!$B:$B,0))*$G44*INDEX([1]ratio_ins!$C:$C,MATCH('001_population_health_zone_zs'!$B44,[1]ratio_ins!$B:$B,0))</f>
        <v>431.81672800000001</v>
      </c>
      <c r="AB44" s="11">
        <f>INDEX([1]ratio_ins!Z:Z,MATCH('001_population_health_zone_zs'!$B$2,[1]ratio_ins!$B:$B,0))*$G44*INDEX([1]ratio_ins!$C:$C,MATCH('001_population_health_zone_zs'!$B44,[1]ratio_ins!$B:$B,0))</f>
        <v>5613.6174640000008</v>
      </c>
      <c r="AC44" s="12">
        <f t="shared" si="0"/>
        <v>215908.364</v>
      </c>
      <c r="AD44" s="10">
        <f>INDEX([1]ratio_ins!AA:AA,MATCH('001_population_health_zone_zs'!$B$2,[1]ratio_ins!$B:$B,0))*$G44*INDEX([1]ratio_ins!$D:$D,MATCH('001_population_health_zone_zs'!$B44,[1]ratio_ins!$B:$B,0))</f>
        <v>46628.323560000004</v>
      </c>
      <c r="AE44" s="10">
        <f>INDEX([1]ratio_ins!AB:AB,MATCH('001_population_health_zone_zs'!$B$2,[1]ratio_ins!$B:$B,0))*$G44*INDEX([1]ratio_ins!$D:$D,MATCH('001_population_health_zone_zs'!$B44,[1]ratio_ins!$B:$B,0))</f>
        <v>38412.857027999999</v>
      </c>
      <c r="AF44" s="10">
        <f>INDEX([1]ratio_ins!AC:AC,MATCH('001_population_health_zone_zs'!$B$2,[1]ratio_ins!$B:$B,0))*$G44*INDEX([1]ratio_ins!$D:$D,MATCH('001_population_health_zone_zs'!$B44,[1]ratio_ins!$B:$B,0))</f>
        <v>30419.430131999994</v>
      </c>
      <c r="AG44" s="10">
        <f>INDEX([1]ratio_ins!AD:AD,MATCH('001_population_health_zone_zs'!$B$2,[1]ratio_ins!$B:$B,0))*$G44*INDEX([1]ratio_ins!$D:$D,MATCH('001_population_health_zone_zs'!$B44,[1]ratio_ins!$B:$B,0))</f>
        <v>18429.289788000002</v>
      </c>
      <c r="AH44" s="10">
        <f>INDEX([1]ratio_ins!AE:AE,MATCH('001_population_health_zone_zs'!$B$2,[1]ratio_ins!$B:$B,0))*$G44*INDEX([1]ratio_ins!$D:$D,MATCH('001_population_health_zone_zs'!$B44,[1]ratio_ins!$B:$B,0))</f>
        <v>11057.5738728</v>
      </c>
      <c r="AI44" s="13">
        <f>INDEX([1]ratio_ins!AF:AF,MATCH('001_population_health_zone_zs'!$B$2,[1]ratio_ins!$B:$B,0))*$G44*INDEX([1]ratio_ins!$D:$D,MATCH('001_population_health_zone_zs'!$B44,[1]ratio_ins!$B:$B,0))</f>
        <v>126518.1845928</v>
      </c>
      <c r="AJ44" s="10">
        <f>INDEX([1]ratio_ins!AG:AG,MATCH('001_population_health_zone_zs'!$B$2,[1]ratio_ins!$B:$B,0))*$G44*INDEX([1]ratio_ins!$D:$D,MATCH('001_population_health_zone_zs'!$B44,[1]ratio_ins!$B:$B,0))</f>
        <v>7371.7159152000004</v>
      </c>
      <c r="AK44" s="10">
        <f>INDEX([1]ratio_ins!AH:AH,MATCH('001_population_health_zone_zs'!$B$2,[1]ratio_ins!$B:$B,0))*$G44*INDEX([1]ratio_ins!$D:$D,MATCH('001_population_health_zone_zs'!$B44,[1]ratio_ins!$B:$B,0))</f>
        <v>16430.933064000004</v>
      </c>
      <c r="AL44" s="10">
        <f>INDEX([1]ratio_ins!AI:AI,MATCH('001_population_health_zone_zs'!$B$2,[1]ratio_ins!$B:$B,0))*$G44*INDEX([1]ratio_ins!$D:$D,MATCH('001_population_health_zone_zs'!$B44,[1]ratio_ins!$B:$B,0))</f>
        <v>15542.774520000003</v>
      </c>
      <c r="AM44" s="10">
        <f>INDEX([1]ratio_ins!AJ:AJ,MATCH('001_population_health_zone_zs'!$B$2,[1]ratio_ins!$B:$B,0))*$G44*INDEX([1]ratio_ins!$D:$D,MATCH('001_population_health_zone_zs'!$B44,[1]ratio_ins!$B:$B,0))</f>
        <v>14210.536704000002</v>
      </c>
      <c r="AN44" s="10">
        <f>INDEX([1]ratio_ins!AK:AK,MATCH('001_population_health_zone_zs'!$B$2,[1]ratio_ins!$B:$B,0))*$G44*INDEX([1]ratio_ins!$D:$D,MATCH('001_population_health_zone_zs'!$B44,[1]ratio_ins!$B:$B,0))</f>
        <v>13322.378159999998</v>
      </c>
      <c r="AO44" s="10">
        <f>INDEX([1]ratio_ins!AL:AL,MATCH('001_population_health_zone_zs'!$B$2,[1]ratio_ins!$B:$B,0))*$G44*INDEX([1]ratio_ins!$D:$D,MATCH('001_population_health_zone_zs'!$B44,[1]ratio_ins!$B:$B,0))</f>
        <v>9991.7836200000002</v>
      </c>
      <c r="AP44" s="10">
        <f>INDEX([1]ratio_ins!AM:AM,MATCH('001_population_health_zone_zs'!$B$2,[1]ratio_ins!$B:$B,0))*$G44*INDEX([1]ratio_ins!$D:$D,MATCH('001_population_health_zone_zs'!$B44,[1]ratio_ins!$B:$B,0))</f>
        <v>6439.1494439999997</v>
      </c>
      <c r="AQ44" s="10">
        <f>INDEX([1]ratio_ins!AN:AN,MATCH('001_population_health_zone_zs'!$B$2,[1]ratio_ins!$B:$B,0))*$G44*INDEX([1]ratio_ins!$D:$D,MATCH('001_population_health_zone_zs'!$B44,[1]ratio_ins!$B:$B,0))</f>
        <v>5106.9116279999998</v>
      </c>
      <c r="AR44" s="10">
        <f>INDEX([1]ratio_ins!AO:AO,MATCH('001_population_health_zone_zs'!$B$2,[1]ratio_ins!$B:$B,0))*$G44*INDEX([1]ratio_ins!$D:$D,MATCH('001_population_health_zone_zs'!$B44,[1]ratio_ins!$B:$B,0))</f>
        <v>2442.4359960000006</v>
      </c>
      <c r="AS44" s="13">
        <f>INDEX([1]ratio_ins!AP:AP,MATCH('001_population_health_zone_zs'!$B$2,[1]ratio_ins!$B:$B,0))*$G44*INDEX([1]ratio_ins!$D:$D,MATCH('001_population_health_zone_zs'!$B44,[1]ratio_ins!$B:$B,0))</f>
        <v>90858.619051200003</v>
      </c>
      <c r="AT44" s="10">
        <f>INDEX([1]ratio_ins!AQ:AQ,MATCH('001_population_health_zone_zs'!$B$2,[1]ratio_ins!$B:$B,0))*$G44*INDEX([1]ratio_ins!$D:$D,MATCH('001_population_health_zone_zs'!$B44,[1]ratio_ins!$B:$B,0))</f>
        <v>2220.3963600000002</v>
      </c>
      <c r="AU44" s="10">
        <f>INDEX([1]ratio_ins!AR:AR,MATCH('001_population_health_zone_zs'!$B$2,[1]ratio_ins!$B:$B,0))*$G44*INDEX([1]ratio_ins!$D:$D,MATCH('001_population_health_zone_zs'!$B44,[1]ratio_ins!$B:$B,0))</f>
        <v>1332.2378160000001</v>
      </c>
      <c r="AV44" s="10">
        <f>INDEX([1]ratio_ins!AS:AS,MATCH('001_population_health_zone_zs'!$B$2,[1]ratio_ins!$B:$B,0))*$G44*INDEX([1]ratio_ins!$D:$D,MATCH('001_population_health_zone_zs'!$B44,[1]ratio_ins!$B:$B,0))</f>
        <v>666.11890800000003</v>
      </c>
      <c r="AW44" s="10">
        <f>INDEX([1]ratio_ins!AT:AT,MATCH('001_population_health_zone_zs'!$B$2,[1]ratio_ins!$B:$B,0))*$G44*INDEX([1]ratio_ins!$D:$D,MATCH('001_population_health_zone_zs'!$B44,[1]ratio_ins!$B:$B,0))</f>
        <v>444.07927200000006</v>
      </c>
      <c r="AX44" s="13">
        <f>INDEX([1]ratio_ins!AU:AU,MATCH('001_population_health_zone_zs'!$B$2,[1]ratio_ins!$B:$B,0))*$G44*INDEX([1]ratio_ins!$D:$D,MATCH('001_population_health_zone_zs'!$B44,[1]ratio_ins!$B:$B,0))</f>
        <v>4662.8323559999999</v>
      </c>
      <c r="AY44" s="14">
        <f t="shared" si="1"/>
        <v>222039.636</v>
      </c>
      <c r="AZ44" s="15">
        <f t="shared" si="2"/>
        <v>437948</v>
      </c>
      <c r="BA44" s="16">
        <v>420127.14169589378</v>
      </c>
      <c r="BB44" s="10">
        <f t="shared" si="3"/>
        <v>94366.845300000001</v>
      </c>
      <c r="BC44" s="17">
        <f t="shared" si="4"/>
        <v>0.215475</v>
      </c>
      <c r="BD44" s="10">
        <f t="shared" si="5"/>
        <v>90033.787788000001</v>
      </c>
    </row>
    <row r="45" spans="1:56" x14ac:dyDescent="0.25">
      <c r="A45" s="8" t="s">
        <v>82</v>
      </c>
      <c r="B45" s="8" t="s">
        <v>83</v>
      </c>
      <c r="C45" s="8" t="s">
        <v>104</v>
      </c>
      <c r="D45" s="8" t="s">
        <v>105</v>
      </c>
      <c r="E45" s="8" t="s">
        <v>106</v>
      </c>
      <c r="F45" s="8" t="s">
        <v>107</v>
      </c>
      <c r="G45" s="9">
        <v>153020</v>
      </c>
      <c r="H45" s="10">
        <f>INDEX([1]ratio_ins!F:F,MATCH('001_population_health_zone_zs'!$B$2,[1]ratio_ins!$B:$B,0))*$G45*INDEX([1]ratio_ins!$C:$C,MATCH('001_population_health_zone_zs'!$B45,[1]ratio_ins!$B:$B,0))</f>
        <v>15766.721739999999</v>
      </c>
      <c r="I45" s="10">
        <f>INDEX([1]ratio_ins!G:G,MATCH('001_population_health_zone_zs'!$B$2,[1]ratio_ins!$B:$B,0))*$G45*INDEX([1]ratio_ins!$C:$C,MATCH('001_population_health_zone_zs'!$B45,[1]ratio_ins!$B:$B,0))</f>
        <v>12900.04506</v>
      </c>
      <c r="J45" s="10">
        <f>INDEX([1]ratio_ins!H:H,MATCH('001_population_health_zone_zs'!$B$2,[1]ratio_ins!$B:$B,0))*$G45*INDEX([1]ratio_ins!$C:$C,MATCH('001_population_health_zone_zs'!$B45,[1]ratio_ins!$B:$B,0))</f>
        <v>10184.2461</v>
      </c>
      <c r="K45" s="10">
        <f>INDEX([1]ratio_ins!I:I,MATCH('001_population_health_zone_zs'!$B$2,[1]ratio_ins!$B:$B,0))*$G45*INDEX([1]ratio_ins!$C:$C,MATCH('001_population_health_zone_zs'!$B45,[1]ratio_ins!$B:$B,0))</f>
        <v>6261.4253799999997</v>
      </c>
      <c r="L45" s="10">
        <f>INDEX([1]ratio_ins!J:J,MATCH('001_population_health_zone_zs'!$B$2,[1]ratio_ins!$B:$B,0))*$G45*INDEX([1]ratio_ins!$C:$C,MATCH('001_population_health_zone_zs'!$B45,[1]ratio_ins!$B:$B,0))</f>
        <v>3756.8552279999999</v>
      </c>
      <c r="M45" s="11">
        <f>INDEX([1]ratio_ins!K:K,MATCH('001_population_health_zone_zs'!$B$2,[1]ratio_ins!$B:$B,0))*$G45*INDEX([1]ratio_ins!$C:$C,MATCH('001_population_health_zone_zs'!$B45,[1]ratio_ins!$B:$B,0))</f>
        <v>42607.868127999995</v>
      </c>
      <c r="N45" s="10">
        <f>INDEX([1]ratio_ins!L:L,MATCH('001_population_health_zone_zs'!$B$2,[1]ratio_ins!$B:$B,0))*$G45*INDEX([1]ratio_ins!$C:$C,MATCH('001_population_health_zone_zs'!$B45,[1]ratio_ins!$B:$B,0))</f>
        <v>2504.5701520000002</v>
      </c>
      <c r="O45" s="10">
        <f>INDEX([1]ratio_ins!M:M,MATCH('001_population_health_zone_zs'!$B$2,[1]ratio_ins!$B:$B,0))*$G45*INDEX([1]ratio_ins!$C:$C,MATCH('001_population_health_zone_zs'!$B45,[1]ratio_ins!$B:$B,0))</f>
        <v>5431.5979200000002</v>
      </c>
      <c r="P45" s="10">
        <f>INDEX([1]ratio_ins!N:N,MATCH('001_population_health_zone_zs'!$B$2,[1]ratio_ins!$B:$B,0))*$G45*INDEX([1]ratio_ins!$C:$C,MATCH('001_population_health_zone_zs'!$B45,[1]ratio_ins!$B:$B,0))</f>
        <v>4903.5259000000005</v>
      </c>
      <c r="Q45" s="10">
        <f>INDEX([1]ratio_ins!O:O,MATCH('001_population_health_zone_zs'!$B$2,[1]ratio_ins!$B:$B,0))*$G45*INDEX([1]ratio_ins!$C:$C,MATCH('001_population_health_zone_zs'!$B45,[1]ratio_ins!$B:$B,0))</f>
        <v>4375.45388</v>
      </c>
      <c r="R45" s="10">
        <f>INDEX([1]ratio_ins!P:P,MATCH('001_population_health_zone_zs'!$B$2,[1]ratio_ins!$B:$B,0))*$G45*INDEX([1]ratio_ins!$C:$C,MATCH('001_population_health_zone_zs'!$B45,[1]ratio_ins!$B:$B,0))</f>
        <v>4300.0150199999998</v>
      </c>
      <c r="S45" s="10">
        <f>INDEX([1]ratio_ins!Q:Q,MATCH('001_population_health_zone_zs'!$B$2,[1]ratio_ins!$B:$B,0))*$G45*INDEX([1]ratio_ins!$C:$C,MATCH('001_population_health_zone_zs'!$B45,[1]ratio_ins!$B:$B,0))</f>
        <v>3621.0652799999998</v>
      </c>
      <c r="T45" s="10">
        <f>INDEX([1]ratio_ins!R:R,MATCH('001_population_health_zone_zs'!$B$2,[1]ratio_ins!$B:$B,0))*$G45*INDEX([1]ratio_ins!$C:$C,MATCH('001_population_health_zone_zs'!$B45,[1]ratio_ins!$B:$B,0))</f>
        <v>2564.9212400000001</v>
      </c>
      <c r="U45" s="10">
        <f>INDEX([1]ratio_ins!S:S,MATCH('001_population_health_zone_zs'!$B$2,[1]ratio_ins!$B:$B,0))*$G45*INDEX([1]ratio_ins!$C:$C,MATCH('001_population_health_zone_zs'!$B45,[1]ratio_ins!$B:$B,0))</f>
        <v>2036.8492200000005</v>
      </c>
      <c r="V45" s="10">
        <f>INDEX([1]ratio_ins!T:T,MATCH('001_population_health_zone_zs'!$B$2,[1]ratio_ins!$B:$B,0))*$G45*INDEX([1]ratio_ins!$C:$C,MATCH('001_population_health_zone_zs'!$B45,[1]ratio_ins!$B:$B,0))</f>
        <v>1131.5828999999999</v>
      </c>
      <c r="W45" s="11">
        <f>INDEX([1]ratio_ins!U:U,MATCH('001_population_health_zone_zs'!$B$2,[1]ratio_ins!$B:$B,0))*$G45*INDEX([1]ratio_ins!$C:$C,MATCH('001_population_health_zone_zs'!$B45,[1]ratio_ins!$B:$B,0))</f>
        <v>30869.581512000001</v>
      </c>
      <c r="X45" s="10">
        <f>INDEX([1]ratio_ins!V:V,MATCH('001_population_health_zone_zs'!$B$2,[1]ratio_ins!$B:$B,0))*$G45*INDEX([1]ratio_ins!$C:$C,MATCH('001_population_health_zone_zs'!$B45,[1]ratio_ins!$B:$B,0))</f>
        <v>905.26631999999995</v>
      </c>
      <c r="Y45" s="10">
        <f>INDEX([1]ratio_ins!W:W,MATCH('001_population_health_zone_zs'!$B$2,[1]ratio_ins!$B:$B,0))*$G45*INDEX([1]ratio_ins!$C:$C,MATCH('001_population_health_zone_zs'!$B45,[1]ratio_ins!$B:$B,0))</f>
        <v>603.51088000000004</v>
      </c>
      <c r="Z45" s="10">
        <f>INDEX([1]ratio_ins!X:X,MATCH('001_population_health_zone_zs'!$B$2,[1]ratio_ins!$B:$B,0))*$G45*INDEX([1]ratio_ins!$C:$C,MATCH('001_population_health_zone_zs'!$B45,[1]ratio_ins!$B:$B,0))</f>
        <v>301.75544000000002</v>
      </c>
      <c r="AA45" s="10">
        <f>INDEX([1]ratio_ins!Y:Y,MATCH('001_population_health_zone_zs'!$B$2,[1]ratio_ins!$B:$B,0))*$G45*INDEX([1]ratio_ins!$C:$C,MATCH('001_population_health_zone_zs'!$B45,[1]ratio_ins!$B:$B,0))</f>
        <v>150.87772000000001</v>
      </c>
      <c r="AB45" s="11">
        <f>INDEX([1]ratio_ins!Z:Z,MATCH('001_population_health_zone_zs'!$B$2,[1]ratio_ins!$B:$B,0))*$G45*INDEX([1]ratio_ins!$C:$C,MATCH('001_population_health_zone_zs'!$B45,[1]ratio_ins!$B:$B,0))</f>
        <v>1961.4103600000001</v>
      </c>
      <c r="AC45" s="12">
        <f t="shared" si="0"/>
        <v>75438.859999999986</v>
      </c>
      <c r="AD45" s="10">
        <f>INDEX([1]ratio_ins!AA:AA,MATCH('001_population_health_zone_zs'!$B$2,[1]ratio_ins!$B:$B,0))*$G45*INDEX([1]ratio_ins!$D:$D,MATCH('001_population_health_zone_zs'!$B45,[1]ratio_ins!$B:$B,0))</f>
        <v>16292.039399999998</v>
      </c>
      <c r="AE45" s="10">
        <f>INDEX([1]ratio_ins!AB:AB,MATCH('001_population_health_zone_zs'!$B$2,[1]ratio_ins!$B:$B,0))*$G45*INDEX([1]ratio_ins!$D:$D,MATCH('001_population_health_zone_zs'!$B45,[1]ratio_ins!$B:$B,0))</f>
        <v>13421.537220000002</v>
      </c>
      <c r="AF45" s="10">
        <f>INDEX([1]ratio_ins!AC:AC,MATCH('001_population_health_zone_zs'!$B$2,[1]ratio_ins!$B:$B,0))*$G45*INDEX([1]ratio_ins!$D:$D,MATCH('001_population_health_zone_zs'!$B45,[1]ratio_ins!$B:$B,0))</f>
        <v>10628.616179999999</v>
      </c>
      <c r="AG45" s="10">
        <f>INDEX([1]ratio_ins!AD:AD,MATCH('001_population_health_zone_zs'!$B$2,[1]ratio_ins!$B:$B,0))*$G45*INDEX([1]ratio_ins!$D:$D,MATCH('001_population_health_zone_zs'!$B45,[1]ratio_ins!$B:$B,0))</f>
        <v>6439.2346200000002</v>
      </c>
      <c r="AH45" s="10">
        <f>INDEX([1]ratio_ins!AE:AE,MATCH('001_population_health_zone_zs'!$B$2,[1]ratio_ins!$B:$B,0))*$G45*INDEX([1]ratio_ins!$D:$D,MATCH('001_population_health_zone_zs'!$B45,[1]ratio_ins!$B:$B,0))</f>
        <v>3863.5407719999998</v>
      </c>
      <c r="AI45" s="13">
        <f>INDEX([1]ratio_ins!AF:AF,MATCH('001_population_health_zone_zs'!$B$2,[1]ratio_ins!$B:$B,0))*$G45*INDEX([1]ratio_ins!$D:$D,MATCH('001_population_health_zone_zs'!$B45,[1]ratio_ins!$B:$B,0))</f>
        <v>44205.733572000005</v>
      </c>
      <c r="AJ45" s="10">
        <f>INDEX([1]ratio_ins!AG:AG,MATCH('001_population_health_zone_zs'!$B$2,[1]ratio_ins!$B:$B,0))*$G45*INDEX([1]ratio_ins!$D:$D,MATCH('001_population_health_zone_zs'!$B45,[1]ratio_ins!$B:$B,0))</f>
        <v>2575.6938479999999</v>
      </c>
      <c r="AK45" s="10">
        <f>INDEX([1]ratio_ins!AH:AH,MATCH('001_population_health_zone_zs'!$B$2,[1]ratio_ins!$B:$B,0))*$G45*INDEX([1]ratio_ins!$D:$D,MATCH('001_population_health_zone_zs'!$B45,[1]ratio_ins!$B:$B,0))</f>
        <v>5741.0043600000008</v>
      </c>
      <c r="AL45" s="10">
        <f>INDEX([1]ratio_ins!AI:AI,MATCH('001_population_health_zone_zs'!$B$2,[1]ratio_ins!$B:$B,0))*$G45*INDEX([1]ratio_ins!$D:$D,MATCH('001_population_health_zone_zs'!$B45,[1]ratio_ins!$B:$B,0))</f>
        <v>5430.6798000000008</v>
      </c>
      <c r="AM45" s="10">
        <f>INDEX([1]ratio_ins!AJ:AJ,MATCH('001_population_health_zone_zs'!$B$2,[1]ratio_ins!$B:$B,0))*$G45*INDEX([1]ratio_ins!$D:$D,MATCH('001_population_health_zone_zs'!$B45,[1]ratio_ins!$B:$B,0))</f>
        <v>4965.1929600000003</v>
      </c>
      <c r="AN45" s="10">
        <f>INDEX([1]ratio_ins!AK:AK,MATCH('001_population_health_zone_zs'!$B$2,[1]ratio_ins!$B:$B,0))*$G45*INDEX([1]ratio_ins!$D:$D,MATCH('001_population_health_zone_zs'!$B45,[1]ratio_ins!$B:$B,0))</f>
        <v>4654.8683999999994</v>
      </c>
      <c r="AO45" s="10">
        <f>INDEX([1]ratio_ins!AL:AL,MATCH('001_population_health_zone_zs'!$B$2,[1]ratio_ins!$B:$B,0))*$G45*INDEX([1]ratio_ins!$D:$D,MATCH('001_population_health_zone_zs'!$B45,[1]ratio_ins!$B:$B,0))</f>
        <v>3491.1513</v>
      </c>
      <c r="AP45" s="10">
        <f>INDEX([1]ratio_ins!AM:AM,MATCH('001_population_health_zone_zs'!$B$2,[1]ratio_ins!$B:$B,0))*$G45*INDEX([1]ratio_ins!$D:$D,MATCH('001_population_health_zone_zs'!$B45,[1]ratio_ins!$B:$B,0))</f>
        <v>2249.8530599999999</v>
      </c>
      <c r="AQ45" s="10">
        <f>INDEX([1]ratio_ins!AN:AN,MATCH('001_population_health_zone_zs'!$B$2,[1]ratio_ins!$B:$B,0))*$G45*INDEX([1]ratio_ins!$D:$D,MATCH('001_population_health_zone_zs'!$B45,[1]ratio_ins!$B:$B,0))</f>
        <v>1784.3662200000001</v>
      </c>
      <c r="AR45" s="10">
        <f>INDEX([1]ratio_ins!AO:AO,MATCH('001_population_health_zone_zs'!$B$2,[1]ratio_ins!$B:$B,0))*$G45*INDEX([1]ratio_ins!$D:$D,MATCH('001_population_health_zone_zs'!$B45,[1]ratio_ins!$B:$B,0))</f>
        <v>853.39254000000017</v>
      </c>
      <c r="AS45" s="13">
        <f>INDEX([1]ratio_ins!AP:AP,MATCH('001_population_health_zone_zs'!$B$2,[1]ratio_ins!$B:$B,0))*$G45*INDEX([1]ratio_ins!$D:$D,MATCH('001_population_health_zone_zs'!$B45,[1]ratio_ins!$B:$B,0))</f>
        <v>31746.202487999999</v>
      </c>
      <c r="AT45" s="10">
        <f>INDEX([1]ratio_ins!AQ:AQ,MATCH('001_population_health_zone_zs'!$B$2,[1]ratio_ins!$B:$B,0))*$G45*INDEX([1]ratio_ins!$D:$D,MATCH('001_population_health_zone_zs'!$B45,[1]ratio_ins!$B:$B,0))</f>
        <v>775.81140000000005</v>
      </c>
      <c r="AU45" s="10">
        <f>INDEX([1]ratio_ins!AR:AR,MATCH('001_population_health_zone_zs'!$B$2,[1]ratio_ins!$B:$B,0))*$G45*INDEX([1]ratio_ins!$D:$D,MATCH('001_population_health_zone_zs'!$B45,[1]ratio_ins!$B:$B,0))</f>
        <v>465.48684000000003</v>
      </c>
      <c r="AV45" s="10">
        <f>INDEX([1]ratio_ins!AS:AS,MATCH('001_population_health_zone_zs'!$B$2,[1]ratio_ins!$B:$B,0))*$G45*INDEX([1]ratio_ins!$D:$D,MATCH('001_population_health_zone_zs'!$B45,[1]ratio_ins!$B:$B,0))</f>
        <v>232.74342000000001</v>
      </c>
      <c r="AW45" s="10">
        <f>INDEX([1]ratio_ins!AT:AT,MATCH('001_population_health_zone_zs'!$B$2,[1]ratio_ins!$B:$B,0))*$G45*INDEX([1]ratio_ins!$D:$D,MATCH('001_population_health_zone_zs'!$B45,[1]ratio_ins!$B:$B,0))</f>
        <v>155.16228000000001</v>
      </c>
      <c r="AX45" s="13">
        <f>INDEX([1]ratio_ins!AU:AU,MATCH('001_population_health_zone_zs'!$B$2,[1]ratio_ins!$B:$B,0))*$G45*INDEX([1]ratio_ins!$D:$D,MATCH('001_population_health_zone_zs'!$B45,[1]ratio_ins!$B:$B,0))</f>
        <v>1629.2039399999999</v>
      </c>
      <c r="AY45" s="14">
        <f t="shared" si="1"/>
        <v>77581.140000000014</v>
      </c>
      <c r="AZ45" s="15">
        <f t="shared" si="2"/>
        <v>153020</v>
      </c>
      <c r="BA45" s="16">
        <v>146793.51818215879</v>
      </c>
      <c r="BB45" s="10">
        <f t="shared" si="3"/>
        <v>32971.984499999999</v>
      </c>
      <c r="BC45" s="17">
        <f t="shared" si="4"/>
        <v>0.215475</v>
      </c>
      <c r="BD45" s="10">
        <f t="shared" si="5"/>
        <v>31458.00462</v>
      </c>
    </row>
    <row r="46" spans="1:56" x14ac:dyDescent="0.25">
      <c r="A46" s="8" t="s">
        <v>82</v>
      </c>
      <c r="B46" s="8" t="s">
        <v>83</v>
      </c>
      <c r="C46" s="8" t="s">
        <v>104</v>
      </c>
      <c r="D46" s="8" t="s">
        <v>105</v>
      </c>
      <c r="E46" s="8" t="s">
        <v>108</v>
      </c>
      <c r="F46" s="8" t="s">
        <v>109</v>
      </c>
      <c r="G46" s="9">
        <v>141547</v>
      </c>
      <c r="H46" s="10">
        <f>INDEX([1]ratio_ins!F:F,MATCH('001_population_health_zone_zs'!$B$2,[1]ratio_ins!$B:$B,0))*$G46*INDEX([1]ratio_ins!$C:$C,MATCH('001_population_health_zone_zs'!$B46,[1]ratio_ins!$B:$B,0))</f>
        <v>14584.578239</v>
      </c>
      <c r="I46" s="10">
        <f>INDEX([1]ratio_ins!G:G,MATCH('001_population_health_zone_zs'!$B$2,[1]ratio_ins!$B:$B,0))*$G46*INDEX([1]ratio_ins!$C:$C,MATCH('001_population_health_zone_zs'!$B46,[1]ratio_ins!$B:$B,0))</f>
        <v>11932.836740999999</v>
      </c>
      <c r="J46" s="10">
        <f>INDEX([1]ratio_ins!H:H,MATCH('001_population_health_zone_zs'!$B$2,[1]ratio_ins!$B:$B,0))*$G46*INDEX([1]ratio_ins!$C:$C,MATCH('001_population_health_zone_zs'!$B46,[1]ratio_ins!$B:$B,0))</f>
        <v>9420.6605849999996</v>
      </c>
      <c r="K46" s="10">
        <f>INDEX([1]ratio_ins!I:I,MATCH('001_population_health_zone_zs'!$B$2,[1]ratio_ins!$B:$B,0))*$G46*INDEX([1]ratio_ins!$C:$C,MATCH('001_population_health_zone_zs'!$B46,[1]ratio_ins!$B:$B,0))</f>
        <v>5791.9616930000002</v>
      </c>
      <c r="L46" s="10">
        <f>INDEX([1]ratio_ins!J:J,MATCH('001_population_health_zone_zs'!$B$2,[1]ratio_ins!$B:$B,0))*$G46*INDEX([1]ratio_ins!$C:$C,MATCH('001_population_health_zone_zs'!$B46,[1]ratio_ins!$B:$B,0))</f>
        <v>3475.1770157999995</v>
      </c>
      <c r="M46" s="11">
        <f>INDEX([1]ratio_ins!K:K,MATCH('001_population_health_zone_zs'!$B$2,[1]ratio_ins!$B:$B,0))*$G46*INDEX([1]ratio_ins!$C:$C,MATCH('001_population_health_zone_zs'!$B46,[1]ratio_ins!$B:$B,0))</f>
        <v>39413.252580799999</v>
      </c>
      <c r="N46" s="10">
        <f>INDEX([1]ratio_ins!L:L,MATCH('001_population_health_zone_zs'!$B$2,[1]ratio_ins!$B:$B,0))*$G46*INDEX([1]ratio_ins!$C:$C,MATCH('001_population_health_zone_zs'!$B46,[1]ratio_ins!$B:$B,0))</f>
        <v>2316.7846772000003</v>
      </c>
      <c r="O46" s="10">
        <f>INDEX([1]ratio_ins!M:M,MATCH('001_population_health_zone_zs'!$B$2,[1]ratio_ins!$B:$B,0))*$G46*INDEX([1]ratio_ins!$C:$C,MATCH('001_population_health_zone_zs'!$B46,[1]ratio_ins!$B:$B,0))</f>
        <v>5024.3523120000009</v>
      </c>
      <c r="P46" s="10">
        <f>INDEX([1]ratio_ins!N:N,MATCH('001_population_health_zone_zs'!$B$2,[1]ratio_ins!$B:$B,0))*$G46*INDEX([1]ratio_ins!$C:$C,MATCH('001_population_health_zone_zs'!$B46,[1]ratio_ins!$B:$B,0))</f>
        <v>4535.8736150000004</v>
      </c>
      <c r="Q46" s="10">
        <f>INDEX([1]ratio_ins!O:O,MATCH('001_population_health_zone_zs'!$B$2,[1]ratio_ins!$B:$B,0))*$G46*INDEX([1]ratio_ins!$C:$C,MATCH('001_population_health_zone_zs'!$B46,[1]ratio_ins!$B:$B,0))</f>
        <v>4047.3949179999995</v>
      </c>
      <c r="R46" s="10">
        <f>INDEX([1]ratio_ins!P:P,MATCH('001_population_health_zone_zs'!$B$2,[1]ratio_ins!$B:$B,0))*$G46*INDEX([1]ratio_ins!$C:$C,MATCH('001_population_health_zone_zs'!$B46,[1]ratio_ins!$B:$B,0))</f>
        <v>3977.612247</v>
      </c>
      <c r="S46" s="10">
        <f>INDEX([1]ratio_ins!Q:Q,MATCH('001_population_health_zone_zs'!$B$2,[1]ratio_ins!$B:$B,0))*$G46*INDEX([1]ratio_ins!$C:$C,MATCH('001_population_health_zone_zs'!$B46,[1]ratio_ins!$B:$B,0))</f>
        <v>3349.5682080000001</v>
      </c>
      <c r="T46" s="10">
        <f>INDEX([1]ratio_ins!R:R,MATCH('001_population_health_zone_zs'!$B$2,[1]ratio_ins!$B:$B,0))*$G46*INDEX([1]ratio_ins!$C:$C,MATCH('001_population_health_zone_zs'!$B46,[1]ratio_ins!$B:$B,0))</f>
        <v>2372.6108140000001</v>
      </c>
      <c r="U46" s="10">
        <f>INDEX([1]ratio_ins!S:S,MATCH('001_population_health_zone_zs'!$B$2,[1]ratio_ins!$B:$B,0))*$G46*INDEX([1]ratio_ins!$C:$C,MATCH('001_population_health_zone_zs'!$B46,[1]ratio_ins!$B:$B,0))</f>
        <v>1884.1321170000001</v>
      </c>
      <c r="V46" s="10">
        <f>INDEX([1]ratio_ins!T:T,MATCH('001_population_health_zone_zs'!$B$2,[1]ratio_ins!$B:$B,0))*$G46*INDEX([1]ratio_ins!$C:$C,MATCH('001_population_health_zone_zs'!$B46,[1]ratio_ins!$B:$B,0))</f>
        <v>1046.740065</v>
      </c>
      <c r="W46" s="11">
        <f>INDEX([1]ratio_ins!U:U,MATCH('001_population_health_zone_zs'!$B$2,[1]ratio_ins!$B:$B,0))*$G46*INDEX([1]ratio_ins!$C:$C,MATCH('001_population_health_zone_zs'!$B46,[1]ratio_ins!$B:$B,0))</f>
        <v>28555.068973200003</v>
      </c>
      <c r="X46" s="10">
        <f>INDEX([1]ratio_ins!V:V,MATCH('001_population_health_zone_zs'!$B$2,[1]ratio_ins!$B:$B,0))*$G46*INDEX([1]ratio_ins!$C:$C,MATCH('001_population_health_zone_zs'!$B46,[1]ratio_ins!$B:$B,0))</f>
        <v>837.39205200000004</v>
      </c>
      <c r="Y46" s="10">
        <f>INDEX([1]ratio_ins!W:W,MATCH('001_population_health_zone_zs'!$B$2,[1]ratio_ins!$B:$B,0))*$G46*INDEX([1]ratio_ins!$C:$C,MATCH('001_population_health_zone_zs'!$B46,[1]ratio_ins!$B:$B,0))</f>
        <v>558.26136799999995</v>
      </c>
      <c r="Z46" s="10">
        <f>INDEX([1]ratio_ins!X:X,MATCH('001_population_health_zone_zs'!$B$2,[1]ratio_ins!$B:$B,0))*$G46*INDEX([1]ratio_ins!$C:$C,MATCH('001_population_health_zone_zs'!$B46,[1]ratio_ins!$B:$B,0))</f>
        <v>279.13068399999997</v>
      </c>
      <c r="AA46" s="10">
        <f>INDEX([1]ratio_ins!Y:Y,MATCH('001_population_health_zone_zs'!$B$2,[1]ratio_ins!$B:$B,0))*$G46*INDEX([1]ratio_ins!$C:$C,MATCH('001_population_health_zone_zs'!$B46,[1]ratio_ins!$B:$B,0))</f>
        <v>139.56534199999999</v>
      </c>
      <c r="AB46" s="11">
        <f>INDEX([1]ratio_ins!Z:Z,MATCH('001_population_health_zone_zs'!$B$2,[1]ratio_ins!$B:$B,0))*$G46*INDEX([1]ratio_ins!$C:$C,MATCH('001_population_health_zone_zs'!$B46,[1]ratio_ins!$B:$B,0))</f>
        <v>1814.3494460000002</v>
      </c>
      <c r="AC46" s="12">
        <f t="shared" si="0"/>
        <v>69782.671000000002</v>
      </c>
      <c r="AD46" s="10">
        <f>INDEX([1]ratio_ins!AA:AA,MATCH('001_population_health_zone_zs'!$B$2,[1]ratio_ins!$B:$B,0))*$G46*INDEX([1]ratio_ins!$D:$D,MATCH('001_population_health_zone_zs'!$B46,[1]ratio_ins!$B:$B,0))</f>
        <v>15070.50909</v>
      </c>
      <c r="AE46" s="10">
        <f>INDEX([1]ratio_ins!AB:AB,MATCH('001_population_health_zone_zs'!$B$2,[1]ratio_ins!$B:$B,0))*$G46*INDEX([1]ratio_ins!$D:$D,MATCH('001_population_health_zone_zs'!$B46,[1]ratio_ins!$B:$B,0))</f>
        <v>12415.228917</v>
      </c>
      <c r="AF46" s="10">
        <f>INDEX([1]ratio_ins!AC:AC,MATCH('001_population_health_zone_zs'!$B$2,[1]ratio_ins!$B:$B,0))*$G46*INDEX([1]ratio_ins!$D:$D,MATCH('001_population_health_zone_zs'!$B46,[1]ratio_ins!$B:$B,0))</f>
        <v>9831.713072999999</v>
      </c>
      <c r="AG46" s="10">
        <f>INDEX([1]ratio_ins!AD:AD,MATCH('001_population_health_zone_zs'!$B$2,[1]ratio_ins!$B:$B,0))*$G46*INDEX([1]ratio_ins!$D:$D,MATCH('001_population_health_zone_zs'!$B46,[1]ratio_ins!$B:$B,0))</f>
        <v>5956.4393069999996</v>
      </c>
      <c r="AH46" s="10">
        <f>INDEX([1]ratio_ins!AE:AE,MATCH('001_population_health_zone_zs'!$B$2,[1]ratio_ins!$B:$B,0))*$G46*INDEX([1]ratio_ins!$D:$D,MATCH('001_population_health_zone_zs'!$B46,[1]ratio_ins!$B:$B,0))</f>
        <v>3573.8635841999999</v>
      </c>
      <c r="AI46" s="13">
        <f>INDEX([1]ratio_ins!AF:AF,MATCH('001_population_health_zone_zs'!$B$2,[1]ratio_ins!$B:$B,0))*$G46*INDEX([1]ratio_ins!$D:$D,MATCH('001_population_health_zone_zs'!$B46,[1]ratio_ins!$B:$B,0))</f>
        <v>40891.314664199999</v>
      </c>
      <c r="AJ46" s="10">
        <f>INDEX([1]ratio_ins!AG:AG,MATCH('001_population_health_zone_zs'!$B$2,[1]ratio_ins!$B:$B,0))*$G46*INDEX([1]ratio_ins!$D:$D,MATCH('001_population_health_zone_zs'!$B46,[1]ratio_ins!$B:$B,0))</f>
        <v>2382.5757228000002</v>
      </c>
      <c r="AK46" s="10">
        <f>INDEX([1]ratio_ins!AH:AH,MATCH('001_population_health_zone_zs'!$B$2,[1]ratio_ins!$B:$B,0))*$G46*INDEX([1]ratio_ins!$D:$D,MATCH('001_population_health_zone_zs'!$B46,[1]ratio_ins!$B:$B,0))</f>
        <v>5310.5603460000002</v>
      </c>
      <c r="AL46" s="10">
        <f>INDEX([1]ratio_ins!AI:AI,MATCH('001_population_health_zone_zs'!$B$2,[1]ratio_ins!$B:$B,0))*$G46*INDEX([1]ratio_ins!$D:$D,MATCH('001_population_health_zone_zs'!$B46,[1]ratio_ins!$B:$B,0))</f>
        <v>5023.5030300000008</v>
      </c>
      <c r="AM46" s="10">
        <f>INDEX([1]ratio_ins!AJ:AJ,MATCH('001_population_health_zone_zs'!$B$2,[1]ratio_ins!$B:$B,0))*$G46*INDEX([1]ratio_ins!$D:$D,MATCH('001_population_health_zone_zs'!$B46,[1]ratio_ins!$B:$B,0))</f>
        <v>4592.9170560000002</v>
      </c>
      <c r="AN46" s="10">
        <f>INDEX([1]ratio_ins!AK:AK,MATCH('001_population_health_zone_zs'!$B$2,[1]ratio_ins!$B:$B,0))*$G46*INDEX([1]ratio_ins!$D:$D,MATCH('001_population_health_zone_zs'!$B46,[1]ratio_ins!$B:$B,0))</f>
        <v>4305.8597399999999</v>
      </c>
      <c r="AO46" s="10">
        <f>INDEX([1]ratio_ins!AL:AL,MATCH('001_population_health_zone_zs'!$B$2,[1]ratio_ins!$B:$B,0))*$G46*INDEX([1]ratio_ins!$D:$D,MATCH('001_population_health_zone_zs'!$B46,[1]ratio_ins!$B:$B,0))</f>
        <v>3229.3948049999999</v>
      </c>
      <c r="AP46" s="10">
        <f>INDEX([1]ratio_ins!AM:AM,MATCH('001_population_health_zone_zs'!$B$2,[1]ratio_ins!$B:$B,0))*$G46*INDEX([1]ratio_ins!$D:$D,MATCH('001_population_health_zone_zs'!$B46,[1]ratio_ins!$B:$B,0))</f>
        <v>2081.1655409999998</v>
      </c>
      <c r="AQ46" s="10">
        <f>INDEX([1]ratio_ins!AN:AN,MATCH('001_population_health_zone_zs'!$B$2,[1]ratio_ins!$B:$B,0))*$G46*INDEX([1]ratio_ins!$D:$D,MATCH('001_population_health_zone_zs'!$B46,[1]ratio_ins!$B:$B,0))</f>
        <v>1650.579567</v>
      </c>
      <c r="AR46" s="10">
        <f>INDEX([1]ratio_ins!AO:AO,MATCH('001_population_health_zone_zs'!$B$2,[1]ratio_ins!$B:$B,0))*$G46*INDEX([1]ratio_ins!$D:$D,MATCH('001_population_health_zone_zs'!$B46,[1]ratio_ins!$B:$B,0))</f>
        <v>789.40761900000007</v>
      </c>
      <c r="AS46" s="13">
        <f>INDEX([1]ratio_ins!AP:AP,MATCH('001_population_health_zone_zs'!$B$2,[1]ratio_ins!$B:$B,0))*$G46*INDEX([1]ratio_ins!$D:$D,MATCH('001_population_health_zone_zs'!$B46,[1]ratio_ins!$B:$B,0))</f>
        <v>29365.963426800001</v>
      </c>
      <c r="AT46" s="10">
        <f>INDEX([1]ratio_ins!AQ:AQ,MATCH('001_population_health_zone_zs'!$B$2,[1]ratio_ins!$B:$B,0))*$G46*INDEX([1]ratio_ins!$D:$D,MATCH('001_population_health_zone_zs'!$B46,[1]ratio_ins!$B:$B,0))</f>
        <v>717.64328999999998</v>
      </c>
      <c r="AU46" s="10">
        <f>INDEX([1]ratio_ins!AR:AR,MATCH('001_population_health_zone_zs'!$B$2,[1]ratio_ins!$B:$B,0))*$G46*INDEX([1]ratio_ins!$D:$D,MATCH('001_population_health_zone_zs'!$B46,[1]ratio_ins!$B:$B,0))</f>
        <v>430.58597400000002</v>
      </c>
      <c r="AV46" s="10">
        <f>INDEX([1]ratio_ins!AS:AS,MATCH('001_population_health_zone_zs'!$B$2,[1]ratio_ins!$B:$B,0))*$G46*INDEX([1]ratio_ins!$D:$D,MATCH('001_population_health_zone_zs'!$B46,[1]ratio_ins!$B:$B,0))</f>
        <v>215.29298700000001</v>
      </c>
      <c r="AW46" s="10">
        <f>INDEX([1]ratio_ins!AT:AT,MATCH('001_population_health_zone_zs'!$B$2,[1]ratio_ins!$B:$B,0))*$G46*INDEX([1]ratio_ins!$D:$D,MATCH('001_population_health_zone_zs'!$B46,[1]ratio_ins!$B:$B,0))</f>
        <v>143.52865800000001</v>
      </c>
      <c r="AX46" s="13">
        <f>INDEX([1]ratio_ins!AU:AU,MATCH('001_population_health_zone_zs'!$B$2,[1]ratio_ins!$B:$B,0))*$G46*INDEX([1]ratio_ins!$D:$D,MATCH('001_population_health_zone_zs'!$B46,[1]ratio_ins!$B:$B,0))</f>
        <v>1507.0509089999998</v>
      </c>
      <c r="AY46" s="14">
        <f t="shared" si="1"/>
        <v>71764.328999999998</v>
      </c>
      <c r="AZ46" s="15">
        <f t="shared" si="2"/>
        <v>141547</v>
      </c>
      <c r="BA46" s="16">
        <v>135787.06506741644</v>
      </c>
      <c r="BB46" s="10">
        <f t="shared" si="3"/>
        <v>30499.839825000003</v>
      </c>
      <c r="BC46" s="17">
        <f t="shared" si="4"/>
        <v>0.21547500000000003</v>
      </c>
      <c r="BD46" s="10">
        <f t="shared" si="5"/>
        <v>29099.373807</v>
      </c>
    </row>
    <row r="47" spans="1:56" x14ac:dyDescent="0.25">
      <c r="A47" s="8" t="s">
        <v>82</v>
      </c>
      <c r="B47" s="8" t="s">
        <v>83</v>
      </c>
      <c r="C47" s="8" t="s">
        <v>104</v>
      </c>
      <c r="D47" s="8" t="s">
        <v>105</v>
      </c>
      <c r="E47" s="8" t="s">
        <v>110</v>
      </c>
      <c r="F47" s="8" t="s">
        <v>111</v>
      </c>
      <c r="G47" s="9">
        <v>189517</v>
      </c>
      <c r="H47" s="10">
        <f>INDEX([1]ratio_ins!F:F,MATCH('001_population_health_zone_zs'!$B$2,[1]ratio_ins!$B:$B,0))*$G47*INDEX([1]ratio_ins!$C:$C,MATCH('001_population_health_zone_zs'!$B47,[1]ratio_ins!$B:$B,0))</f>
        <v>19527.263128999999</v>
      </c>
      <c r="I47" s="10">
        <f>INDEX([1]ratio_ins!G:G,MATCH('001_population_health_zone_zs'!$B$2,[1]ratio_ins!$B:$B,0))*$G47*INDEX([1]ratio_ins!$C:$C,MATCH('001_population_health_zone_zs'!$B47,[1]ratio_ins!$B:$B,0))</f>
        <v>15976.851651000001</v>
      </c>
      <c r="J47" s="10">
        <f>INDEX([1]ratio_ins!H:H,MATCH('001_population_health_zone_zs'!$B$2,[1]ratio_ins!$B:$B,0))*$G47*INDEX([1]ratio_ins!$C:$C,MATCH('001_population_health_zone_zs'!$B47,[1]ratio_ins!$B:$B,0))</f>
        <v>12613.303935</v>
      </c>
      <c r="K47" s="10">
        <f>INDEX([1]ratio_ins!I:I,MATCH('001_population_health_zone_zs'!$B$2,[1]ratio_ins!$B:$B,0))*$G47*INDEX([1]ratio_ins!$C:$C,MATCH('001_population_health_zone_zs'!$B47,[1]ratio_ins!$B:$B,0))</f>
        <v>7754.8461230000003</v>
      </c>
      <c r="L47" s="10">
        <f>INDEX([1]ratio_ins!J:J,MATCH('001_population_health_zone_zs'!$B$2,[1]ratio_ins!$B:$B,0))*$G47*INDEX([1]ratio_ins!$C:$C,MATCH('001_population_health_zone_zs'!$B47,[1]ratio_ins!$B:$B,0))</f>
        <v>4652.9076737999994</v>
      </c>
      <c r="M47" s="11">
        <f>INDEX([1]ratio_ins!K:K,MATCH('001_population_health_zone_zs'!$B$2,[1]ratio_ins!$B:$B,0))*$G47*INDEX([1]ratio_ins!$C:$C,MATCH('001_population_health_zone_zs'!$B47,[1]ratio_ins!$B:$B,0))</f>
        <v>52770.3263888</v>
      </c>
      <c r="N47" s="10">
        <f>INDEX([1]ratio_ins!L:L,MATCH('001_population_health_zone_zs'!$B$2,[1]ratio_ins!$B:$B,0))*$G47*INDEX([1]ratio_ins!$C:$C,MATCH('001_population_health_zone_zs'!$B47,[1]ratio_ins!$B:$B,0))</f>
        <v>3101.9384491999999</v>
      </c>
      <c r="O47" s="10">
        <f>INDEX([1]ratio_ins!M:M,MATCH('001_population_health_zone_zs'!$B$2,[1]ratio_ins!$B:$B,0))*$G47*INDEX([1]ratio_ins!$C:$C,MATCH('001_population_health_zone_zs'!$B47,[1]ratio_ins!$B:$B,0))</f>
        <v>6727.095432000001</v>
      </c>
      <c r="P47" s="10">
        <f>INDEX([1]ratio_ins!N:N,MATCH('001_population_health_zone_zs'!$B$2,[1]ratio_ins!$B:$B,0))*$G47*INDEX([1]ratio_ins!$C:$C,MATCH('001_population_health_zone_zs'!$B47,[1]ratio_ins!$B:$B,0))</f>
        <v>6073.0722649999998</v>
      </c>
      <c r="Q47" s="10">
        <f>INDEX([1]ratio_ins!O:O,MATCH('001_population_health_zone_zs'!$B$2,[1]ratio_ins!$B:$B,0))*$G47*INDEX([1]ratio_ins!$C:$C,MATCH('001_population_health_zone_zs'!$B47,[1]ratio_ins!$B:$B,0))</f>
        <v>5419.0490979999995</v>
      </c>
      <c r="R47" s="10">
        <f>INDEX([1]ratio_ins!P:P,MATCH('001_population_health_zone_zs'!$B$2,[1]ratio_ins!$B:$B,0))*$G47*INDEX([1]ratio_ins!$C:$C,MATCH('001_population_health_zone_zs'!$B47,[1]ratio_ins!$B:$B,0))</f>
        <v>5325.617217</v>
      </c>
      <c r="S47" s="10">
        <f>INDEX([1]ratio_ins!Q:Q,MATCH('001_population_health_zone_zs'!$B$2,[1]ratio_ins!$B:$B,0))*$G47*INDEX([1]ratio_ins!$C:$C,MATCH('001_population_health_zone_zs'!$B47,[1]ratio_ins!$B:$B,0))</f>
        <v>4484.7302880000007</v>
      </c>
      <c r="T47" s="10">
        <f>INDEX([1]ratio_ins!R:R,MATCH('001_population_health_zone_zs'!$B$2,[1]ratio_ins!$B:$B,0))*$G47*INDEX([1]ratio_ins!$C:$C,MATCH('001_population_health_zone_zs'!$B47,[1]ratio_ins!$B:$B,0))</f>
        <v>3176.6839540000001</v>
      </c>
      <c r="U47" s="10">
        <f>INDEX([1]ratio_ins!S:S,MATCH('001_population_health_zone_zs'!$B$2,[1]ratio_ins!$B:$B,0))*$G47*INDEX([1]ratio_ins!$C:$C,MATCH('001_population_health_zone_zs'!$B47,[1]ratio_ins!$B:$B,0))</f>
        <v>2522.6607870000003</v>
      </c>
      <c r="V47" s="10">
        <f>INDEX([1]ratio_ins!T:T,MATCH('001_population_health_zone_zs'!$B$2,[1]ratio_ins!$B:$B,0))*$G47*INDEX([1]ratio_ins!$C:$C,MATCH('001_population_health_zone_zs'!$B47,[1]ratio_ins!$B:$B,0))</f>
        <v>1401.4782150000001</v>
      </c>
      <c r="W47" s="11">
        <f>INDEX([1]ratio_ins!U:U,MATCH('001_population_health_zone_zs'!$B$2,[1]ratio_ins!$B:$B,0))*$G47*INDEX([1]ratio_ins!$C:$C,MATCH('001_population_health_zone_zs'!$B47,[1]ratio_ins!$B:$B,0))</f>
        <v>38232.325705200004</v>
      </c>
      <c r="X47" s="10">
        <f>INDEX([1]ratio_ins!V:V,MATCH('001_population_health_zone_zs'!$B$2,[1]ratio_ins!$B:$B,0))*$G47*INDEX([1]ratio_ins!$C:$C,MATCH('001_population_health_zone_zs'!$B47,[1]ratio_ins!$B:$B,0))</f>
        <v>1121.1825720000002</v>
      </c>
      <c r="Y47" s="10">
        <f>INDEX([1]ratio_ins!W:W,MATCH('001_population_health_zone_zs'!$B$2,[1]ratio_ins!$B:$B,0))*$G47*INDEX([1]ratio_ins!$C:$C,MATCH('001_population_health_zone_zs'!$B47,[1]ratio_ins!$B:$B,0))</f>
        <v>747.45504799999992</v>
      </c>
      <c r="Z47" s="10">
        <f>INDEX([1]ratio_ins!X:X,MATCH('001_population_health_zone_zs'!$B$2,[1]ratio_ins!$B:$B,0))*$G47*INDEX([1]ratio_ins!$C:$C,MATCH('001_population_health_zone_zs'!$B47,[1]ratio_ins!$B:$B,0))</f>
        <v>373.72752399999996</v>
      </c>
      <c r="AA47" s="10">
        <f>INDEX([1]ratio_ins!Y:Y,MATCH('001_population_health_zone_zs'!$B$2,[1]ratio_ins!$B:$B,0))*$G47*INDEX([1]ratio_ins!$C:$C,MATCH('001_population_health_zone_zs'!$B47,[1]ratio_ins!$B:$B,0))</f>
        <v>186.86376199999998</v>
      </c>
      <c r="AB47" s="11">
        <f>INDEX([1]ratio_ins!Z:Z,MATCH('001_population_health_zone_zs'!$B$2,[1]ratio_ins!$B:$B,0))*$G47*INDEX([1]ratio_ins!$C:$C,MATCH('001_population_health_zone_zs'!$B47,[1]ratio_ins!$B:$B,0))</f>
        <v>2429.2289059999998</v>
      </c>
      <c r="AC47" s="12">
        <f t="shared" si="0"/>
        <v>93431.881000000008</v>
      </c>
      <c r="AD47" s="10">
        <f>INDEX([1]ratio_ins!AA:AA,MATCH('001_population_health_zone_zs'!$B$2,[1]ratio_ins!$B:$B,0))*$G47*INDEX([1]ratio_ins!$D:$D,MATCH('001_population_health_zone_zs'!$B47,[1]ratio_ins!$B:$B,0))</f>
        <v>20177.87499</v>
      </c>
      <c r="AE47" s="10">
        <f>INDEX([1]ratio_ins!AB:AB,MATCH('001_population_health_zone_zs'!$B$2,[1]ratio_ins!$B:$B,0))*$G47*INDEX([1]ratio_ins!$D:$D,MATCH('001_population_health_zone_zs'!$B47,[1]ratio_ins!$B:$B,0))</f>
        <v>16622.725587000004</v>
      </c>
      <c r="AF47" s="10">
        <f>INDEX([1]ratio_ins!AC:AC,MATCH('001_population_health_zone_zs'!$B$2,[1]ratio_ins!$B:$B,0))*$G47*INDEX([1]ratio_ins!$D:$D,MATCH('001_population_health_zone_zs'!$B47,[1]ratio_ins!$B:$B,0))</f>
        <v>13163.661302999999</v>
      </c>
      <c r="AG47" s="10">
        <f>INDEX([1]ratio_ins!AD:AD,MATCH('001_population_health_zone_zs'!$B$2,[1]ratio_ins!$B:$B,0))*$G47*INDEX([1]ratio_ins!$D:$D,MATCH('001_population_health_zone_zs'!$B47,[1]ratio_ins!$B:$B,0))</f>
        <v>7975.0648769999998</v>
      </c>
      <c r="AH47" s="10">
        <f>INDEX([1]ratio_ins!AE:AE,MATCH('001_population_health_zone_zs'!$B$2,[1]ratio_ins!$B:$B,0))*$G47*INDEX([1]ratio_ins!$D:$D,MATCH('001_population_health_zone_zs'!$B47,[1]ratio_ins!$B:$B,0))</f>
        <v>4785.0389261999999</v>
      </c>
      <c r="AI47" s="13">
        <f>INDEX([1]ratio_ins!AF:AF,MATCH('001_population_health_zone_zs'!$B$2,[1]ratio_ins!$B:$B,0))*$G47*INDEX([1]ratio_ins!$D:$D,MATCH('001_population_health_zone_zs'!$B47,[1]ratio_ins!$B:$B,0))</f>
        <v>54749.300806199994</v>
      </c>
      <c r="AJ47" s="10">
        <f>INDEX([1]ratio_ins!AG:AG,MATCH('001_population_health_zone_zs'!$B$2,[1]ratio_ins!$B:$B,0))*$G47*INDEX([1]ratio_ins!$D:$D,MATCH('001_population_health_zone_zs'!$B47,[1]ratio_ins!$B:$B,0))</f>
        <v>3190.0259507999999</v>
      </c>
      <c r="AK47" s="10">
        <f>INDEX([1]ratio_ins!AH:AH,MATCH('001_population_health_zone_zs'!$B$2,[1]ratio_ins!$B:$B,0))*$G47*INDEX([1]ratio_ins!$D:$D,MATCH('001_population_health_zone_zs'!$B47,[1]ratio_ins!$B:$B,0))</f>
        <v>7110.2988060000007</v>
      </c>
      <c r="AL47" s="10">
        <f>INDEX([1]ratio_ins!AI:AI,MATCH('001_population_health_zone_zs'!$B$2,[1]ratio_ins!$B:$B,0))*$G47*INDEX([1]ratio_ins!$D:$D,MATCH('001_population_health_zone_zs'!$B47,[1]ratio_ins!$B:$B,0))</f>
        <v>6725.9583300000004</v>
      </c>
      <c r="AM47" s="10">
        <f>INDEX([1]ratio_ins!AJ:AJ,MATCH('001_population_health_zone_zs'!$B$2,[1]ratio_ins!$B:$B,0))*$G47*INDEX([1]ratio_ins!$D:$D,MATCH('001_population_health_zone_zs'!$B47,[1]ratio_ins!$B:$B,0))</f>
        <v>6149.4476160000004</v>
      </c>
      <c r="AN47" s="10">
        <f>INDEX([1]ratio_ins!AK:AK,MATCH('001_population_health_zone_zs'!$B$2,[1]ratio_ins!$B:$B,0))*$G47*INDEX([1]ratio_ins!$D:$D,MATCH('001_population_health_zone_zs'!$B47,[1]ratio_ins!$B:$B,0))</f>
        <v>5765.1071400000001</v>
      </c>
      <c r="AO47" s="10">
        <f>INDEX([1]ratio_ins!AL:AL,MATCH('001_population_health_zone_zs'!$B$2,[1]ratio_ins!$B:$B,0))*$G47*INDEX([1]ratio_ins!$D:$D,MATCH('001_population_health_zone_zs'!$B47,[1]ratio_ins!$B:$B,0))</f>
        <v>4323.8303550000001</v>
      </c>
      <c r="AP47" s="10">
        <f>INDEX([1]ratio_ins!AM:AM,MATCH('001_population_health_zone_zs'!$B$2,[1]ratio_ins!$B:$B,0))*$G47*INDEX([1]ratio_ins!$D:$D,MATCH('001_population_health_zone_zs'!$B47,[1]ratio_ins!$B:$B,0))</f>
        <v>2786.4684509999997</v>
      </c>
      <c r="AQ47" s="10">
        <f>INDEX([1]ratio_ins!AN:AN,MATCH('001_population_health_zone_zs'!$B$2,[1]ratio_ins!$B:$B,0))*$G47*INDEX([1]ratio_ins!$D:$D,MATCH('001_population_health_zone_zs'!$B47,[1]ratio_ins!$B:$B,0))</f>
        <v>2209.9577369999997</v>
      </c>
      <c r="AR47" s="10">
        <f>INDEX([1]ratio_ins!AO:AO,MATCH('001_population_health_zone_zs'!$B$2,[1]ratio_ins!$B:$B,0))*$G47*INDEX([1]ratio_ins!$D:$D,MATCH('001_population_health_zone_zs'!$B47,[1]ratio_ins!$B:$B,0))</f>
        <v>1056.9363090000002</v>
      </c>
      <c r="AS47" s="13">
        <f>INDEX([1]ratio_ins!AP:AP,MATCH('001_population_health_zone_zs'!$B$2,[1]ratio_ins!$B:$B,0))*$G47*INDEX([1]ratio_ins!$D:$D,MATCH('001_population_health_zone_zs'!$B47,[1]ratio_ins!$B:$B,0))</f>
        <v>39318.0306948</v>
      </c>
      <c r="AT47" s="10">
        <f>INDEX([1]ratio_ins!AQ:AQ,MATCH('001_population_health_zone_zs'!$B$2,[1]ratio_ins!$B:$B,0))*$G47*INDEX([1]ratio_ins!$D:$D,MATCH('001_population_health_zone_zs'!$B47,[1]ratio_ins!$B:$B,0))</f>
        <v>960.85119000000009</v>
      </c>
      <c r="AU47" s="10">
        <f>INDEX([1]ratio_ins!AR:AR,MATCH('001_population_health_zone_zs'!$B$2,[1]ratio_ins!$B:$B,0))*$G47*INDEX([1]ratio_ins!$D:$D,MATCH('001_population_health_zone_zs'!$B47,[1]ratio_ins!$B:$B,0))</f>
        <v>576.51071400000001</v>
      </c>
      <c r="AV47" s="10">
        <f>INDEX([1]ratio_ins!AS:AS,MATCH('001_population_health_zone_zs'!$B$2,[1]ratio_ins!$B:$B,0))*$G47*INDEX([1]ratio_ins!$D:$D,MATCH('001_population_health_zone_zs'!$B47,[1]ratio_ins!$B:$B,0))</f>
        <v>288.255357</v>
      </c>
      <c r="AW47" s="10">
        <f>INDEX([1]ratio_ins!AT:AT,MATCH('001_population_health_zone_zs'!$B$2,[1]ratio_ins!$B:$B,0))*$G47*INDEX([1]ratio_ins!$D:$D,MATCH('001_population_health_zone_zs'!$B47,[1]ratio_ins!$B:$B,0))</f>
        <v>192.17023800000001</v>
      </c>
      <c r="AX47" s="13">
        <f>INDEX([1]ratio_ins!AU:AU,MATCH('001_population_health_zone_zs'!$B$2,[1]ratio_ins!$B:$B,0))*$G47*INDEX([1]ratio_ins!$D:$D,MATCH('001_population_health_zone_zs'!$B47,[1]ratio_ins!$B:$B,0))</f>
        <v>2017.7874989999998</v>
      </c>
      <c r="AY47" s="14">
        <f t="shared" si="1"/>
        <v>96085.118999999992</v>
      </c>
      <c r="AZ47" s="15">
        <f t="shared" si="2"/>
        <v>189517</v>
      </c>
      <c r="BA47" s="16">
        <v>181804.98782317457</v>
      </c>
      <c r="BB47" s="10">
        <f t="shared" si="3"/>
        <v>40836.175575000001</v>
      </c>
      <c r="BC47" s="17">
        <f t="shared" si="4"/>
        <v>0.215475</v>
      </c>
      <c r="BD47" s="10">
        <f t="shared" si="5"/>
        <v>38961.094377000001</v>
      </c>
    </row>
    <row r="48" spans="1:56" x14ac:dyDescent="0.25">
      <c r="A48" s="8" t="s">
        <v>82</v>
      </c>
      <c r="B48" s="8" t="s">
        <v>83</v>
      </c>
      <c r="C48" s="8" t="s">
        <v>104</v>
      </c>
      <c r="D48" s="8" t="s">
        <v>105</v>
      </c>
      <c r="E48" s="8" t="s">
        <v>104</v>
      </c>
      <c r="F48" s="8" t="s">
        <v>112</v>
      </c>
      <c r="G48" s="9">
        <v>194795</v>
      </c>
      <c r="H48" s="10">
        <f>INDEX([1]ratio_ins!F:F,MATCH('001_population_health_zone_zs'!$B$2,[1]ratio_ins!$B:$B,0))*$G48*INDEX([1]ratio_ins!$C:$C,MATCH('001_population_health_zone_zs'!$B48,[1]ratio_ins!$B:$B,0))</f>
        <v>20071.092414999999</v>
      </c>
      <c r="I48" s="10">
        <f>INDEX([1]ratio_ins!G:G,MATCH('001_population_health_zone_zs'!$B$2,[1]ratio_ins!$B:$B,0))*$G48*INDEX([1]ratio_ins!$C:$C,MATCH('001_population_health_zone_zs'!$B48,[1]ratio_ins!$B:$B,0))</f>
        <v>16421.802885000001</v>
      </c>
      <c r="J48" s="10">
        <f>INDEX([1]ratio_ins!H:H,MATCH('001_population_health_zone_zs'!$B$2,[1]ratio_ins!$B:$B,0))*$G48*INDEX([1]ratio_ins!$C:$C,MATCH('001_population_health_zone_zs'!$B48,[1]ratio_ins!$B:$B,0))</f>
        <v>12964.581225</v>
      </c>
      <c r="K48" s="10">
        <f>INDEX([1]ratio_ins!I:I,MATCH('001_population_health_zone_zs'!$B$2,[1]ratio_ins!$B:$B,0))*$G48*INDEX([1]ratio_ins!$C:$C,MATCH('001_population_health_zone_zs'!$B48,[1]ratio_ins!$B:$B,0))</f>
        <v>7970.816605</v>
      </c>
      <c r="L48" s="10">
        <f>INDEX([1]ratio_ins!J:J,MATCH('001_population_health_zone_zs'!$B$2,[1]ratio_ins!$B:$B,0))*$G48*INDEX([1]ratio_ins!$C:$C,MATCH('001_population_health_zone_zs'!$B48,[1]ratio_ins!$B:$B,0))</f>
        <v>4782.489963</v>
      </c>
      <c r="M48" s="11">
        <f>INDEX([1]ratio_ins!K:K,MATCH('001_population_health_zone_zs'!$B$2,[1]ratio_ins!$B:$B,0))*$G48*INDEX([1]ratio_ins!$C:$C,MATCH('001_population_health_zone_zs'!$B48,[1]ratio_ins!$B:$B,0))</f>
        <v>54239.966487999998</v>
      </c>
      <c r="N48" s="10">
        <f>INDEX([1]ratio_ins!L:L,MATCH('001_population_health_zone_zs'!$B$2,[1]ratio_ins!$B:$B,0))*$G48*INDEX([1]ratio_ins!$C:$C,MATCH('001_population_health_zone_zs'!$B48,[1]ratio_ins!$B:$B,0))</f>
        <v>3188.326642</v>
      </c>
      <c r="O48" s="10">
        <f>INDEX([1]ratio_ins!M:M,MATCH('001_population_health_zone_zs'!$B$2,[1]ratio_ins!$B:$B,0))*$G48*INDEX([1]ratio_ins!$C:$C,MATCH('001_population_health_zone_zs'!$B48,[1]ratio_ins!$B:$B,0))</f>
        <v>6914.4433200000003</v>
      </c>
      <c r="P48" s="10">
        <f>INDEX([1]ratio_ins!N:N,MATCH('001_population_health_zone_zs'!$B$2,[1]ratio_ins!$B:$B,0))*$G48*INDEX([1]ratio_ins!$C:$C,MATCH('001_population_health_zone_zs'!$B48,[1]ratio_ins!$B:$B,0))</f>
        <v>6242.2057750000004</v>
      </c>
      <c r="Q48" s="10">
        <f>INDEX([1]ratio_ins!O:O,MATCH('001_population_health_zone_zs'!$B$2,[1]ratio_ins!$B:$B,0))*$G48*INDEX([1]ratio_ins!$C:$C,MATCH('001_population_health_zone_zs'!$B48,[1]ratio_ins!$B:$B,0))</f>
        <v>5569.9682299999995</v>
      </c>
      <c r="R48" s="10">
        <f>INDEX([1]ratio_ins!P:P,MATCH('001_population_health_zone_zs'!$B$2,[1]ratio_ins!$B:$B,0))*$G48*INDEX([1]ratio_ins!$C:$C,MATCH('001_population_health_zone_zs'!$B48,[1]ratio_ins!$B:$B,0))</f>
        <v>5473.934295</v>
      </c>
      <c r="S48" s="10">
        <f>INDEX([1]ratio_ins!Q:Q,MATCH('001_population_health_zone_zs'!$B$2,[1]ratio_ins!$B:$B,0))*$G48*INDEX([1]ratio_ins!$C:$C,MATCH('001_population_health_zone_zs'!$B48,[1]ratio_ins!$B:$B,0))</f>
        <v>4609.6288800000002</v>
      </c>
      <c r="T48" s="10">
        <f>INDEX([1]ratio_ins!R:R,MATCH('001_population_health_zone_zs'!$B$2,[1]ratio_ins!$B:$B,0))*$G48*INDEX([1]ratio_ins!$C:$C,MATCH('001_population_health_zone_zs'!$B48,[1]ratio_ins!$B:$B,0))</f>
        <v>3265.1537900000003</v>
      </c>
      <c r="U48" s="10">
        <f>INDEX([1]ratio_ins!S:S,MATCH('001_population_health_zone_zs'!$B$2,[1]ratio_ins!$B:$B,0))*$G48*INDEX([1]ratio_ins!$C:$C,MATCH('001_population_health_zone_zs'!$B48,[1]ratio_ins!$B:$B,0))</f>
        <v>2592.9162450000003</v>
      </c>
      <c r="V48" s="10">
        <f>INDEX([1]ratio_ins!T:T,MATCH('001_population_health_zone_zs'!$B$2,[1]ratio_ins!$B:$B,0))*$G48*INDEX([1]ratio_ins!$C:$C,MATCH('001_population_health_zone_zs'!$B48,[1]ratio_ins!$B:$B,0))</f>
        <v>1440.5090249999998</v>
      </c>
      <c r="W48" s="11">
        <f>INDEX([1]ratio_ins!U:U,MATCH('001_population_health_zone_zs'!$B$2,[1]ratio_ins!$B:$B,0))*$G48*INDEX([1]ratio_ins!$C:$C,MATCH('001_population_health_zone_zs'!$B48,[1]ratio_ins!$B:$B,0))</f>
        <v>39297.086201999999</v>
      </c>
      <c r="X48" s="10">
        <f>INDEX([1]ratio_ins!V:V,MATCH('001_population_health_zone_zs'!$B$2,[1]ratio_ins!$B:$B,0))*$G48*INDEX([1]ratio_ins!$C:$C,MATCH('001_population_health_zone_zs'!$B48,[1]ratio_ins!$B:$B,0))</f>
        <v>1152.4072200000001</v>
      </c>
      <c r="Y48" s="10">
        <f>INDEX([1]ratio_ins!W:W,MATCH('001_population_health_zone_zs'!$B$2,[1]ratio_ins!$B:$B,0))*$G48*INDEX([1]ratio_ins!$C:$C,MATCH('001_population_health_zone_zs'!$B48,[1]ratio_ins!$B:$B,0))</f>
        <v>768.27148</v>
      </c>
      <c r="Z48" s="10">
        <f>INDEX([1]ratio_ins!X:X,MATCH('001_population_health_zone_zs'!$B$2,[1]ratio_ins!$B:$B,0))*$G48*INDEX([1]ratio_ins!$C:$C,MATCH('001_population_health_zone_zs'!$B48,[1]ratio_ins!$B:$B,0))</f>
        <v>384.13574</v>
      </c>
      <c r="AA48" s="10">
        <f>INDEX([1]ratio_ins!Y:Y,MATCH('001_population_health_zone_zs'!$B$2,[1]ratio_ins!$B:$B,0))*$G48*INDEX([1]ratio_ins!$C:$C,MATCH('001_population_health_zone_zs'!$B48,[1]ratio_ins!$B:$B,0))</f>
        <v>192.06787</v>
      </c>
      <c r="AB48" s="11">
        <f>INDEX([1]ratio_ins!Z:Z,MATCH('001_population_health_zone_zs'!$B$2,[1]ratio_ins!$B:$B,0))*$G48*INDEX([1]ratio_ins!$C:$C,MATCH('001_population_health_zone_zs'!$B48,[1]ratio_ins!$B:$B,0))</f>
        <v>2496.88231</v>
      </c>
      <c r="AC48" s="12">
        <f t="shared" si="0"/>
        <v>96033.934999999998</v>
      </c>
      <c r="AD48" s="10">
        <f>INDEX([1]ratio_ins!AA:AA,MATCH('001_population_health_zone_zs'!$B$2,[1]ratio_ins!$B:$B,0))*$G48*INDEX([1]ratio_ins!$D:$D,MATCH('001_population_health_zone_zs'!$B48,[1]ratio_ins!$B:$B,0))</f>
        <v>20739.823649999998</v>
      </c>
      <c r="AE48" s="10">
        <f>INDEX([1]ratio_ins!AB:AB,MATCH('001_population_health_zone_zs'!$B$2,[1]ratio_ins!$B:$B,0))*$G48*INDEX([1]ratio_ins!$D:$D,MATCH('001_population_health_zone_zs'!$B48,[1]ratio_ins!$B:$B,0))</f>
        <v>17085.664245000004</v>
      </c>
      <c r="AF48" s="10">
        <f>INDEX([1]ratio_ins!AC:AC,MATCH('001_population_health_zone_zs'!$B$2,[1]ratio_ins!$B:$B,0))*$G48*INDEX([1]ratio_ins!$D:$D,MATCH('001_population_health_zone_zs'!$B48,[1]ratio_ins!$B:$B,0))</f>
        <v>13530.265904999998</v>
      </c>
      <c r="AG48" s="10">
        <f>INDEX([1]ratio_ins!AD:AD,MATCH('001_population_health_zone_zs'!$B$2,[1]ratio_ins!$B:$B,0))*$G48*INDEX([1]ratio_ins!$D:$D,MATCH('001_population_health_zone_zs'!$B48,[1]ratio_ins!$B:$B,0))</f>
        <v>8197.1683950000006</v>
      </c>
      <c r="AH48" s="10">
        <f>INDEX([1]ratio_ins!AE:AE,MATCH('001_population_health_zone_zs'!$B$2,[1]ratio_ins!$B:$B,0))*$G48*INDEX([1]ratio_ins!$D:$D,MATCH('001_population_health_zone_zs'!$B48,[1]ratio_ins!$B:$B,0))</f>
        <v>4918.3010369999993</v>
      </c>
      <c r="AI48" s="13">
        <f>INDEX([1]ratio_ins!AF:AF,MATCH('001_population_health_zone_zs'!$B$2,[1]ratio_ins!$B:$B,0))*$G48*INDEX([1]ratio_ins!$D:$D,MATCH('001_population_health_zone_zs'!$B48,[1]ratio_ins!$B:$B,0))</f>
        <v>56274.054836999996</v>
      </c>
      <c r="AJ48" s="10">
        <f>INDEX([1]ratio_ins!AG:AG,MATCH('001_population_health_zone_zs'!$B$2,[1]ratio_ins!$B:$B,0))*$G48*INDEX([1]ratio_ins!$D:$D,MATCH('001_population_health_zone_zs'!$B48,[1]ratio_ins!$B:$B,0))</f>
        <v>3278.8673580000004</v>
      </c>
      <c r="AK48" s="10">
        <f>INDEX([1]ratio_ins!AH:AH,MATCH('001_population_health_zone_zs'!$B$2,[1]ratio_ins!$B:$B,0))*$G48*INDEX([1]ratio_ins!$D:$D,MATCH('001_population_health_zone_zs'!$B48,[1]ratio_ins!$B:$B,0))</f>
        <v>7308.3188100000007</v>
      </c>
      <c r="AL48" s="10">
        <f>INDEX([1]ratio_ins!AI:AI,MATCH('001_population_health_zone_zs'!$B$2,[1]ratio_ins!$B:$B,0))*$G48*INDEX([1]ratio_ins!$D:$D,MATCH('001_population_health_zone_zs'!$B48,[1]ratio_ins!$B:$B,0))</f>
        <v>6913.274550000001</v>
      </c>
      <c r="AM48" s="10">
        <f>INDEX([1]ratio_ins!AJ:AJ,MATCH('001_population_health_zone_zs'!$B$2,[1]ratio_ins!$B:$B,0))*$G48*INDEX([1]ratio_ins!$D:$D,MATCH('001_population_health_zone_zs'!$B48,[1]ratio_ins!$B:$B,0))</f>
        <v>6320.708160000001</v>
      </c>
      <c r="AN48" s="10">
        <f>INDEX([1]ratio_ins!AK:AK,MATCH('001_population_health_zone_zs'!$B$2,[1]ratio_ins!$B:$B,0))*$G48*INDEX([1]ratio_ins!$D:$D,MATCH('001_population_health_zone_zs'!$B48,[1]ratio_ins!$B:$B,0))</f>
        <v>5925.6638999999996</v>
      </c>
      <c r="AO48" s="10">
        <f>INDEX([1]ratio_ins!AL:AL,MATCH('001_population_health_zone_zs'!$B$2,[1]ratio_ins!$B:$B,0))*$G48*INDEX([1]ratio_ins!$D:$D,MATCH('001_population_health_zone_zs'!$B48,[1]ratio_ins!$B:$B,0))</f>
        <v>4444.2479249999997</v>
      </c>
      <c r="AP48" s="10">
        <f>INDEX([1]ratio_ins!AM:AM,MATCH('001_population_health_zone_zs'!$B$2,[1]ratio_ins!$B:$B,0))*$G48*INDEX([1]ratio_ins!$D:$D,MATCH('001_population_health_zone_zs'!$B48,[1]ratio_ins!$B:$B,0))</f>
        <v>2864.0708849999996</v>
      </c>
      <c r="AQ48" s="10">
        <f>INDEX([1]ratio_ins!AN:AN,MATCH('001_population_health_zone_zs'!$B$2,[1]ratio_ins!$B:$B,0))*$G48*INDEX([1]ratio_ins!$D:$D,MATCH('001_population_health_zone_zs'!$B48,[1]ratio_ins!$B:$B,0))</f>
        <v>2271.5044950000001</v>
      </c>
      <c r="AR48" s="10">
        <f>INDEX([1]ratio_ins!AO:AO,MATCH('001_population_health_zone_zs'!$B$2,[1]ratio_ins!$B:$B,0))*$G48*INDEX([1]ratio_ins!$D:$D,MATCH('001_population_health_zone_zs'!$B48,[1]ratio_ins!$B:$B,0))</f>
        <v>1086.3717150000002</v>
      </c>
      <c r="AS48" s="13">
        <f>INDEX([1]ratio_ins!AP:AP,MATCH('001_population_health_zone_zs'!$B$2,[1]ratio_ins!$B:$B,0))*$G48*INDEX([1]ratio_ins!$D:$D,MATCH('001_population_health_zone_zs'!$B48,[1]ratio_ins!$B:$B,0))</f>
        <v>40413.027798000003</v>
      </c>
      <c r="AT48" s="10">
        <f>INDEX([1]ratio_ins!AQ:AQ,MATCH('001_population_health_zone_zs'!$B$2,[1]ratio_ins!$B:$B,0))*$G48*INDEX([1]ratio_ins!$D:$D,MATCH('001_population_health_zone_zs'!$B48,[1]ratio_ins!$B:$B,0))</f>
        <v>987.61065000000008</v>
      </c>
      <c r="AU48" s="10">
        <f>INDEX([1]ratio_ins!AR:AR,MATCH('001_population_health_zone_zs'!$B$2,[1]ratio_ins!$B:$B,0))*$G48*INDEX([1]ratio_ins!$D:$D,MATCH('001_population_health_zone_zs'!$B48,[1]ratio_ins!$B:$B,0))</f>
        <v>592.56638999999996</v>
      </c>
      <c r="AV48" s="10">
        <f>INDEX([1]ratio_ins!AS:AS,MATCH('001_population_health_zone_zs'!$B$2,[1]ratio_ins!$B:$B,0))*$G48*INDEX([1]ratio_ins!$D:$D,MATCH('001_population_health_zone_zs'!$B48,[1]ratio_ins!$B:$B,0))</f>
        <v>296.28319499999998</v>
      </c>
      <c r="AW48" s="10">
        <f>INDEX([1]ratio_ins!AT:AT,MATCH('001_population_health_zone_zs'!$B$2,[1]ratio_ins!$B:$B,0))*$G48*INDEX([1]ratio_ins!$D:$D,MATCH('001_population_health_zone_zs'!$B48,[1]ratio_ins!$B:$B,0))</f>
        <v>197.52213000000003</v>
      </c>
      <c r="AX48" s="13">
        <f>INDEX([1]ratio_ins!AU:AU,MATCH('001_population_health_zone_zs'!$B$2,[1]ratio_ins!$B:$B,0))*$G48*INDEX([1]ratio_ins!$D:$D,MATCH('001_population_health_zone_zs'!$B48,[1]ratio_ins!$B:$B,0))</f>
        <v>2073.9823649999998</v>
      </c>
      <c r="AY48" s="14">
        <f t="shared" si="1"/>
        <v>98761.065000000002</v>
      </c>
      <c r="AZ48" s="15">
        <f t="shared" si="2"/>
        <v>194795</v>
      </c>
      <c r="BA48" s="16">
        <v>186868.34103582022</v>
      </c>
      <c r="BB48" s="10">
        <f t="shared" si="3"/>
        <v>41973.452625000013</v>
      </c>
      <c r="BC48" s="17">
        <f t="shared" si="4"/>
        <v>0.21547500000000006</v>
      </c>
      <c r="BD48" s="10">
        <f t="shared" si="5"/>
        <v>40046.150894999999</v>
      </c>
    </row>
    <row r="49" spans="1:56" x14ac:dyDescent="0.25">
      <c r="A49" s="8" t="s">
        <v>82</v>
      </c>
      <c r="B49" s="8" t="s">
        <v>83</v>
      </c>
      <c r="C49" s="8" t="s">
        <v>104</v>
      </c>
      <c r="D49" s="8" t="s">
        <v>105</v>
      </c>
      <c r="E49" s="8" t="s">
        <v>113</v>
      </c>
      <c r="F49" s="8" t="s">
        <v>114</v>
      </c>
      <c r="G49" s="9">
        <v>163144</v>
      </c>
      <c r="H49" s="10">
        <f>INDEX([1]ratio_ins!F:F,MATCH('001_population_health_zone_zs'!$B$2,[1]ratio_ins!$B:$B,0))*$G49*INDEX([1]ratio_ins!$C:$C,MATCH('001_population_health_zone_zs'!$B49,[1]ratio_ins!$B:$B,0))</f>
        <v>16809.868328</v>
      </c>
      <c r="I49" s="10">
        <f>INDEX([1]ratio_ins!G:G,MATCH('001_population_health_zone_zs'!$B$2,[1]ratio_ins!$B:$B,0))*$G49*INDEX([1]ratio_ins!$C:$C,MATCH('001_population_health_zone_zs'!$B49,[1]ratio_ins!$B:$B,0))</f>
        <v>13753.528632000001</v>
      </c>
      <c r="J49" s="10">
        <f>INDEX([1]ratio_ins!H:H,MATCH('001_population_health_zone_zs'!$B$2,[1]ratio_ins!$B:$B,0))*$G49*INDEX([1]ratio_ins!$C:$C,MATCH('001_population_health_zone_zs'!$B49,[1]ratio_ins!$B:$B,0))</f>
        <v>10858.048920000001</v>
      </c>
      <c r="K49" s="10">
        <f>INDEX([1]ratio_ins!I:I,MATCH('001_population_health_zone_zs'!$B$2,[1]ratio_ins!$B:$B,0))*$G49*INDEX([1]ratio_ins!$C:$C,MATCH('001_population_health_zone_zs'!$B49,[1]ratio_ins!$B:$B,0))</f>
        <v>6675.6893360000004</v>
      </c>
      <c r="L49" s="10">
        <f>INDEX([1]ratio_ins!J:J,MATCH('001_population_health_zone_zs'!$B$2,[1]ratio_ins!$B:$B,0))*$G49*INDEX([1]ratio_ins!$C:$C,MATCH('001_population_health_zone_zs'!$B49,[1]ratio_ins!$B:$B,0))</f>
        <v>4005.4136015999998</v>
      </c>
      <c r="M49" s="11">
        <f>INDEX([1]ratio_ins!K:K,MATCH('001_population_health_zone_zs'!$B$2,[1]ratio_ins!$B:$B,0))*$G49*INDEX([1]ratio_ins!$C:$C,MATCH('001_population_health_zone_zs'!$B49,[1]ratio_ins!$B:$B,0))</f>
        <v>45426.859481599997</v>
      </c>
      <c r="N49" s="10">
        <f>INDEX([1]ratio_ins!L:L,MATCH('001_population_health_zone_zs'!$B$2,[1]ratio_ins!$B:$B,0))*$G49*INDEX([1]ratio_ins!$C:$C,MATCH('001_population_health_zone_zs'!$B49,[1]ratio_ins!$B:$B,0))</f>
        <v>2670.2757344000001</v>
      </c>
      <c r="O49" s="10">
        <f>INDEX([1]ratio_ins!M:M,MATCH('001_population_health_zone_zs'!$B$2,[1]ratio_ins!$B:$B,0))*$G49*INDEX([1]ratio_ins!$C:$C,MATCH('001_population_health_zone_zs'!$B49,[1]ratio_ins!$B:$B,0))</f>
        <v>5790.9594240000006</v>
      </c>
      <c r="P49" s="10">
        <f>INDEX([1]ratio_ins!N:N,MATCH('001_population_health_zone_zs'!$B$2,[1]ratio_ins!$B:$B,0))*$G49*INDEX([1]ratio_ins!$C:$C,MATCH('001_population_health_zone_zs'!$B49,[1]ratio_ins!$B:$B,0))</f>
        <v>5227.9494800000002</v>
      </c>
      <c r="Q49" s="10">
        <f>INDEX([1]ratio_ins!O:O,MATCH('001_population_health_zone_zs'!$B$2,[1]ratio_ins!$B:$B,0))*$G49*INDEX([1]ratio_ins!$C:$C,MATCH('001_population_health_zone_zs'!$B49,[1]ratio_ins!$B:$B,0))</f>
        <v>4664.9395359999999</v>
      </c>
      <c r="R49" s="10">
        <f>INDEX([1]ratio_ins!P:P,MATCH('001_population_health_zone_zs'!$B$2,[1]ratio_ins!$B:$B,0))*$G49*INDEX([1]ratio_ins!$C:$C,MATCH('001_population_health_zone_zs'!$B49,[1]ratio_ins!$B:$B,0))</f>
        <v>4584.5095440000005</v>
      </c>
      <c r="S49" s="10">
        <f>INDEX([1]ratio_ins!Q:Q,MATCH('001_population_health_zone_zs'!$B$2,[1]ratio_ins!$B:$B,0))*$G49*INDEX([1]ratio_ins!$C:$C,MATCH('001_population_health_zone_zs'!$B49,[1]ratio_ins!$B:$B,0))</f>
        <v>3860.6396159999999</v>
      </c>
      <c r="T49" s="10">
        <f>INDEX([1]ratio_ins!R:R,MATCH('001_population_health_zone_zs'!$B$2,[1]ratio_ins!$B:$B,0))*$G49*INDEX([1]ratio_ins!$C:$C,MATCH('001_population_health_zone_zs'!$B49,[1]ratio_ins!$B:$B,0))</f>
        <v>2734.6197280000001</v>
      </c>
      <c r="U49" s="10">
        <f>INDEX([1]ratio_ins!S:S,MATCH('001_population_health_zone_zs'!$B$2,[1]ratio_ins!$B:$B,0))*$G49*INDEX([1]ratio_ins!$C:$C,MATCH('001_population_health_zone_zs'!$B49,[1]ratio_ins!$B:$B,0))</f>
        <v>2171.6097840000002</v>
      </c>
      <c r="V49" s="10">
        <f>INDEX([1]ratio_ins!T:T,MATCH('001_population_health_zone_zs'!$B$2,[1]ratio_ins!$B:$B,0))*$G49*INDEX([1]ratio_ins!$C:$C,MATCH('001_population_health_zone_zs'!$B49,[1]ratio_ins!$B:$B,0))</f>
        <v>1206.4498799999999</v>
      </c>
      <c r="W49" s="11">
        <f>INDEX([1]ratio_ins!U:U,MATCH('001_population_health_zone_zs'!$B$2,[1]ratio_ins!$B:$B,0))*$G49*INDEX([1]ratio_ins!$C:$C,MATCH('001_population_health_zone_zs'!$B49,[1]ratio_ins!$B:$B,0))</f>
        <v>32911.952726399999</v>
      </c>
      <c r="X49" s="10">
        <f>INDEX([1]ratio_ins!V:V,MATCH('001_population_health_zone_zs'!$B$2,[1]ratio_ins!$B:$B,0))*$G49*INDEX([1]ratio_ins!$C:$C,MATCH('001_population_health_zone_zs'!$B49,[1]ratio_ins!$B:$B,0))</f>
        <v>965.15990399999998</v>
      </c>
      <c r="Y49" s="10">
        <f>INDEX([1]ratio_ins!W:W,MATCH('001_population_health_zone_zs'!$B$2,[1]ratio_ins!$B:$B,0))*$G49*INDEX([1]ratio_ins!$C:$C,MATCH('001_population_health_zone_zs'!$B49,[1]ratio_ins!$B:$B,0))</f>
        <v>643.43993599999999</v>
      </c>
      <c r="Z49" s="10">
        <f>INDEX([1]ratio_ins!X:X,MATCH('001_population_health_zone_zs'!$B$2,[1]ratio_ins!$B:$B,0))*$G49*INDEX([1]ratio_ins!$C:$C,MATCH('001_population_health_zone_zs'!$B49,[1]ratio_ins!$B:$B,0))</f>
        <v>321.71996799999999</v>
      </c>
      <c r="AA49" s="10">
        <f>INDEX([1]ratio_ins!Y:Y,MATCH('001_population_health_zone_zs'!$B$2,[1]ratio_ins!$B:$B,0))*$G49*INDEX([1]ratio_ins!$C:$C,MATCH('001_population_health_zone_zs'!$B49,[1]ratio_ins!$B:$B,0))</f>
        <v>160.859984</v>
      </c>
      <c r="AB49" s="11">
        <f>INDEX([1]ratio_ins!Z:Z,MATCH('001_population_health_zone_zs'!$B$2,[1]ratio_ins!$B:$B,0))*$G49*INDEX([1]ratio_ins!$C:$C,MATCH('001_population_health_zone_zs'!$B49,[1]ratio_ins!$B:$B,0))</f>
        <v>2091.1797920000004</v>
      </c>
      <c r="AC49" s="12">
        <f t="shared" si="0"/>
        <v>80429.991999999984</v>
      </c>
      <c r="AD49" s="10">
        <f>INDEX([1]ratio_ins!AA:AA,MATCH('001_population_health_zone_zs'!$B$2,[1]ratio_ins!$B:$B,0))*$G49*INDEX([1]ratio_ins!$D:$D,MATCH('001_population_health_zone_zs'!$B49,[1]ratio_ins!$B:$B,0))</f>
        <v>17369.94168</v>
      </c>
      <c r="AE49" s="10">
        <f>INDEX([1]ratio_ins!AB:AB,MATCH('001_population_health_zone_zs'!$B$2,[1]ratio_ins!$B:$B,0))*$G49*INDEX([1]ratio_ins!$D:$D,MATCH('001_population_health_zone_zs'!$B49,[1]ratio_ins!$B:$B,0))</f>
        <v>14309.523384000002</v>
      </c>
      <c r="AF49" s="10">
        <f>INDEX([1]ratio_ins!AC:AC,MATCH('001_population_health_zone_zs'!$B$2,[1]ratio_ins!$B:$B,0))*$G49*INDEX([1]ratio_ins!$D:$D,MATCH('001_population_health_zone_zs'!$B49,[1]ratio_ins!$B:$B,0))</f>
        <v>11331.819095999997</v>
      </c>
      <c r="AG49" s="10">
        <f>INDEX([1]ratio_ins!AD:AD,MATCH('001_population_health_zone_zs'!$B$2,[1]ratio_ins!$B:$B,0))*$G49*INDEX([1]ratio_ins!$D:$D,MATCH('001_population_health_zone_zs'!$B49,[1]ratio_ins!$B:$B,0))</f>
        <v>6865.2626640000008</v>
      </c>
      <c r="AH49" s="10">
        <f>INDEX([1]ratio_ins!AE:AE,MATCH('001_population_health_zone_zs'!$B$2,[1]ratio_ins!$B:$B,0))*$G49*INDEX([1]ratio_ins!$D:$D,MATCH('001_population_health_zone_zs'!$B49,[1]ratio_ins!$B:$B,0))</f>
        <v>4119.1575984000001</v>
      </c>
      <c r="AI49" s="13">
        <f>INDEX([1]ratio_ins!AF:AF,MATCH('001_population_health_zone_zs'!$B$2,[1]ratio_ins!$B:$B,0))*$G49*INDEX([1]ratio_ins!$D:$D,MATCH('001_population_health_zone_zs'!$B49,[1]ratio_ins!$B:$B,0))</f>
        <v>47130.441758399997</v>
      </c>
      <c r="AJ49" s="10">
        <f>INDEX([1]ratio_ins!AG:AG,MATCH('001_population_health_zone_zs'!$B$2,[1]ratio_ins!$B:$B,0))*$G49*INDEX([1]ratio_ins!$D:$D,MATCH('001_population_health_zone_zs'!$B49,[1]ratio_ins!$B:$B,0))</f>
        <v>2746.1050655999998</v>
      </c>
      <c r="AK49" s="10">
        <f>INDEX([1]ratio_ins!AH:AH,MATCH('001_population_health_zone_zs'!$B$2,[1]ratio_ins!$B:$B,0))*$G49*INDEX([1]ratio_ins!$D:$D,MATCH('001_population_health_zone_zs'!$B49,[1]ratio_ins!$B:$B,0))</f>
        <v>6120.8365920000006</v>
      </c>
      <c r="AL49" s="10">
        <f>INDEX([1]ratio_ins!AI:AI,MATCH('001_population_health_zone_zs'!$B$2,[1]ratio_ins!$B:$B,0))*$G49*INDEX([1]ratio_ins!$D:$D,MATCH('001_population_health_zone_zs'!$B49,[1]ratio_ins!$B:$B,0))</f>
        <v>5789.9805600000009</v>
      </c>
      <c r="AM49" s="10">
        <f>INDEX([1]ratio_ins!AJ:AJ,MATCH('001_population_health_zone_zs'!$B$2,[1]ratio_ins!$B:$B,0))*$G49*INDEX([1]ratio_ins!$D:$D,MATCH('001_population_health_zone_zs'!$B49,[1]ratio_ins!$B:$B,0))</f>
        <v>5293.6965120000004</v>
      </c>
      <c r="AN49" s="10">
        <f>INDEX([1]ratio_ins!AK:AK,MATCH('001_population_health_zone_zs'!$B$2,[1]ratio_ins!$B:$B,0))*$G49*INDEX([1]ratio_ins!$D:$D,MATCH('001_population_health_zone_zs'!$B49,[1]ratio_ins!$B:$B,0))</f>
        <v>4962.8404799999998</v>
      </c>
      <c r="AO49" s="10">
        <f>INDEX([1]ratio_ins!AL:AL,MATCH('001_population_health_zone_zs'!$B$2,[1]ratio_ins!$B:$B,0))*$G49*INDEX([1]ratio_ins!$D:$D,MATCH('001_population_health_zone_zs'!$B49,[1]ratio_ins!$B:$B,0))</f>
        <v>3722.1303599999997</v>
      </c>
      <c r="AP49" s="10">
        <f>INDEX([1]ratio_ins!AM:AM,MATCH('001_population_health_zone_zs'!$B$2,[1]ratio_ins!$B:$B,0))*$G49*INDEX([1]ratio_ins!$D:$D,MATCH('001_population_health_zone_zs'!$B49,[1]ratio_ins!$B:$B,0))</f>
        <v>2398.7062319999995</v>
      </c>
      <c r="AQ49" s="10">
        <f>INDEX([1]ratio_ins!AN:AN,MATCH('001_population_health_zone_zs'!$B$2,[1]ratio_ins!$B:$B,0))*$G49*INDEX([1]ratio_ins!$D:$D,MATCH('001_population_health_zone_zs'!$B49,[1]ratio_ins!$B:$B,0))</f>
        <v>1902.422184</v>
      </c>
      <c r="AR49" s="10">
        <f>INDEX([1]ratio_ins!AO:AO,MATCH('001_population_health_zone_zs'!$B$2,[1]ratio_ins!$B:$B,0))*$G49*INDEX([1]ratio_ins!$D:$D,MATCH('001_population_health_zone_zs'!$B49,[1]ratio_ins!$B:$B,0))</f>
        <v>909.85408800000016</v>
      </c>
      <c r="AS49" s="13">
        <f>INDEX([1]ratio_ins!AP:AP,MATCH('001_population_health_zone_zs'!$B$2,[1]ratio_ins!$B:$B,0))*$G49*INDEX([1]ratio_ins!$D:$D,MATCH('001_population_health_zone_zs'!$B49,[1]ratio_ins!$B:$B,0))</f>
        <v>33846.5720736</v>
      </c>
      <c r="AT49" s="10">
        <f>INDEX([1]ratio_ins!AQ:AQ,MATCH('001_population_health_zone_zs'!$B$2,[1]ratio_ins!$B:$B,0))*$G49*INDEX([1]ratio_ins!$D:$D,MATCH('001_population_health_zone_zs'!$B49,[1]ratio_ins!$B:$B,0))</f>
        <v>827.14008000000001</v>
      </c>
      <c r="AU49" s="10">
        <f>INDEX([1]ratio_ins!AR:AR,MATCH('001_population_health_zone_zs'!$B$2,[1]ratio_ins!$B:$B,0))*$G49*INDEX([1]ratio_ins!$D:$D,MATCH('001_population_health_zone_zs'!$B49,[1]ratio_ins!$B:$B,0))</f>
        <v>496.28404800000004</v>
      </c>
      <c r="AV49" s="10">
        <f>INDEX([1]ratio_ins!AS:AS,MATCH('001_population_health_zone_zs'!$B$2,[1]ratio_ins!$B:$B,0))*$G49*INDEX([1]ratio_ins!$D:$D,MATCH('001_population_health_zone_zs'!$B49,[1]ratio_ins!$B:$B,0))</f>
        <v>248.14202400000002</v>
      </c>
      <c r="AW49" s="10">
        <f>INDEX([1]ratio_ins!AT:AT,MATCH('001_population_health_zone_zs'!$B$2,[1]ratio_ins!$B:$B,0))*$G49*INDEX([1]ratio_ins!$D:$D,MATCH('001_population_health_zone_zs'!$B49,[1]ratio_ins!$B:$B,0))</f>
        <v>165.42801600000001</v>
      </c>
      <c r="AX49" s="13">
        <f>INDEX([1]ratio_ins!AU:AU,MATCH('001_population_health_zone_zs'!$B$2,[1]ratio_ins!$B:$B,0))*$G49*INDEX([1]ratio_ins!$D:$D,MATCH('001_population_health_zone_zs'!$B49,[1]ratio_ins!$B:$B,0))</f>
        <v>1736.9941679999997</v>
      </c>
      <c r="AY49" s="14">
        <f t="shared" si="1"/>
        <v>82714.008000000002</v>
      </c>
      <c r="AZ49" s="15">
        <f t="shared" si="2"/>
        <v>163144</v>
      </c>
      <c r="BA49" s="16">
        <v>156505.71175377237</v>
      </c>
      <c r="BB49" s="10">
        <f t="shared" si="3"/>
        <v>35153.453399999999</v>
      </c>
      <c r="BC49" s="17">
        <f t="shared" si="4"/>
        <v>0.215475</v>
      </c>
      <c r="BD49" s="10">
        <f t="shared" si="5"/>
        <v>33539.306663999996</v>
      </c>
    </row>
    <row r="50" spans="1:56" x14ac:dyDescent="0.25">
      <c r="A50" s="8" t="s">
        <v>82</v>
      </c>
      <c r="B50" s="8" t="s">
        <v>83</v>
      </c>
      <c r="C50" s="8" t="s">
        <v>115</v>
      </c>
      <c r="D50" s="8" t="s">
        <v>116</v>
      </c>
      <c r="E50" s="8" t="s">
        <v>117</v>
      </c>
      <c r="F50" s="8" t="s">
        <v>118</v>
      </c>
      <c r="G50" s="9">
        <v>176884</v>
      </c>
      <c r="H50" s="10">
        <f>INDEX([1]ratio_ins!F:F,MATCH('001_population_health_zone_zs'!$B$2,[1]ratio_ins!$B:$B,0))*$G50*INDEX([1]ratio_ins!$C:$C,MATCH('001_population_health_zone_zs'!$B50,[1]ratio_ins!$B:$B,0))</f>
        <v>18225.596708000001</v>
      </c>
      <c r="I50" s="10">
        <f>INDEX([1]ratio_ins!G:G,MATCH('001_population_health_zone_zs'!$B$2,[1]ratio_ins!$B:$B,0))*$G50*INDEX([1]ratio_ins!$C:$C,MATCH('001_population_health_zone_zs'!$B50,[1]ratio_ins!$B:$B,0))</f>
        <v>14911.851852</v>
      </c>
      <c r="J50" s="10">
        <f>INDEX([1]ratio_ins!H:H,MATCH('001_population_health_zone_zs'!$B$2,[1]ratio_ins!$B:$B,0))*$G50*INDEX([1]ratio_ins!$C:$C,MATCH('001_population_health_zone_zs'!$B50,[1]ratio_ins!$B:$B,0))</f>
        <v>11772.51462</v>
      </c>
      <c r="K50" s="10">
        <f>INDEX([1]ratio_ins!I:I,MATCH('001_population_health_zone_zs'!$B$2,[1]ratio_ins!$B:$B,0))*$G50*INDEX([1]ratio_ins!$C:$C,MATCH('001_population_health_zone_zs'!$B50,[1]ratio_ins!$B:$B,0))</f>
        <v>7237.9163960000005</v>
      </c>
      <c r="L50" s="10">
        <f>INDEX([1]ratio_ins!J:J,MATCH('001_population_health_zone_zs'!$B$2,[1]ratio_ins!$B:$B,0))*$G50*INDEX([1]ratio_ins!$C:$C,MATCH('001_population_health_zone_zs'!$B50,[1]ratio_ins!$B:$B,0))</f>
        <v>4342.7498375999994</v>
      </c>
      <c r="M50" s="11">
        <f>INDEX([1]ratio_ins!K:K,MATCH('001_population_health_zone_zs'!$B$2,[1]ratio_ins!$B:$B,0))*$G50*INDEX([1]ratio_ins!$C:$C,MATCH('001_population_health_zone_zs'!$B50,[1]ratio_ins!$B:$B,0))</f>
        <v>49252.713017599999</v>
      </c>
      <c r="N50" s="10">
        <f>INDEX([1]ratio_ins!L:L,MATCH('001_population_health_zone_zs'!$B$2,[1]ratio_ins!$B:$B,0))*$G50*INDEX([1]ratio_ins!$C:$C,MATCH('001_population_health_zone_zs'!$B50,[1]ratio_ins!$B:$B,0))</f>
        <v>2895.1665584000002</v>
      </c>
      <c r="O50" s="10">
        <f>INDEX([1]ratio_ins!M:M,MATCH('001_population_health_zone_zs'!$B$2,[1]ratio_ins!$B:$B,0))*$G50*INDEX([1]ratio_ins!$C:$C,MATCH('001_population_health_zone_zs'!$B50,[1]ratio_ins!$B:$B,0))</f>
        <v>6278.6744640000006</v>
      </c>
      <c r="P50" s="10">
        <f>INDEX([1]ratio_ins!N:N,MATCH('001_population_health_zone_zs'!$B$2,[1]ratio_ins!$B:$B,0))*$G50*INDEX([1]ratio_ins!$C:$C,MATCH('001_population_health_zone_zs'!$B50,[1]ratio_ins!$B:$B,0))</f>
        <v>5668.2477800000006</v>
      </c>
      <c r="Q50" s="10">
        <f>INDEX([1]ratio_ins!O:O,MATCH('001_population_health_zone_zs'!$B$2,[1]ratio_ins!$B:$B,0))*$G50*INDEX([1]ratio_ins!$C:$C,MATCH('001_population_health_zone_zs'!$B50,[1]ratio_ins!$B:$B,0))</f>
        <v>5057.8210959999997</v>
      </c>
      <c r="R50" s="10">
        <f>INDEX([1]ratio_ins!P:P,MATCH('001_population_health_zone_zs'!$B$2,[1]ratio_ins!$B:$B,0))*$G50*INDEX([1]ratio_ins!$C:$C,MATCH('001_population_health_zone_zs'!$B50,[1]ratio_ins!$B:$B,0))</f>
        <v>4970.6172839999999</v>
      </c>
      <c r="S50" s="10">
        <f>INDEX([1]ratio_ins!Q:Q,MATCH('001_population_health_zone_zs'!$B$2,[1]ratio_ins!$B:$B,0))*$G50*INDEX([1]ratio_ins!$C:$C,MATCH('001_population_health_zone_zs'!$B50,[1]ratio_ins!$B:$B,0))</f>
        <v>4185.7829760000004</v>
      </c>
      <c r="T50" s="10">
        <f>INDEX([1]ratio_ins!R:R,MATCH('001_population_health_zone_zs'!$B$2,[1]ratio_ins!$B:$B,0))*$G50*INDEX([1]ratio_ins!$C:$C,MATCH('001_population_health_zone_zs'!$B50,[1]ratio_ins!$B:$B,0))</f>
        <v>2964.9296080000004</v>
      </c>
      <c r="U50" s="10">
        <f>INDEX([1]ratio_ins!S:S,MATCH('001_population_health_zone_zs'!$B$2,[1]ratio_ins!$B:$B,0))*$G50*INDEX([1]ratio_ins!$C:$C,MATCH('001_population_health_zone_zs'!$B50,[1]ratio_ins!$B:$B,0))</f>
        <v>2354.5029240000003</v>
      </c>
      <c r="V50" s="10">
        <f>INDEX([1]ratio_ins!T:T,MATCH('001_population_health_zone_zs'!$B$2,[1]ratio_ins!$B:$B,0))*$G50*INDEX([1]ratio_ins!$C:$C,MATCH('001_population_health_zone_zs'!$B50,[1]ratio_ins!$B:$B,0))</f>
        <v>1308.0571799999998</v>
      </c>
      <c r="W50" s="11">
        <f>INDEX([1]ratio_ins!U:U,MATCH('001_population_health_zone_zs'!$B$2,[1]ratio_ins!$B:$B,0))*$G50*INDEX([1]ratio_ins!$C:$C,MATCH('001_population_health_zone_zs'!$B50,[1]ratio_ins!$B:$B,0))</f>
        <v>35683.799870399998</v>
      </c>
      <c r="X50" s="10">
        <f>INDEX([1]ratio_ins!V:V,MATCH('001_population_health_zone_zs'!$B$2,[1]ratio_ins!$B:$B,0))*$G50*INDEX([1]ratio_ins!$C:$C,MATCH('001_population_health_zone_zs'!$B50,[1]ratio_ins!$B:$B,0))</f>
        <v>1046.4457440000001</v>
      </c>
      <c r="Y50" s="10">
        <f>INDEX([1]ratio_ins!W:W,MATCH('001_population_health_zone_zs'!$B$2,[1]ratio_ins!$B:$B,0))*$G50*INDEX([1]ratio_ins!$C:$C,MATCH('001_population_health_zone_zs'!$B50,[1]ratio_ins!$B:$B,0))</f>
        <v>697.63049599999999</v>
      </c>
      <c r="Z50" s="10">
        <f>INDEX([1]ratio_ins!X:X,MATCH('001_population_health_zone_zs'!$B$2,[1]ratio_ins!$B:$B,0))*$G50*INDEX([1]ratio_ins!$C:$C,MATCH('001_population_health_zone_zs'!$B50,[1]ratio_ins!$B:$B,0))</f>
        <v>348.815248</v>
      </c>
      <c r="AA50" s="10">
        <f>INDEX([1]ratio_ins!Y:Y,MATCH('001_population_health_zone_zs'!$B$2,[1]ratio_ins!$B:$B,0))*$G50*INDEX([1]ratio_ins!$C:$C,MATCH('001_population_health_zone_zs'!$B50,[1]ratio_ins!$B:$B,0))</f>
        <v>174.407624</v>
      </c>
      <c r="AB50" s="11">
        <f>INDEX([1]ratio_ins!Z:Z,MATCH('001_population_health_zone_zs'!$B$2,[1]ratio_ins!$B:$B,0))*$G50*INDEX([1]ratio_ins!$C:$C,MATCH('001_population_health_zone_zs'!$B50,[1]ratio_ins!$B:$B,0))</f>
        <v>2267.2991120000002</v>
      </c>
      <c r="AC50" s="12">
        <f t="shared" si="0"/>
        <v>87203.811999999991</v>
      </c>
      <c r="AD50" s="10">
        <f>INDEX([1]ratio_ins!AA:AA,MATCH('001_population_health_zone_zs'!$B$2,[1]ratio_ins!$B:$B,0))*$G50*INDEX([1]ratio_ins!$D:$D,MATCH('001_population_health_zone_zs'!$B50,[1]ratio_ins!$B:$B,0))</f>
        <v>18832.839479999999</v>
      </c>
      <c r="AE50" s="10">
        <f>INDEX([1]ratio_ins!AB:AB,MATCH('001_population_health_zone_zs'!$B$2,[1]ratio_ins!$B:$B,0))*$G50*INDEX([1]ratio_ins!$D:$D,MATCH('001_population_health_zone_zs'!$B50,[1]ratio_ins!$B:$B,0))</f>
        <v>15514.672524000003</v>
      </c>
      <c r="AF50" s="10">
        <f>INDEX([1]ratio_ins!AC:AC,MATCH('001_population_health_zone_zs'!$B$2,[1]ratio_ins!$B:$B,0))*$G50*INDEX([1]ratio_ins!$D:$D,MATCH('001_population_health_zone_zs'!$B50,[1]ratio_ins!$B:$B,0))</f>
        <v>12286.185755999999</v>
      </c>
      <c r="AG50" s="10">
        <f>INDEX([1]ratio_ins!AD:AD,MATCH('001_population_health_zone_zs'!$B$2,[1]ratio_ins!$B:$B,0))*$G50*INDEX([1]ratio_ins!$D:$D,MATCH('001_population_health_zone_zs'!$B50,[1]ratio_ins!$B:$B,0))</f>
        <v>7443.4556040000007</v>
      </c>
      <c r="AH50" s="10">
        <f>INDEX([1]ratio_ins!AE:AE,MATCH('001_population_health_zone_zs'!$B$2,[1]ratio_ins!$B:$B,0))*$G50*INDEX([1]ratio_ins!$D:$D,MATCH('001_population_health_zone_zs'!$B50,[1]ratio_ins!$B:$B,0))</f>
        <v>4466.0733623999995</v>
      </c>
      <c r="AI50" s="13">
        <f>INDEX([1]ratio_ins!AF:AF,MATCH('001_population_health_zone_zs'!$B$2,[1]ratio_ins!$B:$B,0))*$G50*INDEX([1]ratio_ins!$D:$D,MATCH('001_population_health_zone_zs'!$B50,[1]ratio_ins!$B:$B,0))</f>
        <v>51099.771122399994</v>
      </c>
      <c r="AJ50" s="10">
        <f>INDEX([1]ratio_ins!AG:AG,MATCH('001_population_health_zone_zs'!$B$2,[1]ratio_ins!$B:$B,0))*$G50*INDEX([1]ratio_ins!$D:$D,MATCH('001_population_health_zone_zs'!$B50,[1]ratio_ins!$B:$B,0))</f>
        <v>2977.3822416000003</v>
      </c>
      <c r="AK50" s="10">
        <f>INDEX([1]ratio_ins!AH:AH,MATCH('001_population_health_zone_zs'!$B$2,[1]ratio_ins!$B:$B,0))*$G50*INDEX([1]ratio_ins!$D:$D,MATCH('001_population_health_zone_zs'!$B50,[1]ratio_ins!$B:$B,0))</f>
        <v>6636.333912000001</v>
      </c>
      <c r="AL50" s="10">
        <f>INDEX([1]ratio_ins!AI:AI,MATCH('001_population_health_zone_zs'!$B$2,[1]ratio_ins!$B:$B,0))*$G50*INDEX([1]ratio_ins!$D:$D,MATCH('001_population_health_zone_zs'!$B50,[1]ratio_ins!$B:$B,0))</f>
        <v>6277.6131600000008</v>
      </c>
      <c r="AM50" s="10">
        <f>INDEX([1]ratio_ins!AJ:AJ,MATCH('001_population_health_zone_zs'!$B$2,[1]ratio_ins!$B:$B,0))*$G50*INDEX([1]ratio_ins!$D:$D,MATCH('001_population_health_zone_zs'!$B50,[1]ratio_ins!$B:$B,0))</f>
        <v>5739.532032000001</v>
      </c>
      <c r="AN50" s="10">
        <f>INDEX([1]ratio_ins!AK:AK,MATCH('001_population_health_zone_zs'!$B$2,[1]ratio_ins!$B:$B,0))*$G50*INDEX([1]ratio_ins!$D:$D,MATCH('001_population_health_zone_zs'!$B50,[1]ratio_ins!$B:$B,0))</f>
        <v>5380.8112799999999</v>
      </c>
      <c r="AO50" s="10">
        <f>INDEX([1]ratio_ins!AL:AL,MATCH('001_population_health_zone_zs'!$B$2,[1]ratio_ins!$B:$B,0))*$G50*INDEX([1]ratio_ins!$D:$D,MATCH('001_population_health_zone_zs'!$B50,[1]ratio_ins!$B:$B,0))</f>
        <v>4035.6084599999999</v>
      </c>
      <c r="AP50" s="10">
        <f>INDEX([1]ratio_ins!AM:AM,MATCH('001_population_health_zone_zs'!$B$2,[1]ratio_ins!$B:$B,0))*$G50*INDEX([1]ratio_ins!$D:$D,MATCH('001_population_health_zone_zs'!$B50,[1]ratio_ins!$B:$B,0))</f>
        <v>2600.7254519999997</v>
      </c>
      <c r="AQ50" s="10">
        <f>INDEX([1]ratio_ins!AN:AN,MATCH('001_population_health_zone_zs'!$B$2,[1]ratio_ins!$B:$B,0))*$G50*INDEX([1]ratio_ins!$D:$D,MATCH('001_population_health_zone_zs'!$B50,[1]ratio_ins!$B:$B,0))</f>
        <v>2062.6443239999999</v>
      </c>
      <c r="AR50" s="10">
        <f>INDEX([1]ratio_ins!AO:AO,MATCH('001_population_health_zone_zs'!$B$2,[1]ratio_ins!$B:$B,0))*$G50*INDEX([1]ratio_ins!$D:$D,MATCH('001_population_health_zone_zs'!$B50,[1]ratio_ins!$B:$B,0))</f>
        <v>986.48206800000014</v>
      </c>
      <c r="AS50" s="13">
        <f>INDEX([1]ratio_ins!AP:AP,MATCH('001_population_health_zone_zs'!$B$2,[1]ratio_ins!$B:$B,0))*$G50*INDEX([1]ratio_ins!$D:$D,MATCH('001_population_health_zone_zs'!$B50,[1]ratio_ins!$B:$B,0))</f>
        <v>36697.132929599997</v>
      </c>
      <c r="AT50" s="10">
        <f>INDEX([1]ratio_ins!AQ:AQ,MATCH('001_population_health_zone_zs'!$B$2,[1]ratio_ins!$B:$B,0))*$G50*INDEX([1]ratio_ins!$D:$D,MATCH('001_population_health_zone_zs'!$B50,[1]ratio_ins!$B:$B,0))</f>
        <v>896.8018800000001</v>
      </c>
      <c r="AU50" s="10">
        <f>INDEX([1]ratio_ins!AR:AR,MATCH('001_population_health_zone_zs'!$B$2,[1]ratio_ins!$B:$B,0))*$G50*INDEX([1]ratio_ins!$D:$D,MATCH('001_population_health_zone_zs'!$B50,[1]ratio_ins!$B:$B,0))</f>
        <v>538.08112800000004</v>
      </c>
      <c r="AV50" s="10">
        <f>INDEX([1]ratio_ins!AS:AS,MATCH('001_population_health_zone_zs'!$B$2,[1]ratio_ins!$B:$B,0))*$G50*INDEX([1]ratio_ins!$D:$D,MATCH('001_population_health_zone_zs'!$B50,[1]ratio_ins!$B:$B,0))</f>
        <v>269.04056400000002</v>
      </c>
      <c r="AW50" s="10">
        <f>INDEX([1]ratio_ins!AT:AT,MATCH('001_population_health_zone_zs'!$B$2,[1]ratio_ins!$B:$B,0))*$G50*INDEX([1]ratio_ins!$D:$D,MATCH('001_population_health_zone_zs'!$B50,[1]ratio_ins!$B:$B,0))</f>
        <v>179.36037600000003</v>
      </c>
      <c r="AX50" s="13">
        <f>INDEX([1]ratio_ins!AU:AU,MATCH('001_population_health_zone_zs'!$B$2,[1]ratio_ins!$B:$B,0))*$G50*INDEX([1]ratio_ins!$D:$D,MATCH('001_population_health_zone_zs'!$B50,[1]ratio_ins!$B:$B,0))</f>
        <v>1883.2839479999998</v>
      </c>
      <c r="AY50" s="14">
        <f t="shared" si="1"/>
        <v>89680.187999999995</v>
      </c>
      <c r="AZ50" s="15">
        <f t="shared" si="2"/>
        <v>176884</v>
      </c>
      <c r="BA50" s="16">
        <v>169686.17110109451</v>
      </c>
      <c r="BB50" s="10">
        <f t="shared" si="3"/>
        <v>38114.079900000004</v>
      </c>
      <c r="BC50" s="17">
        <f t="shared" si="4"/>
        <v>0.21547500000000003</v>
      </c>
      <c r="BD50" s="10">
        <f t="shared" si="5"/>
        <v>36363.989604000002</v>
      </c>
    </row>
    <row r="51" spans="1:56" x14ac:dyDescent="0.25">
      <c r="A51" s="8" t="s">
        <v>82</v>
      </c>
      <c r="B51" s="8" t="s">
        <v>83</v>
      </c>
      <c r="C51" s="8" t="s">
        <v>115</v>
      </c>
      <c r="D51" s="8" t="s">
        <v>116</v>
      </c>
      <c r="E51" s="8" t="s">
        <v>115</v>
      </c>
      <c r="F51" s="8" t="s">
        <v>119</v>
      </c>
      <c r="G51" s="9">
        <v>322057</v>
      </c>
      <c r="H51" s="10">
        <f>INDEX([1]ratio_ins!F:F,MATCH('001_population_health_zone_zs'!$B$2,[1]ratio_ins!$B:$B,0))*$G51*INDEX([1]ratio_ins!$C:$C,MATCH('001_population_health_zone_zs'!$B51,[1]ratio_ins!$B:$B,0))</f>
        <v>33183.787108999997</v>
      </c>
      <c r="I51" s="10">
        <f>INDEX([1]ratio_ins!G:G,MATCH('001_population_health_zone_zs'!$B$2,[1]ratio_ins!$B:$B,0))*$G51*INDEX([1]ratio_ins!$C:$C,MATCH('001_population_health_zone_zs'!$B51,[1]ratio_ins!$B:$B,0))</f>
        <v>27150.371271</v>
      </c>
      <c r="J51" s="10">
        <f>INDEX([1]ratio_ins!H:H,MATCH('001_population_health_zone_zs'!$B$2,[1]ratio_ins!$B:$B,0))*$G51*INDEX([1]ratio_ins!$C:$C,MATCH('001_population_health_zone_zs'!$B51,[1]ratio_ins!$B:$B,0))</f>
        <v>21434.503635000001</v>
      </c>
      <c r="K51" s="10">
        <f>INDEX([1]ratio_ins!I:I,MATCH('001_population_health_zone_zs'!$B$2,[1]ratio_ins!$B:$B,0))*$G51*INDEX([1]ratio_ins!$C:$C,MATCH('001_population_health_zone_zs'!$B51,[1]ratio_ins!$B:$B,0))</f>
        <v>13178.250383000001</v>
      </c>
      <c r="L51" s="10">
        <f>INDEX([1]ratio_ins!J:J,MATCH('001_population_health_zone_zs'!$B$2,[1]ratio_ins!$B:$B,0))*$G51*INDEX([1]ratio_ins!$C:$C,MATCH('001_population_health_zone_zs'!$B51,[1]ratio_ins!$B:$B,0))</f>
        <v>7906.9502297999998</v>
      </c>
      <c r="M51" s="11">
        <f>INDEX([1]ratio_ins!K:K,MATCH('001_population_health_zone_zs'!$B$2,[1]ratio_ins!$B:$B,0))*$G51*INDEX([1]ratio_ins!$C:$C,MATCH('001_population_health_zone_zs'!$B51,[1]ratio_ins!$B:$B,0))</f>
        <v>89675.612244799981</v>
      </c>
      <c r="N51" s="10">
        <f>INDEX([1]ratio_ins!L:L,MATCH('001_population_health_zone_zs'!$B$2,[1]ratio_ins!$B:$B,0))*$G51*INDEX([1]ratio_ins!$C:$C,MATCH('001_population_health_zone_zs'!$B51,[1]ratio_ins!$B:$B,0))</f>
        <v>5271.3001531999998</v>
      </c>
      <c r="O51" s="10">
        <f>INDEX([1]ratio_ins!M:M,MATCH('001_population_health_zone_zs'!$B$2,[1]ratio_ins!$B:$B,0))*$G51*INDEX([1]ratio_ins!$C:$C,MATCH('001_population_health_zone_zs'!$B51,[1]ratio_ins!$B:$B,0))</f>
        <v>11431.735272000002</v>
      </c>
      <c r="P51" s="10">
        <f>INDEX([1]ratio_ins!N:N,MATCH('001_population_health_zone_zs'!$B$2,[1]ratio_ins!$B:$B,0))*$G51*INDEX([1]ratio_ins!$C:$C,MATCH('001_population_health_zone_zs'!$B51,[1]ratio_ins!$B:$B,0))</f>
        <v>10320.316565000001</v>
      </c>
      <c r="Q51" s="10">
        <f>INDEX([1]ratio_ins!O:O,MATCH('001_population_health_zone_zs'!$B$2,[1]ratio_ins!$B:$B,0))*$G51*INDEX([1]ratio_ins!$C:$C,MATCH('001_population_health_zone_zs'!$B51,[1]ratio_ins!$B:$B,0))</f>
        <v>9208.8978580000003</v>
      </c>
      <c r="R51" s="10">
        <f>INDEX([1]ratio_ins!P:P,MATCH('001_population_health_zone_zs'!$B$2,[1]ratio_ins!$B:$B,0))*$G51*INDEX([1]ratio_ins!$C:$C,MATCH('001_population_health_zone_zs'!$B51,[1]ratio_ins!$B:$B,0))</f>
        <v>9050.1237569999994</v>
      </c>
      <c r="S51" s="10">
        <f>INDEX([1]ratio_ins!Q:Q,MATCH('001_population_health_zone_zs'!$B$2,[1]ratio_ins!$B:$B,0))*$G51*INDEX([1]ratio_ins!$C:$C,MATCH('001_population_health_zone_zs'!$B51,[1]ratio_ins!$B:$B,0))</f>
        <v>7621.1568480000005</v>
      </c>
      <c r="T51" s="10">
        <f>INDEX([1]ratio_ins!R:R,MATCH('001_population_health_zone_zs'!$B$2,[1]ratio_ins!$B:$B,0))*$G51*INDEX([1]ratio_ins!$C:$C,MATCH('001_population_health_zone_zs'!$B51,[1]ratio_ins!$B:$B,0))</f>
        <v>5398.319434</v>
      </c>
      <c r="U51" s="10">
        <f>INDEX([1]ratio_ins!S:S,MATCH('001_population_health_zone_zs'!$B$2,[1]ratio_ins!$B:$B,0))*$G51*INDEX([1]ratio_ins!$C:$C,MATCH('001_population_health_zone_zs'!$B51,[1]ratio_ins!$B:$B,0))</f>
        <v>4286.9007270000002</v>
      </c>
      <c r="V51" s="10">
        <f>INDEX([1]ratio_ins!T:T,MATCH('001_population_health_zone_zs'!$B$2,[1]ratio_ins!$B:$B,0))*$G51*INDEX([1]ratio_ins!$C:$C,MATCH('001_population_health_zone_zs'!$B51,[1]ratio_ins!$B:$B,0))</f>
        <v>2381.6115149999996</v>
      </c>
      <c r="W51" s="11">
        <f>INDEX([1]ratio_ins!U:U,MATCH('001_population_health_zone_zs'!$B$2,[1]ratio_ins!$B:$B,0))*$G51*INDEX([1]ratio_ins!$C:$C,MATCH('001_population_health_zone_zs'!$B51,[1]ratio_ins!$B:$B,0))</f>
        <v>64970.362129200003</v>
      </c>
      <c r="X51" s="10">
        <f>INDEX([1]ratio_ins!V:V,MATCH('001_population_health_zone_zs'!$B$2,[1]ratio_ins!$B:$B,0))*$G51*INDEX([1]ratio_ins!$C:$C,MATCH('001_population_health_zone_zs'!$B51,[1]ratio_ins!$B:$B,0))</f>
        <v>1905.2892120000001</v>
      </c>
      <c r="Y51" s="10">
        <f>INDEX([1]ratio_ins!W:W,MATCH('001_population_health_zone_zs'!$B$2,[1]ratio_ins!$B:$B,0))*$G51*INDEX([1]ratio_ins!$C:$C,MATCH('001_population_health_zone_zs'!$B51,[1]ratio_ins!$B:$B,0))</f>
        <v>1270.192808</v>
      </c>
      <c r="Z51" s="10">
        <f>INDEX([1]ratio_ins!X:X,MATCH('001_population_health_zone_zs'!$B$2,[1]ratio_ins!$B:$B,0))*$G51*INDEX([1]ratio_ins!$C:$C,MATCH('001_population_health_zone_zs'!$B51,[1]ratio_ins!$B:$B,0))</f>
        <v>635.09640400000001</v>
      </c>
      <c r="AA51" s="10">
        <f>INDEX([1]ratio_ins!Y:Y,MATCH('001_population_health_zone_zs'!$B$2,[1]ratio_ins!$B:$B,0))*$G51*INDEX([1]ratio_ins!$C:$C,MATCH('001_population_health_zone_zs'!$B51,[1]ratio_ins!$B:$B,0))</f>
        <v>317.548202</v>
      </c>
      <c r="AB51" s="11">
        <f>INDEX([1]ratio_ins!Z:Z,MATCH('001_population_health_zone_zs'!$B$2,[1]ratio_ins!$B:$B,0))*$G51*INDEX([1]ratio_ins!$C:$C,MATCH('001_population_health_zone_zs'!$B51,[1]ratio_ins!$B:$B,0))</f>
        <v>4128.1266260000002</v>
      </c>
      <c r="AC51" s="12">
        <f t="shared" si="0"/>
        <v>158774.101</v>
      </c>
      <c r="AD51" s="10">
        <f>INDEX([1]ratio_ins!AA:AA,MATCH('001_population_health_zone_zs'!$B$2,[1]ratio_ins!$B:$B,0))*$G51*INDEX([1]ratio_ins!$D:$D,MATCH('001_population_health_zone_zs'!$B51,[1]ratio_ins!$B:$B,0))</f>
        <v>34289.408790000001</v>
      </c>
      <c r="AE51" s="10">
        <f>INDEX([1]ratio_ins!AB:AB,MATCH('001_population_health_zone_zs'!$B$2,[1]ratio_ins!$B:$B,0))*$G51*INDEX([1]ratio_ins!$D:$D,MATCH('001_population_health_zone_zs'!$B51,[1]ratio_ins!$B:$B,0))</f>
        <v>28247.941527000003</v>
      </c>
      <c r="AF51" s="10">
        <f>INDEX([1]ratio_ins!AC:AC,MATCH('001_population_health_zone_zs'!$B$2,[1]ratio_ins!$B:$B,0))*$G51*INDEX([1]ratio_ins!$D:$D,MATCH('001_population_health_zone_zs'!$B51,[1]ratio_ins!$B:$B,0))</f>
        <v>22369.757162999998</v>
      </c>
      <c r="AG51" s="10">
        <f>INDEX([1]ratio_ins!AD:AD,MATCH('001_population_health_zone_zs'!$B$2,[1]ratio_ins!$B:$B,0))*$G51*INDEX([1]ratio_ins!$D:$D,MATCH('001_population_health_zone_zs'!$B51,[1]ratio_ins!$B:$B,0))</f>
        <v>13552.480616999999</v>
      </c>
      <c r="AH51" s="10">
        <f>INDEX([1]ratio_ins!AE:AE,MATCH('001_population_health_zone_zs'!$B$2,[1]ratio_ins!$B:$B,0))*$G51*INDEX([1]ratio_ins!$D:$D,MATCH('001_population_health_zone_zs'!$B51,[1]ratio_ins!$B:$B,0))</f>
        <v>8131.4883701999997</v>
      </c>
      <c r="AI51" s="13">
        <f>INDEX([1]ratio_ins!AF:AF,MATCH('001_population_health_zone_zs'!$B$2,[1]ratio_ins!$B:$B,0))*$G51*INDEX([1]ratio_ins!$D:$D,MATCH('001_population_health_zone_zs'!$B51,[1]ratio_ins!$B:$B,0))</f>
        <v>93038.595850199985</v>
      </c>
      <c r="AJ51" s="10">
        <f>INDEX([1]ratio_ins!AG:AG,MATCH('001_population_health_zone_zs'!$B$2,[1]ratio_ins!$B:$B,0))*$G51*INDEX([1]ratio_ins!$D:$D,MATCH('001_population_health_zone_zs'!$B51,[1]ratio_ins!$B:$B,0))</f>
        <v>5420.9922468000004</v>
      </c>
      <c r="AK51" s="10">
        <f>INDEX([1]ratio_ins!AH:AH,MATCH('001_population_health_zone_zs'!$B$2,[1]ratio_ins!$B:$B,0))*$G51*INDEX([1]ratio_ins!$D:$D,MATCH('001_population_health_zone_zs'!$B51,[1]ratio_ins!$B:$B,0))</f>
        <v>12082.934526000003</v>
      </c>
      <c r="AL51" s="10">
        <f>INDEX([1]ratio_ins!AI:AI,MATCH('001_population_health_zone_zs'!$B$2,[1]ratio_ins!$B:$B,0))*$G51*INDEX([1]ratio_ins!$D:$D,MATCH('001_population_health_zone_zs'!$B51,[1]ratio_ins!$B:$B,0))</f>
        <v>11429.802930000002</v>
      </c>
      <c r="AM51" s="10">
        <f>INDEX([1]ratio_ins!AJ:AJ,MATCH('001_population_health_zone_zs'!$B$2,[1]ratio_ins!$B:$B,0))*$G51*INDEX([1]ratio_ins!$D:$D,MATCH('001_population_health_zone_zs'!$B51,[1]ratio_ins!$B:$B,0))</f>
        <v>10450.105536000001</v>
      </c>
      <c r="AN51" s="10">
        <f>INDEX([1]ratio_ins!AK:AK,MATCH('001_population_health_zone_zs'!$B$2,[1]ratio_ins!$B:$B,0))*$G51*INDEX([1]ratio_ins!$D:$D,MATCH('001_population_health_zone_zs'!$B51,[1]ratio_ins!$B:$B,0))</f>
        <v>9796.9739399999999</v>
      </c>
      <c r="AO51" s="10">
        <f>INDEX([1]ratio_ins!AL:AL,MATCH('001_population_health_zone_zs'!$B$2,[1]ratio_ins!$B:$B,0))*$G51*INDEX([1]ratio_ins!$D:$D,MATCH('001_population_health_zone_zs'!$B51,[1]ratio_ins!$B:$B,0))</f>
        <v>7347.730454999999</v>
      </c>
      <c r="AP51" s="10">
        <f>INDEX([1]ratio_ins!AM:AM,MATCH('001_population_health_zone_zs'!$B$2,[1]ratio_ins!$B:$B,0))*$G51*INDEX([1]ratio_ins!$D:$D,MATCH('001_population_health_zone_zs'!$B51,[1]ratio_ins!$B:$B,0))</f>
        <v>4735.2040710000001</v>
      </c>
      <c r="AQ51" s="10">
        <f>INDEX([1]ratio_ins!AN:AN,MATCH('001_population_health_zone_zs'!$B$2,[1]ratio_ins!$B:$B,0))*$G51*INDEX([1]ratio_ins!$D:$D,MATCH('001_population_health_zone_zs'!$B51,[1]ratio_ins!$B:$B,0))</f>
        <v>3755.5066769999999</v>
      </c>
      <c r="AR51" s="10">
        <f>INDEX([1]ratio_ins!AO:AO,MATCH('001_population_health_zone_zs'!$B$2,[1]ratio_ins!$B:$B,0))*$G51*INDEX([1]ratio_ins!$D:$D,MATCH('001_population_health_zone_zs'!$B51,[1]ratio_ins!$B:$B,0))</f>
        <v>1796.1118890000002</v>
      </c>
      <c r="AS51" s="13">
        <f>INDEX([1]ratio_ins!AP:AP,MATCH('001_population_health_zone_zs'!$B$2,[1]ratio_ins!$B:$B,0))*$G51*INDEX([1]ratio_ins!$D:$D,MATCH('001_population_health_zone_zs'!$B51,[1]ratio_ins!$B:$B,0))</f>
        <v>66815.362270800004</v>
      </c>
      <c r="AT51" s="10">
        <f>INDEX([1]ratio_ins!AQ:AQ,MATCH('001_population_health_zone_zs'!$B$2,[1]ratio_ins!$B:$B,0))*$G51*INDEX([1]ratio_ins!$D:$D,MATCH('001_population_health_zone_zs'!$B51,[1]ratio_ins!$B:$B,0))</f>
        <v>1632.8289900000002</v>
      </c>
      <c r="AU51" s="10">
        <f>INDEX([1]ratio_ins!AR:AR,MATCH('001_population_health_zone_zs'!$B$2,[1]ratio_ins!$B:$B,0))*$G51*INDEX([1]ratio_ins!$D:$D,MATCH('001_population_health_zone_zs'!$B51,[1]ratio_ins!$B:$B,0))</f>
        <v>979.69739400000003</v>
      </c>
      <c r="AV51" s="10">
        <f>INDEX([1]ratio_ins!AS:AS,MATCH('001_population_health_zone_zs'!$B$2,[1]ratio_ins!$B:$B,0))*$G51*INDEX([1]ratio_ins!$D:$D,MATCH('001_population_health_zone_zs'!$B51,[1]ratio_ins!$B:$B,0))</f>
        <v>489.84869700000002</v>
      </c>
      <c r="AW51" s="10">
        <f>INDEX([1]ratio_ins!AT:AT,MATCH('001_population_health_zone_zs'!$B$2,[1]ratio_ins!$B:$B,0))*$G51*INDEX([1]ratio_ins!$D:$D,MATCH('001_population_health_zone_zs'!$B51,[1]ratio_ins!$B:$B,0))</f>
        <v>326.56579800000003</v>
      </c>
      <c r="AX51" s="13">
        <f>INDEX([1]ratio_ins!AU:AU,MATCH('001_population_health_zone_zs'!$B$2,[1]ratio_ins!$B:$B,0))*$G51*INDEX([1]ratio_ins!$D:$D,MATCH('001_population_health_zone_zs'!$B51,[1]ratio_ins!$B:$B,0))</f>
        <v>3428.9408789999998</v>
      </c>
      <c r="AY51" s="14">
        <f t="shared" si="1"/>
        <v>163282.89899999998</v>
      </c>
      <c r="AZ51" s="15">
        <f t="shared" si="2"/>
        <v>322057</v>
      </c>
      <c r="BA51" s="16">
        <v>308951.99594051519</v>
      </c>
      <c r="BB51" s="10">
        <f t="shared" si="3"/>
        <v>69395.232075000007</v>
      </c>
      <c r="BC51" s="17">
        <f t="shared" si="4"/>
        <v>0.21547500000000003</v>
      </c>
      <c r="BD51" s="10">
        <f t="shared" si="5"/>
        <v>66208.800116999992</v>
      </c>
    </row>
    <row r="52" spans="1:56" x14ac:dyDescent="0.25">
      <c r="A52" s="8" t="s">
        <v>82</v>
      </c>
      <c r="B52" s="8" t="s">
        <v>83</v>
      </c>
      <c r="C52" s="8" t="s">
        <v>120</v>
      </c>
      <c r="D52" s="8" t="s">
        <v>121</v>
      </c>
      <c r="E52" s="8" t="s">
        <v>122</v>
      </c>
      <c r="F52" s="8" t="s">
        <v>123</v>
      </c>
      <c r="G52" s="9">
        <v>147388</v>
      </c>
      <c r="H52" s="10">
        <f>INDEX([1]ratio_ins!F:F,MATCH('001_population_health_zone_zs'!$B$2,[1]ratio_ins!$B:$B,0))*$G52*INDEX([1]ratio_ins!$C:$C,MATCH('001_population_health_zone_zs'!$B52,[1]ratio_ins!$B:$B,0))</f>
        <v>15186.417355999998</v>
      </c>
      <c r="I52" s="10">
        <f>INDEX([1]ratio_ins!G:G,MATCH('001_population_health_zone_zs'!$B$2,[1]ratio_ins!$B:$B,0))*$G52*INDEX([1]ratio_ins!$C:$C,MATCH('001_population_health_zone_zs'!$B52,[1]ratio_ins!$B:$B,0))</f>
        <v>12425.250564</v>
      </c>
      <c r="J52" s="10">
        <f>INDEX([1]ratio_ins!H:H,MATCH('001_population_health_zone_zs'!$B$2,[1]ratio_ins!$B:$B,0))*$G52*INDEX([1]ratio_ins!$C:$C,MATCH('001_population_health_zone_zs'!$B52,[1]ratio_ins!$B:$B,0))</f>
        <v>9809.40834</v>
      </c>
      <c r="K52" s="10">
        <f>INDEX([1]ratio_ins!I:I,MATCH('001_population_health_zone_zs'!$B$2,[1]ratio_ins!$B:$B,0))*$G52*INDEX([1]ratio_ins!$C:$C,MATCH('001_population_health_zone_zs'!$B52,[1]ratio_ins!$B:$B,0))</f>
        <v>6030.9695720000009</v>
      </c>
      <c r="L52" s="10">
        <f>INDEX([1]ratio_ins!J:J,MATCH('001_population_health_zone_zs'!$B$2,[1]ratio_ins!$B:$B,0))*$G52*INDEX([1]ratio_ins!$C:$C,MATCH('001_population_health_zone_zs'!$B52,[1]ratio_ins!$B:$B,0))</f>
        <v>3618.5817431999999</v>
      </c>
      <c r="M52" s="11">
        <f>INDEX([1]ratio_ins!K:K,MATCH('001_population_health_zone_zs'!$B$2,[1]ratio_ins!$B:$B,0))*$G52*INDEX([1]ratio_ins!$C:$C,MATCH('001_population_health_zone_zs'!$B52,[1]ratio_ins!$B:$B,0))</f>
        <v>41039.658003199991</v>
      </c>
      <c r="N52" s="10">
        <f>INDEX([1]ratio_ins!L:L,MATCH('001_population_health_zone_zs'!$B$2,[1]ratio_ins!$B:$B,0))*$G52*INDEX([1]ratio_ins!$C:$C,MATCH('001_population_health_zone_zs'!$B52,[1]ratio_ins!$B:$B,0))</f>
        <v>2412.3878288000001</v>
      </c>
      <c r="O52" s="10">
        <f>INDEX([1]ratio_ins!M:M,MATCH('001_population_health_zone_zs'!$B$2,[1]ratio_ins!$B:$B,0))*$G52*INDEX([1]ratio_ins!$C:$C,MATCH('001_population_health_zone_zs'!$B52,[1]ratio_ins!$B:$B,0))</f>
        <v>5231.6844480000009</v>
      </c>
      <c r="P52" s="10">
        <f>INDEX([1]ratio_ins!N:N,MATCH('001_population_health_zone_zs'!$B$2,[1]ratio_ins!$B:$B,0))*$G52*INDEX([1]ratio_ins!$C:$C,MATCH('001_population_health_zone_zs'!$B52,[1]ratio_ins!$B:$B,0))</f>
        <v>4723.0484600000009</v>
      </c>
      <c r="Q52" s="10">
        <f>INDEX([1]ratio_ins!O:O,MATCH('001_population_health_zone_zs'!$B$2,[1]ratio_ins!$B:$B,0))*$G52*INDEX([1]ratio_ins!$C:$C,MATCH('001_population_health_zone_zs'!$B52,[1]ratio_ins!$B:$B,0))</f>
        <v>4214.4124719999991</v>
      </c>
      <c r="R52" s="10">
        <f>INDEX([1]ratio_ins!P:P,MATCH('001_population_health_zone_zs'!$B$2,[1]ratio_ins!$B:$B,0))*$G52*INDEX([1]ratio_ins!$C:$C,MATCH('001_population_health_zone_zs'!$B52,[1]ratio_ins!$B:$B,0))</f>
        <v>4141.750188</v>
      </c>
      <c r="S52" s="10">
        <f>INDEX([1]ratio_ins!Q:Q,MATCH('001_population_health_zone_zs'!$B$2,[1]ratio_ins!$B:$B,0))*$G52*INDEX([1]ratio_ins!$C:$C,MATCH('001_population_health_zone_zs'!$B52,[1]ratio_ins!$B:$B,0))</f>
        <v>3487.789632</v>
      </c>
      <c r="T52" s="10">
        <f>INDEX([1]ratio_ins!R:R,MATCH('001_population_health_zone_zs'!$B$2,[1]ratio_ins!$B:$B,0))*$G52*INDEX([1]ratio_ins!$C:$C,MATCH('001_population_health_zone_zs'!$B52,[1]ratio_ins!$B:$B,0))</f>
        <v>2470.517656</v>
      </c>
      <c r="U52" s="10">
        <f>INDEX([1]ratio_ins!S:S,MATCH('001_population_health_zone_zs'!$B$2,[1]ratio_ins!$B:$B,0))*$G52*INDEX([1]ratio_ins!$C:$C,MATCH('001_population_health_zone_zs'!$B52,[1]ratio_ins!$B:$B,0))</f>
        <v>1961.8816680000002</v>
      </c>
      <c r="V52" s="10">
        <f>INDEX([1]ratio_ins!T:T,MATCH('001_population_health_zone_zs'!$B$2,[1]ratio_ins!$B:$B,0))*$G52*INDEX([1]ratio_ins!$C:$C,MATCH('001_population_health_zone_zs'!$B52,[1]ratio_ins!$B:$B,0))</f>
        <v>1089.9342599999998</v>
      </c>
      <c r="W52" s="11">
        <f>INDEX([1]ratio_ins!U:U,MATCH('001_population_health_zone_zs'!$B$2,[1]ratio_ins!$B:$B,0))*$G52*INDEX([1]ratio_ins!$C:$C,MATCH('001_population_health_zone_zs'!$B52,[1]ratio_ins!$B:$B,0))</f>
        <v>29733.406612800001</v>
      </c>
      <c r="X52" s="10">
        <f>INDEX([1]ratio_ins!V:V,MATCH('001_population_health_zone_zs'!$B$2,[1]ratio_ins!$B:$B,0))*$G52*INDEX([1]ratio_ins!$C:$C,MATCH('001_population_health_zone_zs'!$B52,[1]ratio_ins!$B:$B,0))</f>
        <v>871.947408</v>
      </c>
      <c r="Y52" s="10">
        <f>INDEX([1]ratio_ins!W:W,MATCH('001_population_health_zone_zs'!$B$2,[1]ratio_ins!$B:$B,0))*$G52*INDEX([1]ratio_ins!$C:$C,MATCH('001_population_health_zone_zs'!$B52,[1]ratio_ins!$B:$B,0))</f>
        <v>581.298272</v>
      </c>
      <c r="Z52" s="10">
        <f>INDEX([1]ratio_ins!X:X,MATCH('001_population_health_zone_zs'!$B$2,[1]ratio_ins!$B:$B,0))*$G52*INDEX([1]ratio_ins!$C:$C,MATCH('001_population_health_zone_zs'!$B52,[1]ratio_ins!$B:$B,0))</f>
        <v>290.649136</v>
      </c>
      <c r="AA52" s="10">
        <f>INDEX([1]ratio_ins!Y:Y,MATCH('001_population_health_zone_zs'!$B$2,[1]ratio_ins!$B:$B,0))*$G52*INDEX([1]ratio_ins!$C:$C,MATCH('001_population_health_zone_zs'!$B52,[1]ratio_ins!$B:$B,0))</f>
        <v>145.324568</v>
      </c>
      <c r="AB52" s="11">
        <f>INDEX([1]ratio_ins!Z:Z,MATCH('001_population_health_zone_zs'!$B$2,[1]ratio_ins!$B:$B,0))*$G52*INDEX([1]ratio_ins!$C:$C,MATCH('001_population_health_zone_zs'!$B52,[1]ratio_ins!$B:$B,0))</f>
        <v>1889.219384</v>
      </c>
      <c r="AC52" s="12">
        <f t="shared" si="0"/>
        <v>72662.283999999985</v>
      </c>
      <c r="AD52" s="10">
        <f>INDEX([1]ratio_ins!AA:AA,MATCH('001_population_health_zone_zs'!$B$2,[1]ratio_ins!$B:$B,0))*$G52*INDEX([1]ratio_ins!$D:$D,MATCH('001_population_health_zone_zs'!$B52,[1]ratio_ins!$B:$B,0))</f>
        <v>15692.40036</v>
      </c>
      <c r="AE52" s="10">
        <f>INDEX([1]ratio_ins!AB:AB,MATCH('001_population_health_zone_zs'!$B$2,[1]ratio_ins!$B:$B,0))*$G52*INDEX([1]ratio_ins!$D:$D,MATCH('001_population_health_zone_zs'!$B52,[1]ratio_ins!$B:$B,0))</f>
        <v>12927.548868000002</v>
      </c>
      <c r="AF52" s="10">
        <f>INDEX([1]ratio_ins!AC:AC,MATCH('001_population_health_zone_zs'!$B$2,[1]ratio_ins!$B:$B,0))*$G52*INDEX([1]ratio_ins!$D:$D,MATCH('001_population_health_zone_zs'!$B52,[1]ratio_ins!$B:$B,0))</f>
        <v>10237.423091999999</v>
      </c>
      <c r="AG52" s="10">
        <f>INDEX([1]ratio_ins!AD:AD,MATCH('001_population_health_zone_zs'!$B$2,[1]ratio_ins!$B:$B,0))*$G52*INDEX([1]ratio_ins!$D:$D,MATCH('001_population_health_zone_zs'!$B52,[1]ratio_ins!$B:$B,0))</f>
        <v>6202.2344280000007</v>
      </c>
      <c r="AH52" s="10">
        <f>INDEX([1]ratio_ins!AE:AE,MATCH('001_population_health_zone_zs'!$B$2,[1]ratio_ins!$B:$B,0))*$G52*INDEX([1]ratio_ins!$D:$D,MATCH('001_population_health_zone_zs'!$B52,[1]ratio_ins!$B:$B,0))</f>
        <v>3721.3406567999996</v>
      </c>
      <c r="AI52" s="13">
        <f>INDEX([1]ratio_ins!AF:AF,MATCH('001_population_health_zone_zs'!$B$2,[1]ratio_ins!$B:$B,0))*$G52*INDEX([1]ratio_ins!$D:$D,MATCH('001_population_health_zone_zs'!$B52,[1]ratio_ins!$B:$B,0))</f>
        <v>42578.712976799994</v>
      </c>
      <c r="AJ52" s="10">
        <f>INDEX([1]ratio_ins!AG:AG,MATCH('001_population_health_zone_zs'!$B$2,[1]ratio_ins!$B:$B,0))*$G52*INDEX([1]ratio_ins!$D:$D,MATCH('001_population_health_zone_zs'!$B52,[1]ratio_ins!$B:$B,0))</f>
        <v>2480.8937712000002</v>
      </c>
      <c r="AK52" s="10">
        <f>INDEX([1]ratio_ins!AH:AH,MATCH('001_population_health_zone_zs'!$B$2,[1]ratio_ins!$B:$B,0))*$G52*INDEX([1]ratio_ins!$D:$D,MATCH('001_population_health_zone_zs'!$B52,[1]ratio_ins!$B:$B,0))</f>
        <v>5529.7029840000005</v>
      </c>
      <c r="AL52" s="10">
        <f>INDEX([1]ratio_ins!AI:AI,MATCH('001_population_health_zone_zs'!$B$2,[1]ratio_ins!$B:$B,0))*$G52*INDEX([1]ratio_ins!$D:$D,MATCH('001_population_health_zone_zs'!$B52,[1]ratio_ins!$B:$B,0))</f>
        <v>5230.8001200000008</v>
      </c>
      <c r="AM52" s="10">
        <f>INDEX([1]ratio_ins!AJ:AJ,MATCH('001_population_health_zone_zs'!$B$2,[1]ratio_ins!$B:$B,0))*$G52*INDEX([1]ratio_ins!$D:$D,MATCH('001_population_health_zone_zs'!$B52,[1]ratio_ins!$B:$B,0))</f>
        <v>4782.4458240000004</v>
      </c>
      <c r="AN52" s="10">
        <f>INDEX([1]ratio_ins!AK:AK,MATCH('001_population_health_zone_zs'!$B$2,[1]ratio_ins!$B:$B,0))*$G52*INDEX([1]ratio_ins!$D:$D,MATCH('001_population_health_zone_zs'!$B52,[1]ratio_ins!$B:$B,0))</f>
        <v>4483.5429599999998</v>
      </c>
      <c r="AO52" s="10">
        <f>INDEX([1]ratio_ins!AL:AL,MATCH('001_population_health_zone_zs'!$B$2,[1]ratio_ins!$B:$B,0))*$G52*INDEX([1]ratio_ins!$D:$D,MATCH('001_population_health_zone_zs'!$B52,[1]ratio_ins!$B:$B,0))</f>
        <v>3362.6572200000001</v>
      </c>
      <c r="AP52" s="10">
        <f>INDEX([1]ratio_ins!AM:AM,MATCH('001_population_health_zone_zs'!$B$2,[1]ratio_ins!$B:$B,0))*$G52*INDEX([1]ratio_ins!$D:$D,MATCH('001_population_health_zone_zs'!$B52,[1]ratio_ins!$B:$B,0))</f>
        <v>2167.045764</v>
      </c>
      <c r="AQ52" s="10">
        <f>INDEX([1]ratio_ins!AN:AN,MATCH('001_population_health_zone_zs'!$B$2,[1]ratio_ins!$B:$B,0))*$G52*INDEX([1]ratio_ins!$D:$D,MATCH('001_population_health_zone_zs'!$B52,[1]ratio_ins!$B:$B,0))</f>
        <v>1718.691468</v>
      </c>
      <c r="AR52" s="10">
        <f>INDEX([1]ratio_ins!AO:AO,MATCH('001_population_health_zone_zs'!$B$2,[1]ratio_ins!$B:$B,0))*$G52*INDEX([1]ratio_ins!$D:$D,MATCH('001_population_health_zone_zs'!$B52,[1]ratio_ins!$B:$B,0))</f>
        <v>821.98287600000015</v>
      </c>
      <c r="AS52" s="13">
        <f>INDEX([1]ratio_ins!AP:AP,MATCH('001_population_health_zone_zs'!$B$2,[1]ratio_ins!$B:$B,0))*$G52*INDEX([1]ratio_ins!$D:$D,MATCH('001_population_health_zone_zs'!$B52,[1]ratio_ins!$B:$B,0))</f>
        <v>30577.7629872</v>
      </c>
      <c r="AT52" s="10">
        <f>INDEX([1]ratio_ins!AQ:AQ,MATCH('001_population_health_zone_zs'!$B$2,[1]ratio_ins!$B:$B,0))*$G52*INDEX([1]ratio_ins!$D:$D,MATCH('001_population_health_zone_zs'!$B52,[1]ratio_ins!$B:$B,0))</f>
        <v>747.25716000000011</v>
      </c>
      <c r="AU52" s="10">
        <f>INDEX([1]ratio_ins!AR:AR,MATCH('001_population_health_zone_zs'!$B$2,[1]ratio_ins!$B:$B,0))*$G52*INDEX([1]ratio_ins!$D:$D,MATCH('001_population_health_zone_zs'!$B52,[1]ratio_ins!$B:$B,0))</f>
        <v>448.35429599999998</v>
      </c>
      <c r="AV52" s="10">
        <f>INDEX([1]ratio_ins!AS:AS,MATCH('001_population_health_zone_zs'!$B$2,[1]ratio_ins!$B:$B,0))*$G52*INDEX([1]ratio_ins!$D:$D,MATCH('001_population_health_zone_zs'!$B52,[1]ratio_ins!$B:$B,0))</f>
        <v>224.17714799999999</v>
      </c>
      <c r="AW52" s="10">
        <f>INDEX([1]ratio_ins!AT:AT,MATCH('001_population_health_zone_zs'!$B$2,[1]ratio_ins!$B:$B,0))*$G52*INDEX([1]ratio_ins!$D:$D,MATCH('001_population_health_zone_zs'!$B52,[1]ratio_ins!$B:$B,0))</f>
        <v>149.45143200000001</v>
      </c>
      <c r="AX52" s="13">
        <f>INDEX([1]ratio_ins!AU:AU,MATCH('001_population_health_zone_zs'!$B$2,[1]ratio_ins!$B:$B,0))*$G52*INDEX([1]ratio_ins!$D:$D,MATCH('001_population_health_zone_zs'!$B52,[1]ratio_ins!$B:$B,0))</f>
        <v>1569.2400359999999</v>
      </c>
      <c r="AY52" s="14">
        <f t="shared" si="1"/>
        <v>74725.716</v>
      </c>
      <c r="AZ52" s="15">
        <f t="shared" si="2"/>
        <v>147388</v>
      </c>
      <c r="BA52" s="16">
        <v>141390.85908928749</v>
      </c>
      <c r="BB52" s="10">
        <f t="shared" si="3"/>
        <v>31758.4293</v>
      </c>
      <c r="BC52" s="17">
        <f t="shared" si="4"/>
        <v>0.215475</v>
      </c>
      <c r="BD52" s="10">
        <f t="shared" si="5"/>
        <v>30300.172428000002</v>
      </c>
    </row>
    <row r="53" spans="1:56" x14ac:dyDescent="0.25">
      <c r="A53" s="8" t="s">
        <v>82</v>
      </c>
      <c r="B53" s="8" t="s">
        <v>83</v>
      </c>
      <c r="C53" s="8" t="s">
        <v>120</v>
      </c>
      <c r="D53" s="8" t="s">
        <v>121</v>
      </c>
      <c r="E53" s="8" t="s">
        <v>120</v>
      </c>
      <c r="F53" s="8" t="s">
        <v>124</v>
      </c>
      <c r="G53" s="9">
        <v>194186</v>
      </c>
      <c r="H53" s="10">
        <f>INDEX([1]ratio_ins!F:F,MATCH('001_population_health_zone_zs'!$B$2,[1]ratio_ins!$B:$B,0))*$G53*INDEX([1]ratio_ins!$C:$C,MATCH('001_population_health_zone_zs'!$B53,[1]ratio_ins!$B:$B,0))</f>
        <v>20008.342881999997</v>
      </c>
      <c r="I53" s="10">
        <f>INDEX([1]ratio_ins!G:G,MATCH('001_population_health_zone_zs'!$B$2,[1]ratio_ins!$B:$B,0))*$G53*INDEX([1]ratio_ins!$C:$C,MATCH('001_population_health_zone_zs'!$B53,[1]ratio_ins!$B:$B,0))</f>
        <v>16370.462358000002</v>
      </c>
      <c r="J53" s="10">
        <f>INDEX([1]ratio_ins!H:H,MATCH('001_population_health_zone_zs'!$B$2,[1]ratio_ins!$B:$B,0))*$G53*INDEX([1]ratio_ins!$C:$C,MATCH('001_population_health_zone_zs'!$B53,[1]ratio_ins!$B:$B,0))</f>
        <v>12924.049230000001</v>
      </c>
      <c r="K53" s="10">
        <f>INDEX([1]ratio_ins!I:I,MATCH('001_population_health_zone_zs'!$B$2,[1]ratio_ins!$B:$B,0))*$G53*INDEX([1]ratio_ins!$C:$C,MATCH('001_population_health_zone_zs'!$B53,[1]ratio_ins!$B:$B,0))</f>
        <v>7945.8969340000003</v>
      </c>
      <c r="L53" s="10">
        <f>INDEX([1]ratio_ins!J:J,MATCH('001_population_health_zone_zs'!$B$2,[1]ratio_ins!$B:$B,0))*$G53*INDEX([1]ratio_ins!$C:$C,MATCH('001_population_health_zone_zs'!$B53,[1]ratio_ins!$B:$B,0))</f>
        <v>4767.5381603999995</v>
      </c>
      <c r="M53" s="11">
        <f>INDEX([1]ratio_ins!K:K,MATCH('001_population_health_zone_zs'!$B$2,[1]ratio_ins!$B:$B,0))*$G53*INDEX([1]ratio_ins!$C:$C,MATCH('001_population_health_zone_zs'!$B53,[1]ratio_ins!$B:$B,0))</f>
        <v>54070.392630399991</v>
      </c>
      <c r="N53" s="10">
        <f>INDEX([1]ratio_ins!L:L,MATCH('001_population_health_zone_zs'!$B$2,[1]ratio_ins!$B:$B,0))*$G53*INDEX([1]ratio_ins!$C:$C,MATCH('001_population_health_zone_zs'!$B53,[1]ratio_ins!$B:$B,0))</f>
        <v>3178.3587735999999</v>
      </c>
      <c r="O53" s="10">
        <f>INDEX([1]ratio_ins!M:M,MATCH('001_population_health_zone_zs'!$B$2,[1]ratio_ins!$B:$B,0))*$G53*INDEX([1]ratio_ins!$C:$C,MATCH('001_population_health_zone_zs'!$B53,[1]ratio_ins!$B:$B,0))</f>
        <v>6892.8262560000003</v>
      </c>
      <c r="P53" s="10">
        <f>INDEX([1]ratio_ins!N:N,MATCH('001_population_health_zone_zs'!$B$2,[1]ratio_ins!$B:$B,0))*$G53*INDEX([1]ratio_ins!$C:$C,MATCH('001_population_health_zone_zs'!$B53,[1]ratio_ins!$B:$B,0))</f>
        <v>6222.6903700000003</v>
      </c>
      <c r="Q53" s="10">
        <f>INDEX([1]ratio_ins!O:O,MATCH('001_population_health_zone_zs'!$B$2,[1]ratio_ins!$B:$B,0))*$G53*INDEX([1]ratio_ins!$C:$C,MATCH('001_population_health_zone_zs'!$B53,[1]ratio_ins!$B:$B,0))</f>
        <v>5552.5544839999993</v>
      </c>
      <c r="R53" s="10">
        <f>INDEX([1]ratio_ins!P:P,MATCH('001_population_health_zone_zs'!$B$2,[1]ratio_ins!$B:$B,0))*$G53*INDEX([1]ratio_ins!$C:$C,MATCH('001_population_health_zone_zs'!$B53,[1]ratio_ins!$B:$B,0))</f>
        <v>5456.8207860000002</v>
      </c>
      <c r="S53" s="10">
        <f>INDEX([1]ratio_ins!Q:Q,MATCH('001_population_health_zone_zs'!$B$2,[1]ratio_ins!$B:$B,0))*$G53*INDEX([1]ratio_ins!$C:$C,MATCH('001_population_health_zone_zs'!$B53,[1]ratio_ins!$B:$B,0))</f>
        <v>4595.2175040000002</v>
      </c>
      <c r="T53" s="10">
        <f>INDEX([1]ratio_ins!R:R,MATCH('001_population_health_zone_zs'!$B$2,[1]ratio_ins!$B:$B,0))*$G53*INDEX([1]ratio_ins!$C:$C,MATCH('001_population_health_zone_zs'!$B53,[1]ratio_ins!$B:$B,0))</f>
        <v>3254.9457320000001</v>
      </c>
      <c r="U53" s="10">
        <f>INDEX([1]ratio_ins!S:S,MATCH('001_population_health_zone_zs'!$B$2,[1]ratio_ins!$B:$B,0))*$G53*INDEX([1]ratio_ins!$C:$C,MATCH('001_population_health_zone_zs'!$B53,[1]ratio_ins!$B:$B,0))</f>
        <v>2584.8098460000006</v>
      </c>
      <c r="V53" s="10">
        <f>INDEX([1]ratio_ins!T:T,MATCH('001_population_health_zone_zs'!$B$2,[1]ratio_ins!$B:$B,0))*$G53*INDEX([1]ratio_ins!$C:$C,MATCH('001_population_health_zone_zs'!$B53,[1]ratio_ins!$B:$B,0))</f>
        <v>1436.0054700000001</v>
      </c>
      <c r="W53" s="11">
        <f>INDEX([1]ratio_ins!U:U,MATCH('001_population_health_zone_zs'!$B$2,[1]ratio_ins!$B:$B,0))*$G53*INDEX([1]ratio_ins!$C:$C,MATCH('001_population_health_zone_zs'!$B53,[1]ratio_ins!$B:$B,0))</f>
        <v>39174.229221599999</v>
      </c>
      <c r="X53" s="10">
        <f>INDEX([1]ratio_ins!V:V,MATCH('001_population_health_zone_zs'!$B$2,[1]ratio_ins!$B:$B,0))*$G53*INDEX([1]ratio_ins!$C:$C,MATCH('001_population_health_zone_zs'!$B53,[1]ratio_ins!$B:$B,0))</f>
        <v>1148.804376</v>
      </c>
      <c r="Y53" s="10">
        <f>INDEX([1]ratio_ins!W:W,MATCH('001_population_health_zone_zs'!$B$2,[1]ratio_ins!$B:$B,0))*$G53*INDEX([1]ratio_ins!$C:$C,MATCH('001_population_health_zone_zs'!$B53,[1]ratio_ins!$B:$B,0))</f>
        <v>765.86958400000003</v>
      </c>
      <c r="Z53" s="10">
        <f>INDEX([1]ratio_ins!X:X,MATCH('001_population_health_zone_zs'!$B$2,[1]ratio_ins!$B:$B,0))*$G53*INDEX([1]ratio_ins!$C:$C,MATCH('001_population_health_zone_zs'!$B53,[1]ratio_ins!$B:$B,0))</f>
        <v>382.93479200000002</v>
      </c>
      <c r="AA53" s="10">
        <f>INDEX([1]ratio_ins!Y:Y,MATCH('001_population_health_zone_zs'!$B$2,[1]ratio_ins!$B:$B,0))*$G53*INDEX([1]ratio_ins!$C:$C,MATCH('001_population_health_zone_zs'!$B53,[1]ratio_ins!$B:$B,0))</f>
        <v>191.46739600000001</v>
      </c>
      <c r="AB53" s="11">
        <f>INDEX([1]ratio_ins!Z:Z,MATCH('001_population_health_zone_zs'!$B$2,[1]ratio_ins!$B:$B,0))*$G53*INDEX([1]ratio_ins!$C:$C,MATCH('001_population_health_zone_zs'!$B53,[1]ratio_ins!$B:$B,0))</f>
        <v>2489.0761480000001</v>
      </c>
      <c r="AC53" s="12">
        <f t="shared" si="0"/>
        <v>95733.697999999975</v>
      </c>
      <c r="AD53" s="10">
        <f>INDEX([1]ratio_ins!AA:AA,MATCH('001_population_health_zone_zs'!$B$2,[1]ratio_ins!$B:$B,0))*$G53*INDEX([1]ratio_ins!$D:$D,MATCH('001_population_health_zone_zs'!$B53,[1]ratio_ins!$B:$B,0))</f>
        <v>20674.98342</v>
      </c>
      <c r="AE53" s="10">
        <f>INDEX([1]ratio_ins!AB:AB,MATCH('001_population_health_zone_zs'!$B$2,[1]ratio_ins!$B:$B,0))*$G53*INDEX([1]ratio_ins!$D:$D,MATCH('001_population_health_zone_zs'!$B53,[1]ratio_ins!$B:$B,0))</f>
        <v>17032.248245999999</v>
      </c>
      <c r="AF53" s="10">
        <f>INDEX([1]ratio_ins!AC:AC,MATCH('001_population_health_zone_zs'!$B$2,[1]ratio_ins!$B:$B,0))*$G53*INDEX([1]ratio_ins!$D:$D,MATCH('001_population_health_zone_zs'!$B53,[1]ratio_ins!$B:$B,0))</f>
        <v>13487.965373999998</v>
      </c>
      <c r="AG53" s="10">
        <f>INDEX([1]ratio_ins!AD:AD,MATCH('001_population_health_zone_zs'!$B$2,[1]ratio_ins!$B:$B,0))*$G53*INDEX([1]ratio_ins!$D:$D,MATCH('001_population_health_zone_zs'!$B53,[1]ratio_ins!$B:$B,0))</f>
        <v>8171.5410659999998</v>
      </c>
      <c r="AH53" s="10">
        <f>INDEX([1]ratio_ins!AE:AE,MATCH('001_population_health_zone_zs'!$B$2,[1]ratio_ins!$B:$B,0))*$G53*INDEX([1]ratio_ins!$D:$D,MATCH('001_population_health_zone_zs'!$B53,[1]ratio_ins!$B:$B,0))</f>
        <v>4902.9246395999999</v>
      </c>
      <c r="AI53" s="13">
        <f>INDEX([1]ratio_ins!AF:AF,MATCH('001_population_health_zone_zs'!$B$2,[1]ratio_ins!$B:$B,0))*$G53*INDEX([1]ratio_ins!$D:$D,MATCH('001_population_health_zone_zs'!$B53,[1]ratio_ins!$B:$B,0))</f>
        <v>56098.121679600001</v>
      </c>
      <c r="AJ53" s="10">
        <f>INDEX([1]ratio_ins!AG:AG,MATCH('001_population_health_zone_zs'!$B$2,[1]ratio_ins!$B:$B,0))*$G53*INDEX([1]ratio_ins!$D:$D,MATCH('001_population_health_zone_zs'!$B53,[1]ratio_ins!$B:$B,0))</f>
        <v>3268.6164263999999</v>
      </c>
      <c r="AK53" s="10">
        <f>INDEX([1]ratio_ins!AH:AH,MATCH('001_population_health_zone_zs'!$B$2,[1]ratio_ins!$B:$B,0))*$G53*INDEX([1]ratio_ins!$D:$D,MATCH('001_population_health_zone_zs'!$B53,[1]ratio_ins!$B:$B,0))</f>
        <v>7285.4703480000016</v>
      </c>
      <c r="AL53" s="10">
        <f>INDEX([1]ratio_ins!AI:AI,MATCH('001_population_health_zone_zs'!$B$2,[1]ratio_ins!$B:$B,0))*$G53*INDEX([1]ratio_ins!$D:$D,MATCH('001_population_health_zone_zs'!$B53,[1]ratio_ins!$B:$B,0))</f>
        <v>6891.6611400000002</v>
      </c>
      <c r="AM53" s="10">
        <f>INDEX([1]ratio_ins!AJ:AJ,MATCH('001_population_health_zone_zs'!$B$2,[1]ratio_ins!$B:$B,0))*$G53*INDEX([1]ratio_ins!$D:$D,MATCH('001_population_health_zone_zs'!$B53,[1]ratio_ins!$B:$B,0))</f>
        <v>6300.9473280000002</v>
      </c>
      <c r="AN53" s="10">
        <f>INDEX([1]ratio_ins!AK:AK,MATCH('001_population_health_zone_zs'!$B$2,[1]ratio_ins!$B:$B,0))*$G53*INDEX([1]ratio_ins!$D:$D,MATCH('001_population_health_zone_zs'!$B53,[1]ratio_ins!$B:$B,0))</f>
        <v>5907.1381199999996</v>
      </c>
      <c r="AO53" s="10">
        <f>INDEX([1]ratio_ins!AL:AL,MATCH('001_population_health_zone_zs'!$B$2,[1]ratio_ins!$B:$B,0))*$G53*INDEX([1]ratio_ins!$D:$D,MATCH('001_population_health_zone_zs'!$B53,[1]ratio_ins!$B:$B,0))</f>
        <v>4430.3535899999997</v>
      </c>
      <c r="AP53" s="10">
        <f>INDEX([1]ratio_ins!AM:AM,MATCH('001_population_health_zone_zs'!$B$2,[1]ratio_ins!$B:$B,0))*$G53*INDEX([1]ratio_ins!$D:$D,MATCH('001_population_health_zone_zs'!$B53,[1]ratio_ins!$B:$B,0))</f>
        <v>2855.1167579999997</v>
      </c>
      <c r="AQ53" s="10">
        <f>INDEX([1]ratio_ins!AN:AN,MATCH('001_population_health_zone_zs'!$B$2,[1]ratio_ins!$B:$B,0))*$G53*INDEX([1]ratio_ins!$D:$D,MATCH('001_population_health_zone_zs'!$B53,[1]ratio_ins!$B:$B,0))</f>
        <v>2264.4029460000002</v>
      </c>
      <c r="AR53" s="10">
        <f>INDEX([1]ratio_ins!AO:AO,MATCH('001_population_health_zone_zs'!$B$2,[1]ratio_ins!$B:$B,0))*$G53*INDEX([1]ratio_ins!$D:$D,MATCH('001_population_health_zone_zs'!$B53,[1]ratio_ins!$B:$B,0))</f>
        <v>1082.9753220000002</v>
      </c>
      <c r="AS53" s="13">
        <f>INDEX([1]ratio_ins!AP:AP,MATCH('001_population_health_zone_zs'!$B$2,[1]ratio_ins!$B:$B,0))*$G53*INDEX([1]ratio_ins!$D:$D,MATCH('001_population_health_zone_zs'!$B53,[1]ratio_ins!$B:$B,0))</f>
        <v>40286.681978400004</v>
      </c>
      <c r="AT53" s="10">
        <f>INDEX([1]ratio_ins!AQ:AQ,MATCH('001_population_health_zone_zs'!$B$2,[1]ratio_ins!$B:$B,0))*$G53*INDEX([1]ratio_ins!$D:$D,MATCH('001_population_health_zone_zs'!$B53,[1]ratio_ins!$B:$B,0))</f>
        <v>984.52302000000009</v>
      </c>
      <c r="AU53" s="10">
        <f>INDEX([1]ratio_ins!AR:AR,MATCH('001_population_health_zone_zs'!$B$2,[1]ratio_ins!$B:$B,0))*$G53*INDEX([1]ratio_ins!$D:$D,MATCH('001_population_health_zone_zs'!$B53,[1]ratio_ins!$B:$B,0))</f>
        <v>590.71381199999996</v>
      </c>
      <c r="AV53" s="10">
        <f>INDEX([1]ratio_ins!AS:AS,MATCH('001_population_health_zone_zs'!$B$2,[1]ratio_ins!$B:$B,0))*$G53*INDEX([1]ratio_ins!$D:$D,MATCH('001_population_health_zone_zs'!$B53,[1]ratio_ins!$B:$B,0))</f>
        <v>295.35690599999998</v>
      </c>
      <c r="AW53" s="10">
        <f>INDEX([1]ratio_ins!AT:AT,MATCH('001_population_health_zone_zs'!$B$2,[1]ratio_ins!$B:$B,0))*$G53*INDEX([1]ratio_ins!$D:$D,MATCH('001_population_health_zone_zs'!$B53,[1]ratio_ins!$B:$B,0))</f>
        <v>196.90460400000001</v>
      </c>
      <c r="AX53" s="13">
        <f>INDEX([1]ratio_ins!AU:AU,MATCH('001_population_health_zone_zs'!$B$2,[1]ratio_ins!$B:$B,0))*$G53*INDEX([1]ratio_ins!$D:$D,MATCH('001_population_health_zone_zs'!$B53,[1]ratio_ins!$B:$B,0))</f>
        <v>2067.4983419999999</v>
      </c>
      <c r="AY53" s="14">
        <f t="shared" si="1"/>
        <v>98452.302000000011</v>
      </c>
      <c r="AZ53" s="15">
        <f t="shared" si="2"/>
        <v>194186</v>
      </c>
      <c r="BA53" s="16">
        <v>186284.17524202968</v>
      </c>
      <c r="BB53" s="10">
        <f t="shared" si="3"/>
        <v>41842.228349999998</v>
      </c>
      <c r="BC53" s="17">
        <f t="shared" si="4"/>
        <v>0.215475</v>
      </c>
      <c r="BD53" s="10">
        <f t="shared" si="5"/>
        <v>39920.952066000005</v>
      </c>
    </row>
    <row r="54" spans="1:56" x14ac:dyDescent="0.25">
      <c r="A54" s="8" t="s">
        <v>82</v>
      </c>
      <c r="B54" s="8" t="s">
        <v>83</v>
      </c>
      <c r="C54" s="8" t="s">
        <v>120</v>
      </c>
      <c r="D54" s="8" t="s">
        <v>121</v>
      </c>
      <c r="E54" s="8" t="s">
        <v>125</v>
      </c>
      <c r="F54" s="8" t="s">
        <v>126</v>
      </c>
      <c r="G54" s="9">
        <v>177336</v>
      </c>
      <c r="H54" s="10">
        <f>INDEX([1]ratio_ins!F:F,MATCH('001_population_health_zone_zs'!$B$2,[1]ratio_ins!$B:$B,0))*$G54*INDEX([1]ratio_ins!$C:$C,MATCH('001_population_health_zone_zs'!$B54,[1]ratio_ins!$B:$B,0))</f>
        <v>18272.169432000002</v>
      </c>
      <c r="I54" s="10">
        <f>INDEX([1]ratio_ins!G:G,MATCH('001_population_health_zone_zs'!$B$2,[1]ratio_ins!$B:$B,0))*$G54*INDEX([1]ratio_ins!$C:$C,MATCH('001_population_health_zone_zs'!$B54,[1]ratio_ins!$B:$B,0))</f>
        <v>14949.956808000001</v>
      </c>
      <c r="J54" s="10">
        <f>INDEX([1]ratio_ins!H:H,MATCH('001_population_health_zone_zs'!$B$2,[1]ratio_ins!$B:$B,0))*$G54*INDEX([1]ratio_ins!$C:$C,MATCH('001_population_health_zone_zs'!$B54,[1]ratio_ins!$B:$B,0))</f>
        <v>11802.59748</v>
      </c>
      <c r="K54" s="10">
        <f>INDEX([1]ratio_ins!I:I,MATCH('001_population_health_zone_zs'!$B$2,[1]ratio_ins!$B:$B,0))*$G54*INDEX([1]ratio_ins!$C:$C,MATCH('001_population_health_zone_zs'!$B54,[1]ratio_ins!$B:$B,0))</f>
        <v>7256.4117839999999</v>
      </c>
      <c r="L54" s="10">
        <f>INDEX([1]ratio_ins!J:J,MATCH('001_population_health_zone_zs'!$B$2,[1]ratio_ins!$B:$B,0))*$G54*INDEX([1]ratio_ins!$C:$C,MATCH('001_population_health_zone_zs'!$B54,[1]ratio_ins!$B:$B,0))</f>
        <v>4353.8470704000001</v>
      </c>
      <c r="M54" s="11">
        <f>INDEX([1]ratio_ins!K:K,MATCH('001_population_health_zone_zs'!$B$2,[1]ratio_ins!$B:$B,0))*$G54*INDEX([1]ratio_ins!$C:$C,MATCH('001_population_health_zone_zs'!$B54,[1]ratio_ins!$B:$B,0))</f>
        <v>49378.570790400001</v>
      </c>
      <c r="N54" s="10">
        <f>INDEX([1]ratio_ins!L:L,MATCH('001_population_health_zone_zs'!$B$2,[1]ratio_ins!$B:$B,0))*$G54*INDEX([1]ratio_ins!$C:$C,MATCH('001_population_health_zone_zs'!$B54,[1]ratio_ins!$B:$B,0))</f>
        <v>2902.5647135999998</v>
      </c>
      <c r="O54" s="10">
        <f>INDEX([1]ratio_ins!M:M,MATCH('001_population_health_zone_zs'!$B$2,[1]ratio_ins!$B:$B,0))*$G54*INDEX([1]ratio_ins!$C:$C,MATCH('001_population_health_zone_zs'!$B54,[1]ratio_ins!$B:$B,0))</f>
        <v>6294.718656</v>
      </c>
      <c r="P54" s="10">
        <f>INDEX([1]ratio_ins!N:N,MATCH('001_population_health_zone_zs'!$B$2,[1]ratio_ins!$B:$B,0))*$G54*INDEX([1]ratio_ins!$C:$C,MATCH('001_population_health_zone_zs'!$B54,[1]ratio_ins!$B:$B,0))</f>
        <v>5682.7321199999997</v>
      </c>
      <c r="Q54" s="10">
        <f>INDEX([1]ratio_ins!O:O,MATCH('001_population_health_zone_zs'!$B$2,[1]ratio_ins!$B:$B,0))*$G54*INDEX([1]ratio_ins!$C:$C,MATCH('001_population_health_zone_zs'!$B54,[1]ratio_ins!$B:$B,0))</f>
        <v>5070.7455839999993</v>
      </c>
      <c r="R54" s="10">
        <f>INDEX([1]ratio_ins!P:P,MATCH('001_population_health_zone_zs'!$B$2,[1]ratio_ins!$B:$B,0))*$G54*INDEX([1]ratio_ins!$C:$C,MATCH('001_population_health_zone_zs'!$B54,[1]ratio_ins!$B:$B,0))</f>
        <v>4983.3189359999997</v>
      </c>
      <c r="S54" s="10">
        <f>INDEX([1]ratio_ins!Q:Q,MATCH('001_population_health_zone_zs'!$B$2,[1]ratio_ins!$B:$B,0))*$G54*INDEX([1]ratio_ins!$C:$C,MATCH('001_population_health_zone_zs'!$B54,[1]ratio_ins!$B:$B,0))</f>
        <v>4196.479104</v>
      </c>
      <c r="T54" s="10">
        <f>INDEX([1]ratio_ins!R:R,MATCH('001_population_health_zone_zs'!$B$2,[1]ratio_ins!$B:$B,0))*$G54*INDEX([1]ratio_ins!$C:$C,MATCH('001_population_health_zone_zs'!$B54,[1]ratio_ins!$B:$B,0))</f>
        <v>2972.5060320000002</v>
      </c>
      <c r="U54" s="10">
        <f>INDEX([1]ratio_ins!S:S,MATCH('001_population_health_zone_zs'!$B$2,[1]ratio_ins!$B:$B,0))*$G54*INDEX([1]ratio_ins!$C:$C,MATCH('001_population_health_zone_zs'!$B54,[1]ratio_ins!$B:$B,0))</f>
        <v>2360.5194959999999</v>
      </c>
      <c r="V54" s="10">
        <f>INDEX([1]ratio_ins!T:T,MATCH('001_population_health_zone_zs'!$B$2,[1]ratio_ins!$B:$B,0))*$G54*INDEX([1]ratio_ins!$C:$C,MATCH('001_population_health_zone_zs'!$B54,[1]ratio_ins!$B:$B,0))</f>
        <v>1311.3997199999999</v>
      </c>
      <c r="W54" s="11">
        <f>INDEX([1]ratio_ins!U:U,MATCH('001_population_health_zone_zs'!$B$2,[1]ratio_ins!$B:$B,0))*$G54*INDEX([1]ratio_ins!$C:$C,MATCH('001_population_health_zone_zs'!$B54,[1]ratio_ins!$B:$B,0))</f>
        <v>35774.9843616</v>
      </c>
      <c r="X54" s="10">
        <f>INDEX([1]ratio_ins!V:V,MATCH('001_population_health_zone_zs'!$B$2,[1]ratio_ins!$B:$B,0))*$G54*INDEX([1]ratio_ins!$C:$C,MATCH('001_population_health_zone_zs'!$B54,[1]ratio_ins!$B:$B,0))</f>
        <v>1049.119776</v>
      </c>
      <c r="Y54" s="10">
        <f>INDEX([1]ratio_ins!W:W,MATCH('001_population_health_zone_zs'!$B$2,[1]ratio_ins!$B:$B,0))*$G54*INDEX([1]ratio_ins!$C:$C,MATCH('001_population_health_zone_zs'!$B54,[1]ratio_ins!$B:$B,0))</f>
        <v>699.413184</v>
      </c>
      <c r="Z54" s="10">
        <f>INDEX([1]ratio_ins!X:X,MATCH('001_population_health_zone_zs'!$B$2,[1]ratio_ins!$B:$B,0))*$G54*INDEX([1]ratio_ins!$C:$C,MATCH('001_population_health_zone_zs'!$B54,[1]ratio_ins!$B:$B,0))</f>
        <v>349.706592</v>
      </c>
      <c r="AA54" s="10">
        <f>INDEX([1]ratio_ins!Y:Y,MATCH('001_population_health_zone_zs'!$B$2,[1]ratio_ins!$B:$B,0))*$G54*INDEX([1]ratio_ins!$C:$C,MATCH('001_population_health_zone_zs'!$B54,[1]ratio_ins!$B:$B,0))</f>
        <v>174.853296</v>
      </c>
      <c r="AB54" s="11">
        <f>INDEX([1]ratio_ins!Z:Z,MATCH('001_population_health_zone_zs'!$B$2,[1]ratio_ins!$B:$B,0))*$G54*INDEX([1]ratio_ins!$C:$C,MATCH('001_population_health_zone_zs'!$B54,[1]ratio_ins!$B:$B,0))</f>
        <v>2273.0928480000002</v>
      </c>
      <c r="AC54" s="12">
        <f t="shared" si="0"/>
        <v>87426.648000000001</v>
      </c>
      <c r="AD54" s="10">
        <f>INDEX([1]ratio_ins!AA:AA,MATCH('001_population_health_zone_zs'!$B$2,[1]ratio_ins!$B:$B,0))*$G54*INDEX([1]ratio_ins!$D:$D,MATCH('001_population_health_zone_zs'!$B54,[1]ratio_ins!$B:$B,0))</f>
        <v>18880.963919999998</v>
      </c>
      <c r="AE54" s="10">
        <f>INDEX([1]ratio_ins!AB:AB,MATCH('001_population_health_zone_zs'!$B$2,[1]ratio_ins!$B:$B,0))*$G54*INDEX([1]ratio_ins!$D:$D,MATCH('001_population_health_zone_zs'!$B54,[1]ratio_ins!$B:$B,0))</f>
        <v>15554.317896000002</v>
      </c>
      <c r="AF54" s="10">
        <f>INDEX([1]ratio_ins!AC:AC,MATCH('001_population_health_zone_zs'!$B$2,[1]ratio_ins!$B:$B,0))*$G54*INDEX([1]ratio_ins!$D:$D,MATCH('001_population_health_zone_zs'!$B54,[1]ratio_ins!$B:$B,0))</f>
        <v>12317.581223999998</v>
      </c>
      <c r="AG54" s="10">
        <f>INDEX([1]ratio_ins!AD:AD,MATCH('001_population_health_zone_zs'!$B$2,[1]ratio_ins!$B:$B,0))*$G54*INDEX([1]ratio_ins!$D:$D,MATCH('001_population_health_zone_zs'!$B54,[1]ratio_ins!$B:$B,0))</f>
        <v>7462.4762160000009</v>
      </c>
      <c r="AH54" s="10">
        <f>INDEX([1]ratio_ins!AE:AE,MATCH('001_population_health_zone_zs'!$B$2,[1]ratio_ins!$B:$B,0))*$G54*INDEX([1]ratio_ins!$D:$D,MATCH('001_population_health_zone_zs'!$B54,[1]ratio_ins!$B:$B,0))</f>
        <v>4477.4857296</v>
      </c>
      <c r="AI54" s="13">
        <f>INDEX([1]ratio_ins!AF:AF,MATCH('001_population_health_zone_zs'!$B$2,[1]ratio_ins!$B:$B,0))*$G54*INDEX([1]ratio_ins!$D:$D,MATCH('001_population_health_zone_zs'!$B54,[1]ratio_ins!$B:$B,0))</f>
        <v>51230.348769599994</v>
      </c>
      <c r="AJ54" s="10">
        <f>INDEX([1]ratio_ins!AG:AG,MATCH('001_population_health_zone_zs'!$B$2,[1]ratio_ins!$B:$B,0))*$G54*INDEX([1]ratio_ins!$D:$D,MATCH('001_population_health_zone_zs'!$B54,[1]ratio_ins!$B:$B,0))</f>
        <v>2984.9904864</v>
      </c>
      <c r="AK54" s="10">
        <f>INDEX([1]ratio_ins!AH:AH,MATCH('001_population_health_zone_zs'!$B$2,[1]ratio_ins!$B:$B,0))*$G54*INDEX([1]ratio_ins!$D:$D,MATCH('001_population_health_zone_zs'!$B54,[1]ratio_ins!$B:$B,0))</f>
        <v>6653.2920480000012</v>
      </c>
      <c r="AL54" s="10">
        <f>INDEX([1]ratio_ins!AI:AI,MATCH('001_population_health_zone_zs'!$B$2,[1]ratio_ins!$B:$B,0))*$G54*INDEX([1]ratio_ins!$D:$D,MATCH('001_population_health_zone_zs'!$B54,[1]ratio_ins!$B:$B,0))</f>
        <v>6293.6546400000007</v>
      </c>
      <c r="AM54" s="10">
        <f>INDEX([1]ratio_ins!AJ:AJ,MATCH('001_population_health_zone_zs'!$B$2,[1]ratio_ins!$B:$B,0))*$G54*INDEX([1]ratio_ins!$D:$D,MATCH('001_population_health_zone_zs'!$B54,[1]ratio_ins!$B:$B,0))</f>
        <v>5754.1985280000008</v>
      </c>
      <c r="AN54" s="10">
        <f>INDEX([1]ratio_ins!AK:AK,MATCH('001_population_health_zone_zs'!$B$2,[1]ratio_ins!$B:$B,0))*$G54*INDEX([1]ratio_ins!$D:$D,MATCH('001_population_health_zone_zs'!$B54,[1]ratio_ins!$B:$B,0))</f>
        <v>5394.5611200000003</v>
      </c>
      <c r="AO54" s="10">
        <f>INDEX([1]ratio_ins!AL:AL,MATCH('001_population_health_zone_zs'!$B$2,[1]ratio_ins!$B:$B,0))*$G54*INDEX([1]ratio_ins!$D:$D,MATCH('001_population_health_zone_zs'!$B54,[1]ratio_ins!$B:$B,0))</f>
        <v>4045.9208399999998</v>
      </c>
      <c r="AP54" s="10">
        <f>INDEX([1]ratio_ins!AM:AM,MATCH('001_population_health_zone_zs'!$B$2,[1]ratio_ins!$B:$B,0))*$G54*INDEX([1]ratio_ins!$D:$D,MATCH('001_population_health_zone_zs'!$B54,[1]ratio_ins!$B:$B,0))</f>
        <v>2607.371208</v>
      </c>
      <c r="AQ54" s="10">
        <f>INDEX([1]ratio_ins!AN:AN,MATCH('001_population_health_zone_zs'!$B$2,[1]ratio_ins!$B:$B,0))*$G54*INDEX([1]ratio_ins!$D:$D,MATCH('001_population_health_zone_zs'!$B54,[1]ratio_ins!$B:$B,0))</f>
        <v>2067.9150960000002</v>
      </c>
      <c r="AR54" s="10">
        <f>INDEX([1]ratio_ins!AO:AO,MATCH('001_population_health_zone_zs'!$B$2,[1]ratio_ins!$B:$B,0))*$G54*INDEX([1]ratio_ins!$D:$D,MATCH('001_population_health_zone_zs'!$B54,[1]ratio_ins!$B:$B,0))</f>
        <v>989.00287200000014</v>
      </c>
      <c r="AS54" s="13">
        <f>INDEX([1]ratio_ins!AP:AP,MATCH('001_population_health_zone_zs'!$B$2,[1]ratio_ins!$B:$B,0))*$G54*INDEX([1]ratio_ins!$D:$D,MATCH('001_population_health_zone_zs'!$B54,[1]ratio_ins!$B:$B,0))</f>
        <v>36790.906838399998</v>
      </c>
      <c r="AT54" s="10">
        <f>INDEX([1]ratio_ins!AQ:AQ,MATCH('001_population_health_zone_zs'!$B$2,[1]ratio_ins!$B:$B,0))*$G54*INDEX([1]ratio_ins!$D:$D,MATCH('001_population_health_zone_zs'!$B54,[1]ratio_ins!$B:$B,0))</f>
        <v>899.09352000000013</v>
      </c>
      <c r="AU54" s="10">
        <f>INDEX([1]ratio_ins!AR:AR,MATCH('001_population_health_zone_zs'!$B$2,[1]ratio_ins!$B:$B,0))*$G54*INDEX([1]ratio_ins!$D:$D,MATCH('001_population_health_zone_zs'!$B54,[1]ratio_ins!$B:$B,0))</f>
        <v>539.45611200000008</v>
      </c>
      <c r="AV54" s="10">
        <f>INDEX([1]ratio_ins!AS:AS,MATCH('001_population_health_zone_zs'!$B$2,[1]ratio_ins!$B:$B,0))*$G54*INDEX([1]ratio_ins!$D:$D,MATCH('001_population_health_zone_zs'!$B54,[1]ratio_ins!$B:$B,0))</f>
        <v>269.72805600000004</v>
      </c>
      <c r="AW54" s="10">
        <f>INDEX([1]ratio_ins!AT:AT,MATCH('001_population_health_zone_zs'!$B$2,[1]ratio_ins!$B:$B,0))*$G54*INDEX([1]ratio_ins!$D:$D,MATCH('001_population_health_zone_zs'!$B54,[1]ratio_ins!$B:$B,0))</f>
        <v>179.81870400000003</v>
      </c>
      <c r="AX54" s="13">
        <f>INDEX([1]ratio_ins!AU:AU,MATCH('001_population_health_zone_zs'!$B$2,[1]ratio_ins!$B:$B,0))*$G54*INDEX([1]ratio_ins!$D:$D,MATCH('001_population_health_zone_zs'!$B54,[1]ratio_ins!$B:$B,0))</f>
        <v>1888.0963919999999</v>
      </c>
      <c r="AY54" s="14">
        <f t="shared" si="1"/>
        <v>89909.351999999999</v>
      </c>
      <c r="AZ54" s="15">
        <f t="shared" si="2"/>
        <v>177336</v>
      </c>
      <c r="BA54" s="16">
        <v>170119.92294798093</v>
      </c>
      <c r="BB54" s="10">
        <f t="shared" si="3"/>
        <v>38211.474600000001</v>
      </c>
      <c r="BC54" s="17">
        <f t="shared" si="4"/>
        <v>0.215475</v>
      </c>
      <c r="BD54" s="10">
        <f t="shared" si="5"/>
        <v>36456.912215999997</v>
      </c>
    </row>
    <row r="55" spans="1:56" x14ac:dyDescent="0.25">
      <c r="A55" s="8" t="s">
        <v>82</v>
      </c>
      <c r="B55" s="8" t="s">
        <v>83</v>
      </c>
      <c r="C55" s="8" t="s">
        <v>127</v>
      </c>
      <c r="D55" s="8" t="s">
        <v>128</v>
      </c>
      <c r="E55" s="8" t="s">
        <v>129</v>
      </c>
      <c r="F55" s="8" t="s">
        <v>130</v>
      </c>
      <c r="G55" s="9">
        <v>428046</v>
      </c>
      <c r="H55" s="10">
        <f>INDEX([1]ratio_ins!F:F,MATCH('001_population_health_zone_zs'!$B$2,[1]ratio_ins!$B:$B,0))*$G55*INDEX([1]ratio_ins!$C:$C,MATCH('001_population_health_zone_zs'!$B55,[1]ratio_ins!$B:$B,0))</f>
        <v>44104.575702000002</v>
      </c>
      <c r="I55" s="10">
        <f>INDEX([1]ratio_ins!G:G,MATCH('001_population_health_zone_zs'!$B$2,[1]ratio_ins!$B:$B,0))*$G55*INDEX([1]ratio_ins!$C:$C,MATCH('001_population_health_zone_zs'!$B55,[1]ratio_ins!$B:$B,0))</f>
        <v>36085.561938000006</v>
      </c>
      <c r="J55" s="10">
        <f>INDEX([1]ratio_ins!H:H,MATCH('001_population_health_zone_zs'!$B$2,[1]ratio_ins!$B:$B,0))*$G55*INDEX([1]ratio_ins!$C:$C,MATCH('001_population_health_zone_zs'!$B55,[1]ratio_ins!$B:$B,0))</f>
        <v>28488.601530000004</v>
      </c>
      <c r="K55" s="10">
        <f>INDEX([1]ratio_ins!I:I,MATCH('001_population_health_zone_zs'!$B$2,[1]ratio_ins!$B:$B,0))*$G55*INDEX([1]ratio_ins!$C:$C,MATCH('001_population_health_zone_zs'!$B55,[1]ratio_ins!$B:$B,0))</f>
        <v>17515.214273999998</v>
      </c>
      <c r="L55" s="10">
        <f>INDEX([1]ratio_ins!J:J,MATCH('001_population_health_zone_zs'!$B$2,[1]ratio_ins!$B:$B,0))*$G55*INDEX([1]ratio_ins!$C:$C,MATCH('001_population_health_zone_zs'!$B55,[1]ratio_ins!$B:$B,0))</f>
        <v>10509.1285644</v>
      </c>
      <c r="M55" s="11">
        <f>INDEX([1]ratio_ins!K:K,MATCH('001_population_health_zone_zs'!$B$2,[1]ratio_ins!$B:$B,0))*$G55*INDEX([1]ratio_ins!$C:$C,MATCH('001_population_health_zone_zs'!$B55,[1]ratio_ins!$B:$B,0))</f>
        <v>119187.86773439999</v>
      </c>
      <c r="N55" s="10">
        <f>INDEX([1]ratio_ins!L:L,MATCH('001_population_health_zone_zs'!$B$2,[1]ratio_ins!$B:$B,0))*$G55*INDEX([1]ratio_ins!$C:$C,MATCH('001_population_health_zone_zs'!$B55,[1]ratio_ins!$B:$B,0))</f>
        <v>7006.0857096</v>
      </c>
      <c r="O55" s="10">
        <f>INDEX([1]ratio_ins!M:M,MATCH('001_population_health_zone_zs'!$B$2,[1]ratio_ins!$B:$B,0))*$G55*INDEX([1]ratio_ins!$C:$C,MATCH('001_population_health_zone_zs'!$B55,[1]ratio_ins!$B:$B,0))</f>
        <v>15193.920816000002</v>
      </c>
      <c r="P55" s="10">
        <f>INDEX([1]ratio_ins!N:N,MATCH('001_population_health_zone_zs'!$B$2,[1]ratio_ins!$B:$B,0))*$G55*INDEX([1]ratio_ins!$C:$C,MATCH('001_population_health_zone_zs'!$B55,[1]ratio_ins!$B:$B,0))</f>
        <v>13716.73407</v>
      </c>
      <c r="Q55" s="10">
        <f>INDEX([1]ratio_ins!O:O,MATCH('001_population_health_zone_zs'!$B$2,[1]ratio_ins!$B:$B,0))*$G55*INDEX([1]ratio_ins!$C:$C,MATCH('001_population_health_zone_zs'!$B55,[1]ratio_ins!$B:$B,0))</f>
        <v>12239.547323999999</v>
      </c>
      <c r="R55" s="10">
        <f>INDEX([1]ratio_ins!P:P,MATCH('001_population_health_zone_zs'!$B$2,[1]ratio_ins!$B:$B,0))*$G55*INDEX([1]ratio_ins!$C:$C,MATCH('001_population_health_zone_zs'!$B55,[1]ratio_ins!$B:$B,0))</f>
        <v>12028.520645999999</v>
      </c>
      <c r="S55" s="10">
        <f>INDEX([1]ratio_ins!Q:Q,MATCH('001_population_health_zone_zs'!$B$2,[1]ratio_ins!$B:$B,0))*$G55*INDEX([1]ratio_ins!$C:$C,MATCH('001_population_health_zone_zs'!$B55,[1]ratio_ins!$B:$B,0))</f>
        <v>10129.280543999999</v>
      </c>
      <c r="T55" s="10">
        <f>INDEX([1]ratio_ins!R:R,MATCH('001_population_health_zone_zs'!$B$2,[1]ratio_ins!$B:$B,0))*$G55*INDEX([1]ratio_ins!$C:$C,MATCH('001_population_health_zone_zs'!$B55,[1]ratio_ins!$B:$B,0))</f>
        <v>7174.9070520000005</v>
      </c>
      <c r="U55" s="10">
        <f>INDEX([1]ratio_ins!S:S,MATCH('001_population_health_zone_zs'!$B$2,[1]ratio_ins!$B:$B,0))*$G55*INDEX([1]ratio_ins!$C:$C,MATCH('001_population_health_zone_zs'!$B55,[1]ratio_ins!$B:$B,0))</f>
        <v>5697.7203060000011</v>
      </c>
      <c r="V55" s="10">
        <f>INDEX([1]ratio_ins!T:T,MATCH('001_population_health_zone_zs'!$B$2,[1]ratio_ins!$B:$B,0))*$G55*INDEX([1]ratio_ins!$C:$C,MATCH('001_population_health_zone_zs'!$B55,[1]ratio_ins!$B:$B,0))</f>
        <v>3165.4001699999999</v>
      </c>
      <c r="W55" s="11">
        <f>INDEX([1]ratio_ins!U:U,MATCH('001_population_health_zone_zs'!$B$2,[1]ratio_ins!$B:$B,0))*$G55*INDEX([1]ratio_ins!$C:$C,MATCH('001_population_health_zone_zs'!$B55,[1]ratio_ins!$B:$B,0))</f>
        <v>86352.116637599989</v>
      </c>
      <c r="X55" s="10">
        <f>INDEX([1]ratio_ins!V:V,MATCH('001_population_health_zone_zs'!$B$2,[1]ratio_ins!$B:$B,0))*$G55*INDEX([1]ratio_ins!$C:$C,MATCH('001_population_health_zone_zs'!$B55,[1]ratio_ins!$B:$B,0))</f>
        <v>2532.3201359999998</v>
      </c>
      <c r="Y55" s="10">
        <f>INDEX([1]ratio_ins!W:W,MATCH('001_population_health_zone_zs'!$B$2,[1]ratio_ins!$B:$B,0))*$G55*INDEX([1]ratio_ins!$C:$C,MATCH('001_population_health_zone_zs'!$B55,[1]ratio_ins!$B:$B,0))</f>
        <v>1688.213424</v>
      </c>
      <c r="Z55" s="10">
        <f>INDEX([1]ratio_ins!X:X,MATCH('001_population_health_zone_zs'!$B$2,[1]ratio_ins!$B:$B,0))*$G55*INDEX([1]ratio_ins!$C:$C,MATCH('001_population_health_zone_zs'!$B55,[1]ratio_ins!$B:$B,0))</f>
        <v>844.10671200000002</v>
      </c>
      <c r="AA55" s="10">
        <f>INDEX([1]ratio_ins!Y:Y,MATCH('001_population_health_zone_zs'!$B$2,[1]ratio_ins!$B:$B,0))*$G55*INDEX([1]ratio_ins!$C:$C,MATCH('001_population_health_zone_zs'!$B55,[1]ratio_ins!$B:$B,0))</f>
        <v>422.05335600000001</v>
      </c>
      <c r="AB55" s="11">
        <f>INDEX([1]ratio_ins!Z:Z,MATCH('001_population_health_zone_zs'!$B$2,[1]ratio_ins!$B:$B,0))*$G55*INDEX([1]ratio_ins!$C:$C,MATCH('001_population_health_zone_zs'!$B55,[1]ratio_ins!$B:$B,0))</f>
        <v>5486.6936280000009</v>
      </c>
      <c r="AC55" s="12">
        <f t="shared" si="0"/>
        <v>211026.67799999999</v>
      </c>
      <c r="AD55" s="10">
        <f>INDEX([1]ratio_ins!AA:AA,MATCH('001_population_health_zone_zs'!$B$2,[1]ratio_ins!$B:$B,0))*$G55*INDEX([1]ratio_ins!$D:$D,MATCH('001_population_health_zone_zs'!$B55,[1]ratio_ins!$B:$B,0))</f>
        <v>45574.05762</v>
      </c>
      <c r="AE55" s="10">
        <f>INDEX([1]ratio_ins!AB:AB,MATCH('001_population_health_zone_zs'!$B$2,[1]ratio_ins!$B:$B,0))*$G55*INDEX([1]ratio_ins!$D:$D,MATCH('001_population_health_zone_zs'!$B55,[1]ratio_ins!$B:$B,0))</f>
        <v>37544.34270600001</v>
      </c>
      <c r="AF55" s="10">
        <f>INDEX([1]ratio_ins!AC:AC,MATCH('001_population_health_zone_zs'!$B$2,[1]ratio_ins!$B:$B,0))*$G55*INDEX([1]ratio_ins!$D:$D,MATCH('001_population_health_zone_zs'!$B55,[1]ratio_ins!$B:$B,0))</f>
        <v>29731.647113999999</v>
      </c>
      <c r="AG55" s="10">
        <f>INDEX([1]ratio_ins!AD:AD,MATCH('001_population_health_zone_zs'!$B$2,[1]ratio_ins!$B:$B,0))*$G55*INDEX([1]ratio_ins!$D:$D,MATCH('001_population_health_zone_zs'!$B55,[1]ratio_ins!$B:$B,0))</f>
        <v>18012.603726000001</v>
      </c>
      <c r="AH55" s="10">
        <f>INDEX([1]ratio_ins!AE:AE,MATCH('001_population_health_zone_zs'!$B$2,[1]ratio_ins!$B:$B,0))*$G55*INDEX([1]ratio_ins!$D:$D,MATCH('001_population_health_zone_zs'!$B55,[1]ratio_ins!$B:$B,0))</f>
        <v>10807.5622356</v>
      </c>
      <c r="AI55" s="13">
        <f>INDEX([1]ratio_ins!AF:AF,MATCH('001_population_health_zone_zs'!$B$2,[1]ratio_ins!$B:$B,0))*$G55*INDEX([1]ratio_ins!$D:$D,MATCH('001_population_health_zone_zs'!$B55,[1]ratio_ins!$B:$B,0))</f>
        <v>123657.6096756</v>
      </c>
      <c r="AJ55" s="10">
        <f>INDEX([1]ratio_ins!AG:AG,MATCH('001_population_health_zone_zs'!$B$2,[1]ratio_ins!$B:$B,0))*$G55*INDEX([1]ratio_ins!$D:$D,MATCH('001_population_health_zone_zs'!$B55,[1]ratio_ins!$B:$B,0))</f>
        <v>7205.0414904000008</v>
      </c>
      <c r="AK55" s="10">
        <f>INDEX([1]ratio_ins!AH:AH,MATCH('001_population_health_zone_zs'!$B$2,[1]ratio_ins!$B:$B,0))*$G55*INDEX([1]ratio_ins!$D:$D,MATCH('001_population_health_zone_zs'!$B55,[1]ratio_ins!$B:$B,0))</f>
        <v>16059.429828000004</v>
      </c>
      <c r="AL55" s="10">
        <f>INDEX([1]ratio_ins!AI:AI,MATCH('001_population_health_zone_zs'!$B$2,[1]ratio_ins!$B:$B,0))*$G55*INDEX([1]ratio_ins!$D:$D,MATCH('001_population_health_zone_zs'!$B55,[1]ratio_ins!$B:$B,0))</f>
        <v>15191.352540000002</v>
      </c>
      <c r="AM55" s="10">
        <f>INDEX([1]ratio_ins!AJ:AJ,MATCH('001_population_health_zone_zs'!$B$2,[1]ratio_ins!$B:$B,0))*$G55*INDEX([1]ratio_ins!$D:$D,MATCH('001_population_health_zone_zs'!$B55,[1]ratio_ins!$B:$B,0))</f>
        <v>13889.236607999999</v>
      </c>
      <c r="AN55" s="10">
        <f>INDEX([1]ratio_ins!AK:AK,MATCH('001_population_health_zone_zs'!$B$2,[1]ratio_ins!$B:$B,0))*$G55*INDEX([1]ratio_ins!$D:$D,MATCH('001_population_health_zone_zs'!$B55,[1]ratio_ins!$B:$B,0))</f>
        <v>13021.159319999999</v>
      </c>
      <c r="AO55" s="10">
        <f>INDEX([1]ratio_ins!AL:AL,MATCH('001_population_health_zone_zs'!$B$2,[1]ratio_ins!$B:$B,0))*$G55*INDEX([1]ratio_ins!$D:$D,MATCH('001_population_health_zone_zs'!$B55,[1]ratio_ins!$B:$B,0))</f>
        <v>9765.8694899999991</v>
      </c>
      <c r="AP55" s="10">
        <f>INDEX([1]ratio_ins!AM:AM,MATCH('001_population_health_zone_zs'!$B$2,[1]ratio_ins!$B:$B,0))*$G55*INDEX([1]ratio_ins!$D:$D,MATCH('001_population_health_zone_zs'!$B55,[1]ratio_ins!$B:$B,0))</f>
        <v>6293.5603379999993</v>
      </c>
      <c r="AQ55" s="10">
        <f>INDEX([1]ratio_ins!AN:AN,MATCH('001_population_health_zone_zs'!$B$2,[1]ratio_ins!$B:$B,0))*$G55*INDEX([1]ratio_ins!$D:$D,MATCH('001_population_health_zone_zs'!$B55,[1]ratio_ins!$B:$B,0))</f>
        <v>4991.4444059999996</v>
      </c>
      <c r="AR55" s="10">
        <f>INDEX([1]ratio_ins!AO:AO,MATCH('001_population_health_zone_zs'!$B$2,[1]ratio_ins!$B:$B,0))*$G55*INDEX([1]ratio_ins!$D:$D,MATCH('001_population_health_zone_zs'!$B55,[1]ratio_ins!$B:$B,0))</f>
        <v>2387.2125420000002</v>
      </c>
      <c r="AS55" s="13">
        <f>INDEX([1]ratio_ins!AP:AP,MATCH('001_population_health_zone_zs'!$B$2,[1]ratio_ins!$B:$B,0))*$G55*INDEX([1]ratio_ins!$D:$D,MATCH('001_population_health_zone_zs'!$B55,[1]ratio_ins!$B:$B,0))</f>
        <v>88804.306562400001</v>
      </c>
      <c r="AT55" s="10">
        <f>INDEX([1]ratio_ins!AQ:AQ,MATCH('001_population_health_zone_zs'!$B$2,[1]ratio_ins!$B:$B,0))*$G55*INDEX([1]ratio_ins!$D:$D,MATCH('001_population_health_zone_zs'!$B55,[1]ratio_ins!$B:$B,0))</f>
        <v>2170.1932200000001</v>
      </c>
      <c r="AU55" s="10">
        <f>INDEX([1]ratio_ins!AR:AR,MATCH('001_population_health_zone_zs'!$B$2,[1]ratio_ins!$B:$B,0))*$G55*INDEX([1]ratio_ins!$D:$D,MATCH('001_population_health_zone_zs'!$B55,[1]ratio_ins!$B:$B,0))</f>
        <v>1302.1159319999999</v>
      </c>
      <c r="AV55" s="10">
        <f>INDEX([1]ratio_ins!AS:AS,MATCH('001_population_health_zone_zs'!$B$2,[1]ratio_ins!$B:$B,0))*$G55*INDEX([1]ratio_ins!$D:$D,MATCH('001_population_health_zone_zs'!$B55,[1]ratio_ins!$B:$B,0))</f>
        <v>651.05796599999996</v>
      </c>
      <c r="AW55" s="10">
        <f>INDEX([1]ratio_ins!AT:AT,MATCH('001_population_health_zone_zs'!$B$2,[1]ratio_ins!$B:$B,0))*$G55*INDEX([1]ratio_ins!$D:$D,MATCH('001_population_health_zone_zs'!$B55,[1]ratio_ins!$B:$B,0))</f>
        <v>434.03864399999998</v>
      </c>
      <c r="AX55" s="13">
        <f>INDEX([1]ratio_ins!AU:AU,MATCH('001_population_health_zone_zs'!$B$2,[1]ratio_ins!$B:$B,0))*$G55*INDEX([1]ratio_ins!$D:$D,MATCH('001_population_health_zone_zs'!$B55,[1]ratio_ins!$B:$B,0))</f>
        <v>4557.4057619999994</v>
      </c>
      <c r="AY55" s="14">
        <f t="shared" si="1"/>
        <v>217019.32200000001</v>
      </c>
      <c r="AZ55" s="15">
        <f t="shared" si="2"/>
        <v>428046</v>
      </c>
      <c r="BA55" s="16">
        <v>410628.32604895817</v>
      </c>
      <c r="BB55" s="10">
        <f t="shared" si="3"/>
        <v>92233.211849999992</v>
      </c>
      <c r="BC55" s="17">
        <f t="shared" si="4"/>
        <v>0.21547499999999997</v>
      </c>
      <c r="BD55" s="10">
        <f t="shared" si="5"/>
        <v>87998.124725999995</v>
      </c>
    </row>
    <row r="56" spans="1:56" x14ac:dyDescent="0.25">
      <c r="A56" s="8" t="s">
        <v>82</v>
      </c>
      <c r="B56" s="8" t="s">
        <v>83</v>
      </c>
      <c r="C56" s="8" t="s">
        <v>127</v>
      </c>
      <c r="D56" s="8" t="s">
        <v>128</v>
      </c>
      <c r="E56" s="8" t="s">
        <v>131</v>
      </c>
      <c r="F56" s="8" t="s">
        <v>132</v>
      </c>
      <c r="G56" s="9">
        <v>245118</v>
      </c>
      <c r="H56" s="10">
        <f>INDEX([1]ratio_ins!F:F,MATCH('001_population_health_zone_zs'!$B$2,[1]ratio_ins!$B:$B,0))*$G56*INDEX([1]ratio_ins!$C:$C,MATCH('001_population_health_zone_zs'!$B56,[1]ratio_ins!$B:$B,0))</f>
        <v>25256.223365999998</v>
      </c>
      <c r="I56" s="10">
        <f>INDEX([1]ratio_ins!G:G,MATCH('001_population_health_zone_zs'!$B$2,[1]ratio_ins!$B:$B,0))*$G56*INDEX([1]ratio_ins!$C:$C,MATCH('001_population_health_zone_zs'!$B56,[1]ratio_ins!$B:$B,0))</f>
        <v>20664.182754000001</v>
      </c>
      <c r="J56" s="10">
        <f>INDEX([1]ratio_ins!H:H,MATCH('001_population_health_zone_zs'!$B$2,[1]ratio_ins!$B:$B,0))*$G56*INDEX([1]ratio_ins!$C:$C,MATCH('001_population_health_zone_zs'!$B56,[1]ratio_ins!$B:$B,0))</f>
        <v>16313.82849</v>
      </c>
      <c r="K56" s="10">
        <f>INDEX([1]ratio_ins!I:I,MATCH('001_population_health_zone_zs'!$B$2,[1]ratio_ins!$B:$B,0))*$G56*INDEX([1]ratio_ins!$C:$C,MATCH('001_population_health_zone_zs'!$B56,[1]ratio_ins!$B:$B,0))</f>
        <v>10029.983442000001</v>
      </c>
      <c r="L56" s="10">
        <f>INDEX([1]ratio_ins!J:J,MATCH('001_population_health_zone_zs'!$B$2,[1]ratio_ins!$B:$B,0))*$G56*INDEX([1]ratio_ins!$C:$C,MATCH('001_population_health_zone_zs'!$B56,[1]ratio_ins!$B:$B,0))</f>
        <v>6017.9900651999997</v>
      </c>
      <c r="M56" s="11">
        <f>INDEX([1]ratio_ins!K:K,MATCH('001_population_health_zone_zs'!$B$2,[1]ratio_ins!$B:$B,0))*$G56*INDEX([1]ratio_ins!$C:$C,MATCH('001_population_health_zone_zs'!$B56,[1]ratio_ins!$B:$B,0))</f>
        <v>68252.224675199992</v>
      </c>
      <c r="N56" s="10">
        <f>INDEX([1]ratio_ins!L:L,MATCH('001_population_health_zone_zs'!$B$2,[1]ratio_ins!$B:$B,0))*$G56*INDEX([1]ratio_ins!$C:$C,MATCH('001_population_health_zone_zs'!$B56,[1]ratio_ins!$B:$B,0))</f>
        <v>4011.9933767999996</v>
      </c>
      <c r="O56" s="10">
        <f>INDEX([1]ratio_ins!M:M,MATCH('001_population_health_zone_zs'!$B$2,[1]ratio_ins!$B:$B,0))*$G56*INDEX([1]ratio_ins!$C:$C,MATCH('001_population_health_zone_zs'!$B56,[1]ratio_ins!$B:$B,0))</f>
        <v>8700.708528000001</v>
      </c>
      <c r="P56" s="10">
        <f>INDEX([1]ratio_ins!N:N,MATCH('001_population_health_zone_zs'!$B$2,[1]ratio_ins!$B:$B,0))*$G56*INDEX([1]ratio_ins!$C:$C,MATCH('001_population_health_zone_zs'!$B56,[1]ratio_ins!$B:$B,0))</f>
        <v>7854.8063099999999</v>
      </c>
      <c r="Q56" s="10">
        <f>INDEX([1]ratio_ins!O:O,MATCH('001_population_health_zone_zs'!$B$2,[1]ratio_ins!$B:$B,0))*$G56*INDEX([1]ratio_ins!$C:$C,MATCH('001_population_health_zone_zs'!$B56,[1]ratio_ins!$B:$B,0))</f>
        <v>7008.9040919999998</v>
      </c>
      <c r="R56" s="10">
        <f>INDEX([1]ratio_ins!P:P,MATCH('001_population_health_zone_zs'!$B$2,[1]ratio_ins!$B:$B,0))*$G56*INDEX([1]ratio_ins!$C:$C,MATCH('001_population_health_zone_zs'!$B56,[1]ratio_ins!$B:$B,0))</f>
        <v>6888.0609180000001</v>
      </c>
      <c r="S56" s="10">
        <f>INDEX([1]ratio_ins!Q:Q,MATCH('001_population_health_zone_zs'!$B$2,[1]ratio_ins!$B:$B,0))*$G56*INDEX([1]ratio_ins!$C:$C,MATCH('001_population_health_zone_zs'!$B56,[1]ratio_ins!$B:$B,0))</f>
        <v>5800.4723520000007</v>
      </c>
      <c r="T56" s="10">
        <f>INDEX([1]ratio_ins!R:R,MATCH('001_population_health_zone_zs'!$B$2,[1]ratio_ins!$B:$B,0))*$G56*INDEX([1]ratio_ins!$C:$C,MATCH('001_population_health_zone_zs'!$B56,[1]ratio_ins!$B:$B,0))</f>
        <v>4108.6679160000003</v>
      </c>
      <c r="U56" s="10">
        <f>INDEX([1]ratio_ins!S:S,MATCH('001_population_health_zone_zs'!$B$2,[1]ratio_ins!$B:$B,0))*$G56*INDEX([1]ratio_ins!$C:$C,MATCH('001_population_health_zone_zs'!$B56,[1]ratio_ins!$B:$B,0))</f>
        <v>3262.7656980000002</v>
      </c>
      <c r="V56" s="10">
        <f>INDEX([1]ratio_ins!T:T,MATCH('001_population_health_zone_zs'!$B$2,[1]ratio_ins!$B:$B,0))*$G56*INDEX([1]ratio_ins!$C:$C,MATCH('001_population_health_zone_zs'!$B56,[1]ratio_ins!$B:$B,0))</f>
        <v>1812.64761</v>
      </c>
      <c r="W56" s="11">
        <f>INDEX([1]ratio_ins!U:U,MATCH('001_population_health_zone_zs'!$B$2,[1]ratio_ins!$B:$B,0))*$G56*INDEX([1]ratio_ins!$C:$C,MATCH('001_population_health_zone_zs'!$B56,[1]ratio_ins!$B:$B,0))</f>
        <v>49449.026800799998</v>
      </c>
      <c r="X56" s="10">
        <f>INDEX([1]ratio_ins!V:V,MATCH('001_population_health_zone_zs'!$B$2,[1]ratio_ins!$B:$B,0))*$G56*INDEX([1]ratio_ins!$C:$C,MATCH('001_population_health_zone_zs'!$B56,[1]ratio_ins!$B:$B,0))</f>
        <v>1450.1180880000002</v>
      </c>
      <c r="Y56" s="10">
        <f>INDEX([1]ratio_ins!W:W,MATCH('001_population_health_zone_zs'!$B$2,[1]ratio_ins!$B:$B,0))*$G56*INDEX([1]ratio_ins!$C:$C,MATCH('001_population_health_zone_zs'!$B56,[1]ratio_ins!$B:$B,0))</f>
        <v>966.74539199999992</v>
      </c>
      <c r="Z56" s="10">
        <f>INDEX([1]ratio_ins!X:X,MATCH('001_population_health_zone_zs'!$B$2,[1]ratio_ins!$B:$B,0))*$G56*INDEX([1]ratio_ins!$C:$C,MATCH('001_population_health_zone_zs'!$B56,[1]ratio_ins!$B:$B,0))</f>
        <v>483.37269599999996</v>
      </c>
      <c r="AA56" s="10">
        <f>INDEX([1]ratio_ins!Y:Y,MATCH('001_population_health_zone_zs'!$B$2,[1]ratio_ins!$B:$B,0))*$G56*INDEX([1]ratio_ins!$C:$C,MATCH('001_population_health_zone_zs'!$B56,[1]ratio_ins!$B:$B,0))</f>
        <v>241.68634799999998</v>
      </c>
      <c r="AB56" s="11">
        <f>INDEX([1]ratio_ins!Z:Z,MATCH('001_population_health_zone_zs'!$B$2,[1]ratio_ins!$B:$B,0))*$G56*INDEX([1]ratio_ins!$C:$C,MATCH('001_population_health_zone_zs'!$B56,[1]ratio_ins!$B:$B,0))</f>
        <v>3141.9225240000001</v>
      </c>
      <c r="AC56" s="12">
        <f t="shared" si="0"/>
        <v>120843.17399999998</v>
      </c>
      <c r="AD56" s="10">
        <f>INDEX([1]ratio_ins!AA:AA,MATCH('001_population_health_zone_zs'!$B$2,[1]ratio_ins!$B:$B,0))*$G56*INDEX([1]ratio_ins!$D:$D,MATCH('001_population_health_zone_zs'!$B56,[1]ratio_ins!$B:$B,0))</f>
        <v>26097.713459999999</v>
      </c>
      <c r="AE56" s="10">
        <f>INDEX([1]ratio_ins!AB:AB,MATCH('001_population_health_zone_zs'!$B$2,[1]ratio_ins!$B:$B,0))*$G56*INDEX([1]ratio_ins!$D:$D,MATCH('001_population_health_zone_zs'!$B56,[1]ratio_ins!$B:$B,0))</f>
        <v>21499.544898000004</v>
      </c>
      <c r="AF56" s="10">
        <f>INDEX([1]ratio_ins!AC:AC,MATCH('001_population_health_zone_zs'!$B$2,[1]ratio_ins!$B:$B,0))*$G56*INDEX([1]ratio_ins!$D:$D,MATCH('001_population_health_zone_zs'!$B56,[1]ratio_ins!$B:$B,0))</f>
        <v>17025.651161999998</v>
      </c>
      <c r="AG56" s="10">
        <f>INDEX([1]ratio_ins!AD:AD,MATCH('001_population_health_zone_zs'!$B$2,[1]ratio_ins!$B:$B,0))*$G56*INDEX([1]ratio_ins!$D:$D,MATCH('001_population_health_zone_zs'!$B56,[1]ratio_ins!$B:$B,0))</f>
        <v>10314.810558000001</v>
      </c>
      <c r="AH56" s="10">
        <f>INDEX([1]ratio_ins!AE:AE,MATCH('001_population_health_zone_zs'!$B$2,[1]ratio_ins!$B:$B,0))*$G56*INDEX([1]ratio_ins!$D:$D,MATCH('001_population_health_zone_zs'!$B56,[1]ratio_ins!$B:$B,0))</f>
        <v>6188.8863347999995</v>
      </c>
      <c r="AI56" s="13">
        <f>INDEX([1]ratio_ins!AF:AF,MATCH('001_population_health_zone_zs'!$B$2,[1]ratio_ins!$B:$B,0))*$G56*INDEX([1]ratio_ins!$D:$D,MATCH('001_population_health_zone_zs'!$B56,[1]ratio_ins!$B:$B,0))</f>
        <v>70811.795854800002</v>
      </c>
      <c r="AJ56" s="10">
        <f>INDEX([1]ratio_ins!AG:AG,MATCH('001_population_health_zone_zs'!$B$2,[1]ratio_ins!$B:$B,0))*$G56*INDEX([1]ratio_ins!$D:$D,MATCH('001_population_health_zone_zs'!$B56,[1]ratio_ins!$B:$B,0))</f>
        <v>4125.9242231999997</v>
      </c>
      <c r="AK56" s="10">
        <f>INDEX([1]ratio_ins!AH:AH,MATCH('001_population_health_zone_zs'!$B$2,[1]ratio_ins!$B:$B,0))*$G56*INDEX([1]ratio_ins!$D:$D,MATCH('001_population_health_zone_zs'!$B56,[1]ratio_ins!$B:$B,0))</f>
        <v>9196.3371240000015</v>
      </c>
      <c r="AL56" s="10">
        <f>INDEX([1]ratio_ins!AI:AI,MATCH('001_population_health_zone_zs'!$B$2,[1]ratio_ins!$B:$B,0))*$G56*INDEX([1]ratio_ins!$D:$D,MATCH('001_population_health_zone_zs'!$B56,[1]ratio_ins!$B:$B,0))</f>
        <v>8699.2378200000003</v>
      </c>
      <c r="AM56" s="10">
        <f>INDEX([1]ratio_ins!AJ:AJ,MATCH('001_population_health_zone_zs'!$B$2,[1]ratio_ins!$B:$B,0))*$G56*INDEX([1]ratio_ins!$D:$D,MATCH('001_population_health_zone_zs'!$B56,[1]ratio_ins!$B:$B,0))</f>
        <v>7953.5888640000003</v>
      </c>
      <c r="AN56" s="10">
        <f>INDEX([1]ratio_ins!AK:AK,MATCH('001_population_health_zone_zs'!$B$2,[1]ratio_ins!$B:$B,0))*$G56*INDEX([1]ratio_ins!$D:$D,MATCH('001_population_health_zone_zs'!$B56,[1]ratio_ins!$B:$B,0))</f>
        <v>7456.48956</v>
      </c>
      <c r="AO56" s="10">
        <f>INDEX([1]ratio_ins!AL:AL,MATCH('001_population_health_zone_zs'!$B$2,[1]ratio_ins!$B:$B,0))*$G56*INDEX([1]ratio_ins!$D:$D,MATCH('001_population_health_zone_zs'!$B56,[1]ratio_ins!$B:$B,0))</f>
        <v>5592.3671699999995</v>
      </c>
      <c r="AP56" s="10">
        <f>INDEX([1]ratio_ins!AM:AM,MATCH('001_population_health_zone_zs'!$B$2,[1]ratio_ins!$B:$B,0))*$G56*INDEX([1]ratio_ins!$D:$D,MATCH('001_population_health_zone_zs'!$B56,[1]ratio_ins!$B:$B,0))</f>
        <v>3603.9699539999997</v>
      </c>
      <c r="AQ56" s="10">
        <f>INDEX([1]ratio_ins!AN:AN,MATCH('001_population_health_zone_zs'!$B$2,[1]ratio_ins!$B:$B,0))*$G56*INDEX([1]ratio_ins!$D:$D,MATCH('001_population_health_zone_zs'!$B56,[1]ratio_ins!$B:$B,0))</f>
        <v>2858.3209980000001</v>
      </c>
      <c r="AR56" s="10">
        <f>INDEX([1]ratio_ins!AO:AO,MATCH('001_population_health_zone_zs'!$B$2,[1]ratio_ins!$B:$B,0))*$G56*INDEX([1]ratio_ins!$D:$D,MATCH('001_population_health_zone_zs'!$B56,[1]ratio_ins!$B:$B,0))</f>
        <v>1367.0230860000001</v>
      </c>
      <c r="AS56" s="13">
        <f>INDEX([1]ratio_ins!AP:AP,MATCH('001_population_health_zone_zs'!$B$2,[1]ratio_ins!$B:$B,0))*$G56*INDEX([1]ratio_ins!$D:$D,MATCH('001_population_health_zone_zs'!$B56,[1]ratio_ins!$B:$B,0))</f>
        <v>50853.258799200004</v>
      </c>
      <c r="AT56" s="10">
        <f>INDEX([1]ratio_ins!AQ:AQ,MATCH('001_population_health_zone_zs'!$B$2,[1]ratio_ins!$B:$B,0))*$G56*INDEX([1]ratio_ins!$D:$D,MATCH('001_population_health_zone_zs'!$B56,[1]ratio_ins!$B:$B,0))</f>
        <v>1242.7482599999998</v>
      </c>
      <c r="AU56" s="10">
        <f>INDEX([1]ratio_ins!AR:AR,MATCH('001_population_health_zone_zs'!$B$2,[1]ratio_ins!$B:$B,0))*$G56*INDEX([1]ratio_ins!$D:$D,MATCH('001_population_health_zone_zs'!$B56,[1]ratio_ins!$B:$B,0))</f>
        <v>745.648956</v>
      </c>
      <c r="AV56" s="10">
        <f>INDEX([1]ratio_ins!AS:AS,MATCH('001_population_health_zone_zs'!$B$2,[1]ratio_ins!$B:$B,0))*$G56*INDEX([1]ratio_ins!$D:$D,MATCH('001_population_health_zone_zs'!$B56,[1]ratio_ins!$B:$B,0))</f>
        <v>372.824478</v>
      </c>
      <c r="AW56" s="10">
        <f>INDEX([1]ratio_ins!AT:AT,MATCH('001_population_health_zone_zs'!$B$2,[1]ratio_ins!$B:$B,0))*$G56*INDEX([1]ratio_ins!$D:$D,MATCH('001_population_health_zone_zs'!$B56,[1]ratio_ins!$B:$B,0))</f>
        <v>248.54965200000001</v>
      </c>
      <c r="AX56" s="13">
        <f>INDEX([1]ratio_ins!AU:AU,MATCH('001_population_health_zone_zs'!$B$2,[1]ratio_ins!$B:$B,0))*$G56*INDEX([1]ratio_ins!$D:$D,MATCH('001_population_health_zone_zs'!$B56,[1]ratio_ins!$B:$B,0))</f>
        <v>2609.7713459999995</v>
      </c>
      <c r="AY56" s="14">
        <f t="shared" si="1"/>
        <v>124274.826</v>
      </c>
      <c r="AZ56" s="15">
        <f t="shared" si="2"/>
        <v>245118</v>
      </c>
      <c r="BA56" s="16">
        <v>235144.22199452325</v>
      </c>
      <c r="BB56" s="10">
        <f t="shared" si="3"/>
        <v>52816.801050000002</v>
      </c>
      <c r="BC56" s="17">
        <f t="shared" si="4"/>
        <v>0.215475</v>
      </c>
      <c r="BD56" s="10">
        <f t="shared" si="5"/>
        <v>50391.603557999995</v>
      </c>
    </row>
    <row r="57" spans="1:56" x14ac:dyDescent="0.25">
      <c r="A57" s="8" t="s">
        <v>82</v>
      </c>
      <c r="B57" s="8" t="s">
        <v>83</v>
      </c>
      <c r="C57" s="8" t="s">
        <v>133</v>
      </c>
      <c r="D57" s="8" t="s">
        <v>134</v>
      </c>
      <c r="E57" s="8" t="s">
        <v>135</v>
      </c>
      <c r="F57" s="8" t="s">
        <v>136</v>
      </c>
      <c r="G57" s="9">
        <v>331268</v>
      </c>
      <c r="H57" s="10">
        <f>INDEX([1]ratio_ins!F:F,MATCH('001_population_health_zone_zs'!$B$2,[1]ratio_ins!$B:$B,0))*$G57*INDEX([1]ratio_ins!$C:$C,MATCH('001_population_health_zone_zs'!$B57,[1]ratio_ins!$B:$B,0))</f>
        <v>34132.860915999998</v>
      </c>
      <c r="I57" s="10">
        <f>INDEX([1]ratio_ins!G:G,MATCH('001_population_health_zone_zs'!$B$2,[1]ratio_ins!$B:$B,0))*$G57*INDEX([1]ratio_ins!$C:$C,MATCH('001_population_health_zone_zs'!$B57,[1]ratio_ins!$B:$B,0))</f>
        <v>27926.886203999999</v>
      </c>
      <c r="J57" s="10">
        <f>INDEX([1]ratio_ins!H:H,MATCH('001_population_health_zone_zs'!$B$2,[1]ratio_ins!$B:$B,0))*$G57*INDEX([1]ratio_ins!$C:$C,MATCH('001_population_health_zone_zs'!$B57,[1]ratio_ins!$B:$B,0))</f>
        <v>22047.541740000001</v>
      </c>
      <c r="K57" s="10">
        <f>INDEX([1]ratio_ins!I:I,MATCH('001_population_health_zone_zs'!$B$2,[1]ratio_ins!$B:$B,0))*$G57*INDEX([1]ratio_ins!$C:$C,MATCH('001_population_health_zone_zs'!$B57,[1]ratio_ins!$B:$B,0))</f>
        <v>13555.155292000001</v>
      </c>
      <c r="L57" s="10">
        <f>INDEX([1]ratio_ins!J:J,MATCH('001_population_health_zone_zs'!$B$2,[1]ratio_ins!$B:$B,0))*$G57*INDEX([1]ratio_ins!$C:$C,MATCH('001_population_health_zone_zs'!$B57,[1]ratio_ins!$B:$B,0))</f>
        <v>8133.0931751999988</v>
      </c>
      <c r="M57" s="11">
        <f>INDEX([1]ratio_ins!K:K,MATCH('001_population_health_zone_zs'!$B$2,[1]ratio_ins!$B:$B,0))*$G57*INDEX([1]ratio_ins!$C:$C,MATCH('001_population_health_zone_zs'!$B57,[1]ratio_ins!$B:$B,0))</f>
        <v>92240.382035199989</v>
      </c>
      <c r="N57" s="10">
        <f>INDEX([1]ratio_ins!L:L,MATCH('001_population_health_zone_zs'!$B$2,[1]ratio_ins!$B:$B,0))*$G57*INDEX([1]ratio_ins!$C:$C,MATCH('001_population_health_zone_zs'!$B57,[1]ratio_ins!$B:$B,0))</f>
        <v>5422.0621168000007</v>
      </c>
      <c r="O57" s="10">
        <f>INDEX([1]ratio_ins!M:M,MATCH('001_population_health_zone_zs'!$B$2,[1]ratio_ins!$B:$B,0))*$G57*INDEX([1]ratio_ins!$C:$C,MATCH('001_population_health_zone_zs'!$B57,[1]ratio_ins!$B:$B,0))</f>
        <v>11758.688928000001</v>
      </c>
      <c r="P57" s="10">
        <f>INDEX([1]ratio_ins!N:N,MATCH('001_population_health_zone_zs'!$B$2,[1]ratio_ins!$B:$B,0))*$G57*INDEX([1]ratio_ins!$C:$C,MATCH('001_population_health_zone_zs'!$B57,[1]ratio_ins!$B:$B,0))</f>
        <v>10615.48306</v>
      </c>
      <c r="Q57" s="10">
        <f>INDEX([1]ratio_ins!O:O,MATCH('001_population_health_zone_zs'!$B$2,[1]ratio_ins!$B:$B,0))*$G57*INDEX([1]ratio_ins!$C:$C,MATCH('001_population_health_zone_zs'!$B57,[1]ratio_ins!$B:$B,0))</f>
        <v>9472.2771919999996</v>
      </c>
      <c r="R57" s="10">
        <f>INDEX([1]ratio_ins!P:P,MATCH('001_population_health_zone_zs'!$B$2,[1]ratio_ins!$B:$B,0))*$G57*INDEX([1]ratio_ins!$C:$C,MATCH('001_population_health_zone_zs'!$B57,[1]ratio_ins!$B:$B,0))</f>
        <v>9308.9620680000007</v>
      </c>
      <c r="S57" s="10">
        <f>INDEX([1]ratio_ins!Q:Q,MATCH('001_population_health_zone_zs'!$B$2,[1]ratio_ins!$B:$B,0))*$G57*INDEX([1]ratio_ins!$C:$C,MATCH('001_population_health_zone_zs'!$B57,[1]ratio_ins!$B:$B,0))</f>
        <v>7839.1259519999994</v>
      </c>
      <c r="T57" s="10">
        <f>INDEX([1]ratio_ins!R:R,MATCH('001_population_health_zone_zs'!$B$2,[1]ratio_ins!$B:$B,0))*$G57*INDEX([1]ratio_ins!$C:$C,MATCH('001_population_health_zone_zs'!$B57,[1]ratio_ins!$B:$B,0))</f>
        <v>5552.7142160000003</v>
      </c>
      <c r="U57" s="10">
        <f>INDEX([1]ratio_ins!S:S,MATCH('001_population_health_zone_zs'!$B$2,[1]ratio_ins!$B:$B,0))*$G57*INDEX([1]ratio_ins!$C:$C,MATCH('001_population_health_zone_zs'!$B57,[1]ratio_ins!$B:$B,0))</f>
        <v>4409.5083480000003</v>
      </c>
      <c r="V57" s="10">
        <f>INDEX([1]ratio_ins!T:T,MATCH('001_population_health_zone_zs'!$B$2,[1]ratio_ins!$B:$B,0))*$G57*INDEX([1]ratio_ins!$C:$C,MATCH('001_population_health_zone_zs'!$B57,[1]ratio_ins!$B:$B,0))</f>
        <v>2449.7268599999998</v>
      </c>
      <c r="W57" s="11">
        <f>INDEX([1]ratio_ins!U:U,MATCH('001_population_health_zone_zs'!$B$2,[1]ratio_ins!$B:$B,0))*$G57*INDEX([1]ratio_ins!$C:$C,MATCH('001_population_health_zone_zs'!$B57,[1]ratio_ins!$B:$B,0))</f>
        <v>66828.54874079999</v>
      </c>
      <c r="X57" s="10">
        <f>INDEX([1]ratio_ins!V:V,MATCH('001_population_health_zone_zs'!$B$2,[1]ratio_ins!$B:$B,0))*$G57*INDEX([1]ratio_ins!$C:$C,MATCH('001_population_health_zone_zs'!$B57,[1]ratio_ins!$B:$B,0))</f>
        <v>1959.7814879999999</v>
      </c>
      <c r="Y57" s="10">
        <f>INDEX([1]ratio_ins!W:W,MATCH('001_population_health_zone_zs'!$B$2,[1]ratio_ins!$B:$B,0))*$G57*INDEX([1]ratio_ins!$C:$C,MATCH('001_population_health_zone_zs'!$B57,[1]ratio_ins!$B:$B,0))</f>
        <v>1306.5209920000002</v>
      </c>
      <c r="Z57" s="10">
        <f>INDEX([1]ratio_ins!X:X,MATCH('001_population_health_zone_zs'!$B$2,[1]ratio_ins!$B:$B,0))*$G57*INDEX([1]ratio_ins!$C:$C,MATCH('001_population_health_zone_zs'!$B57,[1]ratio_ins!$B:$B,0))</f>
        <v>653.2604960000001</v>
      </c>
      <c r="AA57" s="10">
        <f>INDEX([1]ratio_ins!Y:Y,MATCH('001_population_health_zone_zs'!$B$2,[1]ratio_ins!$B:$B,0))*$G57*INDEX([1]ratio_ins!$C:$C,MATCH('001_population_health_zone_zs'!$B57,[1]ratio_ins!$B:$B,0))</f>
        <v>326.63024800000005</v>
      </c>
      <c r="AB57" s="11">
        <f>INDEX([1]ratio_ins!Z:Z,MATCH('001_population_health_zone_zs'!$B$2,[1]ratio_ins!$B:$B,0))*$G57*INDEX([1]ratio_ins!$C:$C,MATCH('001_population_health_zone_zs'!$B57,[1]ratio_ins!$B:$B,0))</f>
        <v>4246.1932240000006</v>
      </c>
      <c r="AC57" s="12">
        <f t="shared" si="0"/>
        <v>163315.12399999995</v>
      </c>
      <c r="AD57" s="10">
        <f>INDEX([1]ratio_ins!AA:AA,MATCH('001_population_health_zone_zs'!$B$2,[1]ratio_ins!$B:$B,0))*$G57*INDEX([1]ratio_ins!$D:$D,MATCH('001_population_health_zone_zs'!$B57,[1]ratio_ins!$B:$B,0))</f>
        <v>35270.10396</v>
      </c>
      <c r="AE57" s="10">
        <f>INDEX([1]ratio_ins!AB:AB,MATCH('001_population_health_zone_zs'!$B$2,[1]ratio_ins!$B:$B,0))*$G57*INDEX([1]ratio_ins!$D:$D,MATCH('001_population_health_zone_zs'!$B57,[1]ratio_ins!$B:$B,0))</f>
        <v>29055.847548000002</v>
      </c>
      <c r="AF57" s="10">
        <f>INDEX([1]ratio_ins!AC:AC,MATCH('001_population_health_zone_zs'!$B$2,[1]ratio_ins!$B:$B,0))*$G57*INDEX([1]ratio_ins!$D:$D,MATCH('001_population_health_zone_zs'!$B57,[1]ratio_ins!$B:$B,0))</f>
        <v>23009.544011999998</v>
      </c>
      <c r="AG57" s="10">
        <f>INDEX([1]ratio_ins!AD:AD,MATCH('001_population_health_zone_zs'!$B$2,[1]ratio_ins!$B:$B,0))*$G57*INDEX([1]ratio_ins!$D:$D,MATCH('001_population_health_zone_zs'!$B57,[1]ratio_ins!$B:$B,0))</f>
        <v>13940.088708000001</v>
      </c>
      <c r="AH57" s="10">
        <f>INDEX([1]ratio_ins!AE:AE,MATCH('001_population_health_zone_zs'!$B$2,[1]ratio_ins!$B:$B,0))*$G57*INDEX([1]ratio_ins!$D:$D,MATCH('001_population_health_zone_zs'!$B57,[1]ratio_ins!$B:$B,0))</f>
        <v>8364.0532247999981</v>
      </c>
      <c r="AI57" s="13">
        <f>INDEX([1]ratio_ins!AF:AF,MATCH('001_population_health_zone_zs'!$B$2,[1]ratio_ins!$B:$B,0))*$G57*INDEX([1]ratio_ins!$D:$D,MATCH('001_population_health_zone_zs'!$B57,[1]ratio_ins!$B:$B,0))</f>
        <v>95699.548744799991</v>
      </c>
      <c r="AJ57" s="10">
        <f>INDEX([1]ratio_ins!AG:AG,MATCH('001_population_health_zone_zs'!$B$2,[1]ratio_ins!$B:$B,0))*$G57*INDEX([1]ratio_ins!$D:$D,MATCH('001_population_health_zone_zs'!$B57,[1]ratio_ins!$B:$B,0))</f>
        <v>5576.0354832000003</v>
      </c>
      <c r="AK57" s="10">
        <f>INDEX([1]ratio_ins!AH:AH,MATCH('001_population_health_zone_zs'!$B$2,[1]ratio_ins!$B:$B,0))*$G57*INDEX([1]ratio_ins!$D:$D,MATCH('001_population_health_zone_zs'!$B57,[1]ratio_ins!$B:$B,0))</f>
        <v>12428.512824000001</v>
      </c>
      <c r="AL57" s="10">
        <f>INDEX([1]ratio_ins!AI:AI,MATCH('001_population_health_zone_zs'!$B$2,[1]ratio_ins!$B:$B,0))*$G57*INDEX([1]ratio_ins!$D:$D,MATCH('001_population_health_zone_zs'!$B57,[1]ratio_ins!$B:$B,0))</f>
        <v>11756.701320000002</v>
      </c>
      <c r="AM57" s="10">
        <f>INDEX([1]ratio_ins!AJ:AJ,MATCH('001_population_health_zone_zs'!$B$2,[1]ratio_ins!$B:$B,0))*$G57*INDEX([1]ratio_ins!$D:$D,MATCH('001_population_health_zone_zs'!$B57,[1]ratio_ins!$B:$B,0))</f>
        <v>10748.984064</v>
      </c>
      <c r="AN57" s="10">
        <f>INDEX([1]ratio_ins!AK:AK,MATCH('001_population_health_zone_zs'!$B$2,[1]ratio_ins!$B:$B,0))*$G57*INDEX([1]ratio_ins!$D:$D,MATCH('001_population_health_zone_zs'!$B57,[1]ratio_ins!$B:$B,0))</f>
        <v>10077.172559999999</v>
      </c>
      <c r="AO57" s="10">
        <f>INDEX([1]ratio_ins!AL:AL,MATCH('001_population_health_zone_zs'!$B$2,[1]ratio_ins!$B:$B,0))*$G57*INDEX([1]ratio_ins!$D:$D,MATCH('001_population_health_zone_zs'!$B57,[1]ratio_ins!$B:$B,0))</f>
        <v>7557.8794200000002</v>
      </c>
      <c r="AP57" s="10">
        <f>INDEX([1]ratio_ins!AM:AM,MATCH('001_population_health_zone_zs'!$B$2,[1]ratio_ins!$B:$B,0))*$G57*INDEX([1]ratio_ins!$D:$D,MATCH('001_population_health_zone_zs'!$B57,[1]ratio_ins!$B:$B,0))</f>
        <v>4870.6334039999992</v>
      </c>
      <c r="AQ57" s="10">
        <f>INDEX([1]ratio_ins!AN:AN,MATCH('001_population_health_zone_zs'!$B$2,[1]ratio_ins!$B:$B,0))*$G57*INDEX([1]ratio_ins!$D:$D,MATCH('001_population_health_zone_zs'!$B57,[1]ratio_ins!$B:$B,0))</f>
        <v>3862.9161479999998</v>
      </c>
      <c r="AR57" s="10">
        <f>INDEX([1]ratio_ins!AO:AO,MATCH('001_population_health_zone_zs'!$B$2,[1]ratio_ins!$B:$B,0))*$G57*INDEX([1]ratio_ins!$D:$D,MATCH('001_population_health_zone_zs'!$B57,[1]ratio_ins!$B:$B,0))</f>
        <v>1847.4816360000002</v>
      </c>
      <c r="AS57" s="13">
        <f>INDEX([1]ratio_ins!AP:AP,MATCH('001_population_health_zone_zs'!$B$2,[1]ratio_ins!$B:$B,0))*$G57*INDEX([1]ratio_ins!$D:$D,MATCH('001_population_health_zone_zs'!$B57,[1]ratio_ins!$B:$B,0))</f>
        <v>68726.3168592</v>
      </c>
      <c r="AT57" s="10">
        <f>INDEX([1]ratio_ins!AQ:AQ,MATCH('001_population_health_zone_zs'!$B$2,[1]ratio_ins!$B:$B,0))*$G57*INDEX([1]ratio_ins!$D:$D,MATCH('001_population_health_zone_zs'!$B57,[1]ratio_ins!$B:$B,0))</f>
        <v>1679.5287600000001</v>
      </c>
      <c r="AU57" s="10">
        <f>INDEX([1]ratio_ins!AR:AR,MATCH('001_population_health_zone_zs'!$B$2,[1]ratio_ins!$B:$B,0))*$G57*INDEX([1]ratio_ins!$D:$D,MATCH('001_population_health_zone_zs'!$B57,[1]ratio_ins!$B:$B,0))</f>
        <v>1007.717256</v>
      </c>
      <c r="AV57" s="10">
        <f>INDEX([1]ratio_ins!AS:AS,MATCH('001_population_health_zone_zs'!$B$2,[1]ratio_ins!$B:$B,0))*$G57*INDEX([1]ratio_ins!$D:$D,MATCH('001_population_health_zone_zs'!$B57,[1]ratio_ins!$B:$B,0))</f>
        <v>503.85862800000001</v>
      </c>
      <c r="AW57" s="10">
        <f>INDEX([1]ratio_ins!AT:AT,MATCH('001_population_health_zone_zs'!$B$2,[1]ratio_ins!$B:$B,0))*$G57*INDEX([1]ratio_ins!$D:$D,MATCH('001_population_health_zone_zs'!$B57,[1]ratio_ins!$B:$B,0))</f>
        <v>335.90575200000001</v>
      </c>
      <c r="AX57" s="13">
        <f>INDEX([1]ratio_ins!AU:AU,MATCH('001_population_health_zone_zs'!$B$2,[1]ratio_ins!$B:$B,0))*$G57*INDEX([1]ratio_ins!$D:$D,MATCH('001_population_health_zone_zs'!$B57,[1]ratio_ins!$B:$B,0))</f>
        <v>3527.0103959999997</v>
      </c>
      <c r="AY57" s="14">
        <f t="shared" si="1"/>
        <v>167952.87599999999</v>
      </c>
      <c r="AZ57" s="15">
        <f t="shared" si="2"/>
        <v>331267.99999999994</v>
      </c>
      <c r="BA57" s="16">
        <v>317787.94082144293</v>
      </c>
      <c r="BB57" s="10">
        <f t="shared" si="3"/>
        <v>71379.972299999994</v>
      </c>
      <c r="BC57" s="17">
        <f t="shared" si="4"/>
        <v>0.21547499999999997</v>
      </c>
      <c r="BD57" s="10">
        <f t="shared" si="5"/>
        <v>68102.406707999995</v>
      </c>
    </row>
    <row r="58" spans="1:56" x14ac:dyDescent="0.25">
      <c r="A58" s="8" t="s">
        <v>82</v>
      </c>
      <c r="B58" s="8" t="s">
        <v>83</v>
      </c>
      <c r="C58" s="8" t="s">
        <v>133</v>
      </c>
      <c r="D58" s="8" t="s">
        <v>134</v>
      </c>
      <c r="E58" s="8" t="s">
        <v>137</v>
      </c>
      <c r="F58" s="8" t="s">
        <v>138</v>
      </c>
      <c r="G58" s="9">
        <v>224724</v>
      </c>
      <c r="H58" s="10">
        <f>INDEX([1]ratio_ins!F:F,MATCH('001_population_health_zone_zs'!$B$2,[1]ratio_ins!$B:$B,0))*$G58*INDEX([1]ratio_ins!$C:$C,MATCH('001_population_health_zone_zs'!$B58,[1]ratio_ins!$B:$B,0))</f>
        <v>23154.886788</v>
      </c>
      <c r="I58" s="10">
        <f>INDEX([1]ratio_ins!G:G,MATCH('001_population_health_zone_zs'!$B$2,[1]ratio_ins!$B:$B,0))*$G58*INDEX([1]ratio_ins!$C:$C,MATCH('001_population_health_zone_zs'!$B58,[1]ratio_ins!$B:$B,0))</f>
        <v>18944.907372000001</v>
      </c>
      <c r="J58" s="10">
        <f>INDEX([1]ratio_ins!H:H,MATCH('001_population_health_zone_zs'!$B$2,[1]ratio_ins!$B:$B,0))*$G58*INDEX([1]ratio_ins!$C:$C,MATCH('001_population_health_zone_zs'!$B58,[1]ratio_ins!$B:$B,0))</f>
        <v>14956.50582</v>
      </c>
      <c r="K58" s="10">
        <f>INDEX([1]ratio_ins!I:I,MATCH('001_population_health_zone_zs'!$B$2,[1]ratio_ins!$B:$B,0))*$G58*INDEX([1]ratio_ins!$C:$C,MATCH('001_population_health_zone_zs'!$B58,[1]ratio_ins!$B:$B,0))</f>
        <v>9195.4813560000002</v>
      </c>
      <c r="L58" s="10">
        <f>INDEX([1]ratio_ins!J:J,MATCH('001_population_health_zone_zs'!$B$2,[1]ratio_ins!$B:$B,0))*$G58*INDEX([1]ratio_ins!$C:$C,MATCH('001_population_health_zone_zs'!$B58,[1]ratio_ins!$B:$B,0))</f>
        <v>5517.2888136000001</v>
      </c>
      <c r="M58" s="11">
        <f>INDEX([1]ratio_ins!K:K,MATCH('001_population_health_zone_zs'!$B$2,[1]ratio_ins!$B:$B,0))*$G58*INDEX([1]ratio_ins!$C:$C,MATCH('001_population_health_zone_zs'!$B58,[1]ratio_ins!$B:$B,0))</f>
        <v>62573.5887936</v>
      </c>
      <c r="N58" s="10">
        <f>INDEX([1]ratio_ins!L:L,MATCH('001_population_health_zone_zs'!$B$2,[1]ratio_ins!$B:$B,0))*$G58*INDEX([1]ratio_ins!$C:$C,MATCH('001_population_health_zone_zs'!$B58,[1]ratio_ins!$B:$B,0))</f>
        <v>3678.1925424000001</v>
      </c>
      <c r="O58" s="10">
        <f>INDEX([1]ratio_ins!M:M,MATCH('001_population_health_zone_zs'!$B$2,[1]ratio_ins!$B:$B,0))*$G58*INDEX([1]ratio_ins!$C:$C,MATCH('001_population_health_zone_zs'!$B58,[1]ratio_ins!$B:$B,0))</f>
        <v>7976.8031040000014</v>
      </c>
      <c r="P58" s="10">
        <f>INDEX([1]ratio_ins!N:N,MATCH('001_population_health_zone_zs'!$B$2,[1]ratio_ins!$B:$B,0))*$G58*INDEX([1]ratio_ins!$C:$C,MATCH('001_population_health_zone_zs'!$B58,[1]ratio_ins!$B:$B,0))</f>
        <v>7201.2805800000006</v>
      </c>
      <c r="Q58" s="10">
        <f>INDEX([1]ratio_ins!O:O,MATCH('001_population_health_zone_zs'!$B$2,[1]ratio_ins!$B:$B,0))*$G58*INDEX([1]ratio_ins!$C:$C,MATCH('001_population_health_zone_zs'!$B58,[1]ratio_ins!$B:$B,0))</f>
        <v>6425.7580559999988</v>
      </c>
      <c r="R58" s="10">
        <f>INDEX([1]ratio_ins!P:P,MATCH('001_population_health_zone_zs'!$B$2,[1]ratio_ins!$B:$B,0))*$G58*INDEX([1]ratio_ins!$C:$C,MATCH('001_population_health_zone_zs'!$B58,[1]ratio_ins!$B:$B,0))</f>
        <v>6314.9691240000002</v>
      </c>
      <c r="S58" s="10">
        <f>INDEX([1]ratio_ins!Q:Q,MATCH('001_population_health_zone_zs'!$B$2,[1]ratio_ins!$B:$B,0))*$G58*INDEX([1]ratio_ins!$C:$C,MATCH('001_population_health_zone_zs'!$B58,[1]ratio_ins!$B:$B,0))</f>
        <v>5317.8687360000004</v>
      </c>
      <c r="T58" s="10">
        <f>INDEX([1]ratio_ins!R:R,MATCH('001_population_health_zone_zs'!$B$2,[1]ratio_ins!$B:$B,0))*$G58*INDEX([1]ratio_ins!$C:$C,MATCH('001_population_health_zone_zs'!$B58,[1]ratio_ins!$B:$B,0))</f>
        <v>3766.8236880000004</v>
      </c>
      <c r="U58" s="10">
        <f>INDEX([1]ratio_ins!S:S,MATCH('001_population_health_zone_zs'!$B$2,[1]ratio_ins!$B:$B,0))*$G58*INDEX([1]ratio_ins!$C:$C,MATCH('001_population_health_zone_zs'!$B58,[1]ratio_ins!$B:$B,0))</f>
        <v>2991.3011640000004</v>
      </c>
      <c r="V58" s="10">
        <f>INDEX([1]ratio_ins!T:T,MATCH('001_population_health_zone_zs'!$B$2,[1]ratio_ins!$B:$B,0))*$G58*INDEX([1]ratio_ins!$C:$C,MATCH('001_population_health_zone_zs'!$B58,[1]ratio_ins!$B:$B,0))</f>
        <v>1661.8339799999999</v>
      </c>
      <c r="W58" s="11">
        <f>INDEX([1]ratio_ins!U:U,MATCH('001_population_health_zone_zs'!$B$2,[1]ratio_ins!$B:$B,0))*$G58*INDEX([1]ratio_ins!$C:$C,MATCH('001_population_health_zone_zs'!$B58,[1]ratio_ins!$B:$B,0))</f>
        <v>45334.8309744</v>
      </c>
      <c r="X58" s="10">
        <f>INDEX([1]ratio_ins!V:V,MATCH('001_population_health_zone_zs'!$B$2,[1]ratio_ins!$B:$B,0))*$G58*INDEX([1]ratio_ins!$C:$C,MATCH('001_population_health_zone_zs'!$B58,[1]ratio_ins!$B:$B,0))</f>
        <v>1329.4671840000001</v>
      </c>
      <c r="Y58" s="10">
        <f>INDEX([1]ratio_ins!W:W,MATCH('001_population_health_zone_zs'!$B$2,[1]ratio_ins!$B:$B,0))*$G58*INDEX([1]ratio_ins!$C:$C,MATCH('001_population_health_zone_zs'!$B58,[1]ratio_ins!$B:$B,0))</f>
        <v>886.31145600000002</v>
      </c>
      <c r="Z58" s="10">
        <f>INDEX([1]ratio_ins!X:X,MATCH('001_population_health_zone_zs'!$B$2,[1]ratio_ins!$B:$B,0))*$G58*INDEX([1]ratio_ins!$C:$C,MATCH('001_population_health_zone_zs'!$B58,[1]ratio_ins!$B:$B,0))</f>
        <v>443.15572800000001</v>
      </c>
      <c r="AA58" s="10">
        <f>INDEX([1]ratio_ins!Y:Y,MATCH('001_population_health_zone_zs'!$B$2,[1]ratio_ins!$B:$B,0))*$G58*INDEX([1]ratio_ins!$C:$C,MATCH('001_population_health_zone_zs'!$B58,[1]ratio_ins!$B:$B,0))</f>
        <v>221.57786400000001</v>
      </c>
      <c r="AB58" s="11">
        <f>INDEX([1]ratio_ins!Z:Z,MATCH('001_population_health_zone_zs'!$B$2,[1]ratio_ins!$B:$B,0))*$G58*INDEX([1]ratio_ins!$C:$C,MATCH('001_population_health_zone_zs'!$B58,[1]ratio_ins!$B:$B,0))</f>
        <v>2880.512232</v>
      </c>
      <c r="AC58" s="12">
        <f t="shared" si="0"/>
        <v>110788.93199999999</v>
      </c>
      <c r="AD58" s="10">
        <f>INDEX([1]ratio_ins!AA:AA,MATCH('001_population_health_zone_zs'!$B$2,[1]ratio_ins!$B:$B,0))*$G58*INDEX([1]ratio_ins!$D:$D,MATCH('001_population_health_zone_zs'!$B58,[1]ratio_ins!$B:$B,0))</f>
        <v>23926.364280000002</v>
      </c>
      <c r="AE58" s="10">
        <f>INDEX([1]ratio_ins!AB:AB,MATCH('001_population_health_zone_zs'!$B$2,[1]ratio_ins!$B:$B,0))*$G58*INDEX([1]ratio_ins!$D:$D,MATCH('001_population_health_zone_zs'!$B58,[1]ratio_ins!$B:$B,0))</f>
        <v>19710.766764</v>
      </c>
      <c r="AF58" s="10">
        <f>INDEX([1]ratio_ins!AC:AC,MATCH('001_population_health_zone_zs'!$B$2,[1]ratio_ins!$B:$B,0))*$G58*INDEX([1]ratio_ins!$D:$D,MATCH('001_population_health_zone_zs'!$B58,[1]ratio_ins!$B:$B,0))</f>
        <v>15609.104315999997</v>
      </c>
      <c r="AG58" s="10">
        <f>INDEX([1]ratio_ins!AD:AD,MATCH('001_population_health_zone_zs'!$B$2,[1]ratio_ins!$B:$B,0))*$G58*INDEX([1]ratio_ins!$D:$D,MATCH('001_population_health_zone_zs'!$B58,[1]ratio_ins!$B:$B,0))</f>
        <v>9456.6106440000003</v>
      </c>
      <c r="AH58" s="10">
        <f>INDEX([1]ratio_ins!AE:AE,MATCH('001_population_health_zone_zs'!$B$2,[1]ratio_ins!$B:$B,0))*$G58*INDEX([1]ratio_ins!$D:$D,MATCH('001_population_health_zone_zs'!$B58,[1]ratio_ins!$B:$B,0))</f>
        <v>5673.9663863999995</v>
      </c>
      <c r="AI58" s="13">
        <f>INDEX([1]ratio_ins!AF:AF,MATCH('001_population_health_zone_zs'!$B$2,[1]ratio_ins!$B:$B,0))*$G58*INDEX([1]ratio_ins!$D:$D,MATCH('001_population_health_zone_zs'!$B58,[1]ratio_ins!$B:$B,0))</f>
        <v>64920.201746400002</v>
      </c>
      <c r="AJ58" s="10">
        <f>INDEX([1]ratio_ins!AG:AG,MATCH('001_population_health_zone_zs'!$B$2,[1]ratio_ins!$B:$B,0))*$G58*INDEX([1]ratio_ins!$D:$D,MATCH('001_population_health_zone_zs'!$B58,[1]ratio_ins!$B:$B,0))</f>
        <v>3782.6442575999999</v>
      </c>
      <c r="AK58" s="10">
        <f>INDEX([1]ratio_ins!AH:AH,MATCH('001_population_health_zone_zs'!$B$2,[1]ratio_ins!$B:$B,0))*$G58*INDEX([1]ratio_ins!$D:$D,MATCH('001_population_health_zone_zs'!$B58,[1]ratio_ins!$B:$B,0))</f>
        <v>8431.1950320000014</v>
      </c>
      <c r="AL58" s="10">
        <f>INDEX([1]ratio_ins!AI:AI,MATCH('001_population_health_zone_zs'!$B$2,[1]ratio_ins!$B:$B,0))*$G58*INDEX([1]ratio_ins!$D:$D,MATCH('001_population_health_zone_zs'!$B58,[1]ratio_ins!$B:$B,0))</f>
        <v>7975.4547600000014</v>
      </c>
      <c r="AM58" s="10">
        <f>INDEX([1]ratio_ins!AJ:AJ,MATCH('001_population_health_zone_zs'!$B$2,[1]ratio_ins!$B:$B,0))*$G58*INDEX([1]ratio_ins!$D:$D,MATCH('001_population_health_zone_zs'!$B58,[1]ratio_ins!$B:$B,0))</f>
        <v>7291.844352000001</v>
      </c>
      <c r="AN58" s="10">
        <f>INDEX([1]ratio_ins!AK:AK,MATCH('001_population_health_zone_zs'!$B$2,[1]ratio_ins!$B:$B,0))*$G58*INDEX([1]ratio_ins!$D:$D,MATCH('001_population_health_zone_zs'!$B58,[1]ratio_ins!$B:$B,0))</f>
        <v>6836.1040799999992</v>
      </c>
      <c r="AO58" s="10">
        <f>INDEX([1]ratio_ins!AL:AL,MATCH('001_population_health_zone_zs'!$B$2,[1]ratio_ins!$B:$B,0))*$G58*INDEX([1]ratio_ins!$D:$D,MATCH('001_population_health_zone_zs'!$B58,[1]ratio_ins!$B:$B,0))</f>
        <v>5127.0780599999998</v>
      </c>
      <c r="AP58" s="10">
        <f>INDEX([1]ratio_ins!AM:AM,MATCH('001_population_health_zone_zs'!$B$2,[1]ratio_ins!$B:$B,0))*$G58*INDEX([1]ratio_ins!$D:$D,MATCH('001_population_health_zone_zs'!$B58,[1]ratio_ins!$B:$B,0))</f>
        <v>3304.1169719999998</v>
      </c>
      <c r="AQ58" s="10">
        <f>INDEX([1]ratio_ins!AN:AN,MATCH('001_population_health_zone_zs'!$B$2,[1]ratio_ins!$B:$B,0))*$G58*INDEX([1]ratio_ins!$D:$D,MATCH('001_population_health_zone_zs'!$B58,[1]ratio_ins!$B:$B,0))</f>
        <v>2620.5065640000003</v>
      </c>
      <c r="AR58" s="10">
        <f>INDEX([1]ratio_ins!AO:AO,MATCH('001_population_health_zone_zs'!$B$2,[1]ratio_ins!$B:$B,0))*$G58*INDEX([1]ratio_ins!$D:$D,MATCH('001_population_health_zone_zs'!$B58,[1]ratio_ins!$B:$B,0))</f>
        <v>1253.2857480000002</v>
      </c>
      <c r="AS58" s="13">
        <f>INDEX([1]ratio_ins!AP:AP,MATCH('001_population_health_zone_zs'!$B$2,[1]ratio_ins!$B:$B,0))*$G58*INDEX([1]ratio_ins!$D:$D,MATCH('001_population_health_zone_zs'!$B58,[1]ratio_ins!$B:$B,0))</f>
        <v>46622.229825600007</v>
      </c>
      <c r="AT58" s="10">
        <f>INDEX([1]ratio_ins!AQ:AQ,MATCH('001_population_health_zone_zs'!$B$2,[1]ratio_ins!$B:$B,0))*$G58*INDEX([1]ratio_ins!$D:$D,MATCH('001_population_health_zone_zs'!$B58,[1]ratio_ins!$B:$B,0))</f>
        <v>1139.3506800000002</v>
      </c>
      <c r="AU58" s="10">
        <f>INDEX([1]ratio_ins!AR:AR,MATCH('001_population_health_zone_zs'!$B$2,[1]ratio_ins!$B:$B,0))*$G58*INDEX([1]ratio_ins!$D:$D,MATCH('001_population_health_zone_zs'!$B58,[1]ratio_ins!$B:$B,0))</f>
        <v>683.61040800000001</v>
      </c>
      <c r="AV58" s="10">
        <f>INDEX([1]ratio_ins!AS:AS,MATCH('001_population_health_zone_zs'!$B$2,[1]ratio_ins!$B:$B,0))*$G58*INDEX([1]ratio_ins!$D:$D,MATCH('001_population_health_zone_zs'!$B58,[1]ratio_ins!$B:$B,0))</f>
        <v>341.805204</v>
      </c>
      <c r="AW58" s="10">
        <f>INDEX([1]ratio_ins!AT:AT,MATCH('001_population_health_zone_zs'!$B$2,[1]ratio_ins!$B:$B,0))*$G58*INDEX([1]ratio_ins!$D:$D,MATCH('001_population_health_zone_zs'!$B58,[1]ratio_ins!$B:$B,0))</f>
        <v>227.87013600000003</v>
      </c>
      <c r="AX58" s="13">
        <f>INDEX([1]ratio_ins!AU:AU,MATCH('001_population_health_zone_zs'!$B$2,[1]ratio_ins!$B:$B,0))*$G58*INDEX([1]ratio_ins!$D:$D,MATCH('001_population_health_zone_zs'!$B58,[1]ratio_ins!$B:$B,0))</f>
        <v>2392.6364279999998</v>
      </c>
      <c r="AY58" s="14">
        <f t="shared" si="1"/>
        <v>113935.068</v>
      </c>
      <c r="AZ58" s="15">
        <f t="shared" si="2"/>
        <v>224724</v>
      </c>
      <c r="BA58" s="16">
        <v>215579.91490068761</v>
      </c>
      <c r="BB58" s="10">
        <f t="shared" si="3"/>
        <v>48422.403900000005</v>
      </c>
      <c r="BC58" s="17">
        <f t="shared" si="4"/>
        <v>0.21547500000000003</v>
      </c>
      <c r="BD58" s="10">
        <f t="shared" si="5"/>
        <v>46198.984644000011</v>
      </c>
    </row>
    <row r="59" spans="1:56" x14ac:dyDescent="0.25">
      <c r="A59" s="8" t="s">
        <v>82</v>
      </c>
      <c r="B59" s="8" t="s">
        <v>83</v>
      </c>
      <c r="C59" s="8" t="s">
        <v>133</v>
      </c>
      <c r="D59" s="8" t="s">
        <v>134</v>
      </c>
      <c r="E59" s="8" t="s">
        <v>139</v>
      </c>
      <c r="F59" s="8" t="s">
        <v>140</v>
      </c>
      <c r="G59" s="9">
        <v>279846</v>
      </c>
      <c r="H59" s="10">
        <f>INDEX([1]ratio_ins!F:F,MATCH('001_population_health_zone_zs'!$B$2,[1]ratio_ins!$B:$B,0))*$G59*INDEX([1]ratio_ins!$C:$C,MATCH('001_population_health_zone_zs'!$B59,[1]ratio_ins!$B:$B,0))</f>
        <v>28834.492301999999</v>
      </c>
      <c r="I59" s="10">
        <f>INDEX([1]ratio_ins!G:G,MATCH('001_population_health_zone_zs'!$B$2,[1]ratio_ins!$B:$B,0))*$G59*INDEX([1]ratio_ins!$C:$C,MATCH('001_population_health_zone_zs'!$B59,[1]ratio_ins!$B:$B,0))</f>
        <v>23591.857338000002</v>
      </c>
      <c r="J59" s="10">
        <f>INDEX([1]ratio_ins!H:H,MATCH('001_population_health_zone_zs'!$B$2,[1]ratio_ins!$B:$B,0))*$G59*INDEX([1]ratio_ins!$C:$C,MATCH('001_population_health_zone_zs'!$B59,[1]ratio_ins!$B:$B,0))</f>
        <v>18625.150529999999</v>
      </c>
      <c r="K59" s="10">
        <f>INDEX([1]ratio_ins!I:I,MATCH('001_population_health_zone_zs'!$B$2,[1]ratio_ins!$B:$B,0))*$G59*INDEX([1]ratio_ins!$C:$C,MATCH('001_population_health_zone_zs'!$B59,[1]ratio_ins!$B:$B,0))</f>
        <v>11451.018474</v>
      </c>
      <c r="L59" s="10">
        <f>INDEX([1]ratio_ins!J:J,MATCH('001_population_health_zone_zs'!$B$2,[1]ratio_ins!$B:$B,0))*$G59*INDEX([1]ratio_ins!$C:$C,MATCH('001_population_health_zone_zs'!$B59,[1]ratio_ins!$B:$B,0))</f>
        <v>6870.6110843999995</v>
      </c>
      <c r="M59" s="11">
        <f>INDEX([1]ratio_ins!K:K,MATCH('001_population_health_zone_zs'!$B$2,[1]ratio_ins!$B:$B,0))*$G59*INDEX([1]ratio_ins!$C:$C,MATCH('001_population_health_zone_zs'!$B59,[1]ratio_ins!$B:$B,0))</f>
        <v>77922.111254399992</v>
      </c>
      <c r="N59" s="10">
        <f>INDEX([1]ratio_ins!L:L,MATCH('001_population_health_zone_zs'!$B$2,[1]ratio_ins!$B:$B,0))*$G59*INDEX([1]ratio_ins!$C:$C,MATCH('001_population_health_zone_zs'!$B59,[1]ratio_ins!$B:$B,0))</f>
        <v>4580.4073896</v>
      </c>
      <c r="O59" s="10">
        <f>INDEX([1]ratio_ins!M:M,MATCH('001_population_health_zone_zs'!$B$2,[1]ratio_ins!$B:$B,0))*$G59*INDEX([1]ratio_ins!$C:$C,MATCH('001_population_health_zone_zs'!$B59,[1]ratio_ins!$B:$B,0))</f>
        <v>9933.4136160000016</v>
      </c>
      <c r="P59" s="10">
        <f>INDEX([1]ratio_ins!N:N,MATCH('001_population_health_zone_zs'!$B$2,[1]ratio_ins!$B:$B,0))*$G59*INDEX([1]ratio_ins!$C:$C,MATCH('001_population_health_zone_zs'!$B59,[1]ratio_ins!$B:$B,0))</f>
        <v>8967.6650700000009</v>
      </c>
      <c r="Q59" s="10">
        <f>INDEX([1]ratio_ins!O:O,MATCH('001_population_health_zone_zs'!$B$2,[1]ratio_ins!$B:$B,0))*$G59*INDEX([1]ratio_ins!$C:$C,MATCH('001_population_health_zone_zs'!$B59,[1]ratio_ins!$B:$B,0))</f>
        <v>8001.9165239999993</v>
      </c>
      <c r="R59" s="10">
        <f>INDEX([1]ratio_ins!P:P,MATCH('001_population_health_zone_zs'!$B$2,[1]ratio_ins!$B:$B,0))*$G59*INDEX([1]ratio_ins!$C:$C,MATCH('001_population_health_zone_zs'!$B59,[1]ratio_ins!$B:$B,0))</f>
        <v>7863.9524459999993</v>
      </c>
      <c r="S59" s="10">
        <f>INDEX([1]ratio_ins!Q:Q,MATCH('001_population_health_zone_zs'!$B$2,[1]ratio_ins!$B:$B,0))*$G59*INDEX([1]ratio_ins!$C:$C,MATCH('001_population_health_zone_zs'!$B59,[1]ratio_ins!$B:$B,0))</f>
        <v>6622.2757439999996</v>
      </c>
      <c r="T59" s="10">
        <f>INDEX([1]ratio_ins!R:R,MATCH('001_population_health_zone_zs'!$B$2,[1]ratio_ins!$B:$B,0))*$G59*INDEX([1]ratio_ins!$C:$C,MATCH('001_population_health_zone_zs'!$B59,[1]ratio_ins!$B:$B,0))</f>
        <v>4690.7786520000009</v>
      </c>
      <c r="U59" s="10">
        <f>INDEX([1]ratio_ins!S:S,MATCH('001_population_health_zone_zs'!$B$2,[1]ratio_ins!$B:$B,0))*$G59*INDEX([1]ratio_ins!$C:$C,MATCH('001_population_health_zone_zs'!$B59,[1]ratio_ins!$B:$B,0))</f>
        <v>3725.0301060000002</v>
      </c>
      <c r="V59" s="10">
        <f>INDEX([1]ratio_ins!T:T,MATCH('001_population_health_zone_zs'!$B$2,[1]ratio_ins!$B:$B,0))*$G59*INDEX([1]ratio_ins!$C:$C,MATCH('001_population_health_zone_zs'!$B59,[1]ratio_ins!$B:$B,0))</f>
        <v>2069.4611699999996</v>
      </c>
      <c r="W59" s="11">
        <f>INDEX([1]ratio_ins!U:U,MATCH('001_population_health_zone_zs'!$B$2,[1]ratio_ins!$B:$B,0))*$G59*INDEX([1]ratio_ins!$C:$C,MATCH('001_population_health_zone_zs'!$B59,[1]ratio_ins!$B:$B,0))</f>
        <v>56454.900717600001</v>
      </c>
      <c r="X59" s="10">
        <f>INDEX([1]ratio_ins!V:V,MATCH('001_population_health_zone_zs'!$B$2,[1]ratio_ins!$B:$B,0))*$G59*INDEX([1]ratio_ins!$C:$C,MATCH('001_population_health_zone_zs'!$B59,[1]ratio_ins!$B:$B,0))</f>
        <v>1655.5689359999999</v>
      </c>
      <c r="Y59" s="10">
        <f>INDEX([1]ratio_ins!W:W,MATCH('001_population_health_zone_zs'!$B$2,[1]ratio_ins!$B:$B,0))*$G59*INDEX([1]ratio_ins!$C:$C,MATCH('001_population_health_zone_zs'!$B59,[1]ratio_ins!$B:$B,0))</f>
        <v>1103.712624</v>
      </c>
      <c r="Z59" s="10">
        <f>INDEX([1]ratio_ins!X:X,MATCH('001_population_health_zone_zs'!$B$2,[1]ratio_ins!$B:$B,0))*$G59*INDEX([1]ratio_ins!$C:$C,MATCH('001_population_health_zone_zs'!$B59,[1]ratio_ins!$B:$B,0))</f>
        <v>551.856312</v>
      </c>
      <c r="AA59" s="10">
        <f>INDEX([1]ratio_ins!Y:Y,MATCH('001_population_health_zone_zs'!$B$2,[1]ratio_ins!$B:$B,0))*$G59*INDEX([1]ratio_ins!$C:$C,MATCH('001_population_health_zone_zs'!$B59,[1]ratio_ins!$B:$B,0))</f>
        <v>275.928156</v>
      </c>
      <c r="AB59" s="11">
        <f>INDEX([1]ratio_ins!Z:Z,MATCH('001_population_health_zone_zs'!$B$2,[1]ratio_ins!$B:$B,0))*$G59*INDEX([1]ratio_ins!$C:$C,MATCH('001_population_health_zone_zs'!$B59,[1]ratio_ins!$B:$B,0))</f>
        <v>3587.0660280000006</v>
      </c>
      <c r="AC59" s="12">
        <f t="shared" si="0"/>
        <v>137964.07800000001</v>
      </c>
      <c r="AD59" s="10">
        <f>INDEX([1]ratio_ins!AA:AA,MATCH('001_population_health_zone_zs'!$B$2,[1]ratio_ins!$B:$B,0))*$G59*INDEX([1]ratio_ins!$D:$D,MATCH('001_population_health_zone_zs'!$B59,[1]ratio_ins!$B:$B,0))</f>
        <v>29795.20362</v>
      </c>
      <c r="AE59" s="10">
        <f>INDEX([1]ratio_ins!AB:AB,MATCH('001_population_health_zone_zs'!$B$2,[1]ratio_ins!$B:$B,0))*$G59*INDEX([1]ratio_ins!$D:$D,MATCH('001_population_health_zone_zs'!$B59,[1]ratio_ins!$B:$B,0))</f>
        <v>24545.572506000004</v>
      </c>
      <c r="AF59" s="10">
        <f>INDEX([1]ratio_ins!AC:AC,MATCH('001_population_health_zone_zs'!$B$2,[1]ratio_ins!$B:$B,0))*$G59*INDEX([1]ratio_ins!$D:$D,MATCH('001_population_health_zone_zs'!$B59,[1]ratio_ins!$B:$B,0))</f>
        <v>19437.823313999997</v>
      </c>
      <c r="AG59" s="10">
        <f>INDEX([1]ratio_ins!AD:AD,MATCH('001_population_health_zone_zs'!$B$2,[1]ratio_ins!$B:$B,0))*$G59*INDEX([1]ratio_ins!$D:$D,MATCH('001_population_health_zone_zs'!$B59,[1]ratio_ins!$B:$B,0))</f>
        <v>11776.199526</v>
      </c>
      <c r="AH59" s="10">
        <f>INDEX([1]ratio_ins!AE:AE,MATCH('001_population_health_zone_zs'!$B$2,[1]ratio_ins!$B:$B,0))*$G59*INDEX([1]ratio_ins!$D:$D,MATCH('001_population_health_zone_zs'!$B59,[1]ratio_ins!$B:$B,0))</f>
        <v>7065.7197156000002</v>
      </c>
      <c r="AI59" s="13">
        <f>INDEX([1]ratio_ins!AF:AF,MATCH('001_population_health_zone_zs'!$B$2,[1]ratio_ins!$B:$B,0))*$G59*INDEX([1]ratio_ins!$D:$D,MATCH('001_population_health_zone_zs'!$B59,[1]ratio_ins!$B:$B,0))</f>
        <v>80844.319155599995</v>
      </c>
      <c r="AJ59" s="10">
        <f>INDEX([1]ratio_ins!AG:AG,MATCH('001_population_health_zone_zs'!$B$2,[1]ratio_ins!$B:$B,0))*$G59*INDEX([1]ratio_ins!$D:$D,MATCH('001_population_health_zone_zs'!$B59,[1]ratio_ins!$B:$B,0))</f>
        <v>4710.4798103999992</v>
      </c>
      <c r="AK59" s="10">
        <f>INDEX([1]ratio_ins!AH:AH,MATCH('001_population_health_zone_zs'!$B$2,[1]ratio_ins!$B:$B,0))*$G59*INDEX([1]ratio_ins!$D:$D,MATCH('001_population_health_zone_zs'!$B59,[1]ratio_ins!$B:$B,0))</f>
        <v>10499.262228000001</v>
      </c>
      <c r="AL59" s="10">
        <f>INDEX([1]ratio_ins!AI:AI,MATCH('001_population_health_zone_zs'!$B$2,[1]ratio_ins!$B:$B,0))*$G59*INDEX([1]ratio_ins!$D:$D,MATCH('001_population_health_zone_zs'!$B59,[1]ratio_ins!$B:$B,0))</f>
        <v>9931.7345400000013</v>
      </c>
      <c r="AM59" s="10">
        <f>INDEX([1]ratio_ins!AJ:AJ,MATCH('001_population_health_zone_zs'!$B$2,[1]ratio_ins!$B:$B,0))*$G59*INDEX([1]ratio_ins!$D:$D,MATCH('001_population_health_zone_zs'!$B59,[1]ratio_ins!$B:$B,0))</f>
        <v>9080.4430080000002</v>
      </c>
      <c r="AN59" s="10">
        <f>INDEX([1]ratio_ins!AK:AK,MATCH('001_population_health_zone_zs'!$B$2,[1]ratio_ins!$B:$B,0))*$G59*INDEX([1]ratio_ins!$D:$D,MATCH('001_population_health_zone_zs'!$B59,[1]ratio_ins!$B:$B,0))</f>
        <v>8512.9153200000001</v>
      </c>
      <c r="AO59" s="10">
        <f>INDEX([1]ratio_ins!AL:AL,MATCH('001_population_health_zone_zs'!$B$2,[1]ratio_ins!$B:$B,0))*$G59*INDEX([1]ratio_ins!$D:$D,MATCH('001_population_health_zone_zs'!$B59,[1]ratio_ins!$B:$B,0))</f>
        <v>6384.68649</v>
      </c>
      <c r="AP59" s="10">
        <f>INDEX([1]ratio_ins!AM:AM,MATCH('001_population_health_zone_zs'!$B$2,[1]ratio_ins!$B:$B,0))*$G59*INDEX([1]ratio_ins!$D:$D,MATCH('001_population_health_zone_zs'!$B59,[1]ratio_ins!$B:$B,0))</f>
        <v>4114.5757379999995</v>
      </c>
      <c r="AQ59" s="10">
        <f>INDEX([1]ratio_ins!AN:AN,MATCH('001_population_health_zone_zs'!$B$2,[1]ratio_ins!$B:$B,0))*$G59*INDEX([1]ratio_ins!$D:$D,MATCH('001_population_health_zone_zs'!$B59,[1]ratio_ins!$B:$B,0))</f>
        <v>3263.2842059999998</v>
      </c>
      <c r="AR59" s="10">
        <f>INDEX([1]ratio_ins!AO:AO,MATCH('001_population_health_zone_zs'!$B$2,[1]ratio_ins!$B:$B,0))*$G59*INDEX([1]ratio_ins!$D:$D,MATCH('001_population_health_zone_zs'!$B59,[1]ratio_ins!$B:$B,0))</f>
        <v>1560.7011420000003</v>
      </c>
      <c r="AS59" s="13">
        <f>INDEX([1]ratio_ins!AP:AP,MATCH('001_population_health_zone_zs'!$B$2,[1]ratio_ins!$B:$B,0))*$G59*INDEX([1]ratio_ins!$D:$D,MATCH('001_population_health_zone_zs'!$B59,[1]ratio_ins!$B:$B,0))</f>
        <v>58058.082482400001</v>
      </c>
      <c r="AT59" s="10">
        <f>INDEX([1]ratio_ins!AQ:AQ,MATCH('001_population_health_zone_zs'!$B$2,[1]ratio_ins!$B:$B,0))*$G59*INDEX([1]ratio_ins!$D:$D,MATCH('001_population_health_zone_zs'!$B59,[1]ratio_ins!$B:$B,0))</f>
        <v>1418.8192200000001</v>
      </c>
      <c r="AU59" s="10">
        <f>INDEX([1]ratio_ins!AR:AR,MATCH('001_population_health_zone_zs'!$B$2,[1]ratio_ins!$B:$B,0))*$G59*INDEX([1]ratio_ins!$D:$D,MATCH('001_population_health_zone_zs'!$B59,[1]ratio_ins!$B:$B,0))</f>
        <v>851.29153200000007</v>
      </c>
      <c r="AV59" s="10">
        <f>INDEX([1]ratio_ins!AS:AS,MATCH('001_population_health_zone_zs'!$B$2,[1]ratio_ins!$B:$B,0))*$G59*INDEX([1]ratio_ins!$D:$D,MATCH('001_population_health_zone_zs'!$B59,[1]ratio_ins!$B:$B,0))</f>
        <v>425.64576600000004</v>
      </c>
      <c r="AW59" s="10">
        <f>INDEX([1]ratio_ins!AT:AT,MATCH('001_population_health_zone_zs'!$B$2,[1]ratio_ins!$B:$B,0))*$G59*INDEX([1]ratio_ins!$D:$D,MATCH('001_population_health_zone_zs'!$B59,[1]ratio_ins!$B:$B,0))</f>
        <v>283.76384400000001</v>
      </c>
      <c r="AX59" s="13">
        <f>INDEX([1]ratio_ins!AU:AU,MATCH('001_population_health_zone_zs'!$B$2,[1]ratio_ins!$B:$B,0))*$G59*INDEX([1]ratio_ins!$D:$D,MATCH('001_population_health_zone_zs'!$B59,[1]ratio_ins!$B:$B,0))</f>
        <v>2979.5203619999997</v>
      </c>
      <c r="AY59" s="14">
        <f t="shared" si="1"/>
        <v>141881.92199999999</v>
      </c>
      <c r="AZ59" s="15">
        <f t="shared" si="2"/>
        <v>279846</v>
      </c>
      <c r="BA59" s="16">
        <v>268459.16223441082</v>
      </c>
      <c r="BB59" s="10">
        <f t="shared" si="3"/>
        <v>60299.816850000003</v>
      </c>
      <c r="BC59" s="17">
        <f t="shared" si="4"/>
        <v>0.215475</v>
      </c>
      <c r="BD59" s="10">
        <f t="shared" si="5"/>
        <v>57531.020526</v>
      </c>
    </row>
    <row r="60" spans="1:56" x14ac:dyDescent="0.25">
      <c r="A60" s="8" t="s">
        <v>82</v>
      </c>
      <c r="B60" s="8" t="s">
        <v>83</v>
      </c>
      <c r="C60" s="8" t="s">
        <v>133</v>
      </c>
      <c r="D60" s="8" t="s">
        <v>134</v>
      </c>
      <c r="E60" s="8" t="s">
        <v>141</v>
      </c>
      <c r="F60" s="8" t="s">
        <v>142</v>
      </c>
      <c r="G60" s="9">
        <v>337793</v>
      </c>
      <c r="H60" s="10">
        <f>INDEX([1]ratio_ins!F:F,MATCH('001_population_health_zone_zs'!$B$2,[1]ratio_ins!$B:$B,0))*$G60*INDEX([1]ratio_ins!$C:$C,MATCH('001_population_health_zone_zs'!$B60,[1]ratio_ins!$B:$B,0))</f>
        <v>34805.177340999995</v>
      </c>
      <c r="I60" s="10">
        <f>INDEX([1]ratio_ins!G:G,MATCH('001_population_health_zone_zs'!$B$2,[1]ratio_ins!$B:$B,0))*$G60*INDEX([1]ratio_ins!$C:$C,MATCH('001_population_health_zone_zs'!$B60,[1]ratio_ins!$B:$B,0))</f>
        <v>28476.963279</v>
      </c>
      <c r="J60" s="10">
        <f>INDEX([1]ratio_ins!H:H,MATCH('001_population_health_zone_zs'!$B$2,[1]ratio_ins!$B:$B,0))*$G60*INDEX([1]ratio_ins!$C:$C,MATCH('001_population_health_zone_zs'!$B60,[1]ratio_ins!$B:$B,0))</f>
        <v>22481.813115000001</v>
      </c>
      <c r="K60" s="10">
        <f>INDEX([1]ratio_ins!I:I,MATCH('001_population_health_zone_zs'!$B$2,[1]ratio_ins!$B:$B,0))*$G60*INDEX([1]ratio_ins!$C:$C,MATCH('001_population_health_zone_zs'!$B60,[1]ratio_ins!$B:$B,0))</f>
        <v>13822.151767000001</v>
      </c>
      <c r="L60" s="10">
        <f>INDEX([1]ratio_ins!J:J,MATCH('001_population_health_zone_zs'!$B$2,[1]ratio_ins!$B:$B,0))*$G60*INDEX([1]ratio_ins!$C:$C,MATCH('001_population_health_zone_zs'!$B60,[1]ratio_ins!$B:$B,0))</f>
        <v>8293.2910601999993</v>
      </c>
      <c r="M60" s="11">
        <f>INDEX([1]ratio_ins!K:K,MATCH('001_population_health_zone_zs'!$B$2,[1]ratio_ins!$B:$B,0))*$G60*INDEX([1]ratio_ins!$C:$C,MATCH('001_population_health_zone_zs'!$B60,[1]ratio_ins!$B:$B,0))</f>
        <v>94057.244795199993</v>
      </c>
      <c r="N60" s="10">
        <f>INDEX([1]ratio_ins!L:L,MATCH('001_population_health_zone_zs'!$B$2,[1]ratio_ins!$B:$B,0))*$G60*INDEX([1]ratio_ins!$C:$C,MATCH('001_population_health_zone_zs'!$B60,[1]ratio_ins!$B:$B,0))</f>
        <v>5528.8607068000001</v>
      </c>
      <c r="O60" s="10">
        <f>INDEX([1]ratio_ins!M:M,MATCH('001_population_health_zone_zs'!$B$2,[1]ratio_ins!$B:$B,0))*$G60*INDEX([1]ratio_ins!$C:$C,MATCH('001_population_health_zone_zs'!$B60,[1]ratio_ins!$B:$B,0))</f>
        <v>11990.300328000001</v>
      </c>
      <c r="P60" s="10">
        <f>INDEX([1]ratio_ins!N:N,MATCH('001_population_health_zone_zs'!$B$2,[1]ratio_ins!$B:$B,0))*$G60*INDEX([1]ratio_ins!$C:$C,MATCH('001_population_health_zone_zs'!$B60,[1]ratio_ins!$B:$B,0))</f>
        <v>10824.576685</v>
      </c>
      <c r="Q60" s="10">
        <f>INDEX([1]ratio_ins!O:O,MATCH('001_population_health_zone_zs'!$B$2,[1]ratio_ins!$B:$B,0))*$G60*INDEX([1]ratio_ins!$C:$C,MATCH('001_population_health_zone_zs'!$B60,[1]ratio_ins!$B:$B,0))</f>
        <v>9658.8530419999988</v>
      </c>
      <c r="R60" s="10">
        <f>INDEX([1]ratio_ins!P:P,MATCH('001_population_health_zone_zs'!$B$2,[1]ratio_ins!$B:$B,0))*$G60*INDEX([1]ratio_ins!$C:$C,MATCH('001_population_health_zone_zs'!$B60,[1]ratio_ins!$B:$B,0))</f>
        <v>9492.3210930000005</v>
      </c>
      <c r="S60" s="10">
        <f>INDEX([1]ratio_ins!Q:Q,MATCH('001_population_health_zone_zs'!$B$2,[1]ratio_ins!$B:$B,0))*$G60*INDEX([1]ratio_ins!$C:$C,MATCH('001_population_health_zone_zs'!$B60,[1]ratio_ins!$B:$B,0))</f>
        <v>7993.5335519999999</v>
      </c>
      <c r="T60" s="10">
        <f>INDEX([1]ratio_ins!R:R,MATCH('001_population_health_zone_zs'!$B$2,[1]ratio_ins!$B:$B,0))*$G60*INDEX([1]ratio_ins!$C:$C,MATCH('001_population_health_zone_zs'!$B60,[1]ratio_ins!$B:$B,0))</f>
        <v>5662.0862660000003</v>
      </c>
      <c r="U60" s="10">
        <f>INDEX([1]ratio_ins!S:S,MATCH('001_population_health_zone_zs'!$B$2,[1]ratio_ins!$B:$B,0))*$G60*INDEX([1]ratio_ins!$C:$C,MATCH('001_population_health_zone_zs'!$B60,[1]ratio_ins!$B:$B,0))</f>
        <v>4496.3626230000009</v>
      </c>
      <c r="V60" s="10">
        <f>INDEX([1]ratio_ins!T:T,MATCH('001_population_health_zone_zs'!$B$2,[1]ratio_ins!$B:$B,0))*$G60*INDEX([1]ratio_ins!$C:$C,MATCH('001_population_health_zone_zs'!$B60,[1]ratio_ins!$B:$B,0))</f>
        <v>2497.9792349999998</v>
      </c>
      <c r="W60" s="11">
        <f>INDEX([1]ratio_ins!U:U,MATCH('001_population_health_zone_zs'!$B$2,[1]ratio_ins!$B:$B,0))*$G60*INDEX([1]ratio_ins!$C:$C,MATCH('001_population_health_zone_zs'!$B60,[1]ratio_ins!$B:$B,0))</f>
        <v>68144.873530799989</v>
      </c>
      <c r="X60" s="10">
        <f>INDEX([1]ratio_ins!V:V,MATCH('001_population_health_zone_zs'!$B$2,[1]ratio_ins!$B:$B,0))*$G60*INDEX([1]ratio_ins!$C:$C,MATCH('001_population_health_zone_zs'!$B60,[1]ratio_ins!$B:$B,0))</f>
        <v>1998.383388</v>
      </c>
      <c r="Y60" s="10">
        <f>INDEX([1]ratio_ins!W:W,MATCH('001_population_health_zone_zs'!$B$2,[1]ratio_ins!$B:$B,0))*$G60*INDEX([1]ratio_ins!$C:$C,MATCH('001_population_health_zone_zs'!$B60,[1]ratio_ins!$B:$B,0))</f>
        <v>1332.255592</v>
      </c>
      <c r="Z60" s="10">
        <f>INDEX([1]ratio_ins!X:X,MATCH('001_population_health_zone_zs'!$B$2,[1]ratio_ins!$B:$B,0))*$G60*INDEX([1]ratio_ins!$C:$C,MATCH('001_population_health_zone_zs'!$B60,[1]ratio_ins!$B:$B,0))</f>
        <v>666.12779599999999</v>
      </c>
      <c r="AA60" s="10">
        <f>INDEX([1]ratio_ins!Y:Y,MATCH('001_population_health_zone_zs'!$B$2,[1]ratio_ins!$B:$B,0))*$G60*INDEX([1]ratio_ins!$C:$C,MATCH('001_population_health_zone_zs'!$B60,[1]ratio_ins!$B:$B,0))</f>
        <v>333.06389799999999</v>
      </c>
      <c r="AB60" s="11">
        <f>INDEX([1]ratio_ins!Z:Z,MATCH('001_population_health_zone_zs'!$B$2,[1]ratio_ins!$B:$B,0))*$G60*INDEX([1]ratio_ins!$C:$C,MATCH('001_population_health_zone_zs'!$B60,[1]ratio_ins!$B:$B,0))</f>
        <v>4329.8306739999998</v>
      </c>
      <c r="AC60" s="12">
        <f t="shared" si="0"/>
        <v>166531.94899999999</v>
      </c>
      <c r="AD60" s="10">
        <f>INDEX([1]ratio_ins!AA:AA,MATCH('001_population_health_zone_zs'!$B$2,[1]ratio_ins!$B:$B,0))*$G60*INDEX([1]ratio_ins!$D:$D,MATCH('001_population_health_zone_zs'!$B60,[1]ratio_ins!$B:$B,0))</f>
        <v>35964.82071</v>
      </c>
      <c r="AE60" s="10">
        <f>INDEX([1]ratio_ins!AB:AB,MATCH('001_population_health_zone_zs'!$B$2,[1]ratio_ins!$B:$B,0))*$G60*INDEX([1]ratio_ins!$D:$D,MATCH('001_population_health_zone_zs'!$B60,[1]ratio_ins!$B:$B,0))</f>
        <v>29628.161823000002</v>
      </c>
      <c r="AF60" s="10">
        <f>INDEX([1]ratio_ins!AC:AC,MATCH('001_population_health_zone_zs'!$B$2,[1]ratio_ins!$B:$B,0))*$G60*INDEX([1]ratio_ins!$D:$D,MATCH('001_population_health_zone_zs'!$B60,[1]ratio_ins!$B:$B,0))</f>
        <v>23462.763986999998</v>
      </c>
      <c r="AG60" s="10">
        <f>INDEX([1]ratio_ins!AD:AD,MATCH('001_population_health_zone_zs'!$B$2,[1]ratio_ins!$B:$B,0))*$G60*INDEX([1]ratio_ins!$D:$D,MATCH('001_population_health_zone_zs'!$B60,[1]ratio_ins!$B:$B,0))</f>
        <v>14214.667233000002</v>
      </c>
      <c r="AH60" s="10">
        <f>INDEX([1]ratio_ins!AE:AE,MATCH('001_population_health_zone_zs'!$B$2,[1]ratio_ins!$B:$B,0))*$G60*INDEX([1]ratio_ins!$D:$D,MATCH('001_population_health_zone_zs'!$B60,[1]ratio_ins!$B:$B,0))</f>
        <v>8528.8003397999983</v>
      </c>
      <c r="AI60" s="13">
        <f>INDEX([1]ratio_ins!AF:AF,MATCH('001_population_health_zone_zs'!$B$2,[1]ratio_ins!$B:$B,0))*$G60*INDEX([1]ratio_ins!$D:$D,MATCH('001_population_health_zone_zs'!$B60,[1]ratio_ins!$B:$B,0))</f>
        <v>97584.546859800001</v>
      </c>
      <c r="AJ60" s="10">
        <f>INDEX([1]ratio_ins!AG:AG,MATCH('001_population_health_zone_zs'!$B$2,[1]ratio_ins!$B:$B,0))*$G60*INDEX([1]ratio_ins!$D:$D,MATCH('001_population_health_zone_zs'!$B60,[1]ratio_ins!$B:$B,0))</f>
        <v>5685.8668932</v>
      </c>
      <c r="AK60" s="10">
        <f>INDEX([1]ratio_ins!AH:AH,MATCH('001_population_health_zone_zs'!$B$2,[1]ratio_ins!$B:$B,0))*$G60*INDEX([1]ratio_ins!$D:$D,MATCH('001_population_health_zone_zs'!$B60,[1]ratio_ins!$B:$B,0))</f>
        <v>12673.317774000003</v>
      </c>
      <c r="AL60" s="10">
        <f>INDEX([1]ratio_ins!AI:AI,MATCH('001_population_health_zone_zs'!$B$2,[1]ratio_ins!$B:$B,0))*$G60*INDEX([1]ratio_ins!$D:$D,MATCH('001_population_health_zone_zs'!$B60,[1]ratio_ins!$B:$B,0))</f>
        <v>11988.273570000001</v>
      </c>
      <c r="AM60" s="10">
        <f>INDEX([1]ratio_ins!AJ:AJ,MATCH('001_population_health_zone_zs'!$B$2,[1]ratio_ins!$B:$B,0))*$G60*INDEX([1]ratio_ins!$D:$D,MATCH('001_population_health_zone_zs'!$B60,[1]ratio_ins!$B:$B,0))</f>
        <v>10960.707264000001</v>
      </c>
      <c r="AN60" s="10">
        <f>INDEX([1]ratio_ins!AK:AK,MATCH('001_population_health_zone_zs'!$B$2,[1]ratio_ins!$B:$B,0))*$G60*INDEX([1]ratio_ins!$D:$D,MATCH('001_population_health_zone_zs'!$B60,[1]ratio_ins!$B:$B,0))</f>
        <v>10275.663059999999</v>
      </c>
      <c r="AO60" s="10">
        <f>INDEX([1]ratio_ins!AL:AL,MATCH('001_population_health_zone_zs'!$B$2,[1]ratio_ins!$B:$B,0))*$G60*INDEX([1]ratio_ins!$D:$D,MATCH('001_population_health_zone_zs'!$B60,[1]ratio_ins!$B:$B,0))</f>
        <v>7706.7472950000001</v>
      </c>
      <c r="AP60" s="10">
        <f>INDEX([1]ratio_ins!AM:AM,MATCH('001_population_health_zone_zs'!$B$2,[1]ratio_ins!$B:$B,0))*$G60*INDEX([1]ratio_ins!$D:$D,MATCH('001_population_health_zone_zs'!$B60,[1]ratio_ins!$B:$B,0))</f>
        <v>4966.570479</v>
      </c>
      <c r="AQ60" s="10">
        <f>INDEX([1]ratio_ins!AN:AN,MATCH('001_population_health_zone_zs'!$B$2,[1]ratio_ins!$B:$B,0))*$G60*INDEX([1]ratio_ins!$D:$D,MATCH('001_population_health_zone_zs'!$B60,[1]ratio_ins!$B:$B,0))</f>
        <v>3939.0041729999998</v>
      </c>
      <c r="AR60" s="10">
        <f>INDEX([1]ratio_ins!AO:AO,MATCH('001_population_health_zone_zs'!$B$2,[1]ratio_ins!$B:$B,0))*$G60*INDEX([1]ratio_ins!$D:$D,MATCH('001_population_health_zone_zs'!$B60,[1]ratio_ins!$B:$B,0))</f>
        <v>1883.8715610000002</v>
      </c>
      <c r="AS60" s="13">
        <f>INDEX([1]ratio_ins!AP:AP,MATCH('001_population_health_zone_zs'!$B$2,[1]ratio_ins!$B:$B,0))*$G60*INDEX([1]ratio_ins!$D:$D,MATCH('001_population_health_zone_zs'!$B60,[1]ratio_ins!$B:$B,0))</f>
        <v>70080.0220692</v>
      </c>
      <c r="AT60" s="10">
        <f>INDEX([1]ratio_ins!AQ:AQ,MATCH('001_population_health_zone_zs'!$B$2,[1]ratio_ins!$B:$B,0))*$G60*INDEX([1]ratio_ins!$D:$D,MATCH('001_population_health_zone_zs'!$B60,[1]ratio_ins!$B:$B,0))</f>
        <v>1712.6105100000002</v>
      </c>
      <c r="AU60" s="10">
        <f>INDEX([1]ratio_ins!AR:AR,MATCH('001_population_health_zone_zs'!$B$2,[1]ratio_ins!$B:$B,0))*$G60*INDEX([1]ratio_ins!$D:$D,MATCH('001_population_health_zone_zs'!$B60,[1]ratio_ins!$B:$B,0))</f>
        <v>1027.5663059999999</v>
      </c>
      <c r="AV60" s="10">
        <f>INDEX([1]ratio_ins!AS:AS,MATCH('001_population_health_zone_zs'!$B$2,[1]ratio_ins!$B:$B,0))*$G60*INDEX([1]ratio_ins!$D:$D,MATCH('001_population_health_zone_zs'!$B60,[1]ratio_ins!$B:$B,0))</f>
        <v>513.78315299999997</v>
      </c>
      <c r="AW60" s="10">
        <f>INDEX([1]ratio_ins!AT:AT,MATCH('001_population_health_zone_zs'!$B$2,[1]ratio_ins!$B:$B,0))*$G60*INDEX([1]ratio_ins!$D:$D,MATCH('001_population_health_zone_zs'!$B60,[1]ratio_ins!$B:$B,0))</f>
        <v>342.52210200000002</v>
      </c>
      <c r="AX60" s="13">
        <f>INDEX([1]ratio_ins!AU:AU,MATCH('001_population_health_zone_zs'!$B$2,[1]ratio_ins!$B:$B,0))*$G60*INDEX([1]ratio_ins!$D:$D,MATCH('001_population_health_zone_zs'!$B60,[1]ratio_ins!$B:$B,0))</f>
        <v>3596.4820709999999</v>
      </c>
      <c r="AY60" s="14">
        <f t="shared" si="1"/>
        <v>171261.05100000001</v>
      </c>
      <c r="AZ60" s="15">
        <f t="shared" si="2"/>
        <v>337793</v>
      </c>
      <c r="BA60" s="16">
        <v>324047.60961179138</v>
      </c>
      <c r="BB60" s="10">
        <f t="shared" si="3"/>
        <v>72785.946674999999</v>
      </c>
      <c r="BC60" s="17">
        <f t="shared" si="4"/>
        <v>0.215475</v>
      </c>
      <c r="BD60" s="10">
        <f t="shared" si="5"/>
        <v>69443.822732999994</v>
      </c>
    </row>
    <row r="61" spans="1:56" x14ac:dyDescent="0.25">
      <c r="A61" s="8" t="s">
        <v>82</v>
      </c>
      <c r="B61" s="8" t="s">
        <v>83</v>
      </c>
      <c r="C61" s="8" t="s">
        <v>133</v>
      </c>
      <c r="D61" s="8" t="s">
        <v>134</v>
      </c>
      <c r="E61" s="8" t="s">
        <v>133</v>
      </c>
      <c r="F61" s="8" t="s">
        <v>143</v>
      </c>
      <c r="G61" s="9">
        <v>242721</v>
      </c>
      <c r="H61" s="10">
        <f>INDEX([1]ratio_ins!F:F,MATCH('001_population_health_zone_zs'!$B$2,[1]ratio_ins!$B:$B,0))*$G61*INDEX([1]ratio_ins!$C:$C,MATCH('001_population_health_zone_zs'!$B61,[1]ratio_ins!$B:$B,0))</f>
        <v>25009.243676999999</v>
      </c>
      <c r="I61" s="10">
        <f>INDEX([1]ratio_ins!G:G,MATCH('001_population_health_zone_zs'!$B$2,[1]ratio_ins!$B:$B,0))*$G61*INDEX([1]ratio_ins!$C:$C,MATCH('001_population_health_zone_zs'!$B61,[1]ratio_ins!$B:$B,0))</f>
        <v>20462.108463</v>
      </c>
      <c r="J61" s="10">
        <f>INDEX([1]ratio_ins!H:H,MATCH('001_population_health_zone_zs'!$B$2,[1]ratio_ins!$B:$B,0))*$G61*INDEX([1]ratio_ins!$C:$C,MATCH('001_population_health_zone_zs'!$B61,[1]ratio_ins!$B:$B,0))</f>
        <v>16154.296155000002</v>
      </c>
      <c r="K61" s="10">
        <f>INDEX([1]ratio_ins!I:I,MATCH('001_population_health_zone_zs'!$B$2,[1]ratio_ins!$B:$B,0))*$G61*INDEX([1]ratio_ins!$C:$C,MATCH('001_population_health_zone_zs'!$B61,[1]ratio_ins!$B:$B,0))</f>
        <v>9931.9005990000005</v>
      </c>
      <c r="L61" s="10">
        <f>INDEX([1]ratio_ins!J:J,MATCH('001_population_health_zone_zs'!$B$2,[1]ratio_ins!$B:$B,0))*$G61*INDEX([1]ratio_ins!$C:$C,MATCH('001_population_health_zone_zs'!$B61,[1]ratio_ins!$B:$B,0))</f>
        <v>5959.1403593999994</v>
      </c>
      <c r="M61" s="11">
        <f>INDEX([1]ratio_ins!K:K,MATCH('001_population_health_zone_zs'!$B$2,[1]ratio_ins!$B:$B,0))*$G61*INDEX([1]ratio_ins!$C:$C,MATCH('001_population_health_zone_zs'!$B61,[1]ratio_ins!$B:$B,0))</f>
        <v>67584.788654399992</v>
      </c>
      <c r="N61" s="10">
        <f>INDEX([1]ratio_ins!L:L,MATCH('001_population_health_zone_zs'!$B$2,[1]ratio_ins!$B:$B,0))*$G61*INDEX([1]ratio_ins!$C:$C,MATCH('001_population_health_zone_zs'!$B61,[1]ratio_ins!$B:$B,0))</f>
        <v>3972.7602395999997</v>
      </c>
      <c r="O61" s="10">
        <f>INDEX([1]ratio_ins!M:M,MATCH('001_population_health_zone_zs'!$B$2,[1]ratio_ins!$B:$B,0))*$G61*INDEX([1]ratio_ins!$C:$C,MATCH('001_population_health_zone_zs'!$B61,[1]ratio_ins!$B:$B,0))</f>
        <v>8615.6246159999992</v>
      </c>
      <c r="P61" s="10">
        <f>INDEX([1]ratio_ins!N:N,MATCH('001_population_health_zone_zs'!$B$2,[1]ratio_ins!$B:$B,0))*$G61*INDEX([1]ratio_ins!$C:$C,MATCH('001_population_health_zone_zs'!$B61,[1]ratio_ins!$B:$B,0))</f>
        <v>7777.9944449999994</v>
      </c>
      <c r="Q61" s="10">
        <f>INDEX([1]ratio_ins!O:O,MATCH('001_population_health_zone_zs'!$B$2,[1]ratio_ins!$B:$B,0))*$G61*INDEX([1]ratio_ins!$C:$C,MATCH('001_population_health_zone_zs'!$B61,[1]ratio_ins!$B:$B,0))</f>
        <v>6940.3642739999996</v>
      </c>
      <c r="R61" s="10">
        <f>INDEX([1]ratio_ins!P:P,MATCH('001_population_health_zone_zs'!$B$2,[1]ratio_ins!$B:$B,0))*$G61*INDEX([1]ratio_ins!$C:$C,MATCH('001_population_health_zone_zs'!$B61,[1]ratio_ins!$B:$B,0))</f>
        <v>6820.7028209999999</v>
      </c>
      <c r="S61" s="10">
        <f>INDEX([1]ratio_ins!Q:Q,MATCH('001_population_health_zone_zs'!$B$2,[1]ratio_ins!$B:$B,0))*$G61*INDEX([1]ratio_ins!$C:$C,MATCH('001_population_health_zone_zs'!$B61,[1]ratio_ins!$B:$B,0))</f>
        <v>5743.7497439999997</v>
      </c>
      <c r="T61" s="10">
        <f>INDEX([1]ratio_ins!R:R,MATCH('001_population_health_zone_zs'!$B$2,[1]ratio_ins!$B:$B,0))*$G61*INDEX([1]ratio_ins!$C:$C,MATCH('001_population_health_zone_zs'!$B61,[1]ratio_ins!$B:$B,0))</f>
        <v>4068.4894020000006</v>
      </c>
      <c r="U61" s="10">
        <f>INDEX([1]ratio_ins!S:S,MATCH('001_population_health_zone_zs'!$B$2,[1]ratio_ins!$B:$B,0))*$G61*INDEX([1]ratio_ins!$C:$C,MATCH('001_population_health_zone_zs'!$B61,[1]ratio_ins!$B:$B,0))</f>
        <v>3230.8592310000004</v>
      </c>
      <c r="V61" s="10">
        <f>INDEX([1]ratio_ins!T:T,MATCH('001_population_health_zone_zs'!$B$2,[1]ratio_ins!$B:$B,0))*$G61*INDEX([1]ratio_ins!$C:$C,MATCH('001_population_health_zone_zs'!$B61,[1]ratio_ins!$B:$B,0))</f>
        <v>1794.921795</v>
      </c>
      <c r="W61" s="11">
        <f>INDEX([1]ratio_ins!U:U,MATCH('001_population_health_zone_zs'!$B$2,[1]ratio_ins!$B:$B,0))*$G61*INDEX([1]ratio_ins!$C:$C,MATCH('001_population_health_zone_zs'!$B61,[1]ratio_ins!$B:$B,0))</f>
        <v>48965.4665676</v>
      </c>
      <c r="X61" s="10">
        <f>INDEX([1]ratio_ins!V:V,MATCH('001_population_health_zone_zs'!$B$2,[1]ratio_ins!$B:$B,0))*$G61*INDEX([1]ratio_ins!$C:$C,MATCH('001_population_health_zone_zs'!$B61,[1]ratio_ins!$B:$B,0))</f>
        <v>1435.9374359999999</v>
      </c>
      <c r="Y61" s="10">
        <f>INDEX([1]ratio_ins!W:W,MATCH('001_population_health_zone_zs'!$B$2,[1]ratio_ins!$B:$B,0))*$G61*INDEX([1]ratio_ins!$C:$C,MATCH('001_population_health_zone_zs'!$B61,[1]ratio_ins!$B:$B,0))</f>
        <v>957.29162399999996</v>
      </c>
      <c r="Z61" s="10">
        <f>INDEX([1]ratio_ins!X:X,MATCH('001_population_health_zone_zs'!$B$2,[1]ratio_ins!$B:$B,0))*$G61*INDEX([1]ratio_ins!$C:$C,MATCH('001_population_health_zone_zs'!$B61,[1]ratio_ins!$B:$B,0))</f>
        <v>478.64581199999998</v>
      </c>
      <c r="AA61" s="10">
        <f>INDEX([1]ratio_ins!Y:Y,MATCH('001_population_health_zone_zs'!$B$2,[1]ratio_ins!$B:$B,0))*$G61*INDEX([1]ratio_ins!$C:$C,MATCH('001_population_health_zone_zs'!$B61,[1]ratio_ins!$B:$B,0))</f>
        <v>239.32290599999999</v>
      </c>
      <c r="AB61" s="11">
        <f>INDEX([1]ratio_ins!Z:Z,MATCH('001_population_health_zone_zs'!$B$2,[1]ratio_ins!$B:$B,0))*$G61*INDEX([1]ratio_ins!$C:$C,MATCH('001_population_health_zone_zs'!$B61,[1]ratio_ins!$B:$B,0))</f>
        <v>3111.1977780000007</v>
      </c>
      <c r="AC61" s="12">
        <f t="shared" si="0"/>
        <v>119661.45299999999</v>
      </c>
      <c r="AD61" s="10">
        <f>INDEX([1]ratio_ins!AA:AA,MATCH('001_population_health_zone_zs'!$B$2,[1]ratio_ins!$B:$B,0))*$G61*INDEX([1]ratio_ins!$D:$D,MATCH('001_population_health_zone_zs'!$B61,[1]ratio_ins!$B:$B,0))</f>
        <v>25842.504869999997</v>
      </c>
      <c r="AE61" s="10">
        <f>INDEX([1]ratio_ins!AB:AB,MATCH('001_population_health_zone_zs'!$B$2,[1]ratio_ins!$B:$B,0))*$G61*INDEX([1]ratio_ins!$D:$D,MATCH('001_population_health_zone_zs'!$B61,[1]ratio_ins!$B:$B,0))</f>
        <v>21289.301631000002</v>
      </c>
      <c r="AF61" s="10">
        <f>INDEX([1]ratio_ins!AC:AC,MATCH('001_population_health_zone_zs'!$B$2,[1]ratio_ins!$B:$B,0))*$G61*INDEX([1]ratio_ins!$D:$D,MATCH('001_population_health_zone_zs'!$B61,[1]ratio_ins!$B:$B,0))</f>
        <v>16859.157938999997</v>
      </c>
      <c r="AG61" s="10">
        <f>INDEX([1]ratio_ins!AD:AD,MATCH('001_population_health_zone_zs'!$B$2,[1]ratio_ins!$B:$B,0))*$G61*INDEX([1]ratio_ins!$D:$D,MATCH('001_population_health_zone_zs'!$B61,[1]ratio_ins!$B:$B,0))</f>
        <v>10213.942401</v>
      </c>
      <c r="AH61" s="10">
        <f>INDEX([1]ratio_ins!AE:AE,MATCH('001_population_health_zone_zs'!$B$2,[1]ratio_ins!$B:$B,0))*$G61*INDEX([1]ratio_ins!$D:$D,MATCH('001_population_health_zone_zs'!$B61,[1]ratio_ins!$B:$B,0))</f>
        <v>6128.3654405999996</v>
      </c>
      <c r="AI61" s="13">
        <f>INDEX([1]ratio_ins!AF:AF,MATCH('001_population_health_zone_zs'!$B$2,[1]ratio_ins!$B:$B,0))*$G61*INDEX([1]ratio_ins!$D:$D,MATCH('001_population_health_zone_zs'!$B61,[1]ratio_ins!$B:$B,0))</f>
        <v>70119.329880599995</v>
      </c>
      <c r="AJ61" s="10">
        <f>INDEX([1]ratio_ins!AG:AG,MATCH('001_population_health_zone_zs'!$B$2,[1]ratio_ins!$B:$B,0))*$G61*INDEX([1]ratio_ins!$D:$D,MATCH('001_population_health_zone_zs'!$B61,[1]ratio_ins!$B:$B,0))</f>
        <v>4085.5769604000002</v>
      </c>
      <c r="AK61" s="10">
        <f>INDEX([1]ratio_ins!AH:AH,MATCH('001_population_health_zone_zs'!$B$2,[1]ratio_ins!$B:$B,0))*$G61*INDEX([1]ratio_ins!$D:$D,MATCH('001_population_health_zone_zs'!$B61,[1]ratio_ins!$B:$B,0))</f>
        <v>9106.4064780000008</v>
      </c>
      <c r="AL61" s="10">
        <f>INDEX([1]ratio_ins!AI:AI,MATCH('001_population_health_zone_zs'!$B$2,[1]ratio_ins!$B:$B,0))*$G61*INDEX([1]ratio_ins!$D:$D,MATCH('001_population_health_zone_zs'!$B61,[1]ratio_ins!$B:$B,0))</f>
        <v>8614.1682900000014</v>
      </c>
      <c r="AM61" s="10">
        <f>INDEX([1]ratio_ins!AJ:AJ,MATCH('001_population_health_zone_zs'!$B$2,[1]ratio_ins!$B:$B,0))*$G61*INDEX([1]ratio_ins!$D:$D,MATCH('001_population_health_zone_zs'!$B61,[1]ratio_ins!$B:$B,0))</f>
        <v>7875.8110080000006</v>
      </c>
      <c r="AN61" s="10">
        <f>INDEX([1]ratio_ins!AK:AK,MATCH('001_population_health_zone_zs'!$B$2,[1]ratio_ins!$B:$B,0))*$G61*INDEX([1]ratio_ins!$D:$D,MATCH('001_population_health_zone_zs'!$B61,[1]ratio_ins!$B:$B,0))</f>
        <v>7383.5728200000003</v>
      </c>
      <c r="AO61" s="10">
        <f>INDEX([1]ratio_ins!AL:AL,MATCH('001_population_health_zone_zs'!$B$2,[1]ratio_ins!$B:$B,0))*$G61*INDEX([1]ratio_ins!$D:$D,MATCH('001_population_health_zone_zs'!$B61,[1]ratio_ins!$B:$B,0))</f>
        <v>5537.679615</v>
      </c>
      <c r="AP61" s="10">
        <f>INDEX([1]ratio_ins!AM:AM,MATCH('001_population_health_zone_zs'!$B$2,[1]ratio_ins!$B:$B,0))*$G61*INDEX([1]ratio_ins!$D:$D,MATCH('001_population_health_zone_zs'!$B61,[1]ratio_ins!$B:$B,0))</f>
        <v>3568.7268629999999</v>
      </c>
      <c r="AQ61" s="10">
        <f>INDEX([1]ratio_ins!AN:AN,MATCH('001_population_health_zone_zs'!$B$2,[1]ratio_ins!$B:$B,0))*$G61*INDEX([1]ratio_ins!$D:$D,MATCH('001_population_health_zone_zs'!$B61,[1]ratio_ins!$B:$B,0))</f>
        <v>2830.3695809999999</v>
      </c>
      <c r="AR61" s="10">
        <f>INDEX([1]ratio_ins!AO:AO,MATCH('001_population_health_zone_zs'!$B$2,[1]ratio_ins!$B:$B,0))*$G61*INDEX([1]ratio_ins!$D:$D,MATCH('001_population_health_zone_zs'!$B61,[1]ratio_ins!$B:$B,0))</f>
        <v>1353.655017</v>
      </c>
      <c r="AS61" s="13">
        <f>INDEX([1]ratio_ins!AP:AP,MATCH('001_population_health_zone_zs'!$B$2,[1]ratio_ins!$B:$B,0))*$G61*INDEX([1]ratio_ins!$D:$D,MATCH('001_population_health_zone_zs'!$B61,[1]ratio_ins!$B:$B,0))</f>
        <v>50355.966632399999</v>
      </c>
      <c r="AT61" s="10">
        <f>INDEX([1]ratio_ins!AQ:AQ,MATCH('001_population_health_zone_zs'!$B$2,[1]ratio_ins!$B:$B,0))*$G61*INDEX([1]ratio_ins!$D:$D,MATCH('001_population_health_zone_zs'!$B61,[1]ratio_ins!$B:$B,0))</f>
        <v>1230.59547</v>
      </c>
      <c r="AU61" s="10">
        <f>INDEX([1]ratio_ins!AR:AR,MATCH('001_population_health_zone_zs'!$B$2,[1]ratio_ins!$B:$B,0))*$G61*INDEX([1]ratio_ins!$D:$D,MATCH('001_population_health_zone_zs'!$B61,[1]ratio_ins!$B:$B,0))</f>
        <v>738.35728200000005</v>
      </c>
      <c r="AV61" s="10">
        <f>INDEX([1]ratio_ins!AS:AS,MATCH('001_population_health_zone_zs'!$B$2,[1]ratio_ins!$B:$B,0))*$G61*INDEX([1]ratio_ins!$D:$D,MATCH('001_population_health_zone_zs'!$B61,[1]ratio_ins!$B:$B,0))</f>
        <v>369.17864100000003</v>
      </c>
      <c r="AW61" s="10">
        <f>INDEX([1]ratio_ins!AT:AT,MATCH('001_population_health_zone_zs'!$B$2,[1]ratio_ins!$B:$B,0))*$G61*INDEX([1]ratio_ins!$D:$D,MATCH('001_population_health_zone_zs'!$B61,[1]ratio_ins!$B:$B,0))</f>
        <v>246.11909400000002</v>
      </c>
      <c r="AX61" s="13">
        <f>INDEX([1]ratio_ins!AU:AU,MATCH('001_population_health_zone_zs'!$B$2,[1]ratio_ins!$B:$B,0))*$G61*INDEX([1]ratio_ins!$D:$D,MATCH('001_population_health_zone_zs'!$B61,[1]ratio_ins!$B:$B,0))</f>
        <v>2584.2504869999998</v>
      </c>
      <c r="AY61" s="14">
        <f t="shared" si="1"/>
        <v>123059.54699999999</v>
      </c>
      <c r="AZ61" s="15">
        <f t="shared" si="2"/>
        <v>242721</v>
      </c>
      <c r="BA61" s="16">
        <v>232844.28780639582</v>
      </c>
      <c r="BB61" s="10">
        <f t="shared" si="3"/>
        <v>52300.307475000009</v>
      </c>
      <c r="BC61" s="17">
        <f t="shared" si="4"/>
        <v>0.21547500000000003</v>
      </c>
      <c r="BD61" s="10">
        <f t="shared" si="5"/>
        <v>49898.825900999997</v>
      </c>
    </row>
    <row r="62" spans="1:56" x14ac:dyDescent="0.25">
      <c r="A62" s="8" t="s">
        <v>82</v>
      </c>
      <c r="B62" s="8" t="s">
        <v>83</v>
      </c>
      <c r="C62" s="8" t="s">
        <v>144</v>
      </c>
      <c r="D62" s="8" t="s">
        <v>145</v>
      </c>
      <c r="E62" s="8" t="s">
        <v>146</v>
      </c>
      <c r="F62" s="8" t="s">
        <v>147</v>
      </c>
      <c r="G62" s="9">
        <v>256322</v>
      </c>
      <c r="H62" s="10">
        <f>INDEX([1]ratio_ins!F:F,MATCH('001_population_health_zone_zs'!$B$2,[1]ratio_ins!$B:$B,0))*$G62*INDEX([1]ratio_ins!$C:$C,MATCH('001_population_health_zone_zs'!$B62,[1]ratio_ins!$B:$B,0))</f>
        <v>26410.649913999998</v>
      </c>
      <c r="I62" s="10">
        <f>INDEX([1]ratio_ins!G:G,MATCH('001_population_health_zone_zs'!$B$2,[1]ratio_ins!$B:$B,0))*$G62*INDEX([1]ratio_ins!$C:$C,MATCH('001_population_health_zone_zs'!$B62,[1]ratio_ins!$B:$B,0))</f>
        <v>21608.713566000002</v>
      </c>
      <c r="J62" s="10">
        <f>INDEX([1]ratio_ins!H:H,MATCH('001_population_health_zone_zs'!$B$2,[1]ratio_ins!$B:$B,0))*$G62*INDEX([1]ratio_ins!$C:$C,MATCH('001_population_health_zone_zs'!$B62,[1]ratio_ins!$B:$B,0))</f>
        <v>17059.510709999999</v>
      </c>
      <c r="K62" s="10">
        <f>INDEX([1]ratio_ins!I:I,MATCH('001_population_health_zone_zs'!$B$2,[1]ratio_ins!$B:$B,0))*$G62*INDEX([1]ratio_ins!$C:$C,MATCH('001_population_health_zone_zs'!$B62,[1]ratio_ins!$B:$B,0))</f>
        <v>10488.439918000002</v>
      </c>
      <c r="L62" s="10">
        <f>INDEX([1]ratio_ins!J:J,MATCH('001_population_health_zone_zs'!$B$2,[1]ratio_ins!$B:$B,0))*$G62*INDEX([1]ratio_ins!$C:$C,MATCH('001_population_health_zone_zs'!$B62,[1]ratio_ins!$B:$B,0))</f>
        <v>6293.0639507999995</v>
      </c>
      <c r="M62" s="11">
        <f>INDEX([1]ratio_ins!K:K,MATCH('001_population_health_zone_zs'!$B$2,[1]ratio_ins!$B:$B,0))*$G62*INDEX([1]ratio_ins!$C:$C,MATCH('001_population_health_zone_zs'!$B62,[1]ratio_ins!$B:$B,0))</f>
        <v>71371.93814079999</v>
      </c>
      <c r="N62" s="10">
        <f>INDEX([1]ratio_ins!L:L,MATCH('001_population_health_zone_zs'!$B$2,[1]ratio_ins!$B:$B,0))*$G62*INDEX([1]ratio_ins!$C:$C,MATCH('001_population_health_zone_zs'!$B62,[1]ratio_ins!$B:$B,0))</f>
        <v>4195.3759671999996</v>
      </c>
      <c r="O62" s="10">
        <f>INDEX([1]ratio_ins!M:M,MATCH('001_population_health_zone_zs'!$B$2,[1]ratio_ins!$B:$B,0))*$G62*INDEX([1]ratio_ins!$C:$C,MATCH('001_population_health_zone_zs'!$B62,[1]ratio_ins!$B:$B,0))</f>
        <v>9098.4057119999998</v>
      </c>
      <c r="P62" s="10">
        <f>INDEX([1]ratio_ins!N:N,MATCH('001_population_health_zone_zs'!$B$2,[1]ratio_ins!$B:$B,0))*$G62*INDEX([1]ratio_ins!$C:$C,MATCH('001_population_health_zone_zs'!$B62,[1]ratio_ins!$B:$B,0))</f>
        <v>8213.8384900000001</v>
      </c>
      <c r="Q62" s="10">
        <f>INDEX([1]ratio_ins!O:O,MATCH('001_population_health_zone_zs'!$B$2,[1]ratio_ins!$B:$B,0))*$G62*INDEX([1]ratio_ins!$C:$C,MATCH('001_population_health_zone_zs'!$B62,[1]ratio_ins!$B:$B,0))</f>
        <v>7329.2712679999995</v>
      </c>
      <c r="R62" s="10">
        <f>INDEX([1]ratio_ins!P:P,MATCH('001_population_health_zone_zs'!$B$2,[1]ratio_ins!$B:$B,0))*$G62*INDEX([1]ratio_ins!$C:$C,MATCH('001_population_health_zone_zs'!$B62,[1]ratio_ins!$B:$B,0))</f>
        <v>7202.9045220000007</v>
      </c>
      <c r="S62" s="10">
        <f>INDEX([1]ratio_ins!Q:Q,MATCH('001_population_health_zone_zs'!$B$2,[1]ratio_ins!$B:$B,0))*$G62*INDEX([1]ratio_ins!$C:$C,MATCH('001_population_health_zone_zs'!$B62,[1]ratio_ins!$B:$B,0))</f>
        <v>6065.6038079999998</v>
      </c>
      <c r="T62" s="10">
        <f>INDEX([1]ratio_ins!R:R,MATCH('001_population_health_zone_zs'!$B$2,[1]ratio_ins!$B:$B,0))*$G62*INDEX([1]ratio_ins!$C:$C,MATCH('001_population_health_zone_zs'!$B62,[1]ratio_ins!$B:$B,0))</f>
        <v>4296.4693640000005</v>
      </c>
      <c r="U62" s="10">
        <f>INDEX([1]ratio_ins!S:S,MATCH('001_population_health_zone_zs'!$B$2,[1]ratio_ins!$B:$B,0))*$G62*INDEX([1]ratio_ins!$C:$C,MATCH('001_population_health_zone_zs'!$B62,[1]ratio_ins!$B:$B,0))</f>
        <v>3411.9021420000004</v>
      </c>
      <c r="V62" s="10">
        <f>INDEX([1]ratio_ins!T:T,MATCH('001_population_health_zone_zs'!$B$2,[1]ratio_ins!$B:$B,0))*$G62*INDEX([1]ratio_ins!$C:$C,MATCH('001_population_health_zone_zs'!$B62,[1]ratio_ins!$B:$B,0))</f>
        <v>1895.50119</v>
      </c>
      <c r="W62" s="11">
        <f>INDEX([1]ratio_ins!U:U,MATCH('001_population_health_zone_zs'!$B$2,[1]ratio_ins!$B:$B,0))*$G62*INDEX([1]ratio_ins!$C:$C,MATCH('001_population_health_zone_zs'!$B62,[1]ratio_ins!$B:$B,0))</f>
        <v>51709.272463200003</v>
      </c>
      <c r="X62" s="10">
        <f>INDEX([1]ratio_ins!V:V,MATCH('001_population_health_zone_zs'!$B$2,[1]ratio_ins!$B:$B,0))*$G62*INDEX([1]ratio_ins!$C:$C,MATCH('001_population_health_zone_zs'!$B62,[1]ratio_ins!$B:$B,0))</f>
        <v>1516.400952</v>
      </c>
      <c r="Y62" s="10">
        <f>INDEX([1]ratio_ins!W:W,MATCH('001_population_health_zone_zs'!$B$2,[1]ratio_ins!$B:$B,0))*$G62*INDEX([1]ratio_ins!$C:$C,MATCH('001_population_health_zone_zs'!$B62,[1]ratio_ins!$B:$B,0))</f>
        <v>1010.933968</v>
      </c>
      <c r="Z62" s="10">
        <f>INDEX([1]ratio_ins!X:X,MATCH('001_population_health_zone_zs'!$B$2,[1]ratio_ins!$B:$B,0))*$G62*INDEX([1]ratio_ins!$C:$C,MATCH('001_population_health_zone_zs'!$B62,[1]ratio_ins!$B:$B,0))</f>
        <v>505.46698400000002</v>
      </c>
      <c r="AA62" s="10">
        <f>INDEX([1]ratio_ins!Y:Y,MATCH('001_population_health_zone_zs'!$B$2,[1]ratio_ins!$B:$B,0))*$G62*INDEX([1]ratio_ins!$C:$C,MATCH('001_population_health_zone_zs'!$B62,[1]ratio_ins!$B:$B,0))</f>
        <v>252.73349200000001</v>
      </c>
      <c r="AB62" s="11">
        <f>INDEX([1]ratio_ins!Z:Z,MATCH('001_population_health_zone_zs'!$B$2,[1]ratio_ins!$B:$B,0))*$G62*INDEX([1]ratio_ins!$C:$C,MATCH('001_population_health_zone_zs'!$B62,[1]ratio_ins!$B:$B,0))</f>
        <v>3285.5353960000002</v>
      </c>
      <c r="AC62" s="12">
        <f t="shared" si="0"/>
        <v>126366.746</v>
      </c>
      <c r="AD62" s="10">
        <f>INDEX([1]ratio_ins!AA:AA,MATCH('001_population_health_zone_zs'!$B$2,[1]ratio_ins!$B:$B,0))*$G62*INDEX([1]ratio_ins!$D:$D,MATCH('001_population_health_zone_zs'!$B62,[1]ratio_ins!$B:$B,0))</f>
        <v>27290.603339999998</v>
      </c>
      <c r="AE62" s="10">
        <f>INDEX([1]ratio_ins!AB:AB,MATCH('001_population_health_zone_zs'!$B$2,[1]ratio_ins!$B:$B,0))*$G62*INDEX([1]ratio_ins!$D:$D,MATCH('001_population_health_zone_zs'!$B62,[1]ratio_ins!$B:$B,0))</f>
        <v>22482.258942000004</v>
      </c>
      <c r="AF62" s="10">
        <f>INDEX([1]ratio_ins!AC:AC,MATCH('001_population_health_zone_zs'!$B$2,[1]ratio_ins!$B:$B,0))*$G62*INDEX([1]ratio_ins!$D:$D,MATCH('001_population_health_zone_zs'!$B62,[1]ratio_ins!$B:$B,0))</f>
        <v>17803.869797999996</v>
      </c>
      <c r="AG62" s="10">
        <f>INDEX([1]ratio_ins!AD:AD,MATCH('001_population_health_zone_zs'!$B$2,[1]ratio_ins!$B:$B,0))*$G62*INDEX([1]ratio_ins!$D:$D,MATCH('001_population_health_zone_zs'!$B62,[1]ratio_ins!$B:$B,0))</f>
        <v>10786.286082000001</v>
      </c>
      <c r="AH62" s="10">
        <f>INDEX([1]ratio_ins!AE:AE,MATCH('001_population_health_zone_zs'!$B$2,[1]ratio_ins!$B:$B,0))*$G62*INDEX([1]ratio_ins!$D:$D,MATCH('001_population_health_zone_zs'!$B62,[1]ratio_ins!$B:$B,0))</f>
        <v>6471.771649199999</v>
      </c>
      <c r="AI62" s="13">
        <f>INDEX([1]ratio_ins!AF:AF,MATCH('001_population_health_zone_zs'!$B$2,[1]ratio_ins!$B:$B,0))*$G62*INDEX([1]ratio_ins!$D:$D,MATCH('001_population_health_zone_zs'!$B62,[1]ratio_ins!$B:$B,0))</f>
        <v>74048.503729199991</v>
      </c>
      <c r="AJ62" s="10">
        <f>INDEX([1]ratio_ins!AG:AG,MATCH('001_population_health_zone_zs'!$B$2,[1]ratio_ins!$B:$B,0))*$G62*INDEX([1]ratio_ins!$D:$D,MATCH('001_population_health_zone_zs'!$B62,[1]ratio_ins!$B:$B,0))</f>
        <v>4314.5144328000006</v>
      </c>
      <c r="AK62" s="10">
        <f>INDEX([1]ratio_ins!AH:AH,MATCH('001_population_health_zone_zs'!$B$2,[1]ratio_ins!$B:$B,0))*$G62*INDEX([1]ratio_ins!$D:$D,MATCH('001_population_health_zone_zs'!$B62,[1]ratio_ins!$B:$B,0))</f>
        <v>9616.6887960000004</v>
      </c>
      <c r="AL62" s="10">
        <f>INDEX([1]ratio_ins!AI:AI,MATCH('001_population_health_zone_zs'!$B$2,[1]ratio_ins!$B:$B,0))*$G62*INDEX([1]ratio_ins!$D:$D,MATCH('001_population_health_zone_zs'!$B62,[1]ratio_ins!$B:$B,0))</f>
        <v>9096.8677800000005</v>
      </c>
      <c r="AM62" s="10">
        <f>INDEX([1]ratio_ins!AJ:AJ,MATCH('001_population_health_zone_zs'!$B$2,[1]ratio_ins!$B:$B,0))*$G62*INDEX([1]ratio_ins!$D:$D,MATCH('001_population_health_zone_zs'!$B62,[1]ratio_ins!$B:$B,0))</f>
        <v>8317.1362559999998</v>
      </c>
      <c r="AN62" s="10">
        <f>INDEX([1]ratio_ins!AK:AK,MATCH('001_population_health_zone_zs'!$B$2,[1]ratio_ins!$B:$B,0))*$G62*INDEX([1]ratio_ins!$D:$D,MATCH('001_population_health_zone_zs'!$B62,[1]ratio_ins!$B:$B,0))</f>
        <v>7797.3152399999999</v>
      </c>
      <c r="AO62" s="10">
        <f>INDEX([1]ratio_ins!AL:AL,MATCH('001_population_health_zone_zs'!$B$2,[1]ratio_ins!$B:$B,0))*$G62*INDEX([1]ratio_ins!$D:$D,MATCH('001_population_health_zone_zs'!$B62,[1]ratio_ins!$B:$B,0))</f>
        <v>5847.9864299999999</v>
      </c>
      <c r="AP62" s="10">
        <f>INDEX([1]ratio_ins!AM:AM,MATCH('001_population_health_zone_zs'!$B$2,[1]ratio_ins!$B:$B,0))*$G62*INDEX([1]ratio_ins!$D:$D,MATCH('001_population_health_zone_zs'!$B62,[1]ratio_ins!$B:$B,0))</f>
        <v>3768.702366</v>
      </c>
      <c r="AQ62" s="10">
        <f>INDEX([1]ratio_ins!AN:AN,MATCH('001_population_health_zone_zs'!$B$2,[1]ratio_ins!$B:$B,0))*$G62*INDEX([1]ratio_ins!$D:$D,MATCH('001_population_health_zone_zs'!$B62,[1]ratio_ins!$B:$B,0))</f>
        <v>2988.9708420000002</v>
      </c>
      <c r="AR62" s="10">
        <f>INDEX([1]ratio_ins!AO:AO,MATCH('001_population_health_zone_zs'!$B$2,[1]ratio_ins!$B:$B,0))*$G62*INDEX([1]ratio_ins!$D:$D,MATCH('001_population_health_zone_zs'!$B62,[1]ratio_ins!$B:$B,0))</f>
        <v>1429.5077940000001</v>
      </c>
      <c r="AS62" s="13">
        <f>INDEX([1]ratio_ins!AP:AP,MATCH('001_population_health_zone_zs'!$B$2,[1]ratio_ins!$B:$B,0))*$G62*INDEX([1]ratio_ins!$D:$D,MATCH('001_population_health_zone_zs'!$B62,[1]ratio_ins!$B:$B,0))</f>
        <v>53177.689936800001</v>
      </c>
      <c r="AT62" s="10">
        <f>INDEX([1]ratio_ins!AQ:AQ,MATCH('001_population_health_zone_zs'!$B$2,[1]ratio_ins!$B:$B,0))*$G62*INDEX([1]ratio_ins!$D:$D,MATCH('001_population_health_zone_zs'!$B62,[1]ratio_ins!$B:$B,0))</f>
        <v>1299.5525400000001</v>
      </c>
      <c r="AU62" s="10">
        <f>INDEX([1]ratio_ins!AR:AR,MATCH('001_population_health_zone_zs'!$B$2,[1]ratio_ins!$B:$B,0))*$G62*INDEX([1]ratio_ins!$D:$D,MATCH('001_population_health_zone_zs'!$B62,[1]ratio_ins!$B:$B,0))</f>
        <v>779.73152400000004</v>
      </c>
      <c r="AV62" s="10">
        <f>INDEX([1]ratio_ins!AS:AS,MATCH('001_population_health_zone_zs'!$B$2,[1]ratio_ins!$B:$B,0))*$G62*INDEX([1]ratio_ins!$D:$D,MATCH('001_population_health_zone_zs'!$B62,[1]ratio_ins!$B:$B,0))</f>
        <v>389.86576200000002</v>
      </c>
      <c r="AW62" s="10">
        <f>INDEX([1]ratio_ins!AT:AT,MATCH('001_population_health_zone_zs'!$B$2,[1]ratio_ins!$B:$B,0))*$G62*INDEX([1]ratio_ins!$D:$D,MATCH('001_population_health_zone_zs'!$B62,[1]ratio_ins!$B:$B,0))</f>
        <v>259.91050799999999</v>
      </c>
      <c r="AX62" s="13">
        <f>INDEX([1]ratio_ins!AU:AU,MATCH('001_population_health_zone_zs'!$B$2,[1]ratio_ins!$B:$B,0))*$G62*INDEX([1]ratio_ins!$D:$D,MATCH('001_population_health_zone_zs'!$B62,[1]ratio_ins!$B:$B,0))</f>
        <v>2729.0603339999998</v>
      </c>
      <c r="AY62" s="14">
        <f t="shared" si="1"/>
        <v>129955.25399999999</v>
      </c>
      <c r="AZ62" s="15">
        <f t="shared" si="2"/>
        <v>256322</v>
      </c>
      <c r="BA62" s="16">
        <v>245891.82320063989</v>
      </c>
      <c r="BB62" s="10">
        <f t="shared" si="3"/>
        <v>55230.982949999998</v>
      </c>
      <c r="BC62" s="17">
        <f t="shared" si="4"/>
        <v>0.215475</v>
      </c>
      <c r="BD62" s="10">
        <f t="shared" si="5"/>
        <v>52694.933082000003</v>
      </c>
    </row>
    <row r="63" spans="1:56" x14ac:dyDescent="0.25">
      <c r="A63" s="8" t="s">
        <v>82</v>
      </c>
      <c r="B63" s="8" t="s">
        <v>83</v>
      </c>
      <c r="C63" s="8" t="s">
        <v>144</v>
      </c>
      <c r="D63" s="8" t="s">
        <v>145</v>
      </c>
      <c r="E63" s="8" t="s">
        <v>148</v>
      </c>
      <c r="F63" s="8" t="s">
        <v>149</v>
      </c>
      <c r="G63" s="9">
        <v>233153</v>
      </c>
      <c r="H63" s="10">
        <f>INDEX([1]ratio_ins!F:F,MATCH('001_population_health_zone_zs'!$B$2,[1]ratio_ins!$B:$B,0))*$G63*INDEX([1]ratio_ins!$C:$C,MATCH('001_population_health_zone_zs'!$B63,[1]ratio_ins!$B:$B,0))</f>
        <v>24023.385661</v>
      </c>
      <c r="I63" s="10">
        <f>INDEX([1]ratio_ins!G:G,MATCH('001_population_health_zone_zs'!$B$2,[1]ratio_ins!$B:$B,0))*$G63*INDEX([1]ratio_ins!$C:$C,MATCH('001_population_health_zone_zs'!$B63,[1]ratio_ins!$B:$B,0))</f>
        <v>19655.497359000001</v>
      </c>
      <c r="J63" s="10">
        <f>INDEX([1]ratio_ins!H:H,MATCH('001_population_health_zone_zs'!$B$2,[1]ratio_ins!$B:$B,0))*$G63*INDEX([1]ratio_ins!$C:$C,MATCH('001_population_health_zone_zs'!$B63,[1]ratio_ins!$B:$B,0))</f>
        <v>15517.497915000002</v>
      </c>
      <c r="K63" s="10">
        <f>INDEX([1]ratio_ins!I:I,MATCH('001_population_health_zone_zs'!$B$2,[1]ratio_ins!$B:$B,0))*$G63*INDEX([1]ratio_ins!$C:$C,MATCH('001_population_health_zone_zs'!$B63,[1]ratio_ins!$B:$B,0))</f>
        <v>9540.3876070000006</v>
      </c>
      <c r="L63" s="10">
        <f>INDEX([1]ratio_ins!J:J,MATCH('001_population_health_zone_zs'!$B$2,[1]ratio_ins!$B:$B,0))*$G63*INDEX([1]ratio_ins!$C:$C,MATCH('001_population_health_zone_zs'!$B63,[1]ratio_ins!$B:$B,0))</f>
        <v>5724.2325641999996</v>
      </c>
      <c r="M63" s="11">
        <f>INDEX([1]ratio_ins!K:K,MATCH('001_population_health_zone_zs'!$B$2,[1]ratio_ins!$B:$B,0))*$G63*INDEX([1]ratio_ins!$C:$C,MATCH('001_population_health_zone_zs'!$B63,[1]ratio_ins!$B:$B,0))</f>
        <v>64920.613499200001</v>
      </c>
      <c r="N63" s="10">
        <f>INDEX([1]ratio_ins!L:L,MATCH('001_population_health_zone_zs'!$B$2,[1]ratio_ins!$B:$B,0))*$G63*INDEX([1]ratio_ins!$C:$C,MATCH('001_population_health_zone_zs'!$B63,[1]ratio_ins!$B:$B,0))</f>
        <v>3816.1550428</v>
      </c>
      <c r="O63" s="10">
        <f>INDEX([1]ratio_ins!M:M,MATCH('001_population_health_zone_zs'!$B$2,[1]ratio_ins!$B:$B,0))*$G63*INDEX([1]ratio_ins!$C:$C,MATCH('001_population_health_zone_zs'!$B63,[1]ratio_ins!$B:$B,0))</f>
        <v>8275.9988880000019</v>
      </c>
      <c r="P63" s="10">
        <f>INDEX([1]ratio_ins!N:N,MATCH('001_population_health_zone_zs'!$B$2,[1]ratio_ins!$B:$B,0))*$G63*INDEX([1]ratio_ins!$C:$C,MATCH('001_population_health_zone_zs'!$B63,[1]ratio_ins!$B:$B,0))</f>
        <v>7471.3878850000001</v>
      </c>
      <c r="Q63" s="10">
        <f>INDEX([1]ratio_ins!O:O,MATCH('001_population_health_zone_zs'!$B$2,[1]ratio_ins!$B:$B,0))*$G63*INDEX([1]ratio_ins!$C:$C,MATCH('001_population_health_zone_zs'!$B63,[1]ratio_ins!$B:$B,0))</f>
        <v>6666.7768820000001</v>
      </c>
      <c r="R63" s="10">
        <f>INDEX([1]ratio_ins!P:P,MATCH('001_population_health_zone_zs'!$B$2,[1]ratio_ins!$B:$B,0))*$G63*INDEX([1]ratio_ins!$C:$C,MATCH('001_population_health_zone_zs'!$B63,[1]ratio_ins!$B:$B,0))</f>
        <v>6551.8324530000009</v>
      </c>
      <c r="S63" s="10">
        <f>INDEX([1]ratio_ins!Q:Q,MATCH('001_population_health_zone_zs'!$B$2,[1]ratio_ins!$B:$B,0))*$G63*INDEX([1]ratio_ins!$C:$C,MATCH('001_population_health_zone_zs'!$B63,[1]ratio_ins!$B:$B,0))</f>
        <v>5517.3325920000007</v>
      </c>
      <c r="T63" s="10">
        <f>INDEX([1]ratio_ins!R:R,MATCH('001_population_health_zone_zs'!$B$2,[1]ratio_ins!$B:$B,0))*$G63*INDEX([1]ratio_ins!$C:$C,MATCH('001_population_health_zone_zs'!$B63,[1]ratio_ins!$B:$B,0))</f>
        <v>3908.1105860000002</v>
      </c>
      <c r="U63" s="10">
        <f>INDEX([1]ratio_ins!S:S,MATCH('001_population_health_zone_zs'!$B$2,[1]ratio_ins!$B:$B,0))*$G63*INDEX([1]ratio_ins!$C:$C,MATCH('001_population_health_zone_zs'!$B63,[1]ratio_ins!$B:$B,0))</f>
        <v>3103.4995830000003</v>
      </c>
      <c r="V63" s="10">
        <f>INDEX([1]ratio_ins!T:T,MATCH('001_population_health_zone_zs'!$B$2,[1]ratio_ins!$B:$B,0))*$G63*INDEX([1]ratio_ins!$C:$C,MATCH('001_population_health_zone_zs'!$B63,[1]ratio_ins!$B:$B,0))</f>
        <v>1724.1664350000001</v>
      </c>
      <c r="W63" s="11">
        <f>INDEX([1]ratio_ins!U:U,MATCH('001_population_health_zone_zs'!$B$2,[1]ratio_ins!$B:$B,0))*$G63*INDEX([1]ratio_ins!$C:$C,MATCH('001_population_health_zone_zs'!$B63,[1]ratio_ins!$B:$B,0))</f>
        <v>47035.260346800002</v>
      </c>
      <c r="X63" s="10">
        <f>INDEX([1]ratio_ins!V:V,MATCH('001_population_health_zone_zs'!$B$2,[1]ratio_ins!$B:$B,0))*$G63*INDEX([1]ratio_ins!$C:$C,MATCH('001_population_health_zone_zs'!$B63,[1]ratio_ins!$B:$B,0))</f>
        <v>1379.3331480000002</v>
      </c>
      <c r="Y63" s="10">
        <f>INDEX([1]ratio_ins!W:W,MATCH('001_population_health_zone_zs'!$B$2,[1]ratio_ins!$B:$B,0))*$G63*INDEX([1]ratio_ins!$C:$C,MATCH('001_population_health_zone_zs'!$B63,[1]ratio_ins!$B:$B,0))</f>
        <v>919.555432</v>
      </c>
      <c r="Z63" s="10">
        <f>INDEX([1]ratio_ins!X:X,MATCH('001_population_health_zone_zs'!$B$2,[1]ratio_ins!$B:$B,0))*$G63*INDEX([1]ratio_ins!$C:$C,MATCH('001_population_health_zone_zs'!$B63,[1]ratio_ins!$B:$B,0))</f>
        <v>459.777716</v>
      </c>
      <c r="AA63" s="10">
        <f>INDEX([1]ratio_ins!Y:Y,MATCH('001_population_health_zone_zs'!$B$2,[1]ratio_ins!$B:$B,0))*$G63*INDEX([1]ratio_ins!$C:$C,MATCH('001_population_health_zone_zs'!$B63,[1]ratio_ins!$B:$B,0))</f>
        <v>229.888858</v>
      </c>
      <c r="AB63" s="11">
        <f>INDEX([1]ratio_ins!Z:Z,MATCH('001_population_health_zone_zs'!$B$2,[1]ratio_ins!$B:$B,0))*$G63*INDEX([1]ratio_ins!$C:$C,MATCH('001_population_health_zone_zs'!$B63,[1]ratio_ins!$B:$B,0))</f>
        <v>2988.5551540000006</v>
      </c>
      <c r="AC63" s="12">
        <f t="shared" si="0"/>
        <v>114944.429</v>
      </c>
      <c r="AD63" s="10">
        <f>INDEX([1]ratio_ins!AA:AA,MATCH('001_population_health_zone_zs'!$B$2,[1]ratio_ins!$B:$B,0))*$G63*INDEX([1]ratio_ins!$D:$D,MATCH('001_population_health_zone_zs'!$B63,[1]ratio_ins!$B:$B,0))</f>
        <v>24823.799909999998</v>
      </c>
      <c r="AE63" s="10">
        <f>INDEX([1]ratio_ins!AB:AB,MATCH('001_population_health_zone_zs'!$B$2,[1]ratio_ins!$B:$B,0))*$G63*INDEX([1]ratio_ins!$D:$D,MATCH('001_population_health_zone_zs'!$B63,[1]ratio_ins!$B:$B,0))</f>
        <v>20450.082783000002</v>
      </c>
      <c r="AF63" s="10">
        <f>INDEX([1]ratio_ins!AC:AC,MATCH('001_population_health_zone_zs'!$B$2,[1]ratio_ins!$B:$B,0))*$G63*INDEX([1]ratio_ins!$D:$D,MATCH('001_population_health_zone_zs'!$B63,[1]ratio_ins!$B:$B,0))</f>
        <v>16194.574226999997</v>
      </c>
      <c r="AG63" s="10">
        <f>INDEX([1]ratio_ins!AD:AD,MATCH('001_population_health_zone_zs'!$B$2,[1]ratio_ins!$B:$B,0))*$G63*INDEX([1]ratio_ins!$D:$D,MATCH('001_population_health_zone_zs'!$B63,[1]ratio_ins!$B:$B,0))</f>
        <v>9811.311393</v>
      </c>
      <c r="AH63" s="10">
        <f>INDEX([1]ratio_ins!AE:AE,MATCH('001_population_health_zone_zs'!$B$2,[1]ratio_ins!$B:$B,0))*$G63*INDEX([1]ratio_ins!$D:$D,MATCH('001_population_health_zone_zs'!$B63,[1]ratio_ins!$B:$B,0))</f>
        <v>5886.7868357999996</v>
      </c>
      <c r="AI63" s="13">
        <f>INDEX([1]ratio_ins!AF:AF,MATCH('001_population_health_zone_zs'!$B$2,[1]ratio_ins!$B:$B,0))*$G63*INDEX([1]ratio_ins!$D:$D,MATCH('001_population_health_zone_zs'!$B63,[1]ratio_ins!$B:$B,0))</f>
        <v>67355.243755799995</v>
      </c>
      <c r="AJ63" s="10">
        <f>INDEX([1]ratio_ins!AG:AG,MATCH('001_population_health_zone_zs'!$B$2,[1]ratio_ins!$B:$B,0))*$G63*INDEX([1]ratio_ins!$D:$D,MATCH('001_population_health_zone_zs'!$B63,[1]ratio_ins!$B:$B,0))</f>
        <v>3924.5245572000003</v>
      </c>
      <c r="AK63" s="10">
        <f>INDEX([1]ratio_ins!AH:AH,MATCH('001_population_health_zone_zs'!$B$2,[1]ratio_ins!$B:$B,0))*$G63*INDEX([1]ratio_ins!$D:$D,MATCH('001_population_health_zone_zs'!$B63,[1]ratio_ins!$B:$B,0))</f>
        <v>8747.4342540000016</v>
      </c>
      <c r="AL63" s="10">
        <f>INDEX([1]ratio_ins!AI:AI,MATCH('001_population_health_zone_zs'!$B$2,[1]ratio_ins!$B:$B,0))*$G63*INDEX([1]ratio_ins!$D:$D,MATCH('001_population_health_zone_zs'!$B63,[1]ratio_ins!$B:$B,0))</f>
        <v>8274.5999700000011</v>
      </c>
      <c r="AM63" s="10">
        <f>INDEX([1]ratio_ins!AJ:AJ,MATCH('001_population_health_zone_zs'!$B$2,[1]ratio_ins!$B:$B,0))*$G63*INDEX([1]ratio_ins!$D:$D,MATCH('001_population_health_zone_zs'!$B63,[1]ratio_ins!$B:$B,0))</f>
        <v>7565.3485439999995</v>
      </c>
      <c r="AN63" s="10">
        <f>INDEX([1]ratio_ins!AK:AK,MATCH('001_population_health_zone_zs'!$B$2,[1]ratio_ins!$B:$B,0))*$G63*INDEX([1]ratio_ins!$D:$D,MATCH('001_population_health_zone_zs'!$B63,[1]ratio_ins!$B:$B,0))</f>
        <v>7092.5142599999999</v>
      </c>
      <c r="AO63" s="10">
        <f>INDEX([1]ratio_ins!AL:AL,MATCH('001_population_health_zone_zs'!$B$2,[1]ratio_ins!$B:$B,0))*$G63*INDEX([1]ratio_ins!$D:$D,MATCH('001_population_health_zone_zs'!$B63,[1]ratio_ins!$B:$B,0))</f>
        <v>5319.3856949999999</v>
      </c>
      <c r="AP63" s="10">
        <f>INDEX([1]ratio_ins!AM:AM,MATCH('001_population_health_zone_zs'!$B$2,[1]ratio_ins!$B:$B,0))*$G63*INDEX([1]ratio_ins!$D:$D,MATCH('001_population_health_zone_zs'!$B63,[1]ratio_ins!$B:$B,0))</f>
        <v>3428.0485589999998</v>
      </c>
      <c r="AQ63" s="10">
        <f>INDEX([1]ratio_ins!AN:AN,MATCH('001_population_health_zone_zs'!$B$2,[1]ratio_ins!$B:$B,0))*$G63*INDEX([1]ratio_ins!$D:$D,MATCH('001_population_health_zone_zs'!$B63,[1]ratio_ins!$B:$B,0))</f>
        <v>2718.797133</v>
      </c>
      <c r="AR63" s="10">
        <f>INDEX([1]ratio_ins!AO:AO,MATCH('001_population_health_zone_zs'!$B$2,[1]ratio_ins!$B:$B,0))*$G63*INDEX([1]ratio_ins!$D:$D,MATCH('001_population_health_zone_zs'!$B63,[1]ratio_ins!$B:$B,0))</f>
        <v>1300.2942810000002</v>
      </c>
      <c r="AS63" s="13">
        <f>INDEX([1]ratio_ins!AP:AP,MATCH('001_population_health_zone_zs'!$B$2,[1]ratio_ins!$B:$B,0))*$G63*INDEX([1]ratio_ins!$D:$D,MATCH('001_population_health_zone_zs'!$B63,[1]ratio_ins!$B:$B,0))</f>
        <v>48370.947253200007</v>
      </c>
      <c r="AT63" s="10">
        <f>INDEX([1]ratio_ins!AQ:AQ,MATCH('001_population_health_zone_zs'!$B$2,[1]ratio_ins!$B:$B,0))*$G63*INDEX([1]ratio_ins!$D:$D,MATCH('001_population_health_zone_zs'!$B63,[1]ratio_ins!$B:$B,0))</f>
        <v>1182.0857100000001</v>
      </c>
      <c r="AU63" s="10">
        <f>INDEX([1]ratio_ins!AR:AR,MATCH('001_population_health_zone_zs'!$B$2,[1]ratio_ins!$B:$B,0))*$G63*INDEX([1]ratio_ins!$D:$D,MATCH('001_population_health_zone_zs'!$B63,[1]ratio_ins!$B:$B,0))</f>
        <v>709.25142600000004</v>
      </c>
      <c r="AV63" s="10">
        <f>INDEX([1]ratio_ins!AS:AS,MATCH('001_population_health_zone_zs'!$B$2,[1]ratio_ins!$B:$B,0))*$G63*INDEX([1]ratio_ins!$D:$D,MATCH('001_population_health_zone_zs'!$B63,[1]ratio_ins!$B:$B,0))</f>
        <v>354.62571300000002</v>
      </c>
      <c r="AW63" s="10">
        <f>INDEX([1]ratio_ins!AT:AT,MATCH('001_population_health_zone_zs'!$B$2,[1]ratio_ins!$B:$B,0))*$G63*INDEX([1]ratio_ins!$D:$D,MATCH('001_population_health_zone_zs'!$B63,[1]ratio_ins!$B:$B,0))</f>
        <v>236.41714199999998</v>
      </c>
      <c r="AX63" s="13">
        <f>INDEX([1]ratio_ins!AU:AU,MATCH('001_population_health_zone_zs'!$B$2,[1]ratio_ins!$B:$B,0))*$G63*INDEX([1]ratio_ins!$D:$D,MATCH('001_population_health_zone_zs'!$B63,[1]ratio_ins!$B:$B,0))</f>
        <v>2482.3799909999998</v>
      </c>
      <c r="AY63" s="14">
        <f t="shared" si="1"/>
        <v>118208.571</v>
      </c>
      <c r="AZ63" s="15">
        <f t="shared" si="2"/>
        <v>233153</v>
      </c>
      <c r="BA63" s="16">
        <v>223665.53904647718</v>
      </c>
      <c r="BB63" s="10">
        <f t="shared" si="3"/>
        <v>50238.642675000003</v>
      </c>
      <c r="BC63" s="17">
        <f t="shared" si="4"/>
        <v>0.215475</v>
      </c>
      <c r="BD63" s="10">
        <f t="shared" si="5"/>
        <v>47931.826893000005</v>
      </c>
    </row>
    <row r="64" spans="1:56" x14ac:dyDescent="0.25">
      <c r="A64" s="8" t="s">
        <v>82</v>
      </c>
      <c r="B64" s="8" t="s">
        <v>83</v>
      </c>
      <c r="C64" s="8" t="s">
        <v>150</v>
      </c>
      <c r="D64" s="8" t="s">
        <v>151</v>
      </c>
      <c r="E64" s="8" t="s">
        <v>152</v>
      </c>
      <c r="F64" s="8" t="s">
        <v>153</v>
      </c>
      <c r="G64" s="9">
        <v>395396</v>
      </c>
      <c r="H64" s="10">
        <f>INDEX([1]ratio_ins!F:F,MATCH('001_population_health_zone_zs'!$B$2,[1]ratio_ins!$B:$B,0))*$G64*INDEX([1]ratio_ins!$C:$C,MATCH('001_population_health_zone_zs'!$B64,[1]ratio_ins!$B:$B,0))</f>
        <v>40740.417651999996</v>
      </c>
      <c r="I64" s="10">
        <f>INDEX([1]ratio_ins!G:G,MATCH('001_population_health_zone_zs'!$B$2,[1]ratio_ins!$B:$B,0))*$G64*INDEX([1]ratio_ins!$C:$C,MATCH('001_population_health_zone_zs'!$B64,[1]ratio_ins!$B:$B,0))</f>
        <v>33333.068987999999</v>
      </c>
      <c r="J64" s="10">
        <f>INDEX([1]ratio_ins!H:H,MATCH('001_population_health_zone_zs'!$B$2,[1]ratio_ins!$B:$B,0))*$G64*INDEX([1]ratio_ins!$C:$C,MATCH('001_population_health_zone_zs'!$B64,[1]ratio_ins!$B:$B,0))</f>
        <v>26315.580780000004</v>
      </c>
      <c r="K64" s="10">
        <f>INDEX([1]ratio_ins!I:I,MATCH('001_population_health_zone_zs'!$B$2,[1]ratio_ins!$B:$B,0))*$G64*INDEX([1]ratio_ins!$C:$C,MATCH('001_population_health_zone_zs'!$B64,[1]ratio_ins!$B:$B,0))</f>
        <v>16179.208924</v>
      </c>
      <c r="L64" s="10">
        <f>INDEX([1]ratio_ins!J:J,MATCH('001_population_health_zone_zs'!$B$2,[1]ratio_ins!$B:$B,0))*$G64*INDEX([1]ratio_ins!$C:$C,MATCH('001_population_health_zone_zs'!$B64,[1]ratio_ins!$B:$B,0))</f>
        <v>9707.5253543999988</v>
      </c>
      <c r="M64" s="11">
        <f>INDEX([1]ratio_ins!K:K,MATCH('001_population_health_zone_zs'!$B$2,[1]ratio_ins!$B:$B,0))*$G64*INDEX([1]ratio_ins!$C:$C,MATCH('001_population_health_zone_zs'!$B64,[1]ratio_ins!$B:$B,0))</f>
        <v>110096.59277439999</v>
      </c>
      <c r="N64" s="10">
        <f>INDEX([1]ratio_ins!L:L,MATCH('001_population_health_zone_zs'!$B$2,[1]ratio_ins!$B:$B,0))*$G64*INDEX([1]ratio_ins!$C:$C,MATCH('001_population_health_zone_zs'!$B64,[1]ratio_ins!$B:$B,0))</f>
        <v>6471.6835695999998</v>
      </c>
      <c r="O64" s="10">
        <f>INDEX([1]ratio_ins!M:M,MATCH('001_population_health_zone_zs'!$B$2,[1]ratio_ins!$B:$B,0))*$G64*INDEX([1]ratio_ins!$C:$C,MATCH('001_population_health_zone_zs'!$B64,[1]ratio_ins!$B:$B,0))</f>
        <v>14034.976416000001</v>
      </c>
      <c r="P64" s="10">
        <f>INDEX([1]ratio_ins!N:N,MATCH('001_population_health_zone_zs'!$B$2,[1]ratio_ins!$B:$B,0))*$G64*INDEX([1]ratio_ins!$C:$C,MATCH('001_population_health_zone_zs'!$B64,[1]ratio_ins!$B:$B,0))</f>
        <v>12670.464820000001</v>
      </c>
      <c r="Q64" s="10">
        <f>INDEX([1]ratio_ins!O:O,MATCH('001_population_health_zone_zs'!$B$2,[1]ratio_ins!$B:$B,0))*$G64*INDEX([1]ratio_ins!$C:$C,MATCH('001_population_health_zone_zs'!$B64,[1]ratio_ins!$B:$B,0))</f>
        <v>11305.953223999999</v>
      </c>
      <c r="R64" s="10">
        <f>INDEX([1]ratio_ins!P:P,MATCH('001_population_health_zone_zs'!$B$2,[1]ratio_ins!$B:$B,0))*$G64*INDEX([1]ratio_ins!$C:$C,MATCH('001_population_health_zone_zs'!$B64,[1]ratio_ins!$B:$B,0))</f>
        <v>11111.022996</v>
      </c>
      <c r="S64" s="10">
        <f>INDEX([1]ratio_ins!Q:Q,MATCH('001_population_health_zone_zs'!$B$2,[1]ratio_ins!$B:$B,0))*$G64*INDEX([1]ratio_ins!$C:$C,MATCH('001_population_health_zone_zs'!$B64,[1]ratio_ins!$B:$B,0))</f>
        <v>9356.6509440000009</v>
      </c>
      <c r="T64" s="10">
        <f>INDEX([1]ratio_ins!R:R,MATCH('001_population_health_zone_zs'!$B$2,[1]ratio_ins!$B:$B,0))*$G64*INDEX([1]ratio_ins!$C:$C,MATCH('001_population_health_zone_zs'!$B64,[1]ratio_ins!$B:$B,0))</f>
        <v>6627.6277520000012</v>
      </c>
      <c r="U64" s="10">
        <f>INDEX([1]ratio_ins!S:S,MATCH('001_population_health_zone_zs'!$B$2,[1]ratio_ins!$B:$B,0))*$G64*INDEX([1]ratio_ins!$C:$C,MATCH('001_population_health_zone_zs'!$B64,[1]ratio_ins!$B:$B,0))</f>
        <v>5263.116156</v>
      </c>
      <c r="V64" s="10">
        <f>INDEX([1]ratio_ins!T:T,MATCH('001_population_health_zone_zs'!$B$2,[1]ratio_ins!$B:$B,0))*$G64*INDEX([1]ratio_ins!$C:$C,MATCH('001_population_health_zone_zs'!$B64,[1]ratio_ins!$B:$B,0))</f>
        <v>2923.9534199999998</v>
      </c>
      <c r="W64" s="11">
        <f>INDEX([1]ratio_ins!U:U,MATCH('001_population_health_zone_zs'!$B$2,[1]ratio_ins!$B:$B,0))*$G64*INDEX([1]ratio_ins!$C:$C,MATCH('001_population_health_zone_zs'!$B64,[1]ratio_ins!$B:$B,0))</f>
        <v>79765.449297600004</v>
      </c>
      <c r="X64" s="10">
        <f>INDEX([1]ratio_ins!V:V,MATCH('001_population_health_zone_zs'!$B$2,[1]ratio_ins!$B:$B,0))*$G64*INDEX([1]ratio_ins!$C:$C,MATCH('001_population_health_zone_zs'!$B64,[1]ratio_ins!$B:$B,0))</f>
        <v>2339.1627360000002</v>
      </c>
      <c r="Y64" s="10">
        <f>INDEX([1]ratio_ins!W:W,MATCH('001_population_health_zone_zs'!$B$2,[1]ratio_ins!$B:$B,0))*$G64*INDEX([1]ratio_ins!$C:$C,MATCH('001_population_health_zone_zs'!$B64,[1]ratio_ins!$B:$B,0))</f>
        <v>1559.441824</v>
      </c>
      <c r="Z64" s="10">
        <f>INDEX([1]ratio_ins!X:X,MATCH('001_population_health_zone_zs'!$B$2,[1]ratio_ins!$B:$B,0))*$G64*INDEX([1]ratio_ins!$C:$C,MATCH('001_population_health_zone_zs'!$B64,[1]ratio_ins!$B:$B,0))</f>
        <v>779.720912</v>
      </c>
      <c r="AA64" s="10">
        <f>INDEX([1]ratio_ins!Y:Y,MATCH('001_population_health_zone_zs'!$B$2,[1]ratio_ins!$B:$B,0))*$G64*INDEX([1]ratio_ins!$C:$C,MATCH('001_population_health_zone_zs'!$B64,[1]ratio_ins!$B:$B,0))</f>
        <v>389.860456</v>
      </c>
      <c r="AB64" s="11">
        <f>INDEX([1]ratio_ins!Z:Z,MATCH('001_population_health_zone_zs'!$B$2,[1]ratio_ins!$B:$B,0))*$G64*INDEX([1]ratio_ins!$C:$C,MATCH('001_population_health_zone_zs'!$B64,[1]ratio_ins!$B:$B,0))</f>
        <v>5068.1859279999999</v>
      </c>
      <c r="AC64" s="12">
        <f t="shared" si="0"/>
        <v>194930.22799999997</v>
      </c>
      <c r="AD64" s="10">
        <f>INDEX([1]ratio_ins!AA:AA,MATCH('001_population_health_zone_zs'!$B$2,[1]ratio_ins!$B:$B,0))*$G64*INDEX([1]ratio_ins!$D:$D,MATCH('001_population_health_zone_zs'!$B64,[1]ratio_ins!$B:$B,0))</f>
        <v>42097.812120000002</v>
      </c>
      <c r="AE64" s="10">
        <f>INDEX([1]ratio_ins!AB:AB,MATCH('001_population_health_zone_zs'!$B$2,[1]ratio_ins!$B:$B,0))*$G64*INDEX([1]ratio_ins!$D:$D,MATCH('001_population_health_zone_zs'!$B64,[1]ratio_ins!$B:$B,0))</f>
        <v>34680.578556</v>
      </c>
      <c r="AF64" s="10">
        <f>INDEX([1]ratio_ins!AC:AC,MATCH('001_population_health_zone_zs'!$B$2,[1]ratio_ins!$B:$B,0))*$G64*INDEX([1]ratio_ins!$D:$D,MATCH('001_population_health_zone_zs'!$B64,[1]ratio_ins!$B:$B,0))</f>
        <v>27463.810763999998</v>
      </c>
      <c r="AG64" s="10">
        <f>INDEX([1]ratio_ins!AD:AD,MATCH('001_population_health_zone_zs'!$B$2,[1]ratio_ins!$B:$B,0))*$G64*INDEX([1]ratio_ins!$D:$D,MATCH('001_population_health_zone_zs'!$B64,[1]ratio_ins!$B:$B,0))</f>
        <v>16638.659076</v>
      </c>
      <c r="AH64" s="10">
        <f>INDEX([1]ratio_ins!AE:AE,MATCH('001_population_health_zone_zs'!$B$2,[1]ratio_ins!$B:$B,0))*$G64*INDEX([1]ratio_ins!$D:$D,MATCH('001_population_health_zone_zs'!$B64,[1]ratio_ins!$B:$B,0))</f>
        <v>9983.1954456000003</v>
      </c>
      <c r="AI64" s="13">
        <f>INDEX([1]ratio_ins!AF:AF,MATCH('001_population_health_zone_zs'!$B$2,[1]ratio_ins!$B:$B,0))*$G64*INDEX([1]ratio_ins!$D:$D,MATCH('001_population_health_zone_zs'!$B64,[1]ratio_ins!$B:$B,0))</f>
        <v>114225.3968856</v>
      </c>
      <c r="AJ64" s="10">
        <f>INDEX([1]ratio_ins!AG:AG,MATCH('001_population_health_zone_zs'!$B$2,[1]ratio_ins!$B:$B,0))*$G64*INDEX([1]ratio_ins!$D:$D,MATCH('001_population_health_zone_zs'!$B64,[1]ratio_ins!$B:$B,0))</f>
        <v>6655.4636303999996</v>
      </c>
      <c r="AK64" s="10">
        <f>INDEX([1]ratio_ins!AH:AH,MATCH('001_population_health_zone_zs'!$B$2,[1]ratio_ins!$B:$B,0))*$G64*INDEX([1]ratio_ins!$D:$D,MATCH('001_population_health_zone_zs'!$B64,[1]ratio_ins!$B:$B,0))</f>
        <v>14834.467128000002</v>
      </c>
      <c r="AL64" s="10">
        <f>INDEX([1]ratio_ins!AI:AI,MATCH('001_population_health_zone_zs'!$B$2,[1]ratio_ins!$B:$B,0))*$G64*INDEX([1]ratio_ins!$D:$D,MATCH('001_population_health_zone_zs'!$B64,[1]ratio_ins!$B:$B,0))</f>
        <v>14032.60404</v>
      </c>
      <c r="AM64" s="10">
        <f>INDEX([1]ratio_ins!AJ:AJ,MATCH('001_population_health_zone_zs'!$B$2,[1]ratio_ins!$B:$B,0))*$G64*INDEX([1]ratio_ins!$D:$D,MATCH('001_population_health_zone_zs'!$B64,[1]ratio_ins!$B:$B,0))</f>
        <v>12829.809408000001</v>
      </c>
      <c r="AN64" s="10">
        <f>INDEX([1]ratio_ins!AK:AK,MATCH('001_population_health_zone_zs'!$B$2,[1]ratio_ins!$B:$B,0))*$G64*INDEX([1]ratio_ins!$D:$D,MATCH('001_population_health_zone_zs'!$B64,[1]ratio_ins!$B:$B,0))</f>
        <v>12027.946319999999</v>
      </c>
      <c r="AO64" s="10">
        <f>INDEX([1]ratio_ins!AL:AL,MATCH('001_population_health_zone_zs'!$B$2,[1]ratio_ins!$B:$B,0))*$G64*INDEX([1]ratio_ins!$D:$D,MATCH('001_population_health_zone_zs'!$B64,[1]ratio_ins!$B:$B,0))</f>
        <v>9020.9597400000002</v>
      </c>
      <c r="AP64" s="10">
        <f>INDEX([1]ratio_ins!AM:AM,MATCH('001_population_health_zone_zs'!$B$2,[1]ratio_ins!$B:$B,0))*$G64*INDEX([1]ratio_ins!$D:$D,MATCH('001_population_health_zone_zs'!$B64,[1]ratio_ins!$B:$B,0))</f>
        <v>5813.5073879999991</v>
      </c>
      <c r="AQ64" s="10">
        <f>INDEX([1]ratio_ins!AN:AN,MATCH('001_population_health_zone_zs'!$B$2,[1]ratio_ins!$B:$B,0))*$G64*INDEX([1]ratio_ins!$D:$D,MATCH('001_population_health_zone_zs'!$B64,[1]ratio_ins!$B:$B,0))</f>
        <v>4610.7127559999999</v>
      </c>
      <c r="AR64" s="10">
        <f>INDEX([1]ratio_ins!AO:AO,MATCH('001_population_health_zone_zs'!$B$2,[1]ratio_ins!$B:$B,0))*$G64*INDEX([1]ratio_ins!$D:$D,MATCH('001_population_health_zone_zs'!$B64,[1]ratio_ins!$B:$B,0))</f>
        <v>2205.1234920000002</v>
      </c>
      <c r="AS64" s="13">
        <f>INDEX([1]ratio_ins!AP:AP,MATCH('001_population_health_zone_zs'!$B$2,[1]ratio_ins!$B:$B,0))*$G64*INDEX([1]ratio_ins!$D:$D,MATCH('001_population_health_zone_zs'!$B64,[1]ratio_ins!$B:$B,0))</f>
        <v>82030.593902400011</v>
      </c>
      <c r="AT64" s="10">
        <f>INDEX([1]ratio_ins!AQ:AQ,MATCH('001_population_health_zone_zs'!$B$2,[1]ratio_ins!$B:$B,0))*$G64*INDEX([1]ratio_ins!$D:$D,MATCH('001_population_health_zone_zs'!$B64,[1]ratio_ins!$B:$B,0))</f>
        <v>2004.6577200000002</v>
      </c>
      <c r="AU64" s="10">
        <f>INDEX([1]ratio_ins!AR:AR,MATCH('001_population_health_zone_zs'!$B$2,[1]ratio_ins!$B:$B,0))*$G64*INDEX([1]ratio_ins!$D:$D,MATCH('001_population_health_zone_zs'!$B64,[1]ratio_ins!$B:$B,0))</f>
        <v>1202.7946320000001</v>
      </c>
      <c r="AV64" s="10">
        <f>INDEX([1]ratio_ins!AS:AS,MATCH('001_population_health_zone_zs'!$B$2,[1]ratio_ins!$B:$B,0))*$G64*INDEX([1]ratio_ins!$D:$D,MATCH('001_population_health_zone_zs'!$B64,[1]ratio_ins!$B:$B,0))</f>
        <v>601.39731600000005</v>
      </c>
      <c r="AW64" s="10">
        <f>INDEX([1]ratio_ins!AT:AT,MATCH('001_population_health_zone_zs'!$B$2,[1]ratio_ins!$B:$B,0))*$G64*INDEX([1]ratio_ins!$D:$D,MATCH('001_population_health_zone_zs'!$B64,[1]ratio_ins!$B:$B,0))</f>
        <v>400.93154400000003</v>
      </c>
      <c r="AX64" s="13">
        <f>INDEX([1]ratio_ins!AU:AU,MATCH('001_population_health_zone_zs'!$B$2,[1]ratio_ins!$B:$B,0))*$G64*INDEX([1]ratio_ins!$D:$D,MATCH('001_population_health_zone_zs'!$B64,[1]ratio_ins!$B:$B,0))</f>
        <v>4209.7812119999999</v>
      </c>
      <c r="AY64" s="14">
        <f t="shared" si="1"/>
        <v>200465.772</v>
      </c>
      <c r="AZ64" s="15">
        <f t="shared" si="2"/>
        <v>395396</v>
      </c>
      <c r="BA64" s="16">
        <v>379307.24510524201</v>
      </c>
      <c r="BB64" s="10">
        <f t="shared" si="3"/>
        <v>85197.953099999999</v>
      </c>
      <c r="BC64" s="17">
        <f t="shared" si="4"/>
        <v>0.215475</v>
      </c>
      <c r="BD64" s="10">
        <f t="shared" si="5"/>
        <v>81285.905075999995</v>
      </c>
    </row>
    <row r="65" spans="1:56" x14ac:dyDescent="0.25">
      <c r="A65" s="8" t="s">
        <v>82</v>
      </c>
      <c r="B65" s="8" t="s">
        <v>83</v>
      </c>
      <c r="C65" s="8" t="s">
        <v>150</v>
      </c>
      <c r="D65" s="8" t="s">
        <v>151</v>
      </c>
      <c r="E65" s="8" t="s">
        <v>154</v>
      </c>
      <c r="F65" s="8" t="s">
        <v>155</v>
      </c>
      <c r="G65" s="9">
        <v>269208</v>
      </c>
      <c r="H65" s="10">
        <f>INDEX([1]ratio_ins!F:F,MATCH('001_population_health_zone_zs'!$B$2,[1]ratio_ins!$B:$B,0))*$G65*INDEX([1]ratio_ins!$C:$C,MATCH('001_population_health_zone_zs'!$B65,[1]ratio_ins!$B:$B,0))</f>
        <v>27738.384695999997</v>
      </c>
      <c r="I65" s="10">
        <f>INDEX([1]ratio_ins!G:G,MATCH('001_population_health_zone_zs'!$B$2,[1]ratio_ins!$B:$B,0))*$G65*INDEX([1]ratio_ins!$C:$C,MATCH('001_population_health_zone_zs'!$B65,[1]ratio_ins!$B:$B,0))</f>
        <v>22695.042024000002</v>
      </c>
      <c r="J65" s="10">
        <f>INDEX([1]ratio_ins!H:H,MATCH('001_population_health_zone_zs'!$B$2,[1]ratio_ins!$B:$B,0))*$G65*INDEX([1]ratio_ins!$C:$C,MATCH('001_population_health_zone_zs'!$B65,[1]ratio_ins!$B:$B,0))</f>
        <v>17917.138440000002</v>
      </c>
      <c r="K65" s="10">
        <f>INDEX([1]ratio_ins!I:I,MATCH('001_population_health_zone_zs'!$B$2,[1]ratio_ins!$B:$B,0))*$G65*INDEX([1]ratio_ins!$C:$C,MATCH('001_population_health_zone_zs'!$B65,[1]ratio_ins!$B:$B,0))</f>
        <v>11015.722152000002</v>
      </c>
      <c r="L65" s="10">
        <f>INDEX([1]ratio_ins!J:J,MATCH('001_population_health_zone_zs'!$B$2,[1]ratio_ins!$B:$B,0))*$G65*INDEX([1]ratio_ins!$C:$C,MATCH('001_population_health_zone_zs'!$B65,[1]ratio_ins!$B:$B,0))</f>
        <v>6609.4332912</v>
      </c>
      <c r="M65" s="11">
        <f>INDEX([1]ratio_ins!K:K,MATCH('001_population_health_zone_zs'!$B$2,[1]ratio_ins!$B:$B,0))*$G65*INDEX([1]ratio_ins!$C:$C,MATCH('001_population_health_zone_zs'!$B65,[1]ratio_ins!$B:$B,0))</f>
        <v>74959.998451200008</v>
      </c>
      <c r="N65" s="10">
        <f>INDEX([1]ratio_ins!L:L,MATCH('001_population_health_zone_zs'!$B$2,[1]ratio_ins!$B:$B,0))*$G65*INDEX([1]ratio_ins!$C:$C,MATCH('001_population_health_zone_zs'!$B65,[1]ratio_ins!$B:$B,0))</f>
        <v>4406.2888607999994</v>
      </c>
      <c r="O65" s="10">
        <f>INDEX([1]ratio_ins!M:M,MATCH('001_population_health_zone_zs'!$B$2,[1]ratio_ins!$B:$B,0))*$G65*INDEX([1]ratio_ins!$C:$C,MATCH('001_population_health_zone_zs'!$B65,[1]ratio_ins!$B:$B,0))</f>
        <v>9555.8071680000012</v>
      </c>
      <c r="P65" s="10">
        <f>INDEX([1]ratio_ins!N:N,MATCH('001_population_health_zone_zs'!$B$2,[1]ratio_ins!$B:$B,0))*$G65*INDEX([1]ratio_ins!$C:$C,MATCH('001_population_health_zone_zs'!$B65,[1]ratio_ins!$B:$B,0))</f>
        <v>8626.7703600000004</v>
      </c>
      <c r="Q65" s="10">
        <f>INDEX([1]ratio_ins!O:O,MATCH('001_population_health_zone_zs'!$B$2,[1]ratio_ins!$B:$B,0))*$G65*INDEX([1]ratio_ins!$C:$C,MATCH('001_population_health_zone_zs'!$B65,[1]ratio_ins!$B:$B,0))</f>
        <v>7697.7335519999988</v>
      </c>
      <c r="R65" s="10">
        <f>INDEX([1]ratio_ins!P:P,MATCH('001_population_health_zone_zs'!$B$2,[1]ratio_ins!$B:$B,0))*$G65*INDEX([1]ratio_ins!$C:$C,MATCH('001_population_health_zone_zs'!$B65,[1]ratio_ins!$B:$B,0))</f>
        <v>7565.0140080000001</v>
      </c>
      <c r="S65" s="10">
        <f>INDEX([1]ratio_ins!Q:Q,MATCH('001_population_health_zone_zs'!$B$2,[1]ratio_ins!$B:$B,0))*$G65*INDEX([1]ratio_ins!$C:$C,MATCH('001_population_health_zone_zs'!$B65,[1]ratio_ins!$B:$B,0))</f>
        <v>6370.5381120000002</v>
      </c>
      <c r="T65" s="10">
        <f>INDEX([1]ratio_ins!R:R,MATCH('001_population_health_zone_zs'!$B$2,[1]ratio_ins!$B:$B,0))*$G65*INDEX([1]ratio_ins!$C:$C,MATCH('001_population_health_zone_zs'!$B65,[1]ratio_ins!$B:$B,0))</f>
        <v>4512.4644959999996</v>
      </c>
      <c r="U65" s="10">
        <f>INDEX([1]ratio_ins!S:S,MATCH('001_population_health_zone_zs'!$B$2,[1]ratio_ins!$B:$B,0))*$G65*INDEX([1]ratio_ins!$C:$C,MATCH('001_population_health_zone_zs'!$B65,[1]ratio_ins!$B:$B,0))</f>
        <v>3583.4276880000002</v>
      </c>
      <c r="V65" s="10">
        <f>INDEX([1]ratio_ins!T:T,MATCH('001_population_health_zone_zs'!$B$2,[1]ratio_ins!$B:$B,0))*$G65*INDEX([1]ratio_ins!$C:$C,MATCH('001_population_health_zone_zs'!$B65,[1]ratio_ins!$B:$B,0))</f>
        <v>1990.7931599999999</v>
      </c>
      <c r="W65" s="11">
        <f>INDEX([1]ratio_ins!U:U,MATCH('001_population_health_zone_zs'!$B$2,[1]ratio_ins!$B:$B,0))*$G65*INDEX([1]ratio_ins!$C:$C,MATCH('001_population_health_zone_zs'!$B65,[1]ratio_ins!$B:$B,0))</f>
        <v>54308.837404799997</v>
      </c>
      <c r="X65" s="10">
        <f>INDEX([1]ratio_ins!V:V,MATCH('001_population_health_zone_zs'!$B$2,[1]ratio_ins!$B:$B,0))*$G65*INDEX([1]ratio_ins!$C:$C,MATCH('001_population_health_zone_zs'!$B65,[1]ratio_ins!$B:$B,0))</f>
        <v>1592.634528</v>
      </c>
      <c r="Y65" s="10">
        <f>INDEX([1]ratio_ins!W:W,MATCH('001_population_health_zone_zs'!$B$2,[1]ratio_ins!$B:$B,0))*$G65*INDEX([1]ratio_ins!$C:$C,MATCH('001_population_health_zone_zs'!$B65,[1]ratio_ins!$B:$B,0))</f>
        <v>1061.7563520000001</v>
      </c>
      <c r="Z65" s="10">
        <f>INDEX([1]ratio_ins!X:X,MATCH('001_population_health_zone_zs'!$B$2,[1]ratio_ins!$B:$B,0))*$G65*INDEX([1]ratio_ins!$C:$C,MATCH('001_population_health_zone_zs'!$B65,[1]ratio_ins!$B:$B,0))</f>
        <v>530.87817600000005</v>
      </c>
      <c r="AA65" s="10">
        <f>INDEX([1]ratio_ins!Y:Y,MATCH('001_population_health_zone_zs'!$B$2,[1]ratio_ins!$B:$B,0))*$G65*INDEX([1]ratio_ins!$C:$C,MATCH('001_population_health_zone_zs'!$B65,[1]ratio_ins!$B:$B,0))</f>
        <v>265.43908800000003</v>
      </c>
      <c r="AB65" s="11">
        <f>INDEX([1]ratio_ins!Z:Z,MATCH('001_population_health_zone_zs'!$B$2,[1]ratio_ins!$B:$B,0))*$G65*INDEX([1]ratio_ins!$C:$C,MATCH('001_population_health_zone_zs'!$B65,[1]ratio_ins!$B:$B,0))</f>
        <v>3450.7081440000002</v>
      </c>
      <c r="AC65" s="12">
        <f t="shared" si="0"/>
        <v>132719.54399999999</v>
      </c>
      <c r="AD65" s="10">
        <f>INDEX([1]ratio_ins!AA:AA,MATCH('001_population_health_zone_zs'!$B$2,[1]ratio_ins!$B:$B,0))*$G65*INDEX([1]ratio_ins!$D:$D,MATCH('001_population_health_zone_zs'!$B65,[1]ratio_ins!$B:$B,0))</f>
        <v>28662.57576</v>
      </c>
      <c r="AE65" s="10">
        <f>INDEX([1]ratio_ins!AB:AB,MATCH('001_population_health_zone_zs'!$B$2,[1]ratio_ins!$B:$B,0))*$G65*INDEX([1]ratio_ins!$D:$D,MATCH('001_population_health_zone_zs'!$B65,[1]ratio_ins!$B:$B,0))</f>
        <v>23612.502888000003</v>
      </c>
      <c r="AF65" s="10">
        <f>INDEX([1]ratio_ins!AC:AC,MATCH('001_population_health_zone_zs'!$B$2,[1]ratio_ins!$B:$B,0))*$G65*INDEX([1]ratio_ins!$D:$D,MATCH('001_population_health_zone_zs'!$B65,[1]ratio_ins!$B:$B,0))</f>
        <v>18698.918471999998</v>
      </c>
      <c r="AG65" s="10">
        <f>INDEX([1]ratio_ins!AD:AD,MATCH('001_population_health_zone_zs'!$B$2,[1]ratio_ins!$B:$B,0))*$G65*INDEX([1]ratio_ins!$D:$D,MATCH('001_population_health_zone_zs'!$B65,[1]ratio_ins!$B:$B,0))</f>
        <v>11328.541848000001</v>
      </c>
      <c r="AH65" s="10">
        <f>INDEX([1]ratio_ins!AE:AE,MATCH('001_population_health_zone_zs'!$B$2,[1]ratio_ins!$B:$B,0))*$G65*INDEX([1]ratio_ins!$D:$D,MATCH('001_population_health_zone_zs'!$B65,[1]ratio_ins!$B:$B,0))</f>
        <v>6797.1251087999999</v>
      </c>
      <c r="AI65" s="13">
        <f>INDEX([1]ratio_ins!AF:AF,MATCH('001_population_health_zone_zs'!$B$2,[1]ratio_ins!$B:$B,0))*$G65*INDEX([1]ratio_ins!$D:$D,MATCH('001_population_health_zone_zs'!$B65,[1]ratio_ins!$B:$B,0))</f>
        <v>77771.122228799999</v>
      </c>
      <c r="AJ65" s="10">
        <f>INDEX([1]ratio_ins!AG:AG,MATCH('001_population_health_zone_zs'!$B$2,[1]ratio_ins!$B:$B,0))*$G65*INDEX([1]ratio_ins!$D:$D,MATCH('001_population_health_zone_zs'!$B65,[1]ratio_ins!$B:$B,0))</f>
        <v>4531.4167391999999</v>
      </c>
      <c r="AK65" s="10">
        <f>INDEX([1]ratio_ins!AH:AH,MATCH('001_population_health_zone_zs'!$B$2,[1]ratio_ins!$B:$B,0))*$G65*INDEX([1]ratio_ins!$D:$D,MATCH('001_population_health_zone_zs'!$B65,[1]ratio_ins!$B:$B,0))</f>
        <v>10100.145744000001</v>
      </c>
      <c r="AL65" s="10">
        <f>INDEX([1]ratio_ins!AI:AI,MATCH('001_population_health_zone_zs'!$B$2,[1]ratio_ins!$B:$B,0))*$G65*INDEX([1]ratio_ins!$D:$D,MATCH('001_population_health_zone_zs'!$B65,[1]ratio_ins!$B:$B,0))</f>
        <v>9554.1919200000011</v>
      </c>
      <c r="AM65" s="10">
        <f>INDEX([1]ratio_ins!AJ:AJ,MATCH('001_population_health_zone_zs'!$B$2,[1]ratio_ins!$B:$B,0))*$G65*INDEX([1]ratio_ins!$D:$D,MATCH('001_population_health_zone_zs'!$B65,[1]ratio_ins!$B:$B,0))</f>
        <v>8735.2611840000009</v>
      </c>
      <c r="AN65" s="10">
        <f>INDEX([1]ratio_ins!AK:AK,MATCH('001_population_health_zone_zs'!$B$2,[1]ratio_ins!$B:$B,0))*$G65*INDEX([1]ratio_ins!$D:$D,MATCH('001_population_health_zone_zs'!$B65,[1]ratio_ins!$B:$B,0))</f>
        <v>8189.3073599999998</v>
      </c>
      <c r="AO65" s="10">
        <f>INDEX([1]ratio_ins!AL:AL,MATCH('001_population_health_zone_zs'!$B$2,[1]ratio_ins!$B:$B,0))*$G65*INDEX([1]ratio_ins!$D:$D,MATCH('001_population_health_zone_zs'!$B65,[1]ratio_ins!$B:$B,0))</f>
        <v>6141.9805199999992</v>
      </c>
      <c r="AP65" s="10">
        <f>INDEX([1]ratio_ins!AM:AM,MATCH('001_population_health_zone_zs'!$B$2,[1]ratio_ins!$B:$B,0))*$G65*INDEX([1]ratio_ins!$D:$D,MATCH('001_population_health_zone_zs'!$B65,[1]ratio_ins!$B:$B,0))</f>
        <v>3958.1652239999999</v>
      </c>
      <c r="AQ65" s="10">
        <f>INDEX([1]ratio_ins!AN:AN,MATCH('001_population_health_zone_zs'!$B$2,[1]ratio_ins!$B:$B,0))*$G65*INDEX([1]ratio_ins!$D:$D,MATCH('001_population_health_zone_zs'!$B65,[1]ratio_ins!$B:$B,0))</f>
        <v>3139.2344880000001</v>
      </c>
      <c r="AR65" s="10">
        <f>INDEX([1]ratio_ins!AO:AO,MATCH('001_population_health_zone_zs'!$B$2,[1]ratio_ins!$B:$B,0))*$G65*INDEX([1]ratio_ins!$D:$D,MATCH('001_population_health_zone_zs'!$B65,[1]ratio_ins!$B:$B,0))</f>
        <v>1501.3730160000002</v>
      </c>
      <c r="AS65" s="13">
        <f>INDEX([1]ratio_ins!AP:AP,MATCH('001_population_health_zone_zs'!$B$2,[1]ratio_ins!$B:$B,0))*$G65*INDEX([1]ratio_ins!$D:$D,MATCH('001_population_health_zone_zs'!$B65,[1]ratio_ins!$B:$B,0))</f>
        <v>55851.076195200003</v>
      </c>
      <c r="AT65" s="10">
        <f>INDEX([1]ratio_ins!AQ:AQ,MATCH('001_population_health_zone_zs'!$B$2,[1]ratio_ins!$B:$B,0))*$G65*INDEX([1]ratio_ins!$D:$D,MATCH('001_population_health_zone_zs'!$B65,[1]ratio_ins!$B:$B,0))</f>
        <v>1364.88456</v>
      </c>
      <c r="AU65" s="10">
        <f>INDEX([1]ratio_ins!AR:AR,MATCH('001_population_health_zone_zs'!$B$2,[1]ratio_ins!$B:$B,0))*$G65*INDEX([1]ratio_ins!$D:$D,MATCH('001_population_health_zone_zs'!$B65,[1]ratio_ins!$B:$B,0))</f>
        <v>818.93073600000002</v>
      </c>
      <c r="AV65" s="10">
        <f>INDEX([1]ratio_ins!AS:AS,MATCH('001_population_health_zone_zs'!$B$2,[1]ratio_ins!$B:$B,0))*$G65*INDEX([1]ratio_ins!$D:$D,MATCH('001_population_health_zone_zs'!$B65,[1]ratio_ins!$B:$B,0))</f>
        <v>409.46536800000001</v>
      </c>
      <c r="AW65" s="10">
        <f>INDEX([1]ratio_ins!AT:AT,MATCH('001_population_health_zone_zs'!$B$2,[1]ratio_ins!$B:$B,0))*$G65*INDEX([1]ratio_ins!$D:$D,MATCH('001_population_health_zone_zs'!$B65,[1]ratio_ins!$B:$B,0))</f>
        <v>272.97691200000003</v>
      </c>
      <c r="AX65" s="13">
        <f>INDEX([1]ratio_ins!AU:AU,MATCH('001_population_health_zone_zs'!$B$2,[1]ratio_ins!$B:$B,0))*$G65*INDEX([1]ratio_ins!$D:$D,MATCH('001_population_health_zone_zs'!$B65,[1]ratio_ins!$B:$B,0))</f>
        <v>2866.257576</v>
      </c>
      <c r="AY65" s="14">
        <f t="shared" si="1"/>
        <v>136488.45600000001</v>
      </c>
      <c r="AZ65" s="15">
        <f t="shared" si="2"/>
        <v>269208</v>
      </c>
      <c r="BA65" s="16">
        <v>258253.75083690224</v>
      </c>
      <c r="BB65" s="10">
        <f t="shared" si="3"/>
        <v>58007.593799999995</v>
      </c>
      <c r="BC65" s="17">
        <f t="shared" si="4"/>
        <v>0.21547499999999997</v>
      </c>
      <c r="BD65" s="10">
        <f t="shared" si="5"/>
        <v>55344.049848000002</v>
      </c>
    </row>
    <row r="66" spans="1:56" x14ac:dyDescent="0.25">
      <c r="A66" s="8" t="s">
        <v>82</v>
      </c>
      <c r="B66" s="8" t="s">
        <v>83</v>
      </c>
      <c r="C66" s="8" t="s">
        <v>150</v>
      </c>
      <c r="D66" s="8" t="s">
        <v>151</v>
      </c>
      <c r="E66" s="8" t="s">
        <v>156</v>
      </c>
      <c r="F66" s="8" t="s">
        <v>157</v>
      </c>
      <c r="G66" s="9">
        <v>193384</v>
      </c>
      <c r="H66" s="10">
        <f>INDEX([1]ratio_ins!F:F,MATCH('001_population_health_zone_zs'!$B$2,[1]ratio_ins!$B:$B,0))*$G66*INDEX([1]ratio_ins!$C:$C,MATCH('001_population_health_zone_zs'!$B66,[1]ratio_ins!$B:$B,0))</f>
        <v>19925.707208</v>
      </c>
      <c r="I66" s="10">
        <f>INDEX([1]ratio_ins!G:G,MATCH('001_population_health_zone_zs'!$B$2,[1]ratio_ins!$B:$B,0))*$G66*INDEX([1]ratio_ins!$C:$C,MATCH('001_population_health_zone_zs'!$B66,[1]ratio_ins!$B:$B,0))</f>
        <v>16302.851352000001</v>
      </c>
      <c r="J66" s="10">
        <f>INDEX([1]ratio_ins!H:H,MATCH('001_population_health_zone_zs'!$B$2,[1]ratio_ins!$B:$B,0))*$G66*INDEX([1]ratio_ins!$C:$C,MATCH('001_population_health_zone_zs'!$B66,[1]ratio_ins!$B:$B,0))</f>
        <v>12870.672119999999</v>
      </c>
      <c r="K66" s="10">
        <f>INDEX([1]ratio_ins!I:I,MATCH('001_population_health_zone_zs'!$B$2,[1]ratio_ins!$B:$B,0))*$G66*INDEX([1]ratio_ins!$C:$C,MATCH('001_population_health_zone_zs'!$B66,[1]ratio_ins!$B:$B,0))</f>
        <v>7913.0798960000002</v>
      </c>
      <c r="L66" s="10">
        <f>INDEX([1]ratio_ins!J:J,MATCH('001_population_health_zone_zs'!$B$2,[1]ratio_ins!$B:$B,0))*$G66*INDEX([1]ratio_ins!$C:$C,MATCH('001_population_health_zone_zs'!$B66,[1]ratio_ins!$B:$B,0))</f>
        <v>4747.8479375999996</v>
      </c>
      <c r="M66" s="11">
        <f>INDEX([1]ratio_ins!K:K,MATCH('001_population_health_zone_zs'!$B$2,[1]ratio_ins!$B:$B,0))*$G66*INDEX([1]ratio_ins!$C:$C,MATCH('001_population_health_zone_zs'!$B66,[1]ratio_ins!$B:$B,0))</f>
        <v>53847.078617599997</v>
      </c>
      <c r="N66" s="10">
        <f>INDEX([1]ratio_ins!L:L,MATCH('001_population_health_zone_zs'!$B$2,[1]ratio_ins!$B:$B,0))*$G66*INDEX([1]ratio_ins!$C:$C,MATCH('001_population_health_zone_zs'!$B66,[1]ratio_ins!$B:$B,0))</f>
        <v>3165.2319583999997</v>
      </c>
      <c r="O66" s="10">
        <f>INDEX([1]ratio_ins!M:M,MATCH('001_population_health_zone_zs'!$B$2,[1]ratio_ins!$B:$B,0))*$G66*INDEX([1]ratio_ins!$C:$C,MATCH('001_population_health_zone_zs'!$B66,[1]ratio_ins!$B:$B,0))</f>
        <v>6864.3584640000008</v>
      </c>
      <c r="P66" s="10">
        <f>INDEX([1]ratio_ins!N:N,MATCH('001_population_health_zone_zs'!$B$2,[1]ratio_ins!$B:$B,0))*$G66*INDEX([1]ratio_ins!$C:$C,MATCH('001_population_health_zone_zs'!$B66,[1]ratio_ins!$B:$B,0))</f>
        <v>6196.99028</v>
      </c>
      <c r="Q66" s="10">
        <f>INDEX([1]ratio_ins!O:O,MATCH('001_population_health_zone_zs'!$B$2,[1]ratio_ins!$B:$B,0))*$G66*INDEX([1]ratio_ins!$C:$C,MATCH('001_population_health_zone_zs'!$B66,[1]ratio_ins!$B:$B,0))</f>
        <v>5529.6220959999991</v>
      </c>
      <c r="R66" s="10">
        <f>INDEX([1]ratio_ins!P:P,MATCH('001_population_health_zone_zs'!$B$2,[1]ratio_ins!$B:$B,0))*$G66*INDEX([1]ratio_ins!$C:$C,MATCH('001_population_health_zone_zs'!$B66,[1]ratio_ins!$B:$B,0))</f>
        <v>5434.2837840000002</v>
      </c>
      <c r="S66" s="10">
        <f>INDEX([1]ratio_ins!Q:Q,MATCH('001_population_health_zone_zs'!$B$2,[1]ratio_ins!$B:$B,0))*$G66*INDEX([1]ratio_ins!$C:$C,MATCH('001_population_health_zone_zs'!$B66,[1]ratio_ins!$B:$B,0))</f>
        <v>4576.2389760000005</v>
      </c>
      <c r="T66" s="10">
        <f>INDEX([1]ratio_ins!R:R,MATCH('001_population_health_zone_zs'!$B$2,[1]ratio_ins!$B:$B,0))*$G66*INDEX([1]ratio_ins!$C:$C,MATCH('001_population_health_zone_zs'!$B66,[1]ratio_ins!$B:$B,0))</f>
        <v>3241.5026080000002</v>
      </c>
      <c r="U66" s="10">
        <f>INDEX([1]ratio_ins!S:S,MATCH('001_population_health_zone_zs'!$B$2,[1]ratio_ins!$B:$B,0))*$G66*INDEX([1]ratio_ins!$C:$C,MATCH('001_population_health_zone_zs'!$B66,[1]ratio_ins!$B:$B,0))</f>
        <v>2574.1344240000003</v>
      </c>
      <c r="V66" s="10">
        <f>INDEX([1]ratio_ins!T:T,MATCH('001_population_health_zone_zs'!$B$2,[1]ratio_ins!$B:$B,0))*$G66*INDEX([1]ratio_ins!$C:$C,MATCH('001_population_health_zone_zs'!$B66,[1]ratio_ins!$B:$B,0))</f>
        <v>1430.0746799999999</v>
      </c>
      <c r="W66" s="11">
        <f>INDEX([1]ratio_ins!U:U,MATCH('001_population_health_zone_zs'!$B$2,[1]ratio_ins!$B:$B,0))*$G66*INDEX([1]ratio_ins!$C:$C,MATCH('001_population_health_zone_zs'!$B66,[1]ratio_ins!$B:$B,0))</f>
        <v>39012.437270399998</v>
      </c>
      <c r="X66" s="10">
        <f>INDEX([1]ratio_ins!V:V,MATCH('001_population_health_zone_zs'!$B$2,[1]ratio_ins!$B:$B,0))*$G66*INDEX([1]ratio_ins!$C:$C,MATCH('001_population_health_zone_zs'!$B66,[1]ratio_ins!$B:$B,0))</f>
        <v>1144.0597440000001</v>
      </c>
      <c r="Y66" s="10">
        <f>INDEX([1]ratio_ins!W:W,MATCH('001_population_health_zone_zs'!$B$2,[1]ratio_ins!$B:$B,0))*$G66*INDEX([1]ratio_ins!$C:$C,MATCH('001_population_health_zone_zs'!$B66,[1]ratio_ins!$B:$B,0))</f>
        <v>762.70649600000002</v>
      </c>
      <c r="Z66" s="10">
        <f>INDEX([1]ratio_ins!X:X,MATCH('001_population_health_zone_zs'!$B$2,[1]ratio_ins!$B:$B,0))*$G66*INDEX([1]ratio_ins!$C:$C,MATCH('001_population_health_zone_zs'!$B66,[1]ratio_ins!$B:$B,0))</f>
        <v>381.35324800000001</v>
      </c>
      <c r="AA66" s="10">
        <f>INDEX([1]ratio_ins!Y:Y,MATCH('001_population_health_zone_zs'!$B$2,[1]ratio_ins!$B:$B,0))*$G66*INDEX([1]ratio_ins!$C:$C,MATCH('001_population_health_zone_zs'!$B66,[1]ratio_ins!$B:$B,0))</f>
        <v>190.676624</v>
      </c>
      <c r="AB66" s="11">
        <f>INDEX([1]ratio_ins!Z:Z,MATCH('001_population_health_zone_zs'!$B$2,[1]ratio_ins!$B:$B,0))*$G66*INDEX([1]ratio_ins!$C:$C,MATCH('001_population_health_zone_zs'!$B66,[1]ratio_ins!$B:$B,0))</f>
        <v>2478.796112</v>
      </c>
      <c r="AC66" s="12">
        <f t="shared" si="0"/>
        <v>95338.311999999991</v>
      </c>
      <c r="AD66" s="10">
        <f>INDEX([1]ratio_ins!AA:AA,MATCH('001_population_health_zone_zs'!$B$2,[1]ratio_ins!$B:$B,0))*$G66*INDEX([1]ratio_ins!$D:$D,MATCH('001_population_health_zone_zs'!$B66,[1]ratio_ins!$B:$B,0))</f>
        <v>20589.59448</v>
      </c>
      <c r="AE66" s="10">
        <f>INDEX([1]ratio_ins!AB:AB,MATCH('001_population_health_zone_zs'!$B$2,[1]ratio_ins!$B:$B,0))*$G66*INDEX([1]ratio_ins!$D:$D,MATCH('001_population_health_zone_zs'!$B66,[1]ratio_ins!$B:$B,0))</f>
        <v>16961.904023999999</v>
      </c>
      <c r="AF66" s="10">
        <f>INDEX([1]ratio_ins!AC:AC,MATCH('001_population_health_zone_zs'!$B$2,[1]ratio_ins!$B:$B,0))*$G66*INDEX([1]ratio_ins!$D:$D,MATCH('001_population_health_zone_zs'!$B66,[1]ratio_ins!$B:$B,0))</f>
        <v>13432.259255999998</v>
      </c>
      <c r="AG66" s="10">
        <f>INDEX([1]ratio_ins!AD:AD,MATCH('001_population_health_zone_zs'!$B$2,[1]ratio_ins!$B:$B,0))*$G66*INDEX([1]ratio_ins!$D:$D,MATCH('001_population_health_zone_zs'!$B66,[1]ratio_ins!$B:$B,0))</f>
        <v>8137.792104000001</v>
      </c>
      <c r="AH66" s="10">
        <f>INDEX([1]ratio_ins!AE:AE,MATCH('001_population_health_zone_zs'!$B$2,[1]ratio_ins!$B:$B,0))*$G66*INDEX([1]ratio_ins!$D:$D,MATCH('001_population_health_zone_zs'!$B66,[1]ratio_ins!$B:$B,0))</f>
        <v>4882.6752624000001</v>
      </c>
      <c r="AI66" s="13">
        <f>INDEX([1]ratio_ins!AF:AF,MATCH('001_population_health_zone_zs'!$B$2,[1]ratio_ins!$B:$B,0))*$G66*INDEX([1]ratio_ins!$D:$D,MATCH('001_population_health_zone_zs'!$B66,[1]ratio_ins!$B:$B,0))</f>
        <v>55866.433022399993</v>
      </c>
      <c r="AJ66" s="10">
        <f>INDEX([1]ratio_ins!AG:AG,MATCH('001_population_health_zone_zs'!$B$2,[1]ratio_ins!$B:$B,0))*$G66*INDEX([1]ratio_ins!$D:$D,MATCH('001_population_health_zone_zs'!$B66,[1]ratio_ins!$B:$B,0))</f>
        <v>3255.1168416</v>
      </c>
      <c r="AK66" s="10">
        <f>INDEX([1]ratio_ins!AH:AH,MATCH('001_population_health_zone_zs'!$B$2,[1]ratio_ins!$B:$B,0))*$G66*INDEX([1]ratio_ins!$D:$D,MATCH('001_population_health_zone_zs'!$B66,[1]ratio_ins!$B:$B,0))</f>
        <v>7255.3809120000005</v>
      </c>
      <c r="AL66" s="10">
        <f>INDEX([1]ratio_ins!AI:AI,MATCH('001_population_health_zone_zs'!$B$2,[1]ratio_ins!$B:$B,0))*$G66*INDEX([1]ratio_ins!$D:$D,MATCH('001_population_health_zone_zs'!$B66,[1]ratio_ins!$B:$B,0))</f>
        <v>6863.1981600000008</v>
      </c>
      <c r="AM66" s="10">
        <f>INDEX([1]ratio_ins!AJ:AJ,MATCH('001_population_health_zone_zs'!$B$2,[1]ratio_ins!$B:$B,0))*$G66*INDEX([1]ratio_ins!$D:$D,MATCH('001_population_health_zone_zs'!$B66,[1]ratio_ins!$B:$B,0))</f>
        <v>6274.9240320000008</v>
      </c>
      <c r="AN66" s="10">
        <f>INDEX([1]ratio_ins!AK:AK,MATCH('001_population_health_zone_zs'!$B$2,[1]ratio_ins!$B:$B,0))*$G66*INDEX([1]ratio_ins!$D:$D,MATCH('001_population_health_zone_zs'!$B66,[1]ratio_ins!$B:$B,0))</f>
        <v>5882.7412799999993</v>
      </c>
      <c r="AO66" s="10">
        <f>INDEX([1]ratio_ins!AL:AL,MATCH('001_population_health_zone_zs'!$B$2,[1]ratio_ins!$B:$B,0))*$G66*INDEX([1]ratio_ins!$D:$D,MATCH('001_population_health_zone_zs'!$B66,[1]ratio_ins!$B:$B,0))</f>
        <v>4412.0559599999997</v>
      </c>
      <c r="AP66" s="10">
        <f>INDEX([1]ratio_ins!AM:AM,MATCH('001_population_health_zone_zs'!$B$2,[1]ratio_ins!$B:$B,0))*$G66*INDEX([1]ratio_ins!$D:$D,MATCH('001_population_health_zone_zs'!$B66,[1]ratio_ins!$B:$B,0))</f>
        <v>2843.3249519999999</v>
      </c>
      <c r="AQ66" s="10">
        <f>INDEX([1]ratio_ins!AN:AN,MATCH('001_population_health_zone_zs'!$B$2,[1]ratio_ins!$B:$B,0))*$G66*INDEX([1]ratio_ins!$D:$D,MATCH('001_population_health_zone_zs'!$B66,[1]ratio_ins!$B:$B,0))</f>
        <v>2255.0508240000004</v>
      </c>
      <c r="AR66" s="10">
        <f>INDEX([1]ratio_ins!AO:AO,MATCH('001_population_health_zone_zs'!$B$2,[1]ratio_ins!$B:$B,0))*$G66*INDEX([1]ratio_ins!$D:$D,MATCH('001_population_health_zone_zs'!$B66,[1]ratio_ins!$B:$B,0))</f>
        <v>1078.5025680000001</v>
      </c>
      <c r="AS66" s="13">
        <f>INDEX([1]ratio_ins!AP:AP,MATCH('001_population_health_zone_zs'!$B$2,[1]ratio_ins!$B:$B,0))*$G66*INDEX([1]ratio_ins!$D:$D,MATCH('001_population_health_zone_zs'!$B66,[1]ratio_ins!$B:$B,0))</f>
        <v>40120.2955296</v>
      </c>
      <c r="AT66" s="10">
        <f>INDEX([1]ratio_ins!AQ:AQ,MATCH('001_population_health_zone_zs'!$B$2,[1]ratio_ins!$B:$B,0))*$G66*INDEX([1]ratio_ins!$D:$D,MATCH('001_population_health_zone_zs'!$B66,[1]ratio_ins!$B:$B,0))</f>
        <v>980.45688000000007</v>
      </c>
      <c r="AU66" s="10">
        <f>INDEX([1]ratio_ins!AR:AR,MATCH('001_population_health_zone_zs'!$B$2,[1]ratio_ins!$B:$B,0))*$G66*INDEX([1]ratio_ins!$D:$D,MATCH('001_population_health_zone_zs'!$B66,[1]ratio_ins!$B:$B,0))</f>
        <v>588.27412800000002</v>
      </c>
      <c r="AV66" s="10">
        <f>INDEX([1]ratio_ins!AS:AS,MATCH('001_population_health_zone_zs'!$B$2,[1]ratio_ins!$B:$B,0))*$G66*INDEX([1]ratio_ins!$D:$D,MATCH('001_population_health_zone_zs'!$B66,[1]ratio_ins!$B:$B,0))</f>
        <v>294.13706400000001</v>
      </c>
      <c r="AW66" s="10">
        <f>INDEX([1]ratio_ins!AT:AT,MATCH('001_population_health_zone_zs'!$B$2,[1]ratio_ins!$B:$B,0))*$G66*INDEX([1]ratio_ins!$D:$D,MATCH('001_population_health_zone_zs'!$B66,[1]ratio_ins!$B:$B,0))</f>
        <v>196.09137600000003</v>
      </c>
      <c r="AX66" s="13">
        <f>INDEX([1]ratio_ins!AU:AU,MATCH('001_population_health_zone_zs'!$B$2,[1]ratio_ins!$B:$B,0))*$G66*INDEX([1]ratio_ins!$D:$D,MATCH('001_population_health_zone_zs'!$B66,[1]ratio_ins!$B:$B,0))</f>
        <v>2058.9594479999996</v>
      </c>
      <c r="AY66" s="14">
        <f t="shared" si="1"/>
        <v>98045.68799999998</v>
      </c>
      <c r="AZ66" s="15">
        <f t="shared" si="2"/>
        <v>193383.99999999997</v>
      </c>
      <c r="BA66" s="16">
        <v>185514.61551368283</v>
      </c>
      <c r="BB66" s="10">
        <f t="shared" si="3"/>
        <v>41669.417400000006</v>
      </c>
      <c r="BC66" s="17">
        <f t="shared" si="4"/>
        <v>0.21547500000000003</v>
      </c>
      <c r="BD66" s="10">
        <f t="shared" si="5"/>
        <v>39756.076104</v>
      </c>
    </row>
    <row r="67" spans="1:56" x14ac:dyDescent="0.25">
      <c r="A67" s="8" t="s">
        <v>82</v>
      </c>
      <c r="B67" s="8" t="s">
        <v>83</v>
      </c>
      <c r="C67" s="8" t="s">
        <v>158</v>
      </c>
      <c r="D67" s="8" t="s">
        <v>159</v>
      </c>
      <c r="E67" s="8" t="s">
        <v>158</v>
      </c>
      <c r="F67" s="8" t="s">
        <v>160</v>
      </c>
      <c r="G67" s="9">
        <v>168798</v>
      </c>
      <c r="H67" s="10">
        <f>INDEX([1]ratio_ins!F:F,MATCH('001_population_health_zone_zs'!$B$2,[1]ratio_ins!$B:$B,0))*$G67*INDEX([1]ratio_ins!$C:$C,MATCH('001_population_health_zone_zs'!$B67,[1]ratio_ins!$B:$B,0))</f>
        <v>17392.439525999998</v>
      </c>
      <c r="I67" s="10">
        <f>INDEX([1]ratio_ins!G:G,MATCH('001_population_health_zone_zs'!$B$2,[1]ratio_ins!$B:$B,0))*$G67*INDEX([1]ratio_ins!$C:$C,MATCH('001_population_health_zone_zs'!$B67,[1]ratio_ins!$B:$B,0))</f>
        <v>14230.177794000001</v>
      </c>
      <c r="J67" s="10">
        <f>INDEX([1]ratio_ins!H:H,MATCH('001_population_health_zone_zs'!$B$2,[1]ratio_ins!$B:$B,0))*$G67*INDEX([1]ratio_ins!$C:$C,MATCH('001_population_health_zone_zs'!$B67,[1]ratio_ins!$B:$B,0))</f>
        <v>11234.350890000002</v>
      </c>
      <c r="K67" s="10">
        <f>INDEX([1]ratio_ins!I:I,MATCH('001_population_health_zone_zs'!$B$2,[1]ratio_ins!$B:$B,0))*$G67*INDEX([1]ratio_ins!$C:$C,MATCH('001_population_health_zone_zs'!$B67,[1]ratio_ins!$B:$B,0))</f>
        <v>6907.0453619999998</v>
      </c>
      <c r="L67" s="10">
        <f>INDEX([1]ratio_ins!J:J,MATCH('001_population_health_zone_zs'!$B$2,[1]ratio_ins!$B:$B,0))*$G67*INDEX([1]ratio_ins!$C:$C,MATCH('001_population_health_zone_zs'!$B67,[1]ratio_ins!$B:$B,0))</f>
        <v>4144.2272172000003</v>
      </c>
      <c r="M67" s="11">
        <f>INDEX([1]ratio_ins!K:K,MATCH('001_population_health_zone_zs'!$B$2,[1]ratio_ins!$B:$B,0))*$G67*INDEX([1]ratio_ins!$C:$C,MATCH('001_population_health_zone_zs'!$B67,[1]ratio_ins!$B:$B,0))</f>
        <v>47001.195427199993</v>
      </c>
      <c r="N67" s="10">
        <f>INDEX([1]ratio_ins!L:L,MATCH('001_population_health_zone_zs'!$B$2,[1]ratio_ins!$B:$B,0))*$G67*INDEX([1]ratio_ins!$C:$C,MATCH('001_population_health_zone_zs'!$B67,[1]ratio_ins!$B:$B,0))</f>
        <v>2762.8181448</v>
      </c>
      <c r="O67" s="10">
        <f>INDEX([1]ratio_ins!M:M,MATCH('001_population_health_zone_zs'!$B$2,[1]ratio_ins!$B:$B,0))*$G67*INDEX([1]ratio_ins!$C:$C,MATCH('001_population_health_zone_zs'!$B67,[1]ratio_ins!$B:$B,0))</f>
        <v>5991.6538080000009</v>
      </c>
      <c r="P67" s="10">
        <f>INDEX([1]ratio_ins!N:N,MATCH('001_population_health_zone_zs'!$B$2,[1]ratio_ins!$B:$B,0))*$G67*INDEX([1]ratio_ins!$C:$C,MATCH('001_population_health_zone_zs'!$B67,[1]ratio_ins!$B:$B,0))</f>
        <v>5409.1319100000001</v>
      </c>
      <c r="Q67" s="10">
        <f>INDEX([1]ratio_ins!O:O,MATCH('001_population_health_zone_zs'!$B$2,[1]ratio_ins!$B:$B,0))*$G67*INDEX([1]ratio_ins!$C:$C,MATCH('001_population_health_zone_zs'!$B67,[1]ratio_ins!$B:$B,0))</f>
        <v>4826.6100120000001</v>
      </c>
      <c r="R67" s="10">
        <f>INDEX([1]ratio_ins!P:P,MATCH('001_population_health_zone_zs'!$B$2,[1]ratio_ins!$B:$B,0))*$G67*INDEX([1]ratio_ins!$C:$C,MATCH('001_population_health_zone_zs'!$B67,[1]ratio_ins!$B:$B,0))</f>
        <v>4743.3925980000004</v>
      </c>
      <c r="S67" s="10">
        <f>INDEX([1]ratio_ins!Q:Q,MATCH('001_population_health_zone_zs'!$B$2,[1]ratio_ins!$B:$B,0))*$G67*INDEX([1]ratio_ins!$C:$C,MATCH('001_population_health_zone_zs'!$B67,[1]ratio_ins!$B:$B,0))</f>
        <v>3994.435872</v>
      </c>
      <c r="T67" s="10">
        <f>INDEX([1]ratio_ins!R:R,MATCH('001_population_health_zone_zs'!$B$2,[1]ratio_ins!$B:$B,0))*$G67*INDEX([1]ratio_ins!$C:$C,MATCH('001_population_health_zone_zs'!$B67,[1]ratio_ins!$B:$B,0))</f>
        <v>2829.3920760000001</v>
      </c>
      <c r="U67" s="10">
        <f>INDEX([1]ratio_ins!S:S,MATCH('001_population_health_zone_zs'!$B$2,[1]ratio_ins!$B:$B,0))*$G67*INDEX([1]ratio_ins!$C:$C,MATCH('001_population_health_zone_zs'!$B67,[1]ratio_ins!$B:$B,0))</f>
        <v>2246.8701780000001</v>
      </c>
      <c r="V67" s="10">
        <f>INDEX([1]ratio_ins!T:T,MATCH('001_population_health_zone_zs'!$B$2,[1]ratio_ins!$B:$B,0))*$G67*INDEX([1]ratio_ins!$C:$C,MATCH('001_population_health_zone_zs'!$B67,[1]ratio_ins!$B:$B,0))</f>
        <v>1248.2612099999999</v>
      </c>
      <c r="W67" s="11">
        <f>INDEX([1]ratio_ins!U:U,MATCH('001_population_health_zone_zs'!$B$2,[1]ratio_ins!$B:$B,0))*$G67*INDEX([1]ratio_ins!$C:$C,MATCH('001_population_health_zone_zs'!$B67,[1]ratio_ins!$B:$B,0))</f>
        <v>34052.565808799998</v>
      </c>
      <c r="X67" s="10">
        <f>INDEX([1]ratio_ins!V:V,MATCH('001_population_health_zone_zs'!$B$2,[1]ratio_ins!$B:$B,0))*$G67*INDEX([1]ratio_ins!$C:$C,MATCH('001_population_health_zone_zs'!$B67,[1]ratio_ins!$B:$B,0))</f>
        <v>998.608968</v>
      </c>
      <c r="Y67" s="10">
        <f>INDEX([1]ratio_ins!W:W,MATCH('001_population_health_zone_zs'!$B$2,[1]ratio_ins!$B:$B,0))*$G67*INDEX([1]ratio_ins!$C:$C,MATCH('001_population_health_zone_zs'!$B67,[1]ratio_ins!$B:$B,0))</f>
        <v>665.73931200000004</v>
      </c>
      <c r="Z67" s="10">
        <f>INDEX([1]ratio_ins!X:X,MATCH('001_population_health_zone_zs'!$B$2,[1]ratio_ins!$B:$B,0))*$G67*INDEX([1]ratio_ins!$C:$C,MATCH('001_population_health_zone_zs'!$B67,[1]ratio_ins!$B:$B,0))</f>
        <v>332.86965600000002</v>
      </c>
      <c r="AA67" s="10">
        <f>INDEX([1]ratio_ins!Y:Y,MATCH('001_population_health_zone_zs'!$B$2,[1]ratio_ins!$B:$B,0))*$G67*INDEX([1]ratio_ins!$C:$C,MATCH('001_population_health_zone_zs'!$B67,[1]ratio_ins!$B:$B,0))</f>
        <v>166.43482800000001</v>
      </c>
      <c r="AB67" s="11">
        <f>INDEX([1]ratio_ins!Z:Z,MATCH('001_population_health_zone_zs'!$B$2,[1]ratio_ins!$B:$B,0))*$G67*INDEX([1]ratio_ins!$C:$C,MATCH('001_population_health_zone_zs'!$B67,[1]ratio_ins!$B:$B,0))</f>
        <v>2163.6527640000004</v>
      </c>
      <c r="AC67" s="12">
        <f t="shared" ref="AC67:AC130" si="6">M67+W67+AB67</f>
        <v>83217.41399999999</v>
      </c>
      <c r="AD67" s="10">
        <f>INDEX([1]ratio_ins!AA:AA,MATCH('001_population_health_zone_zs'!$B$2,[1]ratio_ins!$B:$B,0))*$G67*INDEX([1]ratio_ins!$D:$D,MATCH('001_population_health_zone_zs'!$B67,[1]ratio_ins!$B:$B,0))</f>
        <v>17971.923060000001</v>
      </c>
      <c r="AE67" s="10">
        <f>INDEX([1]ratio_ins!AB:AB,MATCH('001_population_health_zone_zs'!$B$2,[1]ratio_ins!$B:$B,0))*$G67*INDEX([1]ratio_ins!$D:$D,MATCH('001_population_health_zone_zs'!$B67,[1]ratio_ins!$B:$B,0))</f>
        <v>14805.441378000001</v>
      </c>
      <c r="AF67" s="10">
        <f>INDEX([1]ratio_ins!AC:AC,MATCH('001_population_health_zone_zs'!$B$2,[1]ratio_ins!$B:$B,0))*$G67*INDEX([1]ratio_ins!$D:$D,MATCH('001_population_health_zone_zs'!$B67,[1]ratio_ins!$B:$B,0))</f>
        <v>11724.540281999998</v>
      </c>
      <c r="AG67" s="10">
        <f>INDEX([1]ratio_ins!AD:AD,MATCH('001_population_health_zone_zs'!$B$2,[1]ratio_ins!$B:$B,0))*$G67*INDEX([1]ratio_ins!$D:$D,MATCH('001_population_health_zone_zs'!$B67,[1]ratio_ins!$B:$B,0))</f>
        <v>7103.1886380000005</v>
      </c>
      <c r="AH67" s="10">
        <f>INDEX([1]ratio_ins!AE:AE,MATCH('001_population_health_zone_zs'!$B$2,[1]ratio_ins!$B:$B,0))*$G67*INDEX([1]ratio_ins!$D:$D,MATCH('001_population_health_zone_zs'!$B67,[1]ratio_ins!$B:$B,0))</f>
        <v>4261.9131828</v>
      </c>
      <c r="AI67" s="13">
        <f>INDEX([1]ratio_ins!AF:AF,MATCH('001_population_health_zone_zs'!$B$2,[1]ratio_ins!$B:$B,0))*$G67*INDEX([1]ratio_ins!$D:$D,MATCH('001_population_health_zone_zs'!$B67,[1]ratio_ins!$B:$B,0))</f>
        <v>48763.817902800001</v>
      </c>
      <c r="AJ67" s="10">
        <f>INDEX([1]ratio_ins!AG:AG,MATCH('001_population_health_zone_zs'!$B$2,[1]ratio_ins!$B:$B,0))*$G67*INDEX([1]ratio_ins!$D:$D,MATCH('001_population_health_zone_zs'!$B67,[1]ratio_ins!$B:$B,0))</f>
        <v>2841.2754552000001</v>
      </c>
      <c r="AK67" s="10">
        <f>INDEX([1]ratio_ins!AH:AH,MATCH('001_population_health_zone_zs'!$B$2,[1]ratio_ins!$B:$B,0))*$G67*INDEX([1]ratio_ins!$D:$D,MATCH('001_population_health_zone_zs'!$B67,[1]ratio_ins!$B:$B,0))</f>
        <v>6332.9633640000011</v>
      </c>
      <c r="AL67" s="10">
        <f>INDEX([1]ratio_ins!AI:AI,MATCH('001_population_health_zone_zs'!$B$2,[1]ratio_ins!$B:$B,0))*$G67*INDEX([1]ratio_ins!$D:$D,MATCH('001_population_health_zone_zs'!$B67,[1]ratio_ins!$B:$B,0))</f>
        <v>5990.64102</v>
      </c>
      <c r="AM67" s="10">
        <f>INDEX([1]ratio_ins!AJ:AJ,MATCH('001_population_health_zone_zs'!$B$2,[1]ratio_ins!$B:$B,0))*$G67*INDEX([1]ratio_ins!$D:$D,MATCH('001_population_health_zone_zs'!$B67,[1]ratio_ins!$B:$B,0))</f>
        <v>5477.1575039999998</v>
      </c>
      <c r="AN67" s="10">
        <f>INDEX([1]ratio_ins!AK:AK,MATCH('001_population_health_zone_zs'!$B$2,[1]ratio_ins!$B:$B,0))*$G67*INDEX([1]ratio_ins!$D:$D,MATCH('001_population_health_zone_zs'!$B67,[1]ratio_ins!$B:$B,0))</f>
        <v>5134.8351599999996</v>
      </c>
      <c r="AO67" s="10">
        <f>INDEX([1]ratio_ins!AL:AL,MATCH('001_population_health_zone_zs'!$B$2,[1]ratio_ins!$B:$B,0))*$G67*INDEX([1]ratio_ins!$D:$D,MATCH('001_population_health_zone_zs'!$B67,[1]ratio_ins!$B:$B,0))</f>
        <v>3851.12637</v>
      </c>
      <c r="AP67" s="10">
        <f>INDEX([1]ratio_ins!AM:AM,MATCH('001_population_health_zone_zs'!$B$2,[1]ratio_ins!$B:$B,0))*$G67*INDEX([1]ratio_ins!$D:$D,MATCH('001_population_health_zone_zs'!$B67,[1]ratio_ins!$B:$B,0))</f>
        <v>2481.8369939999998</v>
      </c>
      <c r="AQ67" s="10">
        <f>INDEX([1]ratio_ins!AN:AN,MATCH('001_population_health_zone_zs'!$B$2,[1]ratio_ins!$B:$B,0))*$G67*INDEX([1]ratio_ins!$D:$D,MATCH('001_population_health_zone_zs'!$B67,[1]ratio_ins!$B:$B,0))</f>
        <v>1968.353478</v>
      </c>
      <c r="AR67" s="10">
        <f>INDEX([1]ratio_ins!AO:AO,MATCH('001_population_health_zone_zs'!$B$2,[1]ratio_ins!$B:$B,0))*$G67*INDEX([1]ratio_ins!$D:$D,MATCH('001_population_health_zone_zs'!$B67,[1]ratio_ins!$B:$B,0))</f>
        <v>941.38644600000009</v>
      </c>
      <c r="AS67" s="13">
        <f>INDEX([1]ratio_ins!AP:AP,MATCH('001_population_health_zone_zs'!$B$2,[1]ratio_ins!$B:$B,0))*$G67*INDEX([1]ratio_ins!$D:$D,MATCH('001_population_health_zone_zs'!$B67,[1]ratio_ins!$B:$B,0))</f>
        <v>35019.575791200004</v>
      </c>
      <c r="AT67" s="10">
        <f>INDEX([1]ratio_ins!AQ:AQ,MATCH('001_population_health_zone_zs'!$B$2,[1]ratio_ins!$B:$B,0))*$G67*INDEX([1]ratio_ins!$D:$D,MATCH('001_population_health_zone_zs'!$B67,[1]ratio_ins!$B:$B,0))</f>
        <v>855.80586000000005</v>
      </c>
      <c r="AU67" s="10">
        <f>INDEX([1]ratio_ins!AR:AR,MATCH('001_population_health_zone_zs'!$B$2,[1]ratio_ins!$B:$B,0))*$G67*INDEX([1]ratio_ins!$D:$D,MATCH('001_population_health_zone_zs'!$B67,[1]ratio_ins!$B:$B,0))</f>
        <v>513.48351600000001</v>
      </c>
      <c r="AV67" s="10">
        <f>INDEX([1]ratio_ins!AS:AS,MATCH('001_population_health_zone_zs'!$B$2,[1]ratio_ins!$B:$B,0))*$G67*INDEX([1]ratio_ins!$D:$D,MATCH('001_population_health_zone_zs'!$B67,[1]ratio_ins!$B:$B,0))</f>
        <v>256.741758</v>
      </c>
      <c r="AW67" s="10">
        <f>INDEX([1]ratio_ins!AT:AT,MATCH('001_population_health_zone_zs'!$B$2,[1]ratio_ins!$B:$B,0))*$G67*INDEX([1]ratio_ins!$D:$D,MATCH('001_population_health_zone_zs'!$B67,[1]ratio_ins!$B:$B,0))</f>
        <v>171.16117199999999</v>
      </c>
      <c r="AX67" s="13">
        <f>INDEX([1]ratio_ins!AU:AU,MATCH('001_population_health_zone_zs'!$B$2,[1]ratio_ins!$B:$B,0))*$G67*INDEX([1]ratio_ins!$D:$D,MATCH('001_population_health_zone_zs'!$B67,[1]ratio_ins!$B:$B,0))</f>
        <v>1797.1923059999999</v>
      </c>
      <c r="AY67" s="14">
        <f t="shared" ref="AY67:AY130" si="7">AI67+AS67+AX67</f>
        <v>85580.585999999996</v>
      </c>
      <c r="AZ67" s="15">
        <f t="shared" ref="AZ67:AZ130" si="8">AC67+AY67</f>
        <v>168798</v>
      </c>
      <c r="BA67" s="16">
        <v>161929.35883923495</v>
      </c>
      <c r="BB67" s="10">
        <f t="shared" ref="BB67:BB130" si="9">SUM(AH67,AJ67,AK67:AP67)</f>
        <v>36371.749049999999</v>
      </c>
      <c r="BC67" s="17">
        <f t="shared" ref="BC67:BC130" si="10">BB67/G67</f>
        <v>0.215475</v>
      </c>
      <c r="BD67" s="10">
        <f t="shared" ref="BD67:BD130" si="11">SUM(L67,N67:T67)</f>
        <v>34701.661638000005</v>
      </c>
    </row>
    <row r="68" spans="1:56" x14ac:dyDescent="0.25">
      <c r="A68" s="8" t="s">
        <v>161</v>
      </c>
      <c r="B68" s="8" t="s">
        <v>162</v>
      </c>
      <c r="C68" s="8" t="s">
        <v>163</v>
      </c>
      <c r="D68" s="8" t="s">
        <v>164</v>
      </c>
      <c r="E68" s="8" t="s">
        <v>165</v>
      </c>
      <c r="F68" s="8" t="s">
        <v>166</v>
      </c>
      <c r="G68" s="9">
        <v>254888</v>
      </c>
      <c r="H68" s="10">
        <f>INDEX([1]ratio_ins!F:F,MATCH('001_population_health_zone_zs'!$B$2,[1]ratio_ins!$B:$B,0))*$G68*INDEX([1]ratio_ins!$C:$C,MATCH('001_population_health_zone_zs'!$B68,[1]ratio_ins!$B:$B,0))</f>
        <v>25889.993712</v>
      </c>
      <c r="I68" s="10">
        <f>INDEX([1]ratio_ins!G:G,MATCH('001_population_health_zone_zs'!$B$2,[1]ratio_ins!$B:$B,0))*$G68*INDEX([1]ratio_ins!$C:$C,MATCH('001_population_health_zone_zs'!$B68,[1]ratio_ins!$B:$B,0))</f>
        <v>21182.722128000001</v>
      </c>
      <c r="J68" s="10">
        <f>INDEX([1]ratio_ins!H:H,MATCH('001_population_health_zone_zs'!$B$2,[1]ratio_ins!$B:$B,0))*$G68*INDEX([1]ratio_ins!$C:$C,MATCH('001_population_health_zone_zs'!$B68,[1]ratio_ins!$B:$B,0))</f>
        <v>16723.201680000002</v>
      </c>
      <c r="K68" s="10">
        <f>INDEX([1]ratio_ins!I:I,MATCH('001_population_health_zone_zs'!$B$2,[1]ratio_ins!$B:$B,0))*$G68*INDEX([1]ratio_ins!$C:$C,MATCH('001_population_health_zone_zs'!$B68,[1]ratio_ins!$B:$B,0))</f>
        <v>10281.672144</v>
      </c>
      <c r="L68" s="10">
        <f>INDEX([1]ratio_ins!J:J,MATCH('001_population_health_zone_zs'!$B$2,[1]ratio_ins!$B:$B,0))*$G68*INDEX([1]ratio_ins!$C:$C,MATCH('001_population_health_zone_zs'!$B68,[1]ratio_ins!$B:$B,0))</f>
        <v>6169.0032863999995</v>
      </c>
      <c r="M68" s="11">
        <f>INDEX([1]ratio_ins!K:K,MATCH('001_population_health_zone_zs'!$B$2,[1]ratio_ins!$B:$B,0))*$G68*INDEX([1]ratio_ins!$C:$C,MATCH('001_population_health_zone_zs'!$B68,[1]ratio_ins!$B:$B,0))</f>
        <v>69964.920806399998</v>
      </c>
      <c r="N68" s="10">
        <f>INDEX([1]ratio_ins!L:L,MATCH('001_population_health_zone_zs'!$B$2,[1]ratio_ins!$B:$B,0))*$G68*INDEX([1]ratio_ins!$C:$C,MATCH('001_population_health_zone_zs'!$B68,[1]ratio_ins!$B:$B,0))</f>
        <v>4112.6688575999997</v>
      </c>
      <c r="O68" s="10">
        <f>INDEX([1]ratio_ins!M:M,MATCH('001_population_health_zone_zs'!$B$2,[1]ratio_ins!$B:$B,0))*$G68*INDEX([1]ratio_ins!$C:$C,MATCH('001_population_health_zone_zs'!$B68,[1]ratio_ins!$B:$B,0))</f>
        <v>8919.0408960000004</v>
      </c>
      <c r="P68" s="10">
        <f>INDEX([1]ratio_ins!N:N,MATCH('001_population_health_zone_zs'!$B$2,[1]ratio_ins!$B:$B,0))*$G68*INDEX([1]ratio_ins!$C:$C,MATCH('001_population_health_zone_zs'!$B68,[1]ratio_ins!$B:$B,0))</f>
        <v>8051.9119200000005</v>
      </c>
      <c r="Q68" s="10">
        <f>INDEX([1]ratio_ins!O:O,MATCH('001_population_health_zone_zs'!$B$2,[1]ratio_ins!$B:$B,0))*$G68*INDEX([1]ratio_ins!$C:$C,MATCH('001_population_health_zone_zs'!$B68,[1]ratio_ins!$B:$B,0))</f>
        <v>7184.7829439999996</v>
      </c>
      <c r="R68" s="10">
        <f>INDEX([1]ratio_ins!P:P,MATCH('001_population_health_zone_zs'!$B$2,[1]ratio_ins!$B:$B,0))*$G68*INDEX([1]ratio_ins!$C:$C,MATCH('001_population_health_zone_zs'!$B68,[1]ratio_ins!$B:$B,0))</f>
        <v>7060.9073760000001</v>
      </c>
      <c r="S68" s="10">
        <f>INDEX([1]ratio_ins!Q:Q,MATCH('001_population_health_zone_zs'!$B$2,[1]ratio_ins!$B:$B,0))*$G68*INDEX([1]ratio_ins!$C:$C,MATCH('001_population_health_zone_zs'!$B68,[1]ratio_ins!$B:$B,0))</f>
        <v>5946.0272639999994</v>
      </c>
      <c r="T68" s="10">
        <f>INDEX([1]ratio_ins!R:R,MATCH('001_population_health_zone_zs'!$B$2,[1]ratio_ins!$B:$B,0))*$G68*INDEX([1]ratio_ins!$C:$C,MATCH('001_population_health_zone_zs'!$B68,[1]ratio_ins!$B:$B,0))</f>
        <v>4211.7693120000004</v>
      </c>
      <c r="U68" s="10">
        <f>INDEX([1]ratio_ins!S:S,MATCH('001_population_health_zone_zs'!$B$2,[1]ratio_ins!$B:$B,0))*$G68*INDEX([1]ratio_ins!$C:$C,MATCH('001_population_health_zone_zs'!$B68,[1]ratio_ins!$B:$B,0))</f>
        <v>3344.6403360000004</v>
      </c>
      <c r="V68" s="10">
        <f>INDEX([1]ratio_ins!T:T,MATCH('001_population_health_zone_zs'!$B$2,[1]ratio_ins!$B:$B,0))*$G68*INDEX([1]ratio_ins!$C:$C,MATCH('001_population_health_zone_zs'!$B68,[1]ratio_ins!$B:$B,0))</f>
        <v>1858.1335199999999</v>
      </c>
      <c r="W68" s="11">
        <f>INDEX([1]ratio_ins!U:U,MATCH('001_population_health_zone_zs'!$B$2,[1]ratio_ins!$B:$B,0))*$G68*INDEX([1]ratio_ins!$C:$C,MATCH('001_population_health_zone_zs'!$B68,[1]ratio_ins!$B:$B,0))</f>
        <v>50689.882425600001</v>
      </c>
      <c r="X68" s="10">
        <f>INDEX([1]ratio_ins!V:V,MATCH('001_population_health_zone_zs'!$B$2,[1]ratio_ins!$B:$B,0))*$G68*INDEX([1]ratio_ins!$C:$C,MATCH('001_population_health_zone_zs'!$B68,[1]ratio_ins!$B:$B,0))</f>
        <v>1486.5068159999998</v>
      </c>
      <c r="Y68" s="10">
        <f>INDEX([1]ratio_ins!W:W,MATCH('001_population_health_zone_zs'!$B$2,[1]ratio_ins!$B:$B,0))*$G68*INDEX([1]ratio_ins!$C:$C,MATCH('001_population_health_zone_zs'!$B68,[1]ratio_ins!$B:$B,0))</f>
        <v>991.00454400000001</v>
      </c>
      <c r="Z68" s="10">
        <f>INDEX([1]ratio_ins!X:X,MATCH('001_population_health_zone_zs'!$B$2,[1]ratio_ins!$B:$B,0))*$G68*INDEX([1]ratio_ins!$C:$C,MATCH('001_population_health_zone_zs'!$B68,[1]ratio_ins!$B:$B,0))</f>
        <v>495.502272</v>
      </c>
      <c r="AA68" s="10">
        <f>INDEX([1]ratio_ins!Y:Y,MATCH('001_population_health_zone_zs'!$B$2,[1]ratio_ins!$B:$B,0))*$G68*INDEX([1]ratio_ins!$C:$C,MATCH('001_population_health_zone_zs'!$B68,[1]ratio_ins!$B:$B,0))</f>
        <v>247.751136</v>
      </c>
      <c r="AB68" s="11">
        <f>INDEX([1]ratio_ins!Z:Z,MATCH('001_population_health_zone_zs'!$B$2,[1]ratio_ins!$B:$B,0))*$G68*INDEX([1]ratio_ins!$C:$C,MATCH('001_population_health_zone_zs'!$B68,[1]ratio_ins!$B:$B,0))</f>
        <v>3220.7647680000005</v>
      </c>
      <c r="AC68" s="12">
        <f t="shared" si="6"/>
        <v>123875.568</v>
      </c>
      <c r="AD68" s="10">
        <f>INDEX([1]ratio_ins!AA:AA,MATCH('001_population_health_zone_zs'!$B$2,[1]ratio_ins!$B:$B,0))*$G68*INDEX([1]ratio_ins!$D:$D,MATCH('001_population_health_zone_zs'!$B68,[1]ratio_ins!$B:$B,0))</f>
        <v>27512.610719999997</v>
      </c>
      <c r="AE68" s="10">
        <f>INDEX([1]ratio_ins!AB:AB,MATCH('001_population_health_zone_zs'!$B$2,[1]ratio_ins!$B:$B,0))*$G68*INDEX([1]ratio_ins!$D:$D,MATCH('001_population_health_zone_zs'!$B68,[1]ratio_ins!$B:$B,0))</f>
        <v>22665.150736000003</v>
      </c>
      <c r="AF68" s="10">
        <f>INDEX([1]ratio_ins!AC:AC,MATCH('001_population_health_zone_zs'!$B$2,[1]ratio_ins!$B:$B,0))*$G68*INDEX([1]ratio_ins!$D:$D,MATCH('001_population_health_zone_zs'!$B68,[1]ratio_ins!$B:$B,0))</f>
        <v>17948.703183999998</v>
      </c>
      <c r="AG68" s="10">
        <f>INDEX([1]ratio_ins!AD:AD,MATCH('001_population_health_zone_zs'!$B$2,[1]ratio_ins!$B:$B,0))*$G68*INDEX([1]ratio_ins!$D:$D,MATCH('001_population_health_zone_zs'!$B68,[1]ratio_ins!$B:$B,0))</f>
        <v>10874.031856000001</v>
      </c>
      <c r="AH68" s="10">
        <f>INDEX([1]ratio_ins!AE:AE,MATCH('001_population_health_zone_zs'!$B$2,[1]ratio_ins!$B:$B,0))*$G68*INDEX([1]ratio_ins!$D:$D,MATCH('001_population_health_zone_zs'!$B68,[1]ratio_ins!$B:$B,0))</f>
        <v>6524.4191135999999</v>
      </c>
      <c r="AI68" s="13">
        <f>INDEX([1]ratio_ins!AF:AF,MATCH('001_population_health_zone_zs'!$B$2,[1]ratio_ins!$B:$B,0))*$G68*INDEX([1]ratio_ins!$D:$D,MATCH('001_population_health_zone_zs'!$B68,[1]ratio_ins!$B:$B,0))</f>
        <v>74650.883753599992</v>
      </c>
      <c r="AJ68" s="10">
        <f>INDEX([1]ratio_ins!AG:AG,MATCH('001_population_health_zone_zs'!$B$2,[1]ratio_ins!$B:$B,0))*$G68*INDEX([1]ratio_ins!$D:$D,MATCH('001_population_health_zone_zs'!$B68,[1]ratio_ins!$B:$B,0))</f>
        <v>4349.6127424000006</v>
      </c>
      <c r="AK68" s="10">
        <f>INDEX([1]ratio_ins!AH:AH,MATCH('001_population_health_zone_zs'!$B$2,[1]ratio_ins!$B:$B,0))*$G68*INDEX([1]ratio_ins!$D:$D,MATCH('001_population_health_zone_zs'!$B68,[1]ratio_ins!$B:$B,0))</f>
        <v>9694.919968000002</v>
      </c>
      <c r="AL68" s="10">
        <f>INDEX([1]ratio_ins!AI:AI,MATCH('001_population_health_zone_zs'!$B$2,[1]ratio_ins!$B:$B,0))*$G68*INDEX([1]ratio_ins!$D:$D,MATCH('001_population_health_zone_zs'!$B68,[1]ratio_ins!$B:$B,0))</f>
        <v>9170.870240000002</v>
      </c>
      <c r="AM68" s="10">
        <f>INDEX([1]ratio_ins!AJ:AJ,MATCH('001_population_health_zone_zs'!$B$2,[1]ratio_ins!$B:$B,0))*$G68*INDEX([1]ratio_ins!$D:$D,MATCH('001_population_health_zone_zs'!$B68,[1]ratio_ins!$B:$B,0))</f>
        <v>8384.7956480000012</v>
      </c>
      <c r="AN68" s="10">
        <f>INDEX([1]ratio_ins!AK:AK,MATCH('001_population_health_zone_zs'!$B$2,[1]ratio_ins!$B:$B,0))*$G68*INDEX([1]ratio_ins!$D:$D,MATCH('001_population_health_zone_zs'!$B68,[1]ratio_ins!$B:$B,0))</f>
        <v>7860.7459199999994</v>
      </c>
      <c r="AO68" s="10">
        <f>INDEX([1]ratio_ins!AL:AL,MATCH('001_population_health_zone_zs'!$B$2,[1]ratio_ins!$B:$B,0))*$G68*INDEX([1]ratio_ins!$D:$D,MATCH('001_population_health_zone_zs'!$B68,[1]ratio_ins!$B:$B,0))</f>
        <v>5895.55944</v>
      </c>
      <c r="AP68" s="10">
        <f>INDEX([1]ratio_ins!AM:AM,MATCH('001_population_health_zone_zs'!$B$2,[1]ratio_ins!$B:$B,0))*$G68*INDEX([1]ratio_ins!$D:$D,MATCH('001_population_health_zone_zs'!$B68,[1]ratio_ins!$B:$B,0))</f>
        <v>3799.3605279999997</v>
      </c>
      <c r="AQ68" s="10">
        <f>INDEX([1]ratio_ins!AN:AN,MATCH('001_population_health_zone_zs'!$B$2,[1]ratio_ins!$B:$B,0))*$G68*INDEX([1]ratio_ins!$D:$D,MATCH('001_population_health_zone_zs'!$B68,[1]ratio_ins!$B:$B,0))</f>
        <v>3013.2859360000002</v>
      </c>
      <c r="AR68" s="10">
        <f>INDEX([1]ratio_ins!AO:AO,MATCH('001_population_health_zone_zs'!$B$2,[1]ratio_ins!$B:$B,0))*$G68*INDEX([1]ratio_ins!$D:$D,MATCH('001_population_health_zone_zs'!$B68,[1]ratio_ins!$B:$B,0))</f>
        <v>1441.1367520000003</v>
      </c>
      <c r="AS68" s="13">
        <f>INDEX([1]ratio_ins!AP:AP,MATCH('001_population_health_zone_zs'!$B$2,[1]ratio_ins!$B:$B,0))*$G68*INDEX([1]ratio_ins!$D:$D,MATCH('001_population_health_zone_zs'!$B68,[1]ratio_ins!$B:$B,0))</f>
        <v>53610.287174400008</v>
      </c>
      <c r="AT68" s="10">
        <f>INDEX([1]ratio_ins!AQ:AQ,MATCH('001_population_health_zone_zs'!$B$2,[1]ratio_ins!$B:$B,0))*$G68*INDEX([1]ratio_ins!$D:$D,MATCH('001_population_health_zone_zs'!$B68,[1]ratio_ins!$B:$B,0))</f>
        <v>1310.1243200000001</v>
      </c>
      <c r="AU68" s="10">
        <f>INDEX([1]ratio_ins!AR:AR,MATCH('001_population_health_zone_zs'!$B$2,[1]ratio_ins!$B:$B,0))*$G68*INDEX([1]ratio_ins!$D:$D,MATCH('001_population_health_zone_zs'!$B68,[1]ratio_ins!$B:$B,0))</f>
        <v>786.07459200000005</v>
      </c>
      <c r="AV68" s="10">
        <f>INDEX([1]ratio_ins!AS:AS,MATCH('001_population_health_zone_zs'!$B$2,[1]ratio_ins!$B:$B,0))*$G68*INDEX([1]ratio_ins!$D:$D,MATCH('001_population_health_zone_zs'!$B68,[1]ratio_ins!$B:$B,0))</f>
        <v>393.03729600000003</v>
      </c>
      <c r="AW68" s="10">
        <f>INDEX([1]ratio_ins!AT:AT,MATCH('001_population_health_zone_zs'!$B$2,[1]ratio_ins!$B:$B,0))*$G68*INDEX([1]ratio_ins!$D:$D,MATCH('001_population_health_zone_zs'!$B68,[1]ratio_ins!$B:$B,0))</f>
        <v>262.02486400000004</v>
      </c>
      <c r="AX68" s="13">
        <f>INDEX([1]ratio_ins!AU:AU,MATCH('001_population_health_zone_zs'!$B$2,[1]ratio_ins!$B:$B,0))*$G68*INDEX([1]ratio_ins!$D:$D,MATCH('001_population_health_zone_zs'!$B68,[1]ratio_ins!$B:$B,0))</f>
        <v>2751.2610719999998</v>
      </c>
      <c r="AY68" s="14">
        <f t="shared" si="7"/>
        <v>131012.432</v>
      </c>
      <c r="AZ68" s="15">
        <f t="shared" si="8"/>
        <v>254888</v>
      </c>
      <c r="BA68" s="16">
        <v>246026.12547988218</v>
      </c>
      <c r="BB68" s="10">
        <f t="shared" si="9"/>
        <v>55680.283600000002</v>
      </c>
      <c r="BC68" s="17">
        <f t="shared" si="10"/>
        <v>0.21845000000000001</v>
      </c>
      <c r="BD68" s="10">
        <f t="shared" si="11"/>
        <v>51656.111856000003</v>
      </c>
    </row>
    <row r="69" spans="1:56" x14ac:dyDescent="0.25">
      <c r="A69" s="8" t="s">
        <v>161</v>
      </c>
      <c r="B69" s="8" t="s">
        <v>162</v>
      </c>
      <c r="C69" s="8" t="s">
        <v>163</v>
      </c>
      <c r="D69" s="8" t="s">
        <v>164</v>
      </c>
      <c r="E69" s="8" t="s">
        <v>163</v>
      </c>
      <c r="F69" s="8" t="s">
        <v>167</v>
      </c>
      <c r="G69" s="9">
        <v>345260</v>
      </c>
      <c r="H69" s="10">
        <f>INDEX([1]ratio_ins!F:F,MATCH('001_population_health_zone_zs'!$B$2,[1]ratio_ins!$B:$B,0))*$G69*INDEX([1]ratio_ins!$C:$C,MATCH('001_population_health_zone_zs'!$B69,[1]ratio_ins!$B:$B,0))</f>
        <v>35069.43924</v>
      </c>
      <c r="I69" s="10">
        <f>INDEX([1]ratio_ins!G:G,MATCH('001_population_health_zone_zs'!$B$2,[1]ratio_ins!$B:$B,0))*$G69*INDEX([1]ratio_ins!$C:$C,MATCH('001_population_health_zone_zs'!$B69,[1]ratio_ins!$B:$B,0))</f>
        <v>28693.177560000004</v>
      </c>
      <c r="J69" s="10">
        <f>INDEX([1]ratio_ins!H:H,MATCH('001_population_health_zone_zs'!$B$2,[1]ratio_ins!$B:$B,0))*$G69*INDEX([1]ratio_ins!$C:$C,MATCH('001_population_health_zone_zs'!$B69,[1]ratio_ins!$B:$B,0))</f>
        <v>22652.508600000001</v>
      </c>
      <c r="K69" s="10">
        <f>INDEX([1]ratio_ins!I:I,MATCH('001_population_health_zone_zs'!$B$2,[1]ratio_ins!$B:$B,0))*$G69*INDEX([1]ratio_ins!$C:$C,MATCH('001_population_health_zone_zs'!$B69,[1]ratio_ins!$B:$B,0))</f>
        <v>13927.097880000001</v>
      </c>
      <c r="L69" s="10">
        <f>INDEX([1]ratio_ins!J:J,MATCH('001_population_health_zone_zs'!$B$2,[1]ratio_ins!$B:$B,0))*$G69*INDEX([1]ratio_ins!$C:$C,MATCH('001_population_health_zone_zs'!$B69,[1]ratio_ins!$B:$B,0))</f>
        <v>8356.2587280000007</v>
      </c>
      <c r="M69" s="11">
        <f>INDEX([1]ratio_ins!K:K,MATCH('001_population_health_zone_zs'!$B$2,[1]ratio_ins!$B:$B,0))*$G69*INDEX([1]ratio_ins!$C:$C,MATCH('001_population_health_zone_zs'!$B69,[1]ratio_ins!$B:$B,0))</f>
        <v>94771.384127999991</v>
      </c>
      <c r="N69" s="10">
        <f>INDEX([1]ratio_ins!L:L,MATCH('001_population_health_zone_zs'!$B$2,[1]ratio_ins!$B:$B,0))*$G69*INDEX([1]ratio_ins!$C:$C,MATCH('001_population_health_zone_zs'!$B69,[1]ratio_ins!$B:$B,0))</f>
        <v>5570.8391519999996</v>
      </c>
      <c r="O69" s="10">
        <f>INDEX([1]ratio_ins!M:M,MATCH('001_population_health_zone_zs'!$B$2,[1]ratio_ins!$B:$B,0))*$G69*INDEX([1]ratio_ins!$C:$C,MATCH('001_population_health_zone_zs'!$B69,[1]ratio_ins!$B:$B,0))</f>
        <v>12081.33792</v>
      </c>
      <c r="P69" s="10">
        <f>INDEX([1]ratio_ins!N:N,MATCH('001_population_health_zone_zs'!$B$2,[1]ratio_ins!$B:$B,0))*$G69*INDEX([1]ratio_ins!$C:$C,MATCH('001_population_health_zone_zs'!$B69,[1]ratio_ins!$B:$B,0))</f>
        <v>10906.7634</v>
      </c>
      <c r="Q69" s="10">
        <f>INDEX([1]ratio_ins!O:O,MATCH('001_population_health_zone_zs'!$B$2,[1]ratio_ins!$B:$B,0))*$G69*INDEX([1]ratio_ins!$C:$C,MATCH('001_population_health_zone_zs'!$B69,[1]ratio_ins!$B:$B,0))</f>
        <v>9732.1888799999997</v>
      </c>
      <c r="R69" s="10">
        <f>INDEX([1]ratio_ins!P:P,MATCH('001_population_health_zone_zs'!$B$2,[1]ratio_ins!$B:$B,0))*$G69*INDEX([1]ratio_ins!$C:$C,MATCH('001_population_health_zone_zs'!$B69,[1]ratio_ins!$B:$B,0))</f>
        <v>9564.3925199999994</v>
      </c>
      <c r="S69" s="10">
        <f>INDEX([1]ratio_ins!Q:Q,MATCH('001_population_health_zone_zs'!$B$2,[1]ratio_ins!$B:$B,0))*$G69*INDEX([1]ratio_ins!$C:$C,MATCH('001_population_health_zone_zs'!$B69,[1]ratio_ins!$B:$B,0))</f>
        <v>8054.2252799999997</v>
      </c>
      <c r="T69" s="10">
        <f>INDEX([1]ratio_ins!R:R,MATCH('001_population_health_zone_zs'!$B$2,[1]ratio_ins!$B:$B,0))*$G69*INDEX([1]ratio_ins!$C:$C,MATCH('001_population_health_zone_zs'!$B69,[1]ratio_ins!$B:$B,0))</f>
        <v>5705.0762400000003</v>
      </c>
      <c r="U69" s="10">
        <f>INDEX([1]ratio_ins!S:S,MATCH('001_population_health_zone_zs'!$B$2,[1]ratio_ins!$B:$B,0))*$G69*INDEX([1]ratio_ins!$C:$C,MATCH('001_population_health_zone_zs'!$B69,[1]ratio_ins!$B:$B,0))</f>
        <v>4530.5017200000002</v>
      </c>
      <c r="V69" s="10">
        <f>INDEX([1]ratio_ins!T:T,MATCH('001_population_health_zone_zs'!$B$2,[1]ratio_ins!$B:$B,0))*$G69*INDEX([1]ratio_ins!$C:$C,MATCH('001_population_health_zone_zs'!$B69,[1]ratio_ins!$B:$B,0))</f>
        <v>2516.9453999999996</v>
      </c>
      <c r="W69" s="11">
        <f>INDEX([1]ratio_ins!U:U,MATCH('001_population_health_zone_zs'!$B$2,[1]ratio_ins!$B:$B,0))*$G69*INDEX([1]ratio_ins!$C:$C,MATCH('001_population_health_zone_zs'!$B69,[1]ratio_ins!$B:$B,0))</f>
        <v>68662.270511999988</v>
      </c>
      <c r="X69" s="10">
        <f>INDEX([1]ratio_ins!V:V,MATCH('001_population_health_zone_zs'!$B$2,[1]ratio_ins!$B:$B,0))*$G69*INDEX([1]ratio_ins!$C:$C,MATCH('001_population_health_zone_zs'!$B69,[1]ratio_ins!$B:$B,0))</f>
        <v>2013.5563199999999</v>
      </c>
      <c r="Y69" s="10">
        <f>INDEX([1]ratio_ins!W:W,MATCH('001_population_health_zone_zs'!$B$2,[1]ratio_ins!$B:$B,0))*$G69*INDEX([1]ratio_ins!$C:$C,MATCH('001_population_health_zone_zs'!$B69,[1]ratio_ins!$B:$B,0))</f>
        <v>1342.3708799999999</v>
      </c>
      <c r="Z69" s="10">
        <f>INDEX([1]ratio_ins!X:X,MATCH('001_population_health_zone_zs'!$B$2,[1]ratio_ins!$B:$B,0))*$G69*INDEX([1]ratio_ins!$C:$C,MATCH('001_population_health_zone_zs'!$B69,[1]ratio_ins!$B:$B,0))</f>
        <v>671.18543999999997</v>
      </c>
      <c r="AA69" s="10">
        <f>INDEX([1]ratio_ins!Y:Y,MATCH('001_population_health_zone_zs'!$B$2,[1]ratio_ins!$B:$B,0))*$G69*INDEX([1]ratio_ins!$C:$C,MATCH('001_population_health_zone_zs'!$B69,[1]ratio_ins!$B:$B,0))</f>
        <v>335.59271999999999</v>
      </c>
      <c r="AB69" s="11">
        <f>INDEX([1]ratio_ins!Z:Z,MATCH('001_population_health_zone_zs'!$B$2,[1]ratio_ins!$B:$B,0))*$G69*INDEX([1]ratio_ins!$C:$C,MATCH('001_population_health_zone_zs'!$B69,[1]ratio_ins!$B:$B,0))</f>
        <v>4362.7053599999999</v>
      </c>
      <c r="AC69" s="12">
        <f t="shared" si="6"/>
        <v>167796.35999999996</v>
      </c>
      <c r="AD69" s="10">
        <f>INDEX([1]ratio_ins!AA:AA,MATCH('001_population_health_zone_zs'!$B$2,[1]ratio_ins!$B:$B,0))*$G69*INDEX([1]ratio_ins!$D:$D,MATCH('001_population_health_zone_zs'!$B69,[1]ratio_ins!$B:$B,0))</f>
        <v>37267.364399999999</v>
      </c>
      <c r="AE69" s="10">
        <f>INDEX([1]ratio_ins!AB:AB,MATCH('001_population_health_zone_zs'!$B$2,[1]ratio_ins!$B:$B,0))*$G69*INDEX([1]ratio_ins!$D:$D,MATCH('001_population_health_zone_zs'!$B69,[1]ratio_ins!$B:$B,0))</f>
        <v>30701.209720000003</v>
      </c>
      <c r="AF69" s="10">
        <f>INDEX([1]ratio_ins!AC:AC,MATCH('001_population_health_zone_zs'!$B$2,[1]ratio_ins!$B:$B,0))*$G69*INDEX([1]ratio_ins!$D:$D,MATCH('001_population_health_zone_zs'!$B69,[1]ratio_ins!$B:$B,0))</f>
        <v>24312.518679999997</v>
      </c>
      <c r="AG69" s="10">
        <f>INDEX([1]ratio_ins!AD:AD,MATCH('001_population_health_zone_zs'!$B$2,[1]ratio_ins!$B:$B,0))*$G69*INDEX([1]ratio_ins!$D:$D,MATCH('001_population_health_zone_zs'!$B69,[1]ratio_ins!$B:$B,0))</f>
        <v>14729.482120000001</v>
      </c>
      <c r="AH69" s="10">
        <f>INDEX([1]ratio_ins!AE:AE,MATCH('001_population_health_zone_zs'!$B$2,[1]ratio_ins!$B:$B,0))*$G69*INDEX([1]ratio_ins!$D:$D,MATCH('001_population_health_zone_zs'!$B69,[1]ratio_ins!$B:$B,0))</f>
        <v>8837.6892719999996</v>
      </c>
      <c r="AI69" s="13">
        <f>INDEX([1]ratio_ins!AF:AF,MATCH('001_population_health_zone_zs'!$B$2,[1]ratio_ins!$B:$B,0))*$G69*INDEX([1]ratio_ins!$D:$D,MATCH('001_population_health_zone_zs'!$B69,[1]ratio_ins!$B:$B,0))</f>
        <v>101118.782072</v>
      </c>
      <c r="AJ69" s="10">
        <f>INDEX([1]ratio_ins!AG:AG,MATCH('001_population_health_zone_zs'!$B$2,[1]ratio_ins!$B:$B,0))*$G69*INDEX([1]ratio_ins!$D:$D,MATCH('001_population_health_zone_zs'!$B69,[1]ratio_ins!$B:$B,0))</f>
        <v>5891.792848</v>
      </c>
      <c r="AK69" s="10">
        <f>INDEX([1]ratio_ins!AH:AH,MATCH('001_population_health_zone_zs'!$B$2,[1]ratio_ins!$B:$B,0))*$G69*INDEX([1]ratio_ins!$D:$D,MATCH('001_population_health_zone_zs'!$B69,[1]ratio_ins!$B:$B,0))</f>
        <v>13132.309360000003</v>
      </c>
      <c r="AL69" s="10">
        <f>INDEX([1]ratio_ins!AI:AI,MATCH('001_population_health_zone_zs'!$B$2,[1]ratio_ins!$B:$B,0))*$G69*INDEX([1]ratio_ins!$D:$D,MATCH('001_population_health_zone_zs'!$B69,[1]ratio_ins!$B:$B,0))</f>
        <v>12422.454800000001</v>
      </c>
      <c r="AM69" s="10">
        <f>INDEX([1]ratio_ins!AJ:AJ,MATCH('001_population_health_zone_zs'!$B$2,[1]ratio_ins!$B:$B,0))*$G69*INDEX([1]ratio_ins!$D:$D,MATCH('001_population_health_zone_zs'!$B69,[1]ratio_ins!$B:$B,0))</f>
        <v>11357.67296</v>
      </c>
      <c r="AN69" s="10">
        <f>INDEX([1]ratio_ins!AK:AK,MATCH('001_population_health_zone_zs'!$B$2,[1]ratio_ins!$B:$B,0))*$G69*INDEX([1]ratio_ins!$D:$D,MATCH('001_population_health_zone_zs'!$B69,[1]ratio_ins!$B:$B,0))</f>
        <v>10647.8184</v>
      </c>
      <c r="AO69" s="10">
        <f>INDEX([1]ratio_ins!AL:AL,MATCH('001_population_health_zone_zs'!$B$2,[1]ratio_ins!$B:$B,0))*$G69*INDEX([1]ratio_ins!$D:$D,MATCH('001_population_health_zone_zs'!$B69,[1]ratio_ins!$B:$B,0))</f>
        <v>7985.8638000000001</v>
      </c>
      <c r="AP69" s="10">
        <f>INDEX([1]ratio_ins!AM:AM,MATCH('001_population_health_zone_zs'!$B$2,[1]ratio_ins!$B:$B,0))*$G69*INDEX([1]ratio_ins!$D:$D,MATCH('001_population_health_zone_zs'!$B69,[1]ratio_ins!$B:$B,0))</f>
        <v>5146.4455599999992</v>
      </c>
      <c r="AQ69" s="10">
        <f>INDEX([1]ratio_ins!AN:AN,MATCH('001_population_health_zone_zs'!$B$2,[1]ratio_ins!$B:$B,0))*$G69*INDEX([1]ratio_ins!$D:$D,MATCH('001_population_health_zone_zs'!$B69,[1]ratio_ins!$B:$B,0))</f>
        <v>4081.66372</v>
      </c>
      <c r="AR69" s="10">
        <f>INDEX([1]ratio_ins!AO:AO,MATCH('001_population_health_zone_zs'!$B$2,[1]ratio_ins!$B:$B,0))*$G69*INDEX([1]ratio_ins!$D:$D,MATCH('001_population_health_zone_zs'!$B69,[1]ratio_ins!$B:$B,0))</f>
        <v>1952.1000400000003</v>
      </c>
      <c r="AS69" s="13">
        <f>INDEX([1]ratio_ins!AP:AP,MATCH('001_population_health_zone_zs'!$B$2,[1]ratio_ins!$B:$B,0))*$G69*INDEX([1]ratio_ins!$D:$D,MATCH('001_population_health_zone_zs'!$B69,[1]ratio_ins!$B:$B,0))</f>
        <v>72618.121488000004</v>
      </c>
      <c r="AT69" s="10">
        <f>INDEX([1]ratio_ins!AQ:AQ,MATCH('001_population_health_zone_zs'!$B$2,[1]ratio_ins!$B:$B,0))*$G69*INDEX([1]ratio_ins!$D:$D,MATCH('001_population_health_zone_zs'!$B69,[1]ratio_ins!$B:$B,0))</f>
        <v>1774.6364000000001</v>
      </c>
      <c r="AU69" s="10">
        <f>INDEX([1]ratio_ins!AR:AR,MATCH('001_population_health_zone_zs'!$B$2,[1]ratio_ins!$B:$B,0))*$G69*INDEX([1]ratio_ins!$D:$D,MATCH('001_population_health_zone_zs'!$B69,[1]ratio_ins!$B:$B,0))</f>
        <v>1064.7818400000001</v>
      </c>
      <c r="AV69" s="10">
        <f>INDEX([1]ratio_ins!AS:AS,MATCH('001_population_health_zone_zs'!$B$2,[1]ratio_ins!$B:$B,0))*$G69*INDEX([1]ratio_ins!$D:$D,MATCH('001_population_health_zone_zs'!$B69,[1]ratio_ins!$B:$B,0))</f>
        <v>532.39092000000005</v>
      </c>
      <c r="AW69" s="10">
        <f>INDEX([1]ratio_ins!AT:AT,MATCH('001_population_health_zone_zs'!$B$2,[1]ratio_ins!$B:$B,0))*$G69*INDEX([1]ratio_ins!$D:$D,MATCH('001_population_health_zone_zs'!$B69,[1]ratio_ins!$B:$B,0))</f>
        <v>354.92728</v>
      </c>
      <c r="AX69" s="13">
        <f>INDEX([1]ratio_ins!AU:AU,MATCH('001_population_health_zone_zs'!$B$2,[1]ratio_ins!$B:$B,0))*$G69*INDEX([1]ratio_ins!$D:$D,MATCH('001_population_health_zone_zs'!$B69,[1]ratio_ins!$B:$B,0))</f>
        <v>3726.7364399999997</v>
      </c>
      <c r="AY69" s="14">
        <f t="shared" si="7"/>
        <v>177463.64</v>
      </c>
      <c r="AZ69" s="15">
        <f t="shared" si="8"/>
        <v>345260</v>
      </c>
      <c r="BA69" s="16">
        <v>333255.51050440071</v>
      </c>
      <c r="BB69" s="10">
        <f t="shared" si="9"/>
        <v>75422.047000000006</v>
      </c>
      <c r="BC69" s="17">
        <f t="shared" si="10"/>
        <v>0.21845000000000001</v>
      </c>
      <c r="BD69" s="10">
        <f t="shared" si="11"/>
        <v>69971.082120000006</v>
      </c>
    </row>
    <row r="70" spans="1:56" x14ac:dyDescent="0.25">
      <c r="A70" s="8" t="s">
        <v>161</v>
      </c>
      <c r="B70" s="8" t="s">
        <v>162</v>
      </c>
      <c r="C70" s="8" t="s">
        <v>163</v>
      </c>
      <c r="D70" s="8" t="s">
        <v>164</v>
      </c>
      <c r="E70" s="8" t="s">
        <v>168</v>
      </c>
      <c r="F70" s="8" t="s">
        <v>169</v>
      </c>
      <c r="G70" s="9">
        <v>219279</v>
      </c>
      <c r="H70" s="10">
        <f>INDEX([1]ratio_ins!F:F,MATCH('001_population_health_zone_zs'!$B$2,[1]ratio_ins!$B:$B,0))*$G70*INDEX([1]ratio_ins!$C:$C,MATCH('001_population_health_zone_zs'!$B70,[1]ratio_ins!$B:$B,0))</f>
        <v>22273.045146</v>
      </c>
      <c r="I70" s="10">
        <f>INDEX([1]ratio_ins!G:G,MATCH('001_population_health_zone_zs'!$B$2,[1]ratio_ins!$B:$B,0))*$G70*INDEX([1]ratio_ins!$C:$C,MATCH('001_population_health_zone_zs'!$B70,[1]ratio_ins!$B:$B,0))</f>
        <v>18223.400573999999</v>
      </c>
      <c r="J70" s="10">
        <f>INDEX([1]ratio_ins!H:H,MATCH('001_population_health_zone_zs'!$B$2,[1]ratio_ins!$B:$B,0))*$G70*INDEX([1]ratio_ins!$C:$C,MATCH('001_population_health_zone_zs'!$B70,[1]ratio_ins!$B:$B,0))</f>
        <v>14386.895189999999</v>
      </c>
      <c r="K70" s="10">
        <f>INDEX([1]ratio_ins!I:I,MATCH('001_population_health_zone_zs'!$B$2,[1]ratio_ins!$B:$B,0))*$G70*INDEX([1]ratio_ins!$C:$C,MATCH('001_population_health_zone_zs'!$B70,[1]ratio_ins!$B:$B,0))</f>
        <v>8845.2763020000002</v>
      </c>
      <c r="L70" s="10">
        <f>INDEX([1]ratio_ins!J:J,MATCH('001_population_health_zone_zs'!$B$2,[1]ratio_ins!$B:$B,0))*$G70*INDEX([1]ratio_ins!$C:$C,MATCH('001_population_health_zone_zs'!$B70,[1]ratio_ins!$B:$B,0))</f>
        <v>5307.1657811999994</v>
      </c>
      <c r="M70" s="11">
        <f>INDEX([1]ratio_ins!K:K,MATCH('001_population_health_zone_zs'!$B$2,[1]ratio_ins!$B:$B,0))*$G70*INDEX([1]ratio_ins!$C:$C,MATCH('001_population_health_zone_zs'!$B70,[1]ratio_ins!$B:$B,0))</f>
        <v>60190.506691199997</v>
      </c>
      <c r="N70" s="10">
        <f>INDEX([1]ratio_ins!L:L,MATCH('001_population_health_zone_zs'!$B$2,[1]ratio_ins!$B:$B,0))*$G70*INDEX([1]ratio_ins!$C:$C,MATCH('001_population_health_zone_zs'!$B70,[1]ratio_ins!$B:$B,0))</f>
        <v>3538.1105207999999</v>
      </c>
      <c r="O70" s="10">
        <f>INDEX([1]ratio_ins!M:M,MATCH('001_population_health_zone_zs'!$B$2,[1]ratio_ins!$B:$B,0))*$G70*INDEX([1]ratio_ins!$C:$C,MATCH('001_population_health_zone_zs'!$B70,[1]ratio_ins!$B:$B,0))</f>
        <v>7673.010768000001</v>
      </c>
      <c r="P70" s="10">
        <f>INDEX([1]ratio_ins!N:N,MATCH('001_population_health_zone_zs'!$B$2,[1]ratio_ins!$B:$B,0))*$G70*INDEX([1]ratio_ins!$C:$C,MATCH('001_population_health_zone_zs'!$B70,[1]ratio_ins!$B:$B,0))</f>
        <v>6927.0236100000002</v>
      </c>
      <c r="Q70" s="10">
        <f>INDEX([1]ratio_ins!O:O,MATCH('001_population_health_zone_zs'!$B$2,[1]ratio_ins!$B:$B,0))*$G70*INDEX([1]ratio_ins!$C:$C,MATCH('001_population_health_zone_zs'!$B70,[1]ratio_ins!$B:$B,0))</f>
        <v>6181.0364519999994</v>
      </c>
      <c r="R70" s="10">
        <f>INDEX([1]ratio_ins!P:P,MATCH('001_population_health_zone_zs'!$B$2,[1]ratio_ins!$B:$B,0))*$G70*INDEX([1]ratio_ins!$C:$C,MATCH('001_population_health_zone_zs'!$B70,[1]ratio_ins!$B:$B,0))</f>
        <v>6074.4668579999998</v>
      </c>
      <c r="S70" s="10">
        <f>INDEX([1]ratio_ins!Q:Q,MATCH('001_population_health_zone_zs'!$B$2,[1]ratio_ins!$B:$B,0))*$G70*INDEX([1]ratio_ins!$C:$C,MATCH('001_population_health_zone_zs'!$B70,[1]ratio_ins!$B:$B,0))</f>
        <v>5115.3405119999998</v>
      </c>
      <c r="T70" s="10">
        <f>INDEX([1]ratio_ins!R:R,MATCH('001_population_health_zone_zs'!$B$2,[1]ratio_ins!$B:$B,0))*$G70*INDEX([1]ratio_ins!$C:$C,MATCH('001_population_health_zone_zs'!$B70,[1]ratio_ins!$B:$B,0))</f>
        <v>3623.3661960000004</v>
      </c>
      <c r="U70" s="10">
        <f>INDEX([1]ratio_ins!S:S,MATCH('001_population_health_zone_zs'!$B$2,[1]ratio_ins!$B:$B,0))*$G70*INDEX([1]ratio_ins!$C:$C,MATCH('001_population_health_zone_zs'!$B70,[1]ratio_ins!$B:$B,0))</f>
        <v>2877.379038</v>
      </c>
      <c r="V70" s="10">
        <f>INDEX([1]ratio_ins!T:T,MATCH('001_population_health_zone_zs'!$B$2,[1]ratio_ins!$B:$B,0))*$G70*INDEX([1]ratio_ins!$C:$C,MATCH('001_population_health_zone_zs'!$B70,[1]ratio_ins!$B:$B,0))</f>
        <v>1598.5439099999999</v>
      </c>
      <c r="W70" s="11">
        <f>INDEX([1]ratio_ins!U:U,MATCH('001_population_health_zone_zs'!$B$2,[1]ratio_ins!$B:$B,0))*$G70*INDEX([1]ratio_ins!$C:$C,MATCH('001_population_health_zone_zs'!$B70,[1]ratio_ins!$B:$B,0))</f>
        <v>43608.277864799995</v>
      </c>
      <c r="X70" s="10">
        <f>INDEX([1]ratio_ins!V:V,MATCH('001_population_health_zone_zs'!$B$2,[1]ratio_ins!$B:$B,0))*$G70*INDEX([1]ratio_ins!$C:$C,MATCH('001_population_health_zone_zs'!$B70,[1]ratio_ins!$B:$B,0))</f>
        <v>1278.8351279999999</v>
      </c>
      <c r="Y70" s="10">
        <f>INDEX([1]ratio_ins!W:W,MATCH('001_population_health_zone_zs'!$B$2,[1]ratio_ins!$B:$B,0))*$G70*INDEX([1]ratio_ins!$C:$C,MATCH('001_population_health_zone_zs'!$B70,[1]ratio_ins!$B:$B,0))</f>
        <v>852.55675199999996</v>
      </c>
      <c r="Z70" s="10">
        <f>INDEX([1]ratio_ins!X:X,MATCH('001_population_health_zone_zs'!$B$2,[1]ratio_ins!$B:$B,0))*$G70*INDEX([1]ratio_ins!$C:$C,MATCH('001_population_health_zone_zs'!$B70,[1]ratio_ins!$B:$B,0))</f>
        <v>426.27837599999998</v>
      </c>
      <c r="AA70" s="10">
        <f>INDEX([1]ratio_ins!Y:Y,MATCH('001_population_health_zone_zs'!$B$2,[1]ratio_ins!$B:$B,0))*$G70*INDEX([1]ratio_ins!$C:$C,MATCH('001_population_health_zone_zs'!$B70,[1]ratio_ins!$B:$B,0))</f>
        <v>213.13918799999999</v>
      </c>
      <c r="AB70" s="11">
        <f>INDEX([1]ratio_ins!Z:Z,MATCH('001_population_health_zone_zs'!$B$2,[1]ratio_ins!$B:$B,0))*$G70*INDEX([1]ratio_ins!$C:$C,MATCH('001_population_health_zone_zs'!$B70,[1]ratio_ins!$B:$B,0))</f>
        <v>2770.8094440000004</v>
      </c>
      <c r="AC70" s="12">
        <f t="shared" si="6"/>
        <v>106569.594</v>
      </c>
      <c r="AD70" s="10">
        <f>INDEX([1]ratio_ins!AA:AA,MATCH('001_population_health_zone_zs'!$B$2,[1]ratio_ins!$B:$B,0))*$G70*INDEX([1]ratio_ins!$D:$D,MATCH('001_population_health_zone_zs'!$B70,[1]ratio_ins!$B:$B,0))</f>
        <v>23668.975259999999</v>
      </c>
      <c r="AE70" s="10">
        <f>INDEX([1]ratio_ins!AB:AB,MATCH('001_population_health_zone_zs'!$B$2,[1]ratio_ins!$B:$B,0))*$G70*INDEX([1]ratio_ins!$D:$D,MATCH('001_population_health_zone_zs'!$B70,[1]ratio_ins!$B:$B,0))</f>
        <v>19498.727237999999</v>
      </c>
      <c r="AF70" s="10">
        <f>INDEX([1]ratio_ins!AC:AC,MATCH('001_population_health_zone_zs'!$B$2,[1]ratio_ins!$B:$B,0))*$G70*INDEX([1]ratio_ins!$D:$D,MATCH('001_population_health_zone_zs'!$B70,[1]ratio_ins!$B:$B,0))</f>
        <v>15441.188621999998</v>
      </c>
      <c r="AG70" s="10">
        <f>INDEX([1]ratio_ins!AD:AD,MATCH('001_population_health_zone_zs'!$B$2,[1]ratio_ins!$B:$B,0))*$G70*INDEX([1]ratio_ins!$D:$D,MATCH('001_population_health_zone_zs'!$B70,[1]ratio_ins!$B:$B,0))</f>
        <v>9354.880697999999</v>
      </c>
      <c r="AH70" s="10">
        <f>INDEX([1]ratio_ins!AE:AE,MATCH('001_population_health_zone_zs'!$B$2,[1]ratio_ins!$B:$B,0))*$G70*INDEX([1]ratio_ins!$D:$D,MATCH('001_population_health_zone_zs'!$B70,[1]ratio_ins!$B:$B,0))</f>
        <v>5612.9284188000001</v>
      </c>
      <c r="AI70" s="13">
        <f>INDEX([1]ratio_ins!AF:AF,MATCH('001_population_health_zone_zs'!$B$2,[1]ratio_ins!$B:$B,0))*$G70*INDEX([1]ratio_ins!$D:$D,MATCH('001_population_health_zone_zs'!$B70,[1]ratio_ins!$B:$B,0))</f>
        <v>64221.819538799995</v>
      </c>
      <c r="AJ70" s="10">
        <f>INDEX([1]ratio_ins!AG:AG,MATCH('001_population_health_zone_zs'!$B$2,[1]ratio_ins!$B:$B,0))*$G70*INDEX([1]ratio_ins!$D:$D,MATCH('001_population_health_zone_zs'!$B70,[1]ratio_ins!$B:$B,0))</f>
        <v>3741.9522791999998</v>
      </c>
      <c r="AK70" s="10">
        <f>INDEX([1]ratio_ins!AH:AH,MATCH('001_population_health_zone_zs'!$B$2,[1]ratio_ins!$B:$B,0))*$G70*INDEX([1]ratio_ins!$D:$D,MATCH('001_population_health_zone_zs'!$B70,[1]ratio_ins!$B:$B,0))</f>
        <v>8340.4960440000013</v>
      </c>
      <c r="AL70" s="10">
        <f>INDEX([1]ratio_ins!AI:AI,MATCH('001_population_health_zone_zs'!$B$2,[1]ratio_ins!$B:$B,0))*$G70*INDEX([1]ratio_ins!$D:$D,MATCH('001_population_health_zone_zs'!$B70,[1]ratio_ins!$B:$B,0))</f>
        <v>7889.6584200000007</v>
      </c>
      <c r="AM70" s="10">
        <f>INDEX([1]ratio_ins!AJ:AJ,MATCH('001_population_health_zone_zs'!$B$2,[1]ratio_ins!$B:$B,0))*$G70*INDEX([1]ratio_ins!$D:$D,MATCH('001_population_health_zone_zs'!$B70,[1]ratio_ins!$B:$B,0))</f>
        <v>7213.4019840000001</v>
      </c>
      <c r="AN70" s="10">
        <f>INDEX([1]ratio_ins!AK:AK,MATCH('001_population_health_zone_zs'!$B$2,[1]ratio_ins!$B:$B,0))*$G70*INDEX([1]ratio_ins!$D:$D,MATCH('001_population_health_zone_zs'!$B70,[1]ratio_ins!$B:$B,0))</f>
        <v>6762.5643600000003</v>
      </c>
      <c r="AO70" s="10">
        <f>INDEX([1]ratio_ins!AL:AL,MATCH('001_population_health_zone_zs'!$B$2,[1]ratio_ins!$B:$B,0))*$G70*INDEX([1]ratio_ins!$D:$D,MATCH('001_population_health_zone_zs'!$B70,[1]ratio_ins!$B:$B,0))</f>
        <v>5071.9232700000002</v>
      </c>
      <c r="AP70" s="10">
        <f>INDEX([1]ratio_ins!AM:AM,MATCH('001_population_health_zone_zs'!$B$2,[1]ratio_ins!$B:$B,0))*$G70*INDEX([1]ratio_ins!$D:$D,MATCH('001_population_health_zone_zs'!$B70,[1]ratio_ins!$B:$B,0))</f>
        <v>3268.5727739999998</v>
      </c>
      <c r="AQ70" s="10">
        <f>INDEX([1]ratio_ins!AN:AN,MATCH('001_population_health_zone_zs'!$B$2,[1]ratio_ins!$B:$B,0))*$G70*INDEX([1]ratio_ins!$D:$D,MATCH('001_population_health_zone_zs'!$B70,[1]ratio_ins!$B:$B,0))</f>
        <v>2592.3163379999996</v>
      </c>
      <c r="AR70" s="10">
        <f>INDEX([1]ratio_ins!AO:AO,MATCH('001_population_health_zone_zs'!$B$2,[1]ratio_ins!$B:$B,0))*$G70*INDEX([1]ratio_ins!$D:$D,MATCH('001_population_health_zone_zs'!$B70,[1]ratio_ins!$B:$B,0))</f>
        <v>1239.8034660000003</v>
      </c>
      <c r="AS70" s="13">
        <f>INDEX([1]ratio_ins!AP:AP,MATCH('001_population_health_zone_zs'!$B$2,[1]ratio_ins!$B:$B,0))*$G70*INDEX([1]ratio_ins!$D:$D,MATCH('001_population_health_zone_zs'!$B70,[1]ratio_ins!$B:$B,0))</f>
        <v>46120.6889352</v>
      </c>
      <c r="AT70" s="10">
        <f>INDEX([1]ratio_ins!AQ:AQ,MATCH('001_population_health_zone_zs'!$B$2,[1]ratio_ins!$B:$B,0))*$G70*INDEX([1]ratio_ins!$D:$D,MATCH('001_population_health_zone_zs'!$B70,[1]ratio_ins!$B:$B,0))</f>
        <v>1127.0940599999999</v>
      </c>
      <c r="AU70" s="10">
        <f>INDEX([1]ratio_ins!AR:AR,MATCH('001_population_health_zone_zs'!$B$2,[1]ratio_ins!$B:$B,0))*$G70*INDEX([1]ratio_ins!$D:$D,MATCH('001_population_health_zone_zs'!$B70,[1]ratio_ins!$B:$B,0))</f>
        <v>676.25643600000001</v>
      </c>
      <c r="AV70" s="10">
        <f>INDEX([1]ratio_ins!AS:AS,MATCH('001_population_health_zone_zs'!$B$2,[1]ratio_ins!$B:$B,0))*$G70*INDEX([1]ratio_ins!$D:$D,MATCH('001_population_health_zone_zs'!$B70,[1]ratio_ins!$B:$B,0))</f>
        <v>338.128218</v>
      </c>
      <c r="AW70" s="10">
        <f>INDEX([1]ratio_ins!AT:AT,MATCH('001_population_health_zone_zs'!$B$2,[1]ratio_ins!$B:$B,0))*$G70*INDEX([1]ratio_ins!$D:$D,MATCH('001_population_health_zone_zs'!$B70,[1]ratio_ins!$B:$B,0))</f>
        <v>225.418812</v>
      </c>
      <c r="AX70" s="13">
        <f>INDEX([1]ratio_ins!AU:AU,MATCH('001_population_health_zone_zs'!$B$2,[1]ratio_ins!$B:$B,0))*$G70*INDEX([1]ratio_ins!$D:$D,MATCH('001_population_health_zone_zs'!$B70,[1]ratio_ins!$B:$B,0))</f>
        <v>2366.8975259999997</v>
      </c>
      <c r="AY70" s="14">
        <f t="shared" si="7"/>
        <v>112709.406</v>
      </c>
      <c r="AZ70" s="15">
        <f t="shared" si="8"/>
        <v>219279</v>
      </c>
      <c r="BA70" s="16">
        <v>211655.04396645448</v>
      </c>
      <c r="BB70" s="10">
        <f t="shared" si="9"/>
        <v>47901.49755</v>
      </c>
      <c r="BC70" s="17">
        <f t="shared" si="10"/>
        <v>0.21845000000000001</v>
      </c>
      <c r="BD70" s="10">
        <f t="shared" si="11"/>
        <v>44439.520698</v>
      </c>
    </row>
    <row r="71" spans="1:56" x14ac:dyDescent="0.25">
      <c r="A71" s="8" t="s">
        <v>161</v>
      </c>
      <c r="B71" s="8" t="s">
        <v>162</v>
      </c>
      <c r="C71" s="8" t="s">
        <v>170</v>
      </c>
      <c r="D71" s="8" t="s">
        <v>171</v>
      </c>
      <c r="E71" s="8" t="s">
        <v>170</v>
      </c>
      <c r="F71" s="8" t="s">
        <v>172</v>
      </c>
      <c r="G71" s="9">
        <v>180705</v>
      </c>
      <c r="H71" s="10">
        <f>INDEX([1]ratio_ins!F:F,MATCH('001_population_health_zone_zs'!$B$2,[1]ratio_ins!$B:$B,0))*$G71*INDEX([1]ratio_ins!$C:$C,MATCH('001_population_health_zone_zs'!$B71,[1]ratio_ins!$B:$B,0))</f>
        <v>18354.929670000001</v>
      </c>
      <c r="I71" s="10">
        <f>INDEX([1]ratio_ins!G:G,MATCH('001_population_health_zone_zs'!$B$2,[1]ratio_ins!$B:$B,0))*$G71*INDEX([1]ratio_ins!$C:$C,MATCH('001_population_health_zone_zs'!$B71,[1]ratio_ins!$B:$B,0))</f>
        <v>15017.669730000001</v>
      </c>
      <c r="J71" s="10">
        <f>INDEX([1]ratio_ins!H:H,MATCH('001_population_health_zone_zs'!$B$2,[1]ratio_ins!$B:$B,0))*$G71*INDEX([1]ratio_ins!$C:$C,MATCH('001_population_health_zone_zs'!$B71,[1]ratio_ins!$B:$B,0))</f>
        <v>11856.055050000001</v>
      </c>
      <c r="K71" s="10">
        <f>INDEX([1]ratio_ins!I:I,MATCH('001_population_health_zone_zs'!$B$2,[1]ratio_ins!$B:$B,0))*$G71*INDEX([1]ratio_ins!$C:$C,MATCH('001_population_health_zone_zs'!$B71,[1]ratio_ins!$B:$B,0))</f>
        <v>7289.2782900000002</v>
      </c>
      <c r="L71" s="10">
        <f>INDEX([1]ratio_ins!J:J,MATCH('001_population_health_zone_zs'!$B$2,[1]ratio_ins!$B:$B,0))*$G71*INDEX([1]ratio_ins!$C:$C,MATCH('001_population_health_zone_zs'!$B71,[1]ratio_ins!$B:$B,0))</f>
        <v>4373.5669739999994</v>
      </c>
      <c r="M71" s="11">
        <f>INDEX([1]ratio_ins!K:K,MATCH('001_population_health_zone_zs'!$B$2,[1]ratio_ins!$B:$B,0))*$G71*INDEX([1]ratio_ins!$C:$C,MATCH('001_population_health_zone_zs'!$B71,[1]ratio_ins!$B:$B,0))</f>
        <v>49602.221423999996</v>
      </c>
      <c r="N71" s="10">
        <f>INDEX([1]ratio_ins!L:L,MATCH('001_population_health_zone_zs'!$B$2,[1]ratio_ins!$B:$B,0))*$G71*INDEX([1]ratio_ins!$C:$C,MATCH('001_population_health_zone_zs'!$B71,[1]ratio_ins!$B:$B,0))</f>
        <v>2915.7113159999999</v>
      </c>
      <c r="O71" s="10">
        <f>INDEX([1]ratio_ins!M:M,MATCH('001_population_health_zone_zs'!$B$2,[1]ratio_ins!$B:$B,0))*$G71*INDEX([1]ratio_ins!$C:$C,MATCH('001_population_health_zone_zs'!$B71,[1]ratio_ins!$B:$B,0))</f>
        <v>6323.2293600000012</v>
      </c>
      <c r="P71" s="10">
        <f>INDEX([1]ratio_ins!N:N,MATCH('001_population_health_zone_zs'!$B$2,[1]ratio_ins!$B:$B,0))*$G71*INDEX([1]ratio_ins!$C:$C,MATCH('001_population_health_zone_zs'!$B71,[1]ratio_ins!$B:$B,0))</f>
        <v>5708.4709499999999</v>
      </c>
      <c r="Q71" s="10">
        <f>INDEX([1]ratio_ins!O:O,MATCH('001_population_health_zone_zs'!$B$2,[1]ratio_ins!$B:$B,0))*$G71*INDEX([1]ratio_ins!$C:$C,MATCH('001_population_health_zone_zs'!$B71,[1]ratio_ins!$B:$B,0))</f>
        <v>5093.7125399999995</v>
      </c>
      <c r="R71" s="10">
        <f>INDEX([1]ratio_ins!P:P,MATCH('001_population_health_zone_zs'!$B$2,[1]ratio_ins!$B:$B,0))*$G71*INDEX([1]ratio_ins!$C:$C,MATCH('001_population_health_zone_zs'!$B71,[1]ratio_ins!$B:$B,0))</f>
        <v>5005.8899099999999</v>
      </c>
      <c r="S71" s="10">
        <f>INDEX([1]ratio_ins!Q:Q,MATCH('001_population_health_zone_zs'!$B$2,[1]ratio_ins!$B:$B,0))*$G71*INDEX([1]ratio_ins!$C:$C,MATCH('001_population_health_zone_zs'!$B71,[1]ratio_ins!$B:$B,0))</f>
        <v>4215.4862400000002</v>
      </c>
      <c r="T71" s="10">
        <f>INDEX([1]ratio_ins!R:R,MATCH('001_population_health_zone_zs'!$B$2,[1]ratio_ins!$B:$B,0))*$G71*INDEX([1]ratio_ins!$C:$C,MATCH('001_population_health_zone_zs'!$B71,[1]ratio_ins!$B:$B,0))</f>
        <v>2985.9694199999999</v>
      </c>
      <c r="U71" s="10">
        <f>INDEX([1]ratio_ins!S:S,MATCH('001_population_health_zone_zs'!$B$2,[1]ratio_ins!$B:$B,0))*$G71*INDEX([1]ratio_ins!$C:$C,MATCH('001_population_health_zone_zs'!$B71,[1]ratio_ins!$B:$B,0))</f>
        <v>2371.2110100000004</v>
      </c>
      <c r="V71" s="10">
        <f>INDEX([1]ratio_ins!T:T,MATCH('001_population_health_zone_zs'!$B$2,[1]ratio_ins!$B:$B,0))*$G71*INDEX([1]ratio_ins!$C:$C,MATCH('001_population_health_zone_zs'!$B71,[1]ratio_ins!$B:$B,0))</f>
        <v>1317.3394499999999</v>
      </c>
      <c r="W71" s="11">
        <f>INDEX([1]ratio_ins!U:U,MATCH('001_population_health_zone_zs'!$B$2,[1]ratio_ins!$B:$B,0))*$G71*INDEX([1]ratio_ins!$C:$C,MATCH('001_population_health_zone_zs'!$B71,[1]ratio_ins!$B:$B,0))</f>
        <v>35937.020195999998</v>
      </c>
      <c r="X71" s="10">
        <f>INDEX([1]ratio_ins!V:V,MATCH('001_population_health_zone_zs'!$B$2,[1]ratio_ins!$B:$B,0))*$G71*INDEX([1]ratio_ins!$C:$C,MATCH('001_population_health_zone_zs'!$B71,[1]ratio_ins!$B:$B,0))</f>
        <v>1053.87156</v>
      </c>
      <c r="Y71" s="10">
        <f>INDEX([1]ratio_ins!W:W,MATCH('001_population_health_zone_zs'!$B$2,[1]ratio_ins!$B:$B,0))*$G71*INDEX([1]ratio_ins!$C:$C,MATCH('001_population_health_zone_zs'!$B71,[1]ratio_ins!$B:$B,0))</f>
        <v>702.58104000000003</v>
      </c>
      <c r="Z71" s="10">
        <f>INDEX([1]ratio_ins!X:X,MATCH('001_population_health_zone_zs'!$B$2,[1]ratio_ins!$B:$B,0))*$G71*INDEX([1]ratio_ins!$C:$C,MATCH('001_population_health_zone_zs'!$B71,[1]ratio_ins!$B:$B,0))</f>
        <v>351.29052000000001</v>
      </c>
      <c r="AA71" s="10">
        <f>INDEX([1]ratio_ins!Y:Y,MATCH('001_population_health_zone_zs'!$B$2,[1]ratio_ins!$B:$B,0))*$G71*INDEX([1]ratio_ins!$C:$C,MATCH('001_population_health_zone_zs'!$B71,[1]ratio_ins!$B:$B,0))</f>
        <v>175.64526000000001</v>
      </c>
      <c r="AB71" s="11">
        <f>INDEX([1]ratio_ins!Z:Z,MATCH('001_population_health_zone_zs'!$B$2,[1]ratio_ins!$B:$B,0))*$G71*INDEX([1]ratio_ins!$C:$C,MATCH('001_population_health_zone_zs'!$B71,[1]ratio_ins!$B:$B,0))</f>
        <v>2283.3883800000003</v>
      </c>
      <c r="AC71" s="12">
        <f t="shared" si="6"/>
        <v>87822.62999999999</v>
      </c>
      <c r="AD71" s="10">
        <f>INDEX([1]ratio_ins!AA:AA,MATCH('001_population_health_zone_zs'!$B$2,[1]ratio_ins!$B:$B,0))*$G71*INDEX([1]ratio_ins!$D:$D,MATCH('001_population_health_zone_zs'!$B71,[1]ratio_ins!$B:$B,0))</f>
        <v>19505.297699999999</v>
      </c>
      <c r="AE71" s="10">
        <f>INDEX([1]ratio_ins!AB:AB,MATCH('001_population_health_zone_zs'!$B$2,[1]ratio_ins!$B:$B,0))*$G71*INDEX([1]ratio_ins!$D:$D,MATCH('001_population_health_zone_zs'!$B71,[1]ratio_ins!$B:$B,0))</f>
        <v>16068.650010000003</v>
      </c>
      <c r="AF71" s="10">
        <f>INDEX([1]ratio_ins!AC:AC,MATCH('001_population_health_zone_zs'!$B$2,[1]ratio_ins!$B:$B,0))*$G71*INDEX([1]ratio_ins!$D:$D,MATCH('001_population_health_zone_zs'!$B71,[1]ratio_ins!$B:$B,0))</f>
        <v>12724.884689999997</v>
      </c>
      <c r="AG71" s="10">
        <f>INDEX([1]ratio_ins!AD:AD,MATCH('001_population_health_zone_zs'!$B$2,[1]ratio_ins!$B:$B,0))*$G71*INDEX([1]ratio_ins!$D:$D,MATCH('001_population_health_zone_zs'!$B71,[1]ratio_ins!$B:$B,0))</f>
        <v>7709.236710000001</v>
      </c>
      <c r="AH71" s="10">
        <f>INDEX([1]ratio_ins!AE:AE,MATCH('001_population_health_zone_zs'!$B$2,[1]ratio_ins!$B:$B,0))*$G71*INDEX([1]ratio_ins!$D:$D,MATCH('001_population_health_zone_zs'!$B71,[1]ratio_ins!$B:$B,0))</f>
        <v>4625.5420259999992</v>
      </c>
      <c r="AI71" s="13">
        <f>INDEX([1]ratio_ins!AF:AF,MATCH('001_population_health_zone_zs'!$B$2,[1]ratio_ins!$B:$B,0))*$G71*INDEX([1]ratio_ins!$D:$D,MATCH('001_population_health_zone_zs'!$B71,[1]ratio_ins!$B:$B,0))</f>
        <v>52924.374425999995</v>
      </c>
      <c r="AJ71" s="10">
        <f>INDEX([1]ratio_ins!AG:AG,MATCH('001_population_health_zone_zs'!$B$2,[1]ratio_ins!$B:$B,0))*$G71*INDEX([1]ratio_ins!$D:$D,MATCH('001_population_health_zone_zs'!$B71,[1]ratio_ins!$B:$B,0))</f>
        <v>3083.6946840000001</v>
      </c>
      <c r="AK71" s="10">
        <f>INDEX([1]ratio_ins!AH:AH,MATCH('001_population_health_zone_zs'!$B$2,[1]ratio_ins!$B:$B,0))*$G71*INDEX([1]ratio_ins!$D:$D,MATCH('001_population_health_zone_zs'!$B71,[1]ratio_ins!$B:$B,0))</f>
        <v>6873.2953800000014</v>
      </c>
      <c r="AL71" s="10">
        <f>INDEX([1]ratio_ins!AI:AI,MATCH('001_population_health_zone_zs'!$B$2,[1]ratio_ins!$B:$B,0))*$G71*INDEX([1]ratio_ins!$D:$D,MATCH('001_population_health_zone_zs'!$B71,[1]ratio_ins!$B:$B,0))</f>
        <v>6501.7659000000003</v>
      </c>
      <c r="AM71" s="10">
        <f>INDEX([1]ratio_ins!AJ:AJ,MATCH('001_population_health_zone_zs'!$B$2,[1]ratio_ins!$B:$B,0))*$G71*INDEX([1]ratio_ins!$D:$D,MATCH('001_population_health_zone_zs'!$B71,[1]ratio_ins!$B:$B,0))</f>
        <v>5944.4716800000006</v>
      </c>
      <c r="AN71" s="10">
        <f>INDEX([1]ratio_ins!AK:AK,MATCH('001_population_health_zone_zs'!$B$2,[1]ratio_ins!$B:$B,0))*$G71*INDEX([1]ratio_ins!$D:$D,MATCH('001_population_health_zone_zs'!$B71,[1]ratio_ins!$B:$B,0))</f>
        <v>5572.9421999999995</v>
      </c>
      <c r="AO71" s="10">
        <f>INDEX([1]ratio_ins!AL:AL,MATCH('001_population_health_zone_zs'!$B$2,[1]ratio_ins!$B:$B,0))*$G71*INDEX([1]ratio_ins!$D:$D,MATCH('001_population_health_zone_zs'!$B71,[1]ratio_ins!$B:$B,0))</f>
        <v>4179.7066500000001</v>
      </c>
      <c r="AP71" s="10">
        <f>INDEX([1]ratio_ins!AM:AM,MATCH('001_population_health_zone_zs'!$B$2,[1]ratio_ins!$B:$B,0))*$G71*INDEX([1]ratio_ins!$D:$D,MATCH('001_population_health_zone_zs'!$B71,[1]ratio_ins!$B:$B,0))</f>
        <v>2693.5887299999999</v>
      </c>
      <c r="AQ71" s="10">
        <f>INDEX([1]ratio_ins!AN:AN,MATCH('001_population_health_zone_zs'!$B$2,[1]ratio_ins!$B:$B,0))*$G71*INDEX([1]ratio_ins!$D:$D,MATCH('001_population_health_zone_zs'!$B71,[1]ratio_ins!$B:$B,0))</f>
        <v>2136.2945100000002</v>
      </c>
      <c r="AR71" s="10">
        <f>INDEX([1]ratio_ins!AO:AO,MATCH('001_population_health_zone_zs'!$B$2,[1]ratio_ins!$B:$B,0))*$G71*INDEX([1]ratio_ins!$D:$D,MATCH('001_population_health_zone_zs'!$B71,[1]ratio_ins!$B:$B,0))</f>
        <v>1021.7060700000001</v>
      </c>
      <c r="AS71" s="13">
        <f>INDEX([1]ratio_ins!AP:AP,MATCH('001_population_health_zone_zs'!$B$2,[1]ratio_ins!$B:$B,0))*$G71*INDEX([1]ratio_ins!$D:$D,MATCH('001_population_health_zone_zs'!$B71,[1]ratio_ins!$B:$B,0))</f>
        <v>38007.465804000007</v>
      </c>
      <c r="AT71" s="10">
        <f>INDEX([1]ratio_ins!AQ:AQ,MATCH('001_population_health_zone_zs'!$B$2,[1]ratio_ins!$B:$B,0))*$G71*INDEX([1]ratio_ins!$D:$D,MATCH('001_population_health_zone_zs'!$B71,[1]ratio_ins!$B:$B,0))</f>
        <v>928.82370000000003</v>
      </c>
      <c r="AU71" s="10">
        <f>INDEX([1]ratio_ins!AR:AR,MATCH('001_population_health_zone_zs'!$B$2,[1]ratio_ins!$B:$B,0))*$G71*INDEX([1]ratio_ins!$D:$D,MATCH('001_population_health_zone_zs'!$B71,[1]ratio_ins!$B:$B,0))</f>
        <v>557.29422</v>
      </c>
      <c r="AV71" s="10">
        <f>INDEX([1]ratio_ins!AS:AS,MATCH('001_population_health_zone_zs'!$B$2,[1]ratio_ins!$B:$B,0))*$G71*INDEX([1]ratio_ins!$D:$D,MATCH('001_population_health_zone_zs'!$B71,[1]ratio_ins!$B:$B,0))</f>
        <v>278.64711</v>
      </c>
      <c r="AW71" s="10">
        <f>INDEX([1]ratio_ins!AT:AT,MATCH('001_population_health_zone_zs'!$B$2,[1]ratio_ins!$B:$B,0))*$G71*INDEX([1]ratio_ins!$D:$D,MATCH('001_population_health_zone_zs'!$B71,[1]ratio_ins!$B:$B,0))</f>
        <v>185.76474000000002</v>
      </c>
      <c r="AX71" s="13">
        <f>INDEX([1]ratio_ins!AU:AU,MATCH('001_population_health_zone_zs'!$B$2,[1]ratio_ins!$B:$B,0))*$G71*INDEX([1]ratio_ins!$D:$D,MATCH('001_population_health_zone_zs'!$B71,[1]ratio_ins!$B:$B,0))</f>
        <v>1950.5297699999996</v>
      </c>
      <c r="AY71" s="14">
        <f t="shared" si="7"/>
        <v>92882.37</v>
      </c>
      <c r="AZ71" s="15">
        <f t="shared" si="8"/>
        <v>180705</v>
      </c>
      <c r="BA71" s="16">
        <v>174422.1471845409</v>
      </c>
      <c r="BB71" s="10">
        <f t="shared" si="9"/>
        <v>39475.007250000002</v>
      </c>
      <c r="BC71" s="17">
        <f t="shared" si="10"/>
        <v>0.21845000000000001</v>
      </c>
      <c r="BD71" s="10">
        <f t="shared" si="11"/>
        <v>36622.03671</v>
      </c>
    </row>
    <row r="72" spans="1:56" x14ac:dyDescent="0.25">
      <c r="A72" s="8" t="s">
        <v>161</v>
      </c>
      <c r="B72" s="8" t="s">
        <v>162</v>
      </c>
      <c r="C72" s="8" t="s">
        <v>170</v>
      </c>
      <c r="D72" s="8" t="s">
        <v>171</v>
      </c>
      <c r="E72" s="8" t="s">
        <v>173</v>
      </c>
      <c r="F72" s="8" t="s">
        <v>174</v>
      </c>
      <c r="G72" s="9">
        <v>143809</v>
      </c>
      <c r="H72" s="10">
        <f>INDEX([1]ratio_ins!F:F,MATCH('001_population_health_zone_zs'!$B$2,[1]ratio_ins!$B:$B,0))*$G72*INDEX([1]ratio_ins!$C:$C,MATCH('001_population_health_zone_zs'!$B72,[1]ratio_ins!$B:$B,0))</f>
        <v>14607.255365999999</v>
      </c>
      <c r="I72" s="10">
        <f>INDEX([1]ratio_ins!G:G,MATCH('001_population_health_zone_zs'!$B$2,[1]ratio_ins!$B:$B,0))*$G72*INDEX([1]ratio_ins!$C:$C,MATCH('001_population_health_zone_zs'!$B72,[1]ratio_ins!$B:$B,0))</f>
        <v>11951.390754000002</v>
      </c>
      <c r="J72" s="10">
        <f>INDEX([1]ratio_ins!H:H,MATCH('001_population_health_zone_zs'!$B$2,[1]ratio_ins!$B:$B,0))*$G72*INDEX([1]ratio_ins!$C:$C,MATCH('001_population_health_zone_zs'!$B72,[1]ratio_ins!$B:$B,0))</f>
        <v>9435.3084899999994</v>
      </c>
      <c r="K72" s="10">
        <f>INDEX([1]ratio_ins!I:I,MATCH('001_population_health_zone_zs'!$B$2,[1]ratio_ins!$B:$B,0))*$G72*INDEX([1]ratio_ins!$C:$C,MATCH('001_population_health_zone_zs'!$B72,[1]ratio_ins!$B:$B,0))</f>
        <v>5800.9674420000001</v>
      </c>
      <c r="L72" s="10">
        <f>INDEX([1]ratio_ins!J:J,MATCH('001_population_health_zone_zs'!$B$2,[1]ratio_ins!$B:$B,0))*$G72*INDEX([1]ratio_ins!$C:$C,MATCH('001_population_health_zone_zs'!$B72,[1]ratio_ins!$B:$B,0))</f>
        <v>3480.5804651999997</v>
      </c>
      <c r="M72" s="11">
        <f>INDEX([1]ratio_ins!K:K,MATCH('001_population_health_zone_zs'!$B$2,[1]ratio_ins!$B:$B,0))*$G72*INDEX([1]ratio_ins!$C:$C,MATCH('001_population_health_zone_zs'!$B72,[1]ratio_ins!$B:$B,0))</f>
        <v>39474.535075200001</v>
      </c>
      <c r="N72" s="10">
        <f>INDEX([1]ratio_ins!L:L,MATCH('001_population_health_zone_zs'!$B$2,[1]ratio_ins!$B:$B,0))*$G72*INDEX([1]ratio_ins!$C:$C,MATCH('001_population_health_zone_zs'!$B72,[1]ratio_ins!$B:$B,0))</f>
        <v>2320.3869768</v>
      </c>
      <c r="O72" s="10">
        <f>INDEX([1]ratio_ins!M:M,MATCH('001_population_health_zone_zs'!$B$2,[1]ratio_ins!$B:$B,0))*$G72*INDEX([1]ratio_ins!$C:$C,MATCH('001_population_health_zone_zs'!$B72,[1]ratio_ins!$B:$B,0))</f>
        <v>5032.1645280000002</v>
      </c>
      <c r="P72" s="10">
        <f>INDEX([1]ratio_ins!N:N,MATCH('001_population_health_zone_zs'!$B$2,[1]ratio_ins!$B:$B,0))*$G72*INDEX([1]ratio_ins!$C:$C,MATCH('001_population_health_zone_zs'!$B72,[1]ratio_ins!$B:$B,0))</f>
        <v>4542.9263100000007</v>
      </c>
      <c r="Q72" s="10">
        <f>INDEX([1]ratio_ins!O:O,MATCH('001_population_health_zone_zs'!$B$2,[1]ratio_ins!$B:$B,0))*$G72*INDEX([1]ratio_ins!$C:$C,MATCH('001_population_health_zone_zs'!$B72,[1]ratio_ins!$B:$B,0))</f>
        <v>4053.6880919999994</v>
      </c>
      <c r="R72" s="10">
        <f>INDEX([1]ratio_ins!P:P,MATCH('001_population_health_zone_zs'!$B$2,[1]ratio_ins!$B:$B,0))*$G72*INDEX([1]ratio_ins!$C:$C,MATCH('001_population_health_zone_zs'!$B72,[1]ratio_ins!$B:$B,0))</f>
        <v>3983.7969180000005</v>
      </c>
      <c r="S72" s="10">
        <f>INDEX([1]ratio_ins!Q:Q,MATCH('001_population_health_zone_zs'!$B$2,[1]ratio_ins!$B:$B,0))*$G72*INDEX([1]ratio_ins!$C:$C,MATCH('001_population_health_zone_zs'!$B72,[1]ratio_ins!$B:$B,0))</f>
        <v>3354.7763519999999</v>
      </c>
      <c r="T72" s="10">
        <f>INDEX([1]ratio_ins!R:R,MATCH('001_population_health_zone_zs'!$B$2,[1]ratio_ins!$B:$B,0))*$G72*INDEX([1]ratio_ins!$C:$C,MATCH('001_population_health_zone_zs'!$B72,[1]ratio_ins!$B:$B,0))</f>
        <v>2376.2999159999999</v>
      </c>
      <c r="U72" s="10">
        <f>INDEX([1]ratio_ins!S:S,MATCH('001_population_health_zone_zs'!$B$2,[1]ratio_ins!$B:$B,0))*$G72*INDEX([1]ratio_ins!$C:$C,MATCH('001_population_health_zone_zs'!$B72,[1]ratio_ins!$B:$B,0))</f>
        <v>1887.0616980000002</v>
      </c>
      <c r="V72" s="10">
        <f>INDEX([1]ratio_ins!T:T,MATCH('001_population_health_zone_zs'!$B$2,[1]ratio_ins!$B:$B,0))*$G72*INDEX([1]ratio_ins!$C:$C,MATCH('001_population_health_zone_zs'!$B72,[1]ratio_ins!$B:$B,0))</f>
        <v>1048.3676099999998</v>
      </c>
      <c r="W72" s="11">
        <f>INDEX([1]ratio_ins!U:U,MATCH('001_population_health_zone_zs'!$B$2,[1]ratio_ins!$B:$B,0))*$G72*INDEX([1]ratio_ins!$C:$C,MATCH('001_population_health_zone_zs'!$B72,[1]ratio_ins!$B:$B,0))</f>
        <v>28599.4684008</v>
      </c>
      <c r="X72" s="10">
        <f>INDEX([1]ratio_ins!V:V,MATCH('001_population_health_zone_zs'!$B$2,[1]ratio_ins!$B:$B,0))*$G72*INDEX([1]ratio_ins!$C:$C,MATCH('001_population_health_zone_zs'!$B72,[1]ratio_ins!$B:$B,0))</f>
        <v>838.69408799999997</v>
      </c>
      <c r="Y72" s="10">
        <f>INDEX([1]ratio_ins!W:W,MATCH('001_population_health_zone_zs'!$B$2,[1]ratio_ins!$B:$B,0))*$G72*INDEX([1]ratio_ins!$C:$C,MATCH('001_population_health_zone_zs'!$B72,[1]ratio_ins!$B:$B,0))</f>
        <v>559.12939199999994</v>
      </c>
      <c r="Z72" s="10">
        <f>INDEX([1]ratio_ins!X:X,MATCH('001_population_health_zone_zs'!$B$2,[1]ratio_ins!$B:$B,0))*$G72*INDEX([1]ratio_ins!$C:$C,MATCH('001_population_health_zone_zs'!$B72,[1]ratio_ins!$B:$B,0))</f>
        <v>279.56469599999997</v>
      </c>
      <c r="AA72" s="10">
        <f>INDEX([1]ratio_ins!Y:Y,MATCH('001_population_health_zone_zs'!$B$2,[1]ratio_ins!$B:$B,0))*$G72*INDEX([1]ratio_ins!$C:$C,MATCH('001_population_health_zone_zs'!$B72,[1]ratio_ins!$B:$B,0))</f>
        <v>139.78234799999998</v>
      </c>
      <c r="AB72" s="11">
        <f>INDEX([1]ratio_ins!Z:Z,MATCH('001_population_health_zone_zs'!$B$2,[1]ratio_ins!$B:$B,0))*$G72*INDEX([1]ratio_ins!$C:$C,MATCH('001_population_health_zone_zs'!$B72,[1]ratio_ins!$B:$B,0))</f>
        <v>1817.1705240000001</v>
      </c>
      <c r="AC72" s="12">
        <f t="shared" si="6"/>
        <v>69891.173999999999</v>
      </c>
      <c r="AD72" s="10">
        <f>INDEX([1]ratio_ins!AA:AA,MATCH('001_population_health_zone_zs'!$B$2,[1]ratio_ins!$B:$B,0))*$G72*INDEX([1]ratio_ins!$D:$D,MATCH('001_population_health_zone_zs'!$B72,[1]ratio_ins!$B:$B,0))</f>
        <v>15522.74346</v>
      </c>
      <c r="AE72" s="10">
        <f>INDEX([1]ratio_ins!AB:AB,MATCH('001_population_health_zone_zs'!$B$2,[1]ratio_ins!$B:$B,0))*$G72*INDEX([1]ratio_ins!$D:$D,MATCH('001_population_health_zone_zs'!$B72,[1]ratio_ins!$B:$B,0))</f>
        <v>12787.783898000001</v>
      </c>
      <c r="AF72" s="10">
        <f>INDEX([1]ratio_ins!AC:AC,MATCH('001_population_health_zone_zs'!$B$2,[1]ratio_ins!$B:$B,0))*$G72*INDEX([1]ratio_ins!$D:$D,MATCH('001_population_health_zone_zs'!$B72,[1]ratio_ins!$B:$B,0))</f>
        <v>10126.742162</v>
      </c>
      <c r="AG72" s="10">
        <f>INDEX([1]ratio_ins!AD:AD,MATCH('001_population_health_zone_zs'!$B$2,[1]ratio_ins!$B:$B,0))*$G72*INDEX([1]ratio_ins!$D:$D,MATCH('001_population_health_zone_zs'!$B72,[1]ratio_ins!$B:$B,0))</f>
        <v>6135.1795580000007</v>
      </c>
      <c r="AH72" s="10">
        <f>INDEX([1]ratio_ins!AE:AE,MATCH('001_population_health_zone_zs'!$B$2,[1]ratio_ins!$B:$B,0))*$G72*INDEX([1]ratio_ins!$D:$D,MATCH('001_population_health_zone_zs'!$B72,[1]ratio_ins!$B:$B,0))</f>
        <v>3681.1077347999999</v>
      </c>
      <c r="AI72" s="13">
        <f>INDEX([1]ratio_ins!AF:AF,MATCH('001_population_health_zone_zs'!$B$2,[1]ratio_ins!$B:$B,0))*$G72*INDEX([1]ratio_ins!$D:$D,MATCH('001_population_health_zone_zs'!$B72,[1]ratio_ins!$B:$B,0))</f>
        <v>42118.377254799998</v>
      </c>
      <c r="AJ72" s="10">
        <f>INDEX([1]ratio_ins!AG:AG,MATCH('001_population_health_zone_zs'!$B$2,[1]ratio_ins!$B:$B,0))*$G72*INDEX([1]ratio_ins!$D:$D,MATCH('001_population_health_zone_zs'!$B72,[1]ratio_ins!$B:$B,0))</f>
        <v>2454.0718232000004</v>
      </c>
      <c r="AK72" s="10">
        <f>INDEX([1]ratio_ins!AH:AH,MATCH('001_population_health_zone_zs'!$B$2,[1]ratio_ins!$B:$B,0))*$G72*INDEX([1]ratio_ins!$D:$D,MATCH('001_population_health_zone_zs'!$B72,[1]ratio_ins!$B:$B,0))</f>
        <v>5469.9191240000009</v>
      </c>
      <c r="AL72" s="10">
        <f>INDEX([1]ratio_ins!AI:AI,MATCH('001_population_health_zone_zs'!$B$2,[1]ratio_ins!$B:$B,0))*$G72*INDEX([1]ratio_ins!$D:$D,MATCH('001_population_health_zone_zs'!$B72,[1]ratio_ins!$B:$B,0))</f>
        <v>5174.2478200000005</v>
      </c>
      <c r="AM72" s="10">
        <f>INDEX([1]ratio_ins!AJ:AJ,MATCH('001_population_health_zone_zs'!$B$2,[1]ratio_ins!$B:$B,0))*$G72*INDEX([1]ratio_ins!$D:$D,MATCH('001_population_health_zone_zs'!$B72,[1]ratio_ins!$B:$B,0))</f>
        <v>4730.7408640000003</v>
      </c>
      <c r="AN72" s="10">
        <f>INDEX([1]ratio_ins!AK:AK,MATCH('001_population_health_zone_zs'!$B$2,[1]ratio_ins!$B:$B,0))*$G72*INDEX([1]ratio_ins!$D:$D,MATCH('001_population_health_zone_zs'!$B72,[1]ratio_ins!$B:$B,0))</f>
        <v>4435.0695599999999</v>
      </c>
      <c r="AO72" s="10">
        <f>INDEX([1]ratio_ins!AL:AL,MATCH('001_population_health_zone_zs'!$B$2,[1]ratio_ins!$B:$B,0))*$G72*INDEX([1]ratio_ins!$D:$D,MATCH('001_population_health_zone_zs'!$B72,[1]ratio_ins!$B:$B,0))</f>
        <v>3326.3021699999999</v>
      </c>
      <c r="AP72" s="10">
        <f>INDEX([1]ratio_ins!AM:AM,MATCH('001_population_health_zone_zs'!$B$2,[1]ratio_ins!$B:$B,0))*$G72*INDEX([1]ratio_ins!$D:$D,MATCH('001_population_health_zone_zs'!$B72,[1]ratio_ins!$B:$B,0))</f>
        <v>2143.6169539999996</v>
      </c>
      <c r="AQ72" s="10">
        <f>INDEX([1]ratio_ins!AN:AN,MATCH('001_population_health_zone_zs'!$B$2,[1]ratio_ins!$B:$B,0))*$G72*INDEX([1]ratio_ins!$D:$D,MATCH('001_population_health_zone_zs'!$B72,[1]ratio_ins!$B:$B,0))</f>
        <v>1700.1099980000001</v>
      </c>
      <c r="AR72" s="10">
        <f>INDEX([1]ratio_ins!AO:AO,MATCH('001_population_health_zone_zs'!$B$2,[1]ratio_ins!$B:$B,0))*$G72*INDEX([1]ratio_ins!$D:$D,MATCH('001_population_health_zone_zs'!$B72,[1]ratio_ins!$B:$B,0))</f>
        <v>813.09608600000013</v>
      </c>
      <c r="AS72" s="13">
        <f>INDEX([1]ratio_ins!AP:AP,MATCH('001_population_health_zone_zs'!$B$2,[1]ratio_ins!$B:$B,0))*$G72*INDEX([1]ratio_ins!$D:$D,MATCH('001_population_health_zone_zs'!$B72,[1]ratio_ins!$B:$B,0))</f>
        <v>30247.174399200001</v>
      </c>
      <c r="AT72" s="10">
        <f>INDEX([1]ratio_ins!AQ:AQ,MATCH('001_population_health_zone_zs'!$B$2,[1]ratio_ins!$B:$B,0))*$G72*INDEX([1]ratio_ins!$D:$D,MATCH('001_population_health_zone_zs'!$B72,[1]ratio_ins!$B:$B,0))</f>
        <v>739.17826000000002</v>
      </c>
      <c r="AU72" s="10">
        <f>INDEX([1]ratio_ins!AR:AR,MATCH('001_population_health_zone_zs'!$B$2,[1]ratio_ins!$B:$B,0))*$G72*INDEX([1]ratio_ins!$D:$D,MATCH('001_population_health_zone_zs'!$B72,[1]ratio_ins!$B:$B,0))</f>
        <v>443.50695600000006</v>
      </c>
      <c r="AV72" s="10">
        <f>INDEX([1]ratio_ins!AS:AS,MATCH('001_population_health_zone_zs'!$B$2,[1]ratio_ins!$B:$B,0))*$G72*INDEX([1]ratio_ins!$D:$D,MATCH('001_population_health_zone_zs'!$B72,[1]ratio_ins!$B:$B,0))</f>
        <v>221.75347800000003</v>
      </c>
      <c r="AW72" s="10">
        <f>INDEX([1]ratio_ins!AT:AT,MATCH('001_population_health_zone_zs'!$B$2,[1]ratio_ins!$B:$B,0))*$G72*INDEX([1]ratio_ins!$D:$D,MATCH('001_population_health_zone_zs'!$B72,[1]ratio_ins!$B:$B,0))</f>
        <v>147.83565200000001</v>
      </c>
      <c r="AX72" s="13">
        <f>INDEX([1]ratio_ins!AU:AU,MATCH('001_population_health_zone_zs'!$B$2,[1]ratio_ins!$B:$B,0))*$G72*INDEX([1]ratio_ins!$D:$D,MATCH('001_population_health_zone_zs'!$B72,[1]ratio_ins!$B:$B,0))</f>
        <v>1552.2743459999999</v>
      </c>
      <c r="AY72" s="14">
        <f t="shared" si="7"/>
        <v>73917.826000000001</v>
      </c>
      <c r="AZ72" s="15">
        <f t="shared" si="8"/>
        <v>143809</v>
      </c>
      <c r="BA72" s="16">
        <v>138809.02738091481</v>
      </c>
      <c r="BB72" s="10">
        <f t="shared" si="9"/>
        <v>31415.07605</v>
      </c>
      <c r="BC72" s="17">
        <f t="shared" si="10"/>
        <v>0.21845000000000001</v>
      </c>
      <c r="BD72" s="10">
        <f t="shared" si="11"/>
        <v>29144.619557999999</v>
      </c>
    </row>
    <row r="73" spans="1:56" x14ac:dyDescent="0.25">
      <c r="A73" s="8" t="s">
        <v>161</v>
      </c>
      <c r="B73" s="8" t="s">
        <v>162</v>
      </c>
      <c r="C73" s="8" t="s">
        <v>170</v>
      </c>
      <c r="D73" s="8" t="s">
        <v>171</v>
      </c>
      <c r="E73" s="8" t="s">
        <v>175</v>
      </c>
      <c r="F73" s="8" t="s">
        <v>176</v>
      </c>
      <c r="G73" s="9">
        <v>120083</v>
      </c>
      <c r="H73" s="10">
        <f>INDEX([1]ratio_ins!F:F,MATCH('001_population_health_zone_zs'!$B$2,[1]ratio_ins!$B:$B,0))*$G73*INDEX([1]ratio_ins!$C:$C,MATCH('001_population_health_zone_zs'!$B73,[1]ratio_ins!$B:$B,0))</f>
        <v>12197.310641999999</v>
      </c>
      <c r="I73" s="10">
        <f>INDEX([1]ratio_ins!G:G,MATCH('001_population_health_zone_zs'!$B$2,[1]ratio_ins!$B:$B,0))*$G73*INDEX([1]ratio_ins!$C:$C,MATCH('001_population_health_zone_zs'!$B73,[1]ratio_ins!$B:$B,0))</f>
        <v>9979.6177980000011</v>
      </c>
      <c r="J73" s="10">
        <f>INDEX([1]ratio_ins!H:H,MATCH('001_population_health_zone_zs'!$B$2,[1]ratio_ins!$B:$B,0))*$G73*INDEX([1]ratio_ins!$C:$C,MATCH('001_population_health_zone_zs'!$B73,[1]ratio_ins!$B:$B,0))</f>
        <v>7878.6456300000009</v>
      </c>
      <c r="K73" s="10">
        <f>INDEX([1]ratio_ins!I:I,MATCH('001_population_health_zone_zs'!$B$2,[1]ratio_ins!$B:$B,0))*$G73*INDEX([1]ratio_ins!$C:$C,MATCH('001_population_health_zone_zs'!$B73,[1]ratio_ins!$B:$B,0))</f>
        <v>4843.9080540000004</v>
      </c>
      <c r="L73" s="10">
        <f>INDEX([1]ratio_ins!J:J,MATCH('001_population_health_zone_zs'!$B$2,[1]ratio_ins!$B:$B,0))*$G73*INDEX([1]ratio_ins!$C:$C,MATCH('001_population_health_zone_zs'!$B73,[1]ratio_ins!$B:$B,0))</f>
        <v>2906.3448323999996</v>
      </c>
      <c r="M73" s="11">
        <f>INDEX([1]ratio_ins!K:K,MATCH('001_population_health_zone_zs'!$B$2,[1]ratio_ins!$B:$B,0))*$G73*INDEX([1]ratio_ins!$C:$C,MATCH('001_population_health_zone_zs'!$B73,[1]ratio_ins!$B:$B,0))</f>
        <v>32961.918902400001</v>
      </c>
      <c r="N73" s="10">
        <f>INDEX([1]ratio_ins!L:L,MATCH('001_population_health_zone_zs'!$B$2,[1]ratio_ins!$B:$B,0))*$G73*INDEX([1]ratio_ins!$C:$C,MATCH('001_population_health_zone_zs'!$B73,[1]ratio_ins!$B:$B,0))</f>
        <v>1937.5632215999999</v>
      </c>
      <c r="O73" s="10">
        <f>INDEX([1]ratio_ins!M:M,MATCH('001_population_health_zone_zs'!$B$2,[1]ratio_ins!$B:$B,0))*$G73*INDEX([1]ratio_ins!$C:$C,MATCH('001_population_health_zone_zs'!$B73,[1]ratio_ins!$B:$B,0))</f>
        <v>4201.9443360000005</v>
      </c>
      <c r="P73" s="10">
        <f>INDEX([1]ratio_ins!N:N,MATCH('001_population_health_zone_zs'!$B$2,[1]ratio_ins!$B:$B,0))*$G73*INDEX([1]ratio_ins!$C:$C,MATCH('001_population_health_zone_zs'!$B73,[1]ratio_ins!$B:$B,0))</f>
        <v>3793.4219700000003</v>
      </c>
      <c r="Q73" s="10">
        <f>INDEX([1]ratio_ins!O:O,MATCH('001_population_health_zone_zs'!$B$2,[1]ratio_ins!$B:$B,0))*$G73*INDEX([1]ratio_ins!$C:$C,MATCH('001_population_health_zone_zs'!$B73,[1]ratio_ins!$B:$B,0))</f>
        <v>3384.8996039999997</v>
      </c>
      <c r="R73" s="10">
        <f>INDEX([1]ratio_ins!P:P,MATCH('001_population_health_zone_zs'!$B$2,[1]ratio_ins!$B:$B,0))*$G73*INDEX([1]ratio_ins!$C:$C,MATCH('001_population_health_zone_zs'!$B73,[1]ratio_ins!$B:$B,0))</f>
        <v>3326.5392660000002</v>
      </c>
      <c r="S73" s="10">
        <f>INDEX([1]ratio_ins!Q:Q,MATCH('001_population_health_zone_zs'!$B$2,[1]ratio_ins!$B:$B,0))*$G73*INDEX([1]ratio_ins!$C:$C,MATCH('001_population_health_zone_zs'!$B73,[1]ratio_ins!$B:$B,0))</f>
        <v>2801.2962240000002</v>
      </c>
      <c r="T73" s="10">
        <f>INDEX([1]ratio_ins!R:R,MATCH('001_population_health_zone_zs'!$B$2,[1]ratio_ins!$B:$B,0))*$G73*INDEX([1]ratio_ins!$C:$C,MATCH('001_population_health_zone_zs'!$B73,[1]ratio_ins!$B:$B,0))</f>
        <v>1984.2514920000001</v>
      </c>
      <c r="U73" s="10">
        <f>INDEX([1]ratio_ins!S:S,MATCH('001_population_health_zone_zs'!$B$2,[1]ratio_ins!$B:$B,0))*$G73*INDEX([1]ratio_ins!$C:$C,MATCH('001_population_health_zone_zs'!$B73,[1]ratio_ins!$B:$B,0))</f>
        <v>1575.7291260000002</v>
      </c>
      <c r="V73" s="10">
        <f>INDEX([1]ratio_ins!T:T,MATCH('001_population_health_zone_zs'!$B$2,[1]ratio_ins!$B:$B,0))*$G73*INDEX([1]ratio_ins!$C:$C,MATCH('001_population_health_zone_zs'!$B73,[1]ratio_ins!$B:$B,0))</f>
        <v>875.40506999999991</v>
      </c>
      <c r="W73" s="11">
        <f>INDEX([1]ratio_ins!U:U,MATCH('001_population_health_zone_zs'!$B$2,[1]ratio_ins!$B:$B,0))*$G73*INDEX([1]ratio_ins!$C:$C,MATCH('001_population_health_zone_zs'!$B73,[1]ratio_ins!$B:$B,0))</f>
        <v>23881.050309599999</v>
      </c>
      <c r="X73" s="10">
        <f>INDEX([1]ratio_ins!V:V,MATCH('001_population_health_zone_zs'!$B$2,[1]ratio_ins!$B:$B,0))*$G73*INDEX([1]ratio_ins!$C:$C,MATCH('001_population_health_zone_zs'!$B73,[1]ratio_ins!$B:$B,0))</f>
        <v>700.32405600000004</v>
      </c>
      <c r="Y73" s="10">
        <f>INDEX([1]ratio_ins!W:W,MATCH('001_population_health_zone_zs'!$B$2,[1]ratio_ins!$B:$B,0))*$G73*INDEX([1]ratio_ins!$C:$C,MATCH('001_population_health_zone_zs'!$B73,[1]ratio_ins!$B:$B,0))</f>
        <v>466.88270399999999</v>
      </c>
      <c r="Z73" s="10">
        <f>INDEX([1]ratio_ins!X:X,MATCH('001_population_health_zone_zs'!$B$2,[1]ratio_ins!$B:$B,0))*$G73*INDEX([1]ratio_ins!$C:$C,MATCH('001_population_health_zone_zs'!$B73,[1]ratio_ins!$B:$B,0))</f>
        <v>233.44135199999999</v>
      </c>
      <c r="AA73" s="10">
        <f>INDEX([1]ratio_ins!Y:Y,MATCH('001_population_health_zone_zs'!$B$2,[1]ratio_ins!$B:$B,0))*$G73*INDEX([1]ratio_ins!$C:$C,MATCH('001_population_health_zone_zs'!$B73,[1]ratio_ins!$B:$B,0))</f>
        <v>116.720676</v>
      </c>
      <c r="AB73" s="11">
        <f>INDEX([1]ratio_ins!Z:Z,MATCH('001_population_health_zone_zs'!$B$2,[1]ratio_ins!$B:$B,0))*$G73*INDEX([1]ratio_ins!$C:$C,MATCH('001_population_health_zone_zs'!$B73,[1]ratio_ins!$B:$B,0))</f>
        <v>1517.3687880000002</v>
      </c>
      <c r="AC73" s="12">
        <f t="shared" si="6"/>
        <v>58360.337999999996</v>
      </c>
      <c r="AD73" s="10">
        <f>INDEX([1]ratio_ins!AA:AA,MATCH('001_population_health_zone_zs'!$B$2,[1]ratio_ins!$B:$B,0))*$G73*INDEX([1]ratio_ins!$D:$D,MATCH('001_population_health_zone_zs'!$B73,[1]ratio_ins!$B:$B,0))</f>
        <v>12961.759020000001</v>
      </c>
      <c r="AE73" s="10">
        <f>INDEX([1]ratio_ins!AB:AB,MATCH('001_population_health_zone_zs'!$B$2,[1]ratio_ins!$B:$B,0))*$G73*INDEX([1]ratio_ins!$D:$D,MATCH('001_population_health_zone_zs'!$B73,[1]ratio_ins!$B:$B,0))</f>
        <v>10678.020526</v>
      </c>
      <c r="AF73" s="10">
        <f>INDEX([1]ratio_ins!AC:AC,MATCH('001_population_health_zone_zs'!$B$2,[1]ratio_ins!$B:$B,0))*$G73*INDEX([1]ratio_ins!$D:$D,MATCH('001_population_health_zone_zs'!$B73,[1]ratio_ins!$B:$B,0))</f>
        <v>8456.0046939999993</v>
      </c>
      <c r="AG73" s="10">
        <f>INDEX([1]ratio_ins!AD:AD,MATCH('001_population_health_zone_zs'!$B$2,[1]ratio_ins!$B:$B,0))*$G73*INDEX([1]ratio_ins!$D:$D,MATCH('001_population_health_zone_zs'!$B73,[1]ratio_ins!$B:$B,0))</f>
        <v>5122.9809460000006</v>
      </c>
      <c r="AH73" s="10">
        <f>INDEX([1]ratio_ins!AE:AE,MATCH('001_population_health_zone_zs'!$B$2,[1]ratio_ins!$B:$B,0))*$G73*INDEX([1]ratio_ins!$D:$D,MATCH('001_population_health_zone_zs'!$B73,[1]ratio_ins!$B:$B,0))</f>
        <v>3073.7885676000001</v>
      </c>
      <c r="AI73" s="13">
        <f>INDEX([1]ratio_ins!AF:AF,MATCH('001_population_health_zone_zs'!$B$2,[1]ratio_ins!$B:$B,0))*$G73*INDEX([1]ratio_ins!$D:$D,MATCH('001_population_health_zone_zs'!$B73,[1]ratio_ins!$B:$B,0))</f>
        <v>35169.572807600001</v>
      </c>
      <c r="AJ73" s="10">
        <f>INDEX([1]ratio_ins!AG:AG,MATCH('001_population_health_zone_zs'!$B$2,[1]ratio_ins!$B:$B,0))*$G73*INDEX([1]ratio_ins!$D:$D,MATCH('001_population_health_zone_zs'!$B73,[1]ratio_ins!$B:$B,0))</f>
        <v>2049.1923784000001</v>
      </c>
      <c r="AK73" s="10">
        <f>INDEX([1]ratio_ins!AH:AH,MATCH('001_population_health_zone_zs'!$B$2,[1]ratio_ins!$B:$B,0))*$G73*INDEX([1]ratio_ins!$D:$D,MATCH('001_population_health_zone_zs'!$B73,[1]ratio_ins!$B:$B,0))</f>
        <v>4567.4769880000013</v>
      </c>
      <c r="AL73" s="10">
        <f>INDEX([1]ratio_ins!AI:AI,MATCH('001_population_health_zone_zs'!$B$2,[1]ratio_ins!$B:$B,0))*$G73*INDEX([1]ratio_ins!$D:$D,MATCH('001_population_health_zone_zs'!$B73,[1]ratio_ins!$B:$B,0))</f>
        <v>4320.5863400000007</v>
      </c>
      <c r="AM73" s="10">
        <f>INDEX([1]ratio_ins!AJ:AJ,MATCH('001_population_health_zone_zs'!$B$2,[1]ratio_ins!$B:$B,0))*$G73*INDEX([1]ratio_ins!$D:$D,MATCH('001_population_health_zone_zs'!$B73,[1]ratio_ins!$B:$B,0))</f>
        <v>3950.250368</v>
      </c>
      <c r="AN73" s="10">
        <f>INDEX([1]ratio_ins!AK:AK,MATCH('001_population_health_zone_zs'!$B$2,[1]ratio_ins!$B:$B,0))*$G73*INDEX([1]ratio_ins!$D:$D,MATCH('001_population_health_zone_zs'!$B73,[1]ratio_ins!$B:$B,0))</f>
        <v>3703.3597199999999</v>
      </c>
      <c r="AO73" s="10">
        <f>INDEX([1]ratio_ins!AL:AL,MATCH('001_population_health_zone_zs'!$B$2,[1]ratio_ins!$B:$B,0))*$G73*INDEX([1]ratio_ins!$D:$D,MATCH('001_population_health_zone_zs'!$B73,[1]ratio_ins!$B:$B,0))</f>
        <v>2777.5197899999998</v>
      </c>
      <c r="AP73" s="10">
        <f>INDEX([1]ratio_ins!AM:AM,MATCH('001_population_health_zone_zs'!$B$2,[1]ratio_ins!$B:$B,0))*$G73*INDEX([1]ratio_ins!$D:$D,MATCH('001_population_health_zone_zs'!$B73,[1]ratio_ins!$B:$B,0))</f>
        <v>1789.9571979999998</v>
      </c>
      <c r="AQ73" s="10">
        <f>INDEX([1]ratio_ins!AN:AN,MATCH('001_population_health_zone_zs'!$B$2,[1]ratio_ins!$B:$B,0))*$G73*INDEX([1]ratio_ins!$D:$D,MATCH('001_population_health_zone_zs'!$B73,[1]ratio_ins!$B:$B,0))</f>
        <v>1419.621226</v>
      </c>
      <c r="AR73" s="10">
        <f>INDEX([1]ratio_ins!AO:AO,MATCH('001_population_health_zone_zs'!$B$2,[1]ratio_ins!$B:$B,0))*$G73*INDEX([1]ratio_ins!$D:$D,MATCH('001_population_health_zone_zs'!$B73,[1]ratio_ins!$B:$B,0))</f>
        <v>678.94928200000015</v>
      </c>
      <c r="AS73" s="13">
        <f>INDEX([1]ratio_ins!AP:AP,MATCH('001_population_health_zone_zs'!$B$2,[1]ratio_ins!$B:$B,0))*$G73*INDEX([1]ratio_ins!$D:$D,MATCH('001_population_health_zone_zs'!$B73,[1]ratio_ins!$B:$B,0))</f>
        <v>25256.913290400003</v>
      </c>
      <c r="AT73" s="10">
        <f>INDEX([1]ratio_ins!AQ:AQ,MATCH('001_population_health_zone_zs'!$B$2,[1]ratio_ins!$B:$B,0))*$G73*INDEX([1]ratio_ins!$D:$D,MATCH('001_population_health_zone_zs'!$B73,[1]ratio_ins!$B:$B,0))</f>
        <v>617.22662000000003</v>
      </c>
      <c r="AU73" s="10">
        <f>INDEX([1]ratio_ins!AR:AR,MATCH('001_population_health_zone_zs'!$B$2,[1]ratio_ins!$B:$B,0))*$G73*INDEX([1]ratio_ins!$D:$D,MATCH('001_population_health_zone_zs'!$B73,[1]ratio_ins!$B:$B,0))</f>
        <v>370.33597200000003</v>
      </c>
      <c r="AV73" s="10">
        <f>INDEX([1]ratio_ins!AS:AS,MATCH('001_population_health_zone_zs'!$B$2,[1]ratio_ins!$B:$B,0))*$G73*INDEX([1]ratio_ins!$D:$D,MATCH('001_population_health_zone_zs'!$B73,[1]ratio_ins!$B:$B,0))</f>
        <v>185.16798600000001</v>
      </c>
      <c r="AW73" s="10">
        <f>INDEX([1]ratio_ins!AT:AT,MATCH('001_population_health_zone_zs'!$B$2,[1]ratio_ins!$B:$B,0))*$G73*INDEX([1]ratio_ins!$D:$D,MATCH('001_population_health_zone_zs'!$B73,[1]ratio_ins!$B:$B,0))</f>
        <v>123.445324</v>
      </c>
      <c r="AX73" s="13">
        <f>INDEX([1]ratio_ins!AU:AU,MATCH('001_population_health_zone_zs'!$B$2,[1]ratio_ins!$B:$B,0))*$G73*INDEX([1]ratio_ins!$D:$D,MATCH('001_population_health_zone_zs'!$B73,[1]ratio_ins!$B:$B,0))</f>
        <v>1296.175902</v>
      </c>
      <c r="AY73" s="14">
        <f t="shared" si="7"/>
        <v>61722.662000000011</v>
      </c>
      <c r="AZ73" s="15">
        <f t="shared" si="8"/>
        <v>120083</v>
      </c>
      <c r="BA73" s="16">
        <v>115908.22702768541</v>
      </c>
      <c r="BB73" s="10">
        <f t="shared" si="9"/>
        <v>26232.131350000003</v>
      </c>
      <c r="BC73" s="17">
        <f t="shared" si="10"/>
        <v>0.21845000000000003</v>
      </c>
      <c r="BD73" s="10">
        <f t="shared" si="11"/>
        <v>24336.260946000002</v>
      </c>
    </row>
    <row r="74" spans="1:56" x14ac:dyDescent="0.25">
      <c r="A74" s="8" t="s">
        <v>161</v>
      </c>
      <c r="B74" s="8" t="s">
        <v>162</v>
      </c>
      <c r="C74" s="8" t="s">
        <v>177</v>
      </c>
      <c r="D74" s="8" t="s">
        <v>178</v>
      </c>
      <c r="E74" s="8" t="s">
        <v>177</v>
      </c>
      <c r="F74" s="8" t="s">
        <v>179</v>
      </c>
      <c r="G74" s="9">
        <v>309319</v>
      </c>
      <c r="H74" s="10">
        <f>INDEX([1]ratio_ins!F:F,MATCH('001_population_health_zone_zs'!$B$2,[1]ratio_ins!$B:$B,0))*$G74*INDEX([1]ratio_ins!$C:$C,MATCH('001_population_health_zone_zs'!$B74,[1]ratio_ins!$B:$B,0))</f>
        <v>31418.768105999996</v>
      </c>
      <c r="I74" s="10">
        <f>INDEX([1]ratio_ins!G:G,MATCH('001_population_health_zone_zs'!$B$2,[1]ratio_ins!$B:$B,0))*$G74*INDEX([1]ratio_ins!$C:$C,MATCH('001_population_health_zone_zs'!$B74,[1]ratio_ins!$B:$B,0))</f>
        <v>25706.264814000002</v>
      </c>
      <c r="J74" s="10">
        <f>INDEX([1]ratio_ins!H:H,MATCH('001_population_health_zone_zs'!$B$2,[1]ratio_ins!$B:$B,0))*$G74*INDEX([1]ratio_ins!$C:$C,MATCH('001_population_health_zone_zs'!$B74,[1]ratio_ins!$B:$B,0))</f>
        <v>20294.419590000001</v>
      </c>
      <c r="K74" s="10">
        <f>INDEX([1]ratio_ins!I:I,MATCH('001_population_health_zone_zs'!$B$2,[1]ratio_ins!$B:$B,0))*$G74*INDEX([1]ratio_ins!$C:$C,MATCH('001_population_health_zone_zs'!$B74,[1]ratio_ins!$B:$B,0))</f>
        <v>12477.309822000001</v>
      </c>
      <c r="L74" s="10">
        <f>INDEX([1]ratio_ins!J:J,MATCH('001_population_health_zone_zs'!$B$2,[1]ratio_ins!$B:$B,0))*$G74*INDEX([1]ratio_ins!$C:$C,MATCH('001_population_health_zone_zs'!$B74,[1]ratio_ins!$B:$B,0))</f>
        <v>7486.3858931999994</v>
      </c>
      <c r="M74" s="11">
        <f>INDEX([1]ratio_ins!K:K,MATCH('001_population_health_zone_zs'!$B$2,[1]ratio_ins!$B:$B,0))*$G74*INDEX([1]ratio_ins!$C:$C,MATCH('001_population_health_zone_zs'!$B74,[1]ratio_ins!$B:$B,0))</f>
        <v>84905.838403199989</v>
      </c>
      <c r="N74" s="10">
        <f>INDEX([1]ratio_ins!L:L,MATCH('001_population_health_zone_zs'!$B$2,[1]ratio_ins!$B:$B,0))*$G74*INDEX([1]ratio_ins!$C:$C,MATCH('001_population_health_zone_zs'!$B74,[1]ratio_ins!$B:$B,0))</f>
        <v>4990.9239287999999</v>
      </c>
      <c r="O74" s="10">
        <f>INDEX([1]ratio_ins!M:M,MATCH('001_population_health_zone_zs'!$B$2,[1]ratio_ins!$B:$B,0))*$G74*INDEX([1]ratio_ins!$C:$C,MATCH('001_population_health_zone_zs'!$B74,[1]ratio_ins!$B:$B,0))</f>
        <v>10823.690448000001</v>
      </c>
      <c r="P74" s="10">
        <f>INDEX([1]ratio_ins!N:N,MATCH('001_population_health_zone_zs'!$B$2,[1]ratio_ins!$B:$B,0))*$G74*INDEX([1]ratio_ins!$C:$C,MATCH('001_population_health_zone_zs'!$B74,[1]ratio_ins!$B:$B,0))</f>
        <v>9771.3872100000008</v>
      </c>
      <c r="Q74" s="10">
        <f>INDEX([1]ratio_ins!O:O,MATCH('001_population_health_zone_zs'!$B$2,[1]ratio_ins!$B:$B,0))*$G74*INDEX([1]ratio_ins!$C:$C,MATCH('001_population_health_zone_zs'!$B74,[1]ratio_ins!$B:$B,0))</f>
        <v>8719.0839720000004</v>
      </c>
      <c r="R74" s="10">
        <f>INDEX([1]ratio_ins!P:P,MATCH('001_population_health_zone_zs'!$B$2,[1]ratio_ins!$B:$B,0))*$G74*INDEX([1]ratio_ins!$C:$C,MATCH('001_population_health_zone_zs'!$B74,[1]ratio_ins!$B:$B,0))</f>
        <v>8568.754938</v>
      </c>
      <c r="S74" s="10">
        <f>INDEX([1]ratio_ins!Q:Q,MATCH('001_population_health_zone_zs'!$B$2,[1]ratio_ins!$B:$B,0))*$G74*INDEX([1]ratio_ins!$C:$C,MATCH('001_population_health_zone_zs'!$B74,[1]ratio_ins!$B:$B,0))</f>
        <v>7215.7936319999999</v>
      </c>
      <c r="T74" s="10">
        <f>INDEX([1]ratio_ins!R:R,MATCH('001_population_health_zone_zs'!$B$2,[1]ratio_ins!$B:$B,0))*$G74*INDEX([1]ratio_ins!$C:$C,MATCH('001_population_health_zone_zs'!$B74,[1]ratio_ins!$B:$B,0))</f>
        <v>5111.1871560000009</v>
      </c>
      <c r="U74" s="10">
        <f>INDEX([1]ratio_ins!S:S,MATCH('001_population_health_zone_zs'!$B$2,[1]ratio_ins!$B:$B,0))*$G74*INDEX([1]ratio_ins!$C:$C,MATCH('001_population_health_zone_zs'!$B74,[1]ratio_ins!$B:$B,0))</f>
        <v>4058.8839180000004</v>
      </c>
      <c r="V74" s="10">
        <f>INDEX([1]ratio_ins!T:T,MATCH('001_population_health_zone_zs'!$B$2,[1]ratio_ins!$B:$B,0))*$G74*INDEX([1]ratio_ins!$C:$C,MATCH('001_population_health_zone_zs'!$B74,[1]ratio_ins!$B:$B,0))</f>
        <v>2254.9355099999998</v>
      </c>
      <c r="W74" s="11">
        <f>INDEX([1]ratio_ins!U:U,MATCH('001_population_health_zone_zs'!$B$2,[1]ratio_ins!$B:$B,0))*$G74*INDEX([1]ratio_ins!$C:$C,MATCH('001_population_health_zone_zs'!$B74,[1]ratio_ins!$B:$B,0))</f>
        <v>61514.640712799999</v>
      </c>
      <c r="X74" s="10">
        <f>INDEX([1]ratio_ins!V:V,MATCH('001_population_health_zone_zs'!$B$2,[1]ratio_ins!$B:$B,0))*$G74*INDEX([1]ratio_ins!$C:$C,MATCH('001_population_health_zone_zs'!$B74,[1]ratio_ins!$B:$B,0))</f>
        <v>1803.948408</v>
      </c>
      <c r="Y74" s="10">
        <f>INDEX([1]ratio_ins!W:W,MATCH('001_population_health_zone_zs'!$B$2,[1]ratio_ins!$B:$B,0))*$G74*INDEX([1]ratio_ins!$C:$C,MATCH('001_population_health_zone_zs'!$B74,[1]ratio_ins!$B:$B,0))</f>
        <v>1202.6322720000001</v>
      </c>
      <c r="Z74" s="10">
        <f>INDEX([1]ratio_ins!X:X,MATCH('001_population_health_zone_zs'!$B$2,[1]ratio_ins!$B:$B,0))*$G74*INDEX([1]ratio_ins!$C:$C,MATCH('001_population_health_zone_zs'!$B74,[1]ratio_ins!$B:$B,0))</f>
        <v>601.31613600000003</v>
      </c>
      <c r="AA74" s="10">
        <f>INDEX([1]ratio_ins!Y:Y,MATCH('001_population_health_zone_zs'!$B$2,[1]ratio_ins!$B:$B,0))*$G74*INDEX([1]ratio_ins!$C:$C,MATCH('001_population_health_zone_zs'!$B74,[1]ratio_ins!$B:$B,0))</f>
        <v>300.65806800000001</v>
      </c>
      <c r="AB74" s="11">
        <f>INDEX([1]ratio_ins!Z:Z,MATCH('001_population_health_zone_zs'!$B$2,[1]ratio_ins!$B:$B,0))*$G74*INDEX([1]ratio_ins!$C:$C,MATCH('001_population_health_zone_zs'!$B74,[1]ratio_ins!$B:$B,0))</f>
        <v>3908.5548840000001</v>
      </c>
      <c r="AC74" s="12">
        <f t="shared" si="6"/>
        <v>150329.03400000001</v>
      </c>
      <c r="AD74" s="10">
        <f>INDEX([1]ratio_ins!AA:AA,MATCH('001_population_health_zone_zs'!$B$2,[1]ratio_ins!$B:$B,0))*$G74*INDEX([1]ratio_ins!$D:$D,MATCH('001_population_health_zone_zs'!$B74,[1]ratio_ins!$B:$B,0))</f>
        <v>33387.89286</v>
      </c>
      <c r="AE74" s="10">
        <f>INDEX([1]ratio_ins!AB:AB,MATCH('001_population_health_zone_zs'!$B$2,[1]ratio_ins!$B:$B,0))*$G74*INDEX([1]ratio_ins!$D:$D,MATCH('001_population_health_zone_zs'!$B74,[1]ratio_ins!$B:$B,0))</f>
        <v>27505.264118000003</v>
      </c>
      <c r="AF74" s="10">
        <f>INDEX([1]ratio_ins!AC:AC,MATCH('001_population_health_zone_zs'!$B$2,[1]ratio_ins!$B:$B,0))*$G74*INDEX([1]ratio_ins!$D:$D,MATCH('001_population_health_zone_zs'!$B74,[1]ratio_ins!$B:$B,0))</f>
        <v>21781.625341999996</v>
      </c>
      <c r="AG74" s="10">
        <f>INDEX([1]ratio_ins!AD:AD,MATCH('001_population_health_zone_zs'!$B$2,[1]ratio_ins!$B:$B,0))*$G74*INDEX([1]ratio_ins!$D:$D,MATCH('001_population_health_zone_zs'!$B74,[1]ratio_ins!$B:$B,0))</f>
        <v>13196.167178000002</v>
      </c>
      <c r="AH74" s="10">
        <f>INDEX([1]ratio_ins!AE:AE,MATCH('001_population_health_zone_zs'!$B$2,[1]ratio_ins!$B:$B,0))*$G74*INDEX([1]ratio_ins!$D:$D,MATCH('001_population_health_zone_zs'!$B74,[1]ratio_ins!$B:$B,0))</f>
        <v>7917.7003068000004</v>
      </c>
      <c r="AI74" s="13">
        <f>INDEX([1]ratio_ins!AF:AF,MATCH('001_population_health_zone_zs'!$B$2,[1]ratio_ins!$B:$B,0))*$G74*INDEX([1]ratio_ins!$D:$D,MATCH('001_population_health_zone_zs'!$B74,[1]ratio_ins!$B:$B,0))</f>
        <v>90592.482626800003</v>
      </c>
      <c r="AJ74" s="10">
        <f>INDEX([1]ratio_ins!AG:AG,MATCH('001_population_health_zone_zs'!$B$2,[1]ratio_ins!$B:$B,0))*$G74*INDEX([1]ratio_ins!$D:$D,MATCH('001_population_health_zone_zs'!$B74,[1]ratio_ins!$B:$B,0))</f>
        <v>5278.4668711999993</v>
      </c>
      <c r="AK74" s="10">
        <f>INDEX([1]ratio_ins!AH:AH,MATCH('001_population_health_zone_zs'!$B$2,[1]ratio_ins!$B:$B,0))*$G74*INDEX([1]ratio_ins!$D:$D,MATCH('001_population_health_zone_zs'!$B74,[1]ratio_ins!$B:$B,0))</f>
        <v>11765.257484000002</v>
      </c>
      <c r="AL74" s="10">
        <f>INDEX([1]ratio_ins!AI:AI,MATCH('001_population_health_zone_zs'!$B$2,[1]ratio_ins!$B:$B,0))*$G74*INDEX([1]ratio_ins!$D:$D,MATCH('001_population_health_zone_zs'!$B74,[1]ratio_ins!$B:$B,0))</f>
        <v>11129.297620000001</v>
      </c>
      <c r="AM74" s="10">
        <f>INDEX([1]ratio_ins!AJ:AJ,MATCH('001_population_health_zone_zs'!$B$2,[1]ratio_ins!$B:$B,0))*$G74*INDEX([1]ratio_ins!$D:$D,MATCH('001_population_health_zone_zs'!$B74,[1]ratio_ins!$B:$B,0))</f>
        <v>10175.357824000001</v>
      </c>
      <c r="AN74" s="10">
        <f>INDEX([1]ratio_ins!AK:AK,MATCH('001_population_health_zone_zs'!$B$2,[1]ratio_ins!$B:$B,0))*$G74*INDEX([1]ratio_ins!$D:$D,MATCH('001_population_health_zone_zs'!$B74,[1]ratio_ins!$B:$B,0))</f>
        <v>9539.3979600000002</v>
      </c>
      <c r="AO74" s="10">
        <f>INDEX([1]ratio_ins!AL:AL,MATCH('001_population_health_zone_zs'!$B$2,[1]ratio_ins!$B:$B,0))*$G74*INDEX([1]ratio_ins!$D:$D,MATCH('001_population_health_zone_zs'!$B74,[1]ratio_ins!$B:$B,0))</f>
        <v>7154.5484699999997</v>
      </c>
      <c r="AP74" s="10">
        <f>INDEX([1]ratio_ins!AM:AM,MATCH('001_population_health_zone_zs'!$B$2,[1]ratio_ins!$B:$B,0))*$G74*INDEX([1]ratio_ins!$D:$D,MATCH('001_population_health_zone_zs'!$B74,[1]ratio_ins!$B:$B,0))</f>
        <v>4610.709014</v>
      </c>
      <c r="AQ74" s="10">
        <f>INDEX([1]ratio_ins!AN:AN,MATCH('001_population_health_zone_zs'!$B$2,[1]ratio_ins!$B:$B,0))*$G74*INDEX([1]ratio_ins!$D:$D,MATCH('001_population_health_zone_zs'!$B74,[1]ratio_ins!$B:$B,0))</f>
        <v>3656.7692179999999</v>
      </c>
      <c r="AR74" s="10">
        <f>INDEX([1]ratio_ins!AO:AO,MATCH('001_population_health_zone_zs'!$B$2,[1]ratio_ins!$B:$B,0))*$G74*INDEX([1]ratio_ins!$D:$D,MATCH('001_population_health_zone_zs'!$B74,[1]ratio_ins!$B:$B,0))</f>
        <v>1748.8896260000004</v>
      </c>
      <c r="AS74" s="13">
        <f>INDEX([1]ratio_ins!AP:AP,MATCH('001_population_health_zone_zs'!$B$2,[1]ratio_ins!$B:$B,0))*$G74*INDEX([1]ratio_ins!$D:$D,MATCH('001_population_health_zone_zs'!$B74,[1]ratio_ins!$B:$B,0))</f>
        <v>65058.694087199998</v>
      </c>
      <c r="AT74" s="10">
        <f>INDEX([1]ratio_ins!AQ:AQ,MATCH('001_population_health_zone_zs'!$B$2,[1]ratio_ins!$B:$B,0))*$G74*INDEX([1]ratio_ins!$D:$D,MATCH('001_population_health_zone_zs'!$B74,[1]ratio_ins!$B:$B,0))</f>
        <v>1589.89966</v>
      </c>
      <c r="AU74" s="10">
        <f>INDEX([1]ratio_ins!AR:AR,MATCH('001_population_health_zone_zs'!$B$2,[1]ratio_ins!$B:$B,0))*$G74*INDEX([1]ratio_ins!$D:$D,MATCH('001_population_health_zone_zs'!$B74,[1]ratio_ins!$B:$B,0))</f>
        <v>953.939796</v>
      </c>
      <c r="AV74" s="10">
        <f>INDEX([1]ratio_ins!AS:AS,MATCH('001_population_health_zone_zs'!$B$2,[1]ratio_ins!$B:$B,0))*$G74*INDEX([1]ratio_ins!$D:$D,MATCH('001_population_health_zone_zs'!$B74,[1]ratio_ins!$B:$B,0))</f>
        <v>476.969898</v>
      </c>
      <c r="AW74" s="10">
        <f>INDEX([1]ratio_ins!AT:AT,MATCH('001_population_health_zone_zs'!$B$2,[1]ratio_ins!$B:$B,0))*$G74*INDEX([1]ratio_ins!$D:$D,MATCH('001_population_health_zone_zs'!$B74,[1]ratio_ins!$B:$B,0))</f>
        <v>317.97993200000002</v>
      </c>
      <c r="AX74" s="13">
        <f>INDEX([1]ratio_ins!AU:AU,MATCH('001_population_health_zone_zs'!$B$2,[1]ratio_ins!$B:$B,0))*$G74*INDEX([1]ratio_ins!$D:$D,MATCH('001_population_health_zone_zs'!$B74,[1]ratio_ins!$B:$B,0))</f>
        <v>3338.7892859999997</v>
      </c>
      <c r="AY74" s="14">
        <f t="shared" si="7"/>
        <v>158989.96600000001</v>
      </c>
      <c r="AZ74" s="15">
        <f t="shared" si="8"/>
        <v>309319</v>
      </c>
      <c r="BA74" s="16">
        <v>298564.24051852088</v>
      </c>
      <c r="BB74" s="10">
        <f t="shared" si="9"/>
        <v>67570.735550000012</v>
      </c>
      <c r="BC74" s="17">
        <f t="shared" si="10"/>
        <v>0.21845000000000003</v>
      </c>
      <c r="BD74" s="10">
        <f t="shared" si="11"/>
        <v>62687.207178000004</v>
      </c>
    </row>
    <row r="75" spans="1:56" x14ac:dyDescent="0.25">
      <c r="A75" s="8" t="s">
        <v>161</v>
      </c>
      <c r="B75" s="8" t="s">
        <v>162</v>
      </c>
      <c r="C75" s="8" t="s">
        <v>177</v>
      </c>
      <c r="D75" s="8" t="s">
        <v>178</v>
      </c>
      <c r="E75" s="8" t="s">
        <v>180</v>
      </c>
      <c r="F75" s="8" t="s">
        <v>181</v>
      </c>
      <c r="G75" s="9">
        <v>186129</v>
      </c>
      <c r="H75" s="10">
        <f>INDEX([1]ratio_ins!F:F,MATCH('001_population_health_zone_zs'!$B$2,[1]ratio_ins!$B:$B,0))*$G75*INDEX([1]ratio_ins!$C:$C,MATCH('001_population_health_zone_zs'!$B75,[1]ratio_ins!$B:$B,0))</f>
        <v>18905.867045999996</v>
      </c>
      <c r="I75" s="10">
        <f>INDEX([1]ratio_ins!G:G,MATCH('001_population_health_zone_zs'!$B$2,[1]ratio_ins!$B:$B,0))*$G75*INDEX([1]ratio_ins!$C:$C,MATCH('001_population_health_zone_zs'!$B75,[1]ratio_ins!$B:$B,0))</f>
        <v>15468.436674</v>
      </c>
      <c r="J75" s="10">
        <f>INDEX([1]ratio_ins!H:H,MATCH('001_population_health_zone_zs'!$B$2,[1]ratio_ins!$B:$B,0))*$G75*INDEX([1]ratio_ins!$C:$C,MATCH('001_population_health_zone_zs'!$B75,[1]ratio_ins!$B:$B,0))</f>
        <v>12211.92369</v>
      </c>
      <c r="K75" s="10">
        <f>INDEX([1]ratio_ins!I:I,MATCH('001_population_health_zone_zs'!$B$2,[1]ratio_ins!$B:$B,0))*$G75*INDEX([1]ratio_ins!$C:$C,MATCH('001_population_health_zone_zs'!$B75,[1]ratio_ins!$B:$B,0))</f>
        <v>7508.071602</v>
      </c>
      <c r="L75" s="10">
        <f>INDEX([1]ratio_ins!J:J,MATCH('001_population_health_zone_zs'!$B$2,[1]ratio_ins!$B:$B,0))*$G75*INDEX([1]ratio_ins!$C:$C,MATCH('001_population_health_zone_zs'!$B75,[1]ratio_ins!$B:$B,0))</f>
        <v>4504.8429611999991</v>
      </c>
      <c r="M75" s="11">
        <f>INDEX([1]ratio_ins!K:K,MATCH('001_population_health_zone_zs'!$B$2,[1]ratio_ins!$B:$B,0))*$G75*INDEX([1]ratio_ins!$C:$C,MATCH('001_population_health_zone_zs'!$B75,[1]ratio_ins!$B:$B,0))</f>
        <v>51091.070371199996</v>
      </c>
      <c r="N75" s="10">
        <f>INDEX([1]ratio_ins!L:L,MATCH('001_population_health_zone_zs'!$B$2,[1]ratio_ins!$B:$B,0))*$G75*INDEX([1]ratio_ins!$C:$C,MATCH('001_population_health_zone_zs'!$B75,[1]ratio_ins!$B:$B,0))</f>
        <v>3003.2286408</v>
      </c>
      <c r="O75" s="10">
        <f>INDEX([1]ratio_ins!M:M,MATCH('001_population_health_zone_zs'!$B$2,[1]ratio_ins!$B:$B,0))*$G75*INDEX([1]ratio_ins!$C:$C,MATCH('001_population_health_zone_zs'!$B75,[1]ratio_ins!$B:$B,0))</f>
        <v>6513.0259680000008</v>
      </c>
      <c r="P75" s="10">
        <f>INDEX([1]ratio_ins!N:N,MATCH('001_population_health_zone_zs'!$B$2,[1]ratio_ins!$B:$B,0))*$G75*INDEX([1]ratio_ins!$C:$C,MATCH('001_population_health_zone_zs'!$B75,[1]ratio_ins!$B:$B,0))</f>
        <v>5879.8151099999995</v>
      </c>
      <c r="Q75" s="10">
        <f>INDEX([1]ratio_ins!O:O,MATCH('001_population_health_zone_zs'!$B$2,[1]ratio_ins!$B:$B,0))*$G75*INDEX([1]ratio_ins!$C:$C,MATCH('001_population_health_zone_zs'!$B75,[1]ratio_ins!$B:$B,0))</f>
        <v>5246.6042520000001</v>
      </c>
      <c r="R75" s="10">
        <f>INDEX([1]ratio_ins!P:P,MATCH('001_population_health_zone_zs'!$B$2,[1]ratio_ins!$B:$B,0))*$G75*INDEX([1]ratio_ins!$C:$C,MATCH('001_population_health_zone_zs'!$B75,[1]ratio_ins!$B:$B,0))</f>
        <v>5156.1455580000002</v>
      </c>
      <c r="S75" s="10">
        <f>INDEX([1]ratio_ins!Q:Q,MATCH('001_population_health_zone_zs'!$B$2,[1]ratio_ins!$B:$B,0))*$G75*INDEX([1]ratio_ins!$C:$C,MATCH('001_population_health_zone_zs'!$B75,[1]ratio_ins!$B:$B,0))</f>
        <v>4342.0173119999999</v>
      </c>
      <c r="T75" s="10">
        <f>INDEX([1]ratio_ins!R:R,MATCH('001_population_health_zone_zs'!$B$2,[1]ratio_ins!$B:$B,0))*$G75*INDEX([1]ratio_ins!$C:$C,MATCH('001_population_health_zone_zs'!$B75,[1]ratio_ins!$B:$B,0))</f>
        <v>3075.5955960000001</v>
      </c>
      <c r="U75" s="10">
        <f>INDEX([1]ratio_ins!S:S,MATCH('001_population_health_zone_zs'!$B$2,[1]ratio_ins!$B:$B,0))*$G75*INDEX([1]ratio_ins!$C:$C,MATCH('001_population_health_zone_zs'!$B75,[1]ratio_ins!$B:$B,0))</f>
        <v>2442.3847380000002</v>
      </c>
      <c r="V75" s="10">
        <f>INDEX([1]ratio_ins!T:T,MATCH('001_population_health_zone_zs'!$B$2,[1]ratio_ins!$B:$B,0))*$G75*INDEX([1]ratio_ins!$C:$C,MATCH('001_population_health_zone_zs'!$B75,[1]ratio_ins!$B:$B,0))</f>
        <v>1356.88041</v>
      </c>
      <c r="W75" s="11">
        <f>INDEX([1]ratio_ins!U:U,MATCH('001_population_health_zone_zs'!$B$2,[1]ratio_ins!$B:$B,0))*$G75*INDEX([1]ratio_ins!$C:$C,MATCH('001_population_health_zone_zs'!$B75,[1]ratio_ins!$B:$B,0))</f>
        <v>37015.6975848</v>
      </c>
      <c r="X75" s="10">
        <f>INDEX([1]ratio_ins!V:V,MATCH('001_population_health_zone_zs'!$B$2,[1]ratio_ins!$B:$B,0))*$G75*INDEX([1]ratio_ins!$C:$C,MATCH('001_population_health_zone_zs'!$B75,[1]ratio_ins!$B:$B,0))</f>
        <v>1085.504328</v>
      </c>
      <c r="Y75" s="10">
        <f>INDEX([1]ratio_ins!W:W,MATCH('001_population_health_zone_zs'!$B$2,[1]ratio_ins!$B:$B,0))*$G75*INDEX([1]ratio_ins!$C:$C,MATCH('001_population_health_zone_zs'!$B75,[1]ratio_ins!$B:$B,0))</f>
        <v>723.66955199999995</v>
      </c>
      <c r="Z75" s="10">
        <f>INDEX([1]ratio_ins!X:X,MATCH('001_population_health_zone_zs'!$B$2,[1]ratio_ins!$B:$B,0))*$G75*INDEX([1]ratio_ins!$C:$C,MATCH('001_population_health_zone_zs'!$B75,[1]ratio_ins!$B:$B,0))</f>
        <v>361.83477599999998</v>
      </c>
      <c r="AA75" s="10">
        <f>INDEX([1]ratio_ins!Y:Y,MATCH('001_population_health_zone_zs'!$B$2,[1]ratio_ins!$B:$B,0))*$G75*INDEX([1]ratio_ins!$C:$C,MATCH('001_population_health_zone_zs'!$B75,[1]ratio_ins!$B:$B,0))</f>
        <v>180.91738799999999</v>
      </c>
      <c r="AB75" s="11">
        <f>INDEX([1]ratio_ins!Z:Z,MATCH('001_population_health_zone_zs'!$B$2,[1]ratio_ins!$B:$B,0))*$G75*INDEX([1]ratio_ins!$C:$C,MATCH('001_population_health_zone_zs'!$B75,[1]ratio_ins!$B:$B,0))</f>
        <v>2351.9260440000003</v>
      </c>
      <c r="AC75" s="12">
        <f t="shared" si="6"/>
        <v>90458.694000000003</v>
      </c>
      <c r="AD75" s="10">
        <f>INDEX([1]ratio_ins!AA:AA,MATCH('001_population_health_zone_zs'!$B$2,[1]ratio_ins!$B:$B,0))*$G75*INDEX([1]ratio_ins!$D:$D,MATCH('001_population_health_zone_zs'!$B75,[1]ratio_ins!$B:$B,0))</f>
        <v>20090.76426</v>
      </c>
      <c r="AE75" s="10">
        <f>INDEX([1]ratio_ins!AB:AB,MATCH('001_population_health_zone_zs'!$B$2,[1]ratio_ins!$B:$B,0))*$G75*INDEX([1]ratio_ins!$D:$D,MATCH('001_population_health_zone_zs'!$B75,[1]ratio_ins!$B:$B,0))</f>
        <v>16550.962938000001</v>
      </c>
      <c r="AF75" s="10">
        <f>INDEX([1]ratio_ins!AC:AC,MATCH('001_population_health_zone_zs'!$B$2,[1]ratio_ins!$B:$B,0))*$G75*INDEX([1]ratio_ins!$D:$D,MATCH('001_population_health_zone_zs'!$B75,[1]ratio_ins!$B:$B,0))</f>
        <v>13106.831921999998</v>
      </c>
      <c r="AG75" s="10">
        <f>INDEX([1]ratio_ins!AD:AD,MATCH('001_population_health_zone_zs'!$B$2,[1]ratio_ins!$B:$B,0))*$G75*INDEX([1]ratio_ins!$D:$D,MATCH('001_population_health_zone_zs'!$B75,[1]ratio_ins!$B:$B,0))</f>
        <v>7940.6353980000004</v>
      </c>
      <c r="AH75" s="10">
        <f>INDEX([1]ratio_ins!AE:AE,MATCH('001_population_health_zone_zs'!$B$2,[1]ratio_ins!$B:$B,0))*$G75*INDEX([1]ratio_ins!$D:$D,MATCH('001_population_health_zone_zs'!$B75,[1]ratio_ins!$B:$B,0))</f>
        <v>4764.3812387999997</v>
      </c>
      <c r="AI75" s="13">
        <f>INDEX([1]ratio_ins!AF:AF,MATCH('001_population_health_zone_zs'!$B$2,[1]ratio_ins!$B:$B,0))*$G75*INDEX([1]ratio_ins!$D:$D,MATCH('001_population_health_zone_zs'!$B75,[1]ratio_ins!$B:$B,0))</f>
        <v>54512.940358799999</v>
      </c>
      <c r="AJ75" s="10">
        <f>INDEX([1]ratio_ins!AG:AG,MATCH('001_population_health_zone_zs'!$B$2,[1]ratio_ins!$B:$B,0))*$G75*INDEX([1]ratio_ins!$D:$D,MATCH('001_population_health_zone_zs'!$B75,[1]ratio_ins!$B:$B,0))</f>
        <v>3176.2541591999998</v>
      </c>
      <c r="AK75" s="10">
        <f>INDEX([1]ratio_ins!AH:AH,MATCH('001_population_health_zone_zs'!$B$2,[1]ratio_ins!$B:$B,0))*$G75*INDEX([1]ratio_ins!$D:$D,MATCH('001_population_health_zone_zs'!$B75,[1]ratio_ins!$B:$B,0))</f>
        <v>7079.6026440000014</v>
      </c>
      <c r="AL75" s="10">
        <f>INDEX([1]ratio_ins!AI:AI,MATCH('001_population_health_zone_zs'!$B$2,[1]ratio_ins!$B:$B,0))*$G75*INDEX([1]ratio_ins!$D:$D,MATCH('001_population_health_zone_zs'!$B75,[1]ratio_ins!$B:$B,0))</f>
        <v>6696.9214200000006</v>
      </c>
      <c r="AM75" s="10">
        <f>INDEX([1]ratio_ins!AJ:AJ,MATCH('001_population_health_zone_zs'!$B$2,[1]ratio_ins!$B:$B,0))*$G75*INDEX([1]ratio_ins!$D:$D,MATCH('001_population_health_zone_zs'!$B75,[1]ratio_ins!$B:$B,0))</f>
        <v>6122.8995839999998</v>
      </c>
      <c r="AN75" s="10">
        <f>INDEX([1]ratio_ins!AK:AK,MATCH('001_population_health_zone_zs'!$B$2,[1]ratio_ins!$B:$B,0))*$G75*INDEX([1]ratio_ins!$D:$D,MATCH('001_population_health_zone_zs'!$B75,[1]ratio_ins!$B:$B,0))</f>
        <v>5740.2183599999998</v>
      </c>
      <c r="AO75" s="10">
        <f>INDEX([1]ratio_ins!AL:AL,MATCH('001_population_health_zone_zs'!$B$2,[1]ratio_ins!$B:$B,0))*$G75*INDEX([1]ratio_ins!$D:$D,MATCH('001_population_health_zone_zs'!$B75,[1]ratio_ins!$B:$B,0))</f>
        <v>4305.1637700000001</v>
      </c>
      <c r="AP75" s="10">
        <f>INDEX([1]ratio_ins!AM:AM,MATCH('001_population_health_zone_zs'!$B$2,[1]ratio_ins!$B:$B,0))*$G75*INDEX([1]ratio_ins!$D:$D,MATCH('001_population_health_zone_zs'!$B75,[1]ratio_ins!$B:$B,0))</f>
        <v>2774.4388739999999</v>
      </c>
      <c r="AQ75" s="10">
        <f>INDEX([1]ratio_ins!AN:AN,MATCH('001_population_health_zone_zs'!$B$2,[1]ratio_ins!$B:$B,0))*$G75*INDEX([1]ratio_ins!$D:$D,MATCH('001_population_health_zone_zs'!$B75,[1]ratio_ins!$B:$B,0))</f>
        <v>2200.417038</v>
      </c>
      <c r="AR75" s="10">
        <f>INDEX([1]ratio_ins!AO:AO,MATCH('001_population_health_zone_zs'!$B$2,[1]ratio_ins!$B:$B,0))*$G75*INDEX([1]ratio_ins!$D:$D,MATCH('001_population_health_zone_zs'!$B75,[1]ratio_ins!$B:$B,0))</f>
        <v>1052.373366</v>
      </c>
      <c r="AS75" s="13">
        <f>INDEX([1]ratio_ins!AP:AP,MATCH('001_population_health_zone_zs'!$B$2,[1]ratio_ins!$B:$B,0))*$G75*INDEX([1]ratio_ins!$D:$D,MATCH('001_population_health_zone_zs'!$B75,[1]ratio_ins!$B:$B,0))</f>
        <v>39148.289215199999</v>
      </c>
      <c r="AT75" s="10">
        <f>INDEX([1]ratio_ins!AQ:AQ,MATCH('001_population_health_zone_zs'!$B$2,[1]ratio_ins!$B:$B,0))*$G75*INDEX([1]ratio_ins!$D:$D,MATCH('001_population_health_zone_zs'!$B75,[1]ratio_ins!$B:$B,0))</f>
        <v>956.70306000000005</v>
      </c>
      <c r="AU75" s="10">
        <f>INDEX([1]ratio_ins!AR:AR,MATCH('001_population_health_zone_zs'!$B$2,[1]ratio_ins!$B:$B,0))*$G75*INDEX([1]ratio_ins!$D:$D,MATCH('001_population_health_zone_zs'!$B75,[1]ratio_ins!$B:$B,0))</f>
        <v>574.02183600000012</v>
      </c>
      <c r="AV75" s="10">
        <f>INDEX([1]ratio_ins!AS:AS,MATCH('001_population_health_zone_zs'!$B$2,[1]ratio_ins!$B:$B,0))*$G75*INDEX([1]ratio_ins!$D:$D,MATCH('001_population_health_zone_zs'!$B75,[1]ratio_ins!$B:$B,0))</f>
        <v>287.01091800000006</v>
      </c>
      <c r="AW75" s="10">
        <f>INDEX([1]ratio_ins!AT:AT,MATCH('001_population_health_zone_zs'!$B$2,[1]ratio_ins!$B:$B,0))*$G75*INDEX([1]ratio_ins!$D:$D,MATCH('001_population_health_zone_zs'!$B75,[1]ratio_ins!$B:$B,0))</f>
        <v>191.34061199999999</v>
      </c>
      <c r="AX75" s="13">
        <f>INDEX([1]ratio_ins!AU:AU,MATCH('001_population_health_zone_zs'!$B$2,[1]ratio_ins!$B:$B,0))*$G75*INDEX([1]ratio_ins!$D:$D,MATCH('001_population_health_zone_zs'!$B75,[1]ratio_ins!$B:$B,0))</f>
        <v>2009.0764259999996</v>
      </c>
      <c r="AY75" s="14">
        <f t="shared" si="7"/>
        <v>95670.305999999997</v>
      </c>
      <c r="AZ75" s="15">
        <f t="shared" si="8"/>
        <v>186129</v>
      </c>
      <c r="BA75" s="16">
        <v>179657.12407237818</v>
      </c>
      <c r="BB75" s="10">
        <f t="shared" si="9"/>
        <v>40659.88005</v>
      </c>
      <c r="BC75" s="17">
        <f t="shared" si="10"/>
        <v>0.21845000000000001</v>
      </c>
      <c r="BD75" s="10">
        <f t="shared" si="11"/>
        <v>37721.275397999998</v>
      </c>
    </row>
    <row r="76" spans="1:56" x14ac:dyDescent="0.25">
      <c r="A76" s="8" t="s">
        <v>161</v>
      </c>
      <c r="B76" s="8" t="s">
        <v>162</v>
      </c>
      <c r="C76" s="8" t="s">
        <v>182</v>
      </c>
      <c r="D76" s="8" t="s">
        <v>183</v>
      </c>
      <c r="E76" s="8" t="s">
        <v>184</v>
      </c>
      <c r="F76" s="8" t="s">
        <v>185</v>
      </c>
      <c r="G76" s="9">
        <v>206409</v>
      </c>
      <c r="H76" s="10">
        <f>INDEX([1]ratio_ins!F:F,MATCH('001_population_health_zone_zs'!$B$2,[1]ratio_ins!$B:$B,0))*$G76*INDEX([1]ratio_ins!$C:$C,MATCH('001_population_health_zone_zs'!$B76,[1]ratio_ins!$B:$B,0))</f>
        <v>20965.787765999998</v>
      </c>
      <c r="I76" s="10">
        <f>INDEX([1]ratio_ins!G:G,MATCH('001_population_health_zone_zs'!$B$2,[1]ratio_ins!$B:$B,0))*$G76*INDEX([1]ratio_ins!$C:$C,MATCH('001_population_health_zone_zs'!$B76,[1]ratio_ins!$B:$B,0))</f>
        <v>17153.826354000001</v>
      </c>
      <c r="J76" s="10">
        <f>INDEX([1]ratio_ins!H:H,MATCH('001_population_health_zone_zs'!$B$2,[1]ratio_ins!$B:$B,0))*$G76*INDEX([1]ratio_ins!$C:$C,MATCH('001_population_health_zone_zs'!$B76,[1]ratio_ins!$B:$B,0))</f>
        <v>13542.494489999999</v>
      </c>
      <c r="K76" s="10">
        <f>INDEX([1]ratio_ins!I:I,MATCH('001_population_health_zone_zs'!$B$2,[1]ratio_ins!$B:$B,0))*$G76*INDEX([1]ratio_ins!$C:$C,MATCH('001_population_health_zone_zs'!$B76,[1]ratio_ins!$B:$B,0))</f>
        <v>8326.1262420000003</v>
      </c>
      <c r="L76" s="10">
        <f>INDEX([1]ratio_ins!J:J,MATCH('001_population_health_zone_zs'!$B$2,[1]ratio_ins!$B:$B,0))*$G76*INDEX([1]ratio_ins!$C:$C,MATCH('001_population_health_zone_zs'!$B76,[1]ratio_ins!$B:$B,0))</f>
        <v>4995.6757452000002</v>
      </c>
      <c r="M76" s="11">
        <f>INDEX([1]ratio_ins!K:K,MATCH('001_population_health_zone_zs'!$B$2,[1]ratio_ins!$B:$B,0))*$G76*INDEX([1]ratio_ins!$C:$C,MATCH('001_population_health_zone_zs'!$B76,[1]ratio_ins!$B:$B,0))</f>
        <v>56657.784355199998</v>
      </c>
      <c r="N76" s="10">
        <f>INDEX([1]ratio_ins!L:L,MATCH('001_population_health_zone_zs'!$B$2,[1]ratio_ins!$B:$B,0))*$G76*INDEX([1]ratio_ins!$C:$C,MATCH('001_population_health_zone_zs'!$B76,[1]ratio_ins!$B:$B,0))</f>
        <v>3330.4504968000001</v>
      </c>
      <c r="O76" s="10">
        <f>INDEX([1]ratio_ins!M:M,MATCH('001_population_health_zone_zs'!$B$2,[1]ratio_ins!$B:$B,0))*$G76*INDEX([1]ratio_ins!$C:$C,MATCH('001_population_health_zone_zs'!$B76,[1]ratio_ins!$B:$B,0))</f>
        <v>7222.6637280000004</v>
      </c>
      <c r="P76" s="10">
        <f>INDEX([1]ratio_ins!N:N,MATCH('001_population_health_zone_zs'!$B$2,[1]ratio_ins!$B:$B,0))*$G76*INDEX([1]ratio_ins!$C:$C,MATCH('001_population_health_zone_zs'!$B76,[1]ratio_ins!$B:$B,0))</f>
        <v>6520.4603100000004</v>
      </c>
      <c r="Q76" s="10">
        <f>INDEX([1]ratio_ins!O:O,MATCH('001_population_health_zone_zs'!$B$2,[1]ratio_ins!$B:$B,0))*$G76*INDEX([1]ratio_ins!$C:$C,MATCH('001_population_health_zone_zs'!$B76,[1]ratio_ins!$B:$B,0))</f>
        <v>5818.2568919999994</v>
      </c>
      <c r="R76" s="10">
        <f>INDEX([1]ratio_ins!P:P,MATCH('001_population_health_zone_zs'!$B$2,[1]ratio_ins!$B:$B,0))*$G76*INDEX([1]ratio_ins!$C:$C,MATCH('001_population_health_zone_zs'!$B76,[1]ratio_ins!$B:$B,0))</f>
        <v>5717.9421179999999</v>
      </c>
      <c r="S76" s="10">
        <f>INDEX([1]ratio_ins!Q:Q,MATCH('001_population_health_zone_zs'!$B$2,[1]ratio_ins!$B:$B,0))*$G76*INDEX([1]ratio_ins!$C:$C,MATCH('001_population_health_zone_zs'!$B76,[1]ratio_ins!$B:$B,0))</f>
        <v>4815.109152</v>
      </c>
      <c r="T76" s="10">
        <f>INDEX([1]ratio_ins!R:R,MATCH('001_population_health_zone_zs'!$B$2,[1]ratio_ins!$B:$B,0))*$G76*INDEX([1]ratio_ins!$C:$C,MATCH('001_population_health_zone_zs'!$B76,[1]ratio_ins!$B:$B,0))</f>
        <v>3410.7023160000003</v>
      </c>
      <c r="U76" s="10">
        <f>INDEX([1]ratio_ins!S:S,MATCH('001_population_health_zone_zs'!$B$2,[1]ratio_ins!$B:$B,0))*$G76*INDEX([1]ratio_ins!$C:$C,MATCH('001_population_health_zone_zs'!$B76,[1]ratio_ins!$B:$B,0))</f>
        <v>2708.4988980000003</v>
      </c>
      <c r="V76" s="10">
        <f>INDEX([1]ratio_ins!T:T,MATCH('001_population_health_zone_zs'!$B$2,[1]ratio_ins!$B:$B,0))*$G76*INDEX([1]ratio_ins!$C:$C,MATCH('001_population_health_zone_zs'!$B76,[1]ratio_ins!$B:$B,0))</f>
        <v>1504.7216099999998</v>
      </c>
      <c r="W76" s="11">
        <f>INDEX([1]ratio_ins!U:U,MATCH('001_population_health_zone_zs'!$B$2,[1]ratio_ins!$B:$B,0))*$G76*INDEX([1]ratio_ins!$C:$C,MATCH('001_population_health_zone_zs'!$B76,[1]ratio_ins!$B:$B,0))</f>
        <v>41048.805520800001</v>
      </c>
      <c r="X76" s="10">
        <f>INDEX([1]ratio_ins!V:V,MATCH('001_population_health_zone_zs'!$B$2,[1]ratio_ins!$B:$B,0))*$G76*INDEX([1]ratio_ins!$C:$C,MATCH('001_population_health_zone_zs'!$B76,[1]ratio_ins!$B:$B,0))</f>
        <v>1203.777288</v>
      </c>
      <c r="Y76" s="10">
        <f>INDEX([1]ratio_ins!W:W,MATCH('001_population_health_zone_zs'!$B$2,[1]ratio_ins!$B:$B,0))*$G76*INDEX([1]ratio_ins!$C:$C,MATCH('001_population_health_zone_zs'!$B76,[1]ratio_ins!$B:$B,0))</f>
        <v>802.518192</v>
      </c>
      <c r="Z76" s="10">
        <f>INDEX([1]ratio_ins!X:X,MATCH('001_population_health_zone_zs'!$B$2,[1]ratio_ins!$B:$B,0))*$G76*INDEX([1]ratio_ins!$C:$C,MATCH('001_population_health_zone_zs'!$B76,[1]ratio_ins!$B:$B,0))</f>
        <v>401.259096</v>
      </c>
      <c r="AA76" s="10">
        <f>INDEX([1]ratio_ins!Y:Y,MATCH('001_population_health_zone_zs'!$B$2,[1]ratio_ins!$B:$B,0))*$G76*INDEX([1]ratio_ins!$C:$C,MATCH('001_population_health_zone_zs'!$B76,[1]ratio_ins!$B:$B,0))</f>
        <v>200.629548</v>
      </c>
      <c r="AB76" s="11">
        <f>INDEX([1]ratio_ins!Z:Z,MATCH('001_population_health_zone_zs'!$B$2,[1]ratio_ins!$B:$B,0))*$G76*INDEX([1]ratio_ins!$C:$C,MATCH('001_population_health_zone_zs'!$B76,[1]ratio_ins!$B:$B,0))</f>
        <v>2608.1841240000003</v>
      </c>
      <c r="AC76" s="12">
        <f t="shared" si="6"/>
        <v>100314.774</v>
      </c>
      <c r="AD76" s="10">
        <f>INDEX([1]ratio_ins!AA:AA,MATCH('001_population_health_zone_zs'!$B$2,[1]ratio_ins!$B:$B,0))*$G76*INDEX([1]ratio_ins!$D:$D,MATCH('001_population_health_zone_zs'!$B76,[1]ratio_ins!$B:$B,0))</f>
        <v>22279.78746</v>
      </c>
      <c r="AE76" s="10">
        <f>INDEX([1]ratio_ins!AB:AB,MATCH('001_population_health_zone_zs'!$B$2,[1]ratio_ins!$B:$B,0))*$G76*INDEX([1]ratio_ins!$D:$D,MATCH('001_population_health_zone_zs'!$B76,[1]ratio_ins!$B:$B,0))</f>
        <v>18354.301098000004</v>
      </c>
      <c r="AF76" s="10">
        <f>INDEX([1]ratio_ins!AC:AC,MATCH('001_population_health_zone_zs'!$B$2,[1]ratio_ins!$B:$B,0))*$G76*INDEX([1]ratio_ins!$D:$D,MATCH('001_population_health_zone_zs'!$B76,[1]ratio_ins!$B:$B,0))</f>
        <v>14534.908961999998</v>
      </c>
      <c r="AG76" s="10">
        <f>INDEX([1]ratio_ins!AD:AD,MATCH('001_population_health_zone_zs'!$B$2,[1]ratio_ins!$B:$B,0))*$G76*INDEX([1]ratio_ins!$D:$D,MATCH('001_population_health_zone_zs'!$B76,[1]ratio_ins!$B:$B,0))</f>
        <v>8805.8207579999998</v>
      </c>
      <c r="AH76" s="10">
        <f>INDEX([1]ratio_ins!AE:AE,MATCH('001_population_health_zone_zs'!$B$2,[1]ratio_ins!$B:$B,0))*$G76*INDEX([1]ratio_ins!$D:$D,MATCH('001_population_health_zone_zs'!$B76,[1]ratio_ins!$B:$B,0))</f>
        <v>5283.4924547999999</v>
      </c>
      <c r="AI76" s="13">
        <f>INDEX([1]ratio_ins!AF:AF,MATCH('001_population_health_zone_zs'!$B$2,[1]ratio_ins!$B:$B,0))*$G76*INDEX([1]ratio_ins!$D:$D,MATCH('001_population_health_zone_zs'!$B76,[1]ratio_ins!$B:$B,0))</f>
        <v>60452.489974799995</v>
      </c>
      <c r="AJ76" s="10">
        <f>INDEX([1]ratio_ins!AG:AG,MATCH('001_population_health_zone_zs'!$B$2,[1]ratio_ins!$B:$B,0))*$G76*INDEX([1]ratio_ins!$D:$D,MATCH('001_population_health_zone_zs'!$B76,[1]ratio_ins!$B:$B,0))</f>
        <v>3522.3283031999999</v>
      </c>
      <c r="AK76" s="10">
        <f>INDEX([1]ratio_ins!AH:AH,MATCH('001_population_health_zone_zs'!$B$2,[1]ratio_ins!$B:$B,0))*$G76*INDEX([1]ratio_ins!$D:$D,MATCH('001_population_health_zone_zs'!$B76,[1]ratio_ins!$B:$B,0))</f>
        <v>7850.9727240000011</v>
      </c>
      <c r="AL76" s="10">
        <f>INDEX([1]ratio_ins!AI:AI,MATCH('001_population_health_zone_zs'!$B$2,[1]ratio_ins!$B:$B,0))*$G76*INDEX([1]ratio_ins!$D:$D,MATCH('001_population_health_zone_zs'!$B76,[1]ratio_ins!$B:$B,0))</f>
        <v>7426.5958200000005</v>
      </c>
      <c r="AM76" s="10">
        <f>INDEX([1]ratio_ins!AJ:AJ,MATCH('001_population_health_zone_zs'!$B$2,[1]ratio_ins!$B:$B,0))*$G76*INDEX([1]ratio_ins!$D:$D,MATCH('001_population_health_zone_zs'!$B76,[1]ratio_ins!$B:$B,0))</f>
        <v>6790.0304639999995</v>
      </c>
      <c r="AN76" s="10">
        <f>INDEX([1]ratio_ins!AK:AK,MATCH('001_population_health_zone_zs'!$B$2,[1]ratio_ins!$B:$B,0))*$G76*INDEX([1]ratio_ins!$D:$D,MATCH('001_population_health_zone_zs'!$B76,[1]ratio_ins!$B:$B,0))</f>
        <v>6365.6535599999997</v>
      </c>
      <c r="AO76" s="10">
        <f>INDEX([1]ratio_ins!AL:AL,MATCH('001_population_health_zone_zs'!$B$2,[1]ratio_ins!$B:$B,0))*$G76*INDEX([1]ratio_ins!$D:$D,MATCH('001_population_health_zone_zs'!$B76,[1]ratio_ins!$B:$B,0))</f>
        <v>4774.2401699999991</v>
      </c>
      <c r="AP76" s="10">
        <f>INDEX([1]ratio_ins!AM:AM,MATCH('001_population_health_zone_zs'!$B$2,[1]ratio_ins!$B:$B,0))*$G76*INDEX([1]ratio_ins!$D:$D,MATCH('001_population_health_zone_zs'!$B76,[1]ratio_ins!$B:$B,0))</f>
        <v>3076.7325540000002</v>
      </c>
      <c r="AQ76" s="10">
        <f>INDEX([1]ratio_ins!AN:AN,MATCH('001_population_health_zone_zs'!$B$2,[1]ratio_ins!$B:$B,0))*$G76*INDEX([1]ratio_ins!$D:$D,MATCH('001_population_health_zone_zs'!$B76,[1]ratio_ins!$B:$B,0))</f>
        <v>2440.1671980000001</v>
      </c>
      <c r="AR76" s="10">
        <f>INDEX([1]ratio_ins!AO:AO,MATCH('001_population_health_zone_zs'!$B$2,[1]ratio_ins!$B:$B,0))*$G76*INDEX([1]ratio_ins!$D:$D,MATCH('001_population_health_zone_zs'!$B76,[1]ratio_ins!$B:$B,0))</f>
        <v>1167.0364860000002</v>
      </c>
      <c r="AS76" s="13">
        <f>INDEX([1]ratio_ins!AP:AP,MATCH('001_population_health_zone_zs'!$B$2,[1]ratio_ins!$B:$B,0))*$G76*INDEX([1]ratio_ins!$D:$D,MATCH('001_population_health_zone_zs'!$B76,[1]ratio_ins!$B:$B,0))</f>
        <v>43413.757279199999</v>
      </c>
      <c r="AT76" s="10">
        <f>INDEX([1]ratio_ins!AQ:AQ,MATCH('001_population_health_zone_zs'!$B$2,[1]ratio_ins!$B:$B,0))*$G76*INDEX([1]ratio_ins!$D:$D,MATCH('001_population_health_zone_zs'!$B76,[1]ratio_ins!$B:$B,0))</f>
        <v>1060.94226</v>
      </c>
      <c r="AU76" s="10">
        <f>INDEX([1]ratio_ins!AR:AR,MATCH('001_population_health_zone_zs'!$B$2,[1]ratio_ins!$B:$B,0))*$G76*INDEX([1]ratio_ins!$D:$D,MATCH('001_population_health_zone_zs'!$B76,[1]ratio_ins!$B:$B,0))</f>
        <v>636.56535599999995</v>
      </c>
      <c r="AV76" s="10">
        <f>INDEX([1]ratio_ins!AS:AS,MATCH('001_population_health_zone_zs'!$B$2,[1]ratio_ins!$B:$B,0))*$G76*INDEX([1]ratio_ins!$D:$D,MATCH('001_population_health_zone_zs'!$B76,[1]ratio_ins!$B:$B,0))</f>
        <v>318.28267799999998</v>
      </c>
      <c r="AW76" s="10">
        <f>INDEX([1]ratio_ins!AT:AT,MATCH('001_population_health_zone_zs'!$B$2,[1]ratio_ins!$B:$B,0))*$G76*INDEX([1]ratio_ins!$D:$D,MATCH('001_population_health_zone_zs'!$B76,[1]ratio_ins!$B:$B,0))</f>
        <v>212.18845199999998</v>
      </c>
      <c r="AX76" s="13">
        <f>INDEX([1]ratio_ins!AU:AU,MATCH('001_population_health_zone_zs'!$B$2,[1]ratio_ins!$B:$B,0))*$G76*INDEX([1]ratio_ins!$D:$D,MATCH('001_population_health_zone_zs'!$B76,[1]ratio_ins!$B:$B,0))</f>
        <v>2227.9787460000002</v>
      </c>
      <c r="AY76" s="14">
        <f t="shared" si="7"/>
        <v>106094.22599999998</v>
      </c>
      <c r="AZ76" s="15">
        <f t="shared" si="8"/>
        <v>206409</v>
      </c>
      <c r="BA76" s="16">
        <v>199232.56832935594</v>
      </c>
      <c r="BB76" s="10">
        <f t="shared" si="9"/>
        <v>45090.046050000004</v>
      </c>
      <c r="BC76" s="17">
        <f t="shared" si="10"/>
        <v>0.21845000000000003</v>
      </c>
      <c r="BD76" s="10">
        <f t="shared" si="11"/>
        <v>41831.260757999997</v>
      </c>
    </row>
    <row r="77" spans="1:56" x14ac:dyDescent="0.25">
      <c r="A77" s="8" t="s">
        <v>161</v>
      </c>
      <c r="B77" s="8" t="s">
        <v>162</v>
      </c>
      <c r="C77" s="8" t="s">
        <v>182</v>
      </c>
      <c r="D77" s="8" t="s">
        <v>183</v>
      </c>
      <c r="E77" s="8" t="s">
        <v>186</v>
      </c>
      <c r="F77" s="8" t="s">
        <v>187</v>
      </c>
      <c r="G77" s="9">
        <v>186014</v>
      </c>
      <c r="H77" s="10">
        <f>INDEX([1]ratio_ins!F:F,MATCH('001_population_health_zone_zs'!$B$2,[1]ratio_ins!$B:$B,0))*$G77*INDEX([1]ratio_ins!$C:$C,MATCH('001_population_health_zone_zs'!$B77,[1]ratio_ins!$B:$B,0))</f>
        <v>18894.186035999999</v>
      </c>
      <c r="I77" s="10">
        <f>INDEX([1]ratio_ins!G:G,MATCH('001_population_health_zone_zs'!$B$2,[1]ratio_ins!$B:$B,0))*$G77*INDEX([1]ratio_ins!$C:$C,MATCH('001_population_health_zone_zs'!$B77,[1]ratio_ins!$B:$B,0))</f>
        <v>15458.879484000001</v>
      </c>
      <c r="J77" s="10">
        <f>INDEX([1]ratio_ins!H:H,MATCH('001_population_health_zone_zs'!$B$2,[1]ratio_ins!$B:$B,0))*$G77*INDEX([1]ratio_ins!$C:$C,MATCH('001_population_health_zone_zs'!$B77,[1]ratio_ins!$B:$B,0))</f>
        <v>12204.378540000002</v>
      </c>
      <c r="K77" s="10">
        <f>INDEX([1]ratio_ins!I:I,MATCH('001_population_health_zone_zs'!$B$2,[1]ratio_ins!$B:$B,0))*$G77*INDEX([1]ratio_ins!$C:$C,MATCH('001_population_health_zone_zs'!$B77,[1]ratio_ins!$B:$B,0))</f>
        <v>7503.4327320000002</v>
      </c>
      <c r="L77" s="10">
        <f>INDEX([1]ratio_ins!J:J,MATCH('001_population_health_zone_zs'!$B$2,[1]ratio_ins!$B:$B,0))*$G77*INDEX([1]ratio_ins!$C:$C,MATCH('001_population_health_zone_zs'!$B77,[1]ratio_ins!$B:$B,0))</f>
        <v>4502.0596391999998</v>
      </c>
      <c r="M77" s="11">
        <f>INDEX([1]ratio_ins!K:K,MATCH('001_population_health_zone_zs'!$B$2,[1]ratio_ins!$B:$B,0))*$G77*INDEX([1]ratio_ins!$C:$C,MATCH('001_population_health_zone_zs'!$B77,[1]ratio_ins!$B:$B,0))</f>
        <v>51059.503699199995</v>
      </c>
      <c r="N77" s="10">
        <f>INDEX([1]ratio_ins!L:L,MATCH('001_population_health_zone_zs'!$B$2,[1]ratio_ins!$B:$B,0))*$G77*INDEX([1]ratio_ins!$C:$C,MATCH('001_population_health_zone_zs'!$B77,[1]ratio_ins!$B:$B,0))</f>
        <v>3001.3730928</v>
      </c>
      <c r="O77" s="10">
        <f>INDEX([1]ratio_ins!M:M,MATCH('001_population_health_zone_zs'!$B$2,[1]ratio_ins!$B:$B,0))*$G77*INDEX([1]ratio_ins!$C:$C,MATCH('001_population_health_zone_zs'!$B77,[1]ratio_ins!$B:$B,0))</f>
        <v>6509.0018880000007</v>
      </c>
      <c r="P77" s="10">
        <f>INDEX([1]ratio_ins!N:N,MATCH('001_population_health_zone_zs'!$B$2,[1]ratio_ins!$B:$B,0))*$G77*INDEX([1]ratio_ins!$C:$C,MATCH('001_population_health_zone_zs'!$B77,[1]ratio_ins!$B:$B,0))</f>
        <v>5876.1822599999996</v>
      </c>
      <c r="Q77" s="10">
        <f>INDEX([1]ratio_ins!O:O,MATCH('001_population_health_zone_zs'!$B$2,[1]ratio_ins!$B:$B,0))*$G77*INDEX([1]ratio_ins!$C:$C,MATCH('001_population_health_zone_zs'!$B77,[1]ratio_ins!$B:$B,0))</f>
        <v>5243.3626319999994</v>
      </c>
      <c r="R77" s="10">
        <f>INDEX([1]ratio_ins!P:P,MATCH('001_population_health_zone_zs'!$B$2,[1]ratio_ins!$B:$B,0))*$G77*INDEX([1]ratio_ins!$C:$C,MATCH('001_population_health_zone_zs'!$B77,[1]ratio_ins!$B:$B,0))</f>
        <v>5152.959828</v>
      </c>
      <c r="S77" s="10">
        <f>INDEX([1]ratio_ins!Q:Q,MATCH('001_population_health_zone_zs'!$B$2,[1]ratio_ins!$B:$B,0))*$G77*INDEX([1]ratio_ins!$C:$C,MATCH('001_population_health_zone_zs'!$B77,[1]ratio_ins!$B:$B,0))</f>
        <v>4339.3345920000002</v>
      </c>
      <c r="T77" s="10">
        <f>INDEX([1]ratio_ins!R:R,MATCH('001_population_health_zone_zs'!$B$2,[1]ratio_ins!$B:$B,0))*$G77*INDEX([1]ratio_ins!$C:$C,MATCH('001_population_health_zone_zs'!$B77,[1]ratio_ins!$B:$B,0))</f>
        <v>3073.6953360000002</v>
      </c>
      <c r="U77" s="10">
        <f>INDEX([1]ratio_ins!S:S,MATCH('001_population_health_zone_zs'!$B$2,[1]ratio_ins!$B:$B,0))*$G77*INDEX([1]ratio_ins!$C:$C,MATCH('001_population_health_zone_zs'!$B77,[1]ratio_ins!$B:$B,0))</f>
        <v>2440.875708</v>
      </c>
      <c r="V77" s="10">
        <f>INDEX([1]ratio_ins!T:T,MATCH('001_population_health_zone_zs'!$B$2,[1]ratio_ins!$B:$B,0))*$G77*INDEX([1]ratio_ins!$C:$C,MATCH('001_population_health_zone_zs'!$B77,[1]ratio_ins!$B:$B,0))</f>
        <v>1356.04206</v>
      </c>
      <c r="W77" s="11">
        <f>INDEX([1]ratio_ins!U:U,MATCH('001_population_health_zone_zs'!$B$2,[1]ratio_ins!$B:$B,0))*$G77*INDEX([1]ratio_ins!$C:$C,MATCH('001_population_health_zone_zs'!$B77,[1]ratio_ins!$B:$B,0))</f>
        <v>36992.827396800007</v>
      </c>
      <c r="X77" s="10">
        <f>INDEX([1]ratio_ins!V:V,MATCH('001_population_health_zone_zs'!$B$2,[1]ratio_ins!$B:$B,0))*$G77*INDEX([1]ratio_ins!$C:$C,MATCH('001_population_health_zone_zs'!$B77,[1]ratio_ins!$B:$B,0))</f>
        <v>1084.833648</v>
      </c>
      <c r="Y77" s="10">
        <f>INDEX([1]ratio_ins!W:W,MATCH('001_population_health_zone_zs'!$B$2,[1]ratio_ins!$B:$B,0))*$G77*INDEX([1]ratio_ins!$C:$C,MATCH('001_population_health_zone_zs'!$B77,[1]ratio_ins!$B:$B,0))</f>
        <v>723.22243200000003</v>
      </c>
      <c r="Z77" s="10">
        <f>INDEX([1]ratio_ins!X:X,MATCH('001_population_health_zone_zs'!$B$2,[1]ratio_ins!$B:$B,0))*$G77*INDEX([1]ratio_ins!$C:$C,MATCH('001_population_health_zone_zs'!$B77,[1]ratio_ins!$B:$B,0))</f>
        <v>361.61121600000001</v>
      </c>
      <c r="AA77" s="10">
        <f>INDEX([1]ratio_ins!Y:Y,MATCH('001_population_health_zone_zs'!$B$2,[1]ratio_ins!$B:$B,0))*$G77*INDEX([1]ratio_ins!$C:$C,MATCH('001_population_health_zone_zs'!$B77,[1]ratio_ins!$B:$B,0))</f>
        <v>180.80560800000001</v>
      </c>
      <c r="AB77" s="11">
        <f>INDEX([1]ratio_ins!Z:Z,MATCH('001_population_health_zone_zs'!$B$2,[1]ratio_ins!$B:$B,0))*$G77*INDEX([1]ratio_ins!$C:$C,MATCH('001_population_health_zone_zs'!$B77,[1]ratio_ins!$B:$B,0))</f>
        <v>2350.4729040000002</v>
      </c>
      <c r="AC77" s="12">
        <f t="shared" si="6"/>
        <v>90402.804000000004</v>
      </c>
      <c r="AD77" s="10">
        <f>INDEX([1]ratio_ins!AA:AA,MATCH('001_population_health_zone_zs'!$B$2,[1]ratio_ins!$B:$B,0))*$G77*INDEX([1]ratio_ins!$D:$D,MATCH('001_population_health_zone_zs'!$B77,[1]ratio_ins!$B:$B,0))</f>
        <v>20078.351159999998</v>
      </c>
      <c r="AE77" s="10">
        <f>INDEX([1]ratio_ins!AB:AB,MATCH('001_population_health_zone_zs'!$B$2,[1]ratio_ins!$B:$B,0))*$G77*INDEX([1]ratio_ins!$D:$D,MATCH('001_population_health_zone_zs'!$B77,[1]ratio_ins!$B:$B,0))</f>
        <v>16540.736908000003</v>
      </c>
      <c r="AF77" s="10">
        <f>INDEX([1]ratio_ins!AC:AC,MATCH('001_population_health_zone_zs'!$B$2,[1]ratio_ins!$B:$B,0))*$G77*INDEX([1]ratio_ins!$D:$D,MATCH('001_population_health_zone_zs'!$B77,[1]ratio_ins!$B:$B,0))</f>
        <v>13098.733851999999</v>
      </c>
      <c r="AG77" s="10">
        <f>INDEX([1]ratio_ins!AD:AD,MATCH('001_population_health_zone_zs'!$B$2,[1]ratio_ins!$B:$B,0))*$G77*INDEX([1]ratio_ins!$D:$D,MATCH('001_population_health_zone_zs'!$B77,[1]ratio_ins!$B:$B,0))</f>
        <v>7935.729268</v>
      </c>
      <c r="AH77" s="10">
        <f>INDEX([1]ratio_ins!AE:AE,MATCH('001_population_health_zone_zs'!$B$2,[1]ratio_ins!$B:$B,0))*$G77*INDEX([1]ratio_ins!$D:$D,MATCH('001_population_health_zone_zs'!$B77,[1]ratio_ins!$B:$B,0))</f>
        <v>4761.4375608</v>
      </c>
      <c r="AI77" s="13">
        <f>INDEX([1]ratio_ins!AF:AF,MATCH('001_population_health_zone_zs'!$B$2,[1]ratio_ins!$B:$B,0))*$G77*INDEX([1]ratio_ins!$D:$D,MATCH('001_population_health_zone_zs'!$B77,[1]ratio_ins!$B:$B,0))</f>
        <v>54479.259480799999</v>
      </c>
      <c r="AJ77" s="10">
        <f>INDEX([1]ratio_ins!AG:AG,MATCH('001_population_health_zone_zs'!$B$2,[1]ratio_ins!$B:$B,0))*$G77*INDEX([1]ratio_ins!$D:$D,MATCH('001_population_health_zone_zs'!$B77,[1]ratio_ins!$B:$B,0))</f>
        <v>3174.2917072000005</v>
      </c>
      <c r="AK77" s="10">
        <f>INDEX([1]ratio_ins!AH:AH,MATCH('001_population_health_zone_zs'!$B$2,[1]ratio_ins!$B:$B,0))*$G77*INDEX([1]ratio_ins!$D:$D,MATCH('001_population_health_zone_zs'!$B77,[1]ratio_ins!$B:$B,0))</f>
        <v>7075.2285040000015</v>
      </c>
      <c r="AL77" s="10">
        <f>INDEX([1]ratio_ins!AI:AI,MATCH('001_population_health_zone_zs'!$B$2,[1]ratio_ins!$B:$B,0))*$G77*INDEX([1]ratio_ins!$D:$D,MATCH('001_population_health_zone_zs'!$B77,[1]ratio_ins!$B:$B,0))</f>
        <v>6692.7837200000013</v>
      </c>
      <c r="AM77" s="10">
        <f>INDEX([1]ratio_ins!AJ:AJ,MATCH('001_population_health_zone_zs'!$B$2,[1]ratio_ins!$B:$B,0))*$G77*INDEX([1]ratio_ins!$D:$D,MATCH('001_population_health_zone_zs'!$B77,[1]ratio_ins!$B:$B,0))</f>
        <v>6119.1165440000004</v>
      </c>
      <c r="AN77" s="10">
        <f>INDEX([1]ratio_ins!AK:AK,MATCH('001_population_health_zone_zs'!$B$2,[1]ratio_ins!$B:$B,0))*$G77*INDEX([1]ratio_ins!$D:$D,MATCH('001_population_health_zone_zs'!$B77,[1]ratio_ins!$B:$B,0))</f>
        <v>5736.6717600000002</v>
      </c>
      <c r="AO77" s="10">
        <f>INDEX([1]ratio_ins!AL:AL,MATCH('001_population_health_zone_zs'!$B$2,[1]ratio_ins!$B:$B,0))*$G77*INDEX([1]ratio_ins!$D:$D,MATCH('001_population_health_zone_zs'!$B77,[1]ratio_ins!$B:$B,0))</f>
        <v>4302.5038199999999</v>
      </c>
      <c r="AP77" s="10">
        <f>INDEX([1]ratio_ins!AM:AM,MATCH('001_population_health_zone_zs'!$B$2,[1]ratio_ins!$B:$B,0))*$G77*INDEX([1]ratio_ins!$D:$D,MATCH('001_population_health_zone_zs'!$B77,[1]ratio_ins!$B:$B,0))</f>
        <v>2772.7246840000003</v>
      </c>
      <c r="AQ77" s="10">
        <f>INDEX([1]ratio_ins!AN:AN,MATCH('001_population_health_zone_zs'!$B$2,[1]ratio_ins!$B:$B,0))*$G77*INDEX([1]ratio_ins!$D:$D,MATCH('001_population_health_zone_zs'!$B77,[1]ratio_ins!$B:$B,0))</f>
        <v>2199.0575080000003</v>
      </c>
      <c r="AR77" s="10">
        <f>INDEX([1]ratio_ins!AO:AO,MATCH('001_population_health_zone_zs'!$B$2,[1]ratio_ins!$B:$B,0))*$G77*INDEX([1]ratio_ins!$D:$D,MATCH('001_population_health_zone_zs'!$B77,[1]ratio_ins!$B:$B,0))</f>
        <v>1051.7231560000002</v>
      </c>
      <c r="AS77" s="13">
        <f>INDEX([1]ratio_ins!AP:AP,MATCH('001_population_health_zone_zs'!$B$2,[1]ratio_ins!$B:$B,0))*$G77*INDEX([1]ratio_ins!$D:$D,MATCH('001_population_health_zone_zs'!$B77,[1]ratio_ins!$B:$B,0))</f>
        <v>39124.101403200002</v>
      </c>
      <c r="AT77" s="10">
        <f>INDEX([1]ratio_ins!AQ:AQ,MATCH('001_population_health_zone_zs'!$B$2,[1]ratio_ins!$B:$B,0))*$G77*INDEX([1]ratio_ins!$D:$D,MATCH('001_population_health_zone_zs'!$B77,[1]ratio_ins!$B:$B,0))</f>
        <v>956.11196000000007</v>
      </c>
      <c r="AU77" s="10">
        <f>INDEX([1]ratio_ins!AR:AR,MATCH('001_population_health_zone_zs'!$B$2,[1]ratio_ins!$B:$B,0))*$G77*INDEX([1]ratio_ins!$D:$D,MATCH('001_population_health_zone_zs'!$B77,[1]ratio_ins!$B:$B,0))</f>
        <v>573.66717600000004</v>
      </c>
      <c r="AV77" s="10">
        <f>INDEX([1]ratio_ins!AS:AS,MATCH('001_population_health_zone_zs'!$B$2,[1]ratio_ins!$B:$B,0))*$G77*INDEX([1]ratio_ins!$D:$D,MATCH('001_population_health_zone_zs'!$B77,[1]ratio_ins!$B:$B,0))</f>
        <v>286.83358800000002</v>
      </c>
      <c r="AW77" s="10">
        <f>INDEX([1]ratio_ins!AT:AT,MATCH('001_population_health_zone_zs'!$B$2,[1]ratio_ins!$B:$B,0))*$G77*INDEX([1]ratio_ins!$D:$D,MATCH('001_population_health_zone_zs'!$B77,[1]ratio_ins!$B:$B,0))</f>
        <v>191.22239200000001</v>
      </c>
      <c r="AX77" s="13">
        <f>INDEX([1]ratio_ins!AU:AU,MATCH('001_population_health_zone_zs'!$B$2,[1]ratio_ins!$B:$B,0))*$G77*INDEX([1]ratio_ins!$D:$D,MATCH('001_population_health_zone_zs'!$B77,[1]ratio_ins!$B:$B,0))</f>
        <v>2007.8351159999997</v>
      </c>
      <c r="AY77" s="14">
        <f t="shared" si="7"/>
        <v>95611.195999999996</v>
      </c>
      <c r="AZ77" s="15">
        <f t="shared" si="8"/>
        <v>186014</v>
      </c>
      <c r="BA77" s="16">
        <v>179546.20911133266</v>
      </c>
      <c r="BB77" s="10">
        <f t="shared" si="9"/>
        <v>40634.758300000001</v>
      </c>
      <c r="BC77" s="17">
        <f t="shared" si="10"/>
        <v>0.21845000000000001</v>
      </c>
      <c r="BD77" s="10">
        <f t="shared" si="11"/>
        <v>37697.969268000001</v>
      </c>
    </row>
    <row r="78" spans="1:56" x14ac:dyDescent="0.25">
      <c r="A78" s="8" t="s">
        <v>161</v>
      </c>
      <c r="B78" s="8" t="s">
        <v>162</v>
      </c>
      <c r="C78" s="8" t="s">
        <v>182</v>
      </c>
      <c r="D78" s="8" t="s">
        <v>183</v>
      </c>
      <c r="E78" s="8" t="s">
        <v>188</v>
      </c>
      <c r="F78" s="8" t="s">
        <v>189</v>
      </c>
      <c r="G78" s="9">
        <v>212152</v>
      </c>
      <c r="H78" s="10">
        <f>INDEX([1]ratio_ins!F:F,MATCH('001_population_health_zone_zs'!$B$2,[1]ratio_ins!$B:$B,0))*$G78*INDEX([1]ratio_ins!$C:$C,MATCH('001_population_health_zone_zs'!$B78,[1]ratio_ins!$B:$B,0))</f>
        <v>21549.127247999997</v>
      </c>
      <c r="I78" s="10">
        <f>INDEX([1]ratio_ins!G:G,MATCH('001_population_health_zone_zs'!$B$2,[1]ratio_ins!$B:$B,0))*$G78*INDEX([1]ratio_ins!$C:$C,MATCH('001_population_health_zone_zs'!$B78,[1]ratio_ins!$B:$B,0))</f>
        <v>17631.104112000001</v>
      </c>
      <c r="J78" s="10">
        <f>INDEX([1]ratio_ins!H:H,MATCH('001_population_health_zone_zs'!$B$2,[1]ratio_ins!$B:$B,0))*$G78*INDEX([1]ratio_ins!$C:$C,MATCH('001_population_health_zone_zs'!$B78,[1]ratio_ins!$B:$B,0))</f>
        <v>13919.292719999999</v>
      </c>
      <c r="K78" s="10">
        <f>INDEX([1]ratio_ins!I:I,MATCH('001_population_health_zone_zs'!$B$2,[1]ratio_ins!$B:$B,0))*$G78*INDEX([1]ratio_ins!$C:$C,MATCH('001_population_health_zone_zs'!$B78,[1]ratio_ins!$B:$B,0))</f>
        <v>8557.7873760000002</v>
      </c>
      <c r="L78" s="10">
        <f>INDEX([1]ratio_ins!J:J,MATCH('001_population_health_zone_zs'!$B$2,[1]ratio_ins!$B:$B,0))*$G78*INDEX([1]ratio_ins!$C:$C,MATCH('001_population_health_zone_zs'!$B78,[1]ratio_ins!$B:$B,0))</f>
        <v>5134.6724255999998</v>
      </c>
      <c r="M78" s="11">
        <f>INDEX([1]ratio_ins!K:K,MATCH('001_population_health_zone_zs'!$B$2,[1]ratio_ins!$B:$B,0))*$G78*INDEX([1]ratio_ins!$C:$C,MATCH('001_population_health_zone_zs'!$B78,[1]ratio_ins!$B:$B,0))</f>
        <v>58234.196505599997</v>
      </c>
      <c r="N78" s="10">
        <f>INDEX([1]ratio_ins!L:L,MATCH('001_population_health_zone_zs'!$B$2,[1]ratio_ins!$B:$B,0))*$G78*INDEX([1]ratio_ins!$C:$C,MATCH('001_population_health_zone_zs'!$B78,[1]ratio_ins!$B:$B,0))</f>
        <v>3423.1149504</v>
      </c>
      <c r="O78" s="10">
        <f>INDEX([1]ratio_ins!M:M,MATCH('001_population_health_zone_zs'!$B$2,[1]ratio_ins!$B:$B,0))*$G78*INDEX([1]ratio_ins!$C:$C,MATCH('001_population_health_zone_zs'!$B78,[1]ratio_ins!$B:$B,0))</f>
        <v>7423.6227840000001</v>
      </c>
      <c r="P78" s="10">
        <f>INDEX([1]ratio_ins!N:N,MATCH('001_population_health_zone_zs'!$B$2,[1]ratio_ins!$B:$B,0))*$G78*INDEX([1]ratio_ins!$C:$C,MATCH('001_population_health_zone_zs'!$B78,[1]ratio_ins!$B:$B,0))</f>
        <v>6701.8816800000004</v>
      </c>
      <c r="Q78" s="10">
        <f>INDEX([1]ratio_ins!O:O,MATCH('001_population_health_zone_zs'!$B$2,[1]ratio_ins!$B:$B,0))*$G78*INDEX([1]ratio_ins!$C:$C,MATCH('001_population_health_zone_zs'!$B78,[1]ratio_ins!$B:$B,0))</f>
        <v>5980.1405759999989</v>
      </c>
      <c r="R78" s="10">
        <f>INDEX([1]ratio_ins!P:P,MATCH('001_population_health_zone_zs'!$B$2,[1]ratio_ins!$B:$B,0))*$G78*INDEX([1]ratio_ins!$C:$C,MATCH('001_population_health_zone_zs'!$B78,[1]ratio_ins!$B:$B,0))</f>
        <v>5877.0347040000006</v>
      </c>
      <c r="S78" s="10">
        <f>INDEX([1]ratio_ins!Q:Q,MATCH('001_population_health_zone_zs'!$B$2,[1]ratio_ins!$B:$B,0))*$G78*INDEX([1]ratio_ins!$C:$C,MATCH('001_population_health_zone_zs'!$B78,[1]ratio_ins!$B:$B,0))</f>
        <v>4949.0818559999998</v>
      </c>
      <c r="T78" s="10">
        <f>INDEX([1]ratio_ins!R:R,MATCH('001_population_health_zone_zs'!$B$2,[1]ratio_ins!$B:$B,0))*$G78*INDEX([1]ratio_ins!$C:$C,MATCH('001_population_health_zone_zs'!$B78,[1]ratio_ins!$B:$B,0))</f>
        <v>3505.5996480000003</v>
      </c>
      <c r="U78" s="10">
        <f>INDEX([1]ratio_ins!S:S,MATCH('001_population_health_zone_zs'!$B$2,[1]ratio_ins!$B:$B,0))*$G78*INDEX([1]ratio_ins!$C:$C,MATCH('001_population_health_zone_zs'!$B78,[1]ratio_ins!$B:$B,0))</f>
        <v>2783.8585440000002</v>
      </c>
      <c r="V78" s="10">
        <f>INDEX([1]ratio_ins!T:T,MATCH('001_population_health_zone_zs'!$B$2,[1]ratio_ins!$B:$B,0))*$G78*INDEX([1]ratio_ins!$C:$C,MATCH('001_population_health_zone_zs'!$B78,[1]ratio_ins!$B:$B,0))</f>
        <v>1546.5880799999998</v>
      </c>
      <c r="W78" s="11">
        <f>INDEX([1]ratio_ins!U:U,MATCH('001_population_health_zone_zs'!$B$2,[1]ratio_ins!$B:$B,0))*$G78*INDEX([1]ratio_ins!$C:$C,MATCH('001_population_health_zone_zs'!$B78,[1]ratio_ins!$B:$B,0))</f>
        <v>42190.922822400003</v>
      </c>
      <c r="X78" s="10">
        <f>INDEX([1]ratio_ins!V:V,MATCH('001_population_health_zone_zs'!$B$2,[1]ratio_ins!$B:$B,0))*$G78*INDEX([1]ratio_ins!$C:$C,MATCH('001_population_health_zone_zs'!$B78,[1]ratio_ins!$B:$B,0))</f>
        <v>1237.2704639999999</v>
      </c>
      <c r="Y78" s="10">
        <f>INDEX([1]ratio_ins!W:W,MATCH('001_population_health_zone_zs'!$B$2,[1]ratio_ins!$B:$B,0))*$G78*INDEX([1]ratio_ins!$C:$C,MATCH('001_population_health_zone_zs'!$B78,[1]ratio_ins!$B:$B,0))</f>
        <v>824.84697600000004</v>
      </c>
      <c r="Z78" s="10">
        <f>INDEX([1]ratio_ins!X:X,MATCH('001_population_health_zone_zs'!$B$2,[1]ratio_ins!$B:$B,0))*$G78*INDEX([1]ratio_ins!$C:$C,MATCH('001_population_health_zone_zs'!$B78,[1]ratio_ins!$B:$B,0))</f>
        <v>412.42348800000002</v>
      </c>
      <c r="AA78" s="10">
        <f>INDEX([1]ratio_ins!Y:Y,MATCH('001_population_health_zone_zs'!$B$2,[1]ratio_ins!$B:$B,0))*$G78*INDEX([1]ratio_ins!$C:$C,MATCH('001_population_health_zone_zs'!$B78,[1]ratio_ins!$B:$B,0))</f>
        <v>206.21174400000001</v>
      </c>
      <c r="AB78" s="11">
        <f>INDEX([1]ratio_ins!Z:Z,MATCH('001_population_health_zone_zs'!$B$2,[1]ratio_ins!$B:$B,0))*$G78*INDEX([1]ratio_ins!$C:$C,MATCH('001_population_health_zone_zs'!$B78,[1]ratio_ins!$B:$B,0))</f>
        <v>2680.7526720000001</v>
      </c>
      <c r="AC78" s="12">
        <f t="shared" si="6"/>
        <v>103105.872</v>
      </c>
      <c r="AD78" s="10">
        <f>INDEX([1]ratio_ins!AA:AA,MATCH('001_population_health_zone_zs'!$B$2,[1]ratio_ins!$B:$B,0))*$G78*INDEX([1]ratio_ins!$D:$D,MATCH('001_population_health_zone_zs'!$B78,[1]ratio_ins!$B:$B,0))</f>
        <v>22899.686880000001</v>
      </c>
      <c r="AE78" s="10">
        <f>INDEX([1]ratio_ins!AB:AB,MATCH('001_population_health_zone_zs'!$B$2,[1]ratio_ins!$B:$B,0))*$G78*INDEX([1]ratio_ins!$D:$D,MATCH('001_population_health_zone_zs'!$B78,[1]ratio_ins!$B:$B,0))</f>
        <v>18864.980144000001</v>
      </c>
      <c r="AF78" s="10">
        <f>INDEX([1]ratio_ins!AC:AC,MATCH('001_population_health_zone_zs'!$B$2,[1]ratio_ins!$B:$B,0))*$G78*INDEX([1]ratio_ins!$D:$D,MATCH('001_population_health_zone_zs'!$B78,[1]ratio_ins!$B:$B,0))</f>
        <v>14939.319535999999</v>
      </c>
      <c r="AG78" s="10">
        <f>INDEX([1]ratio_ins!AD:AD,MATCH('001_population_health_zone_zs'!$B$2,[1]ratio_ins!$B:$B,0))*$G78*INDEX([1]ratio_ins!$D:$D,MATCH('001_population_health_zone_zs'!$B78,[1]ratio_ins!$B:$B,0))</f>
        <v>9050.8286240000016</v>
      </c>
      <c r="AH78" s="10">
        <f>INDEX([1]ratio_ins!AE:AE,MATCH('001_population_health_zone_zs'!$B$2,[1]ratio_ins!$B:$B,0))*$G78*INDEX([1]ratio_ins!$D:$D,MATCH('001_population_health_zone_zs'!$B78,[1]ratio_ins!$B:$B,0))</f>
        <v>5430.4971743999995</v>
      </c>
      <c r="AI78" s="13">
        <f>INDEX([1]ratio_ins!AF:AF,MATCH('001_population_health_zone_zs'!$B$2,[1]ratio_ins!$B:$B,0))*$G78*INDEX([1]ratio_ins!$D:$D,MATCH('001_population_health_zone_zs'!$B78,[1]ratio_ins!$B:$B,0))</f>
        <v>62134.483734399997</v>
      </c>
      <c r="AJ78" s="10">
        <f>INDEX([1]ratio_ins!AG:AG,MATCH('001_population_health_zone_zs'!$B$2,[1]ratio_ins!$B:$B,0))*$G78*INDEX([1]ratio_ins!$D:$D,MATCH('001_population_health_zone_zs'!$B78,[1]ratio_ins!$B:$B,0))</f>
        <v>3620.3314495999998</v>
      </c>
      <c r="AK78" s="10">
        <f>INDEX([1]ratio_ins!AH:AH,MATCH('001_population_health_zone_zs'!$B$2,[1]ratio_ins!$B:$B,0))*$G78*INDEX([1]ratio_ins!$D:$D,MATCH('001_population_health_zone_zs'!$B78,[1]ratio_ins!$B:$B,0))</f>
        <v>8069.4134720000011</v>
      </c>
      <c r="AL78" s="10">
        <f>INDEX([1]ratio_ins!AI:AI,MATCH('001_population_health_zone_zs'!$B$2,[1]ratio_ins!$B:$B,0))*$G78*INDEX([1]ratio_ins!$D:$D,MATCH('001_population_health_zone_zs'!$B78,[1]ratio_ins!$B:$B,0))</f>
        <v>7633.2289600000004</v>
      </c>
      <c r="AM78" s="10">
        <f>INDEX([1]ratio_ins!AJ:AJ,MATCH('001_population_health_zone_zs'!$B$2,[1]ratio_ins!$B:$B,0))*$G78*INDEX([1]ratio_ins!$D:$D,MATCH('001_population_health_zone_zs'!$B78,[1]ratio_ins!$B:$B,0))</f>
        <v>6978.9521920000007</v>
      </c>
      <c r="AN78" s="10">
        <f>INDEX([1]ratio_ins!AK:AK,MATCH('001_population_health_zone_zs'!$B$2,[1]ratio_ins!$B:$B,0))*$G78*INDEX([1]ratio_ins!$D:$D,MATCH('001_population_health_zone_zs'!$B78,[1]ratio_ins!$B:$B,0))</f>
        <v>6542.7676799999999</v>
      </c>
      <c r="AO78" s="10">
        <f>INDEX([1]ratio_ins!AL:AL,MATCH('001_population_health_zone_zs'!$B$2,[1]ratio_ins!$B:$B,0))*$G78*INDEX([1]ratio_ins!$D:$D,MATCH('001_population_health_zone_zs'!$B78,[1]ratio_ins!$B:$B,0))</f>
        <v>4907.0757600000006</v>
      </c>
      <c r="AP78" s="10">
        <f>INDEX([1]ratio_ins!AM:AM,MATCH('001_population_health_zone_zs'!$B$2,[1]ratio_ins!$B:$B,0))*$G78*INDEX([1]ratio_ins!$D:$D,MATCH('001_population_health_zone_zs'!$B78,[1]ratio_ins!$B:$B,0))</f>
        <v>3162.337712</v>
      </c>
      <c r="AQ78" s="10">
        <f>INDEX([1]ratio_ins!AN:AN,MATCH('001_population_health_zone_zs'!$B$2,[1]ratio_ins!$B:$B,0))*$G78*INDEX([1]ratio_ins!$D:$D,MATCH('001_population_health_zone_zs'!$B78,[1]ratio_ins!$B:$B,0))</f>
        <v>2508.0609440000003</v>
      </c>
      <c r="AR78" s="10">
        <f>INDEX([1]ratio_ins!AO:AO,MATCH('001_population_health_zone_zs'!$B$2,[1]ratio_ins!$B:$B,0))*$G78*INDEX([1]ratio_ins!$D:$D,MATCH('001_population_health_zone_zs'!$B78,[1]ratio_ins!$B:$B,0))</f>
        <v>1199.5074079999999</v>
      </c>
      <c r="AS78" s="13">
        <f>INDEX([1]ratio_ins!AP:AP,MATCH('001_population_health_zone_zs'!$B$2,[1]ratio_ins!$B:$B,0))*$G78*INDEX([1]ratio_ins!$D:$D,MATCH('001_population_health_zone_zs'!$B78,[1]ratio_ins!$B:$B,0))</f>
        <v>44621.675577599999</v>
      </c>
      <c r="AT78" s="10">
        <f>INDEX([1]ratio_ins!AQ:AQ,MATCH('001_population_health_zone_zs'!$B$2,[1]ratio_ins!$B:$B,0))*$G78*INDEX([1]ratio_ins!$D:$D,MATCH('001_population_health_zone_zs'!$B78,[1]ratio_ins!$B:$B,0))</f>
        <v>1090.46128</v>
      </c>
      <c r="AU78" s="10">
        <f>INDEX([1]ratio_ins!AR:AR,MATCH('001_population_health_zone_zs'!$B$2,[1]ratio_ins!$B:$B,0))*$G78*INDEX([1]ratio_ins!$D:$D,MATCH('001_population_health_zone_zs'!$B78,[1]ratio_ins!$B:$B,0))</f>
        <v>654.27676800000006</v>
      </c>
      <c r="AV78" s="10">
        <f>INDEX([1]ratio_ins!AS:AS,MATCH('001_population_health_zone_zs'!$B$2,[1]ratio_ins!$B:$B,0))*$G78*INDEX([1]ratio_ins!$D:$D,MATCH('001_population_health_zone_zs'!$B78,[1]ratio_ins!$B:$B,0))</f>
        <v>327.13838400000003</v>
      </c>
      <c r="AW78" s="10">
        <f>INDEX([1]ratio_ins!AT:AT,MATCH('001_population_health_zone_zs'!$B$2,[1]ratio_ins!$B:$B,0))*$G78*INDEX([1]ratio_ins!$D:$D,MATCH('001_population_health_zone_zs'!$B78,[1]ratio_ins!$B:$B,0))</f>
        <v>218.09225600000002</v>
      </c>
      <c r="AX78" s="13">
        <f>INDEX([1]ratio_ins!AU:AU,MATCH('001_population_health_zone_zs'!$B$2,[1]ratio_ins!$B:$B,0))*$G78*INDEX([1]ratio_ins!$D:$D,MATCH('001_population_health_zone_zs'!$B78,[1]ratio_ins!$B:$B,0))</f>
        <v>2289.9686879999995</v>
      </c>
      <c r="AY78" s="14">
        <f t="shared" si="7"/>
        <v>109046.128</v>
      </c>
      <c r="AZ78" s="15">
        <f t="shared" si="8"/>
        <v>212152</v>
      </c>
      <c r="BA78" s="16">
        <v>204776.22364651799</v>
      </c>
      <c r="BB78" s="10">
        <f t="shared" si="9"/>
        <v>46344.604400000004</v>
      </c>
      <c r="BC78" s="17">
        <f t="shared" si="10"/>
        <v>0.21845000000000001</v>
      </c>
      <c r="BD78" s="10">
        <f t="shared" si="11"/>
        <v>42995.148623999994</v>
      </c>
    </row>
    <row r="79" spans="1:56" x14ac:dyDescent="0.25">
      <c r="A79" s="8" t="s">
        <v>161</v>
      </c>
      <c r="B79" s="8" t="s">
        <v>162</v>
      </c>
      <c r="C79" s="8" t="s">
        <v>182</v>
      </c>
      <c r="D79" s="8" t="s">
        <v>183</v>
      </c>
      <c r="E79" s="8" t="s">
        <v>190</v>
      </c>
      <c r="F79" s="8" t="s">
        <v>191</v>
      </c>
      <c r="G79" s="9">
        <v>153855</v>
      </c>
      <c r="H79" s="10">
        <f>INDEX([1]ratio_ins!F:F,MATCH('001_population_health_zone_zs'!$B$2,[1]ratio_ins!$B:$B,0))*$G79*INDEX([1]ratio_ins!$C:$C,MATCH('001_population_health_zone_zs'!$B79,[1]ratio_ins!$B:$B,0))</f>
        <v>15627.66777</v>
      </c>
      <c r="I79" s="10">
        <f>INDEX([1]ratio_ins!G:G,MATCH('001_population_health_zone_zs'!$B$2,[1]ratio_ins!$B:$B,0))*$G79*INDEX([1]ratio_ins!$C:$C,MATCH('001_population_health_zone_zs'!$B79,[1]ratio_ins!$B:$B,0))</f>
        <v>12786.27363</v>
      </c>
      <c r="J79" s="10">
        <f>INDEX([1]ratio_ins!H:H,MATCH('001_population_health_zone_zs'!$B$2,[1]ratio_ins!$B:$B,0))*$G79*INDEX([1]ratio_ins!$C:$C,MATCH('001_population_health_zone_zs'!$B79,[1]ratio_ins!$B:$B,0))</f>
        <v>10094.426550000002</v>
      </c>
      <c r="K79" s="10">
        <f>INDEX([1]ratio_ins!I:I,MATCH('001_population_health_zone_zs'!$B$2,[1]ratio_ins!$B:$B,0))*$G79*INDEX([1]ratio_ins!$C:$C,MATCH('001_population_health_zone_zs'!$B79,[1]ratio_ins!$B:$B,0))</f>
        <v>6206.2029899999998</v>
      </c>
      <c r="L79" s="10">
        <f>INDEX([1]ratio_ins!J:J,MATCH('001_population_health_zone_zs'!$B$2,[1]ratio_ins!$B:$B,0))*$G79*INDEX([1]ratio_ins!$C:$C,MATCH('001_population_health_zone_zs'!$B79,[1]ratio_ins!$B:$B,0))</f>
        <v>3723.7217939999996</v>
      </c>
      <c r="M79" s="11">
        <f>INDEX([1]ratio_ins!K:K,MATCH('001_population_health_zone_zs'!$B$2,[1]ratio_ins!$B:$B,0))*$G79*INDEX([1]ratio_ins!$C:$C,MATCH('001_population_health_zone_zs'!$B79,[1]ratio_ins!$B:$B,0))</f>
        <v>42232.089743999997</v>
      </c>
      <c r="N79" s="10">
        <f>INDEX([1]ratio_ins!L:L,MATCH('001_population_health_zone_zs'!$B$2,[1]ratio_ins!$B:$B,0))*$G79*INDEX([1]ratio_ins!$C:$C,MATCH('001_population_health_zone_zs'!$B79,[1]ratio_ins!$B:$B,0))</f>
        <v>2482.4811959999997</v>
      </c>
      <c r="O79" s="10">
        <f>INDEX([1]ratio_ins!M:M,MATCH('001_population_health_zone_zs'!$B$2,[1]ratio_ins!$B:$B,0))*$G79*INDEX([1]ratio_ins!$C:$C,MATCH('001_population_health_zone_zs'!$B79,[1]ratio_ins!$B:$B,0))</f>
        <v>5383.6941600000009</v>
      </c>
      <c r="P79" s="10">
        <f>INDEX([1]ratio_ins!N:N,MATCH('001_population_health_zone_zs'!$B$2,[1]ratio_ins!$B:$B,0))*$G79*INDEX([1]ratio_ins!$C:$C,MATCH('001_population_health_zone_zs'!$B79,[1]ratio_ins!$B:$B,0))</f>
        <v>4860.27945</v>
      </c>
      <c r="Q79" s="10">
        <f>INDEX([1]ratio_ins!O:O,MATCH('001_population_health_zone_zs'!$B$2,[1]ratio_ins!$B:$B,0))*$G79*INDEX([1]ratio_ins!$C:$C,MATCH('001_population_health_zone_zs'!$B79,[1]ratio_ins!$B:$B,0))</f>
        <v>4336.86474</v>
      </c>
      <c r="R79" s="10">
        <f>INDEX([1]ratio_ins!P:P,MATCH('001_population_health_zone_zs'!$B$2,[1]ratio_ins!$B:$B,0))*$G79*INDEX([1]ratio_ins!$C:$C,MATCH('001_population_health_zone_zs'!$B79,[1]ratio_ins!$B:$B,0))</f>
        <v>4262.0912100000005</v>
      </c>
      <c r="S79" s="10">
        <f>INDEX([1]ratio_ins!Q:Q,MATCH('001_population_health_zone_zs'!$B$2,[1]ratio_ins!$B:$B,0))*$G79*INDEX([1]ratio_ins!$C:$C,MATCH('001_population_health_zone_zs'!$B79,[1]ratio_ins!$B:$B,0))</f>
        <v>3589.1294399999997</v>
      </c>
      <c r="T79" s="10">
        <f>INDEX([1]ratio_ins!R:R,MATCH('001_population_health_zone_zs'!$B$2,[1]ratio_ins!$B:$B,0))*$G79*INDEX([1]ratio_ins!$C:$C,MATCH('001_population_health_zone_zs'!$B79,[1]ratio_ins!$B:$B,0))</f>
        <v>2542.3000200000001</v>
      </c>
      <c r="U79" s="10">
        <f>INDEX([1]ratio_ins!S:S,MATCH('001_population_health_zone_zs'!$B$2,[1]ratio_ins!$B:$B,0))*$G79*INDEX([1]ratio_ins!$C:$C,MATCH('001_population_health_zone_zs'!$B79,[1]ratio_ins!$B:$B,0))</f>
        <v>2018.8853099999999</v>
      </c>
      <c r="V79" s="10">
        <f>INDEX([1]ratio_ins!T:T,MATCH('001_population_health_zone_zs'!$B$2,[1]ratio_ins!$B:$B,0))*$G79*INDEX([1]ratio_ins!$C:$C,MATCH('001_population_health_zone_zs'!$B79,[1]ratio_ins!$B:$B,0))</f>
        <v>1121.60295</v>
      </c>
      <c r="W79" s="11">
        <f>INDEX([1]ratio_ins!U:U,MATCH('001_population_health_zone_zs'!$B$2,[1]ratio_ins!$B:$B,0))*$G79*INDEX([1]ratio_ins!$C:$C,MATCH('001_population_health_zone_zs'!$B79,[1]ratio_ins!$B:$B,0))</f>
        <v>30597.328475999999</v>
      </c>
      <c r="X79" s="10">
        <f>INDEX([1]ratio_ins!V:V,MATCH('001_population_health_zone_zs'!$B$2,[1]ratio_ins!$B:$B,0))*$G79*INDEX([1]ratio_ins!$C:$C,MATCH('001_population_health_zone_zs'!$B79,[1]ratio_ins!$B:$B,0))</f>
        <v>897.28235999999993</v>
      </c>
      <c r="Y79" s="10">
        <f>INDEX([1]ratio_ins!W:W,MATCH('001_population_health_zone_zs'!$B$2,[1]ratio_ins!$B:$B,0))*$G79*INDEX([1]ratio_ins!$C:$C,MATCH('001_population_health_zone_zs'!$B79,[1]ratio_ins!$B:$B,0))</f>
        <v>598.18823999999995</v>
      </c>
      <c r="Z79" s="10">
        <f>INDEX([1]ratio_ins!X:X,MATCH('001_population_health_zone_zs'!$B$2,[1]ratio_ins!$B:$B,0))*$G79*INDEX([1]ratio_ins!$C:$C,MATCH('001_population_health_zone_zs'!$B79,[1]ratio_ins!$B:$B,0))</f>
        <v>299.09411999999998</v>
      </c>
      <c r="AA79" s="10">
        <f>INDEX([1]ratio_ins!Y:Y,MATCH('001_population_health_zone_zs'!$B$2,[1]ratio_ins!$B:$B,0))*$G79*INDEX([1]ratio_ins!$C:$C,MATCH('001_population_health_zone_zs'!$B79,[1]ratio_ins!$B:$B,0))</f>
        <v>149.54705999999999</v>
      </c>
      <c r="AB79" s="11">
        <f>INDEX([1]ratio_ins!Z:Z,MATCH('001_population_health_zone_zs'!$B$2,[1]ratio_ins!$B:$B,0))*$G79*INDEX([1]ratio_ins!$C:$C,MATCH('001_population_health_zone_zs'!$B79,[1]ratio_ins!$B:$B,0))</f>
        <v>1944.1117800000002</v>
      </c>
      <c r="AC79" s="12">
        <f t="shared" si="6"/>
        <v>74773.53</v>
      </c>
      <c r="AD79" s="10">
        <f>INDEX([1]ratio_ins!AA:AA,MATCH('001_population_health_zone_zs'!$B$2,[1]ratio_ins!$B:$B,0))*$G79*INDEX([1]ratio_ins!$D:$D,MATCH('001_population_health_zone_zs'!$B79,[1]ratio_ins!$B:$B,0))</f>
        <v>16607.108700000001</v>
      </c>
      <c r="AE79" s="10">
        <f>INDEX([1]ratio_ins!AB:AB,MATCH('001_population_health_zone_zs'!$B$2,[1]ratio_ins!$B:$B,0))*$G79*INDEX([1]ratio_ins!$D:$D,MATCH('001_population_health_zone_zs'!$B79,[1]ratio_ins!$B:$B,0))</f>
        <v>13681.09431</v>
      </c>
      <c r="AF79" s="10">
        <f>INDEX([1]ratio_ins!AC:AC,MATCH('001_population_health_zone_zs'!$B$2,[1]ratio_ins!$B:$B,0))*$G79*INDEX([1]ratio_ins!$D:$D,MATCH('001_population_health_zone_zs'!$B79,[1]ratio_ins!$B:$B,0))</f>
        <v>10834.161389999999</v>
      </c>
      <c r="AG79" s="10">
        <f>INDEX([1]ratio_ins!AD:AD,MATCH('001_population_health_zone_zs'!$B$2,[1]ratio_ins!$B:$B,0))*$G79*INDEX([1]ratio_ins!$D:$D,MATCH('001_population_health_zone_zs'!$B79,[1]ratio_ins!$B:$B,0))</f>
        <v>6563.7620100000004</v>
      </c>
      <c r="AH79" s="10">
        <f>INDEX([1]ratio_ins!AE:AE,MATCH('001_population_health_zone_zs'!$B$2,[1]ratio_ins!$B:$B,0))*$G79*INDEX([1]ratio_ins!$D:$D,MATCH('001_population_health_zone_zs'!$B79,[1]ratio_ins!$B:$B,0))</f>
        <v>3938.2572059999998</v>
      </c>
      <c r="AI79" s="13">
        <f>INDEX([1]ratio_ins!AF:AF,MATCH('001_population_health_zone_zs'!$B$2,[1]ratio_ins!$B:$B,0))*$G79*INDEX([1]ratio_ins!$D:$D,MATCH('001_population_health_zone_zs'!$B79,[1]ratio_ins!$B:$B,0))</f>
        <v>45060.621606000001</v>
      </c>
      <c r="AJ79" s="10">
        <f>INDEX([1]ratio_ins!AG:AG,MATCH('001_population_health_zone_zs'!$B$2,[1]ratio_ins!$B:$B,0))*$G79*INDEX([1]ratio_ins!$D:$D,MATCH('001_population_health_zone_zs'!$B79,[1]ratio_ins!$B:$B,0))</f>
        <v>2625.5048040000001</v>
      </c>
      <c r="AK79" s="10">
        <f>INDEX([1]ratio_ins!AH:AH,MATCH('001_population_health_zone_zs'!$B$2,[1]ratio_ins!$B:$B,0))*$G79*INDEX([1]ratio_ins!$D:$D,MATCH('001_population_health_zone_zs'!$B79,[1]ratio_ins!$B:$B,0))</f>
        <v>5852.0287800000015</v>
      </c>
      <c r="AL79" s="10">
        <f>INDEX([1]ratio_ins!AI:AI,MATCH('001_population_health_zone_zs'!$B$2,[1]ratio_ins!$B:$B,0))*$G79*INDEX([1]ratio_ins!$D:$D,MATCH('001_population_health_zone_zs'!$B79,[1]ratio_ins!$B:$B,0))</f>
        <v>5535.7029000000002</v>
      </c>
      <c r="AM79" s="10">
        <f>INDEX([1]ratio_ins!AJ:AJ,MATCH('001_population_health_zone_zs'!$B$2,[1]ratio_ins!$B:$B,0))*$G79*INDEX([1]ratio_ins!$D:$D,MATCH('001_population_health_zone_zs'!$B79,[1]ratio_ins!$B:$B,0))</f>
        <v>5061.2140799999997</v>
      </c>
      <c r="AN79" s="10">
        <f>INDEX([1]ratio_ins!AK:AK,MATCH('001_population_health_zone_zs'!$B$2,[1]ratio_ins!$B:$B,0))*$G79*INDEX([1]ratio_ins!$D:$D,MATCH('001_population_health_zone_zs'!$B79,[1]ratio_ins!$B:$B,0))</f>
        <v>4744.8881999999994</v>
      </c>
      <c r="AO79" s="10">
        <f>INDEX([1]ratio_ins!AL:AL,MATCH('001_population_health_zone_zs'!$B$2,[1]ratio_ins!$B:$B,0))*$G79*INDEX([1]ratio_ins!$D:$D,MATCH('001_population_health_zone_zs'!$B79,[1]ratio_ins!$B:$B,0))</f>
        <v>3558.66615</v>
      </c>
      <c r="AP79" s="10">
        <f>INDEX([1]ratio_ins!AM:AM,MATCH('001_population_health_zone_zs'!$B$2,[1]ratio_ins!$B:$B,0))*$G79*INDEX([1]ratio_ins!$D:$D,MATCH('001_population_health_zone_zs'!$B79,[1]ratio_ins!$B:$B,0))</f>
        <v>2293.3626300000001</v>
      </c>
      <c r="AQ79" s="10">
        <f>INDEX([1]ratio_ins!AN:AN,MATCH('001_population_health_zone_zs'!$B$2,[1]ratio_ins!$B:$B,0))*$G79*INDEX([1]ratio_ins!$D:$D,MATCH('001_population_health_zone_zs'!$B79,[1]ratio_ins!$B:$B,0))</f>
        <v>1818.87381</v>
      </c>
      <c r="AR79" s="10">
        <f>INDEX([1]ratio_ins!AO:AO,MATCH('001_population_health_zone_zs'!$B$2,[1]ratio_ins!$B:$B,0))*$G79*INDEX([1]ratio_ins!$D:$D,MATCH('001_population_health_zone_zs'!$B79,[1]ratio_ins!$B:$B,0))</f>
        <v>869.8961700000001</v>
      </c>
      <c r="AS79" s="13">
        <f>INDEX([1]ratio_ins!AP:AP,MATCH('001_population_health_zone_zs'!$B$2,[1]ratio_ins!$B:$B,0))*$G79*INDEX([1]ratio_ins!$D:$D,MATCH('001_population_health_zone_zs'!$B79,[1]ratio_ins!$B:$B,0))</f>
        <v>32360.137524000002</v>
      </c>
      <c r="AT79" s="10">
        <f>INDEX([1]ratio_ins!AQ:AQ,MATCH('001_population_health_zone_zs'!$B$2,[1]ratio_ins!$B:$B,0))*$G79*INDEX([1]ratio_ins!$D:$D,MATCH('001_population_health_zone_zs'!$B79,[1]ratio_ins!$B:$B,0))</f>
        <v>790.81470000000002</v>
      </c>
      <c r="AU79" s="10">
        <f>INDEX([1]ratio_ins!AR:AR,MATCH('001_population_health_zone_zs'!$B$2,[1]ratio_ins!$B:$B,0))*$G79*INDEX([1]ratio_ins!$D:$D,MATCH('001_population_health_zone_zs'!$B79,[1]ratio_ins!$B:$B,0))</f>
        <v>474.48882000000003</v>
      </c>
      <c r="AV79" s="10">
        <f>INDEX([1]ratio_ins!AS:AS,MATCH('001_population_health_zone_zs'!$B$2,[1]ratio_ins!$B:$B,0))*$G79*INDEX([1]ratio_ins!$D:$D,MATCH('001_population_health_zone_zs'!$B79,[1]ratio_ins!$B:$B,0))</f>
        <v>237.24441000000002</v>
      </c>
      <c r="AW79" s="10">
        <f>INDEX([1]ratio_ins!AT:AT,MATCH('001_population_health_zone_zs'!$B$2,[1]ratio_ins!$B:$B,0))*$G79*INDEX([1]ratio_ins!$D:$D,MATCH('001_population_health_zone_zs'!$B79,[1]ratio_ins!$B:$B,0))</f>
        <v>158.16293999999999</v>
      </c>
      <c r="AX79" s="13">
        <f>INDEX([1]ratio_ins!AU:AU,MATCH('001_population_health_zone_zs'!$B$2,[1]ratio_ins!$B:$B,0))*$G79*INDEX([1]ratio_ins!$D:$D,MATCH('001_population_health_zone_zs'!$B79,[1]ratio_ins!$B:$B,0))</f>
        <v>1660.7108699999997</v>
      </c>
      <c r="AY79" s="14">
        <f t="shared" si="7"/>
        <v>79081.47</v>
      </c>
      <c r="AZ79" s="15">
        <f t="shared" si="8"/>
        <v>153855</v>
      </c>
      <c r="BA79" s="16">
        <v>148505.71553194177</v>
      </c>
      <c r="BB79" s="10">
        <f t="shared" si="9"/>
        <v>33609.624750000003</v>
      </c>
      <c r="BC79" s="17">
        <f t="shared" si="10"/>
        <v>0.21845000000000001</v>
      </c>
      <c r="BD79" s="10">
        <f t="shared" si="11"/>
        <v>31180.562010000001</v>
      </c>
    </row>
    <row r="80" spans="1:56" x14ac:dyDescent="0.25">
      <c r="A80" s="8" t="s">
        <v>161</v>
      </c>
      <c r="B80" s="8" t="s">
        <v>162</v>
      </c>
      <c r="C80" s="8" t="s">
        <v>182</v>
      </c>
      <c r="D80" s="8" t="s">
        <v>183</v>
      </c>
      <c r="E80" s="8" t="s">
        <v>192</v>
      </c>
      <c r="F80" s="8" t="s">
        <v>193</v>
      </c>
      <c r="G80" s="9">
        <v>138246</v>
      </c>
      <c r="H80" s="10">
        <f>INDEX([1]ratio_ins!F:F,MATCH('001_population_health_zone_zs'!$B$2,[1]ratio_ins!$B:$B,0))*$G80*INDEX([1]ratio_ins!$C:$C,MATCH('001_population_health_zone_zs'!$B80,[1]ratio_ins!$B:$B,0))</f>
        <v>14042.199203999999</v>
      </c>
      <c r="I80" s="10">
        <f>INDEX([1]ratio_ins!G:G,MATCH('001_population_health_zone_zs'!$B$2,[1]ratio_ins!$B:$B,0))*$G80*INDEX([1]ratio_ins!$C:$C,MATCH('001_population_health_zone_zs'!$B80,[1]ratio_ins!$B:$B,0))</f>
        <v>11489.072076</v>
      </c>
      <c r="J80" s="10">
        <f>INDEX([1]ratio_ins!H:H,MATCH('001_population_health_zone_zs'!$B$2,[1]ratio_ins!$B:$B,0))*$G80*INDEX([1]ratio_ins!$C:$C,MATCH('001_population_health_zone_zs'!$B80,[1]ratio_ins!$B:$B,0))</f>
        <v>9070.3200600000018</v>
      </c>
      <c r="K80" s="10">
        <f>INDEX([1]ratio_ins!I:I,MATCH('001_population_health_zone_zs'!$B$2,[1]ratio_ins!$B:$B,0))*$G80*INDEX([1]ratio_ins!$C:$C,MATCH('001_population_health_zone_zs'!$B80,[1]ratio_ins!$B:$B,0))</f>
        <v>5576.567148000001</v>
      </c>
      <c r="L80" s="10">
        <f>INDEX([1]ratio_ins!J:J,MATCH('001_population_health_zone_zs'!$B$2,[1]ratio_ins!$B:$B,0))*$G80*INDEX([1]ratio_ins!$C:$C,MATCH('001_population_health_zone_zs'!$B80,[1]ratio_ins!$B:$B,0))</f>
        <v>3345.9402887999995</v>
      </c>
      <c r="M80" s="11">
        <f>INDEX([1]ratio_ins!K:K,MATCH('001_population_health_zone_zs'!$B$2,[1]ratio_ins!$B:$B,0))*$G80*INDEX([1]ratio_ins!$C:$C,MATCH('001_population_health_zone_zs'!$B80,[1]ratio_ins!$B:$B,0))</f>
        <v>37947.531628799996</v>
      </c>
      <c r="N80" s="10">
        <f>INDEX([1]ratio_ins!L:L,MATCH('001_population_health_zone_zs'!$B$2,[1]ratio_ins!$B:$B,0))*$G80*INDEX([1]ratio_ins!$C:$C,MATCH('001_population_health_zone_zs'!$B80,[1]ratio_ins!$B:$B,0))</f>
        <v>2230.6268592000001</v>
      </c>
      <c r="O80" s="10">
        <f>INDEX([1]ratio_ins!M:M,MATCH('001_population_health_zone_zs'!$B$2,[1]ratio_ins!$B:$B,0))*$G80*INDEX([1]ratio_ins!$C:$C,MATCH('001_population_health_zone_zs'!$B80,[1]ratio_ins!$B:$B,0))</f>
        <v>4837.5040320000007</v>
      </c>
      <c r="P80" s="10">
        <f>INDEX([1]ratio_ins!N:N,MATCH('001_population_health_zone_zs'!$B$2,[1]ratio_ins!$B:$B,0))*$G80*INDEX([1]ratio_ins!$C:$C,MATCH('001_population_health_zone_zs'!$B80,[1]ratio_ins!$B:$B,0))</f>
        <v>4367.1911399999999</v>
      </c>
      <c r="Q80" s="10">
        <f>INDEX([1]ratio_ins!O:O,MATCH('001_population_health_zone_zs'!$B$2,[1]ratio_ins!$B:$B,0))*$G80*INDEX([1]ratio_ins!$C:$C,MATCH('001_population_health_zone_zs'!$B80,[1]ratio_ins!$B:$B,0))</f>
        <v>3896.8782479999995</v>
      </c>
      <c r="R80" s="10">
        <f>INDEX([1]ratio_ins!P:P,MATCH('001_population_health_zone_zs'!$B$2,[1]ratio_ins!$B:$B,0))*$G80*INDEX([1]ratio_ins!$C:$C,MATCH('001_population_health_zone_zs'!$B80,[1]ratio_ins!$B:$B,0))</f>
        <v>3829.6906919999997</v>
      </c>
      <c r="S80" s="10">
        <f>INDEX([1]ratio_ins!Q:Q,MATCH('001_population_health_zone_zs'!$B$2,[1]ratio_ins!$B:$B,0))*$G80*INDEX([1]ratio_ins!$C:$C,MATCH('001_population_health_zone_zs'!$B80,[1]ratio_ins!$B:$B,0))</f>
        <v>3225.002688</v>
      </c>
      <c r="T80" s="10">
        <f>INDEX([1]ratio_ins!R:R,MATCH('001_population_health_zone_zs'!$B$2,[1]ratio_ins!$B:$B,0))*$G80*INDEX([1]ratio_ins!$C:$C,MATCH('001_population_health_zone_zs'!$B80,[1]ratio_ins!$B:$B,0))</f>
        <v>2284.3769040000002</v>
      </c>
      <c r="U80" s="10">
        <f>INDEX([1]ratio_ins!S:S,MATCH('001_population_health_zone_zs'!$B$2,[1]ratio_ins!$B:$B,0))*$G80*INDEX([1]ratio_ins!$C:$C,MATCH('001_population_health_zone_zs'!$B80,[1]ratio_ins!$B:$B,0))</f>
        <v>1814.064012</v>
      </c>
      <c r="V80" s="10">
        <f>INDEX([1]ratio_ins!T:T,MATCH('001_population_health_zone_zs'!$B$2,[1]ratio_ins!$B:$B,0))*$G80*INDEX([1]ratio_ins!$C:$C,MATCH('001_population_health_zone_zs'!$B80,[1]ratio_ins!$B:$B,0))</f>
        <v>1007.81334</v>
      </c>
      <c r="W80" s="11">
        <f>INDEX([1]ratio_ins!U:U,MATCH('001_population_health_zone_zs'!$B$2,[1]ratio_ins!$B:$B,0))*$G80*INDEX([1]ratio_ins!$C:$C,MATCH('001_population_health_zone_zs'!$B80,[1]ratio_ins!$B:$B,0))</f>
        <v>27493.147915199999</v>
      </c>
      <c r="X80" s="10">
        <f>INDEX([1]ratio_ins!V:V,MATCH('001_population_health_zone_zs'!$B$2,[1]ratio_ins!$B:$B,0))*$G80*INDEX([1]ratio_ins!$C:$C,MATCH('001_population_health_zone_zs'!$B80,[1]ratio_ins!$B:$B,0))</f>
        <v>806.25067200000001</v>
      </c>
      <c r="Y80" s="10">
        <f>INDEX([1]ratio_ins!W:W,MATCH('001_population_health_zone_zs'!$B$2,[1]ratio_ins!$B:$B,0))*$G80*INDEX([1]ratio_ins!$C:$C,MATCH('001_population_health_zone_zs'!$B80,[1]ratio_ins!$B:$B,0))</f>
        <v>537.50044800000001</v>
      </c>
      <c r="Z80" s="10">
        <f>INDEX([1]ratio_ins!X:X,MATCH('001_population_health_zone_zs'!$B$2,[1]ratio_ins!$B:$B,0))*$G80*INDEX([1]ratio_ins!$C:$C,MATCH('001_population_health_zone_zs'!$B80,[1]ratio_ins!$B:$B,0))</f>
        <v>268.750224</v>
      </c>
      <c r="AA80" s="10">
        <f>INDEX([1]ratio_ins!Y:Y,MATCH('001_population_health_zone_zs'!$B$2,[1]ratio_ins!$B:$B,0))*$G80*INDEX([1]ratio_ins!$C:$C,MATCH('001_population_health_zone_zs'!$B80,[1]ratio_ins!$B:$B,0))</f>
        <v>134.375112</v>
      </c>
      <c r="AB80" s="11">
        <f>INDEX([1]ratio_ins!Z:Z,MATCH('001_population_health_zone_zs'!$B$2,[1]ratio_ins!$B:$B,0))*$G80*INDEX([1]ratio_ins!$C:$C,MATCH('001_population_health_zone_zs'!$B80,[1]ratio_ins!$B:$B,0))</f>
        <v>1746.876456</v>
      </c>
      <c r="AC80" s="12">
        <f t="shared" si="6"/>
        <v>67187.555999999997</v>
      </c>
      <c r="AD80" s="10">
        <f>INDEX([1]ratio_ins!AA:AA,MATCH('001_population_health_zone_zs'!$B$2,[1]ratio_ins!$B:$B,0))*$G80*INDEX([1]ratio_ins!$D:$D,MATCH('001_population_health_zone_zs'!$B80,[1]ratio_ins!$B:$B,0))</f>
        <v>14922.27324</v>
      </c>
      <c r="AE80" s="10">
        <f>INDEX([1]ratio_ins!AB:AB,MATCH('001_population_health_zone_zs'!$B$2,[1]ratio_ins!$B:$B,0))*$G80*INDEX([1]ratio_ins!$D:$D,MATCH('001_population_health_zone_zs'!$B80,[1]ratio_ins!$B:$B,0))</f>
        <v>12293.110812000001</v>
      </c>
      <c r="AF80" s="10">
        <f>INDEX([1]ratio_ins!AC:AC,MATCH('001_population_health_zone_zs'!$B$2,[1]ratio_ins!$B:$B,0))*$G80*INDEX([1]ratio_ins!$D:$D,MATCH('001_population_health_zone_zs'!$B80,[1]ratio_ins!$B:$B,0))</f>
        <v>9735.0068279999996</v>
      </c>
      <c r="AG80" s="10">
        <f>INDEX([1]ratio_ins!AD:AD,MATCH('001_population_health_zone_zs'!$B$2,[1]ratio_ins!$B:$B,0))*$G80*INDEX([1]ratio_ins!$D:$D,MATCH('001_population_health_zone_zs'!$B80,[1]ratio_ins!$B:$B,0))</f>
        <v>5897.8508520000005</v>
      </c>
      <c r="AH80" s="10">
        <f>INDEX([1]ratio_ins!AE:AE,MATCH('001_population_health_zone_zs'!$B$2,[1]ratio_ins!$B:$B,0))*$G80*INDEX([1]ratio_ins!$D:$D,MATCH('001_population_health_zone_zs'!$B80,[1]ratio_ins!$B:$B,0))</f>
        <v>3538.7105111999999</v>
      </c>
      <c r="AI80" s="13">
        <f>INDEX([1]ratio_ins!AF:AF,MATCH('001_population_health_zone_zs'!$B$2,[1]ratio_ins!$B:$B,0))*$G80*INDEX([1]ratio_ins!$D:$D,MATCH('001_population_health_zone_zs'!$B80,[1]ratio_ins!$B:$B,0))</f>
        <v>40489.101391199998</v>
      </c>
      <c r="AJ80" s="10">
        <f>INDEX([1]ratio_ins!AG:AG,MATCH('001_population_health_zone_zs'!$B$2,[1]ratio_ins!$B:$B,0))*$G80*INDEX([1]ratio_ins!$D:$D,MATCH('001_population_health_zone_zs'!$B80,[1]ratio_ins!$B:$B,0))</f>
        <v>2359.1403408000001</v>
      </c>
      <c r="AK80" s="10">
        <f>INDEX([1]ratio_ins!AH:AH,MATCH('001_population_health_zone_zs'!$B$2,[1]ratio_ins!$B:$B,0))*$G80*INDEX([1]ratio_ins!$D:$D,MATCH('001_population_health_zone_zs'!$B80,[1]ratio_ins!$B:$B,0))</f>
        <v>5258.3248560000011</v>
      </c>
      <c r="AL80" s="10">
        <f>INDEX([1]ratio_ins!AI:AI,MATCH('001_population_health_zone_zs'!$B$2,[1]ratio_ins!$B:$B,0))*$G80*INDEX([1]ratio_ins!$D:$D,MATCH('001_population_health_zone_zs'!$B80,[1]ratio_ins!$B:$B,0))</f>
        <v>4974.0910800000011</v>
      </c>
      <c r="AM80" s="10">
        <f>INDEX([1]ratio_ins!AJ:AJ,MATCH('001_population_health_zone_zs'!$B$2,[1]ratio_ins!$B:$B,0))*$G80*INDEX([1]ratio_ins!$D:$D,MATCH('001_population_health_zone_zs'!$B80,[1]ratio_ins!$B:$B,0))</f>
        <v>4547.7404160000006</v>
      </c>
      <c r="AN80" s="10">
        <f>INDEX([1]ratio_ins!AK:AK,MATCH('001_population_health_zone_zs'!$B$2,[1]ratio_ins!$B:$B,0))*$G80*INDEX([1]ratio_ins!$D:$D,MATCH('001_population_health_zone_zs'!$B80,[1]ratio_ins!$B:$B,0))</f>
        <v>4263.5066400000005</v>
      </c>
      <c r="AO80" s="10">
        <f>INDEX([1]ratio_ins!AL:AL,MATCH('001_population_health_zone_zs'!$B$2,[1]ratio_ins!$B:$B,0))*$G80*INDEX([1]ratio_ins!$D:$D,MATCH('001_population_health_zone_zs'!$B80,[1]ratio_ins!$B:$B,0))</f>
        <v>3197.6299799999997</v>
      </c>
      <c r="AP80" s="10">
        <f>INDEX([1]ratio_ins!AM:AM,MATCH('001_population_health_zone_zs'!$B$2,[1]ratio_ins!$B:$B,0))*$G80*INDEX([1]ratio_ins!$D:$D,MATCH('001_population_health_zone_zs'!$B80,[1]ratio_ins!$B:$B,0))</f>
        <v>2060.694876</v>
      </c>
      <c r="AQ80" s="10">
        <f>INDEX([1]ratio_ins!AN:AN,MATCH('001_population_health_zone_zs'!$B$2,[1]ratio_ins!$B:$B,0))*$G80*INDEX([1]ratio_ins!$D:$D,MATCH('001_population_health_zone_zs'!$B80,[1]ratio_ins!$B:$B,0))</f>
        <v>1634.344212</v>
      </c>
      <c r="AR80" s="10">
        <f>INDEX([1]ratio_ins!AO:AO,MATCH('001_population_health_zone_zs'!$B$2,[1]ratio_ins!$B:$B,0))*$G80*INDEX([1]ratio_ins!$D:$D,MATCH('001_population_health_zone_zs'!$B80,[1]ratio_ins!$B:$B,0))</f>
        <v>781.64288400000009</v>
      </c>
      <c r="AS80" s="13">
        <f>INDEX([1]ratio_ins!AP:AP,MATCH('001_population_health_zone_zs'!$B$2,[1]ratio_ins!$B:$B,0))*$G80*INDEX([1]ratio_ins!$D:$D,MATCH('001_population_health_zone_zs'!$B80,[1]ratio_ins!$B:$B,0))</f>
        <v>29077.115284800002</v>
      </c>
      <c r="AT80" s="10">
        <f>INDEX([1]ratio_ins!AQ:AQ,MATCH('001_population_health_zone_zs'!$B$2,[1]ratio_ins!$B:$B,0))*$G80*INDEX([1]ratio_ins!$D:$D,MATCH('001_population_health_zone_zs'!$B80,[1]ratio_ins!$B:$B,0))</f>
        <v>710.58444000000009</v>
      </c>
      <c r="AU80" s="10">
        <f>INDEX([1]ratio_ins!AR:AR,MATCH('001_population_health_zone_zs'!$B$2,[1]ratio_ins!$B:$B,0))*$G80*INDEX([1]ratio_ins!$D:$D,MATCH('001_population_health_zone_zs'!$B80,[1]ratio_ins!$B:$B,0))</f>
        <v>426.35066399999999</v>
      </c>
      <c r="AV80" s="10">
        <f>INDEX([1]ratio_ins!AS:AS,MATCH('001_population_health_zone_zs'!$B$2,[1]ratio_ins!$B:$B,0))*$G80*INDEX([1]ratio_ins!$D:$D,MATCH('001_population_health_zone_zs'!$B80,[1]ratio_ins!$B:$B,0))</f>
        <v>213.175332</v>
      </c>
      <c r="AW80" s="10">
        <f>INDEX([1]ratio_ins!AT:AT,MATCH('001_population_health_zone_zs'!$B$2,[1]ratio_ins!$B:$B,0))*$G80*INDEX([1]ratio_ins!$D:$D,MATCH('001_population_health_zone_zs'!$B80,[1]ratio_ins!$B:$B,0))</f>
        <v>142.11688800000002</v>
      </c>
      <c r="AX80" s="13">
        <f>INDEX([1]ratio_ins!AU:AU,MATCH('001_population_health_zone_zs'!$B$2,[1]ratio_ins!$B:$B,0))*$G80*INDEX([1]ratio_ins!$D:$D,MATCH('001_population_health_zone_zs'!$B80,[1]ratio_ins!$B:$B,0))</f>
        <v>1492.227324</v>
      </c>
      <c r="AY80" s="14">
        <f t="shared" si="7"/>
        <v>71058.444000000003</v>
      </c>
      <c r="AZ80" s="15">
        <f t="shared" si="8"/>
        <v>138246</v>
      </c>
      <c r="BA80" s="16">
        <v>133439.06907822023</v>
      </c>
      <c r="BB80" s="10">
        <f t="shared" si="9"/>
        <v>30199.8387</v>
      </c>
      <c r="BC80" s="17">
        <f t="shared" si="10"/>
        <v>0.21845000000000001</v>
      </c>
      <c r="BD80" s="10">
        <f t="shared" si="11"/>
        <v>28017.210852000004</v>
      </c>
    </row>
    <row r="81" spans="1:56" x14ac:dyDescent="0.25">
      <c r="A81" s="8" t="s">
        <v>161</v>
      </c>
      <c r="B81" s="8" t="s">
        <v>162</v>
      </c>
      <c r="C81" s="8" t="s">
        <v>194</v>
      </c>
      <c r="D81" s="8" t="s">
        <v>195</v>
      </c>
      <c r="E81" s="8" t="s">
        <v>194</v>
      </c>
      <c r="F81" s="8" t="s">
        <v>196</v>
      </c>
      <c r="G81" s="9">
        <v>227479</v>
      </c>
      <c r="H81" s="10">
        <f>INDEX([1]ratio_ins!F:F,MATCH('001_population_health_zone_zs'!$B$2,[1]ratio_ins!$B:$B,0))*$G81*INDEX([1]ratio_ins!$C:$C,MATCH('001_population_health_zone_zs'!$B81,[1]ratio_ins!$B:$B,0))</f>
        <v>23105.951945999997</v>
      </c>
      <c r="I81" s="10">
        <f>INDEX([1]ratio_ins!G:G,MATCH('001_population_health_zone_zs'!$B$2,[1]ratio_ins!$B:$B,0))*$G81*INDEX([1]ratio_ins!$C:$C,MATCH('001_population_health_zone_zs'!$B81,[1]ratio_ins!$B:$B,0))</f>
        <v>18904.869773999999</v>
      </c>
      <c r="J81" s="10">
        <f>INDEX([1]ratio_ins!H:H,MATCH('001_population_health_zone_zs'!$B$2,[1]ratio_ins!$B:$B,0))*$G81*INDEX([1]ratio_ins!$C:$C,MATCH('001_population_health_zone_zs'!$B81,[1]ratio_ins!$B:$B,0))</f>
        <v>14924.89719</v>
      </c>
      <c r="K81" s="10">
        <f>INDEX([1]ratio_ins!I:I,MATCH('001_population_health_zone_zs'!$B$2,[1]ratio_ins!$B:$B,0))*$G81*INDEX([1]ratio_ins!$C:$C,MATCH('001_population_health_zone_zs'!$B81,[1]ratio_ins!$B:$B,0))</f>
        <v>9176.0479020000002</v>
      </c>
      <c r="L81" s="10">
        <f>INDEX([1]ratio_ins!J:J,MATCH('001_population_health_zone_zs'!$B$2,[1]ratio_ins!$B:$B,0))*$G81*INDEX([1]ratio_ins!$C:$C,MATCH('001_population_health_zone_zs'!$B81,[1]ratio_ins!$B:$B,0))</f>
        <v>5505.6287412000001</v>
      </c>
      <c r="M81" s="11">
        <f>INDEX([1]ratio_ins!K:K,MATCH('001_population_health_zone_zs'!$B$2,[1]ratio_ins!$B:$B,0))*$G81*INDEX([1]ratio_ins!$C:$C,MATCH('001_population_health_zone_zs'!$B81,[1]ratio_ins!$B:$B,0))</f>
        <v>62441.347651199991</v>
      </c>
      <c r="N81" s="10">
        <f>INDEX([1]ratio_ins!L:L,MATCH('001_population_health_zone_zs'!$B$2,[1]ratio_ins!$B:$B,0))*$G81*INDEX([1]ratio_ins!$C:$C,MATCH('001_population_health_zone_zs'!$B81,[1]ratio_ins!$B:$B,0))</f>
        <v>3670.4191608000001</v>
      </c>
      <c r="O81" s="10">
        <f>INDEX([1]ratio_ins!M:M,MATCH('001_population_health_zone_zs'!$B$2,[1]ratio_ins!$B:$B,0))*$G81*INDEX([1]ratio_ins!$C:$C,MATCH('001_population_health_zone_zs'!$B81,[1]ratio_ins!$B:$B,0))</f>
        <v>7959.9451680000002</v>
      </c>
      <c r="P81" s="10">
        <f>INDEX([1]ratio_ins!N:N,MATCH('001_population_health_zone_zs'!$B$2,[1]ratio_ins!$B:$B,0))*$G81*INDEX([1]ratio_ins!$C:$C,MATCH('001_population_health_zone_zs'!$B81,[1]ratio_ins!$B:$B,0))</f>
        <v>7186.0616099999997</v>
      </c>
      <c r="Q81" s="10">
        <f>INDEX([1]ratio_ins!O:O,MATCH('001_population_health_zone_zs'!$B$2,[1]ratio_ins!$B:$B,0))*$G81*INDEX([1]ratio_ins!$C:$C,MATCH('001_population_health_zone_zs'!$B81,[1]ratio_ins!$B:$B,0))</f>
        <v>6412.1780519999993</v>
      </c>
      <c r="R81" s="10">
        <f>INDEX([1]ratio_ins!P:P,MATCH('001_population_health_zone_zs'!$B$2,[1]ratio_ins!$B:$B,0))*$G81*INDEX([1]ratio_ins!$C:$C,MATCH('001_population_health_zone_zs'!$B81,[1]ratio_ins!$B:$B,0))</f>
        <v>6301.6232579999996</v>
      </c>
      <c r="S81" s="10">
        <f>INDEX([1]ratio_ins!Q:Q,MATCH('001_population_health_zone_zs'!$B$2,[1]ratio_ins!$B:$B,0))*$G81*INDEX([1]ratio_ins!$C:$C,MATCH('001_population_health_zone_zs'!$B81,[1]ratio_ins!$B:$B,0))</f>
        <v>5306.6301119999998</v>
      </c>
      <c r="T81" s="10">
        <f>INDEX([1]ratio_ins!R:R,MATCH('001_population_health_zone_zs'!$B$2,[1]ratio_ins!$B:$B,0))*$G81*INDEX([1]ratio_ins!$C:$C,MATCH('001_population_health_zone_zs'!$B81,[1]ratio_ins!$B:$B,0))</f>
        <v>3758.8629960000003</v>
      </c>
      <c r="U81" s="10">
        <f>INDEX([1]ratio_ins!S:S,MATCH('001_population_health_zone_zs'!$B$2,[1]ratio_ins!$B:$B,0))*$G81*INDEX([1]ratio_ins!$C:$C,MATCH('001_population_health_zone_zs'!$B81,[1]ratio_ins!$B:$B,0))</f>
        <v>2984.9794380000003</v>
      </c>
      <c r="V81" s="10">
        <f>INDEX([1]ratio_ins!T:T,MATCH('001_population_health_zone_zs'!$B$2,[1]ratio_ins!$B:$B,0))*$G81*INDEX([1]ratio_ins!$C:$C,MATCH('001_population_health_zone_zs'!$B81,[1]ratio_ins!$B:$B,0))</f>
        <v>1658.3219099999999</v>
      </c>
      <c r="W81" s="11">
        <f>INDEX([1]ratio_ins!U:U,MATCH('001_population_health_zone_zs'!$B$2,[1]ratio_ins!$B:$B,0))*$G81*INDEX([1]ratio_ins!$C:$C,MATCH('001_population_health_zone_zs'!$B81,[1]ratio_ins!$B:$B,0))</f>
        <v>45239.021704799998</v>
      </c>
      <c r="X81" s="10">
        <f>INDEX([1]ratio_ins!V:V,MATCH('001_population_health_zone_zs'!$B$2,[1]ratio_ins!$B:$B,0))*$G81*INDEX([1]ratio_ins!$C:$C,MATCH('001_population_health_zone_zs'!$B81,[1]ratio_ins!$B:$B,0))</f>
        <v>1326.657528</v>
      </c>
      <c r="Y81" s="10">
        <f>INDEX([1]ratio_ins!W:W,MATCH('001_population_health_zone_zs'!$B$2,[1]ratio_ins!$B:$B,0))*$G81*INDEX([1]ratio_ins!$C:$C,MATCH('001_population_health_zone_zs'!$B81,[1]ratio_ins!$B:$B,0))</f>
        <v>884.43835200000001</v>
      </c>
      <c r="Z81" s="10">
        <f>INDEX([1]ratio_ins!X:X,MATCH('001_population_health_zone_zs'!$B$2,[1]ratio_ins!$B:$B,0))*$G81*INDEX([1]ratio_ins!$C:$C,MATCH('001_population_health_zone_zs'!$B81,[1]ratio_ins!$B:$B,0))</f>
        <v>442.219176</v>
      </c>
      <c r="AA81" s="10">
        <f>INDEX([1]ratio_ins!Y:Y,MATCH('001_population_health_zone_zs'!$B$2,[1]ratio_ins!$B:$B,0))*$G81*INDEX([1]ratio_ins!$C:$C,MATCH('001_population_health_zone_zs'!$B81,[1]ratio_ins!$B:$B,0))</f>
        <v>221.109588</v>
      </c>
      <c r="AB81" s="11">
        <f>INDEX([1]ratio_ins!Z:Z,MATCH('001_population_health_zone_zs'!$B$2,[1]ratio_ins!$B:$B,0))*$G81*INDEX([1]ratio_ins!$C:$C,MATCH('001_population_health_zone_zs'!$B81,[1]ratio_ins!$B:$B,0))</f>
        <v>2874.4246440000002</v>
      </c>
      <c r="AC81" s="12">
        <f t="shared" si="6"/>
        <v>110554.79399999998</v>
      </c>
      <c r="AD81" s="10">
        <f>INDEX([1]ratio_ins!AA:AA,MATCH('001_population_health_zone_zs'!$B$2,[1]ratio_ins!$B:$B,0))*$G81*INDEX([1]ratio_ins!$D:$D,MATCH('001_population_health_zone_zs'!$B81,[1]ratio_ins!$B:$B,0))</f>
        <v>24554.083259999999</v>
      </c>
      <c r="AE81" s="10">
        <f>INDEX([1]ratio_ins!AB:AB,MATCH('001_population_health_zone_zs'!$B$2,[1]ratio_ins!$B:$B,0))*$G81*INDEX([1]ratio_ins!$D:$D,MATCH('001_population_health_zone_zs'!$B81,[1]ratio_ins!$B:$B,0))</f>
        <v>20227.887638000004</v>
      </c>
      <c r="AF81" s="10">
        <f>INDEX([1]ratio_ins!AC:AC,MATCH('001_population_health_zone_zs'!$B$2,[1]ratio_ins!$B:$B,0))*$G81*INDEX([1]ratio_ins!$D:$D,MATCH('001_population_health_zone_zs'!$B81,[1]ratio_ins!$B:$B,0))</f>
        <v>16018.616221999999</v>
      </c>
      <c r="AG81" s="10">
        <f>INDEX([1]ratio_ins!AD:AD,MATCH('001_population_health_zone_zs'!$B$2,[1]ratio_ins!$B:$B,0))*$G81*INDEX([1]ratio_ins!$D:$D,MATCH('001_population_health_zone_zs'!$B81,[1]ratio_ins!$B:$B,0))</f>
        <v>9704.7090980000012</v>
      </c>
      <c r="AH81" s="10">
        <f>INDEX([1]ratio_ins!AE:AE,MATCH('001_population_health_zone_zs'!$B$2,[1]ratio_ins!$B:$B,0))*$G81*INDEX([1]ratio_ins!$D:$D,MATCH('001_population_health_zone_zs'!$B81,[1]ratio_ins!$B:$B,0))</f>
        <v>5822.8254588</v>
      </c>
      <c r="AI81" s="13">
        <f>INDEX([1]ratio_ins!AF:AF,MATCH('001_population_health_zone_zs'!$B$2,[1]ratio_ins!$B:$B,0))*$G81*INDEX([1]ratio_ins!$D:$D,MATCH('001_population_health_zone_zs'!$B81,[1]ratio_ins!$B:$B,0))</f>
        <v>66623.412578799995</v>
      </c>
      <c r="AJ81" s="10">
        <f>INDEX([1]ratio_ins!AG:AG,MATCH('001_population_health_zone_zs'!$B$2,[1]ratio_ins!$B:$B,0))*$G81*INDEX([1]ratio_ins!$D:$D,MATCH('001_population_health_zone_zs'!$B81,[1]ratio_ins!$B:$B,0))</f>
        <v>3881.8836392000003</v>
      </c>
      <c r="AK81" s="10">
        <f>INDEX([1]ratio_ins!AH:AH,MATCH('001_population_health_zone_zs'!$B$2,[1]ratio_ins!$B:$B,0))*$G81*INDEX([1]ratio_ins!$D:$D,MATCH('001_population_health_zone_zs'!$B81,[1]ratio_ins!$B:$B,0))</f>
        <v>8652.3912440000022</v>
      </c>
      <c r="AL81" s="10">
        <f>INDEX([1]ratio_ins!AI:AI,MATCH('001_population_health_zone_zs'!$B$2,[1]ratio_ins!$B:$B,0))*$G81*INDEX([1]ratio_ins!$D:$D,MATCH('001_population_health_zone_zs'!$B81,[1]ratio_ins!$B:$B,0))</f>
        <v>8184.6944200000007</v>
      </c>
      <c r="AM81" s="10">
        <f>INDEX([1]ratio_ins!AJ:AJ,MATCH('001_population_health_zone_zs'!$B$2,[1]ratio_ins!$B:$B,0))*$G81*INDEX([1]ratio_ins!$D:$D,MATCH('001_population_health_zone_zs'!$B81,[1]ratio_ins!$B:$B,0))</f>
        <v>7483.1491840000008</v>
      </c>
      <c r="AN81" s="10">
        <f>INDEX([1]ratio_ins!AK:AK,MATCH('001_population_health_zone_zs'!$B$2,[1]ratio_ins!$B:$B,0))*$G81*INDEX([1]ratio_ins!$D:$D,MATCH('001_population_health_zone_zs'!$B81,[1]ratio_ins!$B:$B,0))</f>
        <v>7015.4523600000002</v>
      </c>
      <c r="AO81" s="10">
        <f>INDEX([1]ratio_ins!AL:AL,MATCH('001_population_health_zone_zs'!$B$2,[1]ratio_ins!$B:$B,0))*$G81*INDEX([1]ratio_ins!$D:$D,MATCH('001_population_health_zone_zs'!$B81,[1]ratio_ins!$B:$B,0))</f>
        <v>5261.5892700000004</v>
      </c>
      <c r="AP81" s="10">
        <f>INDEX([1]ratio_ins!AM:AM,MATCH('001_population_health_zone_zs'!$B$2,[1]ratio_ins!$B:$B,0))*$G81*INDEX([1]ratio_ins!$D:$D,MATCH('001_population_health_zone_zs'!$B81,[1]ratio_ins!$B:$B,0))</f>
        <v>3390.801974</v>
      </c>
      <c r="AQ81" s="10">
        <f>INDEX([1]ratio_ins!AN:AN,MATCH('001_population_health_zone_zs'!$B$2,[1]ratio_ins!$B:$B,0))*$G81*INDEX([1]ratio_ins!$D:$D,MATCH('001_population_health_zone_zs'!$B81,[1]ratio_ins!$B:$B,0))</f>
        <v>2689.256738</v>
      </c>
      <c r="AR81" s="10">
        <f>INDEX([1]ratio_ins!AO:AO,MATCH('001_population_health_zone_zs'!$B$2,[1]ratio_ins!$B:$B,0))*$G81*INDEX([1]ratio_ins!$D:$D,MATCH('001_population_health_zone_zs'!$B81,[1]ratio_ins!$B:$B,0))</f>
        <v>1286.1662660000002</v>
      </c>
      <c r="AS81" s="13">
        <f>INDEX([1]ratio_ins!AP:AP,MATCH('001_population_health_zone_zs'!$B$2,[1]ratio_ins!$B:$B,0))*$G81*INDEX([1]ratio_ins!$D:$D,MATCH('001_population_health_zone_zs'!$B81,[1]ratio_ins!$B:$B,0))</f>
        <v>47845.385095199999</v>
      </c>
      <c r="AT81" s="10">
        <f>INDEX([1]ratio_ins!AQ:AQ,MATCH('001_population_health_zone_zs'!$B$2,[1]ratio_ins!$B:$B,0))*$G81*INDEX([1]ratio_ins!$D:$D,MATCH('001_population_health_zone_zs'!$B81,[1]ratio_ins!$B:$B,0))</f>
        <v>1169.24206</v>
      </c>
      <c r="AU81" s="10">
        <f>INDEX([1]ratio_ins!AR:AR,MATCH('001_population_health_zone_zs'!$B$2,[1]ratio_ins!$B:$B,0))*$G81*INDEX([1]ratio_ins!$D:$D,MATCH('001_population_health_zone_zs'!$B81,[1]ratio_ins!$B:$B,0))</f>
        <v>701.54523600000005</v>
      </c>
      <c r="AV81" s="10">
        <f>INDEX([1]ratio_ins!AS:AS,MATCH('001_population_health_zone_zs'!$B$2,[1]ratio_ins!$B:$B,0))*$G81*INDEX([1]ratio_ins!$D:$D,MATCH('001_population_health_zone_zs'!$B81,[1]ratio_ins!$B:$B,0))</f>
        <v>350.77261800000002</v>
      </c>
      <c r="AW81" s="10">
        <f>INDEX([1]ratio_ins!AT:AT,MATCH('001_population_health_zone_zs'!$B$2,[1]ratio_ins!$B:$B,0))*$G81*INDEX([1]ratio_ins!$D:$D,MATCH('001_population_health_zone_zs'!$B81,[1]ratio_ins!$B:$B,0))</f>
        <v>233.84841200000002</v>
      </c>
      <c r="AX81" s="13">
        <f>INDEX([1]ratio_ins!AU:AU,MATCH('001_population_health_zone_zs'!$B$2,[1]ratio_ins!$B:$B,0))*$G81*INDEX([1]ratio_ins!$D:$D,MATCH('001_population_health_zone_zs'!$B81,[1]ratio_ins!$B:$B,0))</f>
        <v>2455.4083259999998</v>
      </c>
      <c r="AY81" s="14">
        <f t="shared" si="7"/>
        <v>116924.20600000001</v>
      </c>
      <c r="AZ81" s="15">
        <f t="shared" si="8"/>
        <v>227479</v>
      </c>
      <c r="BA81" s="16">
        <v>219569.76816785388</v>
      </c>
      <c r="BB81" s="10">
        <f t="shared" si="9"/>
        <v>49692.787550000008</v>
      </c>
      <c r="BC81" s="17">
        <f t="shared" si="10"/>
        <v>0.21845000000000003</v>
      </c>
      <c r="BD81" s="10">
        <f t="shared" si="11"/>
        <v>46101.349097999999</v>
      </c>
    </row>
    <row r="82" spans="1:56" x14ac:dyDescent="0.25">
      <c r="A82" s="8" t="s">
        <v>197</v>
      </c>
      <c r="B82" s="8" t="s">
        <v>198</v>
      </c>
      <c r="C82" s="8" t="s">
        <v>199</v>
      </c>
      <c r="D82" s="8" t="s">
        <v>200</v>
      </c>
      <c r="E82" s="8" t="s">
        <v>199</v>
      </c>
      <c r="F82" s="8" t="s">
        <v>201</v>
      </c>
      <c r="G82" s="9">
        <v>298403</v>
      </c>
      <c r="H82" s="10">
        <f>INDEX([1]ratio_ins!F:F,MATCH('001_population_health_zone_zs'!$B$2,[1]ratio_ins!$B:$B,0))*$G82*INDEX([1]ratio_ins!$C:$C,MATCH('001_population_health_zone_zs'!$B82,[1]ratio_ins!$B:$B,0))</f>
        <v>30372.352549000003</v>
      </c>
      <c r="I82" s="10">
        <f>INDEX([1]ratio_ins!G:G,MATCH('001_population_health_zone_zs'!$B$2,[1]ratio_ins!$B:$B,0))*$G82*INDEX([1]ratio_ins!$C:$C,MATCH('001_population_health_zone_zs'!$B82,[1]ratio_ins!$B:$B,0))</f>
        <v>24850.106631000002</v>
      </c>
      <c r="J82" s="10">
        <f>INDEX([1]ratio_ins!H:H,MATCH('001_population_health_zone_zs'!$B$2,[1]ratio_ins!$B:$B,0))*$G82*INDEX([1]ratio_ins!$C:$C,MATCH('001_population_health_zone_zs'!$B82,[1]ratio_ins!$B:$B,0))</f>
        <v>19618.505235000004</v>
      </c>
      <c r="K82" s="10">
        <f>INDEX([1]ratio_ins!I:I,MATCH('001_population_health_zone_zs'!$B$2,[1]ratio_ins!$B:$B,0))*$G82*INDEX([1]ratio_ins!$C:$C,MATCH('001_population_health_zone_zs'!$B82,[1]ratio_ins!$B:$B,0))</f>
        <v>12061.747663000002</v>
      </c>
      <c r="L82" s="10">
        <f>INDEX([1]ratio_ins!J:J,MATCH('001_population_health_zone_zs'!$B$2,[1]ratio_ins!$B:$B,0))*$G82*INDEX([1]ratio_ins!$C:$C,MATCH('001_population_health_zone_zs'!$B82,[1]ratio_ins!$B:$B,0))</f>
        <v>7237.0485978000006</v>
      </c>
      <c r="M82" s="11">
        <f>INDEX([1]ratio_ins!K:K,MATCH('001_population_health_zone_zs'!$B$2,[1]ratio_ins!$B:$B,0))*$G82*INDEX([1]ratio_ins!$C:$C,MATCH('001_population_health_zone_zs'!$B82,[1]ratio_ins!$B:$B,0))</f>
        <v>82078.013012800002</v>
      </c>
      <c r="N82" s="10">
        <f>INDEX([1]ratio_ins!L:L,MATCH('001_population_health_zone_zs'!$B$2,[1]ratio_ins!$B:$B,0))*$G82*INDEX([1]ratio_ins!$C:$C,MATCH('001_population_health_zone_zs'!$B82,[1]ratio_ins!$B:$B,0))</f>
        <v>4824.6990652000004</v>
      </c>
      <c r="O82" s="10">
        <f>INDEX([1]ratio_ins!M:M,MATCH('001_population_health_zone_zs'!$B$2,[1]ratio_ins!$B:$B,0))*$G82*INDEX([1]ratio_ins!$C:$C,MATCH('001_population_health_zone_zs'!$B82,[1]ratio_ins!$B:$B,0))</f>
        <v>10463.202792000002</v>
      </c>
      <c r="P82" s="10">
        <f>INDEX([1]ratio_ins!N:N,MATCH('001_population_health_zone_zs'!$B$2,[1]ratio_ins!$B:$B,0))*$G82*INDEX([1]ratio_ins!$C:$C,MATCH('001_population_health_zone_zs'!$B82,[1]ratio_ins!$B:$B,0))</f>
        <v>9445.946965000001</v>
      </c>
      <c r="Q82" s="10">
        <f>INDEX([1]ratio_ins!O:O,MATCH('001_population_health_zone_zs'!$B$2,[1]ratio_ins!$B:$B,0))*$G82*INDEX([1]ratio_ins!$C:$C,MATCH('001_population_health_zone_zs'!$B82,[1]ratio_ins!$B:$B,0))</f>
        <v>8428.6911380000001</v>
      </c>
      <c r="R82" s="10">
        <f>INDEX([1]ratio_ins!P:P,MATCH('001_population_health_zone_zs'!$B$2,[1]ratio_ins!$B:$B,0))*$G82*INDEX([1]ratio_ins!$C:$C,MATCH('001_population_health_zone_zs'!$B82,[1]ratio_ins!$B:$B,0))</f>
        <v>8283.3688770000008</v>
      </c>
      <c r="S82" s="10">
        <f>INDEX([1]ratio_ins!Q:Q,MATCH('001_population_health_zone_zs'!$B$2,[1]ratio_ins!$B:$B,0))*$G82*INDEX([1]ratio_ins!$C:$C,MATCH('001_population_health_zone_zs'!$B82,[1]ratio_ins!$B:$B,0))</f>
        <v>6975.4685280000012</v>
      </c>
      <c r="T82" s="10">
        <f>INDEX([1]ratio_ins!R:R,MATCH('001_population_health_zone_zs'!$B$2,[1]ratio_ins!$B:$B,0))*$G82*INDEX([1]ratio_ins!$C:$C,MATCH('001_population_health_zone_zs'!$B82,[1]ratio_ins!$B:$B,0))</f>
        <v>4940.9568740000013</v>
      </c>
      <c r="U82" s="10">
        <f>INDEX([1]ratio_ins!S:S,MATCH('001_population_health_zone_zs'!$B$2,[1]ratio_ins!$B:$B,0))*$G82*INDEX([1]ratio_ins!$C:$C,MATCH('001_population_health_zone_zs'!$B82,[1]ratio_ins!$B:$B,0))</f>
        <v>3923.7010470000009</v>
      </c>
      <c r="V82" s="10">
        <f>INDEX([1]ratio_ins!T:T,MATCH('001_population_health_zone_zs'!$B$2,[1]ratio_ins!$B:$B,0))*$G82*INDEX([1]ratio_ins!$C:$C,MATCH('001_population_health_zone_zs'!$B82,[1]ratio_ins!$B:$B,0))</f>
        <v>2179.8339150000002</v>
      </c>
      <c r="W82" s="11">
        <f>INDEX([1]ratio_ins!U:U,MATCH('001_population_health_zone_zs'!$B$2,[1]ratio_ins!$B:$B,0))*$G82*INDEX([1]ratio_ins!$C:$C,MATCH('001_population_health_zone_zs'!$B82,[1]ratio_ins!$B:$B,0))</f>
        <v>59465.869201200003</v>
      </c>
      <c r="X82" s="10">
        <f>INDEX([1]ratio_ins!V:V,MATCH('001_population_health_zone_zs'!$B$2,[1]ratio_ins!$B:$B,0))*$G82*INDEX([1]ratio_ins!$C:$C,MATCH('001_population_health_zone_zs'!$B82,[1]ratio_ins!$B:$B,0))</f>
        <v>1743.8671320000003</v>
      </c>
      <c r="Y82" s="10">
        <f>INDEX([1]ratio_ins!W:W,MATCH('001_population_health_zone_zs'!$B$2,[1]ratio_ins!$B:$B,0))*$G82*INDEX([1]ratio_ins!$C:$C,MATCH('001_population_health_zone_zs'!$B82,[1]ratio_ins!$B:$B,0))</f>
        <v>1162.5780880000002</v>
      </c>
      <c r="Z82" s="10">
        <f>INDEX([1]ratio_ins!X:X,MATCH('001_population_health_zone_zs'!$B$2,[1]ratio_ins!$B:$B,0))*$G82*INDEX([1]ratio_ins!$C:$C,MATCH('001_population_health_zone_zs'!$B82,[1]ratio_ins!$B:$B,0))</f>
        <v>581.2890440000001</v>
      </c>
      <c r="AA82" s="10">
        <f>INDEX([1]ratio_ins!Y:Y,MATCH('001_population_health_zone_zs'!$B$2,[1]ratio_ins!$B:$B,0))*$G82*INDEX([1]ratio_ins!$C:$C,MATCH('001_population_health_zone_zs'!$B82,[1]ratio_ins!$B:$B,0))</f>
        <v>290.64452200000005</v>
      </c>
      <c r="AB82" s="11">
        <f>INDEX([1]ratio_ins!Z:Z,MATCH('001_population_health_zone_zs'!$B$2,[1]ratio_ins!$B:$B,0))*$G82*INDEX([1]ratio_ins!$C:$C,MATCH('001_population_health_zone_zs'!$B82,[1]ratio_ins!$B:$B,0))</f>
        <v>3778.3787860000007</v>
      </c>
      <c r="AC82" s="12">
        <f t="shared" si="6"/>
        <v>145322.261</v>
      </c>
      <c r="AD82" s="10">
        <f>INDEX([1]ratio_ins!AA:AA,MATCH('001_population_health_zone_zs'!$B$2,[1]ratio_ins!$B:$B,0))*$G82*INDEX([1]ratio_ins!$D:$D,MATCH('001_population_health_zone_zs'!$B82,[1]ratio_ins!$B:$B,0))</f>
        <v>32146.955190000001</v>
      </c>
      <c r="AE82" s="10">
        <f>INDEX([1]ratio_ins!AB:AB,MATCH('001_population_health_zone_zs'!$B$2,[1]ratio_ins!$B:$B,0))*$G82*INDEX([1]ratio_ins!$D:$D,MATCH('001_population_health_zone_zs'!$B82,[1]ratio_ins!$B:$B,0))</f>
        <v>26482.967847000004</v>
      </c>
      <c r="AF82" s="10">
        <f>INDEX([1]ratio_ins!AC:AC,MATCH('001_population_health_zone_zs'!$B$2,[1]ratio_ins!$B:$B,0))*$G82*INDEX([1]ratio_ins!$D:$D,MATCH('001_population_health_zone_zs'!$B82,[1]ratio_ins!$B:$B,0))</f>
        <v>20972.061242999996</v>
      </c>
      <c r="AG82" s="10">
        <f>INDEX([1]ratio_ins!AD:AD,MATCH('001_population_health_zone_zs'!$B$2,[1]ratio_ins!$B:$B,0))*$G82*INDEX([1]ratio_ins!$D:$D,MATCH('001_population_health_zone_zs'!$B82,[1]ratio_ins!$B:$B,0))</f>
        <v>12705.701337</v>
      </c>
      <c r="AH82" s="10">
        <f>INDEX([1]ratio_ins!AE:AE,MATCH('001_population_health_zone_zs'!$B$2,[1]ratio_ins!$B:$B,0))*$G82*INDEX([1]ratio_ins!$D:$D,MATCH('001_population_health_zone_zs'!$B82,[1]ratio_ins!$B:$B,0))</f>
        <v>7623.4208022000003</v>
      </c>
      <c r="AI82" s="13">
        <f>INDEX([1]ratio_ins!AF:AF,MATCH('001_population_health_zone_zs'!$B$2,[1]ratio_ins!$B:$B,0))*$G82*INDEX([1]ratio_ins!$D:$D,MATCH('001_population_health_zone_zs'!$B82,[1]ratio_ins!$B:$B,0))</f>
        <v>87225.405082199999</v>
      </c>
      <c r="AJ82" s="10">
        <f>INDEX([1]ratio_ins!AG:AG,MATCH('001_population_health_zone_zs'!$B$2,[1]ratio_ins!$B:$B,0))*$G82*INDEX([1]ratio_ins!$D:$D,MATCH('001_population_health_zone_zs'!$B82,[1]ratio_ins!$B:$B,0))</f>
        <v>5082.2805348000002</v>
      </c>
      <c r="AK82" s="10">
        <f>INDEX([1]ratio_ins!AH:AH,MATCH('001_population_health_zone_zs'!$B$2,[1]ratio_ins!$B:$B,0))*$G82*INDEX([1]ratio_ins!$D:$D,MATCH('001_population_health_zone_zs'!$B82,[1]ratio_ins!$B:$B,0))</f>
        <v>11327.974686000001</v>
      </c>
      <c r="AL82" s="10">
        <f>INDEX([1]ratio_ins!AI:AI,MATCH('001_population_health_zone_zs'!$B$2,[1]ratio_ins!$B:$B,0))*$G82*INDEX([1]ratio_ins!$D:$D,MATCH('001_population_health_zone_zs'!$B82,[1]ratio_ins!$B:$B,0))</f>
        <v>10715.651730000001</v>
      </c>
      <c r="AM82" s="10">
        <f>INDEX([1]ratio_ins!AJ:AJ,MATCH('001_population_health_zone_zs'!$B$2,[1]ratio_ins!$B:$B,0))*$G82*INDEX([1]ratio_ins!$D:$D,MATCH('001_population_health_zone_zs'!$B82,[1]ratio_ins!$B:$B,0))</f>
        <v>9797.1672960000014</v>
      </c>
      <c r="AN82" s="10">
        <f>INDEX([1]ratio_ins!AK:AK,MATCH('001_population_health_zone_zs'!$B$2,[1]ratio_ins!$B:$B,0))*$G82*INDEX([1]ratio_ins!$D:$D,MATCH('001_population_health_zone_zs'!$B82,[1]ratio_ins!$B:$B,0))</f>
        <v>9184.8443399999996</v>
      </c>
      <c r="AO82" s="10">
        <f>INDEX([1]ratio_ins!AL:AL,MATCH('001_population_health_zone_zs'!$B$2,[1]ratio_ins!$B:$B,0))*$G82*INDEX([1]ratio_ins!$D:$D,MATCH('001_population_health_zone_zs'!$B82,[1]ratio_ins!$B:$B,0))</f>
        <v>6888.6332550000006</v>
      </c>
      <c r="AP82" s="10">
        <f>INDEX([1]ratio_ins!AM:AM,MATCH('001_population_health_zone_zs'!$B$2,[1]ratio_ins!$B:$B,0))*$G82*INDEX([1]ratio_ins!$D:$D,MATCH('001_population_health_zone_zs'!$B82,[1]ratio_ins!$B:$B,0))</f>
        <v>4439.3414309999998</v>
      </c>
      <c r="AQ82" s="10">
        <f>INDEX([1]ratio_ins!AN:AN,MATCH('001_population_health_zone_zs'!$B$2,[1]ratio_ins!$B:$B,0))*$G82*INDEX([1]ratio_ins!$D:$D,MATCH('001_population_health_zone_zs'!$B82,[1]ratio_ins!$B:$B,0))</f>
        <v>3520.8569970000003</v>
      </c>
      <c r="AR82" s="10">
        <f>INDEX([1]ratio_ins!AO:AO,MATCH('001_population_health_zone_zs'!$B$2,[1]ratio_ins!$B:$B,0))*$G82*INDEX([1]ratio_ins!$D:$D,MATCH('001_population_health_zone_zs'!$B82,[1]ratio_ins!$B:$B,0))</f>
        <v>1683.8881290000002</v>
      </c>
      <c r="AS82" s="13">
        <f>INDEX([1]ratio_ins!AP:AP,MATCH('001_population_health_zone_zs'!$B$2,[1]ratio_ins!$B:$B,0))*$G82*INDEX([1]ratio_ins!$D:$D,MATCH('001_population_health_zone_zs'!$B82,[1]ratio_ins!$B:$B,0))</f>
        <v>62640.638398800002</v>
      </c>
      <c r="AT82" s="10">
        <f>INDEX([1]ratio_ins!AQ:AQ,MATCH('001_population_health_zone_zs'!$B$2,[1]ratio_ins!$B:$B,0))*$G82*INDEX([1]ratio_ins!$D:$D,MATCH('001_population_health_zone_zs'!$B82,[1]ratio_ins!$B:$B,0))</f>
        <v>1530.8073900000002</v>
      </c>
      <c r="AU82" s="10">
        <f>INDEX([1]ratio_ins!AR:AR,MATCH('001_population_health_zone_zs'!$B$2,[1]ratio_ins!$B:$B,0))*$G82*INDEX([1]ratio_ins!$D:$D,MATCH('001_population_health_zone_zs'!$B82,[1]ratio_ins!$B:$B,0))</f>
        <v>918.48443400000008</v>
      </c>
      <c r="AV82" s="10">
        <f>INDEX([1]ratio_ins!AS:AS,MATCH('001_population_health_zone_zs'!$B$2,[1]ratio_ins!$B:$B,0))*$G82*INDEX([1]ratio_ins!$D:$D,MATCH('001_population_health_zone_zs'!$B82,[1]ratio_ins!$B:$B,0))</f>
        <v>459.24221700000004</v>
      </c>
      <c r="AW82" s="10">
        <f>INDEX([1]ratio_ins!AT:AT,MATCH('001_population_health_zone_zs'!$B$2,[1]ratio_ins!$B:$B,0))*$G82*INDEX([1]ratio_ins!$D:$D,MATCH('001_population_health_zone_zs'!$B82,[1]ratio_ins!$B:$B,0))</f>
        <v>306.16147800000005</v>
      </c>
      <c r="AX82" s="13">
        <f>INDEX([1]ratio_ins!AU:AU,MATCH('001_population_health_zone_zs'!$B$2,[1]ratio_ins!$B:$B,0))*$G82*INDEX([1]ratio_ins!$D:$D,MATCH('001_population_health_zone_zs'!$B82,[1]ratio_ins!$B:$B,0))</f>
        <v>3214.6955189999999</v>
      </c>
      <c r="AY82" s="14">
        <f t="shared" si="7"/>
        <v>153080.739</v>
      </c>
      <c r="AZ82" s="15">
        <f t="shared" si="8"/>
        <v>298403</v>
      </c>
      <c r="BA82" s="16">
        <v>287906.85369157745</v>
      </c>
      <c r="BB82" s="10">
        <f t="shared" si="9"/>
        <v>65059.314075000002</v>
      </c>
      <c r="BC82" s="17">
        <f t="shared" si="10"/>
        <v>0.218025</v>
      </c>
      <c r="BD82" s="10">
        <f t="shared" si="11"/>
        <v>60599.382837000019</v>
      </c>
    </row>
    <row r="83" spans="1:56" x14ac:dyDescent="0.25">
      <c r="A83" s="8" t="s">
        <v>197</v>
      </c>
      <c r="B83" s="8" t="s">
        <v>198</v>
      </c>
      <c r="C83" s="8" t="s">
        <v>202</v>
      </c>
      <c r="D83" s="8" t="s">
        <v>203</v>
      </c>
      <c r="E83" s="8" t="s">
        <v>202</v>
      </c>
      <c r="F83" s="8" t="s">
        <v>204</v>
      </c>
      <c r="G83" s="9">
        <v>266698</v>
      </c>
      <c r="H83" s="10">
        <f>INDEX([1]ratio_ins!F:F,MATCH('001_population_health_zone_zs'!$B$2,[1]ratio_ins!$B:$B,0))*$G83*INDEX([1]ratio_ins!$C:$C,MATCH('001_population_health_zone_zs'!$B83,[1]ratio_ins!$B:$B,0))</f>
        <v>27145.322534000003</v>
      </c>
      <c r="I83" s="10">
        <f>INDEX([1]ratio_ins!G:G,MATCH('001_population_health_zone_zs'!$B$2,[1]ratio_ins!$B:$B,0))*$G83*INDEX([1]ratio_ins!$C:$C,MATCH('001_population_health_zone_zs'!$B83,[1]ratio_ins!$B:$B,0))</f>
        <v>22209.809346000002</v>
      </c>
      <c r="J83" s="10">
        <f>INDEX([1]ratio_ins!H:H,MATCH('001_population_health_zone_zs'!$B$2,[1]ratio_ins!$B:$B,0))*$G83*INDEX([1]ratio_ins!$C:$C,MATCH('001_population_health_zone_zs'!$B83,[1]ratio_ins!$B:$B,0))</f>
        <v>17534.060010000005</v>
      </c>
      <c r="K83" s="10">
        <f>INDEX([1]ratio_ins!I:I,MATCH('001_population_health_zone_zs'!$B$2,[1]ratio_ins!$B:$B,0))*$G83*INDEX([1]ratio_ins!$C:$C,MATCH('001_population_health_zone_zs'!$B83,[1]ratio_ins!$B:$B,0))</f>
        <v>10780.199858000002</v>
      </c>
      <c r="L83" s="10">
        <f>INDEX([1]ratio_ins!J:J,MATCH('001_population_health_zone_zs'!$B$2,[1]ratio_ins!$B:$B,0))*$G83*INDEX([1]ratio_ins!$C:$C,MATCH('001_population_health_zone_zs'!$B83,[1]ratio_ins!$B:$B,0))</f>
        <v>6468.1199147999996</v>
      </c>
      <c r="M83" s="11">
        <f>INDEX([1]ratio_ins!K:K,MATCH('001_population_health_zone_zs'!$B$2,[1]ratio_ins!$B:$B,0))*$G83*INDEX([1]ratio_ins!$C:$C,MATCH('001_population_health_zone_zs'!$B83,[1]ratio_ins!$B:$B,0))</f>
        <v>73357.311804800003</v>
      </c>
      <c r="N83" s="10">
        <f>INDEX([1]ratio_ins!L:L,MATCH('001_population_health_zone_zs'!$B$2,[1]ratio_ins!$B:$B,0))*$G83*INDEX([1]ratio_ins!$C:$C,MATCH('001_population_health_zone_zs'!$B83,[1]ratio_ins!$B:$B,0))</f>
        <v>4312.0799432000003</v>
      </c>
      <c r="O83" s="10">
        <f>INDEX([1]ratio_ins!M:M,MATCH('001_population_health_zone_zs'!$B$2,[1]ratio_ins!$B:$B,0))*$G83*INDEX([1]ratio_ins!$C:$C,MATCH('001_population_health_zone_zs'!$B83,[1]ratio_ins!$B:$B,0))</f>
        <v>9351.4986720000015</v>
      </c>
      <c r="P83" s="10">
        <f>INDEX([1]ratio_ins!N:N,MATCH('001_population_health_zone_zs'!$B$2,[1]ratio_ins!$B:$B,0))*$G83*INDEX([1]ratio_ins!$C:$C,MATCH('001_population_health_zone_zs'!$B83,[1]ratio_ins!$B:$B,0))</f>
        <v>8442.3251899999996</v>
      </c>
      <c r="Q83" s="10">
        <f>INDEX([1]ratio_ins!O:O,MATCH('001_population_health_zone_zs'!$B$2,[1]ratio_ins!$B:$B,0))*$G83*INDEX([1]ratio_ins!$C:$C,MATCH('001_population_health_zone_zs'!$B83,[1]ratio_ins!$B:$B,0))</f>
        <v>7533.1517080000003</v>
      </c>
      <c r="R83" s="10">
        <f>INDEX([1]ratio_ins!P:P,MATCH('001_population_health_zone_zs'!$B$2,[1]ratio_ins!$B:$B,0))*$G83*INDEX([1]ratio_ins!$C:$C,MATCH('001_population_health_zone_zs'!$B83,[1]ratio_ins!$B:$B,0))</f>
        <v>7403.2697820000003</v>
      </c>
      <c r="S83" s="10">
        <f>INDEX([1]ratio_ins!Q:Q,MATCH('001_population_health_zone_zs'!$B$2,[1]ratio_ins!$B:$B,0))*$G83*INDEX([1]ratio_ins!$C:$C,MATCH('001_population_health_zone_zs'!$B83,[1]ratio_ins!$B:$B,0))</f>
        <v>6234.332448000001</v>
      </c>
      <c r="T83" s="10">
        <f>INDEX([1]ratio_ins!R:R,MATCH('001_population_health_zone_zs'!$B$2,[1]ratio_ins!$B:$B,0))*$G83*INDEX([1]ratio_ins!$C:$C,MATCH('001_population_health_zone_zs'!$B83,[1]ratio_ins!$B:$B,0))</f>
        <v>4415.9854840000007</v>
      </c>
      <c r="U83" s="10">
        <f>INDEX([1]ratio_ins!S:S,MATCH('001_population_health_zone_zs'!$B$2,[1]ratio_ins!$B:$B,0))*$G83*INDEX([1]ratio_ins!$C:$C,MATCH('001_population_health_zone_zs'!$B83,[1]ratio_ins!$B:$B,0))</f>
        <v>3506.8120020000006</v>
      </c>
      <c r="V83" s="10">
        <f>INDEX([1]ratio_ins!T:T,MATCH('001_population_health_zone_zs'!$B$2,[1]ratio_ins!$B:$B,0))*$G83*INDEX([1]ratio_ins!$C:$C,MATCH('001_population_health_zone_zs'!$B83,[1]ratio_ins!$B:$B,0))</f>
        <v>1948.2288900000001</v>
      </c>
      <c r="W83" s="11">
        <f>INDEX([1]ratio_ins!U:U,MATCH('001_population_health_zone_zs'!$B$2,[1]ratio_ins!$B:$B,0))*$G83*INDEX([1]ratio_ins!$C:$C,MATCH('001_population_health_zone_zs'!$B83,[1]ratio_ins!$B:$B,0))</f>
        <v>53147.684119199999</v>
      </c>
      <c r="X83" s="10">
        <f>INDEX([1]ratio_ins!V:V,MATCH('001_population_health_zone_zs'!$B$2,[1]ratio_ins!$B:$B,0))*$G83*INDEX([1]ratio_ins!$C:$C,MATCH('001_population_health_zone_zs'!$B83,[1]ratio_ins!$B:$B,0))</f>
        <v>1558.5831120000003</v>
      </c>
      <c r="Y83" s="10">
        <f>INDEX([1]ratio_ins!W:W,MATCH('001_population_health_zone_zs'!$B$2,[1]ratio_ins!$B:$B,0))*$G83*INDEX([1]ratio_ins!$C:$C,MATCH('001_population_health_zone_zs'!$B83,[1]ratio_ins!$B:$B,0))</f>
        <v>1039.0554079999999</v>
      </c>
      <c r="Z83" s="10">
        <f>INDEX([1]ratio_ins!X:X,MATCH('001_population_health_zone_zs'!$B$2,[1]ratio_ins!$B:$B,0))*$G83*INDEX([1]ratio_ins!$C:$C,MATCH('001_population_health_zone_zs'!$B83,[1]ratio_ins!$B:$B,0))</f>
        <v>519.52770399999997</v>
      </c>
      <c r="AA83" s="10">
        <f>INDEX([1]ratio_ins!Y:Y,MATCH('001_population_health_zone_zs'!$B$2,[1]ratio_ins!$B:$B,0))*$G83*INDEX([1]ratio_ins!$C:$C,MATCH('001_population_health_zone_zs'!$B83,[1]ratio_ins!$B:$B,0))</f>
        <v>259.76385199999999</v>
      </c>
      <c r="AB83" s="11">
        <f>INDEX([1]ratio_ins!Z:Z,MATCH('001_population_health_zone_zs'!$B$2,[1]ratio_ins!$B:$B,0))*$G83*INDEX([1]ratio_ins!$C:$C,MATCH('001_population_health_zone_zs'!$B83,[1]ratio_ins!$B:$B,0))</f>
        <v>3376.930076000001</v>
      </c>
      <c r="AC83" s="12">
        <f t="shared" si="6"/>
        <v>129881.92600000001</v>
      </c>
      <c r="AD83" s="10">
        <f>INDEX([1]ratio_ins!AA:AA,MATCH('001_population_health_zone_zs'!$B$2,[1]ratio_ins!$B:$B,0))*$G83*INDEX([1]ratio_ins!$D:$D,MATCH('001_population_health_zone_zs'!$B83,[1]ratio_ins!$B:$B,0))</f>
        <v>28731.375539999997</v>
      </c>
      <c r="AE83" s="10">
        <f>INDEX([1]ratio_ins!AB:AB,MATCH('001_population_health_zone_zs'!$B$2,[1]ratio_ins!$B:$B,0))*$G83*INDEX([1]ratio_ins!$D:$D,MATCH('001_population_health_zone_zs'!$B83,[1]ratio_ins!$B:$B,0))</f>
        <v>23669.180802000003</v>
      </c>
      <c r="AF83" s="10">
        <f>INDEX([1]ratio_ins!AC:AC,MATCH('001_population_health_zone_zs'!$B$2,[1]ratio_ins!$B:$B,0))*$G83*INDEX([1]ratio_ins!$D:$D,MATCH('001_population_health_zone_zs'!$B83,[1]ratio_ins!$B:$B,0))</f>
        <v>18743.802137999999</v>
      </c>
      <c r="AG83" s="10">
        <f>INDEX([1]ratio_ins!AD:AD,MATCH('001_population_health_zone_zs'!$B$2,[1]ratio_ins!$B:$B,0))*$G83*INDEX([1]ratio_ins!$D:$D,MATCH('001_population_health_zone_zs'!$B83,[1]ratio_ins!$B:$B,0))</f>
        <v>11355.734142000001</v>
      </c>
      <c r="AH83" s="10">
        <f>INDEX([1]ratio_ins!AE:AE,MATCH('001_population_health_zone_zs'!$B$2,[1]ratio_ins!$B:$B,0))*$G83*INDEX([1]ratio_ins!$D:$D,MATCH('001_population_health_zone_zs'!$B83,[1]ratio_ins!$B:$B,0))</f>
        <v>6813.4404851999998</v>
      </c>
      <c r="AI83" s="13">
        <f>INDEX([1]ratio_ins!AF:AF,MATCH('001_population_health_zone_zs'!$B$2,[1]ratio_ins!$B:$B,0))*$G83*INDEX([1]ratio_ins!$D:$D,MATCH('001_population_health_zone_zs'!$B83,[1]ratio_ins!$B:$B,0))</f>
        <v>77957.798965199996</v>
      </c>
      <c r="AJ83" s="10">
        <f>INDEX([1]ratio_ins!AG:AG,MATCH('001_population_health_zone_zs'!$B$2,[1]ratio_ins!$B:$B,0))*$G83*INDEX([1]ratio_ins!$D:$D,MATCH('001_population_health_zone_zs'!$B83,[1]ratio_ins!$B:$B,0))</f>
        <v>4542.2936568000005</v>
      </c>
      <c r="AK83" s="10">
        <f>INDEX([1]ratio_ins!AH:AH,MATCH('001_population_health_zone_zs'!$B$2,[1]ratio_ins!$B:$B,0))*$G83*INDEX([1]ratio_ins!$D:$D,MATCH('001_population_health_zone_zs'!$B83,[1]ratio_ins!$B:$B,0))</f>
        <v>10124.389476</v>
      </c>
      <c r="AL83" s="10">
        <f>INDEX([1]ratio_ins!AI:AI,MATCH('001_population_health_zone_zs'!$B$2,[1]ratio_ins!$B:$B,0))*$G83*INDEX([1]ratio_ins!$D:$D,MATCH('001_population_health_zone_zs'!$B83,[1]ratio_ins!$B:$B,0))</f>
        <v>9577.1251800000009</v>
      </c>
      <c r="AM83" s="10">
        <f>INDEX([1]ratio_ins!AJ:AJ,MATCH('001_population_health_zone_zs'!$B$2,[1]ratio_ins!$B:$B,0))*$G83*INDEX([1]ratio_ins!$D:$D,MATCH('001_population_health_zone_zs'!$B83,[1]ratio_ins!$B:$B,0))</f>
        <v>8756.2287359999991</v>
      </c>
      <c r="AN83" s="10">
        <f>INDEX([1]ratio_ins!AK:AK,MATCH('001_population_health_zone_zs'!$B$2,[1]ratio_ins!$B:$B,0))*$G83*INDEX([1]ratio_ins!$D:$D,MATCH('001_population_health_zone_zs'!$B83,[1]ratio_ins!$B:$B,0))</f>
        <v>8208.9644399999997</v>
      </c>
      <c r="AO83" s="10">
        <f>INDEX([1]ratio_ins!AL:AL,MATCH('001_population_health_zone_zs'!$B$2,[1]ratio_ins!$B:$B,0))*$G83*INDEX([1]ratio_ins!$D:$D,MATCH('001_population_health_zone_zs'!$B83,[1]ratio_ins!$B:$B,0))</f>
        <v>6156.7233299999998</v>
      </c>
      <c r="AP83" s="10">
        <f>INDEX([1]ratio_ins!AM:AM,MATCH('001_population_health_zone_zs'!$B$2,[1]ratio_ins!$B:$B,0))*$G83*INDEX([1]ratio_ins!$D:$D,MATCH('001_population_health_zone_zs'!$B83,[1]ratio_ins!$B:$B,0))</f>
        <v>3967.6661459999996</v>
      </c>
      <c r="AQ83" s="10">
        <f>INDEX([1]ratio_ins!AN:AN,MATCH('001_population_health_zone_zs'!$B$2,[1]ratio_ins!$B:$B,0))*$G83*INDEX([1]ratio_ins!$D:$D,MATCH('001_population_health_zone_zs'!$B83,[1]ratio_ins!$B:$B,0))</f>
        <v>3146.7697020000001</v>
      </c>
      <c r="AR83" s="10">
        <f>INDEX([1]ratio_ins!AO:AO,MATCH('001_population_health_zone_zs'!$B$2,[1]ratio_ins!$B:$B,0))*$G83*INDEX([1]ratio_ins!$D:$D,MATCH('001_population_health_zone_zs'!$B83,[1]ratio_ins!$B:$B,0))</f>
        <v>1504.9768140000001</v>
      </c>
      <c r="AS83" s="13">
        <f>INDEX([1]ratio_ins!AP:AP,MATCH('001_population_health_zone_zs'!$B$2,[1]ratio_ins!$B:$B,0))*$G83*INDEX([1]ratio_ins!$D:$D,MATCH('001_population_health_zone_zs'!$B83,[1]ratio_ins!$B:$B,0))</f>
        <v>55985.137480799996</v>
      </c>
      <c r="AT83" s="10">
        <f>INDEX([1]ratio_ins!AQ:AQ,MATCH('001_population_health_zone_zs'!$B$2,[1]ratio_ins!$B:$B,0))*$G83*INDEX([1]ratio_ins!$D:$D,MATCH('001_population_health_zone_zs'!$B83,[1]ratio_ins!$B:$B,0))</f>
        <v>1368.16074</v>
      </c>
      <c r="AU83" s="10">
        <f>INDEX([1]ratio_ins!AR:AR,MATCH('001_population_health_zone_zs'!$B$2,[1]ratio_ins!$B:$B,0))*$G83*INDEX([1]ratio_ins!$D:$D,MATCH('001_population_health_zone_zs'!$B83,[1]ratio_ins!$B:$B,0))</f>
        <v>820.89644400000009</v>
      </c>
      <c r="AV83" s="10">
        <f>INDEX([1]ratio_ins!AS:AS,MATCH('001_population_health_zone_zs'!$B$2,[1]ratio_ins!$B:$B,0))*$G83*INDEX([1]ratio_ins!$D:$D,MATCH('001_population_health_zone_zs'!$B83,[1]ratio_ins!$B:$B,0))</f>
        <v>410.44822200000004</v>
      </c>
      <c r="AW83" s="10">
        <f>INDEX([1]ratio_ins!AT:AT,MATCH('001_population_health_zone_zs'!$B$2,[1]ratio_ins!$B:$B,0))*$G83*INDEX([1]ratio_ins!$D:$D,MATCH('001_population_health_zone_zs'!$B83,[1]ratio_ins!$B:$B,0))</f>
        <v>273.63214799999997</v>
      </c>
      <c r="AX83" s="13">
        <f>INDEX([1]ratio_ins!AU:AU,MATCH('001_population_health_zone_zs'!$B$2,[1]ratio_ins!$B:$B,0))*$G83*INDEX([1]ratio_ins!$D:$D,MATCH('001_population_health_zone_zs'!$B83,[1]ratio_ins!$B:$B,0))</f>
        <v>2873.1375539999999</v>
      </c>
      <c r="AY83" s="14">
        <f t="shared" si="7"/>
        <v>136816.07399999999</v>
      </c>
      <c r="AZ83" s="15">
        <f t="shared" si="8"/>
        <v>266698</v>
      </c>
      <c r="BA83" s="16">
        <v>257316.67526838538</v>
      </c>
      <c r="BB83" s="10">
        <f t="shared" si="9"/>
        <v>58146.831449999998</v>
      </c>
      <c r="BC83" s="17">
        <f t="shared" si="10"/>
        <v>0.218025</v>
      </c>
      <c r="BD83" s="10">
        <f t="shared" si="11"/>
        <v>54160.763142000011</v>
      </c>
    </row>
    <row r="84" spans="1:56" x14ac:dyDescent="0.25">
      <c r="A84" s="8" t="s">
        <v>197</v>
      </c>
      <c r="B84" s="8" t="s">
        <v>198</v>
      </c>
      <c r="C84" s="8" t="s">
        <v>202</v>
      </c>
      <c r="D84" s="8" t="s">
        <v>203</v>
      </c>
      <c r="E84" s="8" t="s">
        <v>205</v>
      </c>
      <c r="F84" s="8" t="s">
        <v>206</v>
      </c>
      <c r="G84" s="9">
        <v>303306</v>
      </c>
      <c r="H84" s="10">
        <f>INDEX([1]ratio_ins!F:F,MATCH('001_population_health_zone_zs'!$B$2,[1]ratio_ins!$B:$B,0))*$G84*INDEX([1]ratio_ins!$C:$C,MATCH('001_population_health_zone_zs'!$B84,[1]ratio_ins!$B:$B,0))</f>
        <v>30871.394598000003</v>
      </c>
      <c r="I84" s="10">
        <f>INDEX([1]ratio_ins!G:G,MATCH('001_population_health_zone_zs'!$B$2,[1]ratio_ins!$B:$B,0))*$G84*INDEX([1]ratio_ins!$C:$C,MATCH('001_population_health_zone_zs'!$B84,[1]ratio_ins!$B:$B,0))</f>
        <v>25258.413762000004</v>
      </c>
      <c r="J84" s="10">
        <f>INDEX([1]ratio_ins!H:H,MATCH('001_population_health_zone_zs'!$B$2,[1]ratio_ins!$B:$B,0))*$G84*INDEX([1]ratio_ins!$C:$C,MATCH('001_population_health_zone_zs'!$B84,[1]ratio_ins!$B:$B,0))</f>
        <v>19940.852970000004</v>
      </c>
      <c r="K84" s="10">
        <f>INDEX([1]ratio_ins!I:I,MATCH('001_population_health_zone_zs'!$B$2,[1]ratio_ins!$B:$B,0))*$G84*INDEX([1]ratio_ins!$C:$C,MATCH('001_population_health_zone_zs'!$B84,[1]ratio_ins!$B:$B,0))</f>
        <v>12259.931826000002</v>
      </c>
      <c r="L84" s="10">
        <f>INDEX([1]ratio_ins!J:J,MATCH('001_population_health_zone_zs'!$B$2,[1]ratio_ins!$B:$B,0))*$G84*INDEX([1]ratio_ins!$C:$C,MATCH('001_population_health_zone_zs'!$B84,[1]ratio_ins!$B:$B,0))</f>
        <v>7355.9590956000002</v>
      </c>
      <c r="M84" s="11">
        <f>INDEX([1]ratio_ins!K:K,MATCH('001_population_health_zone_zs'!$B$2,[1]ratio_ins!$B:$B,0))*$G84*INDEX([1]ratio_ins!$C:$C,MATCH('001_population_health_zone_zs'!$B84,[1]ratio_ins!$B:$B,0))</f>
        <v>83426.620425600006</v>
      </c>
      <c r="N84" s="10">
        <f>INDEX([1]ratio_ins!L:L,MATCH('001_population_health_zone_zs'!$B$2,[1]ratio_ins!$B:$B,0))*$G84*INDEX([1]ratio_ins!$C:$C,MATCH('001_population_health_zone_zs'!$B84,[1]ratio_ins!$B:$B,0))</f>
        <v>4903.9727304000007</v>
      </c>
      <c r="O84" s="10">
        <f>INDEX([1]ratio_ins!M:M,MATCH('001_population_health_zone_zs'!$B$2,[1]ratio_ins!$B:$B,0))*$G84*INDEX([1]ratio_ins!$C:$C,MATCH('001_population_health_zone_zs'!$B84,[1]ratio_ins!$B:$B,0))</f>
        <v>10635.121584000002</v>
      </c>
      <c r="P84" s="10">
        <f>INDEX([1]ratio_ins!N:N,MATCH('001_population_health_zone_zs'!$B$2,[1]ratio_ins!$B:$B,0))*$G84*INDEX([1]ratio_ins!$C:$C,MATCH('001_population_health_zone_zs'!$B84,[1]ratio_ins!$B:$B,0))</f>
        <v>9601.1514299999999</v>
      </c>
      <c r="Q84" s="10">
        <f>INDEX([1]ratio_ins!O:O,MATCH('001_population_health_zone_zs'!$B$2,[1]ratio_ins!$B:$B,0))*$G84*INDEX([1]ratio_ins!$C:$C,MATCH('001_population_health_zone_zs'!$B84,[1]ratio_ins!$B:$B,0))</f>
        <v>8567.1812760000012</v>
      </c>
      <c r="R84" s="10">
        <f>INDEX([1]ratio_ins!P:P,MATCH('001_population_health_zone_zs'!$B$2,[1]ratio_ins!$B:$B,0))*$G84*INDEX([1]ratio_ins!$C:$C,MATCH('001_population_health_zone_zs'!$B84,[1]ratio_ins!$B:$B,0))</f>
        <v>8419.471254</v>
      </c>
      <c r="S84" s="10">
        <f>INDEX([1]ratio_ins!Q:Q,MATCH('001_population_health_zone_zs'!$B$2,[1]ratio_ins!$B:$B,0))*$G84*INDEX([1]ratio_ins!$C:$C,MATCH('001_population_health_zone_zs'!$B84,[1]ratio_ins!$B:$B,0))</f>
        <v>7090.0810560000009</v>
      </c>
      <c r="T84" s="10">
        <f>INDEX([1]ratio_ins!R:R,MATCH('001_population_health_zone_zs'!$B$2,[1]ratio_ins!$B:$B,0))*$G84*INDEX([1]ratio_ins!$C:$C,MATCH('001_population_health_zone_zs'!$B84,[1]ratio_ins!$B:$B,0))</f>
        <v>5022.1407480000007</v>
      </c>
      <c r="U84" s="10">
        <f>INDEX([1]ratio_ins!S:S,MATCH('001_population_health_zone_zs'!$B$2,[1]ratio_ins!$B:$B,0))*$G84*INDEX([1]ratio_ins!$C:$C,MATCH('001_population_health_zone_zs'!$B84,[1]ratio_ins!$B:$B,0))</f>
        <v>3988.1705940000006</v>
      </c>
      <c r="V84" s="10">
        <f>INDEX([1]ratio_ins!T:T,MATCH('001_population_health_zone_zs'!$B$2,[1]ratio_ins!$B:$B,0))*$G84*INDEX([1]ratio_ins!$C:$C,MATCH('001_population_health_zone_zs'!$B84,[1]ratio_ins!$B:$B,0))</f>
        <v>2215.6503300000004</v>
      </c>
      <c r="W84" s="11">
        <f>INDEX([1]ratio_ins!U:U,MATCH('001_population_health_zone_zs'!$B$2,[1]ratio_ins!$B:$B,0))*$G84*INDEX([1]ratio_ins!$C:$C,MATCH('001_population_health_zone_zs'!$B84,[1]ratio_ins!$B:$B,0))</f>
        <v>60442.941002400003</v>
      </c>
      <c r="X84" s="10">
        <f>INDEX([1]ratio_ins!V:V,MATCH('001_population_health_zone_zs'!$B$2,[1]ratio_ins!$B:$B,0))*$G84*INDEX([1]ratio_ins!$C:$C,MATCH('001_population_health_zone_zs'!$B84,[1]ratio_ins!$B:$B,0))</f>
        <v>1772.5202640000002</v>
      </c>
      <c r="Y84" s="10">
        <f>INDEX([1]ratio_ins!W:W,MATCH('001_population_health_zone_zs'!$B$2,[1]ratio_ins!$B:$B,0))*$G84*INDEX([1]ratio_ins!$C:$C,MATCH('001_population_health_zone_zs'!$B84,[1]ratio_ins!$B:$B,0))</f>
        <v>1181.6801760000001</v>
      </c>
      <c r="Z84" s="10">
        <f>INDEX([1]ratio_ins!X:X,MATCH('001_population_health_zone_zs'!$B$2,[1]ratio_ins!$B:$B,0))*$G84*INDEX([1]ratio_ins!$C:$C,MATCH('001_population_health_zone_zs'!$B84,[1]ratio_ins!$B:$B,0))</f>
        <v>590.84008800000004</v>
      </c>
      <c r="AA84" s="10">
        <f>INDEX([1]ratio_ins!Y:Y,MATCH('001_population_health_zone_zs'!$B$2,[1]ratio_ins!$B:$B,0))*$G84*INDEX([1]ratio_ins!$C:$C,MATCH('001_population_health_zone_zs'!$B84,[1]ratio_ins!$B:$B,0))</f>
        <v>295.42004400000002</v>
      </c>
      <c r="AB84" s="11">
        <f>INDEX([1]ratio_ins!Z:Z,MATCH('001_population_health_zone_zs'!$B$2,[1]ratio_ins!$B:$B,0))*$G84*INDEX([1]ratio_ins!$C:$C,MATCH('001_population_health_zone_zs'!$B84,[1]ratio_ins!$B:$B,0))</f>
        <v>3840.4605720000009</v>
      </c>
      <c r="AC84" s="12">
        <f t="shared" si="6"/>
        <v>147710.02200000003</v>
      </c>
      <c r="AD84" s="10">
        <f>INDEX([1]ratio_ins!AA:AA,MATCH('001_population_health_zone_zs'!$B$2,[1]ratio_ins!$B:$B,0))*$G84*INDEX([1]ratio_ins!$D:$D,MATCH('001_population_health_zone_zs'!$B84,[1]ratio_ins!$B:$B,0))</f>
        <v>32675.155379999997</v>
      </c>
      <c r="AE84" s="10">
        <f>INDEX([1]ratio_ins!AB:AB,MATCH('001_population_health_zone_zs'!$B$2,[1]ratio_ins!$B:$B,0))*$G84*INDEX([1]ratio_ins!$D:$D,MATCH('001_population_health_zone_zs'!$B84,[1]ratio_ins!$B:$B,0))</f>
        <v>26918.104194000003</v>
      </c>
      <c r="AF84" s="10">
        <f>INDEX([1]ratio_ins!AC:AC,MATCH('001_population_health_zone_zs'!$B$2,[1]ratio_ins!$B:$B,0))*$G84*INDEX([1]ratio_ins!$D:$D,MATCH('001_population_health_zone_zs'!$B84,[1]ratio_ins!$B:$B,0))</f>
        <v>21316.648985999997</v>
      </c>
      <c r="AG84" s="10">
        <f>INDEX([1]ratio_ins!AD:AD,MATCH('001_population_health_zone_zs'!$B$2,[1]ratio_ins!$B:$B,0))*$G84*INDEX([1]ratio_ins!$D:$D,MATCH('001_population_health_zone_zs'!$B84,[1]ratio_ins!$B:$B,0))</f>
        <v>12914.466174000001</v>
      </c>
      <c r="AH84" s="10">
        <f>INDEX([1]ratio_ins!AE:AE,MATCH('001_population_health_zone_zs'!$B$2,[1]ratio_ins!$B:$B,0))*$G84*INDEX([1]ratio_ins!$D:$D,MATCH('001_population_health_zone_zs'!$B84,[1]ratio_ins!$B:$B,0))</f>
        <v>7748.6797043999995</v>
      </c>
      <c r="AI84" s="13">
        <f>INDEX([1]ratio_ins!AF:AF,MATCH('001_population_health_zone_zs'!$B$2,[1]ratio_ins!$B:$B,0))*$G84*INDEX([1]ratio_ins!$D:$D,MATCH('001_population_health_zone_zs'!$B84,[1]ratio_ins!$B:$B,0))</f>
        <v>88658.588264399994</v>
      </c>
      <c r="AJ84" s="10">
        <f>INDEX([1]ratio_ins!AG:AG,MATCH('001_population_health_zone_zs'!$B$2,[1]ratio_ins!$B:$B,0))*$G84*INDEX([1]ratio_ins!$D:$D,MATCH('001_population_health_zone_zs'!$B84,[1]ratio_ins!$B:$B,0))</f>
        <v>5165.7864696000006</v>
      </c>
      <c r="AK84" s="10">
        <f>INDEX([1]ratio_ins!AH:AH,MATCH('001_population_health_zone_zs'!$B$2,[1]ratio_ins!$B:$B,0))*$G84*INDEX([1]ratio_ins!$D:$D,MATCH('001_population_health_zone_zs'!$B84,[1]ratio_ins!$B:$B,0))</f>
        <v>11514.102372000003</v>
      </c>
      <c r="AL84" s="10">
        <f>INDEX([1]ratio_ins!AI:AI,MATCH('001_population_health_zone_zs'!$B$2,[1]ratio_ins!$B:$B,0))*$G84*INDEX([1]ratio_ins!$D:$D,MATCH('001_population_health_zone_zs'!$B84,[1]ratio_ins!$B:$B,0))</f>
        <v>10891.718460000002</v>
      </c>
      <c r="AM84" s="10">
        <f>INDEX([1]ratio_ins!AJ:AJ,MATCH('001_population_health_zone_zs'!$B$2,[1]ratio_ins!$B:$B,0))*$G84*INDEX([1]ratio_ins!$D:$D,MATCH('001_population_health_zone_zs'!$B84,[1]ratio_ins!$B:$B,0))</f>
        <v>9958.1425920000001</v>
      </c>
      <c r="AN84" s="10">
        <f>INDEX([1]ratio_ins!AK:AK,MATCH('001_population_health_zone_zs'!$B$2,[1]ratio_ins!$B:$B,0))*$G84*INDEX([1]ratio_ins!$D:$D,MATCH('001_population_health_zone_zs'!$B84,[1]ratio_ins!$B:$B,0))</f>
        <v>9335.7586800000008</v>
      </c>
      <c r="AO84" s="10">
        <f>INDEX([1]ratio_ins!AL:AL,MATCH('001_population_health_zone_zs'!$B$2,[1]ratio_ins!$B:$B,0))*$G84*INDEX([1]ratio_ins!$D:$D,MATCH('001_population_health_zone_zs'!$B84,[1]ratio_ins!$B:$B,0))</f>
        <v>7001.8190099999993</v>
      </c>
      <c r="AP84" s="10">
        <f>INDEX([1]ratio_ins!AM:AM,MATCH('001_population_health_zone_zs'!$B$2,[1]ratio_ins!$B:$B,0))*$G84*INDEX([1]ratio_ins!$D:$D,MATCH('001_population_health_zone_zs'!$B84,[1]ratio_ins!$B:$B,0))</f>
        <v>4512.2833620000001</v>
      </c>
      <c r="AQ84" s="10">
        <f>INDEX([1]ratio_ins!AN:AN,MATCH('001_population_health_zone_zs'!$B$2,[1]ratio_ins!$B:$B,0))*$G84*INDEX([1]ratio_ins!$D:$D,MATCH('001_population_health_zone_zs'!$B84,[1]ratio_ins!$B:$B,0))</f>
        <v>3578.7074939999998</v>
      </c>
      <c r="AR84" s="10">
        <f>INDEX([1]ratio_ins!AO:AO,MATCH('001_population_health_zone_zs'!$B$2,[1]ratio_ins!$B:$B,0))*$G84*INDEX([1]ratio_ins!$D:$D,MATCH('001_population_health_zone_zs'!$B84,[1]ratio_ins!$B:$B,0))</f>
        <v>1711.5557580000002</v>
      </c>
      <c r="AS84" s="13">
        <f>INDEX([1]ratio_ins!AP:AP,MATCH('001_population_health_zone_zs'!$B$2,[1]ratio_ins!$B:$B,0))*$G84*INDEX([1]ratio_ins!$D:$D,MATCH('001_population_health_zone_zs'!$B84,[1]ratio_ins!$B:$B,0))</f>
        <v>63669.874197600002</v>
      </c>
      <c r="AT84" s="10">
        <f>INDEX([1]ratio_ins!AQ:AQ,MATCH('001_population_health_zone_zs'!$B$2,[1]ratio_ins!$B:$B,0))*$G84*INDEX([1]ratio_ins!$D:$D,MATCH('001_population_health_zone_zs'!$B84,[1]ratio_ins!$B:$B,0))</f>
        <v>1555.9597799999999</v>
      </c>
      <c r="AU84" s="10">
        <f>INDEX([1]ratio_ins!AR:AR,MATCH('001_population_health_zone_zs'!$B$2,[1]ratio_ins!$B:$B,0))*$G84*INDEX([1]ratio_ins!$D:$D,MATCH('001_population_health_zone_zs'!$B84,[1]ratio_ins!$B:$B,0))</f>
        <v>933.57586800000001</v>
      </c>
      <c r="AV84" s="10">
        <f>INDEX([1]ratio_ins!AS:AS,MATCH('001_population_health_zone_zs'!$B$2,[1]ratio_ins!$B:$B,0))*$G84*INDEX([1]ratio_ins!$D:$D,MATCH('001_population_health_zone_zs'!$B84,[1]ratio_ins!$B:$B,0))</f>
        <v>466.78793400000001</v>
      </c>
      <c r="AW84" s="10">
        <f>INDEX([1]ratio_ins!AT:AT,MATCH('001_population_health_zone_zs'!$B$2,[1]ratio_ins!$B:$B,0))*$G84*INDEX([1]ratio_ins!$D:$D,MATCH('001_population_health_zone_zs'!$B84,[1]ratio_ins!$B:$B,0))</f>
        <v>311.191956</v>
      </c>
      <c r="AX84" s="13">
        <f>INDEX([1]ratio_ins!AU:AU,MATCH('001_population_health_zone_zs'!$B$2,[1]ratio_ins!$B:$B,0))*$G84*INDEX([1]ratio_ins!$D:$D,MATCH('001_population_health_zone_zs'!$B84,[1]ratio_ins!$B:$B,0))</f>
        <v>3267.5155379999997</v>
      </c>
      <c r="AY84" s="14">
        <f t="shared" si="7"/>
        <v>155595.978</v>
      </c>
      <c r="AZ84" s="15">
        <f t="shared" si="8"/>
        <v>303306</v>
      </c>
      <c r="BA84" s="16">
        <v>292636.59058101749</v>
      </c>
      <c r="BB84" s="10">
        <f t="shared" si="9"/>
        <v>66128.290649999995</v>
      </c>
      <c r="BC84" s="17">
        <f t="shared" si="10"/>
        <v>0.218025</v>
      </c>
      <c r="BD84" s="10">
        <f t="shared" si="11"/>
        <v>61595.079173999999</v>
      </c>
    </row>
    <row r="85" spans="1:56" x14ac:dyDescent="0.25">
      <c r="A85" s="8" t="s">
        <v>197</v>
      </c>
      <c r="B85" s="8" t="s">
        <v>198</v>
      </c>
      <c r="C85" s="8" t="s">
        <v>202</v>
      </c>
      <c r="D85" s="8" t="s">
        <v>203</v>
      </c>
      <c r="E85" s="8" t="s">
        <v>207</v>
      </c>
      <c r="F85" s="8" t="s">
        <v>208</v>
      </c>
      <c r="G85" s="9">
        <v>177728</v>
      </c>
      <c r="H85" s="10">
        <f>INDEX([1]ratio_ins!F:F,MATCH('001_population_health_zone_zs'!$B$2,[1]ratio_ins!$B:$B,0))*$G85*INDEX([1]ratio_ins!$C:$C,MATCH('001_population_health_zone_zs'!$B85,[1]ratio_ins!$B:$B,0))</f>
        <v>18089.689024000003</v>
      </c>
      <c r="I85" s="10">
        <f>INDEX([1]ratio_ins!G:G,MATCH('001_population_health_zone_zs'!$B$2,[1]ratio_ins!$B:$B,0))*$G85*INDEX([1]ratio_ins!$C:$C,MATCH('001_population_health_zone_zs'!$B85,[1]ratio_ins!$B:$B,0))</f>
        <v>14800.654656000002</v>
      </c>
      <c r="J85" s="10">
        <f>INDEX([1]ratio_ins!H:H,MATCH('001_population_health_zone_zs'!$B$2,[1]ratio_ins!$B:$B,0))*$G85*INDEX([1]ratio_ins!$C:$C,MATCH('001_population_health_zone_zs'!$B85,[1]ratio_ins!$B:$B,0))</f>
        <v>11684.727360000003</v>
      </c>
      <c r="K85" s="10">
        <f>INDEX([1]ratio_ins!I:I,MATCH('001_population_health_zone_zs'!$B$2,[1]ratio_ins!$B:$B,0))*$G85*INDEX([1]ratio_ins!$C:$C,MATCH('001_population_health_zone_zs'!$B85,[1]ratio_ins!$B:$B,0))</f>
        <v>7183.9434880000008</v>
      </c>
      <c r="L85" s="10">
        <f>INDEX([1]ratio_ins!J:J,MATCH('001_population_health_zone_zs'!$B$2,[1]ratio_ins!$B:$B,0))*$G85*INDEX([1]ratio_ins!$C:$C,MATCH('001_population_health_zone_zs'!$B85,[1]ratio_ins!$B:$B,0))</f>
        <v>4310.3660928000008</v>
      </c>
      <c r="M85" s="11">
        <f>INDEX([1]ratio_ins!K:K,MATCH('001_population_health_zone_zs'!$B$2,[1]ratio_ins!$B:$B,0))*$G85*INDEX([1]ratio_ins!$C:$C,MATCH('001_population_health_zone_zs'!$B85,[1]ratio_ins!$B:$B,0))</f>
        <v>48885.437132800005</v>
      </c>
      <c r="N85" s="10">
        <f>INDEX([1]ratio_ins!L:L,MATCH('001_population_health_zone_zs'!$B$2,[1]ratio_ins!$B:$B,0))*$G85*INDEX([1]ratio_ins!$C:$C,MATCH('001_population_health_zone_zs'!$B85,[1]ratio_ins!$B:$B,0))</f>
        <v>2873.5773952</v>
      </c>
      <c r="O85" s="10">
        <f>INDEX([1]ratio_ins!M:M,MATCH('001_population_health_zone_zs'!$B$2,[1]ratio_ins!$B:$B,0))*$G85*INDEX([1]ratio_ins!$C:$C,MATCH('001_population_health_zone_zs'!$B85,[1]ratio_ins!$B:$B,0))</f>
        <v>6231.8545920000015</v>
      </c>
      <c r="P85" s="10">
        <f>INDEX([1]ratio_ins!N:N,MATCH('001_population_health_zone_zs'!$B$2,[1]ratio_ins!$B:$B,0))*$G85*INDEX([1]ratio_ins!$C:$C,MATCH('001_population_health_zone_zs'!$B85,[1]ratio_ins!$B:$B,0))</f>
        <v>5625.97984</v>
      </c>
      <c r="Q85" s="10">
        <f>INDEX([1]ratio_ins!O:O,MATCH('001_population_health_zone_zs'!$B$2,[1]ratio_ins!$B:$B,0))*$G85*INDEX([1]ratio_ins!$C:$C,MATCH('001_population_health_zone_zs'!$B85,[1]ratio_ins!$B:$B,0))</f>
        <v>5020.1050880000003</v>
      </c>
      <c r="R85" s="10">
        <f>INDEX([1]ratio_ins!P:P,MATCH('001_population_health_zone_zs'!$B$2,[1]ratio_ins!$B:$B,0))*$G85*INDEX([1]ratio_ins!$C:$C,MATCH('001_population_health_zone_zs'!$B85,[1]ratio_ins!$B:$B,0))</f>
        <v>4933.5515520000008</v>
      </c>
      <c r="S85" s="10">
        <f>INDEX([1]ratio_ins!Q:Q,MATCH('001_population_health_zone_zs'!$B$2,[1]ratio_ins!$B:$B,0))*$G85*INDEX([1]ratio_ins!$C:$C,MATCH('001_population_health_zone_zs'!$B85,[1]ratio_ins!$B:$B,0))</f>
        <v>4154.5697280000004</v>
      </c>
      <c r="T85" s="10">
        <f>INDEX([1]ratio_ins!R:R,MATCH('001_population_health_zone_zs'!$B$2,[1]ratio_ins!$B:$B,0))*$G85*INDEX([1]ratio_ins!$C:$C,MATCH('001_population_health_zone_zs'!$B85,[1]ratio_ins!$B:$B,0))</f>
        <v>2942.8202240000005</v>
      </c>
      <c r="U85" s="10">
        <f>INDEX([1]ratio_ins!S:S,MATCH('001_population_health_zone_zs'!$B$2,[1]ratio_ins!$B:$B,0))*$G85*INDEX([1]ratio_ins!$C:$C,MATCH('001_population_health_zone_zs'!$B85,[1]ratio_ins!$B:$B,0))</f>
        <v>2336.9454720000008</v>
      </c>
      <c r="V85" s="10">
        <f>INDEX([1]ratio_ins!T:T,MATCH('001_population_health_zone_zs'!$B$2,[1]ratio_ins!$B:$B,0))*$G85*INDEX([1]ratio_ins!$C:$C,MATCH('001_population_health_zone_zs'!$B85,[1]ratio_ins!$B:$B,0))</f>
        <v>1298.3030400000002</v>
      </c>
      <c r="W85" s="11">
        <f>INDEX([1]ratio_ins!U:U,MATCH('001_population_health_zone_zs'!$B$2,[1]ratio_ins!$B:$B,0))*$G85*INDEX([1]ratio_ins!$C:$C,MATCH('001_population_health_zone_zs'!$B85,[1]ratio_ins!$B:$B,0))</f>
        <v>35417.706931200009</v>
      </c>
      <c r="X85" s="10">
        <f>INDEX([1]ratio_ins!V:V,MATCH('001_population_health_zone_zs'!$B$2,[1]ratio_ins!$B:$B,0))*$G85*INDEX([1]ratio_ins!$C:$C,MATCH('001_population_health_zone_zs'!$B85,[1]ratio_ins!$B:$B,0))</f>
        <v>1038.6424320000001</v>
      </c>
      <c r="Y85" s="10">
        <f>INDEX([1]ratio_ins!W:W,MATCH('001_population_health_zone_zs'!$B$2,[1]ratio_ins!$B:$B,0))*$G85*INDEX([1]ratio_ins!$C:$C,MATCH('001_population_health_zone_zs'!$B85,[1]ratio_ins!$B:$B,0))</f>
        <v>692.42828800000007</v>
      </c>
      <c r="Z85" s="10">
        <f>INDEX([1]ratio_ins!X:X,MATCH('001_population_health_zone_zs'!$B$2,[1]ratio_ins!$B:$B,0))*$G85*INDEX([1]ratio_ins!$C:$C,MATCH('001_population_health_zone_zs'!$B85,[1]ratio_ins!$B:$B,0))</f>
        <v>346.21414400000003</v>
      </c>
      <c r="AA85" s="10">
        <f>INDEX([1]ratio_ins!Y:Y,MATCH('001_population_health_zone_zs'!$B$2,[1]ratio_ins!$B:$B,0))*$G85*INDEX([1]ratio_ins!$C:$C,MATCH('001_population_health_zone_zs'!$B85,[1]ratio_ins!$B:$B,0))</f>
        <v>173.10707200000002</v>
      </c>
      <c r="AB85" s="11">
        <f>INDEX([1]ratio_ins!Z:Z,MATCH('001_population_health_zone_zs'!$B$2,[1]ratio_ins!$B:$B,0))*$G85*INDEX([1]ratio_ins!$C:$C,MATCH('001_population_health_zone_zs'!$B85,[1]ratio_ins!$B:$B,0))</f>
        <v>2250.3919360000004</v>
      </c>
      <c r="AC85" s="12">
        <f t="shared" si="6"/>
        <v>86553.536000000022</v>
      </c>
      <c r="AD85" s="10">
        <f>INDEX([1]ratio_ins!AA:AA,MATCH('001_population_health_zone_zs'!$B$2,[1]ratio_ins!$B:$B,0))*$G85*INDEX([1]ratio_ins!$D:$D,MATCH('001_population_health_zone_zs'!$B85,[1]ratio_ins!$B:$B,0))</f>
        <v>19146.637439999999</v>
      </c>
      <c r="AE85" s="10">
        <f>INDEX([1]ratio_ins!AB:AB,MATCH('001_population_health_zone_zs'!$B$2,[1]ratio_ins!$B:$B,0))*$G85*INDEX([1]ratio_ins!$D:$D,MATCH('001_population_health_zone_zs'!$B85,[1]ratio_ins!$B:$B,0))</f>
        <v>15773.182272000002</v>
      </c>
      <c r="AF85" s="10">
        <f>INDEX([1]ratio_ins!AC:AC,MATCH('001_population_health_zone_zs'!$B$2,[1]ratio_ins!$B:$B,0))*$G85*INDEX([1]ratio_ins!$D:$D,MATCH('001_population_health_zone_zs'!$B85,[1]ratio_ins!$B:$B,0))</f>
        <v>12490.901567999999</v>
      </c>
      <c r="AG85" s="10">
        <f>INDEX([1]ratio_ins!AD:AD,MATCH('001_population_health_zone_zs'!$B$2,[1]ratio_ins!$B:$B,0))*$G85*INDEX([1]ratio_ins!$D:$D,MATCH('001_population_health_zone_zs'!$B85,[1]ratio_ins!$B:$B,0))</f>
        <v>7567.480512000001</v>
      </c>
      <c r="AH85" s="10">
        <f>INDEX([1]ratio_ins!AE:AE,MATCH('001_population_health_zone_zs'!$B$2,[1]ratio_ins!$B:$B,0))*$G85*INDEX([1]ratio_ins!$D:$D,MATCH('001_population_health_zone_zs'!$B85,[1]ratio_ins!$B:$B,0))</f>
        <v>4540.4883072000002</v>
      </c>
      <c r="AI85" s="13">
        <f>INDEX([1]ratio_ins!AF:AF,MATCH('001_population_health_zone_zs'!$B$2,[1]ratio_ins!$B:$B,0))*$G85*INDEX([1]ratio_ins!$D:$D,MATCH('001_population_health_zone_zs'!$B85,[1]ratio_ins!$B:$B,0))</f>
        <v>51951.209587199999</v>
      </c>
      <c r="AJ85" s="10">
        <f>INDEX([1]ratio_ins!AG:AG,MATCH('001_population_health_zone_zs'!$B$2,[1]ratio_ins!$B:$B,0))*$G85*INDEX([1]ratio_ins!$D:$D,MATCH('001_population_health_zone_zs'!$B85,[1]ratio_ins!$B:$B,0))</f>
        <v>3026.9922047999999</v>
      </c>
      <c r="AK85" s="10">
        <f>INDEX([1]ratio_ins!AH:AH,MATCH('001_population_health_zone_zs'!$B$2,[1]ratio_ins!$B:$B,0))*$G85*INDEX([1]ratio_ins!$D:$D,MATCH('001_population_health_zone_zs'!$B85,[1]ratio_ins!$B:$B,0))</f>
        <v>6746.9103360000008</v>
      </c>
      <c r="AL85" s="10">
        <f>INDEX([1]ratio_ins!AI:AI,MATCH('001_population_health_zone_zs'!$B$2,[1]ratio_ins!$B:$B,0))*$G85*INDEX([1]ratio_ins!$D:$D,MATCH('001_population_health_zone_zs'!$B85,[1]ratio_ins!$B:$B,0))</f>
        <v>6382.2124800000011</v>
      </c>
      <c r="AM85" s="10">
        <f>INDEX([1]ratio_ins!AJ:AJ,MATCH('001_population_health_zone_zs'!$B$2,[1]ratio_ins!$B:$B,0))*$G85*INDEX([1]ratio_ins!$D:$D,MATCH('001_population_health_zone_zs'!$B85,[1]ratio_ins!$B:$B,0))</f>
        <v>5835.165696</v>
      </c>
      <c r="AN85" s="10">
        <f>INDEX([1]ratio_ins!AK:AK,MATCH('001_population_health_zone_zs'!$B$2,[1]ratio_ins!$B:$B,0))*$G85*INDEX([1]ratio_ins!$D:$D,MATCH('001_population_health_zone_zs'!$B85,[1]ratio_ins!$B:$B,0))</f>
        <v>5470.4678400000003</v>
      </c>
      <c r="AO85" s="10">
        <f>INDEX([1]ratio_ins!AL:AL,MATCH('001_population_health_zone_zs'!$B$2,[1]ratio_ins!$B:$B,0))*$G85*INDEX([1]ratio_ins!$D:$D,MATCH('001_population_health_zone_zs'!$B85,[1]ratio_ins!$B:$B,0))</f>
        <v>4102.85088</v>
      </c>
      <c r="AP85" s="10">
        <f>INDEX([1]ratio_ins!AM:AM,MATCH('001_population_health_zone_zs'!$B$2,[1]ratio_ins!$B:$B,0))*$G85*INDEX([1]ratio_ins!$D:$D,MATCH('001_population_health_zone_zs'!$B85,[1]ratio_ins!$B:$B,0))</f>
        <v>2644.059456</v>
      </c>
      <c r="AQ85" s="10">
        <f>INDEX([1]ratio_ins!AN:AN,MATCH('001_population_health_zone_zs'!$B$2,[1]ratio_ins!$B:$B,0))*$G85*INDEX([1]ratio_ins!$D:$D,MATCH('001_population_health_zone_zs'!$B85,[1]ratio_ins!$B:$B,0))</f>
        <v>2097.0126720000003</v>
      </c>
      <c r="AR85" s="10">
        <f>INDEX([1]ratio_ins!AO:AO,MATCH('001_population_health_zone_zs'!$B$2,[1]ratio_ins!$B:$B,0))*$G85*INDEX([1]ratio_ins!$D:$D,MATCH('001_population_health_zone_zs'!$B85,[1]ratio_ins!$B:$B,0))</f>
        <v>1002.9191040000002</v>
      </c>
      <c r="AS85" s="13">
        <f>INDEX([1]ratio_ins!AP:AP,MATCH('001_population_health_zone_zs'!$B$2,[1]ratio_ins!$B:$B,0))*$G85*INDEX([1]ratio_ins!$D:$D,MATCH('001_population_health_zone_zs'!$B85,[1]ratio_ins!$B:$B,0))</f>
        <v>37308.590668800003</v>
      </c>
      <c r="AT85" s="10">
        <f>INDEX([1]ratio_ins!AQ:AQ,MATCH('001_population_health_zone_zs'!$B$2,[1]ratio_ins!$B:$B,0))*$G85*INDEX([1]ratio_ins!$D:$D,MATCH('001_population_health_zone_zs'!$B85,[1]ratio_ins!$B:$B,0))</f>
        <v>911.74464</v>
      </c>
      <c r="AU85" s="10">
        <f>INDEX([1]ratio_ins!AR:AR,MATCH('001_population_health_zone_zs'!$B$2,[1]ratio_ins!$B:$B,0))*$G85*INDEX([1]ratio_ins!$D:$D,MATCH('001_population_health_zone_zs'!$B85,[1]ratio_ins!$B:$B,0))</f>
        <v>547.046784</v>
      </c>
      <c r="AV85" s="10">
        <f>INDEX([1]ratio_ins!AS:AS,MATCH('001_population_health_zone_zs'!$B$2,[1]ratio_ins!$B:$B,0))*$G85*INDEX([1]ratio_ins!$D:$D,MATCH('001_population_health_zone_zs'!$B85,[1]ratio_ins!$B:$B,0))</f>
        <v>273.523392</v>
      </c>
      <c r="AW85" s="10">
        <f>INDEX([1]ratio_ins!AT:AT,MATCH('001_population_health_zone_zs'!$B$2,[1]ratio_ins!$B:$B,0))*$G85*INDEX([1]ratio_ins!$D:$D,MATCH('001_population_health_zone_zs'!$B85,[1]ratio_ins!$B:$B,0))</f>
        <v>182.348928</v>
      </c>
      <c r="AX85" s="13">
        <f>INDEX([1]ratio_ins!AU:AU,MATCH('001_population_health_zone_zs'!$B$2,[1]ratio_ins!$B:$B,0))*$G85*INDEX([1]ratio_ins!$D:$D,MATCH('001_population_health_zone_zs'!$B85,[1]ratio_ins!$B:$B,0))</f>
        <v>1914.6637439999997</v>
      </c>
      <c r="AY85" s="14">
        <f t="shared" si="7"/>
        <v>91174.464000000007</v>
      </c>
      <c r="AZ85" s="15">
        <f t="shared" si="8"/>
        <v>177728.00000000003</v>
      </c>
      <c r="BA85" s="16">
        <v>171476.69784576038</v>
      </c>
      <c r="BB85" s="10">
        <f t="shared" si="9"/>
        <v>38749.147200000007</v>
      </c>
      <c r="BC85" s="17">
        <f t="shared" si="10"/>
        <v>0.21802500000000002</v>
      </c>
      <c r="BD85" s="10">
        <f t="shared" si="11"/>
        <v>36092.824512000007</v>
      </c>
    </row>
    <row r="86" spans="1:56" x14ac:dyDescent="0.25">
      <c r="A86" s="8" t="s">
        <v>197</v>
      </c>
      <c r="B86" s="8" t="s">
        <v>198</v>
      </c>
      <c r="C86" s="8" t="s">
        <v>209</v>
      </c>
      <c r="D86" s="8" t="s">
        <v>210</v>
      </c>
      <c r="E86" s="8" t="s">
        <v>211</v>
      </c>
      <c r="F86" s="8" t="s">
        <v>212</v>
      </c>
      <c r="G86" s="9">
        <v>336602</v>
      </c>
      <c r="H86" s="10">
        <f>INDEX([1]ratio_ins!F:F,MATCH('001_population_health_zone_zs'!$B$2,[1]ratio_ins!$B:$B,0))*$G86*INDEX([1]ratio_ins!$C:$C,MATCH('001_population_health_zone_zs'!$B86,[1]ratio_ins!$B:$B,0))</f>
        <v>34260.361366000005</v>
      </c>
      <c r="I86" s="10">
        <f>INDEX([1]ratio_ins!G:G,MATCH('001_population_health_zone_zs'!$B$2,[1]ratio_ins!$B:$B,0))*$G86*INDEX([1]ratio_ins!$C:$C,MATCH('001_population_health_zone_zs'!$B86,[1]ratio_ins!$B:$B,0))</f>
        <v>28031.204754000002</v>
      </c>
      <c r="J86" s="10">
        <f>INDEX([1]ratio_ins!H:H,MATCH('001_population_health_zone_zs'!$B$2,[1]ratio_ins!$B:$B,0))*$G86*INDEX([1]ratio_ins!$C:$C,MATCH('001_population_health_zone_zs'!$B86,[1]ratio_ins!$B:$B,0))</f>
        <v>22129.898490000003</v>
      </c>
      <c r="K86" s="10">
        <f>INDEX([1]ratio_ins!I:I,MATCH('001_population_health_zone_zs'!$B$2,[1]ratio_ins!$B:$B,0))*$G86*INDEX([1]ratio_ins!$C:$C,MATCH('001_population_health_zone_zs'!$B86,[1]ratio_ins!$B:$B,0))</f>
        <v>13605.789442000001</v>
      </c>
      <c r="L86" s="10">
        <f>INDEX([1]ratio_ins!J:J,MATCH('001_population_health_zone_zs'!$B$2,[1]ratio_ins!$B:$B,0))*$G86*INDEX([1]ratio_ins!$C:$C,MATCH('001_population_health_zone_zs'!$B86,[1]ratio_ins!$B:$B,0))</f>
        <v>8163.4736652000001</v>
      </c>
      <c r="M86" s="11">
        <f>INDEX([1]ratio_ins!K:K,MATCH('001_population_health_zone_zs'!$B$2,[1]ratio_ins!$B:$B,0))*$G86*INDEX([1]ratio_ins!$C:$C,MATCH('001_population_health_zone_zs'!$B86,[1]ratio_ins!$B:$B,0))</f>
        <v>92584.938275199995</v>
      </c>
      <c r="N86" s="10">
        <f>INDEX([1]ratio_ins!L:L,MATCH('001_population_health_zone_zs'!$B$2,[1]ratio_ins!$B:$B,0))*$G86*INDEX([1]ratio_ins!$C:$C,MATCH('001_population_health_zone_zs'!$B86,[1]ratio_ins!$B:$B,0))</f>
        <v>5442.315776800001</v>
      </c>
      <c r="O86" s="10">
        <f>INDEX([1]ratio_ins!M:M,MATCH('001_population_health_zone_zs'!$B$2,[1]ratio_ins!$B:$B,0))*$G86*INDEX([1]ratio_ins!$C:$C,MATCH('001_population_health_zone_zs'!$B86,[1]ratio_ins!$B:$B,0))</f>
        <v>11802.612528000003</v>
      </c>
      <c r="P86" s="10">
        <f>INDEX([1]ratio_ins!N:N,MATCH('001_population_health_zone_zs'!$B$2,[1]ratio_ins!$B:$B,0))*$G86*INDEX([1]ratio_ins!$C:$C,MATCH('001_population_health_zone_zs'!$B86,[1]ratio_ins!$B:$B,0))</f>
        <v>10655.136310000002</v>
      </c>
      <c r="Q86" s="10">
        <f>INDEX([1]ratio_ins!O:O,MATCH('001_population_health_zone_zs'!$B$2,[1]ratio_ins!$B:$B,0))*$G86*INDEX([1]ratio_ins!$C:$C,MATCH('001_population_health_zone_zs'!$B86,[1]ratio_ins!$B:$B,0))</f>
        <v>9507.6600920000001</v>
      </c>
      <c r="R86" s="10">
        <f>INDEX([1]ratio_ins!P:P,MATCH('001_population_health_zone_zs'!$B$2,[1]ratio_ins!$B:$B,0))*$G86*INDEX([1]ratio_ins!$C:$C,MATCH('001_population_health_zone_zs'!$B86,[1]ratio_ins!$B:$B,0))</f>
        <v>9343.7349180000019</v>
      </c>
      <c r="S86" s="10">
        <f>INDEX([1]ratio_ins!Q:Q,MATCH('001_population_health_zone_zs'!$B$2,[1]ratio_ins!$B:$B,0))*$G86*INDEX([1]ratio_ins!$C:$C,MATCH('001_population_health_zone_zs'!$B86,[1]ratio_ins!$B:$B,0))</f>
        <v>7868.4083520000013</v>
      </c>
      <c r="T86" s="10">
        <f>INDEX([1]ratio_ins!R:R,MATCH('001_population_health_zone_zs'!$B$2,[1]ratio_ins!$B:$B,0))*$G86*INDEX([1]ratio_ins!$C:$C,MATCH('001_population_health_zone_zs'!$B86,[1]ratio_ins!$B:$B,0))</f>
        <v>5573.4559160000008</v>
      </c>
      <c r="U86" s="10">
        <f>INDEX([1]ratio_ins!S:S,MATCH('001_population_health_zone_zs'!$B$2,[1]ratio_ins!$B:$B,0))*$G86*INDEX([1]ratio_ins!$C:$C,MATCH('001_population_health_zone_zs'!$B86,[1]ratio_ins!$B:$B,0))</f>
        <v>4425.979698000001</v>
      </c>
      <c r="V86" s="10">
        <f>INDEX([1]ratio_ins!T:T,MATCH('001_population_health_zone_zs'!$B$2,[1]ratio_ins!$B:$B,0))*$G86*INDEX([1]ratio_ins!$C:$C,MATCH('001_population_health_zone_zs'!$B86,[1]ratio_ins!$B:$B,0))</f>
        <v>2458.87761</v>
      </c>
      <c r="W86" s="11">
        <f>INDEX([1]ratio_ins!U:U,MATCH('001_population_health_zone_zs'!$B$2,[1]ratio_ins!$B:$B,0))*$G86*INDEX([1]ratio_ins!$C:$C,MATCH('001_population_health_zone_zs'!$B86,[1]ratio_ins!$B:$B,0))</f>
        <v>67078.181200799998</v>
      </c>
      <c r="X86" s="10">
        <f>INDEX([1]ratio_ins!V:V,MATCH('001_population_health_zone_zs'!$B$2,[1]ratio_ins!$B:$B,0))*$G86*INDEX([1]ratio_ins!$C:$C,MATCH('001_population_health_zone_zs'!$B86,[1]ratio_ins!$B:$B,0))</f>
        <v>1967.1020880000003</v>
      </c>
      <c r="Y86" s="10">
        <f>INDEX([1]ratio_ins!W:W,MATCH('001_population_health_zone_zs'!$B$2,[1]ratio_ins!$B:$B,0))*$G86*INDEX([1]ratio_ins!$C:$C,MATCH('001_population_health_zone_zs'!$B86,[1]ratio_ins!$B:$B,0))</f>
        <v>1311.4013920000002</v>
      </c>
      <c r="Z86" s="10">
        <f>INDEX([1]ratio_ins!X:X,MATCH('001_population_health_zone_zs'!$B$2,[1]ratio_ins!$B:$B,0))*$G86*INDEX([1]ratio_ins!$C:$C,MATCH('001_population_health_zone_zs'!$B86,[1]ratio_ins!$B:$B,0))</f>
        <v>655.70069600000011</v>
      </c>
      <c r="AA86" s="10">
        <f>INDEX([1]ratio_ins!Y:Y,MATCH('001_population_health_zone_zs'!$B$2,[1]ratio_ins!$B:$B,0))*$G86*INDEX([1]ratio_ins!$C:$C,MATCH('001_population_health_zone_zs'!$B86,[1]ratio_ins!$B:$B,0))</f>
        <v>327.85034800000005</v>
      </c>
      <c r="AB86" s="11">
        <f>INDEX([1]ratio_ins!Z:Z,MATCH('001_population_health_zone_zs'!$B$2,[1]ratio_ins!$B:$B,0))*$G86*INDEX([1]ratio_ins!$C:$C,MATCH('001_population_health_zone_zs'!$B86,[1]ratio_ins!$B:$B,0))</f>
        <v>4262.0545240000001</v>
      </c>
      <c r="AC86" s="12">
        <f t="shared" si="6"/>
        <v>163925.174</v>
      </c>
      <c r="AD86" s="10">
        <f>INDEX([1]ratio_ins!AA:AA,MATCH('001_population_health_zone_zs'!$B$2,[1]ratio_ins!$B:$B,0))*$G86*INDEX([1]ratio_ins!$D:$D,MATCH('001_population_health_zone_zs'!$B86,[1]ratio_ins!$B:$B,0))</f>
        <v>36262.133459999997</v>
      </c>
      <c r="AE86" s="10">
        <f>INDEX([1]ratio_ins!AB:AB,MATCH('001_population_health_zone_zs'!$B$2,[1]ratio_ins!$B:$B,0))*$G86*INDEX([1]ratio_ins!$D:$D,MATCH('001_population_health_zone_zs'!$B86,[1]ratio_ins!$B:$B,0))</f>
        <v>29873.090898000006</v>
      </c>
      <c r="AF86" s="10">
        <f>INDEX([1]ratio_ins!AC:AC,MATCH('001_population_health_zone_zs'!$B$2,[1]ratio_ins!$B:$B,0))*$G86*INDEX([1]ratio_ins!$D:$D,MATCH('001_population_health_zone_zs'!$B86,[1]ratio_ins!$B:$B,0))</f>
        <v>23656.725161999999</v>
      </c>
      <c r="AG86" s="10">
        <f>INDEX([1]ratio_ins!AD:AD,MATCH('001_population_health_zone_zs'!$B$2,[1]ratio_ins!$B:$B,0))*$G86*INDEX([1]ratio_ins!$D:$D,MATCH('001_population_health_zone_zs'!$B86,[1]ratio_ins!$B:$B,0))</f>
        <v>14332.176558000001</v>
      </c>
      <c r="AH86" s="10">
        <f>INDEX([1]ratio_ins!AE:AE,MATCH('001_population_health_zone_zs'!$B$2,[1]ratio_ins!$B:$B,0))*$G86*INDEX([1]ratio_ins!$D:$D,MATCH('001_population_health_zone_zs'!$B86,[1]ratio_ins!$B:$B,0))</f>
        <v>8599.3059347999988</v>
      </c>
      <c r="AI86" s="13">
        <f>INDEX([1]ratio_ins!AF:AF,MATCH('001_population_health_zone_zs'!$B$2,[1]ratio_ins!$B:$B,0))*$G86*INDEX([1]ratio_ins!$D:$D,MATCH('001_population_health_zone_zs'!$B86,[1]ratio_ins!$B:$B,0))</f>
        <v>98391.25545479999</v>
      </c>
      <c r="AJ86" s="10">
        <f>INDEX([1]ratio_ins!AG:AG,MATCH('001_population_health_zone_zs'!$B$2,[1]ratio_ins!$B:$B,0))*$G86*INDEX([1]ratio_ins!$D:$D,MATCH('001_population_health_zone_zs'!$B86,[1]ratio_ins!$B:$B,0))</f>
        <v>5732.8706232000004</v>
      </c>
      <c r="AK86" s="10">
        <f>INDEX([1]ratio_ins!AH:AH,MATCH('001_population_health_zone_zs'!$B$2,[1]ratio_ins!$B:$B,0))*$G86*INDEX([1]ratio_ins!$D:$D,MATCH('001_population_health_zone_zs'!$B86,[1]ratio_ins!$B:$B,0))</f>
        <v>12778.085124000001</v>
      </c>
      <c r="AL86" s="10">
        <f>INDEX([1]ratio_ins!AI:AI,MATCH('001_population_health_zone_zs'!$B$2,[1]ratio_ins!$B:$B,0))*$G86*INDEX([1]ratio_ins!$D:$D,MATCH('001_population_health_zone_zs'!$B86,[1]ratio_ins!$B:$B,0))</f>
        <v>12087.377820000002</v>
      </c>
      <c r="AM86" s="10">
        <f>INDEX([1]ratio_ins!AJ:AJ,MATCH('001_population_health_zone_zs'!$B$2,[1]ratio_ins!$B:$B,0))*$G86*INDEX([1]ratio_ins!$D:$D,MATCH('001_population_health_zone_zs'!$B86,[1]ratio_ins!$B:$B,0))</f>
        <v>11051.316864000002</v>
      </c>
      <c r="AN86" s="10">
        <f>INDEX([1]ratio_ins!AK:AK,MATCH('001_population_health_zone_zs'!$B$2,[1]ratio_ins!$B:$B,0))*$G86*INDEX([1]ratio_ins!$D:$D,MATCH('001_population_health_zone_zs'!$B86,[1]ratio_ins!$B:$B,0))</f>
        <v>10360.609559999999</v>
      </c>
      <c r="AO86" s="10">
        <f>INDEX([1]ratio_ins!AL:AL,MATCH('001_population_health_zone_zs'!$B$2,[1]ratio_ins!$B:$B,0))*$G86*INDEX([1]ratio_ins!$D:$D,MATCH('001_population_health_zone_zs'!$B86,[1]ratio_ins!$B:$B,0))</f>
        <v>7770.4571700000006</v>
      </c>
      <c r="AP86" s="10">
        <f>INDEX([1]ratio_ins!AM:AM,MATCH('001_population_health_zone_zs'!$B$2,[1]ratio_ins!$B:$B,0))*$G86*INDEX([1]ratio_ins!$D:$D,MATCH('001_population_health_zone_zs'!$B86,[1]ratio_ins!$B:$B,0))</f>
        <v>5007.6279539999996</v>
      </c>
      <c r="AQ86" s="10">
        <f>INDEX([1]ratio_ins!AN:AN,MATCH('001_population_health_zone_zs'!$B$2,[1]ratio_ins!$B:$B,0))*$G86*INDEX([1]ratio_ins!$D:$D,MATCH('001_population_health_zone_zs'!$B86,[1]ratio_ins!$B:$B,0))</f>
        <v>3971.5669979999998</v>
      </c>
      <c r="AR86" s="10">
        <f>INDEX([1]ratio_ins!AO:AO,MATCH('001_population_health_zone_zs'!$B$2,[1]ratio_ins!$B:$B,0))*$G86*INDEX([1]ratio_ins!$D:$D,MATCH('001_population_health_zone_zs'!$B86,[1]ratio_ins!$B:$B,0))</f>
        <v>1899.4450860000002</v>
      </c>
      <c r="AS86" s="13">
        <f>INDEX([1]ratio_ins!AP:AP,MATCH('001_population_health_zone_zs'!$B$2,[1]ratio_ins!$B:$B,0))*$G86*INDEX([1]ratio_ins!$D:$D,MATCH('001_population_health_zone_zs'!$B86,[1]ratio_ins!$B:$B,0))</f>
        <v>70659.357199199992</v>
      </c>
      <c r="AT86" s="10">
        <f>INDEX([1]ratio_ins!AQ:AQ,MATCH('001_population_health_zone_zs'!$B$2,[1]ratio_ins!$B:$B,0))*$G86*INDEX([1]ratio_ins!$D:$D,MATCH('001_population_health_zone_zs'!$B86,[1]ratio_ins!$B:$B,0))</f>
        <v>1726.7682600000001</v>
      </c>
      <c r="AU86" s="10">
        <f>INDEX([1]ratio_ins!AR:AR,MATCH('001_population_health_zone_zs'!$B$2,[1]ratio_ins!$B:$B,0))*$G86*INDEX([1]ratio_ins!$D:$D,MATCH('001_population_health_zone_zs'!$B86,[1]ratio_ins!$B:$B,0))</f>
        <v>1036.060956</v>
      </c>
      <c r="AV86" s="10">
        <f>INDEX([1]ratio_ins!AS:AS,MATCH('001_population_health_zone_zs'!$B$2,[1]ratio_ins!$B:$B,0))*$G86*INDEX([1]ratio_ins!$D:$D,MATCH('001_population_health_zone_zs'!$B86,[1]ratio_ins!$B:$B,0))</f>
        <v>518.03047800000002</v>
      </c>
      <c r="AW86" s="10">
        <f>INDEX([1]ratio_ins!AT:AT,MATCH('001_population_health_zone_zs'!$B$2,[1]ratio_ins!$B:$B,0))*$G86*INDEX([1]ratio_ins!$D:$D,MATCH('001_population_health_zone_zs'!$B86,[1]ratio_ins!$B:$B,0))</f>
        <v>345.35365200000007</v>
      </c>
      <c r="AX86" s="13">
        <f>INDEX([1]ratio_ins!AU:AU,MATCH('001_population_health_zone_zs'!$B$2,[1]ratio_ins!$B:$B,0))*$G86*INDEX([1]ratio_ins!$D:$D,MATCH('001_population_health_zone_zs'!$B86,[1]ratio_ins!$B:$B,0))</f>
        <v>3626.2133459999995</v>
      </c>
      <c r="AY86" s="14">
        <f t="shared" si="7"/>
        <v>172676.826</v>
      </c>
      <c r="AZ86" s="15">
        <f t="shared" si="8"/>
        <v>336602</v>
      </c>
      <c r="BA86" s="16">
        <v>324761.89423719718</v>
      </c>
      <c r="BB86" s="10">
        <f t="shared" si="9"/>
        <v>73387.65105</v>
      </c>
      <c r="BC86" s="17">
        <f t="shared" si="10"/>
        <v>0.218025</v>
      </c>
      <c r="BD86" s="10">
        <f t="shared" si="11"/>
        <v>68356.797558000006</v>
      </c>
    </row>
    <row r="87" spans="1:56" x14ac:dyDescent="0.25">
      <c r="A87" s="8" t="s">
        <v>197</v>
      </c>
      <c r="B87" s="8" t="s">
        <v>198</v>
      </c>
      <c r="C87" s="8" t="s">
        <v>209</v>
      </c>
      <c r="D87" s="8" t="s">
        <v>210</v>
      </c>
      <c r="E87" s="8" t="s">
        <v>213</v>
      </c>
      <c r="F87" s="8" t="s">
        <v>214</v>
      </c>
      <c r="G87" s="9">
        <v>407754</v>
      </c>
      <c r="H87" s="10">
        <f>INDEX([1]ratio_ins!F:F,MATCH('001_population_health_zone_zs'!$B$2,[1]ratio_ins!$B:$B,0))*$G87*INDEX([1]ratio_ins!$C:$C,MATCH('001_population_health_zone_zs'!$B87,[1]ratio_ins!$B:$B,0))</f>
        <v>41502.425382000001</v>
      </c>
      <c r="I87" s="10">
        <f>INDEX([1]ratio_ins!G:G,MATCH('001_population_health_zone_zs'!$B$2,[1]ratio_ins!$B:$B,0))*$G87*INDEX([1]ratio_ins!$C:$C,MATCH('001_population_health_zone_zs'!$B87,[1]ratio_ins!$B:$B,0))</f>
        <v>33956.529858000009</v>
      </c>
      <c r="J87" s="10">
        <f>INDEX([1]ratio_ins!H:H,MATCH('001_population_health_zone_zs'!$B$2,[1]ratio_ins!$B:$B,0))*$G87*INDEX([1]ratio_ins!$C:$C,MATCH('001_population_health_zone_zs'!$B87,[1]ratio_ins!$B:$B,0))</f>
        <v>26807.786730000003</v>
      </c>
      <c r="K87" s="10">
        <f>INDEX([1]ratio_ins!I:I,MATCH('001_population_health_zone_zs'!$B$2,[1]ratio_ins!$B:$B,0))*$G87*INDEX([1]ratio_ins!$C:$C,MATCH('001_population_health_zone_zs'!$B87,[1]ratio_ins!$B:$B,0))</f>
        <v>16481.824434000002</v>
      </c>
      <c r="L87" s="10">
        <f>INDEX([1]ratio_ins!J:J,MATCH('001_population_health_zone_zs'!$B$2,[1]ratio_ins!$B:$B,0))*$G87*INDEX([1]ratio_ins!$C:$C,MATCH('001_population_health_zone_zs'!$B87,[1]ratio_ins!$B:$B,0))</f>
        <v>9889.0946604000001</v>
      </c>
      <c r="M87" s="11">
        <f>INDEX([1]ratio_ins!K:K,MATCH('001_population_health_zone_zs'!$B$2,[1]ratio_ins!$B:$B,0))*$G87*INDEX([1]ratio_ins!$C:$C,MATCH('001_population_health_zone_zs'!$B87,[1]ratio_ins!$B:$B,0))</f>
        <v>112155.83663040001</v>
      </c>
      <c r="N87" s="10">
        <f>INDEX([1]ratio_ins!L:L,MATCH('001_population_health_zone_zs'!$B$2,[1]ratio_ins!$B:$B,0))*$G87*INDEX([1]ratio_ins!$C:$C,MATCH('001_population_health_zone_zs'!$B87,[1]ratio_ins!$B:$B,0))</f>
        <v>6592.729773600001</v>
      </c>
      <c r="O87" s="10">
        <f>INDEX([1]ratio_ins!M:M,MATCH('001_population_health_zone_zs'!$B$2,[1]ratio_ins!$B:$B,0))*$G87*INDEX([1]ratio_ins!$C:$C,MATCH('001_population_health_zone_zs'!$B87,[1]ratio_ins!$B:$B,0))</f>
        <v>14297.486256000004</v>
      </c>
      <c r="P87" s="10">
        <f>INDEX([1]ratio_ins!N:N,MATCH('001_population_health_zone_zs'!$B$2,[1]ratio_ins!$B:$B,0))*$G87*INDEX([1]ratio_ins!$C:$C,MATCH('001_population_health_zone_zs'!$B87,[1]ratio_ins!$B:$B,0))</f>
        <v>12907.452870000003</v>
      </c>
      <c r="Q87" s="10">
        <f>INDEX([1]ratio_ins!O:O,MATCH('001_population_health_zone_zs'!$B$2,[1]ratio_ins!$B:$B,0))*$G87*INDEX([1]ratio_ins!$C:$C,MATCH('001_population_health_zone_zs'!$B87,[1]ratio_ins!$B:$B,0))</f>
        <v>11517.419484000002</v>
      </c>
      <c r="R87" s="10">
        <f>INDEX([1]ratio_ins!P:P,MATCH('001_population_health_zone_zs'!$B$2,[1]ratio_ins!$B:$B,0))*$G87*INDEX([1]ratio_ins!$C:$C,MATCH('001_population_health_zone_zs'!$B87,[1]ratio_ins!$B:$B,0))</f>
        <v>11318.843286000001</v>
      </c>
      <c r="S87" s="10">
        <f>INDEX([1]ratio_ins!Q:Q,MATCH('001_population_health_zone_zs'!$B$2,[1]ratio_ins!$B:$B,0))*$G87*INDEX([1]ratio_ins!$C:$C,MATCH('001_population_health_zone_zs'!$B87,[1]ratio_ins!$B:$B,0))</f>
        <v>9531.6575040000007</v>
      </c>
      <c r="T87" s="10">
        <f>INDEX([1]ratio_ins!R:R,MATCH('001_population_health_zone_zs'!$B$2,[1]ratio_ins!$B:$B,0))*$G87*INDEX([1]ratio_ins!$C:$C,MATCH('001_population_health_zone_zs'!$B87,[1]ratio_ins!$B:$B,0))</f>
        <v>6751.5907320000006</v>
      </c>
      <c r="U87" s="10">
        <f>INDEX([1]ratio_ins!S:S,MATCH('001_population_health_zone_zs'!$B$2,[1]ratio_ins!$B:$B,0))*$G87*INDEX([1]ratio_ins!$C:$C,MATCH('001_population_health_zone_zs'!$B87,[1]ratio_ins!$B:$B,0))</f>
        <v>5361.5573460000014</v>
      </c>
      <c r="V87" s="10">
        <f>INDEX([1]ratio_ins!T:T,MATCH('001_population_health_zone_zs'!$B$2,[1]ratio_ins!$B:$B,0))*$G87*INDEX([1]ratio_ins!$C:$C,MATCH('001_population_health_zone_zs'!$B87,[1]ratio_ins!$B:$B,0))</f>
        <v>2978.6429699999999</v>
      </c>
      <c r="W87" s="11">
        <f>INDEX([1]ratio_ins!U:U,MATCH('001_population_health_zone_zs'!$B$2,[1]ratio_ins!$B:$B,0))*$G87*INDEX([1]ratio_ins!$C:$C,MATCH('001_population_health_zone_zs'!$B87,[1]ratio_ins!$B:$B,0))</f>
        <v>81257.380221600004</v>
      </c>
      <c r="X87" s="10">
        <f>INDEX([1]ratio_ins!V:V,MATCH('001_population_health_zone_zs'!$B$2,[1]ratio_ins!$B:$B,0))*$G87*INDEX([1]ratio_ins!$C:$C,MATCH('001_population_health_zone_zs'!$B87,[1]ratio_ins!$B:$B,0))</f>
        <v>2382.9143760000002</v>
      </c>
      <c r="Y87" s="10">
        <f>INDEX([1]ratio_ins!W:W,MATCH('001_population_health_zone_zs'!$B$2,[1]ratio_ins!$B:$B,0))*$G87*INDEX([1]ratio_ins!$C:$C,MATCH('001_population_health_zone_zs'!$B87,[1]ratio_ins!$B:$B,0))</f>
        <v>1588.6095840000003</v>
      </c>
      <c r="Z87" s="10">
        <f>INDEX([1]ratio_ins!X:X,MATCH('001_population_health_zone_zs'!$B$2,[1]ratio_ins!$B:$B,0))*$G87*INDEX([1]ratio_ins!$C:$C,MATCH('001_population_health_zone_zs'!$B87,[1]ratio_ins!$B:$B,0))</f>
        <v>794.30479200000013</v>
      </c>
      <c r="AA87" s="10">
        <f>INDEX([1]ratio_ins!Y:Y,MATCH('001_population_health_zone_zs'!$B$2,[1]ratio_ins!$B:$B,0))*$G87*INDEX([1]ratio_ins!$C:$C,MATCH('001_population_health_zone_zs'!$B87,[1]ratio_ins!$B:$B,0))</f>
        <v>397.15239600000007</v>
      </c>
      <c r="AB87" s="11">
        <f>INDEX([1]ratio_ins!Z:Z,MATCH('001_population_health_zone_zs'!$B$2,[1]ratio_ins!$B:$B,0))*$G87*INDEX([1]ratio_ins!$C:$C,MATCH('001_population_health_zone_zs'!$B87,[1]ratio_ins!$B:$B,0))</f>
        <v>5162.9811480000008</v>
      </c>
      <c r="AC87" s="12">
        <f t="shared" si="6"/>
        <v>198576.198</v>
      </c>
      <c r="AD87" s="10">
        <f>INDEX([1]ratio_ins!AA:AA,MATCH('001_population_health_zone_zs'!$B$2,[1]ratio_ins!$B:$B,0))*$G87*INDEX([1]ratio_ins!$D:$D,MATCH('001_population_health_zone_zs'!$B87,[1]ratio_ins!$B:$B,0))</f>
        <v>43927.33842</v>
      </c>
      <c r="AE87" s="10">
        <f>INDEX([1]ratio_ins!AB:AB,MATCH('001_population_health_zone_zs'!$B$2,[1]ratio_ins!$B:$B,0))*$G87*INDEX([1]ratio_ins!$D:$D,MATCH('001_population_health_zone_zs'!$B87,[1]ratio_ins!$B:$B,0))</f>
        <v>36187.759746000003</v>
      </c>
      <c r="AF87" s="10">
        <f>INDEX([1]ratio_ins!AC:AC,MATCH('001_population_health_zone_zs'!$B$2,[1]ratio_ins!$B:$B,0))*$G87*INDEX([1]ratio_ins!$D:$D,MATCH('001_population_health_zone_zs'!$B87,[1]ratio_ins!$B:$B,0))</f>
        <v>28657.358873999998</v>
      </c>
      <c r="AG87" s="10">
        <f>INDEX([1]ratio_ins!AD:AD,MATCH('001_population_health_zone_zs'!$B$2,[1]ratio_ins!$B:$B,0))*$G87*INDEX([1]ratio_ins!$D:$D,MATCH('001_population_health_zone_zs'!$B87,[1]ratio_ins!$B:$B,0))</f>
        <v>17361.757566</v>
      </c>
      <c r="AH87" s="10">
        <f>INDEX([1]ratio_ins!AE:AE,MATCH('001_population_health_zone_zs'!$B$2,[1]ratio_ins!$B:$B,0))*$G87*INDEX([1]ratio_ins!$D:$D,MATCH('001_population_health_zone_zs'!$B87,[1]ratio_ins!$B:$B,0))</f>
        <v>10417.0545396</v>
      </c>
      <c r="AI87" s="13">
        <f>INDEX([1]ratio_ins!AF:AF,MATCH('001_population_health_zone_zs'!$B$2,[1]ratio_ins!$B:$B,0))*$G87*INDEX([1]ratio_ins!$D:$D,MATCH('001_population_health_zone_zs'!$B87,[1]ratio_ins!$B:$B,0))</f>
        <v>119189.5115796</v>
      </c>
      <c r="AJ87" s="10">
        <f>INDEX([1]ratio_ins!AG:AG,MATCH('001_population_health_zone_zs'!$B$2,[1]ratio_ins!$B:$B,0))*$G87*INDEX([1]ratio_ins!$D:$D,MATCH('001_population_health_zone_zs'!$B87,[1]ratio_ins!$B:$B,0))</f>
        <v>6944.7030264000005</v>
      </c>
      <c r="AK87" s="10">
        <f>INDEX([1]ratio_ins!AH:AH,MATCH('001_population_health_zone_zs'!$B$2,[1]ratio_ins!$B:$B,0))*$G87*INDEX([1]ratio_ins!$D:$D,MATCH('001_population_health_zone_zs'!$B87,[1]ratio_ins!$B:$B,0))</f>
        <v>15479.157348000002</v>
      </c>
      <c r="AL87" s="10">
        <f>INDEX([1]ratio_ins!AI:AI,MATCH('001_population_health_zone_zs'!$B$2,[1]ratio_ins!$B:$B,0))*$G87*INDEX([1]ratio_ins!$D:$D,MATCH('001_population_health_zone_zs'!$B87,[1]ratio_ins!$B:$B,0))</f>
        <v>14642.446140000002</v>
      </c>
      <c r="AM87" s="10">
        <f>INDEX([1]ratio_ins!AJ:AJ,MATCH('001_population_health_zone_zs'!$B$2,[1]ratio_ins!$B:$B,0))*$G87*INDEX([1]ratio_ins!$D:$D,MATCH('001_population_health_zone_zs'!$B87,[1]ratio_ins!$B:$B,0))</f>
        <v>13387.379328000001</v>
      </c>
      <c r="AN87" s="10">
        <f>INDEX([1]ratio_ins!AK:AK,MATCH('001_population_health_zone_zs'!$B$2,[1]ratio_ins!$B:$B,0))*$G87*INDEX([1]ratio_ins!$D:$D,MATCH('001_population_health_zone_zs'!$B87,[1]ratio_ins!$B:$B,0))</f>
        <v>12550.668119999998</v>
      </c>
      <c r="AO87" s="10">
        <f>INDEX([1]ratio_ins!AL:AL,MATCH('001_population_health_zone_zs'!$B$2,[1]ratio_ins!$B:$B,0))*$G87*INDEX([1]ratio_ins!$D:$D,MATCH('001_population_health_zone_zs'!$B87,[1]ratio_ins!$B:$B,0))</f>
        <v>9413.0010899999997</v>
      </c>
      <c r="AP87" s="10">
        <f>INDEX([1]ratio_ins!AM:AM,MATCH('001_population_health_zone_zs'!$B$2,[1]ratio_ins!$B:$B,0))*$G87*INDEX([1]ratio_ins!$D:$D,MATCH('001_population_health_zone_zs'!$B87,[1]ratio_ins!$B:$B,0))</f>
        <v>6066.156258</v>
      </c>
      <c r="AQ87" s="10">
        <f>INDEX([1]ratio_ins!AN:AN,MATCH('001_population_health_zone_zs'!$B$2,[1]ratio_ins!$B:$B,0))*$G87*INDEX([1]ratio_ins!$D:$D,MATCH('001_population_health_zone_zs'!$B87,[1]ratio_ins!$B:$B,0))</f>
        <v>4811.089446</v>
      </c>
      <c r="AR87" s="10">
        <f>INDEX([1]ratio_ins!AO:AO,MATCH('001_population_health_zone_zs'!$B$2,[1]ratio_ins!$B:$B,0))*$G87*INDEX([1]ratio_ins!$D:$D,MATCH('001_population_health_zone_zs'!$B87,[1]ratio_ins!$B:$B,0))</f>
        <v>2300.9558220000004</v>
      </c>
      <c r="AS87" s="13">
        <f>INDEX([1]ratio_ins!AP:AP,MATCH('001_population_health_zone_zs'!$B$2,[1]ratio_ins!$B:$B,0))*$G87*INDEX([1]ratio_ins!$D:$D,MATCH('001_population_health_zone_zs'!$B87,[1]ratio_ins!$B:$B,0))</f>
        <v>85595.556578400006</v>
      </c>
      <c r="AT87" s="10">
        <f>INDEX([1]ratio_ins!AQ:AQ,MATCH('001_population_health_zone_zs'!$B$2,[1]ratio_ins!$B:$B,0))*$G87*INDEX([1]ratio_ins!$D:$D,MATCH('001_population_health_zone_zs'!$B87,[1]ratio_ins!$B:$B,0))</f>
        <v>2091.7780200000002</v>
      </c>
      <c r="AU87" s="10">
        <f>INDEX([1]ratio_ins!AR:AR,MATCH('001_population_health_zone_zs'!$B$2,[1]ratio_ins!$B:$B,0))*$G87*INDEX([1]ratio_ins!$D:$D,MATCH('001_population_health_zone_zs'!$B87,[1]ratio_ins!$B:$B,0))</f>
        <v>1255.066812</v>
      </c>
      <c r="AV87" s="10">
        <f>INDEX([1]ratio_ins!AS:AS,MATCH('001_population_health_zone_zs'!$B$2,[1]ratio_ins!$B:$B,0))*$G87*INDEX([1]ratio_ins!$D:$D,MATCH('001_population_health_zone_zs'!$B87,[1]ratio_ins!$B:$B,0))</f>
        <v>627.53340600000001</v>
      </c>
      <c r="AW87" s="10">
        <f>INDEX([1]ratio_ins!AT:AT,MATCH('001_population_health_zone_zs'!$B$2,[1]ratio_ins!$B:$B,0))*$G87*INDEX([1]ratio_ins!$D:$D,MATCH('001_population_health_zone_zs'!$B87,[1]ratio_ins!$B:$B,0))</f>
        <v>418.35560400000003</v>
      </c>
      <c r="AX87" s="13">
        <f>INDEX([1]ratio_ins!AU:AU,MATCH('001_population_health_zone_zs'!$B$2,[1]ratio_ins!$B:$B,0))*$G87*INDEX([1]ratio_ins!$D:$D,MATCH('001_population_health_zone_zs'!$B87,[1]ratio_ins!$B:$B,0))</f>
        <v>4392.7338419999996</v>
      </c>
      <c r="AY87" s="14">
        <f t="shared" si="7"/>
        <v>209177.802</v>
      </c>
      <c r="AZ87" s="15">
        <f t="shared" si="8"/>
        <v>407754</v>
      </c>
      <c r="BA87" s="16">
        <v>393410.60859772406</v>
      </c>
      <c r="BB87" s="10">
        <f t="shared" si="9"/>
        <v>88900.565850000014</v>
      </c>
      <c r="BC87" s="17">
        <f t="shared" si="10"/>
        <v>0.21802500000000002</v>
      </c>
      <c r="BD87" s="10">
        <f t="shared" si="11"/>
        <v>82806.274566000007</v>
      </c>
    </row>
    <row r="88" spans="1:56" x14ac:dyDescent="0.25">
      <c r="A88" s="8" t="s">
        <v>197</v>
      </c>
      <c r="B88" s="8" t="s">
        <v>198</v>
      </c>
      <c r="C88" s="8" t="s">
        <v>215</v>
      </c>
      <c r="D88" s="8" t="s">
        <v>216</v>
      </c>
      <c r="E88" s="8" t="s">
        <v>215</v>
      </c>
      <c r="F88" s="8" t="s">
        <v>217</v>
      </c>
      <c r="G88" s="9">
        <v>428516</v>
      </c>
      <c r="H88" s="10">
        <f>INDEX([1]ratio_ins!F:F,MATCH('001_population_health_zone_zs'!$B$2,[1]ratio_ins!$B:$B,0))*$G88*INDEX([1]ratio_ins!$C:$C,MATCH('001_population_health_zone_zs'!$B88,[1]ratio_ins!$B:$B,0))</f>
        <v>43615.644028000002</v>
      </c>
      <c r="I88" s="10">
        <f>INDEX([1]ratio_ins!G:G,MATCH('001_population_health_zone_zs'!$B$2,[1]ratio_ins!$B:$B,0))*$G88*INDEX([1]ratio_ins!$C:$C,MATCH('001_population_health_zone_zs'!$B88,[1]ratio_ins!$B:$B,0))</f>
        <v>35685.526932000008</v>
      </c>
      <c r="J88" s="10">
        <f>INDEX([1]ratio_ins!H:H,MATCH('001_population_health_zone_zs'!$B$2,[1]ratio_ins!$B:$B,0))*$G88*INDEX([1]ratio_ins!$C:$C,MATCH('001_population_health_zone_zs'!$B88,[1]ratio_ins!$B:$B,0))</f>
        <v>28172.784420000004</v>
      </c>
      <c r="K88" s="10">
        <f>INDEX([1]ratio_ins!I:I,MATCH('001_population_health_zone_zs'!$B$2,[1]ratio_ins!$B:$B,0))*$G88*INDEX([1]ratio_ins!$C:$C,MATCH('001_population_health_zone_zs'!$B88,[1]ratio_ins!$B:$B,0))</f>
        <v>17321.045236000002</v>
      </c>
      <c r="L88" s="10">
        <f>INDEX([1]ratio_ins!J:J,MATCH('001_population_health_zone_zs'!$B$2,[1]ratio_ins!$B:$B,0))*$G88*INDEX([1]ratio_ins!$C:$C,MATCH('001_population_health_zone_zs'!$B88,[1]ratio_ins!$B:$B,0))</f>
        <v>10392.6271416</v>
      </c>
      <c r="M88" s="11">
        <f>INDEX([1]ratio_ins!K:K,MATCH('001_population_health_zone_zs'!$B$2,[1]ratio_ins!$B:$B,0))*$G88*INDEX([1]ratio_ins!$C:$C,MATCH('001_population_health_zone_zs'!$B88,[1]ratio_ins!$B:$B,0))</f>
        <v>117866.58252160001</v>
      </c>
      <c r="N88" s="10">
        <f>INDEX([1]ratio_ins!L:L,MATCH('001_population_health_zone_zs'!$B$2,[1]ratio_ins!$B:$B,0))*$G88*INDEX([1]ratio_ins!$C:$C,MATCH('001_population_health_zone_zs'!$B88,[1]ratio_ins!$B:$B,0))</f>
        <v>6928.4180944000009</v>
      </c>
      <c r="O88" s="10">
        <f>INDEX([1]ratio_ins!M:M,MATCH('001_population_health_zone_zs'!$B$2,[1]ratio_ins!$B:$B,0))*$G88*INDEX([1]ratio_ins!$C:$C,MATCH('001_population_health_zone_zs'!$B88,[1]ratio_ins!$B:$B,0))</f>
        <v>15025.485024000001</v>
      </c>
      <c r="P88" s="10">
        <f>INDEX([1]ratio_ins!N:N,MATCH('001_population_health_zone_zs'!$B$2,[1]ratio_ins!$B:$B,0))*$G88*INDEX([1]ratio_ins!$C:$C,MATCH('001_population_health_zone_zs'!$B88,[1]ratio_ins!$B:$B,0))</f>
        <v>13564.673980000001</v>
      </c>
      <c r="Q88" s="10">
        <f>INDEX([1]ratio_ins!O:O,MATCH('001_population_health_zone_zs'!$B$2,[1]ratio_ins!$B:$B,0))*$G88*INDEX([1]ratio_ins!$C:$C,MATCH('001_population_health_zone_zs'!$B88,[1]ratio_ins!$B:$B,0))</f>
        <v>12103.862936000001</v>
      </c>
      <c r="R88" s="10">
        <f>INDEX([1]ratio_ins!P:P,MATCH('001_population_health_zone_zs'!$B$2,[1]ratio_ins!$B:$B,0))*$G88*INDEX([1]ratio_ins!$C:$C,MATCH('001_population_health_zone_zs'!$B88,[1]ratio_ins!$B:$B,0))</f>
        <v>11895.175644000001</v>
      </c>
      <c r="S88" s="10">
        <f>INDEX([1]ratio_ins!Q:Q,MATCH('001_population_health_zone_zs'!$B$2,[1]ratio_ins!$B:$B,0))*$G88*INDEX([1]ratio_ins!$C:$C,MATCH('001_population_health_zone_zs'!$B88,[1]ratio_ins!$B:$B,0))</f>
        <v>10016.990016000002</v>
      </c>
      <c r="T88" s="10">
        <f>INDEX([1]ratio_ins!R:R,MATCH('001_population_health_zone_zs'!$B$2,[1]ratio_ins!$B:$B,0))*$G88*INDEX([1]ratio_ins!$C:$C,MATCH('001_population_health_zone_zs'!$B88,[1]ratio_ins!$B:$B,0))</f>
        <v>7095.3679280000015</v>
      </c>
      <c r="U88" s="10">
        <f>INDEX([1]ratio_ins!S:S,MATCH('001_population_health_zone_zs'!$B$2,[1]ratio_ins!$B:$B,0))*$G88*INDEX([1]ratio_ins!$C:$C,MATCH('001_population_health_zone_zs'!$B88,[1]ratio_ins!$B:$B,0))</f>
        <v>5634.5568840000005</v>
      </c>
      <c r="V88" s="10">
        <f>INDEX([1]ratio_ins!T:T,MATCH('001_population_health_zone_zs'!$B$2,[1]ratio_ins!$B:$B,0))*$G88*INDEX([1]ratio_ins!$C:$C,MATCH('001_population_health_zone_zs'!$B88,[1]ratio_ins!$B:$B,0))</f>
        <v>3130.3093800000001</v>
      </c>
      <c r="W88" s="11">
        <f>INDEX([1]ratio_ins!U:U,MATCH('001_population_health_zone_zs'!$B$2,[1]ratio_ins!$B:$B,0))*$G88*INDEX([1]ratio_ins!$C:$C,MATCH('001_population_health_zone_zs'!$B88,[1]ratio_ins!$B:$B,0))</f>
        <v>85394.839886400019</v>
      </c>
      <c r="X88" s="10">
        <f>INDEX([1]ratio_ins!V:V,MATCH('001_population_health_zone_zs'!$B$2,[1]ratio_ins!$B:$B,0))*$G88*INDEX([1]ratio_ins!$C:$C,MATCH('001_population_health_zone_zs'!$B88,[1]ratio_ins!$B:$B,0))</f>
        <v>2504.2475040000004</v>
      </c>
      <c r="Y88" s="10">
        <f>INDEX([1]ratio_ins!W:W,MATCH('001_population_health_zone_zs'!$B$2,[1]ratio_ins!$B:$B,0))*$G88*INDEX([1]ratio_ins!$C:$C,MATCH('001_population_health_zone_zs'!$B88,[1]ratio_ins!$B:$B,0))</f>
        <v>1669.4983360000003</v>
      </c>
      <c r="Z88" s="10">
        <f>INDEX([1]ratio_ins!X:X,MATCH('001_population_health_zone_zs'!$B$2,[1]ratio_ins!$B:$B,0))*$G88*INDEX([1]ratio_ins!$C:$C,MATCH('001_population_health_zone_zs'!$B88,[1]ratio_ins!$B:$B,0))</f>
        <v>834.74916800000017</v>
      </c>
      <c r="AA88" s="10">
        <f>INDEX([1]ratio_ins!Y:Y,MATCH('001_population_health_zone_zs'!$B$2,[1]ratio_ins!$B:$B,0))*$G88*INDEX([1]ratio_ins!$C:$C,MATCH('001_population_health_zone_zs'!$B88,[1]ratio_ins!$B:$B,0))</f>
        <v>417.37458400000008</v>
      </c>
      <c r="AB88" s="11">
        <f>INDEX([1]ratio_ins!Z:Z,MATCH('001_population_health_zone_zs'!$B$2,[1]ratio_ins!$B:$B,0))*$G88*INDEX([1]ratio_ins!$C:$C,MATCH('001_population_health_zone_zs'!$B88,[1]ratio_ins!$B:$B,0))</f>
        <v>5425.8695920000009</v>
      </c>
      <c r="AC88" s="12">
        <f t="shared" si="6"/>
        <v>208687.29200000004</v>
      </c>
      <c r="AD88" s="10">
        <f>INDEX([1]ratio_ins!AA:AA,MATCH('001_population_health_zone_zs'!$B$2,[1]ratio_ins!$B:$B,0))*$G88*INDEX([1]ratio_ins!$D:$D,MATCH('001_population_health_zone_zs'!$B88,[1]ratio_ins!$B:$B,0))</f>
        <v>46164.028680000003</v>
      </c>
      <c r="AE88" s="10">
        <f>INDEX([1]ratio_ins!AB:AB,MATCH('001_population_health_zone_zs'!$B$2,[1]ratio_ins!$B:$B,0))*$G88*INDEX([1]ratio_ins!$D:$D,MATCH('001_population_health_zone_zs'!$B88,[1]ratio_ins!$B:$B,0))</f>
        <v>38030.366484000006</v>
      </c>
      <c r="AF88" s="10">
        <f>INDEX([1]ratio_ins!AC:AC,MATCH('001_population_health_zone_zs'!$B$2,[1]ratio_ins!$B:$B,0))*$G88*INDEX([1]ratio_ins!$D:$D,MATCH('001_population_health_zone_zs'!$B88,[1]ratio_ins!$B:$B,0))</f>
        <v>30116.532995999998</v>
      </c>
      <c r="AG88" s="10">
        <f>INDEX([1]ratio_ins!AD:AD,MATCH('001_population_health_zone_zs'!$B$2,[1]ratio_ins!$B:$B,0))*$G88*INDEX([1]ratio_ins!$D:$D,MATCH('001_population_health_zone_zs'!$B88,[1]ratio_ins!$B:$B,0))</f>
        <v>18245.782764</v>
      </c>
      <c r="AH88" s="10">
        <f>INDEX([1]ratio_ins!AE:AE,MATCH('001_population_health_zone_zs'!$B$2,[1]ratio_ins!$B:$B,0))*$G88*INDEX([1]ratio_ins!$D:$D,MATCH('001_population_health_zone_zs'!$B88,[1]ratio_ins!$B:$B,0))</f>
        <v>10947.469658399999</v>
      </c>
      <c r="AI88" s="13">
        <f>INDEX([1]ratio_ins!AF:AF,MATCH('001_population_health_zone_zs'!$B$2,[1]ratio_ins!$B:$B,0))*$G88*INDEX([1]ratio_ins!$D:$D,MATCH('001_population_health_zone_zs'!$B88,[1]ratio_ins!$B:$B,0))</f>
        <v>125258.39781839999</v>
      </c>
      <c r="AJ88" s="10">
        <f>INDEX([1]ratio_ins!AG:AG,MATCH('001_population_health_zone_zs'!$B$2,[1]ratio_ins!$B:$B,0))*$G88*INDEX([1]ratio_ins!$D:$D,MATCH('001_population_health_zone_zs'!$B88,[1]ratio_ins!$B:$B,0))</f>
        <v>7298.3131056000002</v>
      </c>
      <c r="AK88" s="10">
        <f>INDEX([1]ratio_ins!AH:AH,MATCH('001_population_health_zone_zs'!$B$2,[1]ratio_ins!$B:$B,0))*$G88*INDEX([1]ratio_ins!$D:$D,MATCH('001_population_health_zone_zs'!$B88,[1]ratio_ins!$B:$B,0))</f>
        <v>16267.324392000002</v>
      </c>
      <c r="AL88" s="10">
        <f>INDEX([1]ratio_ins!AI:AI,MATCH('001_population_health_zone_zs'!$B$2,[1]ratio_ins!$B:$B,0))*$G88*INDEX([1]ratio_ins!$D:$D,MATCH('001_population_health_zone_zs'!$B88,[1]ratio_ins!$B:$B,0))</f>
        <v>15388.009560000002</v>
      </c>
      <c r="AM88" s="10">
        <f>INDEX([1]ratio_ins!AJ:AJ,MATCH('001_population_health_zone_zs'!$B$2,[1]ratio_ins!$B:$B,0))*$G88*INDEX([1]ratio_ins!$D:$D,MATCH('001_population_health_zone_zs'!$B88,[1]ratio_ins!$B:$B,0))</f>
        <v>14069.037312</v>
      </c>
      <c r="AN88" s="10">
        <f>INDEX([1]ratio_ins!AK:AK,MATCH('001_population_health_zone_zs'!$B$2,[1]ratio_ins!$B:$B,0))*$G88*INDEX([1]ratio_ins!$D:$D,MATCH('001_population_health_zone_zs'!$B88,[1]ratio_ins!$B:$B,0))</f>
        <v>13189.72248</v>
      </c>
      <c r="AO88" s="10">
        <f>INDEX([1]ratio_ins!AL:AL,MATCH('001_population_health_zone_zs'!$B$2,[1]ratio_ins!$B:$B,0))*$G88*INDEX([1]ratio_ins!$D:$D,MATCH('001_population_health_zone_zs'!$B88,[1]ratio_ins!$B:$B,0))</f>
        <v>9892.2918599999994</v>
      </c>
      <c r="AP88" s="10">
        <f>INDEX([1]ratio_ins!AM:AM,MATCH('001_population_health_zone_zs'!$B$2,[1]ratio_ins!$B:$B,0))*$G88*INDEX([1]ratio_ins!$D:$D,MATCH('001_population_health_zone_zs'!$B88,[1]ratio_ins!$B:$B,0))</f>
        <v>6375.0325320000002</v>
      </c>
      <c r="AQ88" s="10">
        <f>INDEX([1]ratio_ins!AN:AN,MATCH('001_population_health_zone_zs'!$B$2,[1]ratio_ins!$B:$B,0))*$G88*INDEX([1]ratio_ins!$D:$D,MATCH('001_population_health_zone_zs'!$B88,[1]ratio_ins!$B:$B,0))</f>
        <v>5056.0602840000001</v>
      </c>
      <c r="AR88" s="10">
        <f>INDEX([1]ratio_ins!AO:AO,MATCH('001_population_health_zone_zs'!$B$2,[1]ratio_ins!$B:$B,0))*$G88*INDEX([1]ratio_ins!$D:$D,MATCH('001_population_health_zone_zs'!$B88,[1]ratio_ins!$B:$B,0))</f>
        <v>2418.1157880000001</v>
      </c>
      <c r="AS88" s="13">
        <f>INDEX([1]ratio_ins!AP:AP,MATCH('001_population_health_zone_zs'!$B$2,[1]ratio_ins!$B:$B,0))*$G88*INDEX([1]ratio_ins!$D:$D,MATCH('001_population_health_zone_zs'!$B88,[1]ratio_ins!$B:$B,0))</f>
        <v>89953.907313600008</v>
      </c>
      <c r="AT88" s="10">
        <f>INDEX([1]ratio_ins!AQ:AQ,MATCH('001_population_health_zone_zs'!$B$2,[1]ratio_ins!$B:$B,0))*$G88*INDEX([1]ratio_ins!$D:$D,MATCH('001_population_health_zone_zs'!$B88,[1]ratio_ins!$B:$B,0))</f>
        <v>2198.2870800000001</v>
      </c>
      <c r="AU88" s="10">
        <f>INDEX([1]ratio_ins!AR:AR,MATCH('001_population_health_zone_zs'!$B$2,[1]ratio_ins!$B:$B,0))*$G88*INDEX([1]ratio_ins!$D:$D,MATCH('001_population_health_zone_zs'!$B88,[1]ratio_ins!$B:$B,0))</f>
        <v>1318.972248</v>
      </c>
      <c r="AV88" s="10">
        <f>INDEX([1]ratio_ins!AS:AS,MATCH('001_population_health_zone_zs'!$B$2,[1]ratio_ins!$B:$B,0))*$G88*INDEX([1]ratio_ins!$D:$D,MATCH('001_population_health_zone_zs'!$B88,[1]ratio_ins!$B:$B,0))</f>
        <v>659.48612400000002</v>
      </c>
      <c r="AW88" s="10">
        <f>INDEX([1]ratio_ins!AT:AT,MATCH('001_population_health_zone_zs'!$B$2,[1]ratio_ins!$B:$B,0))*$G88*INDEX([1]ratio_ins!$D:$D,MATCH('001_population_health_zone_zs'!$B88,[1]ratio_ins!$B:$B,0))</f>
        <v>439.65741600000001</v>
      </c>
      <c r="AX88" s="13">
        <f>INDEX([1]ratio_ins!AU:AU,MATCH('001_population_health_zone_zs'!$B$2,[1]ratio_ins!$B:$B,0))*$G88*INDEX([1]ratio_ins!$D:$D,MATCH('001_population_health_zone_zs'!$B88,[1]ratio_ins!$B:$B,0))</f>
        <v>4616.4028680000001</v>
      </c>
      <c r="AY88" s="14">
        <f t="shared" si="7"/>
        <v>219828.70800000001</v>
      </c>
      <c r="AZ88" s="15">
        <f t="shared" si="8"/>
        <v>428516.00000000006</v>
      </c>
      <c r="BA88" s="16">
        <v>413442.12078426965</v>
      </c>
      <c r="BB88" s="10">
        <f t="shared" si="9"/>
        <v>93427.200899999996</v>
      </c>
      <c r="BC88" s="17">
        <f t="shared" si="10"/>
        <v>0.218025</v>
      </c>
      <c r="BD88" s="10">
        <f t="shared" si="11"/>
        <v>87022.600764000017</v>
      </c>
    </row>
    <row r="89" spans="1:56" x14ac:dyDescent="0.25">
      <c r="A89" s="8" t="s">
        <v>197</v>
      </c>
      <c r="B89" s="8" t="s">
        <v>198</v>
      </c>
      <c r="C89" s="8" t="s">
        <v>215</v>
      </c>
      <c r="D89" s="8" t="s">
        <v>216</v>
      </c>
      <c r="E89" s="8" t="s">
        <v>218</v>
      </c>
      <c r="F89" s="8" t="s">
        <v>219</v>
      </c>
      <c r="G89" s="9">
        <v>332099</v>
      </c>
      <c r="H89" s="10">
        <f>INDEX([1]ratio_ins!F:F,MATCH('001_population_health_zone_zs'!$B$2,[1]ratio_ins!$B:$B,0))*$G89*INDEX([1]ratio_ins!$C:$C,MATCH('001_population_health_zone_zs'!$B89,[1]ratio_ins!$B:$B,0))</f>
        <v>33802.032517</v>
      </c>
      <c r="I89" s="10">
        <f>INDEX([1]ratio_ins!G:G,MATCH('001_population_health_zone_zs'!$B$2,[1]ratio_ins!$B:$B,0))*$G89*INDEX([1]ratio_ins!$C:$C,MATCH('001_population_health_zone_zs'!$B89,[1]ratio_ins!$B:$B,0))</f>
        <v>27656.208423000004</v>
      </c>
      <c r="J89" s="10">
        <f>INDEX([1]ratio_ins!H:H,MATCH('001_population_health_zone_zs'!$B$2,[1]ratio_ins!$B:$B,0))*$G89*INDEX([1]ratio_ins!$C:$C,MATCH('001_population_health_zone_zs'!$B89,[1]ratio_ins!$B:$B,0))</f>
        <v>21833.848755000003</v>
      </c>
      <c r="K89" s="10">
        <f>INDEX([1]ratio_ins!I:I,MATCH('001_population_health_zone_zs'!$B$2,[1]ratio_ins!$B:$B,0))*$G89*INDEX([1]ratio_ins!$C:$C,MATCH('001_population_health_zone_zs'!$B89,[1]ratio_ins!$B:$B,0))</f>
        <v>13423.773679000002</v>
      </c>
      <c r="L89" s="10">
        <f>INDEX([1]ratio_ins!J:J,MATCH('001_population_health_zone_zs'!$B$2,[1]ratio_ins!$B:$B,0))*$G89*INDEX([1]ratio_ins!$C:$C,MATCH('001_population_health_zone_zs'!$B89,[1]ratio_ins!$B:$B,0))</f>
        <v>8054.2642073999996</v>
      </c>
      <c r="M89" s="11">
        <f>INDEX([1]ratio_ins!K:K,MATCH('001_population_health_zone_zs'!$B$2,[1]ratio_ins!$B:$B,0))*$G89*INDEX([1]ratio_ins!$C:$C,MATCH('001_population_health_zone_zs'!$B89,[1]ratio_ins!$B:$B,0))</f>
        <v>91346.353902400006</v>
      </c>
      <c r="N89" s="10">
        <f>INDEX([1]ratio_ins!L:L,MATCH('001_population_health_zone_zs'!$B$2,[1]ratio_ins!$B:$B,0))*$G89*INDEX([1]ratio_ins!$C:$C,MATCH('001_population_health_zone_zs'!$B89,[1]ratio_ins!$B:$B,0))</f>
        <v>5369.5094716000003</v>
      </c>
      <c r="O89" s="10">
        <f>INDEX([1]ratio_ins!M:M,MATCH('001_population_health_zone_zs'!$B$2,[1]ratio_ins!$B:$B,0))*$G89*INDEX([1]ratio_ins!$C:$C,MATCH('001_population_health_zone_zs'!$B89,[1]ratio_ins!$B:$B,0))</f>
        <v>11644.719336000004</v>
      </c>
      <c r="P89" s="10">
        <f>INDEX([1]ratio_ins!N:N,MATCH('001_population_health_zone_zs'!$B$2,[1]ratio_ins!$B:$B,0))*$G89*INDEX([1]ratio_ins!$C:$C,MATCH('001_population_health_zone_zs'!$B89,[1]ratio_ins!$B:$B,0))</f>
        <v>10512.593845000001</v>
      </c>
      <c r="Q89" s="10">
        <f>INDEX([1]ratio_ins!O:O,MATCH('001_population_health_zone_zs'!$B$2,[1]ratio_ins!$B:$B,0))*$G89*INDEX([1]ratio_ins!$C:$C,MATCH('001_population_health_zone_zs'!$B89,[1]ratio_ins!$B:$B,0))</f>
        <v>9380.4683540000005</v>
      </c>
      <c r="R89" s="10">
        <f>INDEX([1]ratio_ins!P:P,MATCH('001_population_health_zone_zs'!$B$2,[1]ratio_ins!$B:$B,0))*$G89*INDEX([1]ratio_ins!$C:$C,MATCH('001_population_health_zone_zs'!$B89,[1]ratio_ins!$B:$B,0))</f>
        <v>9218.7361410000012</v>
      </c>
      <c r="S89" s="10">
        <f>INDEX([1]ratio_ins!Q:Q,MATCH('001_population_health_zone_zs'!$B$2,[1]ratio_ins!$B:$B,0))*$G89*INDEX([1]ratio_ins!$C:$C,MATCH('001_population_health_zone_zs'!$B89,[1]ratio_ins!$B:$B,0))</f>
        <v>7763.146224000001</v>
      </c>
      <c r="T89" s="10">
        <f>INDEX([1]ratio_ins!R:R,MATCH('001_population_health_zone_zs'!$B$2,[1]ratio_ins!$B:$B,0))*$G89*INDEX([1]ratio_ins!$C:$C,MATCH('001_population_health_zone_zs'!$B89,[1]ratio_ins!$B:$B,0))</f>
        <v>5498.8952420000005</v>
      </c>
      <c r="U89" s="10">
        <f>INDEX([1]ratio_ins!S:S,MATCH('001_population_health_zone_zs'!$B$2,[1]ratio_ins!$B:$B,0))*$G89*INDEX([1]ratio_ins!$C:$C,MATCH('001_population_health_zone_zs'!$B89,[1]ratio_ins!$B:$B,0))</f>
        <v>4366.7697510000007</v>
      </c>
      <c r="V89" s="10">
        <f>INDEX([1]ratio_ins!T:T,MATCH('001_population_health_zone_zs'!$B$2,[1]ratio_ins!$B:$B,0))*$G89*INDEX([1]ratio_ins!$C:$C,MATCH('001_population_health_zone_zs'!$B89,[1]ratio_ins!$B:$B,0))</f>
        <v>2425.9831950000003</v>
      </c>
      <c r="W89" s="11">
        <f>INDEX([1]ratio_ins!U:U,MATCH('001_population_health_zone_zs'!$B$2,[1]ratio_ins!$B:$B,0))*$G89*INDEX([1]ratio_ins!$C:$C,MATCH('001_population_health_zone_zs'!$B89,[1]ratio_ins!$B:$B,0))</f>
        <v>66180.821559600008</v>
      </c>
      <c r="X89" s="10">
        <f>INDEX([1]ratio_ins!V:V,MATCH('001_population_health_zone_zs'!$B$2,[1]ratio_ins!$B:$B,0))*$G89*INDEX([1]ratio_ins!$C:$C,MATCH('001_population_health_zone_zs'!$B89,[1]ratio_ins!$B:$B,0))</f>
        <v>1940.7865560000002</v>
      </c>
      <c r="Y89" s="10">
        <f>INDEX([1]ratio_ins!W:W,MATCH('001_population_health_zone_zs'!$B$2,[1]ratio_ins!$B:$B,0))*$G89*INDEX([1]ratio_ins!$C:$C,MATCH('001_population_health_zone_zs'!$B89,[1]ratio_ins!$B:$B,0))</f>
        <v>1293.857704</v>
      </c>
      <c r="Z89" s="10">
        <f>INDEX([1]ratio_ins!X:X,MATCH('001_population_health_zone_zs'!$B$2,[1]ratio_ins!$B:$B,0))*$G89*INDEX([1]ratio_ins!$C:$C,MATCH('001_population_health_zone_zs'!$B89,[1]ratio_ins!$B:$B,0))</f>
        <v>646.92885200000001</v>
      </c>
      <c r="AA89" s="10">
        <f>INDEX([1]ratio_ins!Y:Y,MATCH('001_population_health_zone_zs'!$B$2,[1]ratio_ins!$B:$B,0))*$G89*INDEX([1]ratio_ins!$C:$C,MATCH('001_population_health_zone_zs'!$B89,[1]ratio_ins!$B:$B,0))</f>
        <v>323.464426</v>
      </c>
      <c r="AB89" s="11">
        <f>INDEX([1]ratio_ins!Z:Z,MATCH('001_population_health_zone_zs'!$B$2,[1]ratio_ins!$B:$B,0))*$G89*INDEX([1]ratio_ins!$C:$C,MATCH('001_population_health_zone_zs'!$B89,[1]ratio_ins!$B:$B,0))</f>
        <v>4205.0375380000005</v>
      </c>
      <c r="AC89" s="12">
        <f t="shared" si="6"/>
        <v>161732.21300000002</v>
      </c>
      <c r="AD89" s="10">
        <f>INDEX([1]ratio_ins!AA:AA,MATCH('001_population_health_zone_zs'!$B$2,[1]ratio_ins!$B:$B,0))*$G89*INDEX([1]ratio_ins!$D:$D,MATCH('001_population_health_zone_zs'!$B89,[1]ratio_ins!$B:$B,0))</f>
        <v>35777.025269999998</v>
      </c>
      <c r="AE89" s="10">
        <f>INDEX([1]ratio_ins!AB:AB,MATCH('001_population_health_zone_zs'!$B$2,[1]ratio_ins!$B:$B,0))*$G89*INDEX([1]ratio_ins!$D:$D,MATCH('001_population_health_zone_zs'!$B89,[1]ratio_ins!$B:$B,0))</f>
        <v>29473.454151000005</v>
      </c>
      <c r="AF89" s="10">
        <f>INDEX([1]ratio_ins!AC:AC,MATCH('001_population_health_zone_zs'!$B$2,[1]ratio_ins!$B:$B,0))*$G89*INDEX([1]ratio_ins!$D:$D,MATCH('001_population_health_zone_zs'!$B89,[1]ratio_ins!$B:$B,0))</f>
        <v>23340.249818999997</v>
      </c>
      <c r="AG89" s="10">
        <f>INDEX([1]ratio_ins!AD:AD,MATCH('001_population_health_zone_zs'!$B$2,[1]ratio_ins!$B:$B,0))*$G89*INDEX([1]ratio_ins!$D:$D,MATCH('001_population_health_zone_zs'!$B89,[1]ratio_ins!$B:$B,0))</f>
        <v>14140.443321000001</v>
      </c>
      <c r="AH89" s="10">
        <f>INDEX([1]ratio_ins!AE:AE,MATCH('001_population_health_zone_zs'!$B$2,[1]ratio_ins!$B:$B,0))*$G89*INDEX([1]ratio_ins!$D:$D,MATCH('001_population_health_zone_zs'!$B89,[1]ratio_ins!$B:$B,0))</f>
        <v>8484.2659925999997</v>
      </c>
      <c r="AI89" s="13">
        <f>INDEX([1]ratio_ins!AF:AF,MATCH('001_population_health_zone_zs'!$B$2,[1]ratio_ins!$B:$B,0))*$G89*INDEX([1]ratio_ins!$D:$D,MATCH('001_population_health_zone_zs'!$B89,[1]ratio_ins!$B:$B,0))</f>
        <v>97074.995232599991</v>
      </c>
      <c r="AJ89" s="10">
        <f>INDEX([1]ratio_ins!AG:AG,MATCH('001_population_health_zone_zs'!$B$2,[1]ratio_ins!$B:$B,0))*$G89*INDEX([1]ratio_ins!$D:$D,MATCH('001_population_health_zone_zs'!$B89,[1]ratio_ins!$B:$B,0))</f>
        <v>5656.1773284000001</v>
      </c>
      <c r="AK89" s="10">
        <f>INDEX([1]ratio_ins!AH:AH,MATCH('001_population_health_zone_zs'!$B$2,[1]ratio_ins!$B:$B,0))*$G89*INDEX([1]ratio_ins!$D:$D,MATCH('001_population_health_zone_zs'!$B89,[1]ratio_ins!$B:$B,0))</f>
        <v>12607.142238000002</v>
      </c>
      <c r="AL89" s="10">
        <f>INDEX([1]ratio_ins!AI:AI,MATCH('001_population_health_zone_zs'!$B$2,[1]ratio_ins!$B:$B,0))*$G89*INDEX([1]ratio_ins!$D:$D,MATCH('001_population_health_zone_zs'!$B89,[1]ratio_ins!$B:$B,0))</f>
        <v>11925.675090000002</v>
      </c>
      <c r="AM89" s="10">
        <f>INDEX([1]ratio_ins!AJ:AJ,MATCH('001_population_health_zone_zs'!$B$2,[1]ratio_ins!$B:$B,0))*$G89*INDEX([1]ratio_ins!$D:$D,MATCH('001_population_health_zone_zs'!$B89,[1]ratio_ins!$B:$B,0))</f>
        <v>10903.474367999999</v>
      </c>
      <c r="AN89" s="10">
        <f>INDEX([1]ratio_ins!AK:AK,MATCH('001_population_health_zone_zs'!$B$2,[1]ratio_ins!$B:$B,0))*$G89*INDEX([1]ratio_ins!$D:$D,MATCH('001_population_health_zone_zs'!$B89,[1]ratio_ins!$B:$B,0))</f>
        <v>10222.00722</v>
      </c>
      <c r="AO89" s="10">
        <f>INDEX([1]ratio_ins!AL:AL,MATCH('001_population_health_zone_zs'!$B$2,[1]ratio_ins!$B:$B,0))*$G89*INDEX([1]ratio_ins!$D:$D,MATCH('001_population_health_zone_zs'!$B89,[1]ratio_ins!$B:$B,0))</f>
        <v>7666.5054150000005</v>
      </c>
      <c r="AP89" s="10">
        <f>INDEX([1]ratio_ins!AM:AM,MATCH('001_population_health_zone_zs'!$B$2,[1]ratio_ins!$B:$B,0))*$G89*INDEX([1]ratio_ins!$D:$D,MATCH('001_population_health_zone_zs'!$B89,[1]ratio_ins!$B:$B,0))</f>
        <v>4940.6368229999998</v>
      </c>
      <c r="AQ89" s="10">
        <f>INDEX([1]ratio_ins!AN:AN,MATCH('001_population_health_zone_zs'!$B$2,[1]ratio_ins!$B:$B,0))*$G89*INDEX([1]ratio_ins!$D:$D,MATCH('001_population_health_zone_zs'!$B89,[1]ratio_ins!$B:$B,0))</f>
        <v>3918.4361010000002</v>
      </c>
      <c r="AR89" s="10">
        <f>INDEX([1]ratio_ins!AO:AO,MATCH('001_population_health_zone_zs'!$B$2,[1]ratio_ins!$B:$B,0))*$G89*INDEX([1]ratio_ins!$D:$D,MATCH('001_population_health_zone_zs'!$B89,[1]ratio_ins!$B:$B,0))</f>
        <v>1874.0346570000002</v>
      </c>
      <c r="AS89" s="13">
        <f>INDEX([1]ratio_ins!AP:AP,MATCH('001_population_health_zone_zs'!$B$2,[1]ratio_ins!$B:$B,0))*$G89*INDEX([1]ratio_ins!$D:$D,MATCH('001_population_health_zone_zs'!$B89,[1]ratio_ins!$B:$B,0))</f>
        <v>69714.089240400004</v>
      </c>
      <c r="AT89" s="10">
        <f>INDEX([1]ratio_ins!AQ:AQ,MATCH('001_population_health_zone_zs'!$B$2,[1]ratio_ins!$B:$B,0))*$G89*INDEX([1]ratio_ins!$D:$D,MATCH('001_population_health_zone_zs'!$B89,[1]ratio_ins!$B:$B,0))</f>
        <v>1703.6678700000002</v>
      </c>
      <c r="AU89" s="10">
        <f>INDEX([1]ratio_ins!AR:AR,MATCH('001_population_health_zone_zs'!$B$2,[1]ratio_ins!$B:$B,0))*$G89*INDEX([1]ratio_ins!$D:$D,MATCH('001_population_health_zone_zs'!$B89,[1]ratio_ins!$B:$B,0))</f>
        <v>1022.200722</v>
      </c>
      <c r="AV89" s="10">
        <f>INDEX([1]ratio_ins!AS:AS,MATCH('001_population_health_zone_zs'!$B$2,[1]ratio_ins!$B:$B,0))*$G89*INDEX([1]ratio_ins!$D:$D,MATCH('001_population_health_zone_zs'!$B89,[1]ratio_ins!$B:$B,0))</f>
        <v>511.10036100000002</v>
      </c>
      <c r="AW89" s="10">
        <f>INDEX([1]ratio_ins!AT:AT,MATCH('001_population_health_zone_zs'!$B$2,[1]ratio_ins!$B:$B,0))*$G89*INDEX([1]ratio_ins!$D:$D,MATCH('001_population_health_zone_zs'!$B89,[1]ratio_ins!$B:$B,0))</f>
        <v>340.73357399999998</v>
      </c>
      <c r="AX89" s="13">
        <f>INDEX([1]ratio_ins!AU:AU,MATCH('001_population_health_zone_zs'!$B$2,[1]ratio_ins!$B:$B,0))*$G89*INDEX([1]ratio_ins!$D:$D,MATCH('001_population_health_zone_zs'!$B89,[1]ratio_ins!$B:$B,0))</f>
        <v>3577.7025269999999</v>
      </c>
      <c r="AY89" s="14">
        <f t="shared" si="7"/>
        <v>170366.78699999998</v>
      </c>
      <c r="AZ89" s="15">
        <f t="shared" si="8"/>
        <v>332099</v>
      </c>
      <c r="BA89" s="16">
        <v>320417.27587310597</v>
      </c>
      <c r="BB89" s="10">
        <f t="shared" si="9"/>
        <v>72405.884474999999</v>
      </c>
      <c r="BC89" s="17">
        <f t="shared" si="10"/>
        <v>0.218025</v>
      </c>
      <c r="BD89" s="10">
        <f t="shared" si="11"/>
        <v>67442.332821000018</v>
      </c>
    </row>
    <row r="90" spans="1:56" x14ac:dyDescent="0.25">
      <c r="A90" s="8" t="s">
        <v>197</v>
      </c>
      <c r="B90" s="8" t="s">
        <v>198</v>
      </c>
      <c r="C90" s="8" t="s">
        <v>215</v>
      </c>
      <c r="D90" s="8" t="s">
        <v>216</v>
      </c>
      <c r="E90" s="8" t="s">
        <v>220</v>
      </c>
      <c r="F90" s="8" t="s">
        <v>221</v>
      </c>
      <c r="G90" s="9">
        <v>451345</v>
      </c>
      <c r="H90" s="10">
        <f>INDEX([1]ratio_ins!F:F,MATCH('001_population_health_zone_zs'!$B$2,[1]ratio_ins!$B:$B,0))*$G90*INDEX([1]ratio_ins!$C:$C,MATCH('001_population_health_zone_zs'!$B90,[1]ratio_ins!$B:$B,0))</f>
        <v>45939.248135000002</v>
      </c>
      <c r="I90" s="10">
        <f>INDEX([1]ratio_ins!G:G,MATCH('001_population_health_zone_zs'!$B$2,[1]ratio_ins!$B:$B,0))*$G90*INDEX([1]ratio_ins!$C:$C,MATCH('001_population_health_zone_zs'!$B90,[1]ratio_ins!$B:$B,0))</f>
        <v>37586.657565000009</v>
      </c>
      <c r="J90" s="10">
        <f>INDEX([1]ratio_ins!H:H,MATCH('001_population_health_zone_zs'!$B$2,[1]ratio_ins!$B:$B,0))*$G90*INDEX([1]ratio_ins!$C:$C,MATCH('001_population_health_zone_zs'!$B90,[1]ratio_ins!$B:$B,0))</f>
        <v>29673.677025000005</v>
      </c>
      <c r="K90" s="10">
        <f>INDEX([1]ratio_ins!I:I,MATCH('001_population_health_zone_zs'!$B$2,[1]ratio_ins!$B:$B,0))*$G90*INDEX([1]ratio_ins!$C:$C,MATCH('001_population_health_zone_zs'!$B90,[1]ratio_ins!$B:$B,0))</f>
        <v>18243.816245000002</v>
      </c>
      <c r="L90" s="10">
        <f>INDEX([1]ratio_ins!J:J,MATCH('001_population_health_zone_zs'!$B$2,[1]ratio_ins!$B:$B,0))*$G90*INDEX([1]ratio_ins!$C:$C,MATCH('001_population_health_zone_zs'!$B90,[1]ratio_ins!$B:$B,0))</f>
        <v>10946.289747000001</v>
      </c>
      <c r="M90" s="11">
        <f>INDEX([1]ratio_ins!K:K,MATCH('001_population_health_zone_zs'!$B$2,[1]ratio_ins!$B:$B,0))*$G90*INDEX([1]ratio_ins!$C:$C,MATCH('001_population_health_zone_zs'!$B90,[1]ratio_ins!$B:$B,0))</f>
        <v>124145.872472</v>
      </c>
      <c r="N90" s="10">
        <f>INDEX([1]ratio_ins!L:L,MATCH('001_population_health_zone_zs'!$B$2,[1]ratio_ins!$B:$B,0))*$G90*INDEX([1]ratio_ins!$C:$C,MATCH('001_population_health_zone_zs'!$B90,[1]ratio_ins!$B:$B,0))</f>
        <v>7297.5264980000011</v>
      </c>
      <c r="O90" s="10">
        <f>INDEX([1]ratio_ins!M:M,MATCH('001_population_health_zone_zs'!$B$2,[1]ratio_ins!$B:$B,0))*$G90*INDEX([1]ratio_ins!$C:$C,MATCH('001_population_health_zone_zs'!$B90,[1]ratio_ins!$B:$B,0))</f>
        <v>15825.961080000003</v>
      </c>
      <c r="P90" s="10">
        <f>INDEX([1]ratio_ins!N:N,MATCH('001_population_health_zone_zs'!$B$2,[1]ratio_ins!$B:$B,0))*$G90*INDEX([1]ratio_ins!$C:$C,MATCH('001_population_health_zone_zs'!$B90,[1]ratio_ins!$B:$B,0))</f>
        <v>14287.325975000002</v>
      </c>
      <c r="Q90" s="10">
        <f>INDEX([1]ratio_ins!O:O,MATCH('001_population_health_zone_zs'!$B$2,[1]ratio_ins!$B:$B,0))*$G90*INDEX([1]ratio_ins!$C:$C,MATCH('001_population_health_zone_zs'!$B90,[1]ratio_ins!$B:$B,0))</f>
        <v>12748.69087</v>
      </c>
      <c r="R90" s="10">
        <f>INDEX([1]ratio_ins!P:P,MATCH('001_population_health_zone_zs'!$B$2,[1]ratio_ins!$B:$B,0))*$G90*INDEX([1]ratio_ins!$C:$C,MATCH('001_population_health_zone_zs'!$B90,[1]ratio_ins!$B:$B,0))</f>
        <v>12528.885855000002</v>
      </c>
      <c r="S90" s="10">
        <f>INDEX([1]ratio_ins!Q:Q,MATCH('001_population_health_zone_zs'!$B$2,[1]ratio_ins!$B:$B,0))*$G90*INDEX([1]ratio_ins!$C:$C,MATCH('001_population_health_zone_zs'!$B90,[1]ratio_ins!$B:$B,0))</f>
        <v>10550.640720000001</v>
      </c>
      <c r="T90" s="10">
        <f>INDEX([1]ratio_ins!R:R,MATCH('001_population_health_zone_zs'!$B$2,[1]ratio_ins!$B:$B,0))*$G90*INDEX([1]ratio_ins!$C:$C,MATCH('001_population_health_zone_zs'!$B90,[1]ratio_ins!$B:$B,0))</f>
        <v>7473.3705100000016</v>
      </c>
      <c r="U90" s="10">
        <f>INDEX([1]ratio_ins!S:S,MATCH('001_population_health_zone_zs'!$B$2,[1]ratio_ins!$B:$B,0))*$G90*INDEX([1]ratio_ins!$C:$C,MATCH('001_population_health_zone_zs'!$B90,[1]ratio_ins!$B:$B,0))</f>
        <v>5934.7354050000013</v>
      </c>
      <c r="V90" s="10">
        <f>INDEX([1]ratio_ins!T:T,MATCH('001_population_health_zone_zs'!$B$2,[1]ratio_ins!$B:$B,0))*$G90*INDEX([1]ratio_ins!$C:$C,MATCH('001_population_health_zone_zs'!$B90,[1]ratio_ins!$B:$B,0))</f>
        <v>3297.0752250000005</v>
      </c>
      <c r="W90" s="11">
        <f>INDEX([1]ratio_ins!U:U,MATCH('001_population_health_zone_zs'!$B$2,[1]ratio_ins!$B:$B,0))*$G90*INDEX([1]ratio_ins!$C:$C,MATCH('001_population_health_zone_zs'!$B90,[1]ratio_ins!$B:$B,0))</f>
        <v>89944.212138000017</v>
      </c>
      <c r="X90" s="10">
        <f>INDEX([1]ratio_ins!V:V,MATCH('001_population_health_zone_zs'!$B$2,[1]ratio_ins!$B:$B,0))*$G90*INDEX([1]ratio_ins!$C:$C,MATCH('001_population_health_zone_zs'!$B90,[1]ratio_ins!$B:$B,0))</f>
        <v>2637.6601800000003</v>
      </c>
      <c r="Y90" s="10">
        <f>INDEX([1]ratio_ins!W:W,MATCH('001_population_health_zone_zs'!$B$2,[1]ratio_ins!$B:$B,0))*$G90*INDEX([1]ratio_ins!$C:$C,MATCH('001_population_health_zone_zs'!$B90,[1]ratio_ins!$B:$B,0))</f>
        <v>1758.4401200000002</v>
      </c>
      <c r="Z90" s="10">
        <f>INDEX([1]ratio_ins!X:X,MATCH('001_population_health_zone_zs'!$B$2,[1]ratio_ins!$B:$B,0))*$G90*INDEX([1]ratio_ins!$C:$C,MATCH('001_population_health_zone_zs'!$B90,[1]ratio_ins!$B:$B,0))</f>
        <v>879.2200600000001</v>
      </c>
      <c r="AA90" s="10">
        <f>INDEX([1]ratio_ins!Y:Y,MATCH('001_population_health_zone_zs'!$B$2,[1]ratio_ins!$B:$B,0))*$G90*INDEX([1]ratio_ins!$C:$C,MATCH('001_population_health_zone_zs'!$B90,[1]ratio_ins!$B:$B,0))</f>
        <v>439.61003000000005</v>
      </c>
      <c r="AB90" s="11">
        <f>INDEX([1]ratio_ins!Z:Z,MATCH('001_population_health_zone_zs'!$B$2,[1]ratio_ins!$B:$B,0))*$G90*INDEX([1]ratio_ins!$C:$C,MATCH('001_population_health_zone_zs'!$B90,[1]ratio_ins!$B:$B,0))</f>
        <v>5714.9303900000014</v>
      </c>
      <c r="AC90" s="12">
        <f t="shared" si="6"/>
        <v>219805.01500000001</v>
      </c>
      <c r="AD90" s="10">
        <f>INDEX([1]ratio_ins!AA:AA,MATCH('001_population_health_zone_zs'!$B$2,[1]ratio_ins!$B:$B,0))*$G90*INDEX([1]ratio_ins!$D:$D,MATCH('001_population_health_zone_zs'!$B90,[1]ratio_ins!$B:$B,0))</f>
        <v>48623.396849999997</v>
      </c>
      <c r="AE90" s="10">
        <f>INDEX([1]ratio_ins!AB:AB,MATCH('001_population_health_zone_zs'!$B$2,[1]ratio_ins!$B:$B,0))*$G90*INDEX([1]ratio_ins!$D:$D,MATCH('001_population_health_zone_zs'!$B90,[1]ratio_ins!$B:$B,0))</f>
        <v>40056.417405000007</v>
      </c>
      <c r="AF90" s="10">
        <f>INDEX([1]ratio_ins!AC:AC,MATCH('001_population_health_zone_zs'!$B$2,[1]ratio_ins!$B:$B,0))*$G90*INDEX([1]ratio_ins!$D:$D,MATCH('001_population_health_zone_zs'!$B90,[1]ratio_ins!$B:$B,0))</f>
        <v>31720.977944999995</v>
      </c>
      <c r="AG90" s="10">
        <f>INDEX([1]ratio_ins!AD:AD,MATCH('001_population_health_zone_zs'!$B$2,[1]ratio_ins!$B:$B,0))*$G90*INDEX([1]ratio_ins!$D:$D,MATCH('001_population_health_zone_zs'!$B90,[1]ratio_ins!$B:$B,0))</f>
        <v>19217.818755</v>
      </c>
      <c r="AH90" s="10">
        <f>INDEX([1]ratio_ins!AE:AE,MATCH('001_population_health_zone_zs'!$B$2,[1]ratio_ins!$B:$B,0))*$G90*INDEX([1]ratio_ins!$D:$D,MATCH('001_population_health_zone_zs'!$B90,[1]ratio_ins!$B:$B,0))</f>
        <v>11530.691253000001</v>
      </c>
      <c r="AI90" s="13">
        <f>INDEX([1]ratio_ins!AF:AF,MATCH('001_population_health_zone_zs'!$B$2,[1]ratio_ins!$B:$B,0))*$G90*INDEX([1]ratio_ins!$D:$D,MATCH('001_population_health_zone_zs'!$B90,[1]ratio_ins!$B:$B,0))</f>
        <v>131931.48345299999</v>
      </c>
      <c r="AJ90" s="10">
        <f>INDEX([1]ratio_ins!AG:AG,MATCH('001_population_health_zone_zs'!$B$2,[1]ratio_ins!$B:$B,0))*$G90*INDEX([1]ratio_ins!$D:$D,MATCH('001_population_health_zone_zs'!$B90,[1]ratio_ins!$B:$B,0))</f>
        <v>7687.1275020000003</v>
      </c>
      <c r="AK90" s="10">
        <f>INDEX([1]ratio_ins!AH:AH,MATCH('001_population_health_zone_zs'!$B$2,[1]ratio_ins!$B:$B,0))*$G90*INDEX([1]ratio_ins!$D:$D,MATCH('001_population_health_zone_zs'!$B90,[1]ratio_ins!$B:$B,0))</f>
        <v>17133.958890000005</v>
      </c>
      <c r="AL90" s="10">
        <f>INDEX([1]ratio_ins!AI:AI,MATCH('001_population_health_zone_zs'!$B$2,[1]ratio_ins!$B:$B,0))*$G90*INDEX([1]ratio_ins!$D:$D,MATCH('001_population_health_zone_zs'!$B90,[1]ratio_ins!$B:$B,0))</f>
        <v>16207.79895</v>
      </c>
      <c r="AM90" s="10">
        <f>INDEX([1]ratio_ins!AJ:AJ,MATCH('001_population_health_zone_zs'!$B$2,[1]ratio_ins!$B:$B,0))*$G90*INDEX([1]ratio_ins!$D:$D,MATCH('001_population_health_zone_zs'!$B90,[1]ratio_ins!$B:$B,0))</f>
        <v>14818.559040000002</v>
      </c>
      <c r="AN90" s="10">
        <f>INDEX([1]ratio_ins!AK:AK,MATCH('001_population_health_zone_zs'!$B$2,[1]ratio_ins!$B:$B,0))*$G90*INDEX([1]ratio_ins!$D:$D,MATCH('001_population_health_zone_zs'!$B90,[1]ratio_ins!$B:$B,0))</f>
        <v>13892.399100000001</v>
      </c>
      <c r="AO90" s="10">
        <f>INDEX([1]ratio_ins!AL:AL,MATCH('001_population_health_zone_zs'!$B$2,[1]ratio_ins!$B:$B,0))*$G90*INDEX([1]ratio_ins!$D:$D,MATCH('001_population_health_zone_zs'!$B90,[1]ratio_ins!$B:$B,0))</f>
        <v>10419.299325</v>
      </c>
      <c r="AP90" s="10">
        <f>INDEX([1]ratio_ins!AM:AM,MATCH('001_population_health_zone_zs'!$B$2,[1]ratio_ins!$B:$B,0))*$G90*INDEX([1]ratio_ins!$D:$D,MATCH('001_population_health_zone_zs'!$B90,[1]ratio_ins!$B:$B,0))</f>
        <v>6714.6595649999999</v>
      </c>
      <c r="AQ90" s="10">
        <f>INDEX([1]ratio_ins!AN:AN,MATCH('001_population_health_zone_zs'!$B$2,[1]ratio_ins!$B:$B,0))*$G90*INDEX([1]ratio_ins!$D:$D,MATCH('001_population_health_zone_zs'!$B90,[1]ratio_ins!$B:$B,0))</f>
        <v>5325.4196549999997</v>
      </c>
      <c r="AR90" s="10">
        <f>INDEX([1]ratio_ins!AO:AO,MATCH('001_population_health_zone_zs'!$B$2,[1]ratio_ins!$B:$B,0))*$G90*INDEX([1]ratio_ins!$D:$D,MATCH('001_population_health_zone_zs'!$B90,[1]ratio_ins!$B:$B,0))</f>
        <v>2546.9398350000001</v>
      </c>
      <c r="AS90" s="13">
        <f>INDEX([1]ratio_ins!AP:AP,MATCH('001_population_health_zone_zs'!$B$2,[1]ratio_ins!$B:$B,0))*$G90*INDEX([1]ratio_ins!$D:$D,MATCH('001_population_health_zone_zs'!$B90,[1]ratio_ins!$B:$B,0))</f>
        <v>94746.161862000008</v>
      </c>
      <c r="AT90" s="10">
        <f>INDEX([1]ratio_ins!AQ:AQ,MATCH('001_population_health_zone_zs'!$B$2,[1]ratio_ins!$B:$B,0))*$G90*INDEX([1]ratio_ins!$D:$D,MATCH('001_population_health_zone_zs'!$B90,[1]ratio_ins!$B:$B,0))</f>
        <v>2315.3998499999998</v>
      </c>
      <c r="AU90" s="10">
        <f>INDEX([1]ratio_ins!AR:AR,MATCH('001_population_health_zone_zs'!$B$2,[1]ratio_ins!$B:$B,0))*$G90*INDEX([1]ratio_ins!$D:$D,MATCH('001_population_health_zone_zs'!$B90,[1]ratio_ins!$B:$B,0))</f>
        <v>1389.23991</v>
      </c>
      <c r="AV90" s="10">
        <f>INDEX([1]ratio_ins!AS:AS,MATCH('001_population_health_zone_zs'!$B$2,[1]ratio_ins!$B:$B,0))*$G90*INDEX([1]ratio_ins!$D:$D,MATCH('001_population_health_zone_zs'!$B90,[1]ratio_ins!$B:$B,0))</f>
        <v>694.619955</v>
      </c>
      <c r="AW90" s="10">
        <f>INDEX([1]ratio_ins!AT:AT,MATCH('001_population_health_zone_zs'!$B$2,[1]ratio_ins!$B:$B,0))*$G90*INDEX([1]ratio_ins!$D:$D,MATCH('001_population_health_zone_zs'!$B90,[1]ratio_ins!$B:$B,0))</f>
        <v>463.07997000000006</v>
      </c>
      <c r="AX90" s="13">
        <f>INDEX([1]ratio_ins!AU:AU,MATCH('001_population_health_zone_zs'!$B$2,[1]ratio_ins!$B:$B,0))*$G90*INDEX([1]ratio_ins!$D:$D,MATCH('001_population_health_zone_zs'!$B90,[1]ratio_ins!$B:$B,0))</f>
        <v>4862.3396849999999</v>
      </c>
      <c r="AY90" s="14">
        <f t="shared" si="7"/>
        <v>231539.98500000002</v>
      </c>
      <c r="AZ90" s="15">
        <f t="shared" si="8"/>
        <v>451345</v>
      </c>
      <c r="BA90" s="16">
        <v>435468.76088685839</v>
      </c>
      <c r="BB90" s="10">
        <f t="shared" si="9"/>
        <v>98404.493625000003</v>
      </c>
      <c r="BC90" s="17">
        <f t="shared" si="10"/>
        <v>0.218025</v>
      </c>
      <c r="BD90" s="10">
        <f t="shared" si="11"/>
        <v>91658.691255000012</v>
      </c>
    </row>
    <row r="91" spans="1:56" x14ac:dyDescent="0.25">
      <c r="A91" s="8" t="s">
        <v>197</v>
      </c>
      <c r="B91" s="8" t="s">
        <v>198</v>
      </c>
      <c r="C91" s="8" t="s">
        <v>215</v>
      </c>
      <c r="D91" s="8" t="s">
        <v>216</v>
      </c>
      <c r="E91" s="8" t="s">
        <v>222</v>
      </c>
      <c r="F91" s="8" t="s">
        <v>223</v>
      </c>
      <c r="G91" s="9">
        <v>367659</v>
      </c>
      <c r="H91" s="10">
        <f>INDEX([1]ratio_ins!F:F,MATCH('001_population_health_zone_zs'!$B$2,[1]ratio_ins!$B:$B,0))*$G91*INDEX([1]ratio_ins!$C:$C,MATCH('001_population_health_zone_zs'!$B91,[1]ratio_ins!$B:$B,0))</f>
        <v>37421.435997</v>
      </c>
      <c r="I91" s="10">
        <f>INDEX([1]ratio_ins!G:G,MATCH('001_population_health_zone_zs'!$B$2,[1]ratio_ins!$B:$B,0))*$G91*INDEX([1]ratio_ins!$C:$C,MATCH('001_population_health_zone_zs'!$B91,[1]ratio_ins!$B:$B,0))</f>
        <v>30617.538543000006</v>
      </c>
      <c r="J91" s="10">
        <f>INDEX([1]ratio_ins!H:H,MATCH('001_population_health_zone_zs'!$B$2,[1]ratio_ins!$B:$B,0))*$G91*INDEX([1]ratio_ins!$C:$C,MATCH('001_population_health_zone_zs'!$B91,[1]ratio_ins!$B:$B,0))</f>
        <v>24171.740955000005</v>
      </c>
      <c r="K91" s="10">
        <f>INDEX([1]ratio_ins!I:I,MATCH('001_population_health_zone_zs'!$B$2,[1]ratio_ins!$B:$B,0))*$G91*INDEX([1]ratio_ins!$C:$C,MATCH('001_population_health_zone_zs'!$B91,[1]ratio_ins!$B:$B,0))</f>
        <v>14861.144439000002</v>
      </c>
      <c r="L91" s="10">
        <f>INDEX([1]ratio_ins!J:J,MATCH('001_population_health_zone_zs'!$B$2,[1]ratio_ins!$B:$B,0))*$G91*INDEX([1]ratio_ins!$C:$C,MATCH('001_population_health_zone_zs'!$B91,[1]ratio_ins!$B:$B,0))</f>
        <v>8916.6866634000016</v>
      </c>
      <c r="M91" s="11">
        <f>INDEX([1]ratio_ins!K:K,MATCH('001_population_health_zone_zs'!$B$2,[1]ratio_ins!$B:$B,0))*$G91*INDEX([1]ratio_ins!$C:$C,MATCH('001_population_health_zone_zs'!$B91,[1]ratio_ins!$B:$B,0))</f>
        <v>101127.4021584</v>
      </c>
      <c r="N91" s="10">
        <f>INDEX([1]ratio_ins!L:L,MATCH('001_population_health_zone_zs'!$B$2,[1]ratio_ins!$B:$B,0))*$G91*INDEX([1]ratio_ins!$C:$C,MATCH('001_population_health_zone_zs'!$B91,[1]ratio_ins!$B:$B,0))</f>
        <v>5944.4577756000008</v>
      </c>
      <c r="O91" s="10">
        <f>INDEX([1]ratio_ins!M:M,MATCH('001_population_health_zone_zs'!$B$2,[1]ratio_ins!$B:$B,0))*$G91*INDEX([1]ratio_ins!$C:$C,MATCH('001_population_health_zone_zs'!$B91,[1]ratio_ins!$B:$B,0))</f>
        <v>12891.595176000003</v>
      </c>
      <c r="P91" s="10">
        <f>INDEX([1]ratio_ins!N:N,MATCH('001_population_health_zone_zs'!$B$2,[1]ratio_ins!$B:$B,0))*$G91*INDEX([1]ratio_ins!$C:$C,MATCH('001_population_health_zone_zs'!$B91,[1]ratio_ins!$B:$B,0))</f>
        <v>11638.245645000001</v>
      </c>
      <c r="Q91" s="10">
        <f>INDEX([1]ratio_ins!O:O,MATCH('001_population_health_zone_zs'!$B$2,[1]ratio_ins!$B:$B,0))*$G91*INDEX([1]ratio_ins!$C:$C,MATCH('001_population_health_zone_zs'!$B91,[1]ratio_ins!$B:$B,0))</f>
        <v>10384.896113999999</v>
      </c>
      <c r="R91" s="10">
        <f>INDEX([1]ratio_ins!P:P,MATCH('001_population_health_zone_zs'!$B$2,[1]ratio_ins!$B:$B,0))*$G91*INDEX([1]ratio_ins!$C:$C,MATCH('001_population_health_zone_zs'!$B91,[1]ratio_ins!$B:$B,0))</f>
        <v>10205.846181000003</v>
      </c>
      <c r="S91" s="10">
        <f>INDEX([1]ratio_ins!Q:Q,MATCH('001_population_health_zone_zs'!$B$2,[1]ratio_ins!$B:$B,0))*$G91*INDEX([1]ratio_ins!$C:$C,MATCH('001_population_health_zone_zs'!$B91,[1]ratio_ins!$B:$B,0))</f>
        <v>8594.3967840000023</v>
      </c>
      <c r="T91" s="10">
        <f>INDEX([1]ratio_ins!R:R,MATCH('001_population_health_zone_zs'!$B$2,[1]ratio_ins!$B:$B,0))*$G91*INDEX([1]ratio_ins!$C:$C,MATCH('001_population_health_zone_zs'!$B91,[1]ratio_ins!$B:$B,0))</f>
        <v>6087.6977220000008</v>
      </c>
      <c r="U91" s="10">
        <f>INDEX([1]ratio_ins!S:S,MATCH('001_population_health_zone_zs'!$B$2,[1]ratio_ins!$B:$B,0))*$G91*INDEX([1]ratio_ins!$C:$C,MATCH('001_population_health_zone_zs'!$B91,[1]ratio_ins!$B:$B,0))</f>
        <v>4834.348191000001</v>
      </c>
      <c r="V91" s="10">
        <f>INDEX([1]ratio_ins!T:T,MATCH('001_population_health_zone_zs'!$B$2,[1]ratio_ins!$B:$B,0))*$G91*INDEX([1]ratio_ins!$C:$C,MATCH('001_population_health_zone_zs'!$B91,[1]ratio_ins!$B:$B,0))</f>
        <v>2685.7489950000004</v>
      </c>
      <c r="W91" s="11">
        <f>INDEX([1]ratio_ins!U:U,MATCH('001_population_health_zone_zs'!$B$2,[1]ratio_ins!$B:$B,0))*$G91*INDEX([1]ratio_ins!$C:$C,MATCH('001_population_health_zone_zs'!$B91,[1]ratio_ins!$B:$B,0))</f>
        <v>73267.232583600009</v>
      </c>
      <c r="X91" s="10">
        <f>INDEX([1]ratio_ins!V:V,MATCH('001_population_health_zone_zs'!$B$2,[1]ratio_ins!$B:$B,0))*$G91*INDEX([1]ratio_ins!$C:$C,MATCH('001_population_health_zone_zs'!$B91,[1]ratio_ins!$B:$B,0))</f>
        <v>2148.5991960000006</v>
      </c>
      <c r="Y91" s="10">
        <f>INDEX([1]ratio_ins!W:W,MATCH('001_population_health_zone_zs'!$B$2,[1]ratio_ins!$B:$B,0))*$G91*INDEX([1]ratio_ins!$C:$C,MATCH('001_population_health_zone_zs'!$B91,[1]ratio_ins!$B:$B,0))</f>
        <v>1432.3994640000001</v>
      </c>
      <c r="Z91" s="10">
        <f>INDEX([1]ratio_ins!X:X,MATCH('001_population_health_zone_zs'!$B$2,[1]ratio_ins!$B:$B,0))*$G91*INDEX([1]ratio_ins!$C:$C,MATCH('001_population_health_zone_zs'!$B91,[1]ratio_ins!$B:$B,0))</f>
        <v>716.19973200000004</v>
      </c>
      <c r="AA91" s="10">
        <f>INDEX([1]ratio_ins!Y:Y,MATCH('001_population_health_zone_zs'!$B$2,[1]ratio_ins!$B:$B,0))*$G91*INDEX([1]ratio_ins!$C:$C,MATCH('001_population_health_zone_zs'!$B91,[1]ratio_ins!$B:$B,0))</f>
        <v>358.09986600000002</v>
      </c>
      <c r="AB91" s="11">
        <f>INDEX([1]ratio_ins!Z:Z,MATCH('001_population_health_zone_zs'!$B$2,[1]ratio_ins!$B:$B,0))*$G91*INDEX([1]ratio_ins!$C:$C,MATCH('001_population_health_zone_zs'!$B91,[1]ratio_ins!$B:$B,0))</f>
        <v>4655.2982580000007</v>
      </c>
      <c r="AC91" s="12">
        <f t="shared" si="6"/>
        <v>179049.93300000002</v>
      </c>
      <c r="AD91" s="10">
        <f>INDEX([1]ratio_ins!AA:AA,MATCH('001_population_health_zone_zs'!$B$2,[1]ratio_ins!$B:$B,0))*$G91*INDEX([1]ratio_ins!$D:$D,MATCH('001_population_health_zone_zs'!$B91,[1]ratio_ins!$B:$B,0))</f>
        <v>39607.904070000004</v>
      </c>
      <c r="AE91" s="10">
        <f>INDEX([1]ratio_ins!AB:AB,MATCH('001_population_health_zone_zs'!$B$2,[1]ratio_ins!$B:$B,0))*$G91*INDEX([1]ratio_ins!$D:$D,MATCH('001_population_health_zone_zs'!$B91,[1]ratio_ins!$B:$B,0))</f>
        <v>32629.368591000002</v>
      </c>
      <c r="AF91" s="10">
        <f>INDEX([1]ratio_ins!AC:AC,MATCH('001_population_health_zone_zs'!$B$2,[1]ratio_ins!$B:$B,0))*$G91*INDEX([1]ratio_ins!$D:$D,MATCH('001_population_health_zone_zs'!$B91,[1]ratio_ins!$B:$B,0))</f>
        <v>25839.442178999998</v>
      </c>
      <c r="AG91" s="10">
        <f>INDEX([1]ratio_ins!AD:AD,MATCH('001_population_health_zone_zs'!$B$2,[1]ratio_ins!$B:$B,0))*$G91*INDEX([1]ratio_ins!$D:$D,MATCH('001_population_health_zone_zs'!$B91,[1]ratio_ins!$B:$B,0))</f>
        <v>15654.552561</v>
      </c>
      <c r="AH91" s="10">
        <f>INDEX([1]ratio_ins!AE:AE,MATCH('001_population_health_zone_zs'!$B$2,[1]ratio_ins!$B:$B,0))*$G91*INDEX([1]ratio_ins!$D:$D,MATCH('001_population_health_zone_zs'!$B91,[1]ratio_ins!$B:$B,0))</f>
        <v>9392.7315366000003</v>
      </c>
      <c r="AI91" s="13">
        <f>INDEX([1]ratio_ins!AF:AF,MATCH('001_population_health_zone_zs'!$B$2,[1]ratio_ins!$B:$B,0))*$G91*INDEX([1]ratio_ins!$D:$D,MATCH('001_population_health_zone_zs'!$B91,[1]ratio_ins!$B:$B,0))</f>
        <v>107469.4463766</v>
      </c>
      <c r="AJ91" s="10">
        <f>INDEX([1]ratio_ins!AG:AG,MATCH('001_population_health_zone_zs'!$B$2,[1]ratio_ins!$B:$B,0))*$G91*INDEX([1]ratio_ins!$D:$D,MATCH('001_population_health_zone_zs'!$B91,[1]ratio_ins!$B:$B,0))</f>
        <v>6261.8210244000002</v>
      </c>
      <c r="AK91" s="10">
        <f>INDEX([1]ratio_ins!AH:AH,MATCH('001_population_health_zone_zs'!$B$2,[1]ratio_ins!$B:$B,0))*$G91*INDEX([1]ratio_ins!$D:$D,MATCH('001_population_health_zone_zs'!$B91,[1]ratio_ins!$B:$B,0))</f>
        <v>13957.070958000002</v>
      </c>
      <c r="AL91" s="10">
        <f>INDEX([1]ratio_ins!AI:AI,MATCH('001_population_health_zone_zs'!$B$2,[1]ratio_ins!$B:$B,0))*$G91*INDEX([1]ratio_ins!$D:$D,MATCH('001_population_health_zone_zs'!$B91,[1]ratio_ins!$B:$B,0))</f>
        <v>13202.634690000001</v>
      </c>
      <c r="AM91" s="10">
        <f>INDEX([1]ratio_ins!AJ:AJ,MATCH('001_population_health_zone_zs'!$B$2,[1]ratio_ins!$B:$B,0))*$G91*INDEX([1]ratio_ins!$D:$D,MATCH('001_population_health_zone_zs'!$B91,[1]ratio_ins!$B:$B,0))</f>
        <v>12070.980288000001</v>
      </c>
      <c r="AN91" s="10">
        <f>INDEX([1]ratio_ins!AK:AK,MATCH('001_population_health_zone_zs'!$B$2,[1]ratio_ins!$B:$B,0))*$G91*INDEX([1]ratio_ins!$D:$D,MATCH('001_population_health_zone_zs'!$B91,[1]ratio_ins!$B:$B,0))</f>
        <v>11316.544020000001</v>
      </c>
      <c r="AO91" s="10">
        <f>INDEX([1]ratio_ins!AL:AL,MATCH('001_population_health_zone_zs'!$B$2,[1]ratio_ins!$B:$B,0))*$G91*INDEX([1]ratio_ins!$D:$D,MATCH('001_population_health_zone_zs'!$B91,[1]ratio_ins!$B:$B,0))</f>
        <v>8487.4080149999991</v>
      </c>
      <c r="AP91" s="10">
        <f>INDEX([1]ratio_ins!AM:AM,MATCH('001_population_health_zone_zs'!$B$2,[1]ratio_ins!$B:$B,0))*$G91*INDEX([1]ratio_ins!$D:$D,MATCH('001_population_health_zone_zs'!$B91,[1]ratio_ins!$B:$B,0))</f>
        <v>5469.6629429999994</v>
      </c>
      <c r="AQ91" s="10">
        <f>INDEX([1]ratio_ins!AN:AN,MATCH('001_population_health_zone_zs'!$B$2,[1]ratio_ins!$B:$B,0))*$G91*INDEX([1]ratio_ins!$D:$D,MATCH('001_population_health_zone_zs'!$B91,[1]ratio_ins!$B:$B,0))</f>
        <v>4338.0085410000002</v>
      </c>
      <c r="AR91" s="10">
        <f>INDEX([1]ratio_ins!AO:AO,MATCH('001_population_health_zone_zs'!$B$2,[1]ratio_ins!$B:$B,0))*$G91*INDEX([1]ratio_ins!$D:$D,MATCH('001_population_health_zone_zs'!$B91,[1]ratio_ins!$B:$B,0))</f>
        <v>2074.6997370000004</v>
      </c>
      <c r="AS91" s="13">
        <f>INDEX([1]ratio_ins!AP:AP,MATCH('001_population_health_zone_zs'!$B$2,[1]ratio_ins!$B:$B,0))*$G91*INDEX([1]ratio_ins!$D:$D,MATCH('001_population_health_zone_zs'!$B91,[1]ratio_ins!$B:$B,0))</f>
        <v>77178.830216400005</v>
      </c>
      <c r="AT91" s="10">
        <f>INDEX([1]ratio_ins!AQ:AQ,MATCH('001_population_health_zone_zs'!$B$2,[1]ratio_ins!$B:$B,0))*$G91*INDEX([1]ratio_ins!$D:$D,MATCH('001_population_health_zone_zs'!$B91,[1]ratio_ins!$B:$B,0))</f>
        <v>1886.09067</v>
      </c>
      <c r="AU91" s="10">
        <f>INDEX([1]ratio_ins!AR:AR,MATCH('001_population_health_zone_zs'!$B$2,[1]ratio_ins!$B:$B,0))*$G91*INDEX([1]ratio_ins!$D:$D,MATCH('001_population_health_zone_zs'!$B91,[1]ratio_ins!$B:$B,0))</f>
        <v>1131.6544020000001</v>
      </c>
      <c r="AV91" s="10">
        <f>INDEX([1]ratio_ins!AS:AS,MATCH('001_population_health_zone_zs'!$B$2,[1]ratio_ins!$B:$B,0))*$G91*INDEX([1]ratio_ins!$D:$D,MATCH('001_population_health_zone_zs'!$B91,[1]ratio_ins!$B:$B,0))</f>
        <v>565.82720100000006</v>
      </c>
      <c r="AW91" s="10">
        <f>INDEX([1]ratio_ins!AT:AT,MATCH('001_population_health_zone_zs'!$B$2,[1]ratio_ins!$B:$B,0))*$G91*INDEX([1]ratio_ins!$D:$D,MATCH('001_population_health_zone_zs'!$B91,[1]ratio_ins!$B:$B,0))</f>
        <v>377.21813400000002</v>
      </c>
      <c r="AX91" s="13">
        <f>INDEX([1]ratio_ins!AU:AU,MATCH('001_population_health_zone_zs'!$B$2,[1]ratio_ins!$B:$B,0))*$G91*INDEX([1]ratio_ins!$D:$D,MATCH('001_population_health_zone_zs'!$B91,[1]ratio_ins!$B:$B,0))</f>
        <v>3960.7904069999995</v>
      </c>
      <c r="AY91" s="14">
        <f t="shared" si="7"/>
        <v>188609.06699999998</v>
      </c>
      <c r="AZ91" s="15">
        <f t="shared" si="8"/>
        <v>367659</v>
      </c>
      <c r="BA91" s="16">
        <v>354726.25505669747</v>
      </c>
      <c r="BB91" s="10">
        <f t="shared" si="9"/>
        <v>80158.853474999996</v>
      </c>
      <c r="BC91" s="17">
        <f t="shared" si="10"/>
        <v>0.218025</v>
      </c>
      <c r="BD91" s="10">
        <f t="shared" si="11"/>
        <v>74663.822060999999</v>
      </c>
    </row>
    <row r="92" spans="1:56" x14ac:dyDescent="0.25">
      <c r="A92" s="8" t="s">
        <v>197</v>
      </c>
      <c r="B92" s="8" t="s">
        <v>198</v>
      </c>
      <c r="C92" s="8" t="s">
        <v>215</v>
      </c>
      <c r="D92" s="8" t="s">
        <v>216</v>
      </c>
      <c r="E92" s="8" t="s">
        <v>224</v>
      </c>
      <c r="F92" s="8" t="s">
        <v>225</v>
      </c>
      <c r="G92" s="9">
        <v>242455</v>
      </c>
      <c r="H92" s="10">
        <f>INDEX([1]ratio_ins!F:F,MATCH('001_population_health_zone_zs'!$B$2,[1]ratio_ins!$B:$B,0))*$G92*INDEX([1]ratio_ins!$C:$C,MATCH('001_population_health_zone_zs'!$B92,[1]ratio_ins!$B:$B,0))</f>
        <v>24677.797265000001</v>
      </c>
      <c r="I92" s="10">
        <f>INDEX([1]ratio_ins!G:G,MATCH('001_population_health_zone_zs'!$B$2,[1]ratio_ins!$B:$B,0))*$G92*INDEX([1]ratio_ins!$C:$C,MATCH('001_population_health_zone_zs'!$B92,[1]ratio_ins!$B:$B,0))</f>
        <v>20190.925035</v>
      </c>
      <c r="J92" s="10">
        <f>INDEX([1]ratio_ins!H:H,MATCH('001_population_health_zone_zs'!$B$2,[1]ratio_ins!$B:$B,0))*$G92*INDEX([1]ratio_ins!$C:$C,MATCH('001_population_health_zone_zs'!$B92,[1]ratio_ins!$B:$B,0))</f>
        <v>15940.203975000002</v>
      </c>
      <c r="K92" s="10">
        <f>INDEX([1]ratio_ins!I:I,MATCH('001_population_health_zone_zs'!$B$2,[1]ratio_ins!$B:$B,0))*$G92*INDEX([1]ratio_ins!$C:$C,MATCH('001_population_health_zone_zs'!$B92,[1]ratio_ins!$B:$B,0))</f>
        <v>9800.2735549999998</v>
      </c>
      <c r="L92" s="10">
        <f>INDEX([1]ratio_ins!J:J,MATCH('001_population_health_zone_zs'!$B$2,[1]ratio_ins!$B:$B,0))*$G92*INDEX([1]ratio_ins!$C:$C,MATCH('001_population_health_zone_zs'!$B92,[1]ratio_ins!$B:$B,0))</f>
        <v>5880.1641330000002</v>
      </c>
      <c r="M92" s="11">
        <f>INDEX([1]ratio_ins!K:K,MATCH('001_population_health_zone_zs'!$B$2,[1]ratio_ins!$B:$B,0))*$G92*INDEX([1]ratio_ins!$C:$C,MATCH('001_population_health_zone_zs'!$B92,[1]ratio_ins!$B:$B,0))</f>
        <v>66689.090408000004</v>
      </c>
      <c r="N92" s="10">
        <f>INDEX([1]ratio_ins!L:L,MATCH('001_population_health_zone_zs'!$B$2,[1]ratio_ins!$B:$B,0))*$G92*INDEX([1]ratio_ins!$C:$C,MATCH('001_population_health_zone_zs'!$B92,[1]ratio_ins!$B:$B,0))</f>
        <v>3920.1094220000004</v>
      </c>
      <c r="O92" s="10">
        <f>INDEX([1]ratio_ins!M:M,MATCH('001_population_health_zone_zs'!$B$2,[1]ratio_ins!$B:$B,0))*$G92*INDEX([1]ratio_ins!$C:$C,MATCH('001_population_health_zone_zs'!$B92,[1]ratio_ins!$B:$B,0))</f>
        <v>8501.4421200000015</v>
      </c>
      <c r="P92" s="10">
        <f>INDEX([1]ratio_ins!N:N,MATCH('001_population_health_zone_zs'!$B$2,[1]ratio_ins!$B:$B,0))*$G92*INDEX([1]ratio_ins!$C:$C,MATCH('001_population_health_zone_zs'!$B92,[1]ratio_ins!$B:$B,0))</f>
        <v>7674.9130250000007</v>
      </c>
      <c r="Q92" s="10">
        <f>INDEX([1]ratio_ins!O:O,MATCH('001_population_health_zone_zs'!$B$2,[1]ratio_ins!$B:$B,0))*$G92*INDEX([1]ratio_ins!$C:$C,MATCH('001_population_health_zone_zs'!$B92,[1]ratio_ins!$B:$B,0))</f>
        <v>6848.38393</v>
      </c>
      <c r="R92" s="10">
        <f>INDEX([1]ratio_ins!P:P,MATCH('001_population_health_zone_zs'!$B$2,[1]ratio_ins!$B:$B,0))*$G92*INDEX([1]ratio_ins!$C:$C,MATCH('001_population_health_zone_zs'!$B92,[1]ratio_ins!$B:$B,0))</f>
        <v>6730.3083450000013</v>
      </c>
      <c r="S92" s="10">
        <f>INDEX([1]ratio_ins!Q:Q,MATCH('001_population_health_zone_zs'!$B$2,[1]ratio_ins!$B:$B,0))*$G92*INDEX([1]ratio_ins!$C:$C,MATCH('001_population_health_zone_zs'!$B92,[1]ratio_ins!$B:$B,0))</f>
        <v>5667.6280800000004</v>
      </c>
      <c r="T92" s="10">
        <f>INDEX([1]ratio_ins!R:R,MATCH('001_population_health_zone_zs'!$B$2,[1]ratio_ins!$B:$B,0))*$G92*INDEX([1]ratio_ins!$C:$C,MATCH('001_population_health_zone_zs'!$B92,[1]ratio_ins!$B:$B,0))</f>
        <v>4014.5698900000011</v>
      </c>
      <c r="U92" s="10">
        <f>INDEX([1]ratio_ins!S:S,MATCH('001_population_health_zone_zs'!$B$2,[1]ratio_ins!$B:$B,0))*$G92*INDEX([1]ratio_ins!$C:$C,MATCH('001_population_health_zone_zs'!$B92,[1]ratio_ins!$B:$B,0))</f>
        <v>3188.0407950000008</v>
      </c>
      <c r="V92" s="10">
        <f>INDEX([1]ratio_ins!T:T,MATCH('001_population_health_zone_zs'!$B$2,[1]ratio_ins!$B:$B,0))*$G92*INDEX([1]ratio_ins!$C:$C,MATCH('001_population_health_zone_zs'!$B92,[1]ratio_ins!$B:$B,0))</f>
        <v>1771.133775</v>
      </c>
      <c r="W92" s="11">
        <f>INDEX([1]ratio_ins!U:U,MATCH('001_population_health_zone_zs'!$B$2,[1]ratio_ins!$B:$B,0))*$G92*INDEX([1]ratio_ins!$C:$C,MATCH('001_population_health_zone_zs'!$B92,[1]ratio_ins!$B:$B,0))</f>
        <v>48316.529382000001</v>
      </c>
      <c r="X92" s="10">
        <f>INDEX([1]ratio_ins!V:V,MATCH('001_population_health_zone_zs'!$B$2,[1]ratio_ins!$B:$B,0))*$G92*INDEX([1]ratio_ins!$C:$C,MATCH('001_population_health_zone_zs'!$B92,[1]ratio_ins!$B:$B,0))</f>
        <v>1416.9070200000001</v>
      </c>
      <c r="Y92" s="10">
        <f>INDEX([1]ratio_ins!W:W,MATCH('001_population_health_zone_zs'!$B$2,[1]ratio_ins!$B:$B,0))*$G92*INDEX([1]ratio_ins!$C:$C,MATCH('001_population_health_zone_zs'!$B92,[1]ratio_ins!$B:$B,0))</f>
        <v>944.60468000000014</v>
      </c>
      <c r="Z92" s="10">
        <f>INDEX([1]ratio_ins!X:X,MATCH('001_population_health_zone_zs'!$B$2,[1]ratio_ins!$B:$B,0))*$G92*INDEX([1]ratio_ins!$C:$C,MATCH('001_population_health_zone_zs'!$B92,[1]ratio_ins!$B:$B,0))</f>
        <v>472.30234000000007</v>
      </c>
      <c r="AA92" s="10">
        <f>INDEX([1]ratio_ins!Y:Y,MATCH('001_population_health_zone_zs'!$B$2,[1]ratio_ins!$B:$B,0))*$G92*INDEX([1]ratio_ins!$C:$C,MATCH('001_population_health_zone_zs'!$B92,[1]ratio_ins!$B:$B,0))</f>
        <v>236.15117000000004</v>
      </c>
      <c r="AB92" s="11">
        <f>INDEX([1]ratio_ins!Z:Z,MATCH('001_population_health_zone_zs'!$B$2,[1]ratio_ins!$B:$B,0))*$G92*INDEX([1]ratio_ins!$C:$C,MATCH('001_population_health_zone_zs'!$B92,[1]ratio_ins!$B:$B,0))</f>
        <v>3069.9652100000008</v>
      </c>
      <c r="AC92" s="12">
        <f t="shared" si="6"/>
        <v>118075.58499999999</v>
      </c>
      <c r="AD92" s="10">
        <f>INDEX([1]ratio_ins!AA:AA,MATCH('001_population_health_zone_zs'!$B$2,[1]ratio_ins!$B:$B,0))*$G92*INDEX([1]ratio_ins!$D:$D,MATCH('001_population_health_zone_zs'!$B92,[1]ratio_ins!$B:$B,0))</f>
        <v>26119.67715</v>
      </c>
      <c r="AE92" s="10">
        <f>INDEX([1]ratio_ins!AB:AB,MATCH('001_population_health_zone_zs'!$B$2,[1]ratio_ins!$B:$B,0))*$G92*INDEX([1]ratio_ins!$D:$D,MATCH('001_population_health_zone_zs'!$B92,[1]ratio_ins!$B:$B,0))</f>
        <v>21517.638795000003</v>
      </c>
      <c r="AF92" s="10">
        <f>INDEX([1]ratio_ins!AC:AC,MATCH('001_population_health_zone_zs'!$B$2,[1]ratio_ins!$B:$B,0))*$G92*INDEX([1]ratio_ins!$D:$D,MATCH('001_population_health_zone_zs'!$B92,[1]ratio_ins!$B:$B,0))</f>
        <v>17039.979855000001</v>
      </c>
      <c r="AG92" s="10">
        <f>INDEX([1]ratio_ins!AD:AD,MATCH('001_population_health_zone_zs'!$B$2,[1]ratio_ins!$B:$B,0))*$G92*INDEX([1]ratio_ins!$D:$D,MATCH('001_population_health_zone_zs'!$B92,[1]ratio_ins!$B:$B,0))</f>
        <v>10323.491445</v>
      </c>
      <c r="AH92" s="10">
        <f>INDEX([1]ratio_ins!AE:AE,MATCH('001_population_health_zone_zs'!$B$2,[1]ratio_ins!$B:$B,0))*$G92*INDEX([1]ratio_ins!$D:$D,MATCH('001_population_health_zone_zs'!$B92,[1]ratio_ins!$B:$B,0))</f>
        <v>6194.0948669999998</v>
      </c>
      <c r="AI92" s="13">
        <f>INDEX([1]ratio_ins!AF:AF,MATCH('001_population_health_zone_zs'!$B$2,[1]ratio_ins!$B:$B,0))*$G92*INDEX([1]ratio_ins!$D:$D,MATCH('001_population_health_zone_zs'!$B92,[1]ratio_ins!$B:$B,0))</f>
        <v>70871.390667</v>
      </c>
      <c r="AJ92" s="10">
        <f>INDEX([1]ratio_ins!AG:AG,MATCH('001_population_health_zone_zs'!$B$2,[1]ratio_ins!$B:$B,0))*$G92*INDEX([1]ratio_ins!$D:$D,MATCH('001_population_health_zone_zs'!$B92,[1]ratio_ins!$B:$B,0))</f>
        <v>4129.3965779999999</v>
      </c>
      <c r="AK92" s="10">
        <f>INDEX([1]ratio_ins!AH:AH,MATCH('001_population_health_zone_zs'!$B$2,[1]ratio_ins!$B:$B,0))*$G92*INDEX([1]ratio_ins!$D:$D,MATCH('001_population_health_zone_zs'!$B92,[1]ratio_ins!$B:$B,0))</f>
        <v>9204.0767100000012</v>
      </c>
      <c r="AL92" s="10">
        <f>INDEX([1]ratio_ins!AI:AI,MATCH('001_population_health_zone_zs'!$B$2,[1]ratio_ins!$B:$B,0))*$G92*INDEX([1]ratio_ins!$D:$D,MATCH('001_population_health_zone_zs'!$B92,[1]ratio_ins!$B:$B,0))</f>
        <v>8706.5590500000017</v>
      </c>
      <c r="AM92" s="10">
        <f>INDEX([1]ratio_ins!AJ:AJ,MATCH('001_population_health_zone_zs'!$B$2,[1]ratio_ins!$B:$B,0))*$G92*INDEX([1]ratio_ins!$D:$D,MATCH('001_population_health_zone_zs'!$B92,[1]ratio_ins!$B:$B,0))</f>
        <v>7960.2825600000006</v>
      </c>
      <c r="AN92" s="10">
        <f>INDEX([1]ratio_ins!AK:AK,MATCH('001_population_health_zone_zs'!$B$2,[1]ratio_ins!$B:$B,0))*$G92*INDEX([1]ratio_ins!$D:$D,MATCH('001_population_health_zone_zs'!$B92,[1]ratio_ins!$B:$B,0))</f>
        <v>7462.7649000000001</v>
      </c>
      <c r="AO92" s="10">
        <f>INDEX([1]ratio_ins!AL:AL,MATCH('001_population_health_zone_zs'!$B$2,[1]ratio_ins!$B:$B,0))*$G92*INDEX([1]ratio_ins!$D:$D,MATCH('001_population_health_zone_zs'!$B92,[1]ratio_ins!$B:$B,0))</f>
        <v>5597.0736750000005</v>
      </c>
      <c r="AP92" s="10">
        <f>INDEX([1]ratio_ins!AM:AM,MATCH('001_population_health_zone_zs'!$B$2,[1]ratio_ins!$B:$B,0))*$G92*INDEX([1]ratio_ins!$D:$D,MATCH('001_population_health_zone_zs'!$B92,[1]ratio_ins!$B:$B,0))</f>
        <v>3607.0030349999997</v>
      </c>
      <c r="AQ92" s="10">
        <f>INDEX([1]ratio_ins!AN:AN,MATCH('001_population_health_zone_zs'!$B$2,[1]ratio_ins!$B:$B,0))*$G92*INDEX([1]ratio_ins!$D:$D,MATCH('001_population_health_zone_zs'!$B92,[1]ratio_ins!$B:$B,0))</f>
        <v>2860.726545</v>
      </c>
      <c r="AR92" s="10">
        <f>INDEX([1]ratio_ins!AO:AO,MATCH('001_population_health_zone_zs'!$B$2,[1]ratio_ins!$B:$B,0))*$G92*INDEX([1]ratio_ins!$D:$D,MATCH('001_population_health_zone_zs'!$B92,[1]ratio_ins!$B:$B,0))</f>
        <v>1368.1735650000001</v>
      </c>
      <c r="AS92" s="13">
        <f>INDEX([1]ratio_ins!AP:AP,MATCH('001_population_health_zone_zs'!$B$2,[1]ratio_ins!$B:$B,0))*$G92*INDEX([1]ratio_ins!$D:$D,MATCH('001_population_health_zone_zs'!$B92,[1]ratio_ins!$B:$B,0))</f>
        <v>50896.056618000002</v>
      </c>
      <c r="AT92" s="10">
        <f>INDEX([1]ratio_ins!AQ:AQ,MATCH('001_population_health_zone_zs'!$B$2,[1]ratio_ins!$B:$B,0))*$G92*INDEX([1]ratio_ins!$D:$D,MATCH('001_population_health_zone_zs'!$B92,[1]ratio_ins!$B:$B,0))</f>
        <v>1243.7941500000002</v>
      </c>
      <c r="AU92" s="10">
        <f>INDEX([1]ratio_ins!AR:AR,MATCH('001_population_health_zone_zs'!$B$2,[1]ratio_ins!$B:$B,0))*$G92*INDEX([1]ratio_ins!$D:$D,MATCH('001_population_health_zone_zs'!$B92,[1]ratio_ins!$B:$B,0))</f>
        <v>746.27649000000008</v>
      </c>
      <c r="AV92" s="10">
        <f>INDEX([1]ratio_ins!AS:AS,MATCH('001_population_health_zone_zs'!$B$2,[1]ratio_ins!$B:$B,0))*$G92*INDEX([1]ratio_ins!$D:$D,MATCH('001_population_health_zone_zs'!$B92,[1]ratio_ins!$B:$B,0))</f>
        <v>373.13824500000004</v>
      </c>
      <c r="AW92" s="10">
        <f>INDEX([1]ratio_ins!AT:AT,MATCH('001_population_health_zone_zs'!$B$2,[1]ratio_ins!$B:$B,0))*$G92*INDEX([1]ratio_ins!$D:$D,MATCH('001_population_health_zone_zs'!$B92,[1]ratio_ins!$B:$B,0))</f>
        <v>248.75883000000002</v>
      </c>
      <c r="AX92" s="13">
        <f>INDEX([1]ratio_ins!AU:AU,MATCH('001_population_health_zone_zs'!$B$2,[1]ratio_ins!$B:$B,0))*$G92*INDEX([1]ratio_ins!$D:$D,MATCH('001_population_health_zone_zs'!$B92,[1]ratio_ins!$B:$B,0))</f>
        <v>2611.9677149999998</v>
      </c>
      <c r="AY92" s="14">
        <f t="shared" si="7"/>
        <v>124379.41500000001</v>
      </c>
      <c r="AZ92" s="15">
        <f t="shared" si="8"/>
        <v>242455</v>
      </c>
      <c r="BA92" s="16">
        <v>233926.07372185294</v>
      </c>
      <c r="BB92" s="10">
        <f t="shared" si="9"/>
        <v>52861.251375000007</v>
      </c>
      <c r="BC92" s="17">
        <f t="shared" si="10"/>
        <v>0.21802500000000002</v>
      </c>
      <c r="BD92" s="10">
        <f t="shared" si="11"/>
        <v>49237.518944999996</v>
      </c>
    </row>
    <row r="93" spans="1:56" x14ac:dyDescent="0.25">
      <c r="A93" s="8" t="s">
        <v>197</v>
      </c>
      <c r="B93" s="8" t="s">
        <v>198</v>
      </c>
      <c r="C93" s="8" t="s">
        <v>226</v>
      </c>
      <c r="D93" s="8" t="s">
        <v>227</v>
      </c>
      <c r="E93" s="8" t="s">
        <v>226</v>
      </c>
      <c r="F93" s="8" t="s">
        <v>228</v>
      </c>
      <c r="G93" s="9">
        <v>441072</v>
      </c>
      <c r="H93" s="10">
        <f>INDEX([1]ratio_ins!F:F,MATCH('001_population_health_zone_zs'!$B$2,[1]ratio_ins!$B:$B,0))*$G93*INDEX([1]ratio_ins!$C:$C,MATCH('001_population_health_zone_zs'!$B93,[1]ratio_ins!$B:$B,0))</f>
        <v>44893.631376000005</v>
      </c>
      <c r="I93" s="10">
        <f>INDEX([1]ratio_ins!G:G,MATCH('001_population_health_zone_zs'!$B$2,[1]ratio_ins!$B:$B,0))*$G93*INDEX([1]ratio_ins!$C:$C,MATCH('001_population_health_zone_zs'!$B93,[1]ratio_ins!$B:$B,0))</f>
        <v>36731.152944000009</v>
      </c>
      <c r="J93" s="10">
        <f>INDEX([1]ratio_ins!H:H,MATCH('001_population_health_zone_zs'!$B$2,[1]ratio_ins!$B:$B,0))*$G93*INDEX([1]ratio_ins!$C:$C,MATCH('001_population_health_zone_zs'!$B93,[1]ratio_ins!$B:$B,0))</f>
        <v>28998.278640000004</v>
      </c>
      <c r="K93" s="10">
        <f>INDEX([1]ratio_ins!I:I,MATCH('001_population_health_zone_zs'!$B$2,[1]ratio_ins!$B:$B,0))*$G93*INDEX([1]ratio_ins!$C:$C,MATCH('001_population_health_zone_zs'!$B93,[1]ratio_ins!$B:$B,0))</f>
        <v>17828.571312000004</v>
      </c>
      <c r="L93" s="10">
        <f>INDEX([1]ratio_ins!J:J,MATCH('001_population_health_zone_zs'!$B$2,[1]ratio_ins!$B:$B,0))*$G93*INDEX([1]ratio_ins!$C:$C,MATCH('001_population_health_zone_zs'!$B93,[1]ratio_ins!$B:$B,0))</f>
        <v>10697.1427872</v>
      </c>
      <c r="M93" s="11">
        <f>INDEX([1]ratio_ins!K:K,MATCH('001_population_health_zone_zs'!$B$2,[1]ratio_ins!$B:$B,0))*$G93*INDEX([1]ratio_ins!$C:$C,MATCH('001_population_health_zone_zs'!$B93,[1]ratio_ins!$B:$B,0))</f>
        <v>121320.20574720002</v>
      </c>
      <c r="N93" s="10">
        <f>INDEX([1]ratio_ins!L:L,MATCH('001_population_health_zone_zs'!$B$2,[1]ratio_ins!$B:$B,0))*$G93*INDEX([1]ratio_ins!$C:$C,MATCH('001_population_health_zone_zs'!$B93,[1]ratio_ins!$B:$B,0))</f>
        <v>7131.4285248000015</v>
      </c>
      <c r="O93" s="10">
        <f>INDEX([1]ratio_ins!M:M,MATCH('001_population_health_zone_zs'!$B$2,[1]ratio_ins!$B:$B,0))*$G93*INDEX([1]ratio_ins!$C:$C,MATCH('001_population_health_zone_zs'!$B93,[1]ratio_ins!$B:$B,0))</f>
        <v>15465.748608000004</v>
      </c>
      <c r="P93" s="10">
        <f>INDEX([1]ratio_ins!N:N,MATCH('001_population_health_zone_zs'!$B$2,[1]ratio_ins!$B:$B,0))*$G93*INDEX([1]ratio_ins!$C:$C,MATCH('001_population_health_zone_zs'!$B93,[1]ratio_ins!$B:$B,0))</f>
        <v>13962.134160000001</v>
      </c>
      <c r="Q93" s="10">
        <f>INDEX([1]ratio_ins!O:O,MATCH('001_population_health_zone_zs'!$B$2,[1]ratio_ins!$B:$B,0))*$G93*INDEX([1]ratio_ins!$C:$C,MATCH('001_population_health_zone_zs'!$B93,[1]ratio_ins!$B:$B,0))</f>
        <v>12458.519712000001</v>
      </c>
      <c r="R93" s="10">
        <f>INDEX([1]ratio_ins!P:P,MATCH('001_population_health_zone_zs'!$B$2,[1]ratio_ins!$B:$B,0))*$G93*INDEX([1]ratio_ins!$C:$C,MATCH('001_population_health_zone_zs'!$B93,[1]ratio_ins!$B:$B,0))</f>
        <v>12243.717648000002</v>
      </c>
      <c r="S93" s="10">
        <f>INDEX([1]ratio_ins!Q:Q,MATCH('001_population_health_zone_zs'!$B$2,[1]ratio_ins!$B:$B,0))*$G93*INDEX([1]ratio_ins!$C:$C,MATCH('001_population_health_zone_zs'!$B93,[1]ratio_ins!$B:$B,0))</f>
        <v>10310.499072000002</v>
      </c>
      <c r="T93" s="10">
        <f>INDEX([1]ratio_ins!R:R,MATCH('001_population_health_zone_zs'!$B$2,[1]ratio_ins!$B:$B,0))*$G93*INDEX([1]ratio_ins!$C:$C,MATCH('001_population_health_zone_zs'!$B93,[1]ratio_ins!$B:$B,0))</f>
        <v>7303.2701760000009</v>
      </c>
      <c r="U93" s="10">
        <f>INDEX([1]ratio_ins!S:S,MATCH('001_population_health_zone_zs'!$B$2,[1]ratio_ins!$B:$B,0))*$G93*INDEX([1]ratio_ins!$C:$C,MATCH('001_population_health_zone_zs'!$B93,[1]ratio_ins!$B:$B,0))</f>
        <v>5799.6557280000015</v>
      </c>
      <c r="V93" s="10">
        <f>INDEX([1]ratio_ins!T:T,MATCH('001_population_health_zone_zs'!$B$2,[1]ratio_ins!$B:$B,0))*$G93*INDEX([1]ratio_ins!$C:$C,MATCH('001_population_health_zone_zs'!$B93,[1]ratio_ins!$B:$B,0))</f>
        <v>3222.0309600000001</v>
      </c>
      <c r="W93" s="11">
        <f>INDEX([1]ratio_ins!U:U,MATCH('001_population_health_zone_zs'!$B$2,[1]ratio_ins!$B:$B,0))*$G93*INDEX([1]ratio_ins!$C:$C,MATCH('001_population_health_zone_zs'!$B93,[1]ratio_ins!$B:$B,0))</f>
        <v>87897.004588800002</v>
      </c>
      <c r="X93" s="10">
        <f>INDEX([1]ratio_ins!V:V,MATCH('001_population_health_zone_zs'!$B$2,[1]ratio_ins!$B:$B,0))*$G93*INDEX([1]ratio_ins!$C:$C,MATCH('001_population_health_zone_zs'!$B93,[1]ratio_ins!$B:$B,0))</f>
        <v>2577.6247680000006</v>
      </c>
      <c r="Y93" s="10">
        <f>INDEX([1]ratio_ins!W:W,MATCH('001_population_health_zone_zs'!$B$2,[1]ratio_ins!$B:$B,0))*$G93*INDEX([1]ratio_ins!$C:$C,MATCH('001_population_health_zone_zs'!$B93,[1]ratio_ins!$B:$B,0))</f>
        <v>1718.4165120000002</v>
      </c>
      <c r="Z93" s="10">
        <f>INDEX([1]ratio_ins!X:X,MATCH('001_population_health_zone_zs'!$B$2,[1]ratio_ins!$B:$B,0))*$G93*INDEX([1]ratio_ins!$C:$C,MATCH('001_population_health_zone_zs'!$B93,[1]ratio_ins!$B:$B,0))</f>
        <v>859.20825600000012</v>
      </c>
      <c r="AA93" s="10">
        <f>INDEX([1]ratio_ins!Y:Y,MATCH('001_population_health_zone_zs'!$B$2,[1]ratio_ins!$B:$B,0))*$G93*INDEX([1]ratio_ins!$C:$C,MATCH('001_population_health_zone_zs'!$B93,[1]ratio_ins!$B:$B,0))</f>
        <v>429.60412800000006</v>
      </c>
      <c r="AB93" s="11">
        <f>INDEX([1]ratio_ins!Z:Z,MATCH('001_population_health_zone_zs'!$B$2,[1]ratio_ins!$B:$B,0))*$G93*INDEX([1]ratio_ins!$C:$C,MATCH('001_population_health_zone_zs'!$B93,[1]ratio_ins!$B:$B,0))</f>
        <v>5584.8536640000011</v>
      </c>
      <c r="AC93" s="12">
        <f t="shared" si="6"/>
        <v>214802.06400000001</v>
      </c>
      <c r="AD93" s="10">
        <f>INDEX([1]ratio_ins!AA:AA,MATCH('001_population_health_zone_zs'!$B$2,[1]ratio_ins!$B:$B,0))*$G93*INDEX([1]ratio_ins!$D:$D,MATCH('001_population_health_zone_zs'!$B93,[1]ratio_ins!$B:$B,0))</f>
        <v>47516.686560000002</v>
      </c>
      <c r="AE93" s="10">
        <f>INDEX([1]ratio_ins!AB:AB,MATCH('001_population_health_zone_zs'!$B$2,[1]ratio_ins!$B:$B,0))*$G93*INDEX([1]ratio_ins!$D:$D,MATCH('001_population_health_zone_zs'!$B93,[1]ratio_ins!$B:$B,0))</f>
        <v>39144.698928000005</v>
      </c>
      <c r="AF93" s="10">
        <f>INDEX([1]ratio_ins!AC:AC,MATCH('001_population_health_zone_zs'!$B$2,[1]ratio_ins!$B:$B,0))*$G93*INDEX([1]ratio_ins!$D:$D,MATCH('001_population_health_zone_zs'!$B93,[1]ratio_ins!$B:$B,0))</f>
        <v>30998.981231999998</v>
      </c>
      <c r="AG93" s="10">
        <f>INDEX([1]ratio_ins!AD:AD,MATCH('001_population_health_zone_zs'!$B$2,[1]ratio_ins!$B:$B,0))*$G93*INDEX([1]ratio_ins!$D:$D,MATCH('001_population_health_zone_zs'!$B93,[1]ratio_ins!$B:$B,0))</f>
        <v>18780.404688000002</v>
      </c>
      <c r="AH93" s="10">
        <f>INDEX([1]ratio_ins!AE:AE,MATCH('001_population_health_zone_zs'!$B$2,[1]ratio_ins!$B:$B,0))*$G93*INDEX([1]ratio_ins!$D:$D,MATCH('001_population_health_zone_zs'!$B93,[1]ratio_ins!$B:$B,0))</f>
        <v>11268.242812799999</v>
      </c>
      <c r="AI93" s="13">
        <f>INDEX([1]ratio_ins!AF:AF,MATCH('001_population_health_zone_zs'!$B$2,[1]ratio_ins!$B:$B,0))*$G93*INDEX([1]ratio_ins!$D:$D,MATCH('001_population_health_zone_zs'!$B93,[1]ratio_ins!$B:$B,0))</f>
        <v>128928.60953279999</v>
      </c>
      <c r="AJ93" s="10">
        <f>INDEX([1]ratio_ins!AG:AG,MATCH('001_population_health_zone_zs'!$B$2,[1]ratio_ins!$B:$B,0))*$G93*INDEX([1]ratio_ins!$D:$D,MATCH('001_population_health_zone_zs'!$B93,[1]ratio_ins!$B:$B,0))</f>
        <v>7512.1618752000004</v>
      </c>
      <c r="AK93" s="10">
        <f>INDEX([1]ratio_ins!AH:AH,MATCH('001_population_health_zone_zs'!$B$2,[1]ratio_ins!$B:$B,0))*$G93*INDEX([1]ratio_ins!$D:$D,MATCH('001_population_health_zone_zs'!$B93,[1]ratio_ins!$B:$B,0))</f>
        <v>16743.975264000004</v>
      </c>
      <c r="AL93" s="10">
        <f>INDEX([1]ratio_ins!AI:AI,MATCH('001_population_health_zone_zs'!$B$2,[1]ratio_ins!$B:$B,0))*$G93*INDEX([1]ratio_ins!$D:$D,MATCH('001_population_health_zone_zs'!$B93,[1]ratio_ins!$B:$B,0))</f>
        <v>15838.895520000002</v>
      </c>
      <c r="AM93" s="10">
        <f>INDEX([1]ratio_ins!AJ:AJ,MATCH('001_population_health_zone_zs'!$B$2,[1]ratio_ins!$B:$B,0))*$G93*INDEX([1]ratio_ins!$D:$D,MATCH('001_population_health_zone_zs'!$B93,[1]ratio_ins!$B:$B,0))</f>
        <v>14481.275904</v>
      </c>
      <c r="AN93" s="10">
        <f>INDEX([1]ratio_ins!AK:AK,MATCH('001_population_health_zone_zs'!$B$2,[1]ratio_ins!$B:$B,0))*$G93*INDEX([1]ratio_ins!$D:$D,MATCH('001_population_health_zone_zs'!$B93,[1]ratio_ins!$B:$B,0))</f>
        <v>13576.19616</v>
      </c>
      <c r="AO93" s="10">
        <f>INDEX([1]ratio_ins!AL:AL,MATCH('001_population_health_zone_zs'!$B$2,[1]ratio_ins!$B:$B,0))*$G93*INDEX([1]ratio_ins!$D:$D,MATCH('001_population_health_zone_zs'!$B93,[1]ratio_ins!$B:$B,0))</f>
        <v>10182.14712</v>
      </c>
      <c r="AP93" s="10">
        <f>INDEX([1]ratio_ins!AM:AM,MATCH('001_population_health_zone_zs'!$B$2,[1]ratio_ins!$B:$B,0))*$G93*INDEX([1]ratio_ins!$D:$D,MATCH('001_population_health_zone_zs'!$B93,[1]ratio_ins!$B:$B,0))</f>
        <v>6561.8281440000001</v>
      </c>
      <c r="AQ93" s="10">
        <f>INDEX([1]ratio_ins!AN:AN,MATCH('001_population_health_zone_zs'!$B$2,[1]ratio_ins!$B:$B,0))*$G93*INDEX([1]ratio_ins!$D:$D,MATCH('001_population_health_zone_zs'!$B93,[1]ratio_ins!$B:$B,0))</f>
        <v>5204.2085279999992</v>
      </c>
      <c r="AR93" s="10">
        <f>INDEX([1]ratio_ins!AO:AO,MATCH('001_population_health_zone_zs'!$B$2,[1]ratio_ins!$B:$B,0))*$G93*INDEX([1]ratio_ins!$D:$D,MATCH('001_population_health_zone_zs'!$B93,[1]ratio_ins!$B:$B,0))</f>
        <v>2488.9692960000002</v>
      </c>
      <c r="AS93" s="13">
        <f>INDEX([1]ratio_ins!AP:AP,MATCH('001_population_health_zone_zs'!$B$2,[1]ratio_ins!$B:$B,0))*$G93*INDEX([1]ratio_ins!$D:$D,MATCH('001_population_health_zone_zs'!$B93,[1]ratio_ins!$B:$B,0))</f>
        <v>92589.657811199999</v>
      </c>
      <c r="AT93" s="10">
        <f>INDEX([1]ratio_ins!AQ:AQ,MATCH('001_population_health_zone_zs'!$B$2,[1]ratio_ins!$B:$B,0))*$G93*INDEX([1]ratio_ins!$D:$D,MATCH('001_population_health_zone_zs'!$B93,[1]ratio_ins!$B:$B,0))</f>
        <v>2262.6993600000001</v>
      </c>
      <c r="AU93" s="10">
        <f>INDEX([1]ratio_ins!AR:AR,MATCH('001_population_health_zone_zs'!$B$2,[1]ratio_ins!$B:$B,0))*$G93*INDEX([1]ratio_ins!$D:$D,MATCH('001_population_health_zone_zs'!$B93,[1]ratio_ins!$B:$B,0))</f>
        <v>1357.6196160000002</v>
      </c>
      <c r="AV93" s="10">
        <f>INDEX([1]ratio_ins!AS:AS,MATCH('001_population_health_zone_zs'!$B$2,[1]ratio_ins!$B:$B,0))*$G93*INDEX([1]ratio_ins!$D:$D,MATCH('001_population_health_zone_zs'!$B93,[1]ratio_ins!$B:$B,0))</f>
        <v>678.80980800000009</v>
      </c>
      <c r="AW93" s="10">
        <f>INDEX([1]ratio_ins!AT:AT,MATCH('001_population_health_zone_zs'!$B$2,[1]ratio_ins!$B:$B,0))*$G93*INDEX([1]ratio_ins!$D:$D,MATCH('001_population_health_zone_zs'!$B93,[1]ratio_ins!$B:$B,0))</f>
        <v>452.539872</v>
      </c>
      <c r="AX93" s="13">
        <f>INDEX([1]ratio_ins!AU:AU,MATCH('001_population_health_zone_zs'!$B$2,[1]ratio_ins!$B:$B,0))*$G93*INDEX([1]ratio_ins!$D:$D,MATCH('001_population_health_zone_zs'!$B93,[1]ratio_ins!$B:$B,0))</f>
        <v>4751.6686559999998</v>
      </c>
      <c r="AY93" s="14">
        <f t="shared" si="7"/>
        <v>226269.93599999999</v>
      </c>
      <c r="AZ93" s="15">
        <f t="shared" si="8"/>
        <v>441072</v>
      </c>
      <c r="BA93" s="16">
        <v>425557.30772753421</v>
      </c>
      <c r="BB93" s="10">
        <f t="shared" si="9"/>
        <v>96164.722800000003</v>
      </c>
      <c r="BC93" s="17">
        <f t="shared" si="10"/>
        <v>0.218025</v>
      </c>
      <c r="BD93" s="10">
        <f t="shared" si="11"/>
        <v>89572.460688000021</v>
      </c>
    </row>
    <row r="94" spans="1:56" x14ac:dyDescent="0.25">
      <c r="A94" s="8" t="s">
        <v>197</v>
      </c>
      <c r="B94" s="8" t="s">
        <v>198</v>
      </c>
      <c r="C94" s="8" t="s">
        <v>226</v>
      </c>
      <c r="D94" s="8" t="s">
        <v>227</v>
      </c>
      <c r="E94" s="8" t="s">
        <v>229</v>
      </c>
      <c r="F94" s="8" t="s">
        <v>230</v>
      </c>
      <c r="G94" s="9">
        <v>308363</v>
      </c>
      <c r="H94" s="10">
        <f>INDEX([1]ratio_ins!F:F,MATCH('001_population_health_zone_zs'!$B$2,[1]ratio_ins!$B:$B,0))*$G94*INDEX([1]ratio_ins!$C:$C,MATCH('001_population_health_zone_zs'!$B94,[1]ratio_ins!$B:$B,0))</f>
        <v>31386.111229000002</v>
      </c>
      <c r="I94" s="10">
        <f>INDEX([1]ratio_ins!G:G,MATCH('001_population_health_zone_zs'!$B$2,[1]ratio_ins!$B:$B,0))*$G94*INDEX([1]ratio_ins!$C:$C,MATCH('001_population_health_zone_zs'!$B94,[1]ratio_ins!$B:$B,0))</f>
        <v>25679.545551000003</v>
      </c>
      <c r="J94" s="10">
        <f>INDEX([1]ratio_ins!H:H,MATCH('001_population_health_zone_zs'!$B$2,[1]ratio_ins!$B:$B,0))*$G94*INDEX([1]ratio_ins!$C:$C,MATCH('001_population_health_zone_zs'!$B94,[1]ratio_ins!$B:$B,0))</f>
        <v>20273.325435000002</v>
      </c>
      <c r="K94" s="10">
        <f>INDEX([1]ratio_ins!I:I,MATCH('001_population_health_zone_zs'!$B$2,[1]ratio_ins!$B:$B,0))*$G94*INDEX([1]ratio_ins!$C:$C,MATCH('001_population_health_zone_zs'!$B94,[1]ratio_ins!$B:$B,0))</f>
        <v>12464.340823000002</v>
      </c>
      <c r="L94" s="10">
        <f>INDEX([1]ratio_ins!J:J,MATCH('001_population_health_zone_zs'!$B$2,[1]ratio_ins!$B:$B,0))*$G94*INDEX([1]ratio_ins!$C:$C,MATCH('001_population_health_zone_zs'!$B94,[1]ratio_ins!$B:$B,0))</f>
        <v>7478.6044938000005</v>
      </c>
      <c r="M94" s="11">
        <f>INDEX([1]ratio_ins!K:K,MATCH('001_population_health_zone_zs'!$B$2,[1]ratio_ins!$B:$B,0))*$G94*INDEX([1]ratio_ins!$C:$C,MATCH('001_population_health_zone_zs'!$B94,[1]ratio_ins!$B:$B,0))</f>
        <v>84817.586708799994</v>
      </c>
      <c r="N94" s="10">
        <f>INDEX([1]ratio_ins!L:L,MATCH('001_population_health_zone_zs'!$B$2,[1]ratio_ins!$B:$B,0))*$G94*INDEX([1]ratio_ins!$C:$C,MATCH('001_population_health_zone_zs'!$B94,[1]ratio_ins!$B:$B,0))</f>
        <v>4985.7363292</v>
      </c>
      <c r="O94" s="10">
        <f>INDEX([1]ratio_ins!M:M,MATCH('001_population_health_zone_zs'!$B$2,[1]ratio_ins!$B:$B,0))*$G94*INDEX([1]ratio_ins!$C:$C,MATCH('001_population_health_zone_zs'!$B94,[1]ratio_ins!$B:$B,0))</f>
        <v>10812.440232000003</v>
      </c>
      <c r="P94" s="10">
        <f>INDEX([1]ratio_ins!N:N,MATCH('001_population_health_zone_zs'!$B$2,[1]ratio_ins!$B:$B,0))*$G94*INDEX([1]ratio_ins!$C:$C,MATCH('001_population_health_zone_zs'!$B94,[1]ratio_ins!$B:$B,0))</f>
        <v>9761.2307650000021</v>
      </c>
      <c r="Q94" s="10">
        <f>INDEX([1]ratio_ins!O:O,MATCH('001_population_health_zone_zs'!$B$2,[1]ratio_ins!$B:$B,0))*$G94*INDEX([1]ratio_ins!$C:$C,MATCH('001_population_health_zone_zs'!$B94,[1]ratio_ins!$B:$B,0))</f>
        <v>8710.0212980000015</v>
      </c>
      <c r="R94" s="10">
        <f>INDEX([1]ratio_ins!P:P,MATCH('001_population_health_zone_zs'!$B$2,[1]ratio_ins!$B:$B,0))*$G94*INDEX([1]ratio_ins!$C:$C,MATCH('001_population_health_zone_zs'!$B94,[1]ratio_ins!$B:$B,0))</f>
        <v>8559.8485170000004</v>
      </c>
      <c r="S94" s="10">
        <f>INDEX([1]ratio_ins!Q:Q,MATCH('001_population_health_zone_zs'!$B$2,[1]ratio_ins!$B:$B,0))*$G94*INDEX([1]ratio_ins!$C:$C,MATCH('001_population_health_zone_zs'!$B94,[1]ratio_ins!$B:$B,0))</f>
        <v>7208.2934880000012</v>
      </c>
      <c r="T94" s="10">
        <f>INDEX([1]ratio_ins!R:R,MATCH('001_population_health_zone_zs'!$B$2,[1]ratio_ins!$B:$B,0))*$G94*INDEX([1]ratio_ins!$C:$C,MATCH('001_population_health_zone_zs'!$B94,[1]ratio_ins!$B:$B,0))</f>
        <v>5105.8745540000009</v>
      </c>
      <c r="U94" s="10">
        <f>INDEX([1]ratio_ins!S:S,MATCH('001_population_health_zone_zs'!$B$2,[1]ratio_ins!$B:$B,0))*$G94*INDEX([1]ratio_ins!$C:$C,MATCH('001_population_health_zone_zs'!$B94,[1]ratio_ins!$B:$B,0))</f>
        <v>4054.6650870000012</v>
      </c>
      <c r="V94" s="10">
        <f>INDEX([1]ratio_ins!T:T,MATCH('001_population_health_zone_zs'!$B$2,[1]ratio_ins!$B:$B,0))*$G94*INDEX([1]ratio_ins!$C:$C,MATCH('001_population_health_zone_zs'!$B94,[1]ratio_ins!$B:$B,0))</f>
        <v>2252.591715</v>
      </c>
      <c r="W94" s="11">
        <f>INDEX([1]ratio_ins!U:U,MATCH('001_population_health_zone_zs'!$B$2,[1]ratio_ins!$B:$B,0))*$G94*INDEX([1]ratio_ins!$C:$C,MATCH('001_population_health_zone_zs'!$B94,[1]ratio_ins!$B:$B,0))</f>
        <v>61450.701985200008</v>
      </c>
      <c r="X94" s="10">
        <f>INDEX([1]ratio_ins!V:V,MATCH('001_population_health_zone_zs'!$B$2,[1]ratio_ins!$B:$B,0))*$G94*INDEX([1]ratio_ins!$C:$C,MATCH('001_population_health_zone_zs'!$B94,[1]ratio_ins!$B:$B,0))</f>
        <v>1802.0733720000003</v>
      </c>
      <c r="Y94" s="10">
        <f>INDEX([1]ratio_ins!W:W,MATCH('001_population_health_zone_zs'!$B$2,[1]ratio_ins!$B:$B,0))*$G94*INDEX([1]ratio_ins!$C:$C,MATCH('001_population_health_zone_zs'!$B94,[1]ratio_ins!$B:$B,0))</f>
        <v>1201.3822480000001</v>
      </c>
      <c r="Z94" s="10">
        <f>INDEX([1]ratio_ins!X:X,MATCH('001_population_health_zone_zs'!$B$2,[1]ratio_ins!$B:$B,0))*$G94*INDEX([1]ratio_ins!$C:$C,MATCH('001_population_health_zone_zs'!$B94,[1]ratio_ins!$B:$B,0))</f>
        <v>600.69112400000006</v>
      </c>
      <c r="AA94" s="10">
        <f>INDEX([1]ratio_ins!Y:Y,MATCH('001_population_health_zone_zs'!$B$2,[1]ratio_ins!$B:$B,0))*$G94*INDEX([1]ratio_ins!$C:$C,MATCH('001_population_health_zone_zs'!$B94,[1]ratio_ins!$B:$B,0))</f>
        <v>300.34556200000003</v>
      </c>
      <c r="AB94" s="11">
        <f>INDEX([1]ratio_ins!Z:Z,MATCH('001_population_health_zone_zs'!$B$2,[1]ratio_ins!$B:$B,0))*$G94*INDEX([1]ratio_ins!$C:$C,MATCH('001_population_health_zone_zs'!$B94,[1]ratio_ins!$B:$B,0))</f>
        <v>3904.492306000001</v>
      </c>
      <c r="AC94" s="12">
        <f t="shared" si="6"/>
        <v>150172.78099999999</v>
      </c>
      <c r="AD94" s="10">
        <f>INDEX([1]ratio_ins!AA:AA,MATCH('001_population_health_zone_zs'!$B$2,[1]ratio_ins!$B:$B,0))*$G94*INDEX([1]ratio_ins!$D:$D,MATCH('001_population_health_zone_zs'!$B94,[1]ratio_ins!$B:$B,0))</f>
        <v>33219.94599</v>
      </c>
      <c r="AE94" s="10">
        <f>INDEX([1]ratio_ins!AB:AB,MATCH('001_population_health_zone_zs'!$B$2,[1]ratio_ins!$B:$B,0))*$G94*INDEX([1]ratio_ins!$D:$D,MATCH('001_population_health_zone_zs'!$B94,[1]ratio_ins!$B:$B,0))</f>
        <v>27366.907887000005</v>
      </c>
      <c r="AF94" s="10">
        <f>INDEX([1]ratio_ins!AC:AC,MATCH('001_population_health_zone_zs'!$B$2,[1]ratio_ins!$B:$B,0))*$G94*INDEX([1]ratio_ins!$D:$D,MATCH('001_population_health_zone_zs'!$B94,[1]ratio_ins!$B:$B,0))</f>
        <v>21672.060002999995</v>
      </c>
      <c r="AG94" s="10">
        <f>INDEX([1]ratio_ins!AD:AD,MATCH('001_population_health_zone_zs'!$B$2,[1]ratio_ins!$B:$B,0))*$G94*INDEX([1]ratio_ins!$D:$D,MATCH('001_population_health_zone_zs'!$B94,[1]ratio_ins!$B:$B,0))</f>
        <v>13129.788177</v>
      </c>
      <c r="AH94" s="10">
        <f>INDEX([1]ratio_ins!AE:AE,MATCH('001_population_health_zone_zs'!$B$2,[1]ratio_ins!$B:$B,0))*$G94*INDEX([1]ratio_ins!$D:$D,MATCH('001_population_health_zone_zs'!$B94,[1]ratio_ins!$B:$B,0))</f>
        <v>7877.8729062000002</v>
      </c>
      <c r="AI94" s="13">
        <f>INDEX([1]ratio_ins!AF:AF,MATCH('001_population_health_zone_zs'!$B$2,[1]ratio_ins!$B:$B,0))*$G94*INDEX([1]ratio_ins!$D:$D,MATCH('001_population_health_zone_zs'!$B94,[1]ratio_ins!$B:$B,0))</f>
        <v>90136.786786199998</v>
      </c>
      <c r="AJ94" s="10">
        <f>INDEX([1]ratio_ins!AG:AG,MATCH('001_population_health_zone_zs'!$B$2,[1]ratio_ins!$B:$B,0))*$G94*INDEX([1]ratio_ins!$D:$D,MATCH('001_population_health_zone_zs'!$B94,[1]ratio_ins!$B:$B,0))</f>
        <v>5251.9152708000001</v>
      </c>
      <c r="AK94" s="10">
        <f>INDEX([1]ratio_ins!AH:AH,MATCH('001_population_health_zone_zs'!$B$2,[1]ratio_ins!$B:$B,0))*$G94*INDEX([1]ratio_ins!$D:$D,MATCH('001_population_health_zone_zs'!$B94,[1]ratio_ins!$B:$B,0))</f>
        <v>11706.076206000003</v>
      </c>
      <c r="AL94" s="10">
        <f>INDEX([1]ratio_ins!AI:AI,MATCH('001_population_health_zone_zs'!$B$2,[1]ratio_ins!$B:$B,0))*$G94*INDEX([1]ratio_ins!$D:$D,MATCH('001_population_health_zone_zs'!$B94,[1]ratio_ins!$B:$B,0))</f>
        <v>11073.315330000001</v>
      </c>
      <c r="AM94" s="10">
        <f>INDEX([1]ratio_ins!AJ:AJ,MATCH('001_population_health_zone_zs'!$B$2,[1]ratio_ins!$B:$B,0))*$G94*INDEX([1]ratio_ins!$D:$D,MATCH('001_population_health_zone_zs'!$B94,[1]ratio_ins!$B:$B,0))</f>
        <v>10124.174016000001</v>
      </c>
      <c r="AN94" s="10">
        <f>INDEX([1]ratio_ins!AK:AK,MATCH('001_population_health_zone_zs'!$B$2,[1]ratio_ins!$B:$B,0))*$G94*INDEX([1]ratio_ins!$D:$D,MATCH('001_population_health_zone_zs'!$B94,[1]ratio_ins!$B:$B,0))</f>
        <v>9491.4131399999987</v>
      </c>
      <c r="AO94" s="10">
        <f>INDEX([1]ratio_ins!AL:AL,MATCH('001_population_health_zone_zs'!$B$2,[1]ratio_ins!$B:$B,0))*$G94*INDEX([1]ratio_ins!$D:$D,MATCH('001_population_health_zone_zs'!$B94,[1]ratio_ins!$B:$B,0))</f>
        <v>7118.5598549999995</v>
      </c>
      <c r="AP94" s="10">
        <f>INDEX([1]ratio_ins!AM:AM,MATCH('001_population_health_zone_zs'!$B$2,[1]ratio_ins!$B:$B,0))*$G94*INDEX([1]ratio_ins!$D:$D,MATCH('001_population_health_zone_zs'!$B94,[1]ratio_ins!$B:$B,0))</f>
        <v>4587.5163510000002</v>
      </c>
      <c r="AQ94" s="10">
        <f>INDEX([1]ratio_ins!AN:AN,MATCH('001_population_health_zone_zs'!$B$2,[1]ratio_ins!$B:$B,0))*$G94*INDEX([1]ratio_ins!$D:$D,MATCH('001_population_health_zone_zs'!$B94,[1]ratio_ins!$B:$B,0))</f>
        <v>3638.3750370000002</v>
      </c>
      <c r="AR94" s="10">
        <f>INDEX([1]ratio_ins!AO:AO,MATCH('001_population_health_zone_zs'!$B$2,[1]ratio_ins!$B:$B,0))*$G94*INDEX([1]ratio_ins!$D:$D,MATCH('001_population_health_zone_zs'!$B94,[1]ratio_ins!$B:$B,0))</f>
        <v>1740.0924090000003</v>
      </c>
      <c r="AS94" s="13">
        <f>INDEX([1]ratio_ins!AP:AP,MATCH('001_population_health_zone_zs'!$B$2,[1]ratio_ins!$B:$B,0))*$G94*INDEX([1]ratio_ins!$D:$D,MATCH('001_population_health_zone_zs'!$B94,[1]ratio_ins!$B:$B,0))</f>
        <v>64731.437614800008</v>
      </c>
      <c r="AT94" s="10">
        <f>INDEX([1]ratio_ins!AQ:AQ,MATCH('001_population_health_zone_zs'!$B$2,[1]ratio_ins!$B:$B,0))*$G94*INDEX([1]ratio_ins!$D:$D,MATCH('001_population_health_zone_zs'!$B94,[1]ratio_ins!$B:$B,0))</f>
        <v>1581.90219</v>
      </c>
      <c r="AU94" s="10">
        <f>INDEX([1]ratio_ins!AR:AR,MATCH('001_population_health_zone_zs'!$B$2,[1]ratio_ins!$B:$B,0))*$G94*INDEX([1]ratio_ins!$D:$D,MATCH('001_population_health_zone_zs'!$B94,[1]ratio_ins!$B:$B,0))</f>
        <v>949.14131400000008</v>
      </c>
      <c r="AV94" s="10">
        <f>INDEX([1]ratio_ins!AS:AS,MATCH('001_population_health_zone_zs'!$B$2,[1]ratio_ins!$B:$B,0))*$G94*INDEX([1]ratio_ins!$D:$D,MATCH('001_population_health_zone_zs'!$B94,[1]ratio_ins!$B:$B,0))</f>
        <v>474.57065700000004</v>
      </c>
      <c r="AW94" s="10">
        <f>INDEX([1]ratio_ins!AT:AT,MATCH('001_population_health_zone_zs'!$B$2,[1]ratio_ins!$B:$B,0))*$G94*INDEX([1]ratio_ins!$D:$D,MATCH('001_population_health_zone_zs'!$B94,[1]ratio_ins!$B:$B,0))</f>
        <v>316.38043800000003</v>
      </c>
      <c r="AX94" s="13">
        <f>INDEX([1]ratio_ins!AU:AU,MATCH('001_population_health_zone_zs'!$B$2,[1]ratio_ins!$B:$B,0))*$G94*INDEX([1]ratio_ins!$D:$D,MATCH('001_population_health_zone_zs'!$B94,[1]ratio_ins!$B:$B,0))</f>
        <v>3321.9945989999997</v>
      </c>
      <c r="AY94" s="14">
        <f t="shared" si="7"/>
        <v>158190.21900000001</v>
      </c>
      <c r="AZ94" s="15">
        <f t="shared" si="8"/>
        <v>308363</v>
      </c>
      <c r="BA94" s="16">
        <v>297516.09578587097</v>
      </c>
      <c r="BB94" s="10">
        <f t="shared" si="9"/>
        <v>67230.843075000012</v>
      </c>
      <c r="BC94" s="17">
        <f t="shared" si="10"/>
        <v>0.21802500000000002</v>
      </c>
      <c r="BD94" s="10">
        <f t="shared" si="11"/>
        <v>62622.04967700001</v>
      </c>
    </row>
    <row r="95" spans="1:56" x14ac:dyDescent="0.25">
      <c r="A95" s="8" t="s">
        <v>197</v>
      </c>
      <c r="B95" s="8" t="s">
        <v>198</v>
      </c>
      <c r="C95" s="8" t="s">
        <v>226</v>
      </c>
      <c r="D95" s="8" t="s">
        <v>227</v>
      </c>
      <c r="E95" s="8" t="s">
        <v>231</v>
      </c>
      <c r="F95" s="8" t="s">
        <v>232</v>
      </c>
      <c r="G95" s="9">
        <v>306226</v>
      </c>
      <c r="H95" s="10">
        <f>INDEX([1]ratio_ins!F:F,MATCH('001_population_health_zone_zs'!$B$2,[1]ratio_ins!$B:$B,0))*$G95*INDEX([1]ratio_ins!$C:$C,MATCH('001_population_health_zone_zs'!$B95,[1]ratio_ins!$B:$B,0))</f>
        <v>31168.600958000003</v>
      </c>
      <c r="I95" s="10">
        <f>INDEX([1]ratio_ins!G:G,MATCH('001_population_health_zone_zs'!$B$2,[1]ratio_ins!$B:$B,0))*$G95*INDEX([1]ratio_ins!$C:$C,MATCH('001_population_health_zone_zs'!$B95,[1]ratio_ins!$B:$B,0))</f>
        <v>25501.582602000002</v>
      </c>
      <c r="J95" s="10">
        <f>INDEX([1]ratio_ins!H:H,MATCH('001_population_health_zone_zs'!$B$2,[1]ratio_ins!$B:$B,0))*$G95*INDEX([1]ratio_ins!$C:$C,MATCH('001_population_health_zone_zs'!$B95,[1]ratio_ins!$B:$B,0))</f>
        <v>20132.828370000003</v>
      </c>
      <c r="K95" s="10">
        <f>INDEX([1]ratio_ins!I:I,MATCH('001_population_health_zone_zs'!$B$2,[1]ratio_ins!$B:$B,0))*$G95*INDEX([1]ratio_ins!$C:$C,MATCH('001_population_health_zone_zs'!$B95,[1]ratio_ins!$B:$B,0))</f>
        <v>12377.961146000001</v>
      </c>
      <c r="L95" s="10">
        <f>INDEX([1]ratio_ins!J:J,MATCH('001_population_health_zone_zs'!$B$2,[1]ratio_ins!$B:$B,0))*$G95*INDEX([1]ratio_ins!$C:$C,MATCH('001_population_health_zone_zs'!$B95,[1]ratio_ins!$B:$B,0))</f>
        <v>7426.7766876000005</v>
      </c>
      <c r="M95" s="11">
        <f>INDEX([1]ratio_ins!K:K,MATCH('001_population_health_zone_zs'!$B$2,[1]ratio_ins!$B:$B,0))*$G95*INDEX([1]ratio_ins!$C:$C,MATCH('001_population_health_zone_zs'!$B95,[1]ratio_ins!$B:$B,0))</f>
        <v>84229.788617600003</v>
      </c>
      <c r="N95" s="10">
        <f>INDEX([1]ratio_ins!L:L,MATCH('001_population_health_zone_zs'!$B$2,[1]ratio_ins!$B:$B,0))*$G95*INDEX([1]ratio_ins!$C:$C,MATCH('001_population_health_zone_zs'!$B95,[1]ratio_ins!$B:$B,0))</f>
        <v>4951.1844584</v>
      </c>
      <c r="O95" s="10">
        <f>INDEX([1]ratio_ins!M:M,MATCH('001_population_health_zone_zs'!$B$2,[1]ratio_ins!$B:$B,0))*$G95*INDEX([1]ratio_ins!$C:$C,MATCH('001_population_health_zone_zs'!$B95,[1]ratio_ins!$B:$B,0))</f>
        <v>10737.508464000002</v>
      </c>
      <c r="P95" s="10">
        <f>INDEX([1]ratio_ins!N:N,MATCH('001_population_health_zone_zs'!$B$2,[1]ratio_ins!$B:$B,0))*$G95*INDEX([1]ratio_ins!$C:$C,MATCH('001_population_health_zone_zs'!$B95,[1]ratio_ins!$B:$B,0))</f>
        <v>9693.5840300000018</v>
      </c>
      <c r="Q95" s="10">
        <f>INDEX([1]ratio_ins!O:O,MATCH('001_population_health_zone_zs'!$B$2,[1]ratio_ins!$B:$B,0))*$G95*INDEX([1]ratio_ins!$C:$C,MATCH('001_population_health_zone_zs'!$B95,[1]ratio_ins!$B:$B,0))</f>
        <v>8649.6595960000013</v>
      </c>
      <c r="R95" s="10">
        <f>INDEX([1]ratio_ins!P:P,MATCH('001_population_health_zone_zs'!$B$2,[1]ratio_ins!$B:$B,0))*$G95*INDEX([1]ratio_ins!$C:$C,MATCH('001_population_health_zone_zs'!$B95,[1]ratio_ins!$B:$B,0))</f>
        <v>8500.5275340000007</v>
      </c>
      <c r="S95" s="10">
        <f>INDEX([1]ratio_ins!Q:Q,MATCH('001_population_health_zone_zs'!$B$2,[1]ratio_ins!$B:$B,0))*$G95*INDEX([1]ratio_ins!$C:$C,MATCH('001_population_health_zone_zs'!$B95,[1]ratio_ins!$B:$B,0))</f>
        <v>7158.3389760000009</v>
      </c>
      <c r="T95" s="10">
        <f>INDEX([1]ratio_ins!R:R,MATCH('001_population_health_zone_zs'!$B$2,[1]ratio_ins!$B:$B,0))*$G95*INDEX([1]ratio_ins!$C:$C,MATCH('001_population_health_zone_zs'!$B95,[1]ratio_ins!$B:$B,0))</f>
        <v>5070.4901080000009</v>
      </c>
      <c r="U95" s="10">
        <f>INDEX([1]ratio_ins!S:S,MATCH('001_population_health_zone_zs'!$B$2,[1]ratio_ins!$B:$B,0))*$G95*INDEX([1]ratio_ins!$C:$C,MATCH('001_population_health_zone_zs'!$B95,[1]ratio_ins!$B:$B,0))</f>
        <v>4026.5656740000009</v>
      </c>
      <c r="V95" s="10">
        <f>INDEX([1]ratio_ins!T:T,MATCH('001_population_health_zone_zs'!$B$2,[1]ratio_ins!$B:$B,0))*$G95*INDEX([1]ratio_ins!$C:$C,MATCH('001_population_health_zone_zs'!$B95,[1]ratio_ins!$B:$B,0))</f>
        <v>2236.9809299999997</v>
      </c>
      <c r="W95" s="11">
        <f>INDEX([1]ratio_ins!U:U,MATCH('001_population_health_zone_zs'!$B$2,[1]ratio_ins!$B:$B,0))*$G95*INDEX([1]ratio_ins!$C:$C,MATCH('001_population_health_zone_zs'!$B95,[1]ratio_ins!$B:$B,0))</f>
        <v>61024.839770400002</v>
      </c>
      <c r="X95" s="10">
        <f>INDEX([1]ratio_ins!V:V,MATCH('001_population_health_zone_zs'!$B$2,[1]ratio_ins!$B:$B,0))*$G95*INDEX([1]ratio_ins!$C:$C,MATCH('001_population_health_zone_zs'!$B95,[1]ratio_ins!$B:$B,0))</f>
        <v>1789.5847440000002</v>
      </c>
      <c r="Y95" s="10">
        <f>INDEX([1]ratio_ins!W:W,MATCH('001_population_health_zone_zs'!$B$2,[1]ratio_ins!$B:$B,0))*$G95*INDEX([1]ratio_ins!$C:$C,MATCH('001_population_health_zone_zs'!$B95,[1]ratio_ins!$B:$B,0))</f>
        <v>1193.0564960000002</v>
      </c>
      <c r="Z95" s="10">
        <f>INDEX([1]ratio_ins!X:X,MATCH('001_population_health_zone_zs'!$B$2,[1]ratio_ins!$B:$B,0))*$G95*INDEX([1]ratio_ins!$C:$C,MATCH('001_population_health_zone_zs'!$B95,[1]ratio_ins!$B:$B,0))</f>
        <v>596.52824800000008</v>
      </c>
      <c r="AA95" s="10">
        <f>INDEX([1]ratio_ins!Y:Y,MATCH('001_population_health_zone_zs'!$B$2,[1]ratio_ins!$B:$B,0))*$G95*INDEX([1]ratio_ins!$C:$C,MATCH('001_population_health_zone_zs'!$B95,[1]ratio_ins!$B:$B,0))</f>
        <v>298.26412400000004</v>
      </c>
      <c r="AB95" s="11">
        <f>INDEX([1]ratio_ins!Z:Z,MATCH('001_population_health_zone_zs'!$B$2,[1]ratio_ins!$B:$B,0))*$G95*INDEX([1]ratio_ins!$C:$C,MATCH('001_population_health_zone_zs'!$B95,[1]ratio_ins!$B:$B,0))</f>
        <v>3877.4336120000007</v>
      </c>
      <c r="AC95" s="12">
        <f t="shared" si="6"/>
        <v>149132.06200000001</v>
      </c>
      <c r="AD95" s="10">
        <f>INDEX([1]ratio_ins!AA:AA,MATCH('001_population_health_zone_zs'!$B$2,[1]ratio_ins!$B:$B,0))*$G95*INDEX([1]ratio_ins!$D:$D,MATCH('001_population_health_zone_zs'!$B95,[1]ratio_ins!$B:$B,0))</f>
        <v>32989.726979999999</v>
      </c>
      <c r="AE95" s="10">
        <f>INDEX([1]ratio_ins!AB:AB,MATCH('001_population_health_zone_zs'!$B$2,[1]ratio_ins!$B:$B,0))*$G95*INDEX([1]ratio_ins!$D:$D,MATCH('001_population_health_zone_zs'!$B95,[1]ratio_ins!$B:$B,0))</f>
        <v>27177.251274000002</v>
      </c>
      <c r="AF95" s="10">
        <f>INDEX([1]ratio_ins!AC:AC,MATCH('001_population_health_zone_zs'!$B$2,[1]ratio_ins!$B:$B,0))*$G95*INDEX([1]ratio_ins!$D:$D,MATCH('001_population_health_zone_zs'!$B95,[1]ratio_ins!$B:$B,0))</f>
        <v>21521.869505999995</v>
      </c>
      <c r="AG95" s="10">
        <f>INDEX([1]ratio_ins!AD:AD,MATCH('001_population_health_zone_zs'!$B$2,[1]ratio_ins!$B:$B,0))*$G95*INDEX([1]ratio_ins!$D:$D,MATCH('001_population_health_zone_zs'!$B95,[1]ratio_ins!$B:$B,0))</f>
        <v>13038.796854000002</v>
      </c>
      <c r="AH95" s="10">
        <f>INDEX([1]ratio_ins!AE:AE,MATCH('001_population_health_zone_zs'!$B$2,[1]ratio_ins!$B:$B,0))*$G95*INDEX([1]ratio_ins!$D:$D,MATCH('001_population_health_zone_zs'!$B95,[1]ratio_ins!$B:$B,0))</f>
        <v>7823.2781124000003</v>
      </c>
      <c r="AI95" s="13">
        <f>INDEX([1]ratio_ins!AF:AF,MATCH('001_population_health_zone_zs'!$B$2,[1]ratio_ins!$B:$B,0))*$G95*INDEX([1]ratio_ins!$D:$D,MATCH('001_population_health_zone_zs'!$B95,[1]ratio_ins!$B:$B,0))</f>
        <v>89512.125872400007</v>
      </c>
      <c r="AJ95" s="10">
        <f>INDEX([1]ratio_ins!AG:AG,MATCH('001_population_health_zone_zs'!$B$2,[1]ratio_ins!$B:$B,0))*$G95*INDEX([1]ratio_ins!$D:$D,MATCH('001_population_health_zone_zs'!$B95,[1]ratio_ins!$B:$B,0))</f>
        <v>5215.5187415999999</v>
      </c>
      <c r="AK95" s="10">
        <f>INDEX([1]ratio_ins!AH:AH,MATCH('001_population_health_zone_zs'!$B$2,[1]ratio_ins!$B:$B,0))*$G95*INDEX([1]ratio_ins!$D:$D,MATCH('001_population_health_zone_zs'!$B95,[1]ratio_ins!$B:$B,0))</f>
        <v>11624.951412000002</v>
      </c>
      <c r="AL95" s="10">
        <f>INDEX([1]ratio_ins!AI:AI,MATCH('001_population_health_zone_zs'!$B$2,[1]ratio_ins!$B:$B,0))*$G95*INDEX([1]ratio_ins!$D:$D,MATCH('001_population_health_zone_zs'!$B95,[1]ratio_ins!$B:$B,0))</f>
        <v>10996.575660000002</v>
      </c>
      <c r="AM95" s="10">
        <f>INDEX([1]ratio_ins!AJ:AJ,MATCH('001_population_health_zone_zs'!$B$2,[1]ratio_ins!$B:$B,0))*$G95*INDEX([1]ratio_ins!$D:$D,MATCH('001_population_health_zone_zs'!$B95,[1]ratio_ins!$B:$B,0))</f>
        <v>10054.012032000001</v>
      </c>
      <c r="AN95" s="10">
        <f>INDEX([1]ratio_ins!AK:AK,MATCH('001_population_health_zone_zs'!$B$2,[1]ratio_ins!$B:$B,0))*$G95*INDEX([1]ratio_ins!$D:$D,MATCH('001_population_health_zone_zs'!$B95,[1]ratio_ins!$B:$B,0))</f>
        <v>9425.6362799999988</v>
      </c>
      <c r="AO95" s="10">
        <f>INDEX([1]ratio_ins!AL:AL,MATCH('001_population_health_zone_zs'!$B$2,[1]ratio_ins!$B:$B,0))*$G95*INDEX([1]ratio_ins!$D:$D,MATCH('001_population_health_zone_zs'!$B95,[1]ratio_ins!$B:$B,0))</f>
        <v>7069.22721</v>
      </c>
      <c r="AP95" s="10">
        <f>INDEX([1]ratio_ins!AM:AM,MATCH('001_population_health_zone_zs'!$B$2,[1]ratio_ins!$B:$B,0))*$G95*INDEX([1]ratio_ins!$D:$D,MATCH('001_population_health_zone_zs'!$B95,[1]ratio_ins!$B:$B,0))</f>
        <v>4555.7242020000003</v>
      </c>
      <c r="AQ95" s="10">
        <f>INDEX([1]ratio_ins!AN:AN,MATCH('001_population_health_zone_zs'!$B$2,[1]ratio_ins!$B:$B,0))*$G95*INDEX([1]ratio_ins!$D:$D,MATCH('001_population_health_zone_zs'!$B95,[1]ratio_ins!$B:$B,0))</f>
        <v>3613.1605740000005</v>
      </c>
      <c r="AR95" s="10">
        <f>INDEX([1]ratio_ins!AO:AO,MATCH('001_population_health_zone_zs'!$B$2,[1]ratio_ins!$B:$B,0))*$G95*INDEX([1]ratio_ins!$D:$D,MATCH('001_population_health_zone_zs'!$B95,[1]ratio_ins!$B:$B,0))</f>
        <v>1728.0333180000002</v>
      </c>
      <c r="AS95" s="13">
        <f>INDEX([1]ratio_ins!AP:AP,MATCH('001_population_health_zone_zs'!$B$2,[1]ratio_ins!$B:$B,0))*$G95*INDEX([1]ratio_ins!$D:$D,MATCH('001_population_health_zone_zs'!$B95,[1]ratio_ins!$B:$B,0))</f>
        <v>64282.839429600004</v>
      </c>
      <c r="AT95" s="10">
        <f>INDEX([1]ratio_ins!AQ:AQ,MATCH('001_population_health_zone_zs'!$B$2,[1]ratio_ins!$B:$B,0))*$G95*INDEX([1]ratio_ins!$D:$D,MATCH('001_population_health_zone_zs'!$B95,[1]ratio_ins!$B:$B,0))</f>
        <v>1570.9393800000003</v>
      </c>
      <c r="AU95" s="10">
        <f>INDEX([1]ratio_ins!AR:AR,MATCH('001_population_health_zone_zs'!$B$2,[1]ratio_ins!$B:$B,0))*$G95*INDEX([1]ratio_ins!$D:$D,MATCH('001_population_health_zone_zs'!$B95,[1]ratio_ins!$B:$B,0))</f>
        <v>942.56362799999999</v>
      </c>
      <c r="AV95" s="10">
        <f>INDEX([1]ratio_ins!AS:AS,MATCH('001_population_health_zone_zs'!$B$2,[1]ratio_ins!$B:$B,0))*$G95*INDEX([1]ratio_ins!$D:$D,MATCH('001_population_health_zone_zs'!$B95,[1]ratio_ins!$B:$B,0))</f>
        <v>471.281814</v>
      </c>
      <c r="AW95" s="10">
        <f>INDEX([1]ratio_ins!AT:AT,MATCH('001_population_health_zone_zs'!$B$2,[1]ratio_ins!$B:$B,0))*$G95*INDEX([1]ratio_ins!$D:$D,MATCH('001_population_health_zone_zs'!$B95,[1]ratio_ins!$B:$B,0))</f>
        <v>314.18787600000002</v>
      </c>
      <c r="AX95" s="13">
        <f>INDEX([1]ratio_ins!AU:AU,MATCH('001_population_health_zone_zs'!$B$2,[1]ratio_ins!$B:$B,0))*$G95*INDEX([1]ratio_ins!$D:$D,MATCH('001_population_health_zone_zs'!$B95,[1]ratio_ins!$B:$B,0))</f>
        <v>3298.9726979999996</v>
      </c>
      <c r="AY95" s="14">
        <f t="shared" si="7"/>
        <v>157093.93799999999</v>
      </c>
      <c r="AZ95" s="15">
        <f t="shared" si="8"/>
        <v>306226</v>
      </c>
      <c r="BA95" s="16">
        <v>295454.10701473255</v>
      </c>
      <c r="BB95" s="10">
        <f t="shared" si="9"/>
        <v>66764.923649999997</v>
      </c>
      <c r="BC95" s="17">
        <f t="shared" si="10"/>
        <v>0.218025</v>
      </c>
      <c r="BD95" s="10">
        <f t="shared" si="11"/>
        <v>62188.069854000008</v>
      </c>
    </row>
    <row r="96" spans="1:56" x14ac:dyDescent="0.25">
      <c r="A96" s="8" t="s">
        <v>197</v>
      </c>
      <c r="B96" s="8" t="s">
        <v>198</v>
      </c>
      <c r="C96" s="8" t="s">
        <v>226</v>
      </c>
      <c r="D96" s="8" t="s">
        <v>227</v>
      </c>
      <c r="E96" s="8" t="s">
        <v>233</v>
      </c>
      <c r="F96" s="8" t="s">
        <v>234</v>
      </c>
      <c r="G96" s="9">
        <v>287404</v>
      </c>
      <c r="H96" s="10">
        <f>INDEX([1]ratio_ins!F:F,MATCH('001_population_health_zone_zs'!$B$2,[1]ratio_ins!$B:$B,0))*$G96*INDEX([1]ratio_ins!$C:$C,MATCH('001_population_health_zone_zs'!$B96,[1]ratio_ins!$B:$B,0))</f>
        <v>29252.841332</v>
      </c>
      <c r="I96" s="10">
        <f>INDEX([1]ratio_ins!G:G,MATCH('001_population_health_zone_zs'!$B$2,[1]ratio_ins!$B:$B,0))*$G96*INDEX([1]ratio_ins!$C:$C,MATCH('001_population_health_zone_zs'!$B96,[1]ratio_ins!$B:$B,0))</f>
        <v>23934.142908000002</v>
      </c>
      <c r="J96" s="10">
        <f>INDEX([1]ratio_ins!H:H,MATCH('001_population_health_zone_zs'!$B$2,[1]ratio_ins!$B:$B,0))*$G96*INDEX([1]ratio_ins!$C:$C,MATCH('001_population_health_zone_zs'!$B96,[1]ratio_ins!$B:$B,0))</f>
        <v>18895.375980000001</v>
      </c>
      <c r="K96" s="10">
        <f>INDEX([1]ratio_ins!I:I,MATCH('001_population_health_zone_zs'!$B$2,[1]ratio_ins!$B:$B,0))*$G96*INDEX([1]ratio_ins!$C:$C,MATCH('001_population_health_zone_zs'!$B96,[1]ratio_ins!$B:$B,0))</f>
        <v>11617.157084000002</v>
      </c>
      <c r="L96" s="10">
        <f>INDEX([1]ratio_ins!J:J,MATCH('001_population_health_zone_zs'!$B$2,[1]ratio_ins!$B:$B,0))*$G96*INDEX([1]ratio_ins!$C:$C,MATCH('001_population_health_zone_zs'!$B96,[1]ratio_ins!$B:$B,0))</f>
        <v>6970.2942504000002</v>
      </c>
      <c r="M96" s="11">
        <f>INDEX([1]ratio_ins!K:K,MATCH('001_population_health_zone_zs'!$B$2,[1]ratio_ins!$B:$B,0))*$G96*INDEX([1]ratio_ins!$C:$C,MATCH('001_population_health_zone_zs'!$B96,[1]ratio_ins!$B:$B,0))</f>
        <v>79052.654470399997</v>
      </c>
      <c r="N96" s="10">
        <f>INDEX([1]ratio_ins!L:L,MATCH('001_population_health_zone_zs'!$B$2,[1]ratio_ins!$B:$B,0))*$G96*INDEX([1]ratio_ins!$C:$C,MATCH('001_population_health_zone_zs'!$B96,[1]ratio_ins!$B:$B,0))</f>
        <v>4646.8628336000002</v>
      </c>
      <c r="O96" s="10">
        <f>INDEX([1]ratio_ins!M:M,MATCH('001_population_health_zone_zs'!$B$2,[1]ratio_ins!$B:$B,0))*$G96*INDEX([1]ratio_ins!$C:$C,MATCH('001_population_health_zone_zs'!$B96,[1]ratio_ins!$B:$B,0))</f>
        <v>10077.533856000002</v>
      </c>
      <c r="P96" s="10">
        <f>INDEX([1]ratio_ins!N:N,MATCH('001_population_health_zone_zs'!$B$2,[1]ratio_ins!$B:$B,0))*$G96*INDEX([1]ratio_ins!$C:$C,MATCH('001_population_health_zone_zs'!$B96,[1]ratio_ins!$B:$B,0))</f>
        <v>9097.7736200000018</v>
      </c>
      <c r="Q96" s="10">
        <f>INDEX([1]ratio_ins!O:O,MATCH('001_population_health_zone_zs'!$B$2,[1]ratio_ins!$B:$B,0))*$G96*INDEX([1]ratio_ins!$C:$C,MATCH('001_population_health_zone_zs'!$B96,[1]ratio_ins!$B:$B,0))</f>
        <v>8118.013383999999</v>
      </c>
      <c r="R96" s="10">
        <f>INDEX([1]ratio_ins!P:P,MATCH('001_population_health_zone_zs'!$B$2,[1]ratio_ins!$B:$B,0))*$G96*INDEX([1]ratio_ins!$C:$C,MATCH('001_population_health_zone_zs'!$B96,[1]ratio_ins!$B:$B,0))</f>
        <v>7978.0476360000011</v>
      </c>
      <c r="S96" s="10">
        <f>INDEX([1]ratio_ins!Q:Q,MATCH('001_population_health_zone_zs'!$B$2,[1]ratio_ins!$B:$B,0))*$G96*INDEX([1]ratio_ins!$C:$C,MATCH('001_population_health_zone_zs'!$B96,[1]ratio_ins!$B:$B,0))</f>
        <v>6718.3559040000009</v>
      </c>
      <c r="T96" s="10">
        <f>INDEX([1]ratio_ins!R:R,MATCH('001_population_health_zone_zs'!$B$2,[1]ratio_ins!$B:$B,0))*$G96*INDEX([1]ratio_ins!$C:$C,MATCH('001_population_health_zone_zs'!$B96,[1]ratio_ins!$B:$B,0))</f>
        <v>4758.8354320000008</v>
      </c>
      <c r="U96" s="10">
        <f>INDEX([1]ratio_ins!S:S,MATCH('001_population_health_zone_zs'!$B$2,[1]ratio_ins!$B:$B,0))*$G96*INDEX([1]ratio_ins!$C:$C,MATCH('001_population_health_zone_zs'!$B96,[1]ratio_ins!$B:$B,0))</f>
        <v>3779.0751960000011</v>
      </c>
      <c r="V96" s="10">
        <f>INDEX([1]ratio_ins!T:T,MATCH('001_population_health_zone_zs'!$B$2,[1]ratio_ins!$B:$B,0))*$G96*INDEX([1]ratio_ins!$C:$C,MATCH('001_population_health_zone_zs'!$B96,[1]ratio_ins!$B:$B,0))</f>
        <v>2099.4862199999998</v>
      </c>
      <c r="W96" s="11">
        <f>INDEX([1]ratio_ins!U:U,MATCH('001_population_health_zone_zs'!$B$2,[1]ratio_ins!$B:$B,0))*$G96*INDEX([1]ratio_ins!$C:$C,MATCH('001_population_health_zone_zs'!$B96,[1]ratio_ins!$B:$B,0))</f>
        <v>57273.984081600007</v>
      </c>
      <c r="X96" s="10">
        <f>INDEX([1]ratio_ins!V:V,MATCH('001_population_health_zone_zs'!$B$2,[1]ratio_ins!$B:$B,0))*$G96*INDEX([1]ratio_ins!$C:$C,MATCH('001_population_health_zone_zs'!$B96,[1]ratio_ins!$B:$B,0))</f>
        <v>1679.5889760000002</v>
      </c>
      <c r="Y96" s="10">
        <f>INDEX([1]ratio_ins!W:W,MATCH('001_population_health_zone_zs'!$B$2,[1]ratio_ins!$B:$B,0))*$G96*INDEX([1]ratio_ins!$C:$C,MATCH('001_population_health_zone_zs'!$B96,[1]ratio_ins!$B:$B,0))</f>
        <v>1119.7259840000002</v>
      </c>
      <c r="Z96" s="10">
        <f>INDEX([1]ratio_ins!X:X,MATCH('001_population_health_zone_zs'!$B$2,[1]ratio_ins!$B:$B,0))*$G96*INDEX([1]ratio_ins!$C:$C,MATCH('001_population_health_zone_zs'!$B96,[1]ratio_ins!$B:$B,0))</f>
        <v>559.86299200000008</v>
      </c>
      <c r="AA96" s="10">
        <f>INDEX([1]ratio_ins!Y:Y,MATCH('001_population_health_zone_zs'!$B$2,[1]ratio_ins!$B:$B,0))*$G96*INDEX([1]ratio_ins!$C:$C,MATCH('001_population_health_zone_zs'!$B96,[1]ratio_ins!$B:$B,0))</f>
        <v>279.93149600000004</v>
      </c>
      <c r="AB96" s="11">
        <f>INDEX([1]ratio_ins!Z:Z,MATCH('001_population_health_zone_zs'!$B$2,[1]ratio_ins!$B:$B,0))*$G96*INDEX([1]ratio_ins!$C:$C,MATCH('001_population_health_zone_zs'!$B96,[1]ratio_ins!$B:$B,0))</f>
        <v>3639.1094480000006</v>
      </c>
      <c r="AC96" s="12">
        <f t="shared" si="6"/>
        <v>139965.74799999999</v>
      </c>
      <c r="AD96" s="10">
        <f>INDEX([1]ratio_ins!AA:AA,MATCH('001_population_health_zone_zs'!$B$2,[1]ratio_ins!$B:$B,0))*$G96*INDEX([1]ratio_ins!$D:$D,MATCH('001_population_health_zone_zs'!$B96,[1]ratio_ins!$B:$B,0))</f>
        <v>30962.032919999998</v>
      </c>
      <c r="AE96" s="10">
        <f>INDEX([1]ratio_ins!AB:AB,MATCH('001_population_health_zone_zs'!$B$2,[1]ratio_ins!$B:$B,0))*$G96*INDEX([1]ratio_ins!$D:$D,MATCH('001_population_health_zone_zs'!$B96,[1]ratio_ins!$B:$B,0))</f>
        <v>25506.817596000004</v>
      </c>
      <c r="AF96" s="10">
        <f>INDEX([1]ratio_ins!AC:AC,MATCH('001_population_health_zone_zs'!$B$2,[1]ratio_ins!$B:$B,0))*$G96*INDEX([1]ratio_ins!$D:$D,MATCH('001_population_health_zone_zs'!$B96,[1]ratio_ins!$B:$B,0))</f>
        <v>20199.040524</v>
      </c>
      <c r="AG96" s="10">
        <f>INDEX([1]ratio_ins!AD:AD,MATCH('001_population_health_zone_zs'!$B$2,[1]ratio_ins!$B:$B,0))*$G96*INDEX([1]ratio_ins!$D:$D,MATCH('001_population_health_zone_zs'!$B96,[1]ratio_ins!$B:$B,0))</f>
        <v>12237.374916000002</v>
      </c>
      <c r="AH96" s="10">
        <f>INDEX([1]ratio_ins!AE:AE,MATCH('001_population_health_zone_zs'!$B$2,[1]ratio_ins!$B:$B,0))*$G96*INDEX([1]ratio_ins!$D:$D,MATCH('001_population_health_zone_zs'!$B96,[1]ratio_ins!$B:$B,0))</f>
        <v>7342.4249496000002</v>
      </c>
      <c r="AI96" s="13">
        <f>INDEX([1]ratio_ins!AF:AF,MATCH('001_population_health_zone_zs'!$B$2,[1]ratio_ins!$B:$B,0))*$G96*INDEX([1]ratio_ins!$D:$D,MATCH('001_population_health_zone_zs'!$B96,[1]ratio_ins!$B:$B,0))</f>
        <v>84010.315989599985</v>
      </c>
      <c r="AJ96" s="10">
        <f>INDEX([1]ratio_ins!AG:AG,MATCH('001_population_health_zone_zs'!$B$2,[1]ratio_ins!$B:$B,0))*$G96*INDEX([1]ratio_ins!$D:$D,MATCH('001_population_health_zone_zs'!$B96,[1]ratio_ins!$B:$B,0))</f>
        <v>4894.9499663999995</v>
      </c>
      <c r="AK96" s="10">
        <f>INDEX([1]ratio_ins!AH:AH,MATCH('001_population_health_zone_zs'!$B$2,[1]ratio_ins!$B:$B,0))*$G96*INDEX([1]ratio_ins!$D:$D,MATCH('001_population_health_zone_zs'!$B96,[1]ratio_ins!$B:$B,0))</f>
        <v>10910.430648000003</v>
      </c>
      <c r="AL96" s="10">
        <f>INDEX([1]ratio_ins!AI:AI,MATCH('001_population_health_zone_zs'!$B$2,[1]ratio_ins!$B:$B,0))*$G96*INDEX([1]ratio_ins!$D:$D,MATCH('001_population_health_zone_zs'!$B96,[1]ratio_ins!$B:$B,0))</f>
        <v>10320.677640000002</v>
      </c>
      <c r="AM96" s="10">
        <f>INDEX([1]ratio_ins!AJ:AJ,MATCH('001_population_health_zone_zs'!$B$2,[1]ratio_ins!$B:$B,0))*$G96*INDEX([1]ratio_ins!$D:$D,MATCH('001_population_health_zone_zs'!$B96,[1]ratio_ins!$B:$B,0))</f>
        <v>9436.0481280000004</v>
      </c>
      <c r="AN96" s="10">
        <f>INDEX([1]ratio_ins!AK:AK,MATCH('001_population_health_zone_zs'!$B$2,[1]ratio_ins!$B:$B,0))*$G96*INDEX([1]ratio_ins!$D:$D,MATCH('001_population_health_zone_zs'!$B96,[1]ratio_ins!$B:$B,0))</f>
        <v>8846.2951199999989</v>
      </c>
      <c r="AO96" s="10">
        <f>INDEX([1]ratio_ins!AL:AL,MATCH('001_population_health_zone_zs'!$B$2,[1]ratio_ins!$B:$B,0))*$G96*INDEX([1]ratio_ins!$D:$D,MATCH('001_population_health_zone_zs'!$B96,[1]ratio_ins!$B:$B,0))</f>
        <v>6634.7213400000001</v>
      </c>
      <c r="AP96" s="10">
        <f>INDEX([1]ratio_ins!AM:AM,MATCH('001_population_health_zone_zs'!$B$2,[1]ratio_ins!$B:$B,0))*$G96*INDEX([1]ratio_ins!$D:$D,MATCH('001_population_health_zone_zs'!$B96,[1]ratio_ins!$B:$B,0))</f>
        <v>4275.7093079999995</v>
      </c>
      <c r="AQ96" s="10">
        <f>INDEX([1]ratio_ins!AN:AN,MATCH('001_population_health_zone_zs'!$B$2,[1]ratio_ins!$B:$B,0))*$G96*INDEX([1]ratio_ins!$D:$D,MATCH('001_population_health_zone_zs'!$B96,[1]ratio_ins!$B:$B,0))</f>
        <v>3391.079796</v>
      </c>
      <c r="AR96" s="10">
        <f>INDEX([1]ratio_ins!AO:AO,MATCH('001_population_health_zone_zs'!$B$2,[1]ratio_ins!$B:$B,0))*$G96*INDEX([1]ratio_ins!$D:$D,MATCH('001_population_health_zone_zs'!$B96,[1]ratio_ins!$B:$B,0))</f>
        <v>1621.8207720000003</v>
      </c>
      <c r="AS96" s="13">
        <f>INDEX([1]ratio_ins!AP:AP,MATCH('001_population_health_zone_zs'!$B$2,[1]ratio_ins!$B:$B,0))*$G96*INDEX([1]ratio_ins!$D:$D,MATCH('001_population_health_zone_zs'!$B96,[1]ratio_ins!$B:$B,0))</f>
        <v>60331.73271840001</v>
      </c>
      <c r="AT96" s="10">
        <f>INDEX([1]ratio_ins!AQ:AQ,MATCH('001_population_health_zone_zs'!$B$2,[1]ratio_ins!$B:$B,0))*$G96*INDEX([1]ratio_ins!$D:$D,MATCH('001_population_health_zone_zs'!$B96,[1]ratio_ins!$B:$B,0))</f>
        <v>1474.3825200000001</v>
      </c>
      <c r="AU96" s="10">
        <f>INDEX([1]ratio_ins!AR:AR,MATCH('001_population_health_zone_zs'!$B$2,[1]ratio_ins!$B:$B,0))*$G96*INDEX([1]ratio_ins!$D:$D,MATCH('001_population_health_zone_zs'!$B96,[1]ratio_ins!$B:$B,0))</f>
        <v>884.62951199999998</v>
      </c>
      <c r="AV96" s="10">
        <f>INDEX([1]ratio_ins!AS:AS,MATCH('001_population_health_zone_zs'!$B$2,[1]ratio_ins!$B:$B,0))*$G96*INDEX([1]ratio_ins!$D:$D,MATCH('001_population_health_zone_zs'!$B96,[1]ratio_ins!$B:$B,0))</f>
        <v>442.31475599999999</v>
      </c>
      <c r="AW96" s="10">
        <f>INDEX([1]ratio_ins!AT:AT,MATCH('001_population_health_zone_zs'!$B$2,[1]ratio_ins!$B:$B,0))*$G96*INDEX([1]ratio_ins!$D:$D,MATCH('001_population_health_zone_zs'!$B96,[1]ratio_ins!$B:$B,0))</f>
        <v>294.87650400000001</v>
      </c>
      <c r="AX96" s="13">
        <f>INDEX([1]ratio_ins!AU:AU,MATCH('001_population_health_zone_zs'!$B$2,[1]ratio_ins!$B:$B,0))*$G96*INDEX([1]ratio_ins!$D:$D,MATCH('001_population_health_zone_zs'!$B96,[1]ratio_ins!$B:$B,0))</f>
        <v>3096.2032919999997</v>
      </c>
      <c r="AY96" s="14">
        <f t="shared" si="7"/>
        <v>147438.25199999998</v>
      </c>
      <c r="AZ96" s="15">
        <f t="shared" si="8"/>
        <v>287404</v>
      </c>
      <c r="BA96" s="16">
        <v>277294.6987708548</v>
      </c>
      <c r="BB96" s="10">
        <f t="shared" si="9"/>
        <v>62661.25710000001</v>
      </c>
      <c r="BC96" s="17">
        <f t="shared" si="10"/>
        <v>0.21802500000000002</v>
      </c>
      <c r="BD96" s="10">
        <f t="shared" si="11"/>
        <v>58365.716916000005</v>
      </c>
    </row>
    <row r="97" spans="1:56" x14ac:dyDescent="0.25">
      <c r="A97" s="8" t="s">
        <v>197</v>
      </c>
      <c r="B97" s="8" t="s">
        <v>198</v>
      </c>
      <c r="C97" s="8" t="s">
        <v>226</v>
      </c>
      <c r="D97" s="8" t="s">
        <v>227</v>
      </c>
      <c r="E97" s="8" t="s">
        <v>235</v>
      </c>
      <c r="F97" s="8" t="s">
        <v>236</v>
      </c>
      <c r="G97" s="9">
        <v>336975</v>
      </c>
      <c r="H97" s="10">
        <f>INDEX([1]ratio_ins!F:F,MATCH('001_population_health_zone_zs'!$B$2,[1]ratio_ins!$B:$B,0))*$G97*INDEX([1]ratio_ins!$C:$C,MATCH('001_population_health_zone_zs'!$B97,[1]ratio_ins!$B:$B,0))</f>
        <v>34298.326424999999</v>
      </c>
      <c r="I97" s="10">
        <f>INDEX([1]ratio_ins!G:G,MATCH('001_population_health_zone_zs'!$B$2,[1]ratio_ins!$B:$B,0))*$G97*INDEX([1]ratio_ins!$C:$C,MATCH('001_population_health_zone_zs'!$B97,[1]ratio_ins!$B:$B,0))</f>
        <v>28062.267075000007</v>
      </c>
      <c r="J97" s="10">
        <f>INDEX([1]ratio_ins!H:H,MATCH('001_population_health_zone_zs'!$B$2,[1]ratio_ins!$B:$B,0))*$G97*INDEX([1]ratio_ins!$C:$C,MATCH('001_population_health_zone_zs'!$B97,[1]ratio_ins!$B:$B,0))</f>
        <v>22154.421375000002</v>
      </c>
      <c r="K97" s="10">
        <f>INDEX([1]ratio_ins!I:I,MATCH('001_population_health_zone_zs'!$B$2,[1]ratio_ins!$B:$B,0))*$G97*INDEX([1]ratio_ins!$C:$C,MATCH('001_population_health_zone_zs'!$B97,[1]ratio_ins!$B:$B,0))</f>
        <v>13620.866475000003</v>
      </c>
      <c r="L97" s="10">
        <f>INDEX([1]ratio_ins!J:J,MATCH('001_population_health_zone_zs'!$B$2,[1]ratio_ins!$B:$B,0))*$G97*INDEX([1]ratio_ins!$C:$C,MATCH('001_population_health_zone_zs'!$B97,[1]ratio_ins!$B:$B,0))</f>
        <v>8172.5198850000006</v>
      </c>
      <c r="M97" s="11">
        <f>INDEX([1]ratio_ins!K:K,MATCH('001_population_health_zone_zs'!$B$2,[1]ratio_ins!$B:$B,0))*$G97*INDEX([1]ratio_ins!$C:$C,MATCH('001_population_health_zone_zs'!$B97,[1]ratio_ins!$B:$B,0))</f>
        <v>92687.534759999995</v>
      </c>
      <c r="N97" s="10">
        <f>INDEX([1]ratio_ins!L:L,MATCH('001_population_health_zone_zs'!$B$2,[1]ratio_ins!$B:$B,0))*$G97*INDEX([1]ratio_ins!$C:$C,MATCH('001_population_health_zone_zs'!$B97,[1]ratio_ins!$B:$B,0))</f>
        <v>5448.3465900000001</v>
      </c>
      <c r="O97" s="10">
        <f>INDEX([1]ratio_ins!M:M,MATCH('001_population_health_zone_zs'!$B$2,[1]ratio_ins!$B:$B,0))*$G97*INDEX([1]ratio_ins!$C:$C,MATCH('001_population_health_zone_zs'!$B97,[1]ratio_ins!$B:$B,0))</f>
        <v>11815.691400000003</v>
      </c>
      <c r="P97" s="10">
        <f>INDEX([1]ratio_ins!N:N,MATCH('001_population_health_zone_zs'!$B$2,[1]ratio_ins!$B:$B,0))*$G97*INDEX([1]ratio_ins!$C:$C,MATCH('001_population_health_zone_zs'!$B97,[1]ratio_ins!$B:$B,0))</f>
        <v>10666.943625000002</v>
      </c>
      <c r="Q97" s="10">
        <f>INDEX([1]ratio_ins!O:O,MATCH('001_population_health_zone_zs'!$B$2,[1]ratio_ins!$B:$B,0))*$G97*INDEX([1]ratio_ins!$C:$C,MATCH('001_population_health_zone_zs'!$B97,[1]ratio_ins!$B:$B,0))</f>
        <v>9518.1958500000001</v>
      </c>
      <c r="R97" s="10">
        <f>INDEX([1]ratio_ins!P:P,MATCH('001_population_health_zone_zs'!$B$2,[1]ratio_ins!$B:$B,0))*$G97*INDEX([1]ratio_ins!$C:$C,MATCH('001_population_health_zone_zs'!$B97,[1]ratio_ins!$B:$B,0))</f>
        <v>9354.0890250000011</v>
      </c>
      <c r="S97" s="10">
        <f>INDEX([1]ratio_ins!Q:Q,MATCH('001_population_health_zone_zs'!$B$2,[1]ratio_ins!$B:$B,0))*$G97*INDEX([1]ratio_ins!$C:$C,MATCH('001_population_health_zone_zs'!$B97,[1]ratio_ins!$B:$B,0))</f>
        <v>7877.1276000000016</v>
      </c>
      <c r="T97" s="10">
        <f>INDEX([1]ratio_ins!R:R,MATCH('001_population_health_zone_zs'!$B$2,[1]ratio_ins!$B:$B,0))*$G97*INDEX([1]ratio_ins!$C:$C,MATCH('001_population_health_zone_zs'!$B97,[1]ratio_ins!$B:$B,0))</f>
        <v>5579.6320500000011</v>
      </c>
      <c r="U97" s="10">
        <f>INDEX([1]ratio_ins!S:S,MATCH('001_population_health_zone_zs'!$B$2,[1]ratio_ins!$B:$B,0))*$G97*INDEX([1]ratio_ins!$C:$C,MATCH('001_population_health_zone_zs'!$B97,[1]ratio_ins!$B:$B,0))</f>
        <v>4430.8842750000003</v>
      </c>
      <c r="V97" s="10">
        <f>INDEX([1]ratio_ins!T:T,MATCH('001_population_health_zone_zs'!$B$2,[1]ratio_ins!$B:$B,0))*$G97*INDEX([1]ratio_ins!$C:$C,MATCH('001_population_health_zone_zs'!$B97,[1]ratio_ins!$B:$B,0))</f>
        <v>2461.6023750000004</v>
      </c>
      <c r="W97" s="11">
        <f>INDEX([1]ratio_ins!U:U,MATCH('001_population_health_zone_zs'!$B$2,[1]ratio_ins!$B:$B,0))*$G97*INDEX([1]ratio_ins!$C:$C,MATCH('001_population_health_zone_zs'!$B97,[1]ratio_ins!$B:$B,0))</f>
        <v>67152.512790000008</v>
      </c>
      <c r="X97" s="10">
        <f>INDEX([1]ratio_ins!V:V,MATCH('001_population_health_zone_zs'!$B$2,[1]ratio_ins!$B:$B,0))*$G97*INDEX([1]ratio_ins!$C:$C,MATCH('001_population_health_zone_zs'!$B97,[1]ratio_ins!$B:$B,0))</f>
        <v>1969.2819000000004</v>
      </c>
      <c r="Y97" s="10">
        <f>INDEX([1]ratio_ins!W:W,MATCH('001_population_health_zone_zs'!$B$2,[1]ratio_ins!$B:$B,0))*$G97*INDEX([1]ratio_ins!$C:$C,MATCH('001_population_health_zone_zs'!$B97,[1]ratio_ins!$B:$B,0))</f>
        <v>1312.8546000000001</v>
      </c>
      <c r="Z97" s="10">
        <f>INDEX([1]ratio_ins!X:X,MATCH('001_population_health_zone_zs'!$B$2,[1]ratio_ins!$B:$B,0))*$G97*INDEX([1]ratio_ins!$C:$C,MATCH('001_population_health_zone_zs'!$B97,[1]ratio_ins!$B:$B,0))</f>
        <v>656.42730000000006</v>
      </c>
      <c r="AA97" s="10">
        <f>INDEX([1]ratio_ins!Y:Y,MATCH('001_population_health_zone_zs'!$B$2,[1]ratio_ins!$B:$B,0))*$G97*INDEX([1]ratio_ins!$C:$C,MATCH('001_population_health_zone_zs'!$B97,[1]ratio_ins!$B:$B,0))</f>
        <v>328.21365000000003</v>
      </c>
      <c r="AB97" s="11">
        <f>INDEX([1]ratio_ins!Z:Z,MATCH('001_population_health_zone_zs'!$B$2,[1]ratio_ins!$B:$B,0))*$G97*INDEX([1]ratio_ins!$C:$C,MATCH('001_population_health_zone_zs'!$B97,[1]ratio_ins!$B:$B,0))</f>
        <v>4266.7774500000005</v>
      </c>
      <c r="AC97" s="12">
        <f t="shared" si="6"/>
        <v>164106.82500000001</v>
      </c>
      <c r="AD97" s="10">
        <f>INDEX([1]ratio_ins!AA:AA,MATCH('001_population_health_zone_zs'!$B$2,[1]ratio_ins!$B:$B,0))*$G97*INDEX([1]ratio_ins!$D:$D,MATCH('001_population_health_zone_zs'!$B97,[1]ratio_ins!$B:$B,0))</f>
        <v>36302.316749999998</v>
      </c>
      <c r="AE97" s="10">
        <f>INDEX([1]ratio_ins!AB:AB,MATCH('001_population_health_zone_zs'!$B$2,[1]ratio_ins!$B:$B,0))*$G97*INDEX([1]ratio_ins!$D:$D,MATCH('001_population_health_zone_zs'!$B97,[1]ratio_ins!$B:$B,0))</f>
        <v>29906.194275000002</v>
      </c>
      <c r="AF97" s="10">
        <f>INDEX([1]ratio_ins!AC:AC,MATCH('001_population_health_zone_zs'!$B$2,[1]ratio_ins!$B:$B,0))*$G97*INDEX([1]ratio_ins!$D:$D,MATCH('001_population_health_zone_zs'!$B97,[1]ratio_ins!$B:$B,0))</f>
        <v>23682.939974999998</v>
      </c>
      <c r="AG97" s="10">
        <f>INDEX([1]ratio_ins!AD:AD,MATCH('001_population_health_zone_zs'!$B$2,[1]ratio_ins!$B:$B,0))*$G97*INDEX([1]ratio_ins!$D:$D,MATCH('001_population_health_zone_zs'!$B97,[1]ratio_ins!$B:$B,0))</f>
        <v>14348.058525000002</v>
      </c>
      <c r="AH97" s="10">
        <f>INDEX([1]ratio_ins!AE:AE,MATCH('001_population_health_zone_zs'!$B$2,[1]ratio_ins!$B:$B,0))*$G97*INDEX([1]ratio_ins!$D:$D,MATCH('001_population_health_zone_zs'!$B97,[1]ratio_ins!$B:$B,0))</f>
        <v>8608.8351149999999</v>
      </c>
      <c r="AI97" s="13">
        <f>INDEX([1]ratio_ins!AF:AF,MATCH('001_population_health_zone_zs'!$B$2,[1]ratio_ins!$B:$B,0))*$G97*INDEX([1]ratio_ins!$D:$D,MATCH('001_population_health_zone_zs'!$B97,[1]ratio_ins!$B:$B,0))</f>
        <v>98500.286114999995</v>
      </c>
      <c r="AJ97" s="10">
        <f>INDEX([1]ratio_ins!AG:AG,MATCH('001_population_health_zone_zs'!$B$2,[1]ratio_ins!$B:$B,0))*$G97*INDEX([1]ratio_ins!$D:$D,MATCH('001_population_health_zone_zs'!$B97,[1]ratio_ins!$B:$B,0))</f>
        <v>5739.2234099999996</v>
      </c>
      <c r="AK97" s="10">
        <f>INDEX([1]ratio_ins!AH:AH,MATCH('001_population_health_zone_zs'!$B$2,[1]ratio_ins!$B:$B,0))*$G97*INDEX([1]ratio_ins!$D:$D,MATCH('001_population_health_zone_zs'!$B97,[1]ratio_ins!$B:$B,0))</f>
        <v>12792.244950000002</v>
      </c>
      <c r="AL97" s="10">
        <f>INDEX([1]ratio_ins!AI:AI,MATCH('001_population_health_zone_zs'!$B$2,[1]ratio_ins!$B:$B,0))*$G97*INDEX([1]ratio_ins!$D:$D,MATCH('001_population_health_zone_zs'!$B97,[1]ratio_ins!$B:$B,0))</f>
        <v>12100.772250000002</v>
      </c>
      <c r="AM97" s="10">
        <f>INDEX([1]ratio_ins!AJ:AJ,MATCH('001_population_health_zone_zs'!$B$2,[1]ratio_ins!$B:$B,0))*$G97*INDEX([1]ratio_ins!$D:$D,MATCH('001_population_health_zone_zs'!$B97,[1]ratio_ins!$B:$B,0))</f>
        <v>11063.563200000001</v>
      </c>
      <c r="AN97" s="10">
        <f>INDEX([1]ratio_ins!AK:AK,MATCH('001_population_health_zone_zs'!$B$2,[1]ratio_ins!$B:$B,0))*$G97*INDEX([1]ratio_ins!$D:$D,MATCH('001_population_health_zone_zs'!$B97,[1]ratio_ins!$B:$B,0))</f>
        <v>10372.0905</v>
      </c>
      <c r="AO97" s="10">
        <f>INDEX([1]ratio_ins!AL:AL,MATCH('001_population_health_zone_zs'!$B$2,[1]ratio_ins!$B:$B,0))*$G97*INDEX([1]ratio_ins!$D:$D,MATCH('001_population_health_zone_zs'!$B97,[1]ratio_ins!$B:$B,0))</f>
        <v>7779.0678749999997</v>
      </c>
      <c r="AP97" s="10">
        <f>INDEX([1]ratio_ins!AM:AM,MATCH('001_population_health_zone_zs'!$B$2,[1]ratio_ins!$B:$B,0))*$G97*INDEX([1]ratio_ins!$D:$D,MATCH('001_population_health_zone_zs'!$B97,[1]ratio_ins!$B:$B,0))</f>
        <v>5013.1770749999996</v>
      </c>
      <c r="AQ97" s="10">
        <f>INDEX([1]ratio_ins!AN:AN,MATCH('001_population_health_zone_zs'!$B$2,[1]ratio_ins!$B:$B,0))*$G97*INDEX([1]ratio_ins!$D:$D,MATCH('001_population_health_zone_zs'!$B97,[1]ratio_ins!$B:$B,0))</f>
        <v>3975.9680250000001</v>
      </c>
      <c r="AR97" s="10">
        <f>INDEX([1]ratio_ins!AO:AO,MATCH('001_population_health_zone_zs'!$B$2,[1]ratio_ins!$B:$B,0))*$G97*INDEX([1]ratio_ins!$D:$D,MATCH('001_population_health_zone_zs'!$B97,[1]ratio_ins!$B:$B,0))</f>
        <v>1901.5499250000003</v>
      </c>
      <c r="AS97" s="13">
        <f>INDEX([1]ratio_ins!AP:AP,MATCH('001_population_health_zone_zs'!$B$2,[1]ratio_ins!$B:$B,0))*$G97*INDEX([1]ratio_ins!$D:$D,MATCH('001_population_health_zone_zs'!$B97,[1]ratio_ins!$B:$B,0))</f>
        <v>70737.657210000005</v>
      </c>
      <c r="AT97" s="10">
        <f>INDEX([1]ratio_ins!AQ:AQ,MATCH('001_population_health_zone_zs'!$B$2,[1]ratio_ins!$B:$B,0))*$G97*INDEX([1]ratio_ins!$D:$D,MATCH('001_population_health_zone_zs'!$B97,[1]ratio_ins!$B:$B,0))</f>
        <v>1728.68175</v>
      </c>
      <c r="AU97" s="10">
        <f>INDEX([1]ratio_ins!AR:AR,MATCH('001_population_health_zone_zs'!$B$2,[1]ratio_ins!$B:$B,0))*$G97*INDEX([1]ratio_ins!$D:$D,MATCH('001_population_health_zone_zs'!$B97,[1]ratio_ins!$B:$B,0))</f>
        <v>1037.2090500000002</v>
      </c>
      <c r="AV97" s="10">
        <f>INDEX([1]ratio_ins!AS:AS,MATCH('001_population_health_zone_zs'!$B$2,[1]ratio_ins!$B:$B,0))*$G97*INDEX([1]ratio_ins!$D:$D,MATCH('001_population_health_zone_zs'!$B97,[1]ratio_ins!$B:$B,0))</f>
        <v>518.60452500000008</v>
      </c>
      <c r="AW97" s="10">
        <f>INDEX([1]ratio_ins!AT:AT,MATCH('001_population_health_zone_zs'!$B$2,[1]ratio_ins!$B:$B,0))*$G97*INDEX([1]ratio_ins!$D:$D,MATCH('001_population_health_zone_zs'!$B97,[1]ratio_ins!$B:$B,0))</f>
        <v>345.73635000000002</v>
      </c>
      <c r="AX97" s="13">
        <f>INDEX([1]ratio_ins!AU:AU,MATCH('001_population_health_zone_zs'!$B$2,[1]ratio_ins!$B:$B,0))*$G97*INDEX([1]ratio_ins!$D:$D,MATCH('001_population_health_zone_zs'!$B97,[1]ratio_ins!$B:$B,0))</f>
        <v>3630.231675</v>
      </c>
      <c r="AY97" s="14">
        <f t="shared" si="7"/>
        <v>172868.17499999999</v>
      </c>
      <c r="AZ97" s="15">
        <f t="shared" si="8"/>
        <v>336975</v>
      </c>
      <c r="BA97" s="16">
        <v>325121.60563760978</v>
      </c>
      <c r="BB97" s="10">
        <f t="shared" si="9"/>
        <v>73468.974375000005</v>
      </c>
      <c r="BC97" s="17">
        <f t="shared" si="10"/>
        <v>0.21802500000000002</v>
      </c>
      <c r="BD97" s="10">
        <f t="shared" si="11"/>
        <v>68432.546025000003</v>
      </c>
    </row>
    <row r="98" spans="1:56" x14ac:dyDescent="0.25">
      <c r="A98" s="8" t="s">
        <v>197</v>
      </c>
      <c r="B98" s="8" t="s">
        <v>198</v>
      </c>
      <c r="C98" s="8" t="s">
        <v>226</v>
      </c>
      <c r="D98" s="8" t="s">
        <v>227</v>
      </c>
      <c r="E98" s="8" t="s">
        <v>237</v>
      </c>
      <c r="F98" s="8" t="s">
        <v>238</v>
      </c>
      <c r="G98" s="9">
        <v>191595</v>
      </c>
      <c r="H98" s="10">
        <f>INDEX([1]ratio_ins!F:F,MATCH('001_population_health_zone_zs'!$B$2,[1]ratio_ins!$B:$B,0))*$G98*INDEX([1]ratio_ins!$C:$C,MATCH('001_population_health_zone_zs'!$B98,[1]ratio_ins!$B:$B,0))</f>
        <v>19501.113884999999</v>
      </c>
      <c r="I98" s="10">
        <f>INDEX([1]ratio_ins!G:G,MATCH('001_population_health_zone_zs'!$B$2,[1]ratio_ins!$B:$B,0))*$G98*INDEX([1]ratio_ins!$C:$C,MATCH('001_population_health_zone_zs'!$B98,[1]ratio_ins!$B:$B,0))</f>
        <v>15955.456815000003</v>
      </c>
      <c r="J98" s="10">
        <f>INDEX([1]ratio_ins!H:H,MATCH('001_population_health_zone_zs'!$B$2,[1]ratio_ins!$B:$B,0))*$G98*INDEX([1]ratio_ins!$C:$C,MATCH('001_population_health_zone_zs'!$B98,[1]ratio_ins!$B:$B,0))</f>
        <v>12596.413275000001</v>
      </c>
      <c r="K98" s="10">
        <f>INDEX([1]ratio_ins!I:I,MATCH('001_population_health_zone_zs'!$B$2,[1]ratio_ins!$B:$B,0))*$G98*INDEX([1]ratio_ins!$C:$C,MATCH('001_population_health_zone_zs'!$B98,[1]ratio_ins!$B:$B,0))</f>
        <v>7744.4614950000005</v>
      </c>
      <c r="L98" s="10">
        <f>INDEX([1]ratio_ins!J:J,MATCH('001_population_health_zone_zs'!$B$2,[1]ratio_ins!$B:$B,0))*$G98*INDEX([1]ratio_ins!$C:$C,MATCH('001_population_health_zone_zs'!$B98,[1]ratio_ins!$B:$B,0))</f>
        <v>4646.6768969999994</v>
      </c>
      <c r="M98" s="11">
        <f>INDEX([1]ratio_ins!K:K,MATCH('001_population_health_zone_zs'!$B$2,[1]ratio_ins!$B:$B,0))*$G98*INDEX([1]ratio_ins!$C:$C,MATCH('001_population_health_zone_zs'!$B98,[1]ratio_ins!$B:$B,0))</f>
        <v>52699.660872000008</v>
      </c>
      <c r="N98" s="10">
        <f>INDEX([1]ratio_ins!L:L,MATCH('001_population_health_zone_zs'!$B$2,[1]ratio_ins!$B:$B,0))*$G98*INDEX([1]ratio_ins!$C:$C,MATCH('001_population_health_zone_zs'!$B98,[1]ratio_ins!$B:$B,0))</f>
        <v>3097.7845980000002</v>
      </c>
      <c r="O98" s="10">
        <f>INDEX([1]ratio_ins!M:M,MATCH('001_population_health_zone_zs'!$B$2,[1]ratio_ins!$B:$B,0))*$G98*INDEX([1]ratio_ins!$C:$C,MATCH('001_population_health_zone_zs'!$B98,[1]ratio_ins!$B:$B,0))</f>
        <v>6718.0870800000012</v>
      </c>
      <c r="P98" s="10">
        <f>INDEX([1]ratio_ins!N:N,MATCH('001_population_health_zone_zs'!$B$2,[1]ratio_ins!$B:$B,0))*$G98*INDEX([1]ratio_ins!$C:$C,MATCH('001_population_health_zone_zs'!$B98,[1]ratio_ins!$B:$B,0))</f>
        <v>6064.9397250000011</v>
      </c>
      <c r="Q98" s="10">
        <f>INDEX([1]ratio_ins!O:O,MATCH('001_population_health_zone_zs'!$B$2,[1]ratio_ins!$B:$B,0))*$G98*INDEX([1]ratio_ins!$C:$C,MATCH('001_population_health_zone_zs'!$B98,[1]ratio_ins!$B:$B,0))</f>
        <v>5411.7923700000001</v>
      </c>
      <c r="R98" s="10">
        <f>INDEX([1]ratio_ins!P:P,MATCH('001_population_health_zone_zs'!$B$2,[1]ratio_ins!$B:$B,0))*$G98*INDEX([1]ratio_ins!$C:$C,MATCH('001_population_health_zone_zs'!$B98,[1]ratio_ins!$B:$B,0))</f>
        <v>5318.4856050000008</v>
      </c>
      <c r="S98" s="10">
        <f>INDEX([1]ratio_ins!Q:Q,MATCH('001_population_health_zone_zs'!$B$2,[1]ratio_ins!$B:$B,0))*$G98*INDEX([1]ratio_ins!$C:$C,MATCH('001_population_health_zone_zs'!$B98,[1]ratio_ins!$B:$B,0))</f>
        <v>4478.7247200000002</v>
      </c>
      <c r="T98" s="10">
        <f>INDEX([1]ratio_ins!R:R,MATCH('001_population_health_zone_zs'!$B$2,[1]ratio_ins!$B:$B,0))*$G98*INDEX([1]ratio_ins!$C:$C,MATCH('001_population_health_zone_zs'!$B98,[1]ratio_ins!$B:$B,0))</f>
        <v>3172.4300100000005</v>
      </c>
      <c r="U98" s="10">
        <f>INDEX([1]ratio_ins!S:S,MATCH('001_population_health_zone_zs'!$B$2,[1]ratio_ins!$B:$B,0))*$G98*INDEX([1]ratio_ins!$C:$C,MATCH('001_population_health_zone_zs'!$B98,[1]ratio_ins!$B:$B,0))</f>
        <v>2519.2826550000004</v>
      </c>
      <c r="V98" s="10">
        <f>INDEX([1]ratio_ins!T:T,MATCH('001_population_health_zone_zs'!$B$2,[1]ratio_ins!$B:$B,0))*$G98*INDEX([1]ratio_ins!$C:$C,MATCH('001_population_health_zone_zs'!$B98,[1]ratio_ins!$B:$B,0))</f>
        <v>1399.6014749999999</v>
      </c>
      <c r="W98" s="11">
        <f>INDEX([1]ratio_ins!U:U,MATCH('001_population_health_zone_zs'!$B$2,[1]ratio_ins!$B:$B,0))*$G98*INDEX([1]ratio_ins!$C:$C,MATCH('001_population_health_zone_zs'!$B98,[1]ratio_ins!$B:$B,0))</f>
        <v>38181.128238000005</v>
      </c>
      <c r="X98" s="10">
        <f>INDEX([1]ratio_ins!V:V,MATCH('001_population_health_zone_zs'!$B$2,[1]ratio_ins!$B:$B,0))*$G98*INDEX([1]ratio_ins!$C:$C,MATCH('001_population_health_zone_zs'!$B98,[1]ratio_ins!$B:$B,0))</f>
        <v>1119.68118</v>
      </c>
      <c r="Y98" s="10">
        <f>INDEX([1]ratio_ins!W:W,MATCH('001_population_health_zone_zs'!$B$2,[1]ratio_ins!$B:$B,0))*$G98*INDEX([1]ratio_ins!$C:$C,MATCH('001_population_health_zone_zs'!$B98,[1]ratio_ins!$B:$B,0))</f>
        <v>746.4541200000001</v>
      </c>
      <c r="Z98" s="10">
        <f>INDEX([1]ratio_ins!X:X,MATCH('001_population_health_zone_zs'!$B$2,[1]ratio_ins!$B:$B,0))*$G98*INDEX([1]ratio_ins!$C:$C,MATCH('001_population_health_zone_zs'!$B98,[1]ratio_ins!$B:$B,0))</f>
        <v>373.22706000000005</v>
      </c>
      <c r="AA98" s="10">
        <f>INDEX([1]ratio_ins!Y:Y,MATCH('001_population_health_zone_zs'!$B$2,[1]ratio_ins!$B:$B,0))*$G98*INDEX([1]ratio_ins!$C:$C,MATCH('001_population_health_zone_zs'!$B98,[1]ratio_ins!$B:$B,0))</f>
        <v>186.61353000000003</v>
      </c>
      <c r="AB98" s="11">
        <f>INDEX([1]ratio_ins!Z:Z,MATCH('001_population_health_zone_zs'!$B$2,[1]ratio_ins!$B:$B,0))*$G98*INDEX([1]ratio_ins!$C:$C,MATCH('001_population_health_zone_zs'!$B98,[1]ratio_ins!$B:$B,0))</f>
        <v>2425.9758900000002</v>
      </c>
      <c r="AC98" s="12">
        <f t="shared" si="6"/>
        <v>93306.765000000014</v>
      </c>
      <c r="AD98" s="10">
        <f>INDEX([1]ratio_ins!AA:AA,MATCH('001_population_health_zone_zs'!$B$2,[1]ratio_ins!$B:$B,0))*$G98*INDEX([1]ratio_ins!$D:$D,MATCH('001_population_health_zone_zs'!$B98,[1]ratio_ins!$B:$B,0))</f>
        <v>20640.529350000001</v>
      </c>
      <c r="AE98" s="10">
        <f>INDEX([1]ratio_ins!AB:AB,MATCH('001_population_health_zone_zs'!$B$2,[1]ratio_ins!$B:$B,0))*$G98*INDEX([1]ratio_ins!$D:$D,MATCH('001_population_health_zone_zs'!$B98,[1]ratio_ins!$B:$B,0))</f>
        <v>17003.864655000001</v>
      </c>
      <c r="AF98" s="10">
        <f>INDEX([1]ratio_ins!AC:AC,MATCH('001_population_health_zone_zs'!$B$2,[1]ratio_ins!$B:$B,0))*$G98*INDEX([1]ratio_ins!$D:$D,MATCH('001_population_health_zone_zs'!$B98,[1]ratio_ins!$B:$B,0))</f>
        <v>13465.488194999998</v>
      </c>
      <c r="AG98" s="10">
        <f>INDEX([1]ratio_ins!AD:AD,MATCH('001_population_health_zone_zs'!$B$2,[1]ratio_ins!$B:$B,0))*$G98*INDEX([1]ratio_ins!$D:$D,MATCH('001_population_health_zone_zs'!$B98,[1]ratio_ins!$B:$B,0))</f>
        <v>8157.9235050000007</v>
      </c>
      <c r="AH98" s="10">
        <f>INDEX([1]ratio_ins!AE:AE,MATCH('001_population_health_zone_zs'!$B$2,[1]ratio_ins!$B:$B,0))*$G98*INDEX([1]ratio_ins!$D:$D,MATCH('001_population_health_zone_zs'!$B98,[1]ratio_ins!$B:$B,0))</f>
        <v>4894.7541029999993</v>
      </c>
      <c r="AI98" s="13">
        <f>INDEX([1]ratio_ins!AF:AF,MATCH('001_population_health_zone_zs'!$B$2,[1]ratio_ins!$B:$B,0))*$G98*INDEX([1]ratio_ins!$D:$D,MATCH('001_population_health_zone_zs'!$B98,[1]ratio_ins!$B:$B,0))</f>
        <v>56004.636302999999</v>
      </c>
      <c r="AJ98" s="10">
        <f>INDEX([1]ratio_ins!AG:AG,MATCH('001_population_health_zone_zs'!$B$2,[1]ratio_ins!$B:$B,0))*$G98*INDEX([1]ratio_ins!$D:$D,MATCH('001_population_health_zone_zs'!$B98,[1]ratio_ins!$B:$B,0))</f>
        <v>3263.169402</v>
      </c>
      <c r="AK98" s="10">
        <f>INDEX([1]ratio_ins!AH:AH,MATCH('001_population_health_zone_zs'!$B$2,[1]ratio_ins!$B:$B,0))*$G98*INDEX([1]ratio_ins!$D:$D,MATCH('001_population_health_zone_zs'!$B98,[1]ratio_ins!$B:$B,0))</f>
        <v>7273.3293900000017</v>
      </c>
      <c r="AL98" s="10">
        <f>INDEX([1]ratio_ins!AI:AI,MATCH('001_population_health_zone_zs'!$B$2,[1]ratio_ins!$B:$B,0))*$G98*INDEX([1]ratio_ins!$D:$D,MATCH('001_population_health_zone_zs'!$B98,[1]ratio_ins!$B:$B,0))</f>
        <v>6880.1764500000008</v>
      </c>
      <c r="AM98" s="10">
        <f>INDEX([1]ratio_ins!AJ:AJ,MATCH('001_population_health_zone_zs'!$B$2,[1]ratio_ins!$B:$B,0))*$G98*INDEX([1]ratio_ins!$D:$D,MATCH('001_population_health_zone_zs'!$B98,[1]ratio_ins!$B:$B,0))</f>
        <v>6290.44704</v>
      </c>
      <c r="AN98" s="10">
        <f>INDEX([1]ratio_ins!AK:AK,MATCH('001_population_health_zone_zs'!$B$2,[1]ratio_ins!$B:$B,0))*$G98*INDEX([1]ratio_ins!$D:$D,MATCH('001_population_health_zone_zs'!$B98,[1]ratio_ins!$B:$B,0))</f>
        <v>5897.2940999999992</v>
      </c>
      <c r="AO98" s="10">
        <f>INDEX([1]ratio_ins!AL:AL,MATCH('001_population_health_zone_zs'!$B$2,[1]ratio_ins!$B:$B,0))*$G98*INDEX([1]ratio_ins!$D:$D,MATCH('001_population_health_zone_zs'!$B98,[1]ratio_ins!$B:$B,0))</f>
        <v>4422.9705750000003</v>
      </c>
      <c r="AP98" s="10">
        <f>INDEX([1]ratio_ins!AM:AM,MATCH('001_population_health_zone_zs'!$B$2,[1]ratio_ins!$B:$B,0))*$G98*INDEX([1]ratio_ins!$D:$D,MATCH('001_population_health_zone_zs'!$B98,[1]ratio_ins!$B:$B,0))</f>
        <v>2850.3588149999996</v>
      </c>
      <c r="AQ98" s="10">
        <f>INDEX([1]ratio_ins!AN:AN,MATCH('001_population_health_zone_zs'!$B$2,[1]ratio_ins!$B:$B,0))*$G98*INDEX([1]ratio_ins!$D:$D,MATCH('001_population_health_zone_zs'!$B98,[1]ratio_ins!$B:$B,0))</f>
        <v>2260.6294049999997</v>
      </c>
      <c r="AR98" s="10">
        <f>INDEX([1]ratio_ins!AO:AO,MATCH('001_population_health_zone_zs'!$B$2,[1]ratio_ins!$B:$B,0))*$G98*INDEX([1]ratio_ins!$D:$D,MATCH('001_population_health_zone_zs'!$B98,[1]ratio_ins!$B:$B,0))</f>
        <v>1081.1705850000001</v>
      </c>
      <c r="AS98" s="13">
        <f>INDEX([1]ratio_ins!AP:AP,MATCH('001_population_health_zone_zs'!$B$2,[1]ratio_ins!$B:$B,0))*$G98*INDEX([1]ratio_ins!$D:$D,MATCH('001_population_health_zone_zs'!$B98,[1]ratio_ins!$B:$B,0))</f>
        <v>40219.545762000002</v>
      </c>
      <c r="AT98" s="10">
        <f>INDEX([1]ratio_ins!AQ:AQ,MATCH('001_population_health_zone_zs'!$B$2,[1]ratio_ins!$B:$B,0))*$G98*INDEX([1]ratio_ins!$D:$D,MATCH('001_population_health_zone_zs'!$B98,[1]ratio_ins!$B:$B,0))</f>
        <v>982.88235000000009</v>
      </c>
      <c r="AU98" s="10">
        <f>INDEX([1]ratio_ins!AR:AR,MATCH('001_population_health_zone_zs'!$B$2,[1]ratio_ins!$B:$B,0))*$G98*INDEX([1]ratio_ins!$D:$D,MATCH('001_population_health_zone_zs'!$B98,[1]ratio_ins!$B:$B,0))</f>
        <v>589.72941000000003</v>
      </c>
      <c r="AV98" s="10">
        <f>INDEX([1]ratio_ins!AS:AS,MATCH('001_population_health_zone_zs'!$B$2,[1]ratio_ins!$B:$B,0))*$G98*INDEX([1]ratio_ins!$D:$D,MATCH('001_population_health_zone_zs'!$B98,[1]ratio_ins!$B:$B,0))</f>
        <v>294.86470500000001</v>
      </c>
      <c r="AW98" s="10">
        <f>INDEX([1]ratio_ins!AT:AT,MATCH('001_population_health_zone_zs'!$B$2,[1]ratio_ins!$B:$B,0))*$G98*INDEX([1]ratio_ins!$D:$D,MATCH('001_population_health_zone_zs'!$B98,[1]ratio_ins!$B:$B,0))</f>
        <v>196.57647</v>
      </c>
      <c r="AX98" s="13">
        <f>INDEX([1]ratio_ins!AU:AU,MATCH('001_population_health_zone_zs'!$B$2,[1]ratio_ins!$B:$B,0))*$G98*INDEX([1]ratio_ins!$D:$D,MATCH('001_population_health_zone_zs'!$B98,[1]ratio_ins!$B:$B,0))</f>
        <v>2064.0529349999997</v>
      </c>
      <c r="AY98" s="14">
        <f t="shared" si="7"/>
        <v>98288.235000000001</v>
      </c>
      <c r="AZ98" s="15">
        <f t="shared" si="8"/>
        <v>191595</v>
      </c>
      <c r="BA98" s="16">
        <v>184855.55495032572</v>
      </c>
      <c r="BB98" s="10">
        <f t="shared" si="9"/>
        <v>41772.499875000001</v>
      </c>
      <c r="BC98" s="17">
        <f t="shared" si="10"/>
        <v>0.218025</v>
      </c>
      <c r="BD98" s="10">
        <f t="shared" si="11"/>
        <v>38908.921005000004</v>
      </c>
    </row>
    <row r="99" spans="1:56" x14ac:dyDescent="0.25">
      <c r="A99" s="8" t="s">
        <v>197</v>
      </c>
      <c r="B99" s="8" t="s">
        <v>198</v>
      </c>
      <c r="C99" s="8" t="s">
        <v>239</v>
      </c>
      <c r="D99" s="8" t="s">
        <v>240</v>
      </c>
      <c r="E99" s="8" t="s">
        <v>239</v>
      </c>
      <c r="F99" s="8" t="s">
        <v>241</v>
      </c>
      <c r="G99" s="9">
        <v>366790</v>
      </c>
      <c r="H99" s="10">
        <f>INDEX([1]ratio_ins!F:F,MATCH('001_population_health_zone_zs'!$B$2,[1]ratio_ins!$B:$B,0))*$G99*INDEX([1]ratio_ins!$C:$C,MATCH('001_population_health_zone_zs'!$B99,[1]ratio_ins!$B:$B,0))</f>
        <v>37332.986570000001</v>
      </c>
      <c r="I99" s="10">
        <f>INDEX([1]ratio_ins!G:G,MATCH('001_population_health_zone_zs'!$B$2,[1]ratio_ins!$B:$B,0))*$G99*INDEX([1]ratio_ins!$C:$C,MATCH('001_population_health_zone_zs'!$B99,[1]ratio_ins!$B:$B,0))</f>
        <v>30545.170830000006</v>
      </c>
      <c r="J99" s="10">
        <f>INDEX([1]ratio_ins!H:H,MATCH('001_population_health_zone_zs'!$B$2,[1]ratio_ins!$B:$B,0))*$G99*INDEX([1]ratio_ins!$C:$C,MATCH('001_population_health_zone_zs'!$B99,[1]ratio_ins!$B:$B,0))</f>
        <v>24114.608550000004</v>
      </c>
      <c r="K99" s="10">
        <f>INDEX([1]ratio_ins!I:I,MATCH('001_population_health_zone_zs'!$B$2,[1]ratio_ins!$B:$B,0))*$G99*INDEX([1]ratio_ins!$C:$C,MATCH('001_population_health_zone_zs'!$B99,[1]ratio_ins!$B:$B,0))</f>
        <v>14826.018590000003</v>
      </c>
      <c r="L99" s="10">
        <f>INDEX([1]ratio_ins!J:J,MATCH('001_population_health_zone_zs'!$B$2,[1]ratio_ins!$B:$B,0))*$G99*INDEX([1]ratio_ins!$C:$C,MATCH('001_population_health_zone_zs'!$B99,[1]ratio_ins!$B:$B,0))</f>
        <v>8895.6111540000002</v>
      </c>
      <c r="M99" s="11">
        <f>INDEX([1]ratio_ins!K:K,MATCH('001_population_health_zone_zs'!$B$2,[1]ratio_ins!$B:$B,0))*$G99*INDEX([1]ratio_ins!$C:$C,MATCH('001_population_health_zone_zs'!$B99,[1]ratio_ins!$B:$B,0))</f>
        <v>100888.37710400001</v>
      </c>
      <c r="N99" s="10">
        <f>INDEX([1]ratio_ins!L:L,MATCH('001_population_health_zone_zs'!$B$2,[1]ratio_ins!$B:$B,0))*$G99*INDEX([1]ratio_ins!$C:$C,MATCH('001_population_health_zone_zs'!$B99,[1]ratio_ins!$B:$B,0))</f>
        <v>5930.4074360000004</v>
      </c>
      <c r="O99" s="10">
        <f>INDEX([1]ratio_ins!M:M,MATCH('001_population_health_zone_zs'!$B$2,[1]ratio_ins!$B:$B,0))*$G99*INDEX([1]ratio_ins!$C:$C,MATCH('001_population_health_zone_zs'!$B99,[1]ratio_ins!$B:$B,0))</f>
        <v>12861.124560000004</v>
      </c>
      <c r="P99" s="10">
        <f>INDEX([1]ratio_ins!N:N,MATCH('001_population_health_zone_zs'!$B$2,[1]ratio_ins!$B:$B,0))*$G99*INDEX([1]ratio_ins!$C:$C,MATCH('001_population_health_zone_zs'!$B99,[1]ratio_ins!$B:$B,0))</f>
        <v>11610.737450000002</v>
      </c>
      <c r="Q99" s="10">
        <f>INDEX([1]ratio_ins!O:O,MATCH('001_population_health_zone_zs'!$B$2,[1]ratio_ins!$B:$B,0))*$G99*INDEX([1]ratio_ins!$C:$C,MATCH('001_population_health_zone_zs'!$B99,[1]ratio_ins!$B:$B,0))</f>
        <v>10360.350340000001</v>
      </c>
      <c r="R99" s="10">
        <f>INDEX([1]ratio_ins!P:P,MATCH('001_population_health_zone_zs'!$B$2,[1]ratio_ins!$B:$B,0))*$G99*INDEX([1]ratio_ins!$C:$C,MATCH('001_population_health_zone_zs'!$B99,[1]ratio_ins!$B:$B,0))</f>
        <v>10181.723610000003</v>
      </c>
      <c r="S99" s="10">
        <f>INDEX([1]ratio_ins!Q:Q,MATCH('001_population_health_zone_zs'!$B$2,[1]ratio_ins!$B:$B,0))*$G99*INDEX([1]ratio_ins!$C:$C,MATCH('001_population_health_zone_zs'!$B99,[1]ratio_ins!$B:$B,0))</f>
        <v>8574.0830400000013</v>
      </c>
      <c r="T99" s="10">
        <f>INDEX([1]ratio_ins!R:R,MATCH('001_population_health_zone_zs'!$B$2,[1]ratio_ins!$B:$B,0))*$G99*INDEX([1]ratio_ins!$C:$C,MATCH('001_population_health_zone_zs'!$B99,[1]ratio_ins!$B:$B,0))</f>
        <v>6073.3088200000011</v>
      </c>
      <c r="U99" s="10">
        <f>INDEX([1]ratio_ins!S:S,MATCH('001_population_health_zone_zs'!$B$2,[1]ratio_ins!$B:$B,0))*$G99*INDEX([1]ratio_ins!$C:$C,MATCH('001_population_health_zone_zs'!$B99,[1]ratio_ins!$B:$B,0))</f>
        <v>4822.9217100000014</v>
      </c>
      <c r="V99" s="10">
        <f>INDEX([1]ratio_ins!T:T,MATCH('001_population_health_zone_zs'!$B$2,[1]ratio_ins!$B:$B,0))*$G99*INDEX([1]ratio_ins!$C:$C,MATCH('001_population_health_zone_zs'!$B99,[1]ratio_ins!$B:$B,0))</f>
        <v>2679.4009500000002</v>
      </c>
      <c r="W99" s="11">
        <f>INDEX([1]ratio_ins!U:U,MATCH('001_population_health_zone_zs'!$B$2,[1]ratio_ins!$B:$B,0))*$G99*INDEX([1]ratio_ins!$C:$C,MATCH('001_population_health_zone_zs'!$B99,[1]ratio_ins!$B:$B,0))</f>
        <v>73094.057916000005</v>
      </c>
      <c r="X99" s="10">
        <f>INDEX([1]ratio_ins!V:V,MATCH('001_population_health_zone_zs'!$B$2,[1]ratio_ins!$B:$B,0))*$G99*INDEX([1]ratio_ins!$C:$C,MATCH('001_population_health_zone_zs'!$B99,[1]ratio_ins!$B:$B,0))</f>
        <v>2143.5207600000003</v>
      </c>
      <c r="Y99" s="10">
        <f>INDEX([1]ratio_ins!W:W,MATCH('001_population_health_zone_zs'!$B$2,[1]ratio_ins!$B:$B,0))*$G99*INDEX([1]ratio_ins!$C:$C,MATCH('001_population_health_zone_zs'!$B99,[1]ratio_ins!$B:$B,0))</f>
        <v>1429.0138400000003</v>
      </c>
      <c r="Z99" s="10">
        <f>INDEX([1]ratio_ins!X:X,MATCH('001_population_health_zone_zs'!$B$2,[1]ratio_ins!$B:$B,0))*$G99*INDEX([1]ratio_ins!$C:$C,MATCH('001_population_health_zone_zs'!$B99,[1]ratio_ins!$B:$B,0))</f>
        <v>714.50692000000015</v>
      </c>
      <c r="AA99" s="10">
        <f>INDEX([1]ratio_ins!Y:Y,MATCH('001_population_health_zone_zs'!$B$2,[1]ratio_ins!$B:$B,0))*$G99*INDEX([1]ratio_ins!$C:$C,MATCH('001_population_health_zone_zs'!$B99,[1]ratio_ins!$B:$B,0))</f>
        <v>357.25346000000008</v>
      </c>
      <c r="AB99" s="11">
        <f>INDEX([1]ratio_ins!Z:Z,MATCH('001_population_health_zone_zs'!$B$2,[1]ratio_ins!$B:$B,0))*$G99*INDEX([1]ratio_ins!$C:$C,MATCH('001_population_health_zone_zs'!$B99,[1]ratio_ins!$B:$B,0))</f>
        <v>4644.2949800000006</v>
      </c>
      <c r="AC99" s="12">
        <f t="shared" si="6"/>
        <v>178626.73000000004</v>
      </c>
      <c r="AD99" s="10">
        <f>INDEX([1]ratio_ins!AA:AA,MATCH('001_population_health_zone_zs'!$B$2,[1]ratio_ins!$B:$B,0))*$G99*INDEX([1]ratio_ins!$D:$D,MATCH('001_population_health_zone_zs'!$B99,[1]ratio_ins!$B:$B,0))</f>
        <v>39514.286699999997</v>
      </c>
      <c r="AE99" s="10">
        <f>INDEX([1]ratio_ins!AB:AB,MATCH('001_population_health_zone_zs'!$B$2,[1]ratio_ins!$B:$B,0))*$G99*INDEX([1]ratio_ins!$D:$D,MATCH('001_population_health_zone_zs'!$B99,[1]ratio_ins!$B:$B,0))</f>
        <v>32552.245710000003</v>
      </c>
      <c r="AF99" s="10">
        <f>INDEX([1]ratio_ins!AC:AC,MATCH('001_population_health_zone_zs'!$B$2,[1]ratio_ins!$B:$B,0))*$G99*INDEX([1]ratio_ins!$D:$D,MATCH('001_population_health_zone_zs'!$B99,[1]ratio_ins!$B:$B,0))</f>
        <v>25778.367989999999</v>
      </c>
      <c r="AG99" s="10">
        <f>INDEX([1]ratio_ins!AD:AD,MATCH('001_population_health_zone_zs'!$B$2,[1]ratio_ins!$B:$B,0))*$G99*INDEX([1]ratio_ins!$D:$D,MATCH('001_population_health_zone_zs'!$B99,[1]ratio_ins!$B:$B,0))</f>
        <v>15617.551410000002</v>
      </c>
      <c r="AH99" s="10">
        <f>INDEX([1]ratio_ins!AE:AE,MATCH('001_population_health_zone_zs'!$B$2,[1]ratio_ins!$B:$B,0))*$G99*INDEX([1]ratio_ins!$D:$D,MATCH('001_population_health_zone_zs'!$B99,[1]ratio_ins!$B:$B,0))</f>
        <v>9370.5308459999997</v>
      </c>
      <c r="AI99" s="13">
        <f>INDEX([1]ratio_ins!AF:AF,MATCH('001_population_health_zone_zs'!$B$2,[1]ratio_ins!$B:$B,0))*$G99*INDEX([1]ratio_ins!$D:$D,MATCH('001_population_health_zone_zs'!$B99,[1]ratio_ins!$B:$B,0))</f>
        <v>107215.43124599999</v>
      </c>
      <c r="AJ99" s="10">
        <f>INDEX([1]ratio_ins!AG:AG,MATCH('001_population_health_zone_zs'!$B$2,[1]ratio_ins!$B:$B,0))*$G99*INDEX([1]ratio_ins!$D:$D,MATCH('001_population_health_zone_zs'!$B99,[1]ratio_ins!$B:$B,0))</f>
        <v>6247.0205640000004</v>
      </c>
      <c r="AK99" s="10">
        <f>INDEX([1]ratio_ins!AH:AH,MATCH('001_population_health_zone_zs'!$B$2,[1]ratio_ins!$B:$B,0))*$G99*INDEX([1]ratio_ins!$D:$D,MATCH('001_population_health_zone_zs'!$B99,[1]ratio_ins!$B:$B,0))</f>
        <v>13924.081980000001</v>
      </c>
      <c r="AL99" s="10">
        <f>INDEX([1]ratio_ins!AI:AI,MATCH('001_population_health_zone_zs'!$B$2,[1]ratio_ins!$B:$B,0))*$G99*INDEX([1]ratio_ins!$D:$D,MATCH('001_population_health_zone_zs'!$B99,[1]ratio_ins!$B:$B,0))</f>
        <v>13171.428900000003</v>
      </c>
      <c r="AM99" s="10">
        <f>INDEX([1]ratio_ins!AJ:AJ,MATCH('001_population_health_zone_zs'!$B$2,[1]ratio_ins!$B:$B,0))*$G99*INDEX([1]ratio_ins!$D:$D,MATCH('001_population_health_zone_zs'!$B99,[1]ratio_ins!$B:$B,0))</f>
        <v>12042.449280000001</v>
      </c>
      <c r="AN99" s="10">
        <f>INDEX([1]ratio_ins!AK:AK,MATCH('001_population_health_zone_zs'!$B$2,[1]ratio_ins!$B:$B,0))*$G99*INDEX([1]ratio_ins!$D:$D,MATCH('001_population_health_zone_zs'!$B99,[1]ratio_ins!$B:$B,0))</f>
        <v>11289.796199999999</v>
      </c>
      <c r="AO99" s="10">
        <f>INDEX([1]ratio_ins!AL:AL,MATCH('001_population_health_zone_zs'!$B$2,[1]ratio_ins!$B:$B,0))*$G99*INDEX([1]ratio_ins!$D:$D,MATCH('001_population_health_zone_zs'!$B99,[1]ratio_ins!$B:$B,0))</f>
        <v>8467.3471499999996</v>
      </c>
      <c r="AP99" s="10">
        <f>INDEX([1]ratio_ins!AM:AM,MATCH('001_population_health_zone_zs'!$B$2,[1]ratio_ins!$B:$B,0))*$G99*INDEX([1]ratio_ins!$D:$D,MATCH('001_population_health_zone_zs'!$B99,[1]ratio_ins!$B:$B,0))</f>
        <v>5456.7348300000003</v>
      </c>
      <c r="AQ99" s="10">
        <f>INDEX([1]ratio_ins!AN:AN,MATCH('001_population_health_zone_zs'!$B$2,[1]ratio_ins!$B:$B,0))*$G99*INDEX([1]ratio_ins!$D:$D,MATCH('001_population_health_zone_zs'!$B99,[1]ratio_ins!$B:$B,0))</f>
        <v>4327.7552100000003</v>
      </c>
      <c r="AR99" s="10">
        <f>INDEX([1]ratio_ins!AO:AO,MATCH('001_population_health_zone_zs'!$B$2,[1]ratio_ins!$B:$B,0))*$G99*INDEX([1]ratio_ins!$D:$D,MATCH('001_population_health_zone_zs'!$B99,[1]ratio_ins!$B:$B,0))</f>
        <v>2069.7959700000001</v>
      </c>
      <c r="AS99" s="13">
        <f>INDEX([1]ratio_ins!AP:AP,MATCH('001_population_health_zone_zs'!$B$2,[1]ratio_ins!$B:$B,0))*$G99*INDEX([1]ratio_ins!$D:$D,MATCH('001_population_health_zone_zs'!$B99,[1]ratio_ins!$B:$B,0))</f>
        <v>76996.410084000003</v>
      </c>
      <c r="AT99" s="10">
        <f>INDEX([1]ratio_ins!AQ:AQ,MATCH('001_population_health_zone_zs'!$B$2,[1]ratio_ins!$B:$B,0))*$G99*INDEX([1]ratio_ins!$D:$D,MATCH('001_population_health_zone_zs'!$B99,[1]ratio_ins!$B:$B,0))</f>
        <v>1881.6327000000001</v>
      </c>
      <c r="AU99" s="10">
        <f>INDEX([1]ratio_ins!AR:AR,MATCH('001_population_health_zone_zs'!$B$2,[1]ratio_ins!$B:$B,0))*$G99*INDEX([1]ratio_ins!$D:$D,MATCH('001_population_health_zone_zs'!$B99,[1]ratio_ins!$B:$B,0))</f>
        <v>1128.9796200000001</v>
      </c>
      <c r="AV99" s="10">
        <f>INDEX([1]ratio_ins!AS:AS,MATCH('001_population_health_zone_zs'!$B$2,[1]ratio_ins!$B:$B,0))*$G99*INDEX([1]ratio_ins!$D:$D,MATCH('001_population_health_zone_zs'!$B99,[1]ratio_ins!$B:$B,0))</f>
        <v>564.48981000000003</v>
      </c>
      <c r="AW99" s="10">
        <f>INDEX([1]ratio_ins!AT:AT,MATCH('001_population_health_zone_zs'!$B$2,[1]ratio_ins!$B:$B,0))*$G99*INDEX([1]ratio_ins!$D:$D,MATCH('001_population_health_zone_zs'!$B99,[1]ratio_ins!$B:$B,0))</f>
        <v>376.32654000000002</v>
      </c>
      <c r="AX99" s="13">
        <f>INDEX([1]ratio_ins!AU:AU,MATCH('001_population_health_zone_zs'!$B$2,[1]ratio_ins!$B:$B,0))*$G99*INDEX([1]ratio_ins!$D:$D,MATCH('001_population_health_zone_zs'!$B99,[1]ratio_ins!$B:$B,0))</f>
        <v>3951.4286699999998</v>
      </c>
      <c r="AY99" s="14">
        <f t="shared" si="7"/>
        <v>188163.27</v>
      </c>
      <c r="AZ99" s="15">
        <f t="shared" si="8"/>
        <v>366790</v>
      </c>
      <c r="BA99" s="16">
        <v>353887.8199338027</v>
      </c>
      <c r="BB99" s="10">
        <f t="shared" si="9"/>
        <v>79969.389750000002</v>
      </c>
      <c r="BC99" s="17">
        <f t="shared" si="10"/>
        <v>0.218025</v>
      </c>
      <c r="BD99" s="10">
        <f t="shared" si="11"/>
        <v>74487.346410000013</v>
      </c>
    </row>
    <row r="100" spans="1:56" x14ac:dyDescent="0.25">
      <c r="A100" s="8" t="s">
        <v>197</v>
      </c>
      <c r="B100" s="8" t="s">
        <v>198</v>
      </c>
      <c r="C100" s="8" t="s">
        <v>239</v>
      </c>
      <c r="D100" s="8" t="s">
        <v>240</v>
      </c>
      <c r="E100" s="8" t="s">
        <v>242</v>
      </c>
      <c r="F100" s="8" t="s">
        <v>243</v>
      </c>
      <c r="G100" s="9">
        <v>164057</v>
      </c>
      <c r="H100" s="10">
        <f>INDEX([1]ratio_ins!F:F,MATCH('001_population_health_zone_zs'!$B$2,[1]ratio_ins!$B:$B,0))*$G100*INDEX([1]ratio_ins!$C:$C,MATCH('001_population_health_zone_zs'!$B100,[1]ratio_ins!$B:$B,0))</f>
        <v>16698.213631000002</v>
      </c>
      <c r="I100" s="10">
        <f>INDEX([1]ratio_ins!G:G,MATCH('001_population_health_zone_zs'!$B$2,[1]ratio_ins!$B:$B,0))*$G100*INDEX([1]ratio_ins!$C:$C,MATCH('001_population_health_zone_zs'!$B100,[1]ratio_ins!$B:$B,0))</f>
        <v>13662.174789000002</v>
      </c>
      <c r="J100" s="10">
        <f>INDEX([1]ratio_ins!H:H,MATCH('001_population_health_zone_zs'!$B$2,[1]ratio_ins!$B:$B,0))*$G100*INDEX([1]ratio_ins!$C:$C,MATCH('001_population_health_zone_zs'!$B100,[1]ratio_ins!$B:$B,0))</f>
        <v>10785.927465000001</v>
      </c>
      <c r="K100" s="10">
        <f>INDEX([1]ratio_ins!I:I,MATCH('001_population_health_zone_zs'!$B$2,[1]ratio_ins!$B:$B,0))*$G100*INDEX([1]ratio_ins!$C:$C,MATCH('001_population_health_zone_zs'!$B100,[1]ratio_ins!$B:$B,0))</f>
        <v>6631.3479970000017</v>
      </c>
      <c r="L100" s="10">
        <f>INDEX([1]ratio_ins!J:J,MATCH('001_population_health_zone_zs'!$B$2,[1]ratio_ins!$B:$B,0))*$G100*INDEX([1]ratio_ins!$C:$C,MATCH('001_population_health_zone_zs'!$B100,[1]ratio_ins!$B:$B,0))</f>
        <v>3978.8087982000002</v>
      </c>
      <c r="M100" s="11">
        <f>INDEX([1]ratio_ins!K:K,MATCH('001_population_health_zone_zs'!$B$2,[1]ratio_ins!$B:$B,0))*$G100*INDEX([1]ratio_ins!$C:$C,MATCH('001_population_health_zone_zs'!$B100,[1]ratio_ins!$B:$B,0))</f>
        <v>45125.124683200003</v>
      </c>
      <c r="N100" s="10">
        <f>INDEX([1]ratio_ins!L:L,MATCH('001_population_health_zone_zs'!$B$2,[1]ratio_ins!$B:$B,0))*$G100*INDEX([1]ratio_ins!$C:$C,MATCH('001_population_health_zone_zs'!$B100,[1]ratio_ins!$B:$B,0))</f>
        <v>2652.5391988000001</v>
      </c>
      <c r="O100" s="10">
        <f>INDEX([1]ratio_ins!M:M,MATCH('001_population_health_zone_zs'!$B$2,[1]ratio_ins!$B:$B,0))*$G100*INDEX([1]ratio_ins!$C:$C,MATCH('001_population_health_zone_zs'!$B100,[1]ratio_ins!$B:$B,0))</f>
        <v>5752.4946480000008</v>
      </c>
      <c r="P100" s="10">
        <f>INDEX([1]ratio_ins!N:N,MATCH('001_population_health_zone_zs'!$B$2,[1]ratio_ins!$B:$B,0))*$G100*INDEX([1]ratio_ins!$C:$C,MATCH('001_population_health_zone_zs'!$B100,[1]ratio_ins!$B:$B,0))</f>
        <v>5193.2243350000008</v>
      </c>
      <c r="Q100" s="10">
        <f>INDEX([1]ratio_ins!O:O,MATCH('001_population_health_zone_zs'!$B$2,[1]ratio_ins!$B:$B,0))*$G100*INDEX([1]ratio_ins!$C:$C,MATCH('001_population_health_zone_zs'!$B100,[1]ratio_ins!$B:$B,0))</f>
        <v>4633.9540219999999</v>
      </c>
      <c r="R100" s="10">
        <f>INDEX([1]ratio_ins!P:P,MATCH('001_population_health_zone_zs'!$B$2,[1]ratio_ins!$B:$B,0))*$G100*INDEX([1]ratio_ins!$C:$C,MATCH('001_population_health_zone_zs'!$B100,[1]ratio_ins!$B:$B,0))</f>
        <v>4554.0582629999999</v>
      </c>
      <c r="S100" s="10">
        <f>INDEX([1]ratio_ins!Q:Q,MATCH('001_population_health_zone_zs'!$B$2,[1]ratio_ins!$B:$B,0))*$G100*INDEX([1]ratio_ins!$C:$C,MATCH('001_population_health_zone_zs'!$B100,[1]ratio_ins!$B:$B,0))</f>
        <v>3834.9964320000004</v>
      </c>
      <c r="T100" s="10">
        <f>INDEX([1]ratio_ins!R:R,MATCH('001_population_health_zone_zs'!$B$2,[1]ratio_ins!$B:$B,0))*$G100*INDEX([1]ratio_ins!$C:$C,MATCH('001_population_health_zone_zs'!$B100,[1]ratio_ins!$B:$B,0))</f>
        <v>2716.4558060000004</v>
      </c>
      <c r="U100" s="10">
        <f>INDEX([1]ratio_ins!S:S,MATCH('001_population_health_zone_zs'!$B$2,[1]ratio_ins!$B:$B,0))*$G100*INDEX([1]ratio_ins!$C:$C,MATCH('001_population_health_zone_zs'!$B100,[1]ratio_ins!$B:$B,0))</f>
        <v>2157.1854930000004</v>
      </c>
      <c r="V100" s="10">
        <f>INDEX([1]ratio_ins!T:T,MATCH('001_population_health_zone_zs'!$B$2,[1]ratio_ins!$B:$B,0))*$G100*INDEX([1]ratio_ins!$C:$C,MATCH('001_population_health_zone_zs'!$B100,[1]ratio_ins!$B:$B,0))</f>
        <v>1198.4363850000002</v>
      </c>
      <c r="W100" s="11">
        <f>INDEX([1]ratio_ins!U:U,MATCH('001_population_health_zone_zs'!$B$2,[1]ratio_ins!$B:$B,0))*$G100*INDEX([1]ratio_ins!$C:$C,MATCH('001_population_health_zone_zs'!$B100,[1]ratio_ins!$B:$B,0))</f>
        <v>32693.344582800004</v>
      </c>
      <c r="X100" s="10">
        <f>INDEX([1]ratio_ins!V:V,MATCH('001_population_health_zone_zs'!$B$2,[1]ratio_ins!$B:$B,0))*$G100*INDEX([1]ratio_ins!$C:$C,MATCH('001_population_health_zone_zs'!$B100,[1]ratio_ins!$B:$B,0))</f>
        <v>958.74910800000009</v>
      </c>
      <c r="Y100" s="10">
        <f>INDEX([1]ratio_ins!W:W,MATCH('001_population_health_zone_zs'!$B$2,[1]ratio_ins!$B:$B,0))*$G100*INDEX([1]ratio_ins!$C:$C,MATCH('001_population_health_zone_zs'!$B100,[1]ratio_ins!$B:$B,0))</f>
        <v>639.1660720000001</v>
      </c>
      <c r="Z100" s="10">
        <f>INDEX([1]ratio_ins!X:X,MATCH('001_population_health_zone_zs'!$B$2,[1]ratio_ins!$B:$B,0))*$G100*INDEX([1]ratio_ins!$C:$C,MATCH('001_population_health_zone_zs'!$B100,[1]ratio_ins!$B:$B,0))</f>
        <v>319.58303600000005</v>
      </c>
      <c r="AA100" s="10">
        <f>INDEX([1]ratio_ins!Y:Y,MATCH('001_population_health_zone_zs'!$B$2,[1]ratio_ins!$B:$B,0))*$G100*INDEX([1]ratio_ins!$C:$C,MATCH('001_population_health_zone_zs'!$B100,[1]ratio_ins!$B:$B,0))</f>
        <v>159.79151800000002</v>
      </c>
      <c r="AB100" s="11">
        <f>INDEX([1]ratio_ins!Z:Z,MATCH('001_population_health_zone_zs'!$B$2,[1]ratio_ins!$B:$B,0))*$G100*INDEX([1]ratio_ins!$C:$C,MATCH('001_population_health_zone_zs'!$B100,[1]ratio_ins!$B:$B,0))</f>
        <v>2077.289734</v>
      </c>
      <c r="AC100" s="12">
        <f t="shared" si="6"/>
        <v>79895.759000000005</v>
      </c>
      <c r="AD100" s="10">
        <f>INDEX([1]ratio_ins!AA:AA,MATCH('001_population_health_zone_zs'!$B$2,[1]ratio_ins!$B:$B,0))*$G100*INDEX([1]ratio_ins!$D:$D,MATCH('001_population_health_zone_zs'!$B100,[1]ratio_ins!$B:$B,0))</f>
        <v>17673.86061</v>
      </c>
      <c r="AE100" s="10">
        <f>INDEX([1]ratio_ins!AB:AB,MATCH('001_population_health_zone_zs'!$B$2,[1]ratio_ins!$B:$B,0))*$G100*INDEX([1]ratio_ins!$D:$D,MATCH('001_population_health_zone_zs'!$B100,[1]ratio_ins!$B:$B,0))</f>
        <v>14559.894693</v>
      </c>
      <c r="AF100" s="10">
        <f>INDEX([1]ratio_ins!AC:AC,MATCH('001_population_health_zone_zs'!$B$2,[1]ratio_ins!$B:$B,0))*$G100*INDEX([1]ratio_ins!$D:$D,MATCH('001_population_health_zone_zs'!$B100,[1]ratio_ins!$B:$B,0))</f>
        <v>11530.090016999999</v>
      </c>
      <c r="AG100" s="10">
        <f>INDEX([1]ratio_ins!AD:AD,MATCH('001_population_health_zone_zs'!$B$2,[1]ratio_ins!$B:$B,0))*$G100*INDEX([1]ratio_ins!$D:$D,MATCH('001_population_health_zone_zs'!$B100,[1]ratio_ins!$B:$B,0))</f>
        <v>6985.3830030000008</v>
      </c>
      <c r="AH100" s="10">
        <f>INDEX([1]ratio_ins!AE:AE,MATCH('001_population_health_zone_zs'!$B$2,[1]ratio_ins!$B:$B,0))*$G100*INDEX([1]ratio_ins!$D:$D,MATCH('001_population_health_zone_zs'!$B100,[1]ratio_ins!$B:$B,0))</f>
        <v>4191.2298018000001</v>
      </c>
      <c r="AI100" s="13">
        <f>INDEX([1]ratio_ins!AF:AF,MATCH('001_population_health_zone_zs'!$B$2,[1]ratio_ins!$B:$B,0))*$G100*INDEX([1]ratio_ins!$D:$D,MATCH('001_population_health_zone_zs'!$B100,[1]ratio_ins!$B:$B,0))</f>
        <v>47955.0751218</v>
      </c>
      <c r="AJ100" s="10">
        <f>INDEX([1]ratio_ins!AG:AG,MATCH('001_population_health_zone_zs'!$B$2,[1]ratio_ins!$B:$B,0))*$G100*INDEX([1]ratio_ins!$D:$D,MATCH('001_population_health_zone_zs'!$B100,[1]ratio_ins!$B:$B,0))</f>
        <v>2794.1532012000002</v>
      </c>
      <c r="AK100" s="10">
        <f>INDEX([1]ratio_ins!AH:AH,MATCH('001_population_health_zone_zs'!$B$2,[1]ratio_ins!$B:$B,0))*$G100*INDEX([1]ratio_ins!$D:$D,MATCH('001_population_health_zone_zs'!$B100,[1]ratio_ins!$B:$B,0))</f>
        <v>6227.9318340000018</v>
      </c>
      <c r="AL100" s="10">
        <f>INDEX([1]ratio_ins!AI:AI,MATCH('001_population_health_zone_zs'!$B$2,[1]ratio_ins!$B:$B,0))*$G100*INDEX([1]ratio_ins!$D:$D,MATCH('001_population_health_zone_zs'!$B100,[1]ratio_ins!$B:$B,0))</f>
        <v>5891.2868700000008</v>
      </c>
      <c r="AM100" s="10">
        <f>INDEX([1]ratio_ins!AJ:AJ,MATCH('001_population_health_zone_zs'!$B$2,[1]ratio_ins!$B:$B,0))*$G100*INDEX([1]ratio_ins!$D:$D,MATCH('001_population_health_zone_zs'!$B100,[1]ratio_ins!$B:$B,0))</f>
        <v>5386.3194240000003</v>
      </c>
      <c r="AN100" s="10">
        <f>INDEX([1]ratio_ins!AK:AK,MATCH('001_population_health_zone_zs'!$B$2,[1]ratio_ins!$B:$B,0))*$G100*INDEX([1]ratio_ins!$D:$D,MATCH('001_population_health_zone_zs'!$B100,[1]ratio_ins!$B:$B,0))</f>
        <v>5049.6744600000002</v>
      </c>
      <c r="AO100" s="10">
        <f>INDEX([1]ratio_ins!AL:AL,MATCH('001_population_health_zone_zs'!$B$2,[1]ratio_ins!$B:$B,0))*$G100*INDEX([1]ratio_ins!$D:$D,MATCH('001_population_health_zone_zs'!$B100,[1]ratio_ins!$B:$B,0))</f>
        <v>3787.2558449999997</v>
      </c>
      <c r="AP100" s="10">
        <f>INDEX([1]ratio_ins!AM:AM,MATCH('001_population_health_zone_zs'!$B$2,[1]ratio_ins!$B:$B,0))*$G100*INDEX([1]ratio_ins!$D:$D,MATCH('001_population_health_zone_zs'!$B100,[1]ratio_ins!$B:$B,0))</f>
        <v>2440.6759889999998</v>
      </c>
      <c r="AQ100" s="10">
        <f>INDEX([1]ratio_ins!AN:AN,MATCH('001_population_health_zone_zs'!$B$2,[1]ratio_ins!$B:$B,0))*$G100*INDEX([1]ratio_ins!$D:$D,MATCH('001_population_health_zone_zs'!$B100,[1]ratio_ins!$B:$B,0))</f>
        <v>1935.7085430000002</v>
      </c>
      <c r="AR100" s="10">
        <f>INDEX([1]ratio_ins!AO:AO,MATCH('001_population_health_zone_zs'!$B$2,[1]ratio_ins!$B:$B,0))*$G100*INDEX([1]ratio_ins!$D:$D,MATCH('001_population_health_zone_zs'!$B100,[1]ratio_ins!$B:$B,0))</f>
        <v>925.77365100000009</v>
      </c>
      <c r="AS100" s="13">
        <f>INDEX([1]ratio_ins!AP:AP,MATCH('001_population_health_zone_zs'!$B$2,[1]ratio_ins!$B:$B,0))*$G100*INDEX([1]ratio_ins!$D:$D,MATCH('001_population_health_zone_zs'!$B100,[1]ratio_ins!$B:$B,0))</f>
        <v>34438.779817200004</v>
      </c>
      <c r="AT100" s="10">
        <f>INDEX([1]ratio_ins!AQ:AQ,MATCH('001_population_health_zone_zs'!$B$2,[1]ratio_ins!$B:$B,0))*$G100*INDEX([1]ratio_ins!$D:$D,MATCH('001_population_health_zone_zs'!$B100,[1]ratio_ins!$B:$B,0))</f>
        <v>841.61240999999995</v>
      </c>
      <c r="AU100" s="10">
        <f>INDEX([1]ratio_ins!AR:AR,MATCH('001_population_health_zone_zs'!$B$2,[1]ratio_ins!$B:$B,0))*$G100*INDEX([1]ratio_ins!$D:$D,MATCH('001_population_health_zone_zs'!$B100,[1]ratio_ins!$B:$B,0))</f>
        <v>504.967446</v>
      </c>
      <c r="AV100" s="10">
        <f>INDEX([1]ratio_ins!AS:AS,MATCH('001_population_health_zone_zs'!$B$2,[1]ratio_ins!$B:$B,0))*$G100*INDEX([1]ratio_ins!$D:$D,MATCH('001_population_health_zone_zs'!$B100,[1]ratio_ins!$B:$B,0))</f>
        <v>252.483723</v>
      </c>
      <c r="AW100" s="10">
        <f>INDEX([1]ratio_ins!AT:AT,MATCH('001_population_health_zone_zs'!$B$2,[1]ratio_ins!$B:$B,0))*$G100*INDEX([1]ratio_ins!$D:$D,MATCH('001_population_health_zone_zs'!$B100,[1]ratio_ins!$B:$B,0))</f>
        <v>168.32248200000001</v>
      </c>
      <c r="AX100" s="13">
        <f>INDEX([1]ratio_ins!AU:AU,MATCH('001_population_health_zone_zs'!$B$2,[1]ratio_ins!$B:$B,0))*$G100*INDEX([1]ratio_ins!$D:$D,MATCH('001_population_health_zone_zs'!$B100,[1]ratio_ins!$B:$B,0))</f>
        <v>1767.3860609999999</v>
      </c>
      <c r="AY100" s="14">
        <f t="shared" si="7"/>
        <v>84161.241000000009</v>
      </c>
      <c r="AZ100" s="15">
        <f t="shared" si="8"/>
        <v>164057</v>
      </c>
      <c r="BA100" s="16">
        <v>158286.38835256372</v>
      </c>
      <c r="BB100" s="10">
        <f t="shared" si="9"/>
        <v>35768.527425000007</v>
      </c>
      <c r="BC100" s="17">
        <f t="shared" si="10"/>
        <v>0.21802500000000005</v>
      </c>
      <c r="BD100" s="10">
        <f t="shared" si="11"/>
        <v>33316.531502999998</v>
      </c>
    </row>
    <row r="101" spans="1:56" x14ac:dyDescent="0.25">
      <c r="A101" s="8" t="s">
        <v>197</v>
      </c>
      <c r="B101" s="8" t="s">
        <v>198</v>
      </c>
      <c r="C101" s="8" t="s">
        <v>239</v>
      </c>
      <c r="D101" s="8" t="s">
        <v>240</v>
      </c>
      <c r="E101" s="8" t="s">
        <v>244</v>
      </c>
      <c r="F101" s="8" t="s">
        <v>245</v>
      </c>
      <c r="G101" s="9">
        <v>273297</v>
      </c>
      <c r="H101" s="10">
        <f>INDEX([1]ratio_ins!F:F,MATCH('001_population_health_zone_zs'!$B$2,[1]ratio_ins!$B:$B,0))*$G101*INDEX([1]ratio_ins!$C:$C,MATCH('001_population_health_zone_zs'!$B101,[1]ratio_ins!$B:$B,0))</f>
        <v>27816.988551000002</v>
      </c>
      <c r="I101" s="10">
        <f>INDEX([1]ratio_ins!G:G,MATCH('001_population_health_zone_zs'!$B$2,[1]ratio_ins!$B:$B,0))*$G101*INDEX([1]ratio_ins!$C:$C,MATCH('001_population_health_zone_zs'!$B101,[1]ratio_ins!$B:$B,0))</f>
        <v>22759.354269000003</v>
      </c>
      <c r="J101" s="10">
        <f>INDEX([1]ratio_ins!H:H,MATCH('001_population_health_zone_zs'!$B$2,[1]ratio_ins!$B:$B,0))*$G101*INDEX([1]ratio_ins!$C:$C,MATCH('001_population_health_zone_zs'!$B101,[1]ratio_ins!$B:$B,0))</f>
        <v>17967.911265000002</v>
      </c>
      <c r="K101" s="10">
        <f>INDEX([1]ratio_ins!I:I,MATCH('001_population_health_zone_zs'!$B$2,[1]ratio_ins!$B:$B,0))*$G101*INDEX([1]ratio_ins!$C:$C,MATCH('001_population_health_zone_zs'!$B101,[1]ratio_ins!$B:$B,0))</f>
        <v>11046.938037000002</v>
      </c>
      <c r="L101" s="10">
        <f>INDEX([1]ratio_ins!J:J,MATCH('001_population_health_zone_zs'!$B$2,[1]ratio_ins!$B:$B,0))*$G101*INDEX([1]ratio_ins!$C:$C,MATCH('001_population_health_zone_zs'!$B101,[1]ratio_ins!$B:$B,0))</f>
        <v>6628.1628222000008</v>
      </c>
      <c r="M101" s="11">
        <f>INDEX([1]ratio_ins!K:K,MATCH('001_population_health_zone_zs'!$B$2,[1]ratio_ins!$B:$B,0))*$G101*INDEX([1]ratio_ins!$C:$C,MATCH('001_population_health_zone_zs'!$B101,[1]ratio_ins!$B:$B,0))</f>
        <v>75172.416907200008</v>
      </c>
      <c r="N101" s="10">
        <f>INDEX([1]ratio_ins!L:L,MATCH('001_population_health_zone_zs'!$B$2,[1]ratio_ins!$B:$B,0))*$G101*INDEX([1]ratio_ins!$C:$C,MATCH('001_population_health_zone_zs'!$B101,[1]ratio_ins!$B:$B,0))</f>
        <v>4418.7752148</v>
      </c>
      <c r="O101" s="10">
        <f>INDEX([1]ratio_ins!M:M,MATCH('001_population_health_zone_zs'!$B$2,[1]ratio_ins!$B:$B,0))*$G101*INDEX([1]ratio_ins!$C:$C,MATCH('001_population_health_zone_zs'!$B101,[1]ratio_ins!$B:$B,0))</f>
        <v>9582.8860080000013</v>
      </c>
      <c r="P101" s="10">
        <f>INDEX([1]ratio_ins!N:N,MATCH('001_population_health_zone_zs'!$B$2,[1]ratio_ins!$B:$B,0))*$G101*INDEX([1]ratio_ins!$C:$C,MATCH('001_population_health_zone_zs'!$B101,[1]ratio_ins!$B:$B,0))</f>
        <v>8651.2165350000014</v>
      </c>
      <c r="Q101" s="10">
        <f>INDEX([1]ratio_ins!O:O,MATCH('001_population_health_zone_zs'!$B$2,[1]ratio_ins!$B:$B,0))*$G101*INDEX([1]ratio_ins!$C:$C,MATCH('001_population_health_zone_zs'!$B101,[1]ratio_ins!$B:$B,0))</f>
        <v>7719.5470619999996</v>
      </c>
      <c r="R101" s="10">
        <f>INDEX([1]ratio_ins!P:P,MATCH('001_population_health_zone_zs'!$B$2,[1]ratio_ins!$B:$B,0))*$G101*INDEX([1]ratio_ins!$C:$C,MATCH('001_population_health_zone_zs'!$B101,[1]ratio_ins!$B:$B,0))</f>
        <v>7586.4514230000004</v>
      </c>
      <c r="S101" s="10">
        <f>INDEX([1]ratio_ins!Q:Q,MATCH('001_population_health_zone_zs'!$B$2,[1]ratio_ins!$B:$B,0))*$G101*INDEX([1]ratio_ins!$C:$C,MATCH('001_population_health_zone_zs'!$B101,[1]ratio_ins!$B:$B,0))</f>
        <v>6388.5906720000003</v>
      </c>
      <c r="T101" s="10">
        <f>INDEX([1]ratio_ins!R:R,MATCH('001_population_health_zone_zs'!$B$2,[1]ratio_ins!$B:$B,0))*$G101*INDEX([1]ratio_ins!$C:$C,MATCH('001_population_health_zone_zs'!$B101,[1]ratio_ins!$B:$B,0))</f>
        <v>4525.2517260000004</v>
      </c>
      <c r="U101" s="10">
        <f>INDEX([1]ratio_ins!S:S,MATCH('001_population_health_zone_zs'!$B$2,[1]ratio_ins!$B:$B,0))*$G101*INDEX([1]ratio_ins!$C:$C,MATCH('001_population_health_zone_zs'!$B101,[1]ratio_ins!$B:$B,0))</f>
        <v>3593.5822530000009</v>
      </c>
      <c r="V101" s="10">
        <f>INDEX([1]ratio_ins!T:T,MATCH('001_population_health_zone_zs'!$B$2,[1]ratio_ins!$B:$B,0))*$G101*INDEX([1]ratio_ins!$C:$C,MATCH('001_population_health_zone_zs'!$B101,[1]ratio_ins!$B:$B,0))</f>
        <v>1996.4345850000002</v>
      </c>
      <c r="W101" s="11">
        <f>INDEX([1]ratio_ins!U:U,MATCH('001_population_health_zone_zs'!$B$2,[1]ratio_ins!$B:$B,0))*$G101*INDEX([1]ratio_ins!$C:$C,MATCH('001_population_health_zone_zs'!$B101,[1]ratio_ins!$B:$B,0))</f>
        <v>54462.735478800008</v>
      </c>
      <c r="X101" s="10">
        <f>INDEX([1]ratio_ins!V:V,MATCH('001_population_health_zone_zs'!$B$2,[1]ratio_ins!$B:$B,0))*$G101*INDEX([1]ratio_ins!$C:$C,MATCH('001_population_health_zone_zs'!$B101,[1]ratio_ins!$B:$B,0))</f>
        <v>1597.1476680000001</v>
      </c>
      <c r="Y101" s="10">
        <f>INDEX([1]ratio_ins!W:W,MATCH('001_population_health_zone_zs'!$B$2,[1]ratio_ins!$B:$B,0))*$G101*INDEX([1]ratio_ins!$C:$C,MATCH('001_population_health_zone_zs'!$B101,[1]ratio_ins!$B:$B,0))</f>
        <v>1064.7651120000003</v>
      </c>
      <c r="Z101" s="10">
        <f>INDEX([1]ratio_ins!X:X,MATCH('001_population_health_zone_zs'!$B$2,[1]ratio_ins!$B:$B,0))*$G101*INDEX([1]ratio_ins!$C:$C,MATCH('001_population_health_zone_zs'!$B101,[1]ratio_ins!$B:$B,0))</f>
        <v>532.38255600000014</v>
      </c>
      <c r="AA101" s="10">
        <f>INDEX([1]ratio_ins!Y:Y,MATCH('001_population_health_zone_zs'!$B$2,[1]ratio_ins!$B:$B,0))*$G101*INDEX([1]ratio_ins!$C:$C,MATCH('001_population_health_zone_zs'!$B101,[1]ratio_ins!$B:$B,0))</f>
        <v>266.19127800000007</v>
      </c>
      <c r="AB101" s="11">
        <f>INDEX([1]ratio_ins!Z:Z,MATCH('001_population_health_zone_zs'!$B$2,[1]ratio_ins!$B:$B,0))*$G101*INDEX([1]ratio_ins!$C:$C,MATCH('001_population_health_zone_zs'!$B101,[1]ratio_ins!$B:$B,0))</f>
        <v>3460.4866140000008</v>
      </c>
      <c r="AC101" s="12">
        <f t="shared" si="6"/>
        <v>133095.63900000002</v>
      </c>
      <c r="AD101" s="10">
        <f>INDEX([1]ratio_ins!AA:AA,MATCH('001_population_health_zone_zs'!$B$2,[1]ratio_ins!$B:$B,0))*$G101*INDEX([1]ratio_ins!$D:$D,MATCH('001_population_health_zone_zs'!$B101,[1]ratio_ins!$B:$B,0))</f>
        <v>29442.285809999998</v>
      </c>
      <c r="AE101" s="10">
        <f>INDEX([1]ratio_ins!AB:AB,MATCH('001_population_health_zone_zs'!$B$2,[1]ratio_ins!$B:$B,0))*$G101*INDEX([1]ratio_ins!$D:$D,MATCH('001_population_health_zone_zs'!$B101,[1]ratio_ins!$B:$B,0))</f>
        <v>24254.835453</v>
      </c>
      <c r="AF101" s="10">
        <f>INDEX([1]ratio_ins!AC:AC,MATCH('001_population_health_zone_zs'!$B$2,[1]ratio_ins!$B:$B,0))*$G101*INDEX([1]ratio_ins!$D:$D,MATCH('001_population_health_zone_zs'!$B101,[1]ratio_ins!$B:$B,0))</f>
        <v>19207.586457000001</v>
      </c>
      <c r="AG101" s="10">
        <f>INDEX([1]ratio_ins!AD:AD,MATCH('001_population_health_zone_zs'!$B$2,[1]ratio_ins!$B:$B,0))*$G101*INDEX([1]ratio_ins!$D:$D,MATCH('001_population_health_zone_zs'!$B101,[1]ratio_ins!$B:$B,0))</f>
        <v>11636.712963000002</v>
      </c>
      <c r="AH101" s="10">
        <f>INDEX([1]ratio_ins!AE:AE,MATCH('001_population_health_zone_zs'!$B$2,[1]ratio_ins!$B:$B,0))*$G101*INDEX([1]ratio_ins!$D:$D,MATCH('001_population_health_zone_zs'!$B101,[1]ratio_ins!$B:$B,0))</f>
        <v>6982.0277778</v>
      </c>
      <c r="AI101" s="13">
        <f>INDEX([1]ratio_ins!AF:AF,MATCH('001_population_health_zone_zs'!$B$2,[1]ratio_ins!$B:$B,0))*$G101*INDEX([1]ratio_ins!$D:$D,MATCH('001_population_health_zone_zs'!$B101,[1]ratio_ins!$B:$B,0))</f>
        <v>79886.735497800008</v>
      </c>
      <c r="AJ101" s="10">
        <f>INDEX([1]ratio_ins!AG:AG,MATCH('001_population_health_zone_zs'!$B$2,[1]ratio_ins!$B:$B,0))*$G101*INDEX([1]ratio_ins!$D:$D,MATCH('001_population_health_zone_zs'!$B101,[1]ratio_ins!$B:$B,0))</f>
        <v>4654.6851852</v>
      </c>
      <c r="AK101" s="10">
        <f>INDEX([1]ratio_ins!AH:AH,MATCH('001_population_health_zone_zs'!$B$2,[1]ratio_ins!$B:$B,0))*$G101*INDEX([1]ratio_ins!$D:$D,MATCH('001_population_health_zone_zs'!$B101,[1]ratio_ins!$B:$B,0))</f>
        <v>10374.900714000001</v>
      </c>
      <c r="AL101" s="10">
        <f>INDEX([1]ratio_ins!AI:AI,MATCH('001_population_health_zone_zs'!$B$2,[1]ratio_ins!$B:$B,0))*$G101*INDEX([1]ratio_ins!$D:$D,MATCH('001_population_health_zone_zs'!$B101,[1]ratio_ins!$B:$B,0))</f>
        <v>9814.0952699999998</v>
      </c>
      <c r="AM101" s="10">
        <f>INDEX([1]ratio_ins!AJ:AJ,MATCH('001_population_health_zone_zs'!$B$2,[1]ratio_ins!$B:$B,0))*$G101*INDEX([1]ratio_ins!$D:$D,MATCH('001_population_health_zone_zs'!$B101,[1]ratio_ins!$B:$B,0))</f>
        <v>8972.8871040000013</v>
      </c>
      <c r="AN101" s="10">
        <f>INDEX([1]ratio_ins!AK:AK,MATCH('001_population_health_zone_zs'!$B$2,[1]ratio_ins!$B:$B,0))*$G101*INDEX([1]ratio_ins!$D:$D,MATCH('001_population_health_zone_zs'!$B101,[1]ratio_ins!$B:$B,0))</f>
        <v>8412.0816599999998</v>
      </c>
      <c r="AO101" s="10">
        <f>INDEX([1]ratio_ins!AL:AL,MATCH('001_population_health_zone_zs'!$B$2,[1]ratio_ins!$B:$B,0))*$G101*INDEX([1]ratio_ins!$D:$D,MATCH('001_population_health_zone_zs'!$B101,[1]ratio_ins!$B:$B,0))</f>
        <v>6309.0612449999999</v>
      </c>
      <c r="AP101" s="10">
        <f>INDEX([1]ratio_ins!AM:AM,MATCH('001_population_health_zone_zs'!$B$2,[1]ratio_ins!$B:$B,0))*$G101*INDEX([1]ratio_ins!$D:$D,MATCH('001_population_health_zone_zs'!$B101,[1]ratio_ins!$B:$B,0))</f>
        <v>4065.8394689999996</v>
      </c>
      <c r="AQ101" s="10">
        <f>INDEX([1]ratio_ins!AN:AN,MATCH('001_population_health_zone_zs'!$B$2,[1]ratio_ins!$B:$B,0))*$G101*INDEX([1]ratio_ins!$D:$D,MATCH('001_population_health_zone_zs'!$B101,[1]ratio_ins!$B:$B,0))</f>
        <v>3224.6313030000001</v>
      </c>
      <c r="AR101" s="10">
        <f>INDEX([1]ratio_ins!AO:AO,MATCH('001_population_health_zone_zs'!$B$2,[1]ratio_ins!$B:$B,0))*$G101*INDEX([1]ratio_ins!$D:$D,MATCH('001_population_health_zone_zs'!$B101,[1]ratio_ins!$B:$B,0))</f>
        <v>1542.2149710000001</v>
      </c>
      <c r="AS101" s="13">
        <f>INDEX([1]ratio_ins!AP:AP,MATCH('001_population_health_zone_zs'!$B$2,[1]ratio_ins!$B:$B,0))*$G101*INDEX([1]ratio_ins!$D:$D,MATCH('001_population_health_zone_zs'!$B101,[1]ratio_ins!$B:$B,0))</f>
        <v>57370.396921200001</v>
      </c>
      <c r="AT101" s="10">
        <f>INDEX([1]ratio_ins!AQ:AQ,MATCH('001_population_health_zone_zs'!$B$2,[1]ratio_ins!$B:$B,0))*$G101*INDEX([1]ratio_ins!$D:$D,MATCH('001_population_health_zone_zs'!$B101,[1]ratio_ins!$B:$B,0))</f>
        <v>1402.0136100000002</v>
      </c>
      <c r="AU101" s="10">
        <f>INDEX([1]ratio_ins!AR:AR,MATCH('001_population_health_zone_zs'!$B$2,[1]ratio_ins!$B:$B,0))*$G101*INDEX([1]ratio_ins!$D:$D,MATCH('001_population_health_zone_zs'!$B101,[1]ratio_ins!$B:$B,0))</f>
        <v>841.20816600000001</v>
      </c>
      <c r="AV101" s="10">
        <f>INDEX([1]ratio_ins!AS:AS,MATCH('001_population_health_zone_zs'!$B$2,[1]ratio_ins!$B:$B,0))*$G101*INDEX([1]ratio_ins!$D:$D,MATCH('001_population_health_zone_zs'!$B101,[1]ratio_ins!$B:$B,0))</f>
        <v>420.604083</v>
      </c>
      <c r="AW101" s="10">
        <f>INDEX([1]ratio_ins!AT:AT,MATCH('001_population_health_zone_zs'!$B$2,[1]ratio_ins!$B:$B,0))*$G101*INDEX([1]ratio_ins!$D:$D,MATCH('001_population_health_zone_zs'!$B101,[1]ratio_ins!$B:$B,0))</f>
        <v>280.40272200000004</v>
      </c>
      <c r="AX101" s="13">
        <f>INDEX([1]ratio_ins!AU:AU,MATCH('001_population_health_zone_zs'!$B$2,[1]ratio_ins!$B:$B,0))*$G101*INDEX([1]ratio_ins!$D:$D,MATCH('001_population_health_zone_zs'!$B101,[1]ratio_ins!$B:$B,0))</f>
        <v>2944.2285809999998</v>
      </c>
      <c r="AY101" s="14">
        <f t="shared" si="7"/>
        <v>140201.361</v>
      </c>
      <c r="AZ101" s="15">
        <f t="shared" si="8"/>
        <v>273297</v>
      </c>
      <c r="BA101" s="16">
        <v>263683.16589055787</v>
      </c>
      <c r="BB101" s="10">
        <f t="shared" si="9"/>
        <v>59585.578424999992</v>
      </c>
      <c r="BC101" s="17">
        <f t="shared" si="10"/>
        <v>0.21802499999999997</v>
      </c>
      <c r="BD101" s="10">
        <f t="shared" si="11"/>
        <v>55500.881462999998</v>
      </c>
    </row>
    <row r="102" spans="1:56" x14ac:dyDescent="0.25">
      <c r="A102" s="8" t="s">
        <v>197</v>
      </c>
      <c r="B102" s="8" t="s">
        <v>198</v>
      </c>
      <c r="C102" s="8" t="s">
        <v>246</v>
      </c>
      <c r="D102" s="8" t="s">
        <v>247</v>
      </c>
      <c r="E102" s="8" t="s">
        <v>246</v>
      </c>
      <c r="F102" s="8" t="s">
        <v>248</v>
      </c>
      <c r="G102" s="9">
        <v>262009</v>
      </c>
      <c r="H102" s="10">
        <f>INDEX([1]ratio_ins!F:F,MATCH('001_population_health_zone_zs'!$B$2,[1]ratio_ins!$B:$B,0))*$G102*INDEX([1]ratio_ins!$C:$C,MATCH('001_population_health_zone_zs'!$B102,[1]ratio_ins!$B:$B,0))</f>
        <v>26668.062047000003</v>
      </c>
      <c r="I102" s="10">
        <f>INDEX([1]ratio_ins!G:G,MATCH('001_population_health_zone_zs'!$B$2,[1]ratio_ins!$B:$B,0))*$G102*INDEX([1]ratio_ins!$C:$C,MATCH('001_population_health_zone_zs'!$B102,[1]ratio_ins!$B:$B,0))</f>
        <v>21819.323493000004</v>
      </c>
      <c r="J102" s="10">
        <f>INDEX([1]ratio_ins!H:H,MATCH('001_population_health_zone_zs'!$B$2,[1]ratio_ins!$B:$B,0))*$G102*INDEX([1]ratio_ins!$C:$C,MATCH('001_population_health_zone_zs'!$B102,[1]ratio_ins!$B:$B,0))</f>
        <v>17225.781705000005</v>
      </c>
      <c r="K102" s="10">
        <f>INDEX([1]ratio_ins!I:I,MATCH('001_population_health_zone_zs'!$B$2,[1]ratio_ins!$B:$B,0))*$G102*INDEX([1]ratio_ins!$C:$C,MATCH('001_population_health_zone_zs'!$B102,[1]ratio_ins!$B:$B,0))</f>
        <v>10590.665789000001</v>
      </c>
      <c r="L102" s="10">
        <f>INDEX([1]ratio_ins!J:J,MATCH('001_population_health_zone_zs'!$B$2,[1]ratio_ins!$B:$B,0))*$G102*INDEX([1]ratio_ins!$C:$C,MATCH('001_population_health_zone_zs'!$B102,[1]ratio_ins!$B:$B,0))</f>
        <v>6354.3994733999998</v>
      </c>
      <c r="M102" s="11">
        <f>INDEX([1]ratio_ins!K:K,MATCH('001_population_health_zone_zs'!$B$2,[1]ratio_ins!$B:$B,0))*$G102*INDEX([1]ratio_ins!$C:$C,MATCH('001_population_health_zone_zs'!$B102,[1]ratio_ins!$B:$B,0))</f>
        <v>72067.566718400005</v>
      </c>
      <c r="N102" s="10">
        <f>INDEX([1]ratio_ins!L:L,MATCH('001_population_health_zone_zs'!$B$2,[1]ratio_ins!$B:$B,0))*$G102*INDEX([1]ratio_ins!$C:$C,MATCH('001_population_health_zone_zs'!$B102,[1]ratio_ins!$B:$B,0))</f>
        <v>4236.2663156000008</v>
      </c>
      <c r="O102" s="10">
        <f>INDEX([1]ratio_ins!M:M,MATCH('001_population_health_zone_zs'!$B$2,[1]ratio_ins!$B:$B,0))*$G102*INDEX([1]ratio_ins!$C:$C,MATCH('001_population_health_zone_zs'!$B102,[1]ratio_ins!$B:$B,0))</f>
        <v>9187.0835760000009</v>
      </c>
      <c r="P102" s="10">
        <f>INDEX([1]ratio_ins!N:N,MATCH('001_population_health_zone_zs'!$B$2,[1]ratio_ins!$B:$B,0))*$G102*INDEX([1]ratio_ins!$C:$C,MATCH('001_population_health_zone_zs'!$B102,[1]ratio_ins!$B:$B,0))</f>
        <v>8293.8948949999995</v>
      </c>
      <c r="Q102" s="10">
        <f>INDEX([1]ratio_ins!O:O,MATCH('001_population_health_zone_zs'!$B$2,[1]ratio_ins!$B:$B,0))*$G102*INDEX([1]ratio_ins!$C:$C,MATCH('001_population_health_zone_zs'!$B102,[1]ratio_ins!$B:$B,0))</f>
        <v>7400.7062139999998</v>
      </c>
      <c r="R102" s="10">
        <f>INDEX([1]ratio_ins!P:P,MATCH('001_population_health_zone_zs'!$B$2,[1]ratio_ins!$B:$B,0))*$G102*INDEX([1]ratio_ins!$C:$C,MATCH('001_population_health_zone_zs'!$B102,[1]ratio_ins!$B:$B,0))</f>
        <v>7273.1078310000012</v>
      </c>
      <c r="S102" s="10">
        <f>INDEX([1]ratio_ins!Q:Q,MATCH('001_population_health_zone_zs'!$B$2,[1]ratio_ins!$B:$B,0))*$G102*INDEX([1]ratio_ins!$C:$C,MATCH('001_population_health_zone_zs'!$B102,[1]ratio_ins!$B:$B,0))</f>
        <v>6124.7223840000006</v>
      </c>
      <c r="T102" s="10">
        <f>INDEX([1]ratio_ins!R:R,MATCH('001_population_health_zone_zs'!$B$2,[1]ratio_ins!$B:$B,0))*$G102*INDEX([1]ratio_ins!$C:$C,MATCH('001_population_health_zone_zs'!$B102,[1]ratio_ins!$B:$B,0))</f>
        <v>4338.3450220000004</v>
      </c>
      <c r="U102" s="10">
        <f>INDEX([1]ratio_ins!S:S,MATCH('001_population_health_zone_zs'!$B$2,[1]ratio_ins!$B:$B,0))*$G102*INDEX([1]ratio_ins!$C:$C,MATCH('001_population_health_zone_zs'!$B102,[1]ratio_ins!$B:$B,0))</f>
        <v>3445.1563410000003</v>
      </c>
      <c r="V102" s="10">
        <f>INDEX([1]ratio_ins!T:T,MATCH('001_population_health_zone_zs'!$B$2,[1]ratio_ins!$B:$B,0))*$G102*INDEX([1]ratio_ins!$C:$C,MATCH('001_population_health_zone_zs'!$B102,[1]ratio_ins!$B:$B,0))</f>
        <v>1913.975745</v>
      </c>
      <c r="W102" s="11">
        <f>INDEX([1]ratio_ins!U:U,MATCH('001_population_health_zone_zs'!$B$2,[1]ratio_ins!$B:$B,0))*$G102*INDEX([1]ratio_ins!$C:$C,MATCH('001_population_health_zone_zs'!$B102,[1]ratio_ins!$B:$B,0))</f>
        <v>52213.258323600006</v>
      </c>
      <c r="X102" s="10">
        <f>INDEX([1]ratio_ins!V:V,MATCH('001_population_health_zone_zs'!$B$2,[1]ratio_ins!$B:$B,0))*$G102*INDEX([1]ratio_ins!$C:$C,MATCH('001_population_health_zone_zs'!$B102,[1]ratio_ins!$B:$B,0))</f>
        <v>1531.1805960000002</v>
      </c>
      <c r="Y102" s="10">
        <f>INDEX([1]ratio_ins!W:W,MATCH('001_population_health_zone_zs'!$B$2,[1]ratio_ins!$B:$B,0))*$G102*INDEX([1]ratio_ins!$C:$C,MATCH('001_population_health_zone_zs'!$B102,[1]ratio_ins!$B:$B,0))</f>
        <v>1020.7870640000001</v>
      </c>
      <c r="Z102" s="10">
        <f>INDEX([1]ratio_ins!X:X,MATCH('001_population_health_zone_zs'!$B$2,[1]ratio_ins!$B:$B,0))*$G102*INDEX([1]ratio_ins!$C:$C,MATCH('001_population_health_zone_zs'!$B102,[1]ratio_ins!$B:$B,0))</f>
        <v>510.39353200000005</v>
      </c>
      <c r="AA102" s="10">
        <f>INDEX([1]ratio_ins!Y:Y,MATCH('001_population_health_zone_zs'!$B$2,[1]ratio_ins!$B:$B,0))*$G102*INDEX([1]ratio_ins!$C:$C,MATCH('001_population_health_zone_zs'!$B102,[1]ratio_ins!$B:$B,0))</f>
        <v>255.19676600000003</v>
      </c>
      <c r="AB102" s="11">
        <f>INDEX([1]ratio_ins!Z:Z,MATCH('001_population_health_zone_zs'!$B$2,[1]ratio_ins!$B:$B,0))*$G102*INDEX([1]ratio_ins!$C:$C,MATCH('001_population_health_zone_zs'!$B102,[1]ratio_ins!$B:$B,0))</f>
        <v>3317.5579580000003</v>
      </c>
      <c r="AC102" s="12">
        <f t="shared" si="6"/>
        <v>127598.38300000002</v>
      </c>
      <c r="AD102" s="10">
        <f>INDEX([1]ratio_ins!AA:AA,MATCH('001_population_health_zone_zs'!$B$2,[1]ratio_ins!$B:$B,0))*$G102*INDEX([1]ratio_ins!$D:$D,MATCH('001_population_health_zone_zs'!$B102,[1]ratio_ins!$B:$B,0))</f>
        <v>28226.22957</v>
      </c>
      <c r="AE102" s="10">
        <f>INDEX([1]ratio_ins!AB:AB,MATCH('001_population_health_zone_zs'!$B$2,[1]ratio_ins!$B:$B,0))*$G102*INDEX([1]ratio_ins!$D:$D,MATCH('001_population_health_zone_zs'!$B102,[1]ratio_ins!$B:$B,0))</f>
        <v>23253.036741</v>
      </c>
      <c r="AF102" s="10">
        <f>INDEX([1]ratio_ins!AC:AC,MATCH('001_population_health_zone_zs'!$B$2,[1]ratio_ins!$B:$B,0))*$G102*INDEX([1]ratio_ins!$D:$D,MATCH('001_population_health_zone_zs'!$B102,[1]ratio_ins!$B:$B,0))</f>
        <v>18414.254528999998</v>
      </c>
      <c r="AG102" s="10">
        <f>INDEX([1]ratio_ins!AD:AD,MATCH('001_population_health_zone_zs'!$B$2,[1]ratio_ins!$B:$B,0))*$G102*INDEX([1]ratio_ins!$D:$D,MATCH('001_population_health_zone_zs'!$B102,[1]ratio_ins!$B:$B,0))</f>
        <v>11156.081211000001</v>
      </c>
      <c r="AH102" s="10">
        <f>INDEX([1]ratio_ins!AE:AE,MATCH('001_population_health_zone_zs'!$B$2,[1]ratio_ins!$B:$B,0))*$G102*INDEX([1]ratio_ins!$D:$D,MATCH('001_population_health_zone_zs'!$B102,[1]ratio_ins!$B:$B,0))</f>
        <v>6693.6487265999995</v>
      </c>
      <c r="AI102" s="13">
        <f>INDEX([1]ratio_ins!AF:AF,MATCH('001_population_health_zone_zs'!$B$2,[1]ratio_ins!$B:$B,0))*$G102*INDEX([1]ratio_ins!$D:$D,MATCH('001_population_health_zone_zs'!$B102,[1]ratio_ins!$B:$B,0))</f>
        <v>76587.169566599987</v>
      </c>
      <c r="AJ102" s="10">
        <f>INDEX([1]ratio_ins!AG:AG,MATCH('001_population_health_zone_zs'!$B$2,[1]ratio_ins!$B:$B,0))*$G102*INDEX([1]ratio_ins!$D:$D,MATCH('001_population_health_zone_zs'!$B102,[1]ratio_ins!$B:$B,0))</f>
        <v>4462.4324844000002</v>
      </c>
      <c r="AK102" s="10">
        <f>INDEX([1]ratio_ins!AH:AH,MATCH('001_population_health_zone_zs'!$B$2,[1]ratio_ins!$B:$B,0))*$G102*INDEX([1]ratio_ins!$D:$D,MATCH('001_population_health_zone_zs'!$B102,[1]ratio_ins!$B:$B,0))</f>
        <v>9946.3856580000011</v>
      </c>
      <c r="AL102" s="10">
        <f>INDEX([1]ratio_ins!AI:AI,MATCH('001_population_health_zone_zs'!$B$2,[1]ratio_ins!$B:$B,0))*$G102*INDEX([1]ratio_ins!$D:$D,MATCH('001_population_health_zone_zs'!$B102,[1]ratio_ins!$B:$B,0))</f>
        <v>9408.7431900000011</v>
      </c>
      <c r="AM102" s="10">
        <f>INDEX([1]ratio_ins!AJ:AJ,MATCH('001_population_health_zone_zs'!$B$2,[1]ratio_ins!$B:$B,0))*$G102*INDEX([1]ratio_ins!$D:$D,MATCH('001_population_health_zone_zs'!$B102,[1]ratio_ins!$B:$B,0))</f>
        <v>8602.2794880000001</v>
      </c>
      <c r="AN102" s="10">
        <f>INDEX([1]ratio_ins!AK:AK,MATCH('001_population_health_zone_zs'!$B$2,[1]ratio_ins!$B:$B,0))*$G102*INDEX([1]ratio_ins!$D:$D,MATCH('001_population_health_zone_zs'!$B102,[1]ratio_ins!$B:$B,0))</f>
        <v>8064.6370200000001</v>
      </c>
      <c r="AO102" s="10">
        <f>INDEX([1]ratio_ins!AL:AL,MATCH('001_population_health_zone_zs'!$B$2,[1]ratio_ins!$B:$B,0))*$G102*INDEX([1]ratio_ins!$D:$D,MATCH('001_population_health_zone_zs'!$B102,[1]ratio_ins!$B:$B,0))</f>
        <v>6048.4777649999996</v>
      </c>
      <c r="AP102" s="10">
        <f>INDEX([1]ratio_ins!AM:AM,MATCH('001_population_health_zone_zs'!$B$2,[1]ratio_ins!$B:$B,0))*$G102*INDEX([1]ratio_ins!$D:$D,MATCH('001_population_health_zone_zs'!$B102,[1]ratio_ins!$B:$B,0))</f>
        <v>3897.9078930000001</v>
      </c>
      <c r="AQ102" s="10">
        <f>INDEX([1]ratio_ins!AN:AN,MATCH('001_population_health_zone_zs'!$B$2,[1]ratio_ins!$B:$B,0))*$G102*INDEX([1]ratio_ins!$D:$D,MATCH('001_population_health_zone_zs'!$B102,[1]ratio_ins!$B:$B,0))</f>
        <v>3091.444191</v>
      </c>
      <c r="AR102" s="10">
        <f>INDEX([1]ratio_ins!AO:AO,MATCH('001_population_health_zone_zs'!$B$2,[1]ratio_ins!$B:$B,0))*$G102*INDEX([1]ratio_ins!$D:$D,MATCH('001_population_health_zone_zs'!$B102,[1]ratio_ins!$B:$B,0))</f>
        <v>1478.516787</v>
      </c>
      <c r="AS102" s="13">
        <f>INDEX([1]ratio_ins!AP:AP,MATCH('001_population_health_zone_zs'!$B$2,[1]ratio_ins!$B:$B,0))*$G102*INDEX([1]ratio_ins!$D:$D,MATCH('001_population_health_zone_zs'!$B102,[1]ratio_ins!$B:$B,0))</f>
        <v>55000.824476400005</v>
      </c>
      <c r="AT102" s="10">
        <f>INDEX([1]ratio_ins!AQ:AQ,MATCH('001_population_health_zone_zs'!$B$2,[1]ratio_ins!$B:$B,0))*$G102*INDEX([1]ratio_ins!$D:$D,MATCH('001_population_health_zone_zs'!$B102,[1]ratio_ins!$B:$B,0))</f>
        <v>1344.10617</v>
      </c>
      <c r="AU102" s="10">
        <f>INDEX([1]ratio_ins!AR:AR,MATCH('001_population_health_zone_zs'!$B$2,[1]ratio_ins!$B:$B,0))*$G102*INDEX([1]ratio_ins!$D:$D,MATCH('001_population_health_zone_zs'!$B102,[1]ratio_ins!$B:$B,0))</f>
        <v>806.46370200000001</v>
      </c>
      <c r="AV102" s="10">
        <f>INDEX([1]ratio_ins!AS:AS,MATCH('001_population_health_zone_zs'!$B$2,[1]ratio_ins!$B:$B,0))*$G102*INDEX([1]ratio_ins!$D:$D,MATCH('001_population_health_zone_zs'!$B102,[1]ratio_ins!$B:$B,0))</f>
        <v>403.23185100000001</v>
      </c>
      <c r="AW102" s="10">
        <f>INDEX([1]ratio_ins!AT:AT,MATCH('001_population_health_zone_zs'!$B$2,[1]ratio_ins!$B:$B,0))*$G102*INDEX([1]ratio_ins!$D:$D,MATCH('001_population_health_zone_zs'!$B102,[1]ratio_ins!$B:$B,0))</f>
        <v>268.821234</v>
      </c>
      <c r="AX102" s="13">
        <f>INDEX([1]ratio_ins!AU:AU,MATCH('001_population_health_zone_zs'!$B$2,[1]ratio_ins!$B:$B,0))*$G102*INDEX([1]ratio_ins!$D:$D,MATCH('001_population_health_zone_zs'!$B102,[1]ratio_ins!$B:$B,0))</f>
        <v>2822.6229569999996</v>
      </c>
      <c r="AY102" s="14">
        <f t="shared" si="7"/>
        <v>134410.61699999997</v>
      </c>
      <c r="AZ102" s="15">
        <f t="shared" si="8"/>
        <v>262009</v>
      </c>
      <c r="BA102" s="16">
        <v>252792.86981263879</v>
      </c>
      <c r="BB102" s="10">
        <f t="shared" si="9"/>
        <v>57124.512225000006</v>
      </c>
      <c r="BC102" s="17">
        <f t="shared" si="10"/>
        <v>0.21802500000000002</v>
      </c>
      <c r="BD102" s="10">
        <f t="shared" si="11"/>
        <v>53208.525711000002</v>
      </c>
    </row>
    <row r="103" spans="1:56" x14ac:dyDescent="0.25">
      <c r="A103" s="8" t="s">
        <v>197</v>
      </c>
      <c r="B103" s="8" t="s">
        <v>198</v>
      </c>
      <c r="C103" s="8" t="s">
        <v>246</v>
      </c>
      <c r="D103" s="8" t="s">
        <v>247</v>
      </c>
      <c r="E103" s="8" t="s">
        <v>249</v>
      </c>
      <c r="F103" s="8" t="s">
        <v>250</v>
      </c>
      <c r="G103" s="9">
        <v>302732</v>
      </c>
      <c r="H103" s="10">
        <f>INDEX([1]ratio_ins!F:F,MATCH('001_population_health_zone_zs'!$B$2,[1]ratio_ins!$B:$B,0))*$G103*INDEX([1]ratio_ins!$C:$C,MATCH('001_population_health_zone_zs'!$B103,[1]ratio_ins!$B:$B,0))</f>
        <v>30812.971156000003</v>
      </c>
      <c r="I103" s="10">
        <f>INDEX([1]ratio_ins!G:G,MATCH('001_population_health_zone_zs'!$B$2,[1]ratio_ins!$B:$B,0))*$G103*INDEX([1]ratio_ins!$C:$C,MATCH('001_population_health_zone_zs'!$B103,[1]ratio_ins!$B:$B,0))</f>
        <v>25210.612764000005</v>
      </c>
      <c r="J103" s="10">
        <f>INDEX([1]ratio_ins!H:H,MATCH('001_population_health_zone_zs'!$B$2,[1]ratio_ins!$B:$B,0))*$G103*INDEX([1]ratio_ins!$C:$C,MATCH('001_population_health_zone_zs'!$B103,[1]ratio_ins!$B:$B,0))</f>
        <v>19903.11534</v>
      </c>
      <c r="K103" s="10">
        <f>INDEX([1]ratio_ins!I:I,MATCH('001_population_health_zone_zs'!$B$2,[1]ratio_ins!$B:$B,0))*$G103*INDEX([1]ratio_ins!$C:$C,MATCH('001_population_health_zone_zs'!$B103,[1]ratio_ins!$B:$B,0))</f>
        <v>12236.730172000001</v>
      </c>
      <c r="L103" s="10">
        <f>INDEX([1]ratio_ins!J:J,MATCH('001_population_health_zone_zs'!$B$2,[1]ratio_ins!$B:$B,0))*$G103*INDEX([1]ratio_ins!$C:$C,MATCH('001_population_health_zone_zs'!$B103,[1]ratio_ins!$B:$B,0))</f>
        <v>7342.0381032000005</v>
      </c>
      <c r="M103" s="11">
        <f>INDEX([1]ratio_ins!K:K,MATCH('001_population_health_zone_zs'!$B$2,[1]ratio_ins!$B:$B,0))*$G103*INDEX([1]ratio_ins!$C:$C,MATCH('001_population_health_zone_zs'!$B103,[1]ratio_ins!$B:$B,0))</f>
        <v>83268.737363200009</v>
      </c>
      <c r="N103" s="10">
        <f>INDEX([1]ratio_ins!L:L,MATCH('001_population_health_zone_zs'!$B$2,[1]ratio_ins!$B:$B,0))*$G103*INDEX([1]ratio_ins!$C:$C,MATCH('001_population_health_zone_zs'!$B103,[1]ratio_ins!$B:$B,0))</f>
        <v>4894.6920688000009</v>
      </c>
      <c r="O103" s="10">
        <f>INDEX([1]ratio_ins!M:M,MATCH('001_population_health_zone_zs'!$B$2,[1]ratio_ins!$B:$B,0))*$G103*INDEX([1]ratio_ins!$C:$C,MATCH('001_population_health_zone_zs'!$B103,[1]ratio_ins!$B:$B,0))</f>
        <v>10614.994848000002</v>
      </c>
      <c r="P103" s="10">
        <f>INDEX([1]ratio_ins!N:N,MATCH('001_population_health_zone_zs'!$B$2,[1]ratio_ins!$B:$B,0))*$G103*INDEX([1]ratio_ins!$C:$C,MATCH('001_population_health_zone_zs'!$B103,[1]ratio_ins!$B:$B,0))</f>
        <v>9582.9814600000009</v>
      </c>
      <c r="Q103" s="10">
        <f>INDEX([1]ratio_ins!O:O,MATCH('001_population_health_zone_zs'!$B$2,[1]ratio_ins!$B:$B,0))*$G103*INDEX([1]ratio_ins!$C:$C,MATCH('001_population_health_zone_zs'!$B103,[1]ratio_ins!$B:$B,0))</f>
        <v>8550.9680719999997</v>
      </c>
      <c r="R103" s="10">
        <f>INDEX([1]ratio_ins!P:P,MATCH('001_population_health_zone_zs'!$B$2,[1]ratio_ins!$B:$B,0))*$G103*INDEX([1]ratio_ins!$C:$C,MATCH('001_population_health_zone_zs'!$B103,[1]ratio_ins!$B:$B,0))</f>
        <v>8403.5375880000011</v>
      </c>
      <c r="S103" s="10">
        <f>INDEX([1]ratio_ins!Q:Q,MATCH('001_population_health_zone_zs'!$B$2,[1]ratio_ins!$B:$B,0))*$G103*INDEX([1]ratio_ins!$C:$C,MATCH('001_population_health_zone_zs'!$B103,[1]ratio_ins!$B:$B,0))</f>
        <v>7076.6632320000008</v>
      </c>
      <c r="T103" s="10">
        <f>INDEX([1]ratio_ins!R:R,MATCH('001_population_health_zone_zs'!$B$2,[1]ratio_ins!$B:$B,0))*$G103*INDEX([1]ratio_ins!$C:$C,MATCH('001_population_health_zone_zs'!$B103,[1]ratio_ins!$B:$B,0))</f>
        <v>5012.6364560000011</v>
      </c>
      <c r="U103" s="10">
        <f>INDEX([1]ratio_ins!S:S,MATCH('001_population_health_zone_zs'!$B$2,[1]ratio_ins!$B:$B,0))*$G103*INDEX([1]ratio_ins!$C:$C,MATCH('001_population_health_zone_zs'!$B103,[1]ratio_ins!$B:$B,0))</f>
        <v>3980.6230680000008</v>
      </c>
      <c r="V103" s="10">
        <f>INDEX([1]ratio_ins!T:T,MATCH('001_population_health_zone_zs'!$B$2,[1]ratio_ins!$B:$B,0))*$G103*INDEX([1]ratio_ins!$C:$C,MATCH('001_population_health_zone_zs'!$B103,[1]ratio_ins!$B:$B,0))</f>
        <v>2211.4572600000001</v>
      </c>
      <c r="W103" s="11">
        <f>INDEX([1]ratio_ins!U:U,MATCH('001_population_health_zone_zs'!$B$2,[1]ratio_ins!$B:$B,0))*$G103*INDEX([1]ratio_ins!$C:$C,MATCH('001_population_health_zone_zs'!$B103,[1]ratio_ins!$B:$B,0))</f>
        <v>60328.554052800006</v>
      </c>
      <c r="X103" s="10">
        <f>INDEX([1]ratio_ins!V:V,MATCH('001_population_health_zone_zs'!$B$2,[1]ratio_ins!$B:$B,0))*$G103*INDEX([1]ratio_ins!$C:$C,MATCH('001_population_health_zone_zs'!$B103,[1]ratio_ins!$B:$B,0))</f>
        <v>1769.1658080000002</v>
      </c>
      <c r="Y103" s="10">
        <f>INDEX([1]ratio_ins!W:W,MATCH('001_population_health_zone_zs'!$B$2,[1]ratio_ins!$B:$B,0))*$G103*INDEX([1]ratio_ins!$C:$C,MATCH('001_population_health_zone_zs'!$B103,[1]ratio_ins!$B:$B,0))</f>
        <v>1179.4438720000003</v>
      </c>
      <c r="Z103" s="10">
        <f>INDEX([1]ratio_ins!X:X,MATCH('001_population_health_zone_zs'!$B$2,[1]ratio_ins!$B:$B,0))*$G103*INDEX([1]ratio_ins!$C:$C,MATCH('001_population_health_zone_zs'!$B103,[1]ratio_ins!$B:$B,0))</f>
        <v>589.72193600000014</v>
      </c>
      <c r="AA103" s="10">
        <f>INDEX([1]ratio_ins!Y:Y,MATCH('001_population_health_zone_zs'!$B$2,[1]ratio_ins!$B:$B,0))*$G103*INDEX([1]ratio_ins!$C:$C,MATCH('001_population_health_zone_zs'!$B103,[1]ratio_ins!$B:$B,0))</f>
        <v>294.86096800000007</v>
      </c>
      <c r="AB103" s="11">
        <f>INDEX([1]ratio_ins!Z:Z,MATCH('001_population_health_zone_zs'!$B$2,[1]ratio_ins!$B:$B,0))*$G103*INDEX([1]ratio_ins!$C:$C,MATCH('001_population_health_zone_zs'!$B103,[1]ratio_ins!$B:$B,0))</f>
        <v>3833.1925840000008</v>
      </c>
      <c r="AC103" s="12">
        <f t="shared" si="6"/>
        <v>147430.48400000003</v>
      </c>
      <c r="AD103" s="10">
        <f>INDEX([1]ratio_ins!AA:AA,MATCH('001_population_health_zone_zs'!$B$2,[1]ratio_ins!$B:$B,0))*$G103*INDEX([1]ratio_ins!$D:$D,MATCH('001_population_health_zone_zs'!$B103,[1]ratio_ins!$B:$B,0))</f>
        <v>32613.318360000001</v>
      </c>
      <c r="AE103" s="10">
        <f>INDEX([1]ratio_ins!AB:AB,MATCH('001_population_health_zone_zs'!$B$2,[1]ratio_ins!$B:$B,0))*$G103*INDEX([1]ratio_ins!$D:$D,MATCH('001_population_health_zone_zs'!$B103,[1]ratio_ins!$B:$B,0))</f>
        <v>26867.162268000004</v>
      </c>
      <c r="AF103" s="10">
        <f>INDEX([1]ratio_ins!AC:AC,MATCH('001_population_health_zone_zs'!$B$2,[1]ratio_ins!$B:$B,0))*$G103*INDEX([1]ratio_ins!$D:$D,MATCH('001_population_health_zone_zs'!$B103,[1]ratio_ins!$B:$B,0))</f>
        <v>21276.307691999995</v>
      </c>
      <c r="AG103" s="10">
        <f>INDEX([1]ratio_ins!AD:AD,MATCH('001_population_health_zone_zs'!$B$2,[1]ratio_ins!$B:$B,0))*$G103*INDEX([1]ratio_ins!$D:$D,MATCH('001_population_health_zone_zs'!$B103,[1]ratio_ins!$B:$B,0))</f>
        <v>12890.025828000002</v>
      </c>
      <c r="AH103" s="10">
        <f>INDEX([1]ratio_ins!AE:AE,MATCH('001_population_health_zone_zs'!$B$2,[1]ratio_ins!$B:$B,0))*$G103*INDEX([1]ratio_ins!$D:$D,MATCH('001_population_health_zone_zs'!$B103,[1]ratio_ins!$B:$B,0))</f>
        <v>7734.0154967999997</v>
      </c>
      <c r="AI103" s="13">
        <f>INDEX([1]ratio_ins!AF:AF,MATCH('001_population_health_zone_zs'!$B$2,[1]ratio_ins!$B:$B,0))*$G103*INDEX([1]ratio_ins!$D:$D,MATCH('001_population_health_zone_zs'!$B103,[1]ratio_ins!$B:$B,0))</f>
        <v>88490.803816800006</v>
      </c>
      <c r="AJ103" s="10">
        <f>INDEX([1]ratio_ins!AG:AG,MATCH('001_population_health_zone_zs'!$B$2,[1]ratio_ins!$B:$B,0))*$G103*INDEX([1]ratio_ins!$D:$D,MATCH('001_population_health_zone_zs'!$B103,[1]ratio_ins!$B:$B,0))</f>
        <v>5156.0103312000001</v>
      </c>
      <c r="AK103" s="10">
        <f>INDEX([1]ratio_ins!AH:AH,MATCH('001_population_health_zone_zs'!$B$2,[1]ratio_ins!$B:$B,0))*$G103*INDEX([1]ratio_ins!$D:$D,MATCH('001_population_health_zone_zs'!$B103,[1]ratio_ins!$B:$B,0))</f>
        <v>11492.312184</v>
      </c>
      <c r="AL103" s="10">
        <f>INDEX([1]ratio_ins!AI:AI,MATCH('001_population_health_zone_zs'!$B$2,[1]ratio_ins!$B:$B,0))*$G103*INDEX([1]ratio_ins!$D:$D,MATCH('001_population_health_zone_zs'!$B103,[1]ratio_ins!$B:$B,0))</f>
        <v>10871.10612</v>
      </c>
      <c r="AM103" s="10">
        <f>INDEX([1]ratio_ins!AJ:AJ,MATCH('001_population_health_zone_zs'!$B$2,[1]ratio_ins!$B:$B,0))*$G103*INDEX([1]ratio_ins!$D:$D,MATCH('001_population_health_zone_zs'!$B103,[1]ratio_ins!$B:$B,0))</f>
        <v>9939.2970240000013</v>
      </c>
      <c r="AN103" s="10">
        <f>INDEX([1]ratio_ins!AK:AK,MATCH('001_population_health_zone_zs'!$B$2,[1]ratio_ins!$B:$B,0))*$G103*INDEX([1]ratio_ins!$D:$D,MATCH('001_population_health_zone_zs'!$B103,[1]ratio_ins!$B:$B,0))</f>
        <v>9318.0909599999995</v>
      </c>
      <c r="AO103" s="10">
        <f>INDEX([1]ratio_ins!AL:AL,MATCH('001_population_health_zone_zs'!$B$2,[1]ratio_ins!$B:$B,0))*$G103*INDEX([1]ratio_ins!$D:$D,MATCH('001_population_health_zone_zs'!$B103,[1]ratio_ins!$B:$B,0))</f>
        <v>6988.5682199999992</v>
      </c>
      <c r="AP103" s="10">
        <f>INDEX([1]ratio_ins!AM:AM,MATCH('001_population_health_zone_zs'!$B$2,[1]ratio_ins!$B:$B,0))*$G103*INDEX([1]ratio_ins!$D:$D,MATCH('001_population_health_zone_zs'!$B103,[1]ratio_ins!$B:$B,0))</f>
        <v>4503.7439639999993</v>
      </c>
      <c r="AQ103" s="10">
        <f>INDEX([1]ratio_ins!AN:AN,MATCH('001_population_health_zone_zs'!$B$2,[1]ratio_ins!$B:$B,0))*$G103*INDEX([1]ratio_ins!$D:$D,MATCH('001_population_health_zone_zs'!$B103,[1]ratio_ins!$B:$B,0))</f>
        <v>3571.9348680000003</v>
      </c>
      <c r="AR103" s="10">
        <f>INDEX([1]ratio_ins!AO:AO,MATCH('001_population_health_zone_zs'!$B$2,[1]ratio_ins!$B:$B,0))*$G103*INDEX([1]ratio_ins!$D:$D,MATCH('001_population_health_zone_zs'!$B103,[1]ratio_ins!$B:$B,0))</f>
        <v>1708.3166760000001</v>
      </c>
      <c r="AS103" s="13">
        <f>INDEX([1]ratio_ins!AP:AP,MATCH('001_population_health_zone_zs'!$B$2,[1]ratio_ins!$B:$B,0))*$G103*INDEX([1]ratio_ins!$D:$D,MATCH('001_population_health_zone_zs'!$B103,[1]ratio_ins!$B:$B,0))</f>
        <v>63549.3803472</v>
      </c>
      <c r="AT103" s="10">
        <f>INDEX([1]ratio_ins!AQ:AQ,MATCH('001_population_health_zone_zs'!$B$2,[1]ratio_ins!$B:$B,0))*$G103*INDEX([1]ratio_ins!$D:$D,MATCH('001_population_health_zone_zs'!$B103,[1]ratio_ins!$B:$B,0))</f>
        <v>1553.0151600000002</v>
      </c>
      <c r="AU103" s="10">
        <f>INDEX([1]ratio_ins!AR:AR,MATCH('001_population_health_zone_zs'!$B$2,[1]ratio_ins!$B:$B,0))*$G103*INDEX([1]ratio_ins!$D:$D,MATCH('001_population_health_zone_zs'!$B103,[1]ratio_ins!$B:$B,0))</f>
        <v>931.80909600000007</v>
      </c>
      <c r="AV103" s="10">
        <f>INDEX([1]ratio_ins!AS:AS,MATCH('001_population_health_zone_zs'!$B$2,[1]ratio_ins!$B:$B,0))*$G103*INDEX([1]ratio_ins!$D:$D,MATCH('001_population_health_zone_zs'!$B103,[1]ratio_ins!$B:$B,0))</f>
        <v>465.90454800000003</v>
      </c>
      <c r="AW103" s="10">
        <f>INDEX([1]ratio_ins!AT:AT,MATCH('001_population_health_zone_zs'!$B$2,[1]ratio_ins!$B:$B,0))*$G103*INDEX([1]ratio_ins!$D:$D,MATCH('001_population_health_zone_zs'!$B103,[1]ratio_ins!$B:$B,0))</f>
        <v>310.60303200000004</v>
      </c>
      <c r="AX103" s="13">
        <f>INDEX([1]ratio_ins!AU:AU,MATCH('001_population_health_zone_zs'!$B$2,[1]ratio_ins!$B:$B,0))*$G103*INDEX([1]ratio_ins!$D:$D,MATCH('001_population_health_zone_zs'!$B103,[1]ratio_ins!$B:$B,0))</f>
        <v>3261.3318359999998</v>
      </c>
      <c r="AY103" s="14">
        <f t="shared" si="7"/>
        <v>155301.516</v>
      </c>
      <c r="AZ103" s="15">
        <f t="shared" si="8"/>
        <v>302732</v>
      </c>
      <c r="BA103" s="16">
        <v>292082.98270082864</v>
      </c>
      <c r="BB103" s="10">
        <f t="shared" si="9"/>
        <v>66003.1443</v>
      </c>
      <c r="BC103" s="17">
        <f t="shared" si="10"/>
        <v>0.218025</v>
      </c>
      <c r="BD103" s="10">
        <f t="shared" si="11"/>
        <v>61478.51182800001</v>
      </c>
    </row>
    <row r="104" spans="1:56" x14ac:dyDescent="0.25">
      <c r="A104" s="8" t="s">
        <v>197</v>
      </c>
      <c r="B104" s="8" t="s">
        <v>198</v>
      </c>
      <c r="C104" s="8" t="s">
        <v>246</v>
      </c>
      <c r="D104" s="8" t="s">
        <v>247</v>
      </c>
      <c r="E104" s="8" t="s">
        <v>251</v>
      </c>
      <c r="F104" s="8" t="s">
        <v>252</v>
      </c>
      <c r="G104" s="9">
        <v>189426</v>
      </c>
      <c r="H104" s="10">
        <f>INDEX([1]ratio_ins!F:F,MATCH('001_population_health_zone_zs'!$B$2,[1]ratio_ins!$B:$B,0))*$G104*INDEX([1]ratio_ins!$C:$C,MATCH('001_population_health_zone_zs'!$B104,[1]ratio_ins!$B:$B,0))</f>
        <v>19280.346558000001</v>
      </c>
      <c r="I104" s="10">
        <f>INDEX([1]ratio_ins!G:G,MATCH('001_population_health_zone_zs'!$B$2,[1]ratio_ins!$B:$B,0))*$G104*INDEX([1]ratio_ins!$C:$C,MATCH('001_population_health_zone_zs'!$B104,[1]ratio_ins!$B:$B,0))</f>
        <v>15774.829002000002</v>
      </c>
      <c r="J104" s="10">
        <f>INDEX([1]ratio_ins!H:H,MATCH('001_population_health_zone_zs'!$B$2,[1]ratio_ins!$B:$B,0))*$G104*INDEX([1]ratio_ins!$C:$C,MATCH('001_population_health_zone_zs'!$B104,[1]ratio_ins!$B:$B,0))</f>
        <v>12453.812370000001</v>
      </c>
      <c r="K104" s="10">
        <f>INDEX([1]ratio_ins!I:I,MATCH('001_population_health_zone_zs'!$B$2,[1]ratio_ins!$B:$B,0))*$G104*INDEX([1]ratio_ins!$C:$C,MATCH('001_population_health_zone_zs'!$B104,[1]ratio_ins!$B:$B,0))</f>
        <v>7656.7883460000012</v>
      </c>
      <c r="L104" s="10">
        <f>INDEX([1]ratio_ins!J:J,MATCH('001_population_health_zone_zs'!$B$2,[1]ratio_ins!$B:$B,0))*$G104*INDEX([1]ratio_ins!$C:$C,MATCH('001_population_health_zone_zs'!$B104,[1]ratio_ins!$B:$B,0))</f>
        <v>4594.0730076</v>
      </c>
      <c r="M104" s="11">
        <f>INDEX([1]ratio_ins!K:K,MATCH('001_population_health_zone_zs'!$B$2,[1]ratio_ins!$B:$B,0))*$G104*INDEX([1]ratio_ins!$C:$C,MATCH('001_population_health_zone_zs'!$B104,[1]ratio_ins!$B:$B,0))</f>
        <v>52103.060937600007</v>
      </c>
      <c r="N104" s="10">
        <f>INDEX([1]ratio_ins!L:L,MATCH('001_population_health_zone_zs'!$B$2,[1]ratio_ins!$B:$B,0))*$G104*INDEX([1]ratio_ins!$C:$C,MATCH('001_population_health_zone_zs'!$B104,[1]ratio_ins!$B:$B,0))</f>
        <v>3062.7153384000003</v>
      </c>
      <c r="O104" s="10">
        <f>INDEX([1]ratio_ins!M:M,MATCH('001_population_health_zone_zs'!$B$2,[1]ratio_ins!$B:$B,0))*$G104*INDEX([1]ratio_ins!$C:$C,MATCH('001_population_health_zone_zs'!$B104,[1]ratio_ins!$B:$B,0))</f>
        <v>6642.0332640000015</v>
      </c>
      <c r="P104" s="10">
        <f>INDEX([1]ratio_ins!N:N,MATCH('001_population_health_zone_zs'!$B$2,[1]ratio_ins!$B:$B,0))*$G104*INDEX([1]ratio_ins!$C:$C,MATCH('001_population_health_zone_zs'!$B104,[1]ratio_ins!$B:$B,0))</f>
        <v>5996.2800300000008</v>
      </c>
      <c r="Q104" s="10">
        <f>INDEX([1]ratio_ins!O:O,MATCH('001_population_health_zone_zs'!$B$2,[1]ratio_ins!$B:$B,0))*$G104*INDEX([1]ratio_ins!$C:$C,MATCH('001_population_health_zone_zs'!$B104,[1]ratio_ins!$B:$B,0))</f>
        <v>5350.5267960000001</v>
      </c>
      <c r="R104" s="10">
        <f>INDEX([1]ratio_ins!P:P,MATCH('001_population_health_zone_zs'!$B$2,[1]ratio_ins!$B:$B,0))*$G104*INDEX([1]ratio_ins!$C:$C,MATCH('001_population_health_zone_zs'!$B104,[1]ratio_ins!$B:$B,0))</f>
        <v>5258.276334000001</v>
      </c>
      <c r="S104" s="10">
        <f>INDEX([1]ratio_ins!Q:Q,MATCH('001_population_health_zone_zs'!$B$2,[1]ratio_ins!$B:$B,0))*$G104*INDEX([1]ratio_ins!$C:$C,MATCH('001_population_health_zone_zs'!$B104,[1]ratio_ins!$B:$B,0))</f>
        <v>4428.0221760000004</v>
      </c>
      <c r="T104" s="10">
        <f>INDEX([1]ratio_ins!R:R,MATCH('001_population_health_zone_zs'!$B$2,[1]ratio_ins!$B:$B,0))*$G104*INDEX([1]ratio_ins!$C:$C,MATCH('001_population_health_zone_zs'!$B104,[1]ratio_ins!$B:$B,0))</f>
        <v>3136.5157080000004</v>
      </c>
      <c r="U104" s="10">
        <f>INDEX([1]ratio_ins!S:S,MATCH('001_population_health_zone_zs'!$B$2,[1]ratio_ins!$B:$B,0))*$G104*INDEX([1]ratio_ins!$C:$C,MATCH('001_population_health_zone_zs'!$B104,[1]ratio_ins!$B:$B,0))</f>
        <v>2490.7624740000006</v>
      </c>
      <c r="V104" s="10">
        <f>INDEX([1]ratio_ins!T:T,MATCH('001_population_health_zone_zs'!$B$2,[1]ratio_ins!$B:$B,0))*$G104*INDEX([1]ratio_ins!$C:$C,MATCH('001_population_health_zone_zs'!$B104,[1]ratio_ins!$B:$B,0))</f>
        <v>1383.75693</v>
      </c>
      <c r="W104" s="11">
        <f>INDEX([1]ratio_ins!U:U,MATCH('001_population_health_zone_zs'!$B$2,[1]ratio_ins!$B:$B,0))*$G104*INDEX([1]ratio_ins!$C:$C,MATCH('001_population_health_zone_zs'!$B104,[1]ratio_ins!$B:$B,0))</f>
        <v>37748.889050400001</v>
      </c>
      <c r="X104" s="10">
        <f>INDEX([1]ratio_ins!V:V,MATCH('001_population_health_zone_zs'!$B$2,[1]ratio_ins!$B:$B,0))*$G104*INDEX([1]ratio_ins!$C:$C,MATCH('001_population_health_zone_zs'!$B104,[1]ratio_ins!$B:$B,0))</f>
        <v>1107.0055440000001</v>
      </c>
      <c r="Y104" s="10">
        <f>INDEX([1]ratio_ins!W:W,MATCH('001_population_health_zone_zs'!$B$2,[1]ratio_ins!$B:$B,0))*$G104*INDEX([1]ratio_ins!$C:$C,MATCH('001_population_health_zone_zs'!$B104,[1]ratio_ins!$B:$B,0))</f>
        <v>738.0036960000001</v>
      </c>
      <c r="Z104" s="10">
        <f>INDEX([1]ratio_ins!X:X,MATCH('001_population_health_zone_zs'!$B$2,[1]ratio_ins!$B:$B,0))*$G104*INDEX([1]ratio_ins!$C:$C,MATCH('001_population_health_zone_zs'!$B104,[1]ratio_ins!$B:$B,0))</f>
        <v>369.00184800000005</v>
      </c>
      <c r="AA104" s="10">
        <f>INDEX([1]ratio_ins!Y:Y,MATCH('001_population_health_zone_zs'!$B$2,[1]ratio_ins!$B:$B,0))*$G104*INDEX([1]ratio_ins!$C:$C,MATCH('001_population_health_zone_zs'!$B104,[1]ratio_ins!$B:$B,0))</f>
        <v>184.50092400000003</v>
      </c>
      <c r="AB104" s="11">
        <f>INDEX([1]ratio_ins!Z:Z,MATCH('001_population_health_zone_zs'!$B$2,[1]ratio_ins!$B:$B,0))*$G104*INDEX([1]ratio_ins!$C:$C,MATCH('001_population_health_zone_zs'!$B104,[1]ratio_ins!$B:$B,0))</f>
        <v>2398.5120120000001</v>
      </c>
      <c r="AC104" s="12">
        <f t="shared" si="6"/>
        <v>92250.462000000014</v>
      </c>
      <c r="AD104" s="10">
        <f>INDEX([1]ratio_ins!AA:AA,MATCH('001_population_health_zone_zs'!$B$2,[1]ratio_ins!$B:$B,0))*$G104*INDEX([1]ratio_ins!$D:$D,MATCH('001_population_health_zone_zs'!$B104,[1]ratio_ins!$B:$B,0))</f>
        <v>20406.862980000002</v>
      </c>
      <c r="AE104" s="10">
        <f>INDEX([1]ratio_ins!AB:AB,MATCH('001_population_health_zone_zs'!$B$2,[1]ratio_ins!$B:$B,0))*$G104*INDEX([1]ratio_ins!$D:$D,MATCH('001_population_health_zone_zs'!$B104,[1]ratio_ins!$B:$B,0))</f>
        <v>16811.368074000002</v>
      </c>
      <c r="AF104" s="10">
        <f>INDEX([1]ratio_ins!AC:AC,MATCH('001_population_health_zone_zs'!$B$2,[1]ratio_ins!$B:$B,0))*$G104*INDEX([1]ratio_ins!$D:$D,MATCH('001_population_health_zone_zs'!$B104,[1]ratio_ins!$B:$B,0))</f>
        <v>13313.048706</v>
      </c>
      <c r="AG104" s="10">
        <f>INDEX([1]ratio_ins!AD:AD,MATCH('001_population_health_zone_zs'!$B$2,[1]ratio_ins!$B:$B,0))*$G104*INDEX([1]ratio_ins!$D:$D,MATCH('001_population_health_zone_zs'!$B104,[1]ratio_ins!$B:$B,0))</f>
        <v>8065.5696539999999</v>
      </c>
      <c r="AH104" s="10">
        <f>INDEX([1]ratio_ins!AE:AE,MATCH('001_population_health_zone_zs'!$B$2,[1]ratio_ins!$B:$B,0))*$G104*INDEX([1]ratio_ins!$D:$D,MATCH('001_population_health_zone_zs'!$B104,[1]ratio_ins!$B:$B,0))</f>
        <v>4839.3417923999996</v>
      </c>
      <c r="AI104" s="13">
        <f>INDEX([1]ratio_ins!AF:AF,MATCH('001_population_health_zone_zs'!$B$2,[1]ratio_ins!$B:$B,0))*$G104*INDEX([1]ratio_ins!$D:$D,MATCH('001_population_health_zone_zs'!$B104,[1]ratio_ins!$B:$B,0))</f>
        <v>55370.621552399993</v>
      </c>
      <c r="AJ104" s="10">
        <f>INDEX([1]ratio_ins!AG:AG,MATCH('001_population_health_zone_zs'!$B$2,[1]ratio_ins!$B:$B,0))*$G104*INDEX([1]ratio_ins!$D:$D,MATCH('001_population_health_zone_zs'!$B104,[1]ratio_ins!$B:$B,0))</f>
        <v>3226.2278615999999</v>
      </c>
      <c r="AK104" s="10">
        <f>INDEX([1]ratio_ins!AH:AH,MATCH('001_population_health_zone_zs'!$B$2,[1]ratio_ins!$B:$B,0))*$G104*INDEX([1]ratio_ins!$D:$D,MATCH('001_population_health_zone_zs'!$B104,[1]ratio_ins!$B:$B,0))</f>
        <v>7190.9898120000007</v>
      </c>
      <c r="AL104" s="10">
        <f>INDEX([1]ratio_ins!AI:AI,MATCH('001_population_health_zone_zs'!$B$2,[1]ratio_ins!$B:$B,0))*$G104*INDEX([1]ratio_ins!$D:$D,MATCH('001_population_health_zone_zs'!$B104,[1]ratio_ins!$B:$B,0))</f>
        <v>6802.2876600000009</v>
      </c>
      <c r="AM104" s="10">
        <f>INDEX([1]ratio_ins!AJ:AJ,MATCH('001_population_health_zone_zs'!$B$2,[1]ratio_ins!$B:$B,0))*$G104*INDEX([1]ratio_ins!$D:$D,MATCH('001_population_health_zone_zs'!$B104,[1]ratio_ins!$B:$B,0))</f>
        <v>6219.2344320000011</v>
      </c>
      <c r="AN104" s="10">
        <f>INDEX([1]ratio_ins!AK:AK,MATCH('001_population_health_zone_zs'!$B$2,[1]ratio_ins!$B:$B,0))*$G104*INDEX([1]ratio_ins!$D:$D,MATCH('001_population_health_zone_zs'!$B104,[1]ratio_ins!$B:$B,0))</f>
        <v>5830.5322799999994</v>
      </c>
      <c r="AO104" s="10">
        <f>INDEX([1]ratio_ins!AL:AL,MATCH('001_population_health_zone_zs'!$B$2,[1]ratio_ins!$B:$B,0))*$G104*INDEX([1]ratio_ins!$D:$D,MATCH('001_population_health_zone_zs'!$B104,[1]ratio_ins!$B:$B,0))</f>
        <v>4372.8992100000005</v>
      </c>
      <c r="AP104" s="10">
        <f>INDEX([1]ratio_ins!AM:AM,MATCH('001_population_health_zone_zs'!$B$2,[1]ratio_ins!$B:$B,0))*$G104*INDEX([1]ratio_ins!$D:$D,MATCH('001_population_health_zone_zs'!$B104,[1]ratio_ins!$B:$B,0))</f>
        <v>2818.0906019999998</v>
      </c>
      <c r="AQ104" s="10">
        <f>INDEX([1]ratio_ins!AN:AN,MATCH('001_population_health_zone_zs'!$B$2,[1]ratio_ins!$B:$B,0))*$G104*INDEX([1]ratio_ins!$D:$D,MATCH('001_population_health_zone_zs'!$B104,[1]ratio_ins!$B:$B,0))</f>
        <v>2235.037374</v>
      </c>
      <c r="AR104" s="10">
        <f>INDEX([1]ratio_ins!AO:AO,MATCH('001_population_health_zone_zs'!$B$2,[1]ratio_ins!$B:$B,0))*$G104*INDEX([1]ratio_ins!$D:$D,MATCH('001_population_health_zone_zs'!$B104,[1]ratio_ins!$B:$B,0))</f>
        <v>1068.930918</v>
      </c>
      <c r="AS104" s="13">
        <f>INDEX([1]ratio_ins!AP:AP,MATCH('001_population_health_zone_zs'!$B$2,[1]ratio_ins!$B:$B,0))*$G104*INDEX([1]ratio_ins!$D:$D,MATCH('001_population_health_zone_zs'!$B104,[1]ratio_ins!$B:$B,0))</f>
        <v>39764.2301496</v>
      </c>
      <c r="AT104" s="10">
        <f>INDEX([1]ratio_ins!AQ:AQ,MATCH('001_population_health_zone_zs'!$B$2,[1]ratio_ins!$B:$B,0))*$G104*INDEX([1]ratio_ins!$D:$D,MATCH('001_population_health_zone_zs'!$B104,[1]ratio_ins!$B:$B,0))</f>
        <v>971.75538000000006</v>
      </c>
      <c r="AU104" s="10">
        <f>INDEX([1]ratio_ins!AR:AR,MATCH('001_population_health_zone_zs'!$B$2,[1]ratio_ins!$B:$B,0))*$G104*INDEX([1]ratio_ins!$D:$D,MATCH('001_population_health_zone_zs'!$B104,[1]ratio_ins!$B:$B,0))</f>
        <v>583.05322799999999</v>
      </c>
      <c r="AV104" s="10">
        <f>INDEX([1]ratio_ins!AS:AS,MATCH('001_population_health_zone_zs'!$B$2,[1]ratio_ins!$B:$B,0))*$G104*INDEX([1]ratio_ins!$D:$D,MATCH('001_population_health_zone_zs'!$B104,[1]ratio_ins!$B:$B,0))</f>
        <v>291.526614</v>
      </c>
      <c r="AW104" s="10">
        <f>INDEX([1]ratio_ins!AT:AT,MATCH('001_population_health_zone_zs'!$B$2,[1]ratio_ins!$B:$B,0))*$G104*INDEX([1]ratio_ins!$D:$D,MATCH('001_population_health_zone_zs'!$B104,[1]ratio_ins!$B:$B,0))</f>
        <v>194.35107600000003</v>
      </c>
      <c r="AX104" s="13">
        <f>INDEX([1]ratio_ins!AU:AU,MATCH('001_population_health_zone_zs'!$B$2,[1]ratio_ins!$B:$B,0))*$G104*INDEX([1]ratio_ins!$D:$D,MATCH('001_population_health_zone_zs'!$B104,[1]ratio_ins!$B:$B,0))</f>
        <v>2040.6862979999999</v>
      </c>
      <c r="AY104" s="14">
        <f t="shared" si="7"/>
        <v>97175.537999999986</v>
      </c>
      <c r="AZ104" s="15">
        <f t="shared" si="8"/>
        <v>189426</v>
      </c>
      <c r="BA104" s="16">
        <v>182762.8101858435</v>
      </c>
      <c r="BB104" s="10">
        <f t="shared" si="9"/>
        <v>41299.603650000005</v>
      </c>
      <c r="BC104" s="17">
        <f t="shared" si="10"/>
        <v>0.21802500000000002</v>
      </c>
      <c r="BD104" s="10">
        <f t="shared" si="11"/>
        <v>38468.442654000006</v>
      </c>
    </row>
    <row r="105" spans="1:56" x14ac:dyDescent="0.25">
      <c r="A105" s="8" t="s">
        <v>197</v>
      </c>
      <c r="B105" s="8" t="s">
        <v>198</v>
      </c>
      <c r="C105" s="8" t="s">
        <v>246</v>
      </c>
      <c r="D105" s="8" t="s">
        <v>247</v>
      </c>
      <c r="E105" s="8" t="s">
        <v>253</v>
      </c>
      <c r="F105" s="8" t="s">
        <v>254</v>
      </c>
      <c r="G105" s="9">
        <v>336088</v>
      </c>
      <c r="H105" s="10">
        <f>INDEX([1]ratio_ins!F:F,MATCH('001_population_health_zone_zs'!$B$2,[1]ratio_ins!$B:$B,0))*$G105*INDEX([1]ratio_ins!$C:$C,MATCH('001_population_health_zone_zs'!$B105,[1]ratio_ins!$B:$B,0))</f>
        <v>34208.044904000002</v>
      </c>
      <c r="I105" s="10">
        <f>INDEX([1]ratio_ins!G:G,MATCH('001_population_health_zone_zs'!$B$2,[1]ratio_ins!$B:$B,0))*$G105*INDEX([1]ratio_ins!$C:$C,MATCH('001_population_health_zone_zs'!$B105,[1]ratio_ins!$B:$B,0))</f>
        <v>27988.400376000005</v>
      </c>
      <c r="J105" s="10">
        <f>INDEX([1]ratio_ins!H:H,MATCH('001_population_health_zone_zs'!$B$2,[1]ratio_ins!$B:$B,0))*$G105*INDEX([1]ratio_ins!$C:$C,MATCH('001_population_health_zone_zs'!$B105,[1]ratio_ins!$B:$B,0))</f>
        <v>22096.105560000004</v>
      </c>
      <c r="K105" s="10">
        <f>INDEX([1]ratio_ins!I:I,MATCH('001_population_health_zone_zs'!$B$2,[1]ratio_ins!$B:$B,0))*$G105*INDEX([1]ratio_ins!$C:$C,MATCH('001_population_health_zone_zs'!$B105,[1]ratio_ins!$B:$B,0))</f>
        <v>13585.013048000001</v>
      </c>
      <c r="L105" s="10">
        <f>INDEX([1]ratio_ins!J:J,MATCH('001_population_health_zone_zs'!$B$2,[1]ratio_ins!$B:$B,0))*$G105*INDEX([1]ratio_ins!$C:$C,MATCH('001_population_health_zone_zs'!$B105,[1]ratio_ins!$B:$B,0))</f>
        <v>8151.0078287999995</v>
      </c>
      <c r="M105" s="11">
        <f>INDEX([1]ratio_ins!K:K,MATCH('001_population_health_zone_zs'!$B$2,[1]ratio_ins!$B:$B,0))*$G105*INDEX([1]ratio_ins!$C:$C,MATCH('001_population_health_zone_zs'!$B105,[1]ratio_ins!$B:$B,0))</f>
        <v>92443.558668800004</v>
      </c>
      <c r="N105" s="10">
        <f>INDEX([1]ratio_ins!L:L,MATCH('001_population_health_zone_zs'!$B$2,[1]ratio_ins!$B:$B,0))*$G105*INDEX([1]ratio_ins!$C:$C,MATCH('001_population_health_zone_zs'!$B105,[1]ratio_ins!$B:$B,0))</f>
        <v>5434.0052192000003</v>
      </c>
      <c r="O105" s="10">
        <f>INDEX([1]ratio_ins!M:M,MATCH('001_population_health_zone_zs'!$B$2,[1]ratio_ins!$B:$B,0))*$G105*INDEX([1]ratio_ins!$C:$C,MATCH('001_population_health_zone_zs'!$B105,[1]ratio_ins!$B:$B,0))</f>
        <v>11784.589632000003</v>
      </c>
      <c r="P105" s="10">
        <f>INDEX([1]ratio_ins!N:N,MATCH('001_population_health_zone_zs'!$B$2,[1]ratio_ins!$B:$B,0))*$G105*INDEX([1]ratio_ins!$C:$C,MATCH('001_population_health_zone_zs'!$B105,[1]ratio_ins!$B:$B,0))</f>
        <v>10638.865640000002</v>
      </c>
      <c r="Q105" s="10">
        <f>INDEX([1]ratio_ins!O:O,MATCH('001_population_health_zone_zs'!$B$2,[1]ratio_ins!$B:$B,0))*$G105*INDEX([1]ratio_ins!$C:$C,MATCH('001_population_health_zone_zs'!$B105,[1]ratio_ins!$B:$B,0))</f>
        <v>9493.1416480000007</v>
      </c>
      <c r="R105" s="10">
        <f>INDEX([1]ratio_ins!P:P,MATCH('001_population_health_zone_zs'!$B$2,[1]ratio_ins!$B:$B,0))*$G105*INDEX([1]ratio_ins!$C:$C,MATCH('001_population_health_zone_zs'!$B105,[1]ratio_ins!$B:$B,0))</f>
        <v>9329.4667920000011</v>
      </c>
      <c r="S105" s="10">
        <f>INDEX([1]ratio_ins!Q:Q,MATCH('001_population_health_zone_zs'!$B$2,[1]ratio_ins!$B:$B,0))*$G105*INDEX([1]ratio_ins!$C:$C,MATCH('001_population_health_zone_zs'!$B105,[1]ratio_ins!$B:$B,0))</f>
        <v>7856.3930880000007</v>
      </c>
      <c r="T105" s="10">
        <f>INDEX([1]ratio_ins!R:R,MATCH('001_population_health_zone_zs'!$B$2,[1]ratio_ins!$B:$B,0))*$G105*INDEX([1]ratio_ins!$C:$C,MATCH('001_population_health_zone_zs'!$B105,[1]ratio_ins!$B:$B,0))</f>
        <v>5564.9451040000004</v>
      </c>
      <c r="U105" s="10">
        <f>INDEX([1]ratio_ins!S:S,MATCH('001_population_health_zone_zs'!$B$2,[1]ratio_ins!$B:$B,0))*$G105*INDEX([1]ratio_ins!$C:$C,MATCH('001_population_health_zone_zs'!$B105,[1]ratio_ins!$B:$B,0))</f>
        <v>4419.2211120000002</v>
      </c>
      <c r="V105" s="10">
        <f>INDEX([1]ratio_ins!T:T,MATCH('001_population_health_zone_zs'!$B$2,[1]ratio_ins!$B:$B,0))*$G105*INDEX([1]ratio_ins!$C:$C,MATCH('001_population_health_zone_zs'!$B105,[1]ratio_ins!$B:$B,0))</f>
        <v>2455.12284</v>
      </c>
      <c r="W105" s="11">
        <f>INDEX([1]ratio_ins!U:U,MATCH('001_population_health_zone_zs'!$B$2,[1]ratio_ins!$B:$B,0))*$G105*INDEX([1]ratio_ins!$C:$C,MATCH('001_population_health_zone_zs'!$B105,[1]ratio_ins!$B:$B,0))</f>
        <v>66975.751075200009</v>
      </c>
      <c r="X105" s="10">
        <f>INDEX([1]ratio_ins!V:V,MATCH('001_population_health_zone_zs'!$B$2,[1]ratio_ins!$B:$B,0))*$G105*INDEX([1]ratio_ins!$C:$C,MATCH('001_population_health_zone_zs'!$B105,[1]ratio_ins!$B:$B,0))</f>
        <v>1964.0982720000002</v>
      </c>
      <c r="Y105" s="10">
        <f>INDEX([1]ratio_ins!W:W,MATCH('001_population_health_zone_zs'!$B$2,[1]ratio_ins!$B:$B,0))*$G105*INDEX([1]ratio_ins!$C:$C,MATCH('001_population_health_zone_zs'!$B105,[1]ratio_ins!$B:$B,0))</f>
        <v>1309.3988480000003</v>
      </c>
      <c r="Z105" s="10">
        <f>INDEX([1]ratio_ins!X:X,MATCH('001_population_health_zone_zs'!$B$2,[1]ratio_ins!$B:$B,0))*$G105*INDEX([1]ratio_ins!$C:$C,MATCH('001_population_health_zone_zs'!$B105,[1]ratio_ins!$B:$B,0))</f>
        <v>654.69942400000014</v>
      </c>
      <c r="AA105" s="10">
        <f>INDEX([1]ratio_ins!Y:Y,MATCH('001_population_health_zone_zs'!$B$2,[1]ratio_ins!$B:$B,0))*$G105*INDEX([1]ratio_ins!$C:$C,MATCH('001_population_health_zone_zs'!$B105,[1]ratio_ins!$B:$B,0))</f>
        <v>327.34971200000007</v>
      </c>
      <c r="AB105" s="11">
        <f>INDEX([1]ratio_ins!Z:Z,MATCH('001_population_health_zone_zs'!$B$2,[1]ratio_ins!$B:$B,0))*$G105*INDEX([1]ratio_ins!$C:$C,MATCH('001_population_health_zone_zs'!$B105,[1]ratio_ins!$B:$B,0))</f>
        <v>4255.5462560000005</v>
      </c>
      <c r="AC105" s="12">
        <f t="shared" si="6"/>
        <v>163674.85600000003</v>
      </c>
      <c r="AD105" s="10">
        <f>INDEX([1]ratio_ins!AA:AA,MATCH('001_population_health_zone_zs'!$B$2,[1]ratio_ins!$B:$B,0))*$G105*INDEX([1]ratio_ins!$D:$D,MATCH('001_population_health_zone_zs'!$B105,[1]ratio_ins!$B:$B,0))</f>
        <v>36206.760239999996</v>
      </c>
      <c r="AE105" s="10">
        <f>INDEX([1]ratio_ins!AB:AB,MATCH('001_population_health_zone_zs'!$B$2,[1]ratio_ins!$B:$B,0))*$G105*INDEX([1]ratio_ins!$D:$D,MATCH('001_population_health_zone_zs'!$B105,[1]ratio_ins!$B:$B,0))</f>
        <v>29827.473912000001</v>
      </c>
      <c r="AF105" s="10">
        <f>INDEX([1]ratio_ins!AC:AC,MATCH('001_population_health_zone_zs'!$B$2,[1]ratio_ins!$B:$B,0))*$G105*INDEX([1]ratio_ins!$D:$D,MATCH('001_population_health_zone_zs'!$B105,[1]ratio_ins!$B:$B,0))</f>
        <v>23620.600727999998</v>
      </c>
      <c r="AG105" s="10">
        <f>INDEX([1]ratio_ins!AD:AD,MATCH('001_population_health_zone_zs'!$B$2,[1]ratio_ins!$B:$B,0))*$G105*INDEX([1]ratio_ins!$D:$D,MATCH('001_population_health_zone_zs'!$B105,[1]ratio_ins!$B:$B,0))</f>
        <v>14310.290952000001</v>
      </c>
      <c r="AH105" s="10">
        <f>INDEX([1]ratio_ins!AE:AE,MATCH('001_population_health_zone_zs'!$B$2,[1]ratio_ins!$B:$B,0))*$G105*INDEX([1]ratio_ins!$D:$D,MATCH('001_population_health_zone_zs'!$B105,[1]ratio_ins!$B:$B,0))</f>
        <v>8586.1745711999993</v>
      </c>
      <c r="AI105" s="13">
        <f>INDEX([1]ratio_ins!AF:AF,MATCH('001_population_health_zone_zs'!$B$2,[1]ratio_ins!$B:$B,0))*$G105*INDEX([1]ratio_ins!$D:$D,MATCH('001_population_health_zone_zs'!$B105,[1]ratio_ins!$B:$B,0))</f>
        <v>98241.009451200007</v>
      </c>
      <c r="AJ105" s="10">
        <f>INDEX([1]ratio_ins!AG:AG,MATCH('001_population_health_zone_zs'!$B$2,[1]ratio_ins!$B:$B,0))*$G105*INDEX([1]ratio_ins!$D:$D,MATCH('001_population_health_zone_zs'!$B105,[1]ratio_ins!$B:$B,0))</f>
        <v>5724.1163808000001</v>
      </c>
      <c r="AK105" s="10">
        <f>INDEX([1]ratio_ins!AH:AH,MATCH('001_population_health_zone_zs'!$B$2,[1]ratio_ins!$B:$B,0))*$G105*INDEX([1]ratio_ins!$D:$D,MATCH('001_population_health_zone_zs'!$B105,[1]ratio_ins!$B:$B,0))</f>
        <v>12758.572656000002</v>
      </c>
      <c r="AL105" s="10">
        <f>INDEX([1]ratio_ins!AI:AI,MATCH('001_population_health_zone_zs'!$B$2,[1]ratio_ins!$B:$B,0))*$G105*INDEX([1]ratio_ins!$D:$D,MATCH('001_population_health_zone_zs'!$B105,[1]ratio_ins!$B:$B,0))</f>
        <v>12068.920080000002</v>
      </c>
      <c r="AM105" s="10">
        <f>INDEX([1]ratio_ins!AJ:AJ,MATCH('001_population_health_zone_zs'!$B$2,[1]ratio_ins!$B:$B,0))*$G105*INDEX([1]ratio_ins!$D:$D,MATCH('001_population_health_zone_zs'!$B105,[1]ratio_ins!$B:$B,0))</f>
        <v>11034.441216000001</v>
      </c>
      <c r="AN105" s="10">
        <f>INDEX([1]ratio_ins!AK:AK,MATCH('001_population_health_zone_zs'!$B$2,[1]ratio_ins!$B:$B,0))*$G105*INDEX([1]ratio_ins!$D:$D,MATCH('001_population_health_zone_zs'!$B105,[1]ratio_ins!$B:$B,0))</f>
        <v>10344.788639999999</v>
      </c>
      <c r="AO105" s="10">
        <f>INDEX([1]ratio_ins!AL:AL,MATCH('001_population_health_zone_zs'!$B$2,[1]ratio_ins!$B:$B,0))*$G105*INDEX([1]ratio_ins!$D:$D,MATCH('001_population_health_zone_zs'!$B105,[1]ratio_ins!$B:$B,0))</f>
        <v>7758.59148</v>
      </c>
      <c r="AP105" s="10">
        <f>INDEX([1]ratio_ins!AM:AM,MATCH('001_population_health_zone_zs'!$B$2,[1]ratio_ins!$B:$B,0))*$G105*INDEX([1]ratio_ins!$D:$D,MATCH('001_population_health_zone_zs'!$B105,[1]ratio_ins!$B:$B,0))</f>
        <v>4999.9811760000002</v>
      </c>
      <c r="AQ105" s="10">
        <f>INDEX([1]ratio_ins!AN:AN,MATCH('001_population_health_zone_zs'!$B$2,[1]ratio_ins!$B:$B,0))*$G105*INDEX([1]ratio_ins!$D:$D,MATCH('001_population_health_zone_zs'!$B105,[1]ratio_ins!$B:$B,0))</f>
        <v>3965.5023119999996</v>
      </c>
      <c r="AR105" s="10">
        <f>INDEX([1]ratio_ins!AO:AO,MATCH('001_population_health_zone_zs'!$B$2,[1]ratio_ins!$B:$B,0))*$G105*INDEX([1]ratio_ins!$D:$D,MATCH('001_population_health_zone_zs'!$B105,[1]ratio_ins!$B:$B,0))</f>
        <v>1896.5445840000002</v>
      </c>
      <c r="AS105" s="13">
        <f>INDEX([1]ratio_ins!AP:AP,MATCH('001_population_health_zone_zs'!$B$2,[1]ratio_ins!$B:$B,0))*$G105*INDEX([1]ratio_ins!$D:$D,MATCH('001_population_health_zone_zs'!$B105,[1]ratio_ins!$B:$B,0))</f>
        <v>70551.458524800008</v>
      </c>
      <c r="AT105" s="10">
        <f>INDEX([1]ratio_ins!AQ:AQ,MATCH('001_population_health_zone_zs'!$B$2,[1]ratio_ins!$B:$B,0))*$G105*INDEX([1]ratio_ins!$D:$D,MATCH('001_population_health_zone_zs'!$B105,[1]ratio_ins!$B:$B,0))</f>
        <v>1724.1314400000001</v>
      </c>
      <c r="AU105" s="10">
        <f>INDEX([1]ratio_ins!AR:AR,MATCH('001_population_health_zone_zs'!$B$2,[1]ratio_ins!$B:$B,0))*$G105*INDEX([1]ratio_ins!$D:$D,MATCH('001_population_health_zone_zs'!$B105,[1]ratio_ins!$B:$B,0))</f>
        <v>1034.4788639999999</v>
      </c>
      <c r="AV105" s="10">
        <f>INDEX([1]ratio_ins!AS:AS,MATCH('001_population_health_zone_zs'!$B$2,[1]ratio_ins!$B:$B,0))*$G105*INDEX([1]ratio_ins!$D:$D,MATCH('001_population_health_zone_zs'!$B105,[1]ratio_ins!$B:$B,0))</f>
        <v>517.23943199999997</v>
      </c>
      <c r="AW105" s="10">
        <f>INDEX([1]ratio_ins!AT:AT,MATCH('001_population_health_zone_zs'!$B$2,[1]ratio_ins!$B:$B,0))*$G105*INDEX([1]ratio_ins!$D:$D,MATCH('001_population_health_zone_zs'!$B105,[1]ratio_ins!$B:$B,0))</f>
        <v>344.82628800000003</v>
      </c>
      <c r="AX105" s="13">
        <f>INDEX([1]ratio_ins!AU:AU,MATCH('001_population_health_zone_zs'!$B$2,[1]ratio_ins!$B:$B,0))*$G105*INDEX([1]ratio_ins!$D:$D,MATCH('001_population_health_zone_zs'!$B105,[1]ratio_ins!$B:$B,0))</f>
        <v>3620.6760239999994</v>
      </c>
      <c r="AY105" s="14">
        <f t="shared" si="7"/>
        <v>172413.144</v>
      </c>
      <c r="AZ105" s="15">
        <f t="shared" si="8"/>
        <v>336088</v>
      </c>
      <c r="BA105" s="16">
        <v>324265.78669239022</v>
      </c>
      <c r="BB105" s="10">
        <f t="shared" si="9"/>
        <v>73275.586200000005</v>
      </c>
      <c r="BC105" s="17">
        <f t="shared" si="10"/>
        <v>0.21802500000000002</v>
      </c>
      <c r="BD105" s="10">
        <f t="shared" si="11"/>
        <v>68252.414952000006</v>
      </c>
    </row>
    <row r="106" spans="1:56" x14ac:dyDescent="0.25">
      <c r="A106" s="8" t="s">
        <v>255</v>
      </c>
      <c r="B106" s="8" t="s">
        <v>256</v>
      </c>
      <c r="C106" s="8" t="s">
        <v>257</v>
      </c>
      <c r="D106" s="8" t="s">
        <v>258</v>
      </c>
      <c r="E106" s="8" t="s">
        <v>259</v>
      </c>
      <c r="F106" s="8" t="s">
        <v>260</v>
      </c>
      <c r="G106" s="9">
        <v>164278</v>
      </c>
      <c r="H106" s="10">
        <f>INDEX([1]ratio_ins!F:F,MATCH('001_population_health_zone_zs'!$B$2,[1]ratio_ins!$B:$B,0))*$G106*INDEX([1]ratio_ins!$C:$C,MATCH('001_population_health_zone_zs'!$B106,[1]ratio_ins!$B:$B,0))</f>
        <v>16686.373572</v>
      </c>
      <c r="I106" s="10">
        <f>INDEX([1]ratio_ins!G:G,MATCH('001_population_health_zone_zs'!$B$2,[1]ratio_ins!$B:$B,0))*$G106*INDEX([1]ratio_ins!$C:$C,MATCH('001_population_health_zone_zs'!$B106,[1]ratio_ins!$B:$B,0))</f>
        <v>13652.487467999999</v>
      </c>
      <c r="J106" s="10">
        <f>INDEX([1]ratio_ins!H:H,MATCH('001_population_health_zone_zs'!$B$2,[1]ratio_ins!$B:$B,0))*$G106*INDEX([1]ratio_ins!$C:$C,MATCH('001_population_health_zone_zs'!$B106,[1]ratio_ins!$B:$B,0))</f>
        <v>10778.27958</v>
      </c>
      <c r="K106" s="10">
        <f>INDEX([1]ratio_ins!I:I,MATCH('001_population_health_zone_zs'!$B$2,[1]ratio_ins!$B:$B,0))*$G106*INDEX([1]ratio_ins!$C:$C,MATCH('001_population_health_zone_zs'!$B106,[1]ratio_ins!$B:$B,0))</f>
        <v>6626.6459640000003</v>
      </c>
      <c r="L106" s="10">
        <f>INDEX([1]ratio_ins!J:J,MATCH('001_population_health_zone_zs'!$B$2,[1]ratio_ins!$B:$B,0))*$G106*INDEX([1]ratio_ins!$C:$C,MATCH('001_population_health_zone_zs'!$B106,[1]ratio_ins!$B:$B,0))</f>
        <v>3975.9875783999996</v>
      </c>
      <c r="M106" s="11">
        <f>INDEX([1]ratio_ins!K:K,MATCH('001_population_health_zone_zs'!$B$2,[1]ratio_ins!$B:$B,0))*$G106*INDEX([1]ratio_ins!$C:$C,MATCH('001_population_health_zone_zs'!$B106,[1]ratio_ins!$B:$B,0))</f>
        <v>45093.128198399994</v>
      </c>
      <c r="N106" s="10">
        <f>INDEX([1]ratio_ins!L:L,MATCH('001_population_health_zone_zs'!$B$2,[1]ratio_ins!$B:$B,0))*$G106*INDEX([1]ratio_ins!$C:$C,MATCH('001_population_health_zone_zs'!$B106,[1]ratio_ins!$B:$B,0))</f>
        <v>2650.6583855999997</v>
      </c>
      <c r="O106" s="10">
        <f>INDEX([1]ratio_ins!M:M,MATCH('001_population_health_zone_zs'!$B$2,[1]ratio_ins!$B:$B,0))*$G106*INDEX([1]ratio_ins!$C:$C,MATCH('001_population_health_zone_zs'!$B106,[1]ratio_ins!$B:$B,0))</f>
        <v>5748.4157760000007</v>
      </c>
      <c r="P106" s="10">
        <f>INDEX([1]ratio_ins!N:N,MATCH('001_population_health_zone_zs'!$B$2,[1]ratio_ins!$B:$B,0))*$G106*INDEX([1]ratio_ins!$C:$C,MATCH('001_population_health_zone_zs'!$B106,[1]ratio_ins!$B:$B,0))</f>
        <v>5189.5420199999999</v>
      </c>
      <c r="Q106" s="10">
        <f>INDEX([1]ratio_ins!O:O,MATCH('001_population_health_zone_zs'!$B$2,[1]ratio_ins!$B:$B,0))*$G106*INDEX([1]ratio_ins!$C:$C,MATCH('001_population_health_zone_zs'!$B106,[1]ratio_ins!$B:$B,0))</f>
        <v>4630.6682639999999</v>
      </c>
      <c r="R106" s="10">
        <f>INDEX([1]ratio_ins!P:P,MATCH('001_population_health_zone_zs'!$B$2,[1]ratio_ins!$B:$B,0))*$G106*INDEX([1]ratio_ins!$C:$C,MATCH('001_population_health_zone_zs'!$B106,[1]ratio_ins!$B:$B,0))</f>
        <v>4550.8291559999998</v>
      </c>
      <c r="S106" s="10">
        <f>INDEX([1]ratio_ins!Q:Q,MATCH('001_population_health_zone_zs'!$B$2,[1]ratio_ins!$B:$B,0))*$G106*INDEX([1]ratio_ins!$C:$C,MATCH('001_population_health_zone_zs'!$B106,[1]ratio_ins!$B:$B,0))</f>
        <v>3832.277184</v>
      </c>
      <c r="T106" s="10">
        <f>INDEX([1]ratio_ins!R:R,MATCH('001_population_health_zone_zs'!$B$2,[1]ratio_ins!$B:$B,0))*$G106*INDEX([1]ratio_ins!$C:$C,MATCH('001_population_health_zone_zs'!$B106,[1]ratio_ins!$B:$B,0))</f>
        <v>2714.5296720000001</v>
      </c>
      <c r="U106" s="10">
        <f>INDEX([1]ratio_ins!S:S,MATCH('001_population_health_zone_zs'!$B$2,[1]ratio_ins!$B:$B,0))*$G106*INDEX([1]ratio_ins!$C:$C,MATCH('001_population_health_zone_zs'!$B106,[1]ratio_ins!$B:$B,0))</f>
        <v>2155.6559160000002</v>
      </c>
      <c r="V106" s="10">
        <f>INDEX([1]ratio_ins!T:T,MATCH('001_population_health_zone_zs'!$B$2,[1]ratio_ins!$B:$B,0))*$G106*INDEX([1]ratio_ins!$C:$C,MATCH('001_population_health_zone_zs'!$B106,[1]ratio_ins!$B:$B,0))</f>
        <v>1197.58662</v>
      </c>
      <c r="W106" s="11">
        <f>INDEX([1]ratio_ins!U:U,MATCH('001_population_health_zone_zs'!$B$2,[1]ratio_ins!$B:$B,0))*$G106*INDEX([1]ratio_ins!$C:$C,MATCH('001_population_health_zone_zs'!$B106,[1]ratio_ins!$B:$B,0))</f>
        <v>32670.162993599999</v>
      </c>
      <c r="X106" s="10">
        <f>INDEX([1]ratio_ins!V:V,MATCH('001_population_health_zone_zs'!$B$2,[1]ratio_ins!$B:$B,0))*$G106*INDEX([1]ratio_ins!$C:$C,MATCH('001_population_health_zone_zs'!$B106,[1]ratio_ins!$B:$B,0))</f>
        <v>958.06929600000001</v>
      </c>
      <c r="Y106" s="10">
        <f>INDEX([1]ratio_ins!W:W,MATCH('001_population_health_zone_zs'!$B$2,[1]ratio_ins!$B:$B,0))*$G106*INDEX([1]ratio_ins!$C:$C,MATCH('001_population_health_zone_zs'!$B106,[1]ratio_ins!$B:$B,0))</f>
        <v>638.71286399999997</v>
      </c>
      <c r="Z106" s="10">
        <f>INDEX([1]ratio_ins!X:X,MATCH('001_population_health_zone_zs'!$B$2,[1]ratio_ins!$B:$B,0))*$G106*INDEX([1]ratio_ins!$C:$C,MATCH('001_population_health_zone_zs'!$B106,[1]ratio_ins!$B:$B,0))</f>
        <v>319.35643199999998</v>
      </c>
      <c r="AA106" s="10">
        <f>INDEX([1]ratio_ins!Y:Y,MATCH('001_population_health_zone_zs'!$B$2,[1]ratio_ins!$B:$B,0))*$G106*INDEX([1]ratio_ins!$C:$C,MATCH('001_population_health_zone_zs'!$B106,[1]ratio_ins!$B:$B,0))</f>
        <v>159.67821599999999</v>
      </c>
      <c r="AB106" s="11">
        <f>INDEX([1]ratio_ins!Z:Z,MATCH('001_population_health_zone_zs'!$B$2,[1]ratio_ins!$B:$B,0))*$G106*INDEX([1]ratio_ins!$C:$C,MATCH('001_population_health_zone_zs'!$B106,[1]ratio_ins!$B:$B,0))</f>
        <v>2075.816808</v>
      </c>
      <c r="AC106" s="12">
        <f t="shared" si="6"/>
        <v>79839.107999999993</v>
      </c>
      <c r="AD106" s="10">
        <f>INDEX([1]ratio_ins!AA:AA,MATCH('001_population_health_zone_zs'!$B$2,[1]ratio_ins!$B:$B,0))*$G106*INDEX([1]ratio_ins!$D:$D,MATCH('001_population_health_zone_zs'!$B106,[1]ratio_ins!$B:$B,0))</f>
        <v>17732.16732</v>
      </c>
      <c r="AE106" s="10">
        <f>INDEX([1]ratio_ins!AB:AB,MATCH('001_population_health_zone_zs'!$B$2,[1]ratio_ins!$B:$B,0))*$G106*INDEX([1]ratio_ins!$D:$D,MATCH('001_population_health_zone_zs'!$B106,[1]ratio_ins!$B:$B,0))</f>
        <v>14607.928316000001</v>
      </c>
      <c r="AF106" s="10">
        <f>INDEX([1]ratio_ins!AC:AC,MATCH('001_population_health_zone_zs'!$B$2,[1]ratio_ins!$B:$B,0))*$G106*INDEX([1]ratio_ins!$D:$D,MATCH('001_population_health_zone_zs'!$B106,[1]ratio_ins!$B:$B,0))</f>
        <v>11568.128203999999</v>
      </c>
      <c r="AG106" s="10">
        <f>INDEX([1]ratio_ins!AD:AD,MATCH('001_population_health_zone_zs'!$B$2,[1]ratio_ins!$B:$B,0))*$G106*INDEX([1]ratio_ins!$D:$D,MATCH('001_population_health_zone_zs'!$B106,[1]ratio_ins!$B:$B,0))</f>
        <v>7008.4280360000002</v>
      </c>
      <c r="AH106" s="10">
        <f>INDEX([1]ratio_ins!AE:AE,MATCH('001_population_health_zone_zs'!$B$2,[1]ratio_ins!$B:$B,0))*$G106*INDEX([1]ratio_ins!$D:$D,MATCH('001_population_health_zone_zs'!$B106,[1]ratio_ins!$B:$B,0))</f>
        <v>4205.0568216000001</v>
      </c>
      <c r="AI106" s="13">
        <f>INDEX([1]ratio_ins!AF:AF,MATCH('001_population_health_zone_zs'!$B$2,[1]ratio_ins!$B:$B,0))*$G106*INDEX([1]ratio_ins!$D:$D,MATCH('001_population_health_zone_zs'!$B106,[1]ratio_ins!$B:$B,0))</f>
        <v>48113.280661600002</v>
      </c>
      <c r="AJ106" s="10">
        <f>INDEX([1]ratio_ins!AG:AG,MATCH('001_population_health_zone_zs'!$B$2,[1]ratio_ins!$B:$B,0))*$G106*INDEX([1]ratio_ins!$D:$D,MATCH('001_population_health_zone_zs'!$B106,[1]ratio_ins!$B:$B,0))</f>
        <v>2803.3712144000001</v>
      </c>
      <c r="AK106" s="10">
        <f>INDEX([1]ratio_ins!AH:AH,MATCH('001_population_health_zone_zs'!$B$2,[1]ratio_ins!$B:$B,0))*$G106*INDEX([1]ratio_ins!$D:$D,MATCH('001_population_health_zone_zs'!$B106,[1]ratio_ins!$B:$B,0))</f>
        <v>6248.478008000001</v>
      </c>
      <c r="AL106" s="10">
        <f>INDEX([1]ratio_ins!AI:AI,MATCH('001_population_health_zone_zs'!$B$2,[1]ratio_ins!$B:$B,0))*$G106*INDEX([1]ratio_ins!$D:$D,MATCH('001_population_health_zone_zs'!$B106,[1]ratio_ins!$B:$B,0))</f>
        <v>5910.7224400000005</v>
      </c>
      <c r="AM106" s="10">
        <f>INDEX([1]ratio_ins!AJ:AJ,MATCH('001_population_health_zone_zs'!$B$2,[1]ratio_ins!$B:$B,0))*$G106*INDEX([1]ratio_ins!$D:$D,MATCH('001_population_health_zone_zs'!$B106,[1]ratio_ins!$B:$B,0))</f>
        <v>5404.0890879999997</v>
      </c>
      <c r="AN106" s="10">
        <f>INDEX([1]ratio_ins!AK:AK,MATCH('001_population_health_zone_zs'!$B$2,[1]ratio_ins!$B:$B,0))*$G106*INDEX([1]ratio_ins!$D:$D,MATCH('001_population_health_zone_zs'!$B106,[1]ratio_ins!$B:$B,0))</f>
        <v>5066.3335200000001</v>
      </c>
      <c r="AO106" s="10">
        <f>INDEX([1]ratio_ins!AL:AL,MATCH('001_population_health_zone_zs'!$B$2,[1]ratio_ins!$B:$B,0))*$G106*INDEX([1]ratio_ins!$D:$D,MATCH('001_population_health_zone_zs'!$B106,[1]ratio_ins!$B:$B,0))</f>
        <v>3799.7501399999996</v>
      </c>
      <c r="AP106" s="10">
        <f>INDEX([1]ratio_ins!AM:AM,MATCH('001_population_health_zone_zs'!$B$2,[1]ratio_ins!$B:$B,0))*$G106*INDEX([1]ratio_ins!$D:$D,MATCH('001_population_health_zone_zs'!$B106,[1]ratio_ins!$B:$B,0))</f>
        <v>2448.7278679999999</v>
      </c>
      <c r="AQ106" s="10">
        <f>INDEX([1]ratio_ins!AN:AN,MATCH('001_population_health_zone_zs'!$B$2,[1]ratio_ins!$B:$B,0))*$G106*INDEX([1]ratio_ins!$D:$D,MATCH('001_population_health_zone_zs'!$B106,[1]ratio_ins!$B:$B,0))</f>
        <v>1942.0945159999999</v>
      </c>
      <c r="AR106" s="10">
        <f>INDEX([1]ratio_ins!AO:AO,MATCH('001_population_health_zone_zs'!$B$2,[1]ratio_ins!$B:$B,0))*$G106*INDEX([1]ratio_ins!$D:$D,MATCH('001_population_health_zone_zs'!$B106,[1]ratio_ins!$B:$B,0))</f>
        <v>928.82781200000011</v>
      </c>
      <c r="AS106" s="13">
        <f>INDEX([1]ratio_ins!AP:AP,MATCH('001_population_health_zone_zs'!$B$2,[1]ratio_ins!$B:$B,0))*$G106*INDEX([1]ratio_ins!$D:$D,MATCH('001_population_health_zone_zs'!$B106,[1]ratio_ins!$B:$B,0))</f>
        <v>34552.394606399997</v>
      </c>
      <c r="AT106" s="10">
        <f>INDEX([1]ratio_ins!AQ:AQ,MATCH('001_population_health_zone_zs'!$B$2,[1]ratio_ins!$B:$B,0))*$G106*INDEX([1]ratio_ins!$D:$D,MATCH('001_population_health_zone_zs'!$B106,[1]ratio_ins!$B:$B,0))</f>
        <v>844.38891999999998</v>
      </c>
      <c r="AU106" s="10">
        <f>INDEX([1]ratio_ins!AR:AR,MATCH('001_population_health_zone_zs'!$B$2,[1]ratio_ins!$B:$B,0))*$G106*INDEX([1]ratio_ins!$D:$D,MATCH('001_population_health_zone_zs'!$B106,[1]ratio_ins!$B:$B,0))</f>
        <v>506.633352</v>
      </c>
      <c r="AV106" s="10">
        <f>INDEX([1]ratio_ins!AS:AS,MATCH('001_population_health_zone_zs'!$B$2,[1]ratio_ins!$B:$B,0))*$G106*INDEX([1]ratio_ins!$D:$D,MATCH('001_population_health_zone_zs'!$B106,[1]ratio_ins!$B:$B,0))</f>
        <v>253.316676</v>
      </c>
      <c r="AW106" s="10">
        <f>INDEX([1]ratio_ins!AT:AT,MATCH('001_population_health_zone_zs'!$B$2,[1]ratio_ins!$B:$B,0))*$G106*INDEX([1]ratio_ins!$D:$D,MATCH('001_population_health_zone_zs'!$B106,[1]ratio_ins!$B:$B,0))</f>
        <v>168.87778399999999</v>
      </c>
      <c r="AX106" s="13">
        <f>INDEX([1]ratio_ins!AU:AU,MATCH('001_population_health_zone_zs'!$B$2,[1]ratio_ins!$B:$B,0))*$G106*INDEX([1]ratio_ins!$D:$D,MATCH('001_population_health_zone_zs'!$B106,[1]ratio_ins!$B:$B,0))</f>
        <v>1773.2167319999999</v>
      </c>
      <c r="AY106" s="14">
        <f t="shared" si="7"/>
        <v>84438.891999999993</v>
      </c>
      <c r="AZ106" s="15">
        <f t="shared" si="8"/>
        <v>164278</v>
      </c>
      <c r="BA106" s="16">
        <v>158439.52787005261</v>
      </c>
      <c r="BB106" s="10">
        <f t="shared" si="9"/>
        <v>35886.5291</v>
      </c>
      <c r="BC106" s="17">
        <f t="shared" si="10"/>
        <v>0.21845000000000001</v>
      </c>
      <c r="BD106" s="10">
        <f t="shared" si="11"/>
        <v>33292.908036000001</v>
      </c>
    </row>
    <row r="107" spans="1:56" x14ac:dyDescent="0.25">
      <c r="A107" s="8" t="s">
        <v>255</v>
      </c>
      <c r="B107" s="8" t="s">
        <v>256</v>
      </c>
      <c r="C107" s="8" t="s">
        <v>257</v>
      </c>
      <c r="D107" s="8" t="s">
        <v>258</v>
      </c>
      <c r="E107" s="8" t="s">
        <v>257</v>
      </c>
      <c r="F107" s="8" t="s">
        <v>261</v>
      </c>
      <c r="G107" s="9">
        <v>245105</v>
      </c>
      <c r="H107" s="10">
        <f>INDEX([1]ratio_ins!F:F,MATCH('001_population_health_zone_zs'!$B$2,[1]ratio_ins!$B:$B,0))*$G107*INDEX([1]ratio_ins!$C:$C,MATCH('001_population_health_zone_zs'!$B107,[1]ratio_ins!$B:$B,0))</f>
        <v>24896.295269999999</v>
      </c>
      <c r="I107" s="10">
        <f>INDEX([1]ratio_ins!G:G,MATCH('001_population_health_zone_zs'!$B$2,[1]ratio_ins!$B:$B,0))*$G107*INDEX([1]ratio_ins!$C:$C,MATCH('001_population_health_zone_zs'!$B107,[1]ratio_ins!$B:$B,0))</f>
        <v>20369.69613</v>
      </c>
      <c r="J107" s="10">
        <f>INDEX([1]ratio_ins!H:H,MATCH('001_population_health_zone_zs'!$B$2,[1]ratio_ins!$B:$B,0))*$G107*INDEX([1]ratio_ins!$C:$C,MATCH('001_population_health_zone_zs'!$B107,[1]ratio_ins!$B:$B,0))</f>
        <v>16081.33905</v>
      </c>
      <c r="K107" s="10">
        <f>INDEX([1]ratio_ins!I:I,MATCH('001_population_health_zone_zs'!$B$2,[1]ratio_ins!$B:$B,0))*$G107*INDEX([1]ratio_ins!$C:$C,MATCH('001_population_health_zone_zs'!$B107,[1]ratio_ins!$B:$B,0))</f>
        <v>9887.0454900000004</v>
      </c>
      <c r="L107" s="10">
        <f>INDEX([1]ratio_ins!J:J,MATCH('001_population_health_zone_zs'!$B$2,[1]ratio_ins!$B:$B,0))*$G107*INDEX([1]ratio_ins!$C:$C,MATCH('001_population_health_zone_zs'!$B107,[1]ratio_ins!$B:$B,0))</f>
        <v>5932.2272939999993</v>
      </c>
      <c r="M107" s="11">
        <f>INDEX([1]ratio_ins!K:K,MATCH('001_population_health_zone_zs'!$B$2,[1]ratio_ins!$B:$B,0))*$G107*INDEX([1]ratio_ins!$C:$C,MATCH('001_population_health_zone_zs'!$B107,[1]ratio_ins!$B:$B,0))</f>
        <v>67279.557744000005</v>
      </c>
      <c r="N107" s="10">
        <f>INDEX([1]ratio_ins!L:L,MATCH('001_population_health_zone_zs'!$B$2,[1]ratio_ins!$B:$B,0))*$G107*INDEX([1]ratio_ins!$C:$C,MATCH('001_population_health_zone_zs'!$B107,[1]ratio_ins!$B:$B,0))</f>
        <v>3954.8181959999997</v>
      </c>
      <c r="O107" s="10">
        <f>INDEX([1]ratio_ins!M:M,MATCH('001_population_health_zone_zs'!$B$2,[1]ratio_ins!$B:$B,0))*$G107*INDEX([1]ratio_ins!$C:$C,MATCH('001_population_health_zone_zs'!$B107,[1]ratio_ins!$B:$B,0))</f>
        <v>8576.7141599999995</v>
      </c>
      <c r="P107" s="10">
        <f>INDEX([1]ratio_ins!N:N,MATCH('001_population_health_zone_zs'!$B$2,[1]ratio_ins!$B:$B,0))*$G107*INDEX([1]ratio_ins!$C:$C,MATCH('001_population_health_zone_zs'!$B107,[1]ratio_ins!$B:$B,0))</f>
        <v>7742.8669500000005</v>
      </c>
      <c r="Q107" s="10">
        <f>INDEX([1]ratio_ins!O:O,MATCH('001_population_health_zone_zs'!$B$2,[1]ratio_ins!$B:$B,0))*$G107*INDEX([1]ratio_ins!$C:$C,MATCH('001_population_health_zone_zs'!$B107,[1]ratio_ins!$B:$B,0))</f>
        <v>6909.0197399999988</v>
      </c>
      <c r="R107" s="10">
        <f>INDEX([1]ratio_ins!P:P,MATCH('001_population_health_zone_zs'!$B$2,[1]ratio_ins!$B:$B,0))*$G107*INDEX([1]ratio_ins!$C:$C,MATCH('001_population_health_zone_zs'!$B107,[1]ratio_ins!$B:$B,0))</f>
        <v>6789.8987100000004</v>
      </c>
      <c r="S107" s="10">
        <f>INDEX([1]ratio_ins!Q:Q,MATCH('001_population_health_zone_zs'!$B$2,[1]ratio_ins!$B:$B,0))*$G107*INDEX([1]ratio_ins!$C:$C,MATCH('001_population_health_zone_zs'!$B107,[1]ratio_ins!$B:$B,0))</f>
        <v>5717.80944</v>
      </c>
      <c r="T107" s="10">
        <f>INDEX([1]ratio_ins!R:R,MATCH('001_population_health_zone_zs'!$B$2,[1]ratio_ins!$B:$B,0))*$G107*INDEX([1]ratio_ins!$C:$C,MATCH('001_population_health_zone_zs'!$B107,[1]ratio_ins!$B:$B,0))</f>
        <v>4050.1150199999997</v>
      </c>
      <c r="U107" s="10">
        <f>INDEX([1]ratio_ins!S:S,MATCH('001_population_health_zone_zs'!$B$2,[1]ratio_ins!$B:$B,0))*$G107*INDEX([1]ratio_ins!$C:$C,MATCH('001_population_health_zone_zs'!$B107,[1]ratio_ins!$B:$B,0))</f>
        <v>3216.2678100000003</v>
      </c>
      <c r="V107" s="10">
        <f>INDEX([1]ratio_ins!T:T,MATCH('001_population_health_zone_zs'!$B$2,[1]ratio_ins!$B:$B,0))*$G107*INDEX([1]ratio_ins!$C:$C,MATCH('001_population_health_zone_zs'!$B107,[1]ratio_ins!$B:$B,0))</f>
        <v>1786.8154499999998</v>
      </c>
      <c r="W107" s="11">
        <f>INDEX([1]ratio_ins!U:U,MATCH('001_population_health_zone_zs'!$B$2,[1]ratio_ins!$B:$B,0))*$G107*INDEX([1]ratio_ins!$C:$C,MATCH('001_population_health_zone_zs'!$B107,[1]ratio_ins!$B:$B,0))</f>
        <v>48744.325475999998</v>
      </c>
      <c r="X107" s="10">
        <f>INDEX([1]ratio_ins!V:V,MATCH('001_population_health_zone_zs'!$B$2,[1]ratio_ins!$B:$B,0))*$G107*INDEX([1]ratio_ins!$C:$C,MATCH('001_population_health_zone_zs'!$B107,[1]ratio_ins!$B:$B,0))</f>
        <v>1429.45236</v>
      </c>
      <c r="Y107" s="10">
        <f>INDEX([1]ratio_ins!W:W,MATCH('001_population_health_zone_zs'!$B$2,[1]ratio_ins!$B:$B,0))*$G107*INDEX([1]ratio_ins!$C:$C,MATCH('001_population_health_zone_zs'!$B107,[1]ratio_ins!$B:$B,0))</f>
        <v>952.96824000000004</v>
      </c>
      <c r="Z107" s="10">
        <f>INDEX([1]ratio_ins!X:X,MATCH('001_population_health_zone_zs'!$B$2,[1]ratio_ins!$B:$B,0))*$G107*INDEX([1]ratio_ins!$C:$C,MATCH('001_population_health_zone_zs'!$B107,[1]ratio_ins!$B:$B,0))</f>
        <v>476.48412000000002</v>
      </c>
      <c r="AA107" s="10">
        <f>INDEX([1]ratio_ins!Y:Y,MATCH('001_population_health_zone_zs'!$B$2,[1]ratio_ins!$B:$B,0))*$G107*INDEX([1]ratio_ins!$C:$C,MATCH('001_population_health_zone_zs'!$B107,[1]ratio_ins!$B:$B,0))</f>
        <v>238.24206000000001</v>
      </c>
      <c r="AB107" s="11">
        <f>INDEX([1]ratio_ins!Z:Z,MATCH('001_population_health_zone_zs'!$B$2,[1]ratio_ins!$B:$B,0))*$G107*INDEX([1]ratio_ins!$C:$C,MATCH('001_population_health_zone_zs'!$B107,[1]ratio_ins!$B:$B,0))</f>
        <v>3097.14678</v>
      </c>
      <c r="AC107" s="12">
        <f t="shared" si="6"/>
        <v>119121.03</v>
      </c>
      <c r="AD107" s="10">
        <f>INDEX([1]ratio_ins!AA:AA,MATCH('001_population_health_zone_zs'!$B$2,[1]ratio_ins!$B:$B,0))*$G107*INDEX([1]ratio_ins!$D:$D,MATCH('001_population_health_zone_zs'!$B107,[1]ratio_ins!$B:$B,0))</f>
        <v>26456.633699999998</v>
      </c>
      <c r="AE107" s="10">
        <f>INDEX([1]ratio_ins!AB:AB,MATCH('001_population_health_zone_zs'!$B$2,[1]ratio_ins!$B:$B,0))*$G107*INDEX([1]ratio_ins!$D:$D,MATCH('001_population_health_zone_zs'!$B107,[1]ratio_ins!$B:$B,0))</f>
        <v>21795.22681</v>
      </c>
      <c r="AF107" s="10">
        <f>INDEX([1]ratio_ins!AC:AC,MATCH('001_population_health_zone_zs'!$B$2,[1]ratio_ins!$B:$B,0))*$G107*INDEX([1]ratio_ins!$D:$D,MATCH('001_population_health_zone_zs'!$B107,[1]ratio_ins!$B:$B,0))</f>
        <v>17259.803889999999</v>
      </c>
      <c r="AG107" s="10">
        <f>INDEX([1]ratio_ins!AD:AD,MATCH('001_population_health_zone_zs'!$B$2,[1]ratio_ins!$B:$B,0))*$G107*INDEX([1]ratio_ins!$D:$D,MATCH('001_population_health_zone_zs'!$B107,[1]ratio_ins!$B:$B,0))</f>
        <v>10456.66951</v>
      </c>
      <c r="AH107" s="10">
        <f>INDEX([1]ratio_ins!AE:AE,MATCH('001_population_health_zone_zs'!$B$2,[1]ratio_ins!$B:$B,0))*$G107*INDEX([1]ratio_ins!$D:$D,MATCH('001_population_health_zone_zs'!$B107,[1]ratio_ins!$B:$B,0))</f>
        <v>6274.001706</v>
      </c>
      <c r="AI107" s="13">
        <f>INDEX([1]ratio_ins!AF:AF,MATCH('001_population_health_zone_zs'!$B$2,[1]ratio_ins!$B:$B,0))*$G107*INDEX([1]ratio_ins!$D:$D,MATCH('001_population_health_zone_zs'!$B107,[1]ratio_ins!$B:$B,0))</f>
        <v>71785.666106000004</v>
      </c>
      <c r="AJ107" s="10">
        <f>INDEX([1]ratio_ins!AG:AG,MATCH('001_population_health_zone_zs'!$B$2,[1]ratio_ins!$B:$B,0))*$G107*INDEX([1]ratio_ins!$D:$D,MATCH('001_population_health_zone_zs'!$B107,[1]ratio_ins!$B:$B,0))</f>
        <v>4182.6678039999997</v>
      </c>
      <c r="AK107" s="10">
        <f>INDEX([1]ratio_ins!AH:AH,MATCH('001_population_health_zone_zs'!$B$2,[1]ratio_ins!$B:$B,0))*$G107*INDEX([1]ratio_ins!$D:$D,MATCH('001_population_health_zone_zs'!$B107,[1]ratio_ins!$B:$B,0))</f>
        <v>9322.8137800000022</v>
      </c>
      <c r="AL107" s="10">
        <f>INDEX([1]ratio_ins!AI:AI,MATCH('001_population_health_zone_zs'!$B$2,[1]ratio_ins!$B:$B,0))*$G107*INDEX([1]ratio_ins!$D:$D,MATCH('001_population_health_zone_zs'!$B107,[1]ratio_ins!$B:$B,0))</f>
        <v>8818.8779000000013</v>
      </c>
      <c r="AM107" s="10">
        <f>INDEX([1]ratio_ins!AJ:AJ,MATCH('001_population_health_zone_zs'!$B$2,[1]ratio_ins!$B:$B,0))*$G107*INDEX([1]ratio_ins!$D:$D,MATCH('001_population_health_zone_zs'!$B107,[1]ratio_ins!$B:$B,0))</f>
        <v>8062.9740800000009</v>
      </c>
      <c r="AN107" s="10">
        <f>INDEX([1]ratio_ins!AK:AK,MATCH('001_population_health_zone_zs'!$B$2,[1]ratio_ins!$B:$B,0))*$G107*INDEX([1]ratio_ins!$D:$D,MATCH('001_population_health_zone_zs'!$B107,[1]ratio_ins!$B:$B,0))</f>
        <v>7559.0382</v>
      </c>
      <c r="AO107" s="10">
        <f>INDEX([1]ratio_ins!AL:AL,MATCH('001_population_health_zone_zs'!$B$2,[1]ratio_ins!$B:$B,0))*$G107*INDEX([1]ratio_ins!$D:$D,MATCH('001_population_health_zone_zs'!$B107,[1]ratio_ins!$B:$B,0))</f>
        <v>5669.2786500000002</v>
      </c>
      <c r="AP107" s="10">
        <f>INDEX([1]ratio_ins!AM:AM,MATCH('001_population_health_zone_zs'!$B$2,[1]ratio_ins!$B:$B,0))*$G107*INDEX([1]ratio_ins!$D:$D,MATCH('001_population_health_zone_zs'!$B107,[1]ratio_ins!$B:$B,0))</f>
        <v>3653.5351299999998</v>
      </c>
      <c r="AQ107" s="10">
        <f>INDEX([1]ratio_ins!AN:AN,MATCH('001_population_health_zone_zs'!$B$2,[1]ratio_ins!$B:$B,0))*$G107*INDEX([1]ratio_ins!$D:$D,MATCH('001_population_health_zone_zs'!$B107,[1]ratio_ins!$B:$B,0))</f>
        <v>2897.6313100000002</v>
      </c>
      <c r="AR107" s="10">
        <f>INDEX([1]ratio_ins!AO:AO,MATCH('001_population_health_zone_zs'!$B$2,[1]ratio_ins!$B:$B,0))*$G107*INDEX([1]ratio_ins!$D:$D,MATCH('001_population_health_zone_zs'!$B107,[1]ratio_ins!$B:$B,0))</f>
        <v>1385.8236700000002</v>
      </c>
      <c r="AS107" s="13">
        <f>INDEX([1]ratio_ins!AP:AP,MATCH('001_population_health_zone_zs'!$B$2,[1]ratio_ins!$B:$B,0))*$G107*INDEX([1]ratio_ins!$D:$D,MATCH('001_population_health_zone_zs'!$B107,[1]ratio_ins!$B:$B,0))</f>
        <v>51552.640524000002</v>
      </c>
      <c r="AT107" s="10">
        <f>INDEX([1]ratio_ins!AQ:AQ,MATCH('001_population_health_zone_zs'!$B$2,[1]ratio_ins!$B:$B,0))*$G107*INDEX([1]ratio_ins!$D:$D,MATCH('001_population_health_zone_zs'!$B107,[1]ratio_ins!$B:$B,0))</f>
        <v>1259.8397000000002</v>
      </c>
      <c r="AU107" s="10">
        <f>INDEX([1]ratio_ins!AR:AR,MATCH('001_population_health_zone_zs'!$B$2,[1]ratio_ins!$B:$B,0))*$G107*INDEX([1]ratio_ins!$D:$D,MATCH('001_population_health_zone_zs'!$B107,[1]ratio_ins!$B:$B,0))</f>
        <v>755.90382000000011</v>
      </c>
      <c r="AV107" s="10">
        <f>INDEX([1]ratio_ins!AS:AS,MATCH('001_population_health_zone_zs'!$B$2,[1]ratio_ins!$B:$B,0))*$G107*INDEX([1]ratio_ins!$D:$D,MATCH('001_population_health_zone_zs'!$B107,[1]ratio_ins!$B:$B,0))</f>
        <v>377.95191000000005</v>
      </c>
      <c r="AW107" s="10">
        <f>INDEX([1]ratio_ins!AT:AT,MATCH('001_population_health_zone_zs'!$B$2,[1]ratio_ins!$B:$B,0))*$G107*INDEX([1]ratio_ins!$D:$D,MATCH('001_population_health_zone_zs'!$B107,[1]ratio_ins!$B:$B,0))</f>
        <v>251.96794000000003</v>
      </c>
      <c r="AX107" s="13">
        <f>INDEX([1]ratio_ins!AU:AU,MATCH('001_population_health_zone_zs'!$B$2,[1]ratio_ins!$B:$B,0))*$G107*INDEX([1]ratio_ins!$D:$D,MATCH('001_population_health_zone_zs'!$B107,[1]ratio_ins!$B:$B,0))</f>
        <v>2645.6633699999998</v>
      </c>
      <c r="AY107" s="14">
        <f t="shared" si="7"/>
        <v>125983.97</v>
      </c>
      <c r="AZ107" s="15">
        <f t="shared" si="8"/>
        <v>245105</v>
      </c>
      <c r="BA107" s="16">
        <v>236393.3865201927</v>
      </c>
      <c r="BB107" s="10">
        <f t="shared" si="9"/>
        <v>53543.187250000003</v>
      </c>
      <c r="BC107" s="17">
        <f t="shared" si="10"/>
        <v>0.21845000000000001</v>
      </c>
      <c r="BD107" s="10">
        <f t="shared" si="11"/>
        <v>49673.469509999995</v>
      </c>
    </row>
    <row r="108" spans="1:56" x14ac:dyDescent="0.25">
      <c r="A108" s="8" t="s">
        <v>255</v>
      </c>
      <c r="B108" s="8" t="s">
        <v>256</v>
      </c>
      <c r="C108" s="8" t="s">
        <v>257</v>
      </c>
      <c r="D108" s="8" t="s">
        <v>258</v>
      </c>
      <c r="E108" s="8" t="s">
        <v>262</v>
      </c>
      <c r="F108" s="8" t="s">
        <v>263</v>
      </c>
      <c r="G108" s="9">
        <v>119188</v>
      </c>
      <c r="H108" s="10">
        <f>INDEX([1]ratio_ins!F:F,MATCH('001_population_health_zone_zs'!$B$2,[1]ratio_ins!$B:$B,0))*$G108*INDEX([1]ratio_ins!$C:$C,MATCH('001_population_health_zone_zs'!$B108,[1]ratio_ins!$B:$B,0))</f>
        <v>12106.401911999999</v>
      </c>
      <c r="I108" s="10">
        <f>INDEX([1]ratio_ins!G:G,MATCH('001_population_health_zone_zs'!$B$2,[1]ratio_ins!$B:$B,0))*$G108*INDEX([1]ratio_ins!$C:$C,MATCH('001_population_health_zone_zs'!$B108,[1]ratio_ins!$B:$B,0))</f>
        <v>9905.2379280000005</v>
      </c>
      <c r="J108" s="10">
        <f>INDEX([1]ratio_ins!H:H,MATCH('001_population_health_zone_zs'!$B$2,[1]ratio_ins!$B:$B,0))*$G108*INDEX([1]ratio_ins!$C:$C,MATCH('001_population_health_zone_zs'!$B108,[1]ratio_ins!$B:$B,0))</f>
        <v>7819.9246800000001</v>
      </c>
      <c r="K108" s="10">
        <f>INDEX([1]ratio_ins!I:I,MATCH('001_population_health_zone_zs'!$B$2,[1]ratio_ins!$B:$B,0))*$G108*INDEX([1]ratio_ins!$C:$C,MATCH('001_population_health_zone_zs'!$B108,[1]ratio_ins!$B:$B,0))</f>
        <v>4807.8055440000007</v>
      </c>
      <c r="L108" s="10">
        <f>INDEX([1]ratio_ins!J:J,MATCH('001_population_health_zone_zs'!$B$2,[1]ratio_ins!$B:$B,0))*$G108*INDEX([1]ratio_ins!$C:$C,MATCH('001_population_health_zone_zs'!$B108,[1]ratio_ins!$B:$B,0))</f>
        <v>2884.6833263999997</v>
      </c>
      <c r="M108" s="11">
        <f>INDEX([1]ratio_ins!K:K,MATCH('001_population_health_zone_zs'!$B$2,[1]ratio_ins!$B:$B,0))*$G108*INDEX([1]ratio_ins!$C:$C,MATCH('001_population_health_zone_zs'!$B108,[1]ratio_ins!$B:$B,0))</f>
        <v>32716.247846400001</v>
      </c>
      <c r="N108" s="10">
        <f>INDEX([1]ratio_ins!L:L,MATCH('001_population_health_zone_zs'!$B$2,[1]ratio_ins!$B:$B,0))*$G108*INDEX([1]ratio_ins!$C:$C,MATCH('001_population_health_zone_zs'!$B108,[1]ratio_ins!$B:$B,0))</f>
        <v>1923.1222175999999</v>
      </c>
      <c r="O108" s="10">
        <f>INDEX([1]ratio_ins!M:M,MATCH('001_population_health_zone_zs'!$B$2,[1]ratio_ins!$B:$B,0))*$G108*INDEX([1]ratio_ins!$C:$C,MATCH('001_population_health_zone_zs'!$B108,[1]ratio_ins!$B:$B,0))</f>
        <v>4170.6264960000008</v>
      </c>
      <c r="P108" s="10">
        <f>INDEX([1]ratio_ins!N:N,MATCH('001_population_health_zone_zs'!$B$2,[1]ratio_ins!$B:$B,0))*$G108*INDEX([1]ratio_ins!$C:$C,MATCH('001_population_health_zone_zs'!$B108,[1]ratio_ins!$B:$B,0))</f>
        <v>3765.1489200000001</v>
      </c>
      <c r="Q108" s="10">
        <f>INDEX([1]ratio_ins!O:O,MATCH('001_population_health_zone_zs'!$B$2,[1]ratio_ins!$B:$B,0))*$G108*INDEX([1]ratio_ins!$C:$C,MATCH('001_population_health_zone_zs'!$B108,[1]ratio_ins!$B:$B,0))</f>
        <v>3359.6713439999999</v>
      </c>
      <c r="R108" s="10">
        <f>INDEX([1]ratio_ins!P:P,MATCH('001_population_health_zone_zs'!$B$2,[1]ratio_ins!$B:$B,0))*$G108*INDEX([1]ratio_ins!$C:$C,MATCH('001_population_health_zone_zs'!$B108,[1]ratio_ins!$B:$B,0))</f>
        <v>3301.7459760000002</v>
      </c>
      <c r="S108" s="10">
        <f>INDEX([1]ratio_ins!Q:Q,MATCH('001_population_health_zone_zs'!$B$2,[1]ratio_ins!$B:$B,0))*$G108*INDEX([1]ratio_ins!$C:$C,MATCH('001_population_health_zone_zs'!$B108,[1]ratio_ins!$B:$B,0))</f>
        <v>2780.4176640000001</v>
      </c>
      <c r="T108" s="10">
        <f>INDEX([1]ratio_ins!R:R,MATCH('001_population_health_zone_zs'!$B$2,[1]ratio_ins!$B:$B,0))*$G108*INDEX([1]ratio_ins!$C:$C,MATCH('001_population_health_zone_zs'!$B108,[1]ratio_ins!$B:$B,0))</f>
        <v>1969.4625120000001</v>
      </c>
      <c r="U108" s="10">
        <f>INDEX([1]ratio_ins!S:S,MATCH('001_population_health_zone_zs'!$B$2,[1]ratio_ins!$B:$B,0))*$G108*INDEX([1]ratio_ins!$C:$C,MATCH('001_population_health_zone_zs'!$B108,[1]ratio_ins!$B:$B,0))</f>
        <v>1563.9849360000003</v>
      </c>
      <c r="V108" s="10">
        <f>INDEX([1]ratio_ins!T:T,MATCH('001_population_health_zone_zs'!$B$2,[1]ratio_ins!$B:$B,0))*$G108*INDEX([1]ratio_ins!$C:$C,MATCH('001_population_health_zone_zs'!$B108,[1]ratio_ins!$B:$B,0))</f>
        <v>868.88051999999993</v>
      </c>
      <c r="W108" s="11">
        <f>INDEX([1]ratio_ins!U:U,MATCH('001_population_health_zone_zs'!$B$2,[1]ratio_ins!$B:$B,0))*$G108*INDEX([1]ratio_ins!$C:$C,MATCH('001_population_health_zone_zs'!$B108,[1]ratio_ins!$B:$B,0))</f>
        <v>23703.0605856</v>
      </c>
      <c r="X108" s="10">
        <f>INDEX([1]ratio_ins!V:V,MATCH('001_population_health_zone_zs'!$B$2,[1]ratio_ins!$B:$B,0))*$G108*INDEX([1]ratio_ins!$C:$C,MATCH('001_population_health_zone_zs'!$B108,[1]ratio_ins!$B:$B,0))</f>
        <v>695.10441600000001</v>
      </c>
      <c r="Y108" s="10">
        <f>INDEX([1]ratio_ins!W:W,MATCH('001_population_health_zone_zs'!$B$2,[1]ratio_ins!$B:$B,0))*$G108*INDEX([1]ratio_ins!$C:$C,MATCH('001_population_health_zone_zs'!$B108,[1]ratio_ins!$B:$B,0))</f>
        <v>463.40294399999999</v>
      </c>
      <c r="Z108" s="10">
        <f>INDEX([1]ratio_ins!X:X,MATCH('001_population_health_zone_zs'!$B$2,[1]ratio_ins!$B:$B,0))*$G108*INDEX([1]ratio_ins!$C:$C,MATCH('001_population_health_zone_zs'!$B108,[1]ratio_ins!$B:$B,0))</f>
        <v>231.701472</v>
      </c>
      <c r="AA108" s="10">
        <f>INDEX([1]ratio_ins!Y:Y,MATCH('001_population_health_zone_zs'!$B$2,[1]ratio_ins!$B:$B,0))*$G108*INDEX([1]ratio_ins!$C:$C,MATCH('001_population_health_zone_zs'!$B108,[1]ratio_ins!$B:$B,0))</f>
        <v>115.850736</v>
      </c>
      <c r="AB108" s="11">
        <f>INDEX([1]ratio_ins!Z:Z,MATCH('001_population_health_zone_zs'!$B$2,[1]ratio_ins!$B:$B,0))*$G108*INDEX([1]ratio_ins!$C:$C,MATCH('001_population_health_zone_zs'!$B108,[1]ratio_ins!$B:$B,0))</f>
        <v>1506.0595680000001</v>
      </c>
      <c r="AC108" s="12">
        <f t="shared" si="6"/>
        <v>57925.368000000002</v>
      </c>
      <c r="AD108" s="10">
        <f>INDEX([1]ratio_ins!AA:AA,MATCH('001_population_health_zone_zs'!$B$2,[1]ratio_ins!$B:$B,0))*$G108*INDEX([1]ratio_ins!$D:$D,MATCH('001_population_health_zone_zs'!$B108,[1]ratio_ins!$B:$B,0))</f>
        <v>12865.15272</v>
      </c>
      <c r="AE108" s="10">
        <f>INDEX([1]ratio_ins!AB:AB,MATCH('001_population_health_zone_zs'!$B$2,[1]ratio_ins!$B:$B,0))*$G108*INDEX([1]ratio_ins!$D:$D,MATCH('001_population_health_zone_zs'!$B108,[1]ratio_ins!$B:$B,0))</f>
        <v>10598.435336</v>
      </c>
      <c r="AF108" s="10">
        <f>INDEX([1]ratio_ins!AC:AC,MATCH('001_population_health_zone_zs'!$B$2,[1]ratio_ins!$B:$B,0))*$G108*INDEX([1]ratio_ins!$D:$D,MATCH('001_population_health_zone_zs'!$B108,[1]ratio_ins!$B:$B,0))</f>
        <v>8392.980583999999</v>
      </c>
      <c r="AG108" s="10">
        <f>INDEX([1]ratio_ins!AD:AD,MATCH('001_population_health_zone_zs'!$B$2,[1]ratio_ins!$B:$B,0))*$G108*INDEX([1]ratio_ins!$D:$D,MATCH('001_population_health_zone_zs'!$B108,[1]ratio_ins!$B:$B,0))</f>
        <v>5084.7984560000004</v>
      </c>
      <c r="AH108" s="10">
        <f>INDEX([1]ratio_ins!AE:AE,MATCH('001_population_health_zone_zs'!$B$2,[1]ratio_ins!$B:$B,0))*$G108*INDEX([1]ratio_ins!$D:$D,MATCH('001_population_health_zone_zs'!$B108,[1]ratio_ins!$B:$B,0))</f>
        <v>3050.8790736000001</v>
      </c>
      <c r="AI108" s="13">
        <f>INDEX([1]ratio_ins!AF:AF,MATCH('001_population_health_zone_zs'!$B$2,[1]ratio_ins!$B:$B,0))*$G108*INDEX([1]ratio_ins!$D:$D,MATCH('001_population_health_zone_zs'!$B108,[1]ratio_ins!$B:$B,0))</f>
        <v>34907.447713599999</v>
      </c>
      <c r="AJ108" s="10">
        <f>INDEX([1]ratio_ins!AG:AG,MATCH('001_population_health_zone_zs'!$B$2,[1]ratio_ins!$B:$B,0))*$G108*INDEX([1]ratio_ins!$D:$D,MATCH('001_population_health_zone_zs'!$B108,[1]ratio_ins!$B:$B,0))</f>
        <v>2033.9193824000001</v>
      </c>
      <c r="AK108" s="10">
        <f>INDEX([1]ratio_ins!AH:AH,MATCH('001_population_health_zone_zs'!$B$2,[1]ratio_ins!$B:$B,0))*$G108*INDEX([1]ratio_ins!$D:$D,MATCH('001_population_health_zone_zs'!$B108,[1]ratio_ins!$B:$B,0))</f>
        <v>4533.434768000001</v>
      </c>
      <c r="AL108" s="10">
        <f>INDEX([1]ratio_ins!AI:AI,MATCH('001_population_health_zone_zs'!$B$2,[1]ratio_ins!$B:$B,0))*$G108*INDEX([1]ratio_ins!$D:$D,MATCH('001_population_health_zone_zs'!$B108,[1]ratio_ins!$B:$B,0))</f>
        <v>4288.3842400000012</v>
      </c>
      <c r="AM108" s="10">
        <f>INDEX([1]ratio_ins!AJ:AJ,MATCH('001_population_health_zone_zs'!$B$2,[1]ratio_ins!$B:$B,0))*$G108*INDEX([1]ratio_ins!$D:$D,MATCH('001_population_health_zone_zs'!$B108,[1]ratio_ins!$B:$B,0))</f>
        <v>3920.8084480000002</v>
      </c>
      <c r="AN108" s="10">
        <f>INDEX([1]ratio_ins!AK:AK,MATCH('001_population_health_zone_zs'!$B$2,[1]ratio_ins!$B:$B,0))*$G108*INDEX([1]ratio_ins!$D:$D,MATCH('001_population_health_zone_zs'!$B108,[1]ratio_ins!$B:$B,0))</f>
        <v>3675.75792</v>
      </c>
      <c r="AO108" s="10">
        <f>INDEX([1]ratio_ins!AL:AL,MATCH('001_population_health_zone_zs'!$B$2,[1]ratio_ins!$B:$B,0))*$G108*INDEX([1]ratio_ins!$D:$D,MATCH('001_population_health_zone_zs'!$B108,[1]ratio_ins!$B:$B,0))</f>
        <v>2756.81844</v>
      </c>
      <c r="AP108" s="10">
        <f>INDEX([1]ratio_ins!AM:AM,MATCH('001_population_health_zone_zs'!$B$2,[1]ratio_ins!$B:$B,0))*$G108*INDEX([1]ratio_ins!$D:$D,MATCH('001_population_health_zone_zs'!$B108,[1]ratio_ins!$B:$B,0))</f>
        <v>1776.6163279999998</v>
      </c>
      <c r="AQ108" s="10">
        <f>INDEX([1]ratio_ins!AN:AN,MATCH('001_population_health_zone_zs'!$B$2,[1]ratio_ins!$B:$B,0))*$G108*INDEX([1]ratio_ins!$D:$D,MATCH('001_population_health_zone_zs'!$B108,[1]ratio_ins!$B:$B,0))</f>
        <v>1409.040536</v>
      </c>
      <c r="AR108" s="10">
        <f>INDEX([1]ratio_ins!AO:AO,MATCH('001_population_health_zone_zs'!$B$2,[1]ratio_ins!$B:$B,0))*$G108*INDEX([1]ratio_ins!$D:$D,MATCH('001_population_health_zone_zs'!$B108,[1]ratio_ins!$B:$B,0))</f>
        <v>673.88895200000013</v>
      </c>
      <c r="AS108" s="13">
        <f>INDEX([1]ratio_ins!AP:AP,MATCH('001_population_health_zone_zs'!$B$2,[1]ratio_ins!$B:$B,0))*$G108*INDEX([1]ratio_ins!$D:$D,MATCH('001_population_health_zone_zs'!$B108,[1]ratio_ins!$B:$B,0))</f>
        <v>25068.669014399999</v>
      </c>
      <c r="AT108" s="10">
        <f>INDEX([1]ratio_ins!AQ:AQ,MATCH('001_population_health_zone_zs'!$B$2,[1]ratio_ins!$B:$B,0))*$G108*INDEX([1]ratio_ins!$D:$D,MATCH('001_population_health_zone_zs'!$B108,[1]ratio_ins!$B:$B,0))</f>
        <v>612.62632000000008</v>
      </c>
      <c r="AU108" s="10">
        <f>INDEX([1]ratio_ins!AR:AR,MATCH('001_population_health_zone_zs'!$B$2,[1]ratio_ins!$B:$B,0))*$G108*INDEX([1]ratio_ins!$D:$D,MATCH('001_population_health_zone_zs'!$B108,[1]ratio_ins!$B:$B,0))</f>
        <v>367.57579200000004</v>
      </c>
      <c r="AV108" s="10">
        <f>INDEX([1]ratio_ins!AS:AS,MATCH('001_population_health_zone_zs'!$B$2,[1]ratio_ins!$B:$B,0))*$G108*INDEX([1]ratio_ins!$D:$D,MATCH('001_population_health_zone_zs'!$B108,[1]ratio_ins!$B:$B,0))</f>
        <v>183.78789600000002</v>
      </c>
      <c r="AW108" s="10">
        <f>INDEX([1]ratio_ins!AT:AT,MATCH('001_population_health_zone_zs'!$B$2,[1]ratio_ins!$B:$B,0))*$G108*INDEX([1]ratio_ins!$D:$D,MATCH('001_population_health_zone_zs'!$B108,[1]ratio_ins!$B:$B,0))</f>
        <v>122.52526400000001</v>
      </c>
      <c r="AX108" s="13">
        <f>INDEX([1]ratio_ins!AU:AU,MATCH('001_population_health_zone_zs'!$B$2,[1]ratio_ins!$B:$B,0))*$G108*INDEX([1]ratio_ins!$D:$D,MATCH('001_population_health_zone_zs'!$B108,[1]ratio_ins!$B:$B,0))</f>
        <v>1286.5152719999999</v>
      </c>
      <c r="AY108" s="14">
        <f t="shared" si="7"/>
        <v>61262.631999999991</v>
      </c>
      <c r="AZ108" s="15">
        <f t="shared" si="8"/>
        <v>119188</v>
      </c>
      <c r="BA108" s="16">
        <v>114951.26538554144</v>
      </c>
      <c r="BB108" s="10">
        <f t="shared" si="9"/>
        <v>26036.618600000002</v>
      </c>
      <c r="BC108" s="17">
        <f t="shared" si="10"/>
        <v>0.21845000000000001</v>
      </c>
      <c r="BD108" s="10">
        <f t="shared" si="11"/>
        <v>24154.878455999999</v>
      </c>
    </row>
    <row r="109" spans="1:56" x14ac:dyDescent="0.25">
      <c r="A109" s="8" t="s">
        <v>255</v>
      </c>
      <c r="B109" s="8" t="s">
        <v>256</v>
      </c>
      <c r="C109" s="8" t="s">
        <v>264</v>
      </c>
      <c r="D109" s="8" t="s">
        <v>265</v>
      </c>
      <c r="E109" s="8" t="s">
        <v>264</v>
      </c>
      <c r="F109" s="8" t="s">
        <v>266</v>
      </c>
      <c r="G109" s="9">
        <v>157087</v>
      </c>
      <c r="H109" s="10">
        <f>INDEX([1]ratio_ins!F:F,MATCH('001_population_health_zone_zs'!$B$2,[1]ratio_ins!$B:$B,0))*$G109*INDEX([1]ratio_ins!$C:$C,MATCH('001_population_health_zone_zs'!$B109,[1]ratio_ins!$B:$B,0))</f>
        <v>15955.954937999999</v>
      </c>
      <c r="I109" s="10">
        <f>INDEX([1]ratio_ins!G:G,MATCH('001_population_health_zone_zs'!$B$2,[1]ratio_ins!$B:$B,0))*$G109*INDEX([1]ratio_ins!$C:$C,MATCH('001_population_health_zone_zs'!$B109,[1]ratio_ins!$B:$B,0))</f>
        <v>13054.872222</v>
      </c>
      <c r="J109" s="10">
        <f>INDEX([1]ratio_ins!H:H,MATCH('001_population_health_zone_zs'!$B$2,[1]ratio_ins!$B:$B,0))*$G109*INDEX([1]ratio_ins!$C:$C,MATCH('001_population_health_zone_zs'!$B109,[1]ratio_ins!$B:$B,0))</f>
        <v>10306.478070000001</v>
      </c>
      <c r="K109" s="10">
        <f>INDEX([1]ratio_ins!I:I,MATCH('001_population_health_zone_zs'!$B$2,[1]ratio_ins!$B:$B,0))*$G109*INDEX([1]ratio_ins!$C:$C,MATCH('001_population_health_zone_zs'!$B109,[1]ratio_ins!$B:$B,0))</f>
        <v>6336.5754060000008</v>
      </c>
      <c r="L109" s="10">
        <f>INDEX([1]ratio_ins!J:J,MATCH('001_population_health_zone_zs'!$B$2,[1]ratio_ins!$B:$B,0))*$G109*INDEX([1]ratio_ins!$C:$C,MATCH('001_population_health_zone_zs'!$B109,[1]ratio_ins!$B:$B,0))</f>
        <v>3801.9452435999997</v>
      </c>
      <c r="M109" s="11">
        <f>INDEX([1]ratio_ins!K:K,MATCH('001_population_health_zone_zs'!$B$2,[1]ratio_ins!$B:$B,0))*$G109*INDEX([1]ratio_ins!$C:$C,MATCH('001_population_health_zone_zs'!$B109,[1]ratio_ins!$B:$B,0))</f>
        <v>43119.250473599997</v>
      </c>
      <c r="N109" s="10">
        <f>INDEX([1]ratio_ins!L:L,MATCH('001_population_health_zone_zs'!$B$2,[1]ratio_ins!$B:$B,0))*$G109*INDEX([1]ratio_ins!$C:$C,MATCH('001_population_health_zone_zs'!$B109,[1]ratio_ins!$B:$B,0))</f>
        <v>2534.6301624000002</v>
      </c>
      <c r="O109" s="10">
        <f>INDEX([1]ratio_ins!M:M,MATCH('001_population_health_zone_zs'!$B$2,[1]ratio_ins!$B:$B,0))*$G109*INDEX([1]ratio_ins!$C:$C,MATCH('001_population_health_zone_zs'!$B109,[1]ratio_ins!$B:$B,0))</f>
        <v>5496.7883040000006</v>
      </c>
      <c r="P109" s="10">
        <f>INDEX([1]ratio_ins!N:N,MATCH('001_population_health_zone_zs'!$B$2,[1]ratio_ins!$B:$B,0))*$G109*INDEX([1]ratio_ins!$C:$C,MATCH('001_population_health_zone_zs'!$B109,[1]ratio_ins!$B:$B,0))</f>
        <v>4962.3783300000005</v>
      </c>
      <c r="Q109" s="10">
        <f>INDEX([1]ratio_ins!O:O,MATCH('001_population_health_zone_zs'!$B$2,[1]ratio_ins!$B:$B,0))*$G109*INDEX([1]ratio_ins!$C:$C,MATCH('001_population_health_zone_zs'!$B109,[1]ratio_ins!$B:$B,0))</f>
        <v>4427.9683560000003</v>
      </c>
      <c r="R109" s="10">
        <f>INDEX([1]ratio_ins!P:P,MATCH('001_population_health_zone_zs'!$B$2,[1]ratio_ins!$B:$B,0))*$G109*INDEX([1]ratio_ins!$C:$C,MATCH('001_population_health_zone_zs'!$B109,[1]ratio_ins!$B:$B,0))</f>
        <v>4351.6240740000003</v>
      </c>
      <c r="S109" s="10">
        <f>INDEX([1]ratio_ins!Q:Q,MATCH('001_population_health_zone_zs'!$B$2,[1]ratio_ins!$B:$B,0))*$G109*INDEX([1]ratio_ins!$C:$C,MATCH('001_population_health_zone_zs'!$B109,[1]ratio_ins!$B:$B,0))</f>
        <v>3664.5255360000001</v>
      </c>
      <c r="T109" s="10">
        <f>INDEX([1]ratio_ins!R:R,MATCH('001_population_health_zone_zs'!$B$2,[1]ratio_ins!$B:$B,0))*$G109*INDEX([1]ratio_ins!$C:$C,MATCH('001_population_health_zone_zs'!$B109,[1]ratio_ins!$B:$B,0))</f>
        <v>2595.7055880000003</v>
      </c>
      <c r="U109" s="10">
        <f>INDEX([1]ratio_ins!S:S,MATCH('001_population_health_zone_zs'!$B$2,[1]ratio_ins!$B:$B,0))*$G109*INDEX([1]ratio_ins!$C:$C,MATCH('001_population_health_zone_zs'!$B109,[1]ratio_ins!$B:$B,0))</f>
        <v>2061.2956140000001</v>
      </c>
      <c r="V109" s="10">
        <f>INDEX([1]ratio_ins!T:T,MATCH('001_population_health_zone_zs'!$B$2,[1]ratio_ins!$B:$B,0))*$G109*INDEX([1]ratio_ins!$C:$C,MATCH('001_population_health_zone_zs'!$B109,[1]ratio_ins!$B:$B,0))</f>
        <v>1145.1642299999999</v>
      </c>
      <c r="W109" s="11">
        <f>INDEX([1]ratio_ins!U:U,MATCH('001_population_health_zone_zs'!$B$2,[1]ratio_ins!$B:$B,0))*$G109*INDEX([1]ratio_ins!$C:$C,MATCH('001_population_health_zone_zs'!$B109,[1]ratio_ins!$B:$B,0))</f>
        <v>31240.080194400001</v>
      </c>
      <c r="X109" s="10">
        <f>INDEX([1]ratio_ins!V:V,MATCH('001_population_health_zone_zs'!$B$2,[1]ratio_ins!$B:$B,0))*$G109*INDEX([1]ratio_ins!$C:$C,MATCH('001_population_health_zone_zs'!$B109,[1]ratio_ins!$B:$B,0))</f>
        <v>916.13138400000003</v>
      </c>
      <c r="Y109" s="10">
        <f>INDEX([1]ratio_ins!W:W,MATCH('001_population_health_zone_zs'!$B$2,[1]ratio_ins!$B:$B,0))*$G109*INDEX([1]ratio_ins!$C:$C,MATCH('001_population_health_zone_zs'!$B109,[1]ratio_ins!$B:$B,0))</f>
        <v>610.75425599999994</v>
      </c>
      <c r="Z109" s="10">
        <f>INDEX([1]ratio_ins!X:X,MATCH('001_population_health_zone_zs'!$B$2,[1]ratio_ins!$B:$B,0))*$G109*INDEX([1]ratio_ins!$C:$C,MATCH('001_population_health_zone_zs'!$B109,[1]ratio_ins!$B:$B,0))</f>
        <v>305.37712799999997</v>
      </c>
      <c r="AA109" s="10">
        <f>INDEX([1]ratio_ins!Y:Y,MATCH('001_population_health_zone_zs'!$B$2,[1]ratio_ins!$B:$B,0))*$G109*INDEX([1]ratio_ins!$C:$C,MATCH('001_population_health_zone_zs'!$B109,[1]ratio_ins!$B:$B,0))</f>
        <v>152.68856399999999</v>
      </c>
      <c r="AB109" s="11">
        <f>INDEX([1]ratio_ins!Z:Z,MATCH('001_population_health_zone_zs'!$B$2,[1]ratio_ins!$B:$B,0))*$G109*INDEX([1]ratio_ins!$C:$C,MATCH('001_population_health_zone_zs'!$B109,[1]ratio_ins!$B:$B,0))</f>
        <v>1984.9513320000001</v>
      </c>
      <c r="AC109" s="12">
        <f t="shared" si="6"/>
        <v>76344.281999999992</v>
      </c>
      <c r="AD109" s="10">
        <f>INDEX([1]ratio_ins!AA:AA,MATCH('001_population_health_zone_zs'!$B$2,[1]ratio_ins!$B:$B,0))*$G109*INDEX([1]ratio_ins!$D:$D,MATCH('001_population_health_zone_zs'!$B109,[1]ratio_ins!$B:$B,0))</f>
        <v>16955.97078</v>
      </c>
      <c r="AE109" s="10">
        <f>INDEX([1]ratio_ins!AB:AB,MATCH('001_population_health_zone_zs'!$B$2,[1]ratio_ins!$B:$B,0))*$G109*INDEX([1]ratio_ins!$D:$D,MATCH('001_population_health_zone_zs'!$B109,[1]ratio_ins!$B:$B,0))</f>
        <v>13968.490214000001</v>
      </c>
      <c r="AF109" s="10">
        <f>INDEX([1]ratio_ins!AC:AC,MATCH('001_population_health_zone_zs'!$B$2,[1]ratio_ins!$B:$B,0))*$G109*INDEX([1]ratio_ins!$D:$D,MATCH('001_population_health_zone_zs'!$B109,[1]ratio_ins!$B:$B,0))</f>
        <v>11061.752365999999</v>
      </c>
      <c r="AG109" s="10">
        <f>INDEX([1]ratio_ins!AD:AD,MATCH('001_population_health_zone_zs'!$B$2,[1]ratio_ins!$B:$B,0))*$G109*INDEX([1]ratio_ins!$D:$D,MATCH('001_population_health_zone_zs'!$B109,[1]ratio_ins!$B:$B,0))</f>
        <v>6701.6455940000005</v>
      </c>
      <c r="AH109" s="10">
        <f>INDEX([1]ratio_ins!AE:AE,MATCH('001_population_health_zone_zs'!$B$2,[1]ratio_ins!$B:$B,0))*$G109*INDEX([1]ratio_ins!$D:$D,MATCH('001_population_health_zone_zs'!$B109,[1]ratio_ins!$B:$B,0))</f>
        <v>4020.9873563999995</v>
      </c>
      <c r="AI109" s="13">
        <f>INDEX([1]ratio_ins!AF:AF,MATCH('001_population_health_zone_zs'!$B$2,[1]ratio_ins!$B:$B,0))*$G109*INDEX([1]ratio_ins!$D:$D,MATCH('001_population_health_zone_zs'!$B109,[1]ratio_ins!$B:$B,0))</f>
        <v>46007.200716399995</v>
      </c>
      <c r="AJ109" s="10">
        <f>INDEX([1]ratio_ins!AG:AG,MATCH('001_population_health_zone_zs'!$B$2,[1]ratio_ins!$B:$B,0))*$G109*INDEX([1]ratio_ins!$D:$D,MATCH('001_population_health_zone_zs'!$B109,[1]ratio_ins!$B:$B,0))</f>
        <v>2680.6582376000001</v>
      </c>
      <c r="AK109" s="10">
        <f>INDEX([1]ratio_ins!AH:AH,MATCH('001_population_health_zone_zs'!$B$2,[1]ratio_ins!$B:$B,0))*$G109*INDEX([1]ratio_ins!$D:$D,MATCH('001_population_health_zone_zs'!$B109,[1]ratio_ins!$B:$B,0))</f>
        <v>5974.9611320000013</v>
      </c>
      <c r="AL109" s="10">
        <f>INDEX([1]ratio_ins!AI:AI,MATCH('001_population_health_zone_zs'!$B$2,[1]ratio_ins!$B:$B,0))*$G109*INDEX([1]ratio_ins!$D:$D,MATCH('001_population_health_zone_zs'!$B109,[1]ratio_ins!$B:$B,0))</f>
        <v>5651.9902600000005</v>
      </c>
      <c r="AM109" s="10">
        <f>INDEX([1]ratio_ins!AJ:AJ,MATCH('001_population_health_zone_zs'!$B$2,[1]ratio_ins!$B:$B,0))*$G109*INDEX([1]ratio_ins!$D:$D,MATCH('001_population_health_zone_zs'!$B109,[1]ratio_ins!$B:$B,0))</f>
        <v>5167.5339519999998</v>
      </c>
      <c r="AN109" s="10">
        <f>INDEX([1]ratio_ins!AK:AK,MATCH('001_population_health_zone_zs'!$B$2,[1]ratio_ins!$B:$B,0))*$G109*INDEX([1]ratio_ins!$D:$D,MATCH('001_population_health_zone_zs'!$B109,[1]ratio_ins!$B:$B,0))</f>
        <v>4844.5630799999999</v>
      </c>
      <c r="AO109" s="10">
        <f>INDEX([1]ratio_ins!AL:AL,MATCH('001_population_health_zone_zs'!$B$2,[1]ratio_ins!$B:$B,0))*$G109*INDEX([1]ratio_ins!$D:$D,MATCH('001_population_health_zone_zs'!$B109,[1]ratio_ins!$B:$B,0))</f>
        <v>3633.4223099999999</v>
      </c>
      <c r="AP109" s="10">
        <f>INDEX([1]ratio_ins!AM:AM,MATCH('001_population_health_zone_zs'!$B$2,[1]ratio_ins!$B:$B,0))*$G109*INDEX([1]ratio_ins!$D:$D,MATCH('001_population_health_zone_zs'!$B109,[1]ratio_ins!$B:$B,0))</f>
        <v>2341.538822</v>
      </c>
      <c r="AQ109" s="10">
        <f>INDEX([1]ratio_ins!AN:AN,MATCH('001_population_health_zone_zs'!$B$2,[1]ratio_ins!$B:$B,0))*$G109*INDEX([1]ratio_ins!$D:$D,MATCH('001_population_health_zone_zs'!$B109,[1]ratio_ins!$B:$B,0))</f>
        <v>1857.0825139999999</v>
      </c>
      <c r="AR109" s="10">
        <f>INDEX([1]ratio_ins!AO:AO,MATCH('001_population_health_zone_zs'!$B$2,[1]ratio_ins!$B:$B,0))*$G109*INDEX([1]ratio_ins!$D:$D,MATCH('001_population_health_zone_zs'!$B109,[1]ratio_ins!$B:$B,0))</f>
        <v>888.1698980000001</v>
      </c>
      <c r="AS109" s="13">
        <f>INDEX([1]ratio_ins!AP:AP,MATCH('001_population_health_zone_zs'!$B$2,[1]ratio_ins!$B:$B,0))*$G109*INDEX([1]ratio_ins!$D:$D,MATCH('001_population_health_zone_zs'!$B109,[1]ratio_ins!$B:$B,0))</f>
        <v>33039.920205599999</v>
      </c>
      <c r="AT109" s="10">
        <f>INDEX([1]ratio_ins!AQ:AQ,MATCH('001_population_health_zone_zs'!$B$2,[1]ratio_ins!$B:$B,0))*$G109*INDEX([1]ratio_ins!$D:$D,MATCH('001_population_health_zone_zs'!$B109,[1]ratio_ins!$B:$B,0))</f>
        <v>807.42718000000013</v>
      </c>
      <c r="AU109" s="10">
        <f>INDEX([1]ratio_ins!AR:AR,MATCH('001_population_health_zone_zs'!$B$2,[1]ratio_ins!$B:$B,0))*$G109*INDEX([1]ratio_ins!$D:$D,MATCH('001_population_health_zone_zs'!$B109,[1]ratio_ins!$B:$B,0))</f>
        <v>484.45630800000004</v>
      </c>
      <c r="AV109" s="10">
        <f>INDEX([1]ratio_ins!AS:AS,MATCH('001_population_health_zone_zs'!$B$2,[1]ratio_ins!$B:$B,0))*$G109*INDEX([1]ratio_ins!$D:$D,MATCH('001_population_health_zone_zs'!$B109,[1]ratio_ins!$B:$B,0))</f>
        <v>242.22815400000002</v>
      </c>
      <c r="AW109" s="10">
        <f>INDEX([1]ratio_ins!AT:AT,MATCH('001_population_health_zone_zs'!$B$2,[1]ratio_ins!$B:$B,0))*$G109*INDEX([1]ratio_ins!$D:$D,MATCH('001_population_health_zone_zs'!$B109,[1]ratio_ins!$B:$B,0))</f>
        <v>161.48543599999999</v>
      </c>
      <c r="AX109" s="13">
        <f>INDEX([1]ratio_ins!AU:AU,MATCH('001_population_health_zone_zs'!$B$2,[1]ratio_ins!$B:$B,0))*$G109*INDEX([1]ratio_ins!$D:$D,MATCH('001_population_health_zone_zs'!$B109,[1]ratio_ins!$B:$B,0))</f>
        <v>1695.597078</v>
      </c>
      <c r="AY109" s="14">
        <f t="shared" si="7"/>
        <v>80742.718000000008</v>
      </c>
      <c r="AZ109" s="15">
        <f t="shared" si="8"/>
        <v>157087</v>
      </c>
      <c r="BA109" s="16">
        <v>151503.54449518744</v>
      </c>
      <c r="BB109" s="10">
        <f t="shared" si="9"/>
        <v>34315.655150000006</v>
      </c>
      <c r="BC109" s="17">
        <f t="shared" si="10"/>
        <v>0.21845000000000003</v>
      </c>
      <c r="BD109" s="10">
        <f t="shared" si="11"/>
        <v>31835.565594000003</v>
      </c>
    </row>
    <row r="110" spans="1:56" x14ac:dyDescent="0.25">
      <c r="A110" s="8" t="s">
        <v>255</v>
      </c>
      <c r="B110" s="8" t="s">
        <v>256</v>
      </c>
      <c r="C110" s="8" t="s">
        <v>264</v>
      </c>
      <c r="D110" s="8" t="s">
        <v>265</v>
      </c>
      <c r="E110" s="8" t="s">
        <v>267</v>
      </c>
      <c r="F110" s="8" t="s">
        <v>268</v>
      </c>
      <c r="G110" s="9">
        <v>106646</v>
      </c>
      <c r="H110" s="10">
        <f>INDEX([1]ratio_ins!F:F,MATCH('001_population_health_zone_zs'!$B$2,[1]ratio_ins!$B:$B,0))*$G110*INDEX([1]ratio_ins!$C:$C,MATCH('001_population_health_zone_zs'!$B110,[1]ratio_ins!$B:$B,0))</f>
        <v>10832.460803999998</v>
      </c>
      <c r="I110" s="10">
        <f>INDEX([1]ratio_ins!G:G,MATCH('001_population_health_zone_zs'!$B$2,[1]ratio_ins!$B:$B,0))*$G110*INDEX([1]ratio_ins!$C:$C,MATCH('001_population_health_zone_zs'!$B110,[1]ratio_ins!$B:$B,0))</f>
        <v>8862.9224759999997</v>
      </c>
      <c r="J110" s="10">
        <f>INDEX([1]ratio_ins!H:H,MATCH('001_population_health_zone_zs'!$B$2,[1]ratio_ins!$B:$B,0))*$G110*INDEX([1]ratio_ins!$C:$C,MATCH('001_population_health_zone_zs'!$B110,[1]ratio_ins!$B:$B,0))</f>
        <v>6997.0440600000002</v>
      </c>
      <c r="K110" s="10">
        <f>INDEX([1]ratio_ins!I:I,MATCH('001_population_health_zone_zs'!$B$2,[1]ratio_ins!$B:$B,0))*$G110*INDEX([1]ratio_ins!$C:$C,MATCH('001_population_health_zone_zs'!$B110,[1]ratio_ins!$B:$B,0))</f>
        <v>4301.886348</v>
      </c>
      <c r="L110" s="10">
        <f>INDEX([1]ratio_ins!J:J,MATCH('001_population_health_zone_zs'!$B$2,[1]ratio_ins!$B:$B,0))*$G110*INDEX([1]ratio_ins!$C:$C,MATCH('001_population_health_zone_zs'!$B110,[1]ratio_ins!$B:$B,0))</f>
        <v>2581.1318087999998</v>
      </c>
      <c r="M110" s="11">
        <f>INDEX([1]ratio_ins!K:K,MATCH('001_population_health_zone_zs'!$B$2,[1]ratio_ins!$B:$B,0))*$G110*INDEX([1]ratio_ins!$C:$C,MATCH('001_population_health_zone_zs'!$B110,[1]ratio_ins!$B:$B,0))</f>
        <v>29273.559148799999</v>
      </c>
      <c r="N110" s="10">
        <f>INDEX([1]ratio_ins!L:L,MATCH('001_population_health_zone_zs'!$B$2,[1]ratio_ins!$B:$B,0))*$G110*INDEX([1]ratio_ins!$C:$C,MATCH('001_population_health_zone_zs'!$B110,[1]ratio_ins!$B:$B,0))</f>
        <v>1720.7545392</v>
      </c>
      <c r="O110" s="10">
        <f>INDEX([1]ratio_ins!M:M,MATCH('001_population_health_zone_zs'!$B$2,[1]ratio_ins!$B:$B,0))*$G110*INDEX([1]ratio_ins!$C:$C,MATCH('001_population_health_zone_zs'!$B110,[1]ratio_ins!$B:$B,0))</f>
        <v>3731.756832</v>
      </c>
      <c r="P110" s="10">
        <f>INDEX([1]ratio_ins!N:N,MATCH('001_population_health_zone_zs'!$B$2,[1]ratio_ins!$B:$B,0))*$G110*INDEX([1]ratio_ins!$C:$C,MATCH('001_population_health_zone_zs'!$B110,[1]ratio_ins!$B:$B,0))</f>
        <v>3368.9471400000002</v>
      </c>
      <c r="Q110" s="10">
        <f>INDEX([1]ratio_ins!O:O,MATCH('001_population_health_zone_zs'!$B$2,[1]ratio_ins!$B:$B,0))*$G110*INDEX([1]ratio_ins!$C:$C,MATCH('001_population_health_zone_zs'!$B110,[1]ratio_ins!$B:$B,0))</f>
        <v>3006.1374479999999</v>
      </c>
      <c r="R110" s="10">
        <f>INDEX([1]ratio_ins!P:P,MATCH('001_population_health_zone_zs'!$B$2,[1]ratio_ins!$B:$B,0))*$G110*INDEX([1]ratio_ins!$C:$C,MATCH('001_population_health_zone_zs'!$B110,[1]ratio_ins!$B:$B,0))</f>
        <v>2954.3074919999999</v>
      </c>
      <c r="S110" s="10">
        <f>INDEX([1]ratio_ins!Q:Q,MATCH('001_population_health_zone_zs'!$B$2,[1]ratio_ins!$B:$B,0))*$G110*INDEX([1]ratio_ins!$C:$C,MATCH('001_population_health_zone_zs'!$B110,[1]ratio_ins!$B:$B,0))</f>
        <v>2487.837888</v>
      </c>
      <c r="T110" s="10">
        <f>INDEX([1]ratio_ins!R:R,MATCH('001_population_health_zone_zs'!$B$2,[1]ratio_ins!$B:$B,0))*$G110*INDEX([1]ratio_ins!$C:$C,MATCH('001_population_health_zone_zs'!$B110,[1]ratio_ins!$B:$B,0))</f>
        <v>1762.2185040000002</v>
      </c>
      <c r="U110" s="10">
        <f>INDEX([1]ratio_ins!S:S,MATCH('001_population_health_zone_zs'!$B$2,[1]ratio_ins!$B:$B,0))*$G110*INDEX([1]ratio_ins!$C:$C,MATCH('001_population_health_zone_zs'!$B110,[1]ratio_ins!$B:$B,0))</f>
        <v>1399.4088120000001</v>
      </c>
      <c r="V110" s="10">
        <f>INDEX([1]ratio_ins!T:T,MATCH('001_population_health_zone_zs'!$B$2,[1]ratio_ins!$B:$B,0))*$G110*INDEX([1]ratio_ins!$C:$C,MATCH('001_population_health_zone_zs'!$B110,[1]ratio_ins!$B:$B,0))</f>
        <v>777.44933999999989</v>
      </c>
      <c r="W110" s="11">
        <f>INDEX([1]ratio_ins!U:U,MATCH('001_population_health_zone_zs'!$B$2,[1]ratio_ins!$B:$B,0))*$G110*INDEX([1]ratio_ins!$C:$C,MATCH('001_population_health_zone_zs'!$B110,[1]ratio_ins!$B:$B,0))</f>
        <v>21208.817995199999</v>
      </c>
      <c r="X110" s="10">
        <f>INDEX([1]ratio_ins!V:V,MATCH('001_population_health_zone_zs'!$B$2,[1]ratio_ins!$B:$B,0))*$G110*INDEX([1]ratio_ins!$C:$C,MATCH('001_population_health_zone_zs'!$B110,[1]ratio_ins!$B:$B,0))</f>
        <v>621.95947200000001</v>
      </c>
      <c r="Y110" s="10">
        <f>INDEX([1]ratio_ins!W:W,MATCH('001_population_health_zone_zs'!$B$2,[1]ratio_ins!$B:$B,0))*$G110*INDEX([1]ratio_ins!$C:$C,MATCH('001_population_health_zone_zs'!$B110,[1]ratio_ins!$B:$B,0))</f>
        <v>414.63964799999997</v>
      </c>
      <c r="Z110" s="10">
        <f>INDEX([1]ratio_ins!X:X,MATCH('001_population_health_zone_zs'!$B$2,[1]ratio_ins!$B:$B,0))*$G110*INDEX([1]ratio_ins!$C:$C,MATCH('001_population_health_zone_zs'!$B110,[1]ratio_ins!$B:$B,0))</f>
        <v>207.31982399999998</v>
      </c>
      <c r="AA110" s="10">
        <f>INDEX([1]ratio_ins!Y:Y,MATCH('001_population_health_zone_zs'!$B$2,[1]ratio_ins!$B:$B,0))*$G110*INDEX([1]ratio_ins!$C:$C,MATCH('001_population_health_zone_zs'!$B110,[1]ratio_ins!$B:$B,0))</f>
        <v>103.65991199999999</v>
      </c>
      <c r="AB110" s="11">
        <f>INDEX([1]ratio_ins!Z:Z,MATCH('001_population_health_zone_zs'!$B$2,[1]ratio_ins!$B:$B,0))*$G110*INDEX([1]ratio_ins!$C:$C,MATCH('001_population_health_zone_zs'!$B110,[1]ratio_ins!$B:$B,0))</f>
        <v>1347.5788560000001</v>
      </c>
      <c r="AC110" s="12">
        <f t="shared" si="6"/>
        <v>51829.955999999998</v>
      </c>
      <c r="AD110" s="10">
        <f>INDEX([1]ratio_ins!AA:AA,MATCH('001_population_health_zone_zs'!$B$2,[1]ratio_ins!$B:$B,0))*$G110*INDEX([1]ratio_ins!$D:$D,MATCH('001_population_health_zone_zs'!$B110,[1]ratio_ins!$B:$B,0))</f>
        <v>11511.36924</v>
      </c>
      <c r="AE110" s="10">
        <f>INDEX([1]ratio_ins!AB:AB,MATCH('001_population_health_zone_zs'!$B$2,[1]ratio_ins!$B:$B,0))*$G110*INDEX([1]ratio_ins!$D:$D,MATCH('001_population_health_zone_zs'!$B110,[1]ratio_ins!$B:$B,0))</f>
        <v>9483.1756120000009</v>
      </c>
      <c r="AF110" s="10">
        <f>INDEX([1]ratio_ins!AC:AC,MATCH('001_population_health_zone_zs'!$B$2,[1]ratio_ins!$B:$B,0))*$G110*INDEX([1]ratio_ins!$D:$D,MATCH('001_population_health_zone_zs'!$B110,[1]ratio_ins!$B:$B,0))</f>
        <v>7509.7980279999992</v>
      </c>
      <c r="AG110" s="10">
        <f>INDEX([1]ratio_ins!AD:AD,MATCH('001_population_health_zone_zs'!$B$2,[1]ratio_ins!$B:$B,0))*$G110*INDEX([1]ratio_ins!$D:$D,MATCH('001_population_health_zone_zs'!$B110,[1]ratio_ins!$B:$B,0))</f>
        <v>4549.7316520000004</v>
      </c>
      <c r="AH110" s="10">
        <f>INDEX([1]ratio_ins!AE:AE,MATCH('001_population_health_zone_zs'!$B$2,[1]ratio_ins!$B:$B,0))*$G110*INDEX([1]ratio_ins!$D:$D,MATCH('001_population_health_zone_zs'!$B110,[1]ratio_ins!$B:$B,0))</f>
        <v>2729.8389912000002</v>
      </c>
      <c r="AI110" s="13">
        <f>INDEX([1]ratio_ins!AF:AF,MATCH('001_population_health_zone_zs'!$B$2,[1]ratio_ins!$B:$B,0))*$G110*INDEX([1]ratio_ins!$D:$D,MATCH('001_population_health_zone_zs'!$B110,[1]ratio_ins!$B:$B,0))</f>
        <v>31234.181871199999</v>
      </c>
      <c r="AJ110" s="10">
        <f>INDEX([1]ratio_ins!AG:AG,MATCH('001_population_health_zone_zs'!$B$2,[1]ratio_ins!$B:$B,0))*$G110*INDEX([1]ratio_ins!$D:$D,MATCH('001_population_health_zone_zs'!$B110,[1]ratio_ins!$B:$B,0))</f>
        <v>1819.8926607999999</v>
      </c>
      <c r="AK110" s="10">
        <f>INDEX([1]ratio_ins!AH:AH,MATCH('001_population_health_zone_zs'!$B$2,[1]ratio_ins!$B:$B,0))*$G110*INDEX([1]ratio_ins!$D:$D,MATCH('001_population_health_zone_zs'!$B110,[1]ratio_ins!$B:$B,0))</f>
        <v>4056.3872560000004</v>
      </c>
      <c r="AL110" s="10">
        <f>INDEX([1]ratio_ins!AI:AI,MATCH('001_population_health_zone_zs'!$B$2,[1]ratio_ins!$B:$B,0))*$G110*INDEX([1]ratio_ins!$D:$D,MATCH('001_population_health_zone_zs'!$B110,[1]ratio_ins!$B:$B,0))</f>
        <v>3837.1230800000008</v>
      </c>
      <c r="AM110" s="10">
        <f>INDEX([1]ratio_ins!AJ:AJ,MATCH('001_population_health_zone_zs'!$B$2,[1]ratio_ins!$B:$B,0))*$G110*INDEX([1]ratio_ins!$D:$D,MATCH('001_population_health_zone_zs'!$B110,[1]ratio_ins!$B:$B,0))</f>
        <v>3508.2268160000003</v>
      </c>
      <c r="AN110" s="10">
        <f>INDEX([1]ratio_ins!AK:AK,MATCH('001_population_health_zone_zs'!$B$2,[1]ratio_ins!$B:$B,0))*$G110*INDEX([1]ratio_ins!$D:$D,MATCH('001_population_health_zone_zs'!$B110,[1]ratio_ins!$B:$B,0))</f>
        <v>3288.9626399999997</v>
      </c>
      <c r="AO110" s="10">
        <f>INDEX([1]ratio_ins!AL:AL,MATCH('001_population_health_zone_zs'!$B$2,[1]ratio_ins!$B:$B,0))*$G110*INDEX([1]ratio_ins!$D:$D,MATCH('001_population_health_zone_zs'!$B110,[1]ratio_ins!$B:$B,0))</f>
        <v>2466.7219799999998</v>
      </c>
      <c r="AP110" s="10">
        <f>INDEX([1]ratio_ins!AM:AM,MATCH('001_population_health_zone_zs'!$B$2,[1]ratio_ins!$B:$B,0))*$G110*INDEX([1]ratio_ins!$D:$D,MATCH('001_population_health_zone_zs'!$B110,[1]ratio_ins!$B:$B,0))</f>
        <v>1589.6652759999999</v>
      </c>
      <c r="AQ110" s="10">
        <f>INDEX([1]ratio_ins!AN:AN,MATCH('001_population_health_zone_zs'!$B$2,[1]ratio_ins!$B:$B,0))*$G110*INDEX([1]ratio_ins!$D:$D,MATCH('001_population_health_zone_zs'!$B110,[1]ratio_ins!$B:$B,0))</f>
        <v>1260.7690120000002</v>
      </c>
      <c r="AR110" s="10">
        <f>INDEX([1]ratio_ins!AO:AO,MATCH('001_population_health_zone_zs'!$B$2,[1]ratio_ins!$B:$B,0))*$G110*INDEX([1]ratio_ins!$D:$D,MATCH('001_population_health_zone_zs'!$B110,[1]ratio_ins!$B:$B,0))</f>
        <v>602.97648400000014</v>
      </c>
      <c r="AS110" s="13">
        <f>INDEX([1]ratio_ins!AP:AP,MATCH('001_population_health_zone_zs'!$B$2,[1]ratio_ins!$B:$B,0))*$G110*INDEX([1]ratio_ins!$D:$D,MATCH('001_population_health_zone_zs'!$B110,[1]ratio_ins!$B:$B,0))</f>
        <v>22430.725204800001</v>
      </c>
      <c r="AT110" s="10">
        <f>INDEX([1]ratio_ins!AQ:AQ,MATCH('001_population_health_zone_zs'!$B$2,[1]ratio_ins!$B:$B,0))*$G110*INDEX([1]ratio_ins!$D:$D,MATCH('001_population_health_zone_zs'!$B110,[1]ratio_ins!$B:$B,0))</f>
        <v>548.16043999999999</v>
      </c>
      <c r="AU110" s="10">
        <f>INDEX([1]ratio_ins!AR:AR,MATCH('001_population_health_zone_zs'!$B$2,[1]ratio_ins!$B:$B,0))*$G110*INDEX([1]ratio_ins!$D:$D,MATCH('001_population_health_zone_zs'!$B110,[1]ratio_ins!$B:$B,0))</f>
        <v>328.89626399999997</v>
      </c>
      <c r="AV110" s="10">
        <f>INDEX([1]ratio_ins!AS:AS,MATCH('001_population_health_zone_zs'!$B$2,[1]ratio_ins!$B:$B,0))*$G110*INDEX([1]ratio_ins!$D:$D,MATCH('001_population_health_zone_zs'!$B110,[1]ratio_ins!$B:$B,0))</f>
        <v>164.44813199999999</v>
      </c>
      <c r="AW110" s="10">
        <f>INDEX([1]ratio_ins!AT:AT,MATCH('001_population_health_zone_zs'!$B$2,[1]ratio_ins!$B:$B,0))*$G110*INDEX([1]ratio_ins!$D:$D,MATCH('001_population_health_zone_zs'!$B110,[1]ratio_ins!$B:$B,0))</f>
        <v>109.63208800000001</v>
      </c>
      <c r="AX110" s="13">
        <f>INDEX([1]ratio_ins!AU:AU,MATCH('001_population_health_zone_zs'!$B$2,[1]ratio_ins!$B:$B,0))*$G110*INDEX([1]ratio_ins!$D:$D,MATCH('001_population_health_zone_zs'!$B110,[1]ratio_ins!$B:$B,0))</f>
        <v>1151.1369239999999</v>
      </c>
      <c r="AY110" s="14">
        <f t="shared" si="7"/>
        <v>54816.044000000002</v>
      </c>
      <c r="AZ110" s="15">
        <f t="shared" si="8"/>
        <v>106646</v>
      </c>
      <c r="BA110" s="16">
        <v>102855.09879358643</v>
      </c>
      <c r="BB110" s="10">
        <f t="shared" si="9"/>
        <v>23296.8187</v>
      </c>
      <c r="BC110" s="17">
        <f t="shared" si="10"/>
        <v>0.21845000000000001</v>
      </c>
      <c r="BD110" s="10">
        <f t="shared" si="11"/>
        <v>21613.091651999999</v>
      </c>
    </row>
    <row r="111" spans="1:56" x14ac:dyDescent="0.25">
      <c r="A111" s="8" t="s">
        <v>255</v>
      </c>
      <c r="B111" s="8" t="s">
        <v>256</v>
      </c>
      <c r="C111" s="8" t="s">
        <v>269</v>
      </c>
      <c r="D111" s="8" t="s">
        <v>270</v>
      </c>
      <c r="E111" s="8" t="s">
        <v>271</v>
      </c>
      <c r="F111" s="8" t="s">
        <v>272</v>
      </c>
      <c r="G111" s="9">
        <v>179593</v>
      </c>
      <c r="H111" s="10">
        <f>INDEX([1]ratio_ins!F:F,MATCH('001_population_health_zone_zs'!$B$2,[1]ratio_ins!$B:$B,0))*$G111*INDEX([1]ratio_ins!$C:$C,MATCH('001_population_health_zone_zs'!$B111,[1]ratio_ins!$B:$B,0))</f>
        <v>18241.979381999998</v>
      </c>
      <c r="I111" s="10">
        <f>INDEX([1]ratio_ins!G:G,MATCH('001_population_health_zone_zs'!$B$2,[1]ratio_ins!$B:$B,0))*$G111*INDEX([1]ratio_ins!$C:$C,MATCH('001_population_health_zone_zs'!$B111,[1]ratio_ins!$B:$B,0))</f>
        <v>14925.255858</v>
      </c>
      <c r="J111" s="10">
        <f>INDEX([1]ratio_ins!H:H,MATCH('001_population_health_zone_zs'!$B$2,[1]ratio_ins!$B:$B,0))*$G111*INDEX([1]ratio_ins!$C:$C,MATCH('001_population_health_zone_zs'!$B111,[1]ratio_ins!$B:$B,0))</f>
        <v>11783.096729999999</v>
      </c>
      <c r="K111" s="10">
        <f>INDEX([1]ratio_ins!I:I,MATCH('001_population_health_zone_zs'!$B$2,[1]ratio_ins!$B:$B,0))*$G111*INDEX([1]ratio_ins!$C:$C,MATCH('001_population_health_zone_zs'!$B111,[1]ratio_ins!$B:$B,0))</f>
        <v>7244.4224340000001</v>
      </c>
      <c r="L111" s="10">
        <f>INDEX([1]ratio_ins!J:J,MATCH('001_population_health_zone_zs'!$B$2,[1]ratio_ins!$B:$B,0))*$G111*INDEX([1]ratio_ins!$C:$C,MATCH('001_population_health_zone_zs'!$B111,[1]ratio_ins!$B:$B,0))</f>
        <v>4346.6534603999989</v>
      </c>
      <c r="M111" s="11">
        <f>INDEX([1]ratio_ins!K:K,MATCH('001_population_health_zone_zs'!$B$2,[1]ratio_ins!$B:$B,0))*$G111*INDEX([1]ratio_ins!$C:$C,MATCH('001_population_health_zone_zs'!$B111,[1]ratio_ins!$B:$B,0))</f>
        <v>49296.985430399996</v>
      </c>
      <c r="N111" s="10">
        <f>INDEX([1]ratio_ins!L:L,MATCH('001_population_health_zone_zs'!$B$2,[1]ratio_ins!$B:$B,0))*$G111*INDEX([1]ratio_ins!$C:$C,MATCH('001_population_health_zone_zs'!$B111,[1]ratio_ins!$B:$B,0))</f>
        <v>2897.7689736000002</v>
      </c>
      <c r="O111" s="10">
        <f>INDEX([1]ratio_ins!M:M,MATCH('001_population_health_zone_zs'!$B$2,[1]ratio_ins!$B:$B,0))*$G111*INDEX([1]ratio_ins!$C:$C,MATCH('001_population_health_zone_zs'!$B111,[1]ratio_ins!$B:$B,0))</f>
        <v>6284.3182560000005</v>
      </c>
      <c r="P111" s="10">
        <f>INDEX([1]ratio_ins!N:N,MATCH('001_population_health_zone_zs'!$B$2,[1]ratio_ins!$B:$B,0))*$G111*INDEX([1]ratio_ins!$C:$C,MATCH('001_population_health_zone_zs'!$B111,[1]ratio_ins!$B:$B,0))</f>
        <v>5673.3428699999995</v>
      </c>
      <c r="Q111" s="10">
        <f>INDEX([1]ratio_ins!O:O,MATCH('001_population_health_zone_zs'!$B$2,[1]ratio_ins!$B:$B,0))*$G111*INDEX([1]ratio_ins!$C:$C,MATCH('001_population_health_zone_zs'!$B111,[1]ratio_ins!$B:$B,0))</f>
        <v>5062.3674839999994</v>
      </c>
      <c r="R111" s="10">
        <f>INDEX([1]ratio_ins!P:P,MATCH('001_population_health_zone_zs'!$B$2,[1]ratio_ins!$B:$B,0))*$G111*INDEX([1]ratio_ins!$C:$C,MATCH('001_population_health_zone_zs'!$B111,[1]ratio_ins!$B:$B,0))</f>
        <v>4975.0852859999995</v>
      </c>
      <c r="S111" s="10">
        <f>INDEX([1]ratio_ins!Q:Q,MATCH('001_population_health_zone_zs'!$B$2,[1]ratio_ins!$B:$B,0))*$G111*INDEX([1]ratio_ins!$C:$C,MATCH('001_population_health_zone_zs'!$B111,[1]ratio_ins!$B:$B,0))</f>
        <v>4189.5455039999997</v>
      </c>
      <c r="T111" s="10">
        <f>INDEX([1]ratio_ins!R:R,MATCH('001_population_health_zone_zs'!$B$2,[1]ratio_ins!$B:$B,0))*$G111*INDEX([1]ratio_ins!$C:$C,MATCH('001_population_health_zone_zs'!$B111,[1]ratio_ins!$B:$B,0))</f>
        <v>2967.594732</v>
      </c>
      <c r="U111" s="10">
        <f>INDEX([1]ratio_ins!S:S,MATCH('001_population_health_zone_zs'!$B$2,[1]ratio_ins!$B:$B,0))*$G111*INDEX([1]ratio_ins!$C:$C,MATCH('001_population_health_zone_zs'!$B111,[1]ratio_ins!$B:$B,0))</f>
        <v>2356.619346</v>
      </c>
      <c r="V111" s="10">
        <f>INDEX([1]ratio_ins!T:T,MATCH('001_population_health_zone_zs'!$B$2,[1]ratio_ins!$B:$B,0))*$G111*INDEX([1]ratio_ins!$C:$C,MATCH('001_population_health_zone_zs'!$B111,[1]ratio_ins!$B:$B,0))</f>
        <v>1309.23297</v>
      </c>
      <c r="W111" s="11">
        <f>INDEX([1]ratio_ins!U:U,MATCH('001_population_health_zone_zs'!$B$2,[1]ratio_ins!$B:$B,0))*$G111*INDEX([1]ratio_ins!$C:$C,MATCH('001_population_health_zone_zs'!$B111,[1]ratio_ins!$B:$B,0))</f>
        <v>35715.875421600002</v>
      </c>
      <c r="X111" s="10">
        <f>INDEX([1]ratio_ins!V:V,MATCH('001_population_health_zone_zs'!$B$2,[1]ratio_ins!$B:$B,0))*$G111*INDEX([1]ratio_ins!$C:$C,MATCH('001_population_health_zone_zs'!$B111,[1]ratio_ins!$B:$B,0))</f>
        <v>1047.3863759999999</v>
      </c>
      <c r="Y111" s="10">
        <f>INDEX([1]ratio_ins!W:W,MATCH('001_population_health_zone_zs'!$B$2,[1]ratio_ins!$B:$B,0))*$G111*INDEX([1]ratio_ins!$C:$C,MATCH('001_population_health_zone_zs'!$B111,[1]ratio_ins!$B:$B,0))</f>
        <v>698.25758400000007</v>
      </c>
      <c r="Z111" s="10">
        <f>INDEX([1]ratio_ins!X:X,MATCH('001_population_health_zone_zs'!$B$2,[1]ratio_ins!$B:$B,0))*$G111*INDEX([1]ratio_ins!$C:$C,MATCH('001_population_health_zone_zs'!$B111,[1]ratio_ins!$B:$B,0))</f>
        <v>349.12879200000003</v>
      </c>
      <c r="AA111" s="10">
        <f>INDEX([1]ratio_ins!Y:Y,MATCH('001_population_health_zone_zs'!$B$2,[1]ratio_ins!$B:$B,0))*$G111*INDEX([1]ratio_ins!$C:$C,MATCH('001_population_health_zone_zs'!$B111,[1]ratio_ins!$B:$B,0))</f>
        <v>174.56439600000002</v>
      </c>
      <c r="AB111" s="11">
        <f>INDEX([1]ratio_ins!Z:Z,MATCH('001_population_health_zone_zs'!$B$2,[1]ratio_ins!$B:$B,0))*$G111*INDEX([1]ratio_ins!$C:$C,MATCH('001_population_health_zone_zs'!$B111,[1]ratio_ins!$B:$B,0))</f>
        <v>2269.3371480000001</v>
      </c>
      <c r="AC111" s="12">
        <f t="shared" si="6"/>
        <v>87282.198000000004</v>
      </c>
      <c r="AD111" s="10">
        <f>INDEX([1]ratio_ins!AA:AA,MATCH('001_population_health_zone_zs'!$B$2,[1]ratio_ins!$B:$B,0))*$G111*INDEX([1]ratio_ins!$D:$D,MATCH('001_population_health_zone_zs'!$B111,[1]ratio_ins!$B:$B,0))</f>
        <v>19385.26842</v>
      </c>
      <c r="AE111" s="10">
        <f>INDEX([1]ratio_ins!AB:AB,MATCH('001_population_health_zone_zs'!$B$2,[1]ratio_ins!$B:$B,0))*$G111*INDEX([1]ratio_ins!$D:$D,MATCH('001_population_health_zone_zs'!$B111,[1]ratio_ins!$B:$B,0))</f>
        <v>15969.768746000002</v>
      </c>
      <c r="AF111" s="10">
        <f>INDEX([1]ratio_ins!AC:AC,MATCH('001_population_health_zone_zs'!$B$2,[1]ratio_ins!$B:$B,0))*$G111*INDEX([1]ratio_ins!$D:$D,MATCH('001_population_health_zone_zs'!$B111,[1]ratio_ins!$B:$B,0))</f>
        <v>12646.579873999999</v>
      </c>
      <c r="AG111" s="10">
        <f>INDEX([1]ratio_ins!AD:AD,MATCH('001_population_health_zone_zs'!$B$2,[1]ratio_ins!$B:$B,0))*$G111*INDEX([1]ratio_ins!$D:$D,MATCH('001_population_health_zone_zs'!$B111,[1]ratio_ins!$B:$B,0))</f>
        <v>7661.7965660000009</v>
      </c>
      <c r="AH111" s="10">
        <f>INDEX([1]ratio_ins!AE:AE,MATCH('001_population_health_zone_zs'!$B$2,[1]ratio_ins!$B:$B,0))*$G111*INDEX([1]ratio_ins!$D:$D,MATCH('001_population_health_zone_zs'!$B111,[1]ratio_ins!$B:$B,0))</f>
        <v>4597.0779395999998</v>
      </c>
      <c r="AI111" s="13">
        <f>INDEX([1]ratio_ins!AF:AF,MATCH('001_population_health_zone_zs'!$B$2,[1]ratio_ins!$B:$B,0))*$G111*INDEX([1]ratio_ins!$D:$D,MATCH('001_population_health_zone_zs'!$B111,[1]ratio_ins!$B:$B,0))</f>
        <v>52598.694979599997</v>
      </c>
      <c r="AJ111" s="10">
        <f>INDEX([1]ratio_ins!AG:AG,MATCH('001_population_health_zone_zs'!$B$2,[1]ratio_ins!$B:$B,0))*$G111*INDEX([1]ratio_ins!$D:$D,MATCH('001_population_health_zone_zs'!$B111,[1]ratio_ins!$B:$B,0))</f>
        <v>3064.7186264000002</v>
      </c>
      <c r="AK111" s="10">
        <f>INDEX([1]ratio_ins!AH:AH,MATCH('001_population_health_zone_zs'!$B$2,[1]ratio_ins!$B:$B,0))*$G111*INDEX([1]ratio_ins!$D:$D,MATCH('001_population_health_zone_zs'!$B111,[1]ratio_ins!$B:$B,0))</f>
        <v>6830.9993480000012</v>
      </c>
      <c r="AL111" s="10">
        <f>INDEX([1]ratio_ins!AI:AI,MATCH('001_population_health_zone_zs'!$B$2,[1]ratio_ins!$B:$B,0))*$G111*INDEX([1]ratio_ins!$D:$D,MATCH('001_population_health_zone_zs'!$B111,[1]ratio_ins!$B:$B,0))</f>
        <v>6461.7561400000013</v>
      </c>
      <c r="AM111" s="10">
        <f>INDEX([1]ratio_ins!AJ:AJ,MATCH('001_population_health_zone_zs'!$B$2,[1]ratio_ins!$B:$B,0))*$G111*INDEX([1]ratio_ins!$D:$D,MATCH('001_population_health_zone_zs'!$B111,[1]ratio_ins!$B:$B,0))</f>
        <v>5907.8913280000006</v>
      </c>
      <c r="AN111" s="10">
        <f>INDEX([1]ratio_ins!AK:AK,MATCH('001_population_health_zone_zs'!$B$2,[1]ratio_ins!$B:$B,0))*$G111*INDEX([1]ratio_ins!$D:$D,MATCH('001_population_health_zone_zs'!$B111,[1]ratio_ins!$B:$B,0))</f>
        <v>5538.6481199999998</v>
      </c>
      <c r="AO111" s="10">
        <f>INDEX([1]ratio_ins!AL:AL,MATCH('001_population_health_zone_zs'!$B$2,[1]ratio_ins!$B:$B,0))*$G111*INDEX([1]ratio_ins!$D:$D,MATCH('001_population_health_zone_zs'!$B111,[1]ratio_ins!$B:$B,0))</f>
        <v>4153.9860899999994</v>
      </c>
      <c r="AP111" s="10">
        <f>INDEX([1]ratio_ins!AM:AM,MATCH('001_population_health_zone_zs'!$B$2,[1]ratio_ins!$B:$B,0))*$G111*INDEX([1]ratio_ins!$D:$D,MATCH('001_population_health_zone_zs'!$B111,[1]ratio_ins!$B:$B,0))</f>
        <v>2677.0132579999995</v>
      </c>
      <c r="AQ111" s="10">
        <f>INDEX([1]ratio_ins!AN:AN,MATCH('001_population_health_zone_zs'!$B$2,[1]ratio_ins!$B:$B,0))*$G111*INDEX([1]ratio_ins!$D:$D,MATCH('001_population_health_zone_zs'!$B111,[1]ratio_ins!$B:$B,0))</f>
        <v>2123.1484460000001</v>
      </c>
      <c r="AR111" s="10">
        <f>INDEX([1]ratio_ins!AO:AO,MATCH('001_population_health_zone_zs'!$B$2,[1]ratio_ins!$B:$B,0))*$G111*INDEX([1]ratio_ins!$D:$D,MATCH('001_population_health_zone_zs'!$B111,[1]ratio_ins!$B:$B,0))</f>
        <v>1015.4188220000001</v>
      </c>
      <c r="AS111" s="13">
        <f>INDEX([1]ratio_ins!AP:AP,MATCH('001_population_health_zone_zs'!$B$2,[1]ratio_ins!$B:$B,0))*$G111*INDEX([1]ratio_ins!$D:$D,MATCH('001_population_health_zone_zs'!$B111,[1]ratio_ins!$B:$B,0))</f>
        <v>37773.5801784</v>
      </c>
      <c r="AT111" s="10">
        <f>INDEX([1]ratio_ins!AQ:AQ,MATCH('001_population_health_zone_zs'!$B$2,[1]ratio_ins!$B:$B,0))*$G111*INDEX([1]ratio_ins!$D:$D,MATCH('001_population_health_zone_zs'!$B111,[1]ratio_ins!$B:$B,0))</f>
        <v>923.10802000000001</v>
      </c>
      <c r="AU111" s="10">
        <f>INDEX([1]ratio_ins!AR:AR,MATCH('001_population_health_zone_zs'!$B$2,[1]ratio_ins!$B:$B,0))*$G111*INDEX([1]ratio_ins!$D:$D,MATCH('001_population_health_zone_zs'!$B111,[1]ratio_ins!$B:$B,0))</f>
        <v>553.86481200000003</v>
      </c>
      <c r="AV111" s="10">
        <f>INDEX([1]ratio_ins!AS:AS,MATCH('001_population_health_zone_zs'!$B$2,[1]ratio_ins!$B:$B,0))*$G111*INDEX([1]ratio_ins!$D:$D,MATCH('001_population_health_zone_zs'!$B111,[1]ratio_ins!$B:$B,0))</f>
        <v>276.93240600000001</v>
      </c>
      <c r="AW111" s="10">
        <f>INDEX([1]ratio_ins!AT:AT,MATCH('001_population_health_zone_zs'!$B$2,[1]ratio_ins!$B:$B,0))*$G111*INDEX([1]ratio_ins!$D:$D,MATCH('001_population_health_zone_zs'!$B111,[1]ratio_ins!$B:$B,0))</f>
        <v>184.62160400000002</v>
      </c>
      <c r="AX111" s="13">
        <f>INDEX([1]ratio_ins!AU:AU,MATCH('001_population_health_zone_zs'!$B$2,[1]ratio_ins!$B:$B,0))*$G111*INDEX([1]ratio_ins!$D:$D,MATCH('001_population_health_zone_zs'!$B111,[1]ratio_ins!$B:$B,0))</f>
        <v>1938.5268419999998</v>
      </c>
      <c r="AY111" s="14">
        <f t="shared" si="7"/>
        <v>92310.802000000011</v>
      </c>
      <c r="AZ111" s="15">
        <f t="shared" si="8"/>
        <v>179593</v>
      </c>
      <c r="BA111" s="16">
        <v>173209.99297547434</v>
      </c>
      <c r="BB111" s="10">
        <f t="shared" si="9"/>
        <v>39232.090850000001</v>
      </c>
      <c r="BC111" s="17">
        <f t="shared" si="10"/>
        <v>0.21845000000000001</v>
      </c>
      <c r="BD111" s="10">
        <f t="shared" si="11"/>
        <v>36396.676565999995</v>
      </c>
    </row>
    <row r="112" spans="1:56" x14ac:dyDescent="0.25">
      <c r="A112" s="8" t="s">
        <v>255</v>
      </c>
      <c r="B112" s="8" t="s">
        <v>256</v>
      </c>
      <c r="C112" s="8" t="s">
        <v>269</v>
      </c>
      <c r="D112" s="8" t="s">
        <v>270</v>
      </c>
      <c r="E112" s="8" t="s">
        <v>273</v>
      </c>
      <c r="F112" s="8" t="s">
        <v>274</v>
      </c>
      <c r="G112" s="9">
        <v>78046</v>
      </c>
      <c r="H112" s="10">
        <f>INDEX([1]ratio_ins!F:F,MATCH('001_population_health_zone_zs'!$B$2,[1]ratio_ins!$B:$B,0))*$G112*INDEX([1]ratio_ins!$C:$C,MATCH('001_population_health_zone_zs'!$B112,[1]ratio_ins!$B:$B,0))</f>
        <v>7927.4444039999998</v>
      </c>
      <c r="I112" s="10">
        <f>INDEX([1]ratio_ins!G:G,MATCH('001_population_health_zone_zs'!$B$2,[1]ratio_ins!$B:$B,0))*$G112*INDEX([1]ratio_ins!$C:$C,MATCH('001_population_health_zone_zs'!$B112,[1]ratio_ins!$B:$B,0))</f>
        <v>6486.0908760000011</v>
      </c>
      <c r="J112" s="10">
        <f>INDEX([1]ratio_ins!H:H,MATCH('001_population_health_zone_zs'!$B$2,[1]ratio_ins!$B:$B,0))*$G112*INDEX([1]ratio_ins!$C:$C,MATCH('001_population_health_zone_zs'!$B112,[1]ratio_ins!$B:$B,0))</f>
        <v>5120.5980600000003</v>
      </c>
      <c r="K112" s="10">
        <f>INDEX([1]ratio_ins!I:I,MATCH('001_population_health_zone_zs'!$B$2,[1]ratio_ins!$B:$B,0))*$G112*INDEX([1]ratio_ins!$C:$C,MATCH('001_population_health_zone_zs'!$B112,[1]ratio_ins!$B:$B,0))</f>
        <v>3148.219548</v>
      </c>
      <c r="L112" s="10">
        <f>INDEX([1]ratio_ins!J:J,MATCH('001_population_health_zone_zs'!$B$2,[1]ratio_ins!$B:$B,0))*$G112*INDEX([1]ratio_ins!$C:$C,MATCH('001_population_health_zone_zs'!$B112,[1]ratio_ins!$B:$B,0))</f>
        <v>1888.9317288</v>
      </c>
      <c r="M112" s="11">
        <f>INDEX([1]ratio_ins!K:K,MATCH('001_population_health_zone_zs'!$B$2,[1]ratio_ins!$B:$B,0))*$G112*INDEX([1]ratio_ins!$C:$C,MATCH('001_population_health_zone_zs'!$B112,[1]ratio_ins!$B:$B,0))</f>
        <v>21423.065068799999</v>
      </c>
      <c r="N112" s="10">
        <f>INDEX([1]ratio_ins!L:L,MATCH('001_population_health_zone_zs'!$B$2,[1]ratio_ins!$B:$B,0))*$G112*INDEX([1]ratio_ins!$C:$C,MATCH('001_population_health_zone_zs'!$B112,[1]ratio_ins!$B:$B,0))</f>
        <v>1259.2878191999998</v>
      </c>
      <c r="O112" s="10">
        <f>INDEX([1]ratio_ins!M:M,MATCH('001_population_health_zone_zs'!$B$2,[1]ratio_ins!$B:$B,0))*$G112*INDEX([1]ratio_ins!$C:$C,MATCH('001_population_health_zone_zs'!$B112,[1]ratio_ins!$B:$B,0))</f>
        <v>2730.9856320000004</v>
      </c>
      <c r="P112" s="10">
        <f>INDEX([1]ratio_ins!N:N,MATCH('001_population_health_zone_zs'!$B$2,[1]ratio_ins!$B:$B,0))*$G112*INDEX([1]ratio_ins!$C:$C,MATCH('001_population_health_zone_zs'!$B112,[1]ratio_ins!$B:$B,0))</f>
        <v>2465.4731400000001</v>
      </c>
      <c r="Q112" s="10">
        <f>INDEX([1]ratio_ins!O:O,MATCH('001_population_health_zone_zs'!$B$2,[1]ratio_ins!$B:$B,0))*$G112*INDEX([1]ratio_ins!$C:$C,MATCH('001_population_health_zone_zs'!$B112,[1]ratio_ins!$B:$B,0))</f>
        <v>2199.9606479999998</v>
      </c>
      <c r="R112" s="10">
        <f>INDEX([1]ratio_ins!P:P,MATCH('001_population_health_zone_zs'!$B$2,[1]ratio_ins!$B:$B,0))*$G112*INDEX([1]ratio_ins!$C:$C,MATCH('001_population_health_zone_zs'!$B112,[1]ratio_ins!$B:$B,0))</f>
        <v>2162.0302919999999</v>
      </c>
      <c r="S112" s="10">
        <f>INDEX([1]ratio_ins!Q:Q,MATCH('001_population_health_zone_zs'!$B$2,[1]ratio_ins!$B:$B,0))*$G112*INDEX([1]ratio_ins!$C:$C,MATCH('001_population_health_zone_zs'!$B112,[1]ratio_ins!$B:$B,0))</f>
        <v>1820.6570879999999</v>
      </c>
      <c r="T112" s="10">
        <f>INDEX([1]ratio_ins!R:R,MATCH('001_population_health_zone_zs'!$B$2,[1]ratio_ins!$B:$B,0))*$G112*INDEX([1]ratio_ins!$C:$C,MATCH('001_population_health_zone_zs'!$B112,[1]ratio_ins!$B:$B,0))</f>
        <v>1289.632104</v>
      </c>
      <c r="U112" s="10">
        <f>INDEX([1]ratio_ins!S:S,MATCH('001_population_health_zone_zs'!$B$2,[1]ratio_ins!$B:$B,0))*$G112*INDEX([1]ratio_ins!$C:$C,MATCH('001_population_health_zone_zs'!$B112,[1]ratio_ins!$B:$B,0))</f>
        <v>1024.119612</v>
      </c>
      <c r="V112" s="10">
        <f>INDEX([1]ratio_ins!T:T,MATCH('001_population_health_zone_zs'!$B$2,[1]ratio_ins!$B:$B,0))*$G112*INDEX([1]ratio_ins!$C:$C,MATCH('001_population_health_zone_zs'!$B112,[1]ratio_ins!$B:$B,0))</f>
        <v>568.95533999999998</v>
      </c>
      <c r="W112" s="11">
        <f>INDEX([1]ratio_ins!U:U,MATCH('001_population_health_zone_zs'!$B$2,[1]ratio_ins!$B:$B,0))*$G112*INDEX([1]ratio_ins!$C:$C,MATCH('001_population_health_zone_zs'!$B112,[1]ratio_ins!$B:$B,0))</f>
        <v>15521.1016752</v>
      </c>
      <c r="X112" s="10">
        <f>INDEX([1]ratio_ins!V:V,MATCH('001_population_health_zone_zs'!$B$2,[1]ratio_ins!$B:$B,0))*$G112*INDEX([1]ratio_ins!$C:$C,MATCH('001_population_health_zone_zs'!$B112,[1]ratio_ins!$B:$B,0))</f>
        <v>455.16427199999998</v>
      </c>
      <c r="Y112" s="10">
        <f>INDEX([1]ratio_ins!W:W,MATCH('001_population_health_zone_zs'!$B$2,[1]ratio_ins!$B:$B,0))*$G112*INDEX([1]ratio_ins!$C:$C,MATCH('001_population_health_zone_zs'!$B112,[1]ratio_ins!$B:$B,0))</f>
        <v>303.44284800000003</v>
      </c>
      <c r="Z112" s="10">
        <f>INDEX([1]ratio_ins!X:X,MATCH('001_population_health_zone_zs'!$B$2,[1]ratio_ins!$B:$B,0))*$G112*INDEX([1]ratio_ins!$C:$C,MATCH('001_population_health_zone_zs'!$B112,[1]ratio_ins!$B:$B,0))</f>
        <v>151.72142400000001</v>
      </c>
      <c r="AA112" s="10">
        <f>INDEX([1]ratio_ins!Y:Y,MATCH('001_population_health_zone_zs'!$B$2,[1]ratio_ins!$B:$B,0))*$G112*INDEX([1]ratio_ins!$C:$C,MATCH('001_population_health_zone_zs'!$B112,[1]ratio_ins!$B:$B,0))</f>
        <v>75.860712000000007</v>
      </c>
      <c r="AB112" s="11">
        <f>INDEX([1]ratio_ins!Z:Z,MATCH('001_population_health_zone_zs'!$B$2,[1]ratio_ins!$B:$B,0))*$G112*INDEX([1]ratio_ins!$C:$C,MATCH('001_population_health_zone_zs'!$B112,[1]ratio_ins!$B:$B,0))</f>
        <v>986.189256</v>
      </c>
      <c r="AC112" s="12">
        <f t="shared" si="6"/>
        <v>37930.356</v>
      </c>
      <c r="AD112" s="10">
        <f>INDEX([1]ratio_ins!AA:AA,MATCH('001_population_health_zone_zs'!$B$2,[1]ratio_ins!$B:$B,0))*$G112*INDEX([1]ratio_ins!$D:$D,MATCH('001_population_health_zone_zs'!$B112,[1]ratio_ins!$B:$B,0))</f>
        <v>8424.2852399999992</v>
      </c>
      <c r="AE112" s="10">
        <f>INDEX([1]ratio_ins!AB:AB,MATCH('001_population_health_zone_zs'!$B$2,[1]ratio_ins!$B:$B,0))*$G112*INDEX([1]ratio_ins!$D:$D,MATCH('001_population_health_zone_zs'!$B112,[1]ratio_ins!$B:$B,0))</f>
        <v>6940.0064120000006</v>
      </c>
      <c r="AF112" s="10">
        <f>INDEX([1]ratio_ins!AC:AC,MATCH('001_population_health_zone_zs'!$B$2,[1]ratio_ins!$B:$B,0))*$G112*INDEX([1]ratio_ins!$D:$D,MATCH('001_population_health_zone_zs'!$B112,[1]ratio_ins!$B:$B,0))</f>
        <v>5495.8432279999988</v>
      </c>
      <c r="AG112" s="10">
        <f>INDEX([1]ratio_ins!AD:AD,MATCH('001_population_health_zone_zs'!$B$2,[1]ratio_ins!$B:$B,0))*$G112*INDEX([1]ratio_ins!$D:$D,MATCH('001_population_health_zone_zs'!$B112,[1]ratio_ins!$B:$B,0))</f>
        <v>3329.5984520000002</v>
      </c>
      <c r="AH112" s="10">
        <f>INDEX([1]ratio_ins!AE:AE,MATCH('001_population_health_zone_zs'!$B$2,[1]ratio_ins!$B:$B,0))*$G112*INDEX([1]ratio_ins!$D:$D,MATCH('001_population_health_zone_zs'!$B112,[1]ratio_ins!$B:$B,0))</f>
        <v>1997.7590711999999</v>
      </c>
      <c r="AI112" s="13">
        <f>INDEX([1]ratio_ins!AF:AF,MATCH('001_population_health_zone_zs'!$B$2,[1]ratio_ins!$B:$B,0))*$G112*INDEX([1]ratio_ins!$D:$D,MATCH('001_population_health_zone_zs'!$B112,[1]ratio_ins!$B:$B,0))</f>
        <v>22857.8939512</v>
      </c>
      <c r="AJ112" s="10">
        <f>INDEX([1]ratio_ins!AG:AG,MATCH('001_population_health_zone_zs'!$B$2,[1]ratio_ins!$B:$B,0))*$G112*INDEX([1]ratio_ins!$D:$D,MATCH('001_population_health_zone_zs'!$B112,[1]ratio_ins!$B:$B,0))</f>
        <v>1331.8393808000001</v>
      </c>
      <c r="AK112" s="10">
        <f>INDEX([1]ratio_ins!AH:AH,MATCH('001_population_health_zone_zs'!$B$2,[1]ratio_ins!$B:$B,0))*$G112*INDEX([1]ratio_ins!$D:$D,MATCH('001_population_health_zone_zs'!$B112,[1]ratio_ins!$B:$B,0))</f>
        <v>2968.5576560000004</v>
      </c>
      <c r="AL112" s="10">
        <f>INDEX([1]ratio_ins!AI:AI,MATCH('001_population_health_zone_zs'!$B$2,[1]ratio_ins!$B:$B,0))*$G112*INDEX([1]ratio_ins!$D:$D,MATCH('001_population_health_zone_zs'!$B112,[1]ratio_ins!$B:$B,0))</f>
        <v>2808.0950800000001</v>
      </c>
      <c r="AM112" s="10">
        <f>INDEX([1]ratio_ins!AJ:AJ,MATCH('001_population_health_zone_zs'!$B$2,[1]ratio_ins!$B:$B,0))*$G112*INDEX([1]ratio_ins!$D:$D,MATCH('001_population_health_zone_zs'!$B112,[1]ratio_ins!$B:$B,0))</f>
        <v>2567.4012160000002</v>
      </c>
      <c r="AN112" s="10">
        <f>INDEX([1]ratio_ins!AK:AK,MATCH('001_population_health_zone_zs'!$B$2,[1]ratio_ins!$B:$B,0))*$G112*INDEX([1]ratio_ins!$D:$D,MATCH('001_population_health_zone_zs'!$B112,[1]ratio_ins!$B:$B,0))</f>
        <v>2406.9386400000003</v>
      </c>
      <c r="AO112" s="10">
        <f>INDEX([1]ratio_ins!AL:AL,MATCH('001_population_health_zone_zs'!$B$2,[1]ratio_ins!$B:$B,0))*$G112*INDEX([1]ratio_ins!$D:$D,MATCH('001_population_health_zone_zs'!$B112,[1]ratio_ins!$B:$B,0))</f>
        <v>1805.20398</v>
      </c>
      <c r="AP112" s="10">
        <f>INDEX([1]ratio_ins!AM:AM,MATCH('001_population_health_zone_zs'!$B$2,[1]ratio_ins!$B:$B,0))*$G112*INDEX([1]ratio_ins!$D:$D,MATCH('001_population_health_zone_zs'!$B112,[1]ratio_ins!$B:$B,0))</f>
        <v>1163.353676</v>
      </c>
      <c r="AQ112" s="10">
        <f>INDEX([1]ratio_ins!AN:AN,MATCH('001_population_health_zone_zs'!$B$2,[1]ratio_ins!$B:$B,0))*$G112*INDEX([1]ratio_ins!$D:$D,MATCH('001_population_health_zone_zs'!$B112,[1]ratio_ins!$B:$B,0))</f>
        <v>922.65981199999999</v>
      </c>
      <c r="AR112" s="10">
        <f>INDEX([1]ratio_ins!AO:AO,MATCH('001_population_health_zone_zs'!$B$2,[1]ratio_ins!$B:$B,0))*$G112*INDEX([1]ratio_ins!$D:$D,MATCH('001_population_health_zone_zs'!$B112,[1]ratio_ins!$B:$B,0))</f>
        <v>441.27208400000006</v>
      </c>
      <c r="AS112" s="13">
        <f>INDEX([1]ratio_ins!AP:AP,MATCH('001_population_health_zone_zs'!$B$2,[1]ratio_ins!$B:$B,0))*$G112*INDEX([1]ratio_ins!$D:$D,MATCH('001_population_health_zone_zs'!$B112,[1]ratio_ins!$B:$B,0))</f>
        <v>16415.321524800001</v>
      </c>
      <c r="AT112" s="10">
        <f>INDEX([1]ratio_ins!AQ:AQ,MATCH('001_population_health_zone_zs'!$B$2,[1]ratio_ins!$B:$B,0))*$G112*INDEX([1]ratio_ins!$D:$D,MATCH('001_population_health_zone_zs'!$B112,[1]ratio_ins!$B:$B,0))</f>
        <v>401.15644000000003</v>
      </c>
      <c r="AU112" s="10">
        <f>INDEX([1]ratio_ins!AR:AR,MATCH('001_population_health_zone_zs'!$B$2,[1]ratio_ins!$B:$B,0))*$G112*INDEX([1]ratio_ins!$D:$D,MATCH('001_population_health_zone_zs'!$B112,[1]ratio_ins!$B:$B,0))</f>
        <v>240.69386400000002</v>
      </c>
      <c r="AV112" s="10">
        <f>INDEX([1]ratio_ins!AS:AS,MATCH('001_population_health_zone_zs'!$B$2,[1]ratio_ins!$B:$B,0))*$G112*INDEX([1]ratio_ins!$D:$D,MATCH('001_population_health_zone_zs'!$B112,[1]ratio_ins!$B:$B,0))</f>
        <v>120.34693200000001</v>
      </c>
      <c r="AW112" s="10">
        <f>INDEX([1]ratio_ins!AT:AT,MATCH('001_population_health_zone_zs'!$B$2,[1]ratio_ins!$B:$B,0))*$G112*INDEX([1]ratio_ins!$D:$D,MATCH('001_population_health_zone_zs'!$B112,[1]ratio_ins!$B:$B,0))</f>
        <v>80.231288000000006</v>
      </c>
      <c r="AX112" s="13">
        <f>INDEX([1]ratio_ins!AU:AU,MATCH('001_population_health_zone_zs'!$B$2,[1]ratio_ins!$B:$B,0))*$G112*INDEX([1]ratio_ins!$D:$D,MATCH('001_population_health_zone_zs'!$B112,[1]ratio_ins!$B:$B,0))</f>
        <v>842.42852399999992</v>
      </c>
      <c r="AY112" s="14">
        <f t="shared" si="7"/>
        <v>40115.644</v>
      </c>
      <c r="AZ112" s="15">
        <f t="shared" si="8"/>
        <v>78046</v>
      </c>
      <c r="BA112" s="16">
        <v>75272.494618804223</v>
      </c>
      <c r="BB112" s="10">
        <f t="shared" si="9"/>
        <v>17049.148700000002</v>
      </c>
      <c r="BC112" s="17">
        <f t="shared" si="10"/>
        <v>0.21845000000000003</v>
      </c>
      <c r="BD112" s="10">
        <f t="shared" si="11"/>
        <v>15816.958452000001</v>
      </c>
    </row>
    <row r="113" spans="1:56" x14ac:dyDescent="0.25">
      <c r="A113" s="8" t="s">
        <v>255</v>
      </c>
      <c r="B113" s="8" t="s">
        <v>256</v>
      </c>
      <c r="C113" s="8" t="s">
        <v>269</v>
      </c>
      <c r="D113" s="8" t="s">
        <v>270</v>
      </c>
      <c r="E113" s="8" t="s">
        <v>269</v>
      </c>
      <c r="F113" s="8" t="s">
        <v>275</v>
      </c>
      <c r="G113" s="9">
        <v>207780</v>
      </c>
      <c r="H113" s="10">
        <f>INDEX([1]ratio_ins!F:F,MATCH('001_population_health_zone_zs'!$B$2,[1]ratio_ins!$B:$B,0))*$G113*INDEX([1]ratio_ins!$C:$C,MATCH('001_population_health_zone_zs'!$B113,[1]ratio_ins!$B:$B,0))</f>
        <v>21105.045719999998</v>
      </c>
      <c r="I113" s="10">
        <f>INDEX([1]ratio_ins!G:G,MATCH('001_population_health_zone_zs'!$B$2,[1]ratio_ins!$B:$B,0))*$G113*INDEX([1]ratio_ins!$C:$C,MATCH('001_population_health_zone_zs'!$B113,[1]ratio_ins!$B:$B,0))</f>
        <v>17267.76468</v>
      </c>
      <c r="J113" s="10">
        <f>INDEX([1]ratio_ins!H:H,MATCH('001_population_health_zone_zs'!$B$2,[1]ratio_ins!$B:$B,0))*$G113*INDEX([1]ratio_ins!$C:$C,MATCH('001_population_health_zone_zs'!$B113,[1]ratio_ins!$B:$B,0))</f>
        <v>13632.445800000001</v>
      </c>
      <c r="K113" s="10">
        <f>INDEX([1]ratio_ins!I:I,MATCH('001_population_health_zone_zs'!$B$2,[1]ratio_ins!$B:$B,0))*$G113*INDEX([1]ratio_ins!$C:$C,MATCH('001_population_health_zone_zs'!$B113,[1]ratio_ins!$B:$B,0))</f>
        <v>8381.4296400000003</v>
      </c>
      <c r="L113" s="10">
        <f>INDEX([1]ratio_ins!J:J,MATCH('001_population_health_zone_zs'!$B$2,[1]ratio_ins!$B:$B,0))*$G113*INDEX([1]ratio_ins!$C:$C,MATCH('001_population_health_zone_zs'!$B113,[1]ratio_ins!$B:$B,0))</f>
        <v>5028.8577839999998</v>
      </c>
      <c r="M113" s="11">
        <f>INDEX([1]ratio_ins!K:K,MATCH('001_population_health_zone_zs'!$B$2,[1]ratio_ins!$B:$B,0))*$G113*INDEX([1]ratio_ins!$C:$C,MATCH('001_population_health_zone_zs'!$B113,[1]ratio_ins!$B:$B,0))</f>
        <v>57034.113983999996</v>
      </c>
      <c r="N113" s="10">
        <f>INDEX([1]ratio_ins!L:L,MATCH('001_population_health_zone_zs'!$B$2,[1]ratio_ins!$B:$B,0))*$G113*INDEX([1]ratio_ins!$C:$C,MATCH('001_population_health_zone_zs'!$B113,[1]ratio_ins!$B:$B,0))</f>
        <v>3352.571856</v>
      </c>
      <c r="O113" s="10">
        <f>INDEX([1]ratio_ins!M:M,MATCH('001_population_health_zone_zs'!$B$2,[1]ratio_ins!$B:$B,0))*$G113*INDEX([1]ratio_ins!$C:$C,MATCH('001_population_health_zone_zs'!$B113,[1]ratio_ins!$B:$B,0))</f>
        <v>7270.6377600000005</v>
      </c>
      <c r="P113" s="10">
        <f>INDEX([1]ratio_ins!N:N,MATCH('001_population_health_zone_zs'!$B$2,[1]ratio_ins!$B:$B,0))*$G113*INDEX([1]ratio_ins!$C:$C,MATCH('001_population_health_zone_zs'!$B113,[1]ratio_ins!$B:$B,0))</f>
        <v>6563.7701999999999</v>
      </c>
      <c r="Q113" s="10">
        <f>INDEX([1]ratio_ins!O:O,MATCH('001_population_health_zone_zs'!$B$2,[1]ratio_ins!$B:$B,0))*$G113*INDEX([1]ratio_ins!$C:$C,MATCH('001_population_health_zone_zs'!$B113,[1]ratio_ins!$B:$B,0))</f>
        <v>5856.9026399999993</v>
      </c>
      <c r="R113" s="10">
        <f>INDEX([1]ratio_ins!P:P,MATCH('001_population_health_zone_zs'!$B$2,[1]ratio_ins!$B:$B,0))*$G113*INDEX([1]ratio_ins!$C:$C,MATCH('001_population_health_zone_zs'!$B113,[1]ratio_ins!$B:$B,0))</f>
        <v>5755.9215600000007</v>
      </c>
      <c r="S113" s="10">
        <f>INDEX([1]ratio_ins!Q:Q,MATCH('001_population_health_zone_zs'!$B$2,[1]ratio_ins!$B:$B,0))*$G113*INDEX([1]ratio_ins!$C:$C,MATCH('001_population_health_zone_zs'!$B113,[1]ratio_ins!$B:$B,0))</f>
        <v>4847.09184</v>
      </c>
      <c r="T113" s="10">
        <f>INDEX([1]ratio_ins!R:R,MATCH('001_population_health_zone_zs'!$B$2,[1]ratio_ins!$B:$B,0))*$G113*INDEX([1]ratio_ins!$C:$C,MATCH('001_population_health_zone_zs'!$B113,[1]ratio_ins!$B:$B,0))</f>
        <v>3433.3567200000002</v>
      </c>
      <c r="U113" s="10">
        <f>INDEX([1]ratio_ins!S:S,MATCH('001_population_health_zone_zs'!$B$2,[1]ratio_ins!$B:$B,0))*$G113*INDEX([1]ratio_ins!$C:$C,MATCH('001_population_health_zone_zs'!$B113,[1]ratio_ins!$B:$B,0))</f>
        <v>2726.4891600000001</v>
      </c>
      <c r="V113" s="10">
        <f>INDEX([1]ratio_ins!T:T,MATCH('001_population_health_zone_zs'!$B$2,[1]ratio_ins!$B:$B,0))*$G113*INDEX([1]ratio_ins!$C:$C,MATCH('001_population_health_zone_zs'!$B113,[1]ratio_ins!$B:$B,0))</f>
        <v>1514.7161999999998</v>
      </c>
      <c r="W113" s="11">
        <f>INDEX([1]ratio_ins!U:U,MATCH('001_population_health_zone_zs'!$B$2,[1]ratio_ins!$B:$B,0))*$G113*INDEX([1]ratio_ins!$C:$C,MATCH('001_population_health_zone_zs'!$B113,[1]ratio_ins!$B:$B,0))</f>
        <v>41321.457935999999</v>
      </c>
      <c r="X113" s="10">
        <f>INDEX([1]ratio_ins!V:V,MATCH('001_population_health_zone_zs'!$B$2,[1]ratio_ins!$B:$B,0))*$G113*INDEX([1]ratio_ins!$C:$C,MATCH('001_population_health_zone_zs'!$B113,[1]ratio_ins!$B:$B,0))</f>
        <v>1211.77296</v>
      </c>
      <c r="Y113" s="10">
        <f>INDEX([1]ratio_ins!W:W,MATCH('001_population_health_zone_zs'!$B$2,[1]ratio_ins!$B:$B,0))*$G113*INDEX([1]ratio_ins!$C:$C,MATCH('001_population_health_zone_zs'!$B113,[1]ratio_ins!$B:$B,0))</f>
        <v>807.84863999999993</v>
      </c>
      <c r="Z113" s="10">
        <f>INDEX([1]ratio_ins!X:X,MATCH('001_population_health_zone_zs'!$B$2,[1]ratio_ins!$B:$B,0))*$G113*INDEX([1]ratio_ins!$C:$C,MATCH('001_population_health_zone_zs'!$B113,[1]ratio_ins!$B:$B,0))</f>
        <v>403.92431999999997</v>
      </c>
      <c r="AA113" s="10">
        <f>INDEX([1]ratio_ins!Y:Y,MATCH('001_population_health_zone_zs'!$B$2,[1]ratio_ins!$B:$B,0))*$G113*INDEX([1]ratio_ins!$C:$C,MATCH('001_population_health_zone_zs'!$B113,[1]ratio_ins!$B:$B,0))</f>
        <v>201.96215999999998</v>
      </c>
      <c r="AB113" s="11">
        <f>INDEX([1]ratio_ins!Z:Z,MATCH('001_population_health_zone_zs'!$B$2,[1]ratio_ins!$B:$B,0))*$G113*INDEX([1]ratio_ins!$C:$C,MATCH('001_population_health_zone_zs'!$B113,[1]ratio_ins!$B:$B,0))</f>
        <v>2625.5080800000001</v>
      </c>
      <c r="AC113" s="12">
        <f t="shared" si="6"/>
        <v>100981.07999999999</v>
      </c>
      <c r="AD113" s="10">
        <f>INDEX([1]ratio_ins!AA:AA,MATCH('001_population_health_zone_zs'!$B$2,[1]ratio_ins!$B:$B,0))*$G113*INDEX([1]ratio_ins!$D:$D,MATCH('001_population_health_zone_zs'!$B113,[1]ratio_ins!$B:$B,0))</f>
        <v>22427.7732</v>
      </c>
      <c r="AE113" s="10">
        <f>INDEX([1]ratio_ins!AB:AB,MATCH('001_population_health_zone_zs'!$B$2,[1]ratio_ins!$B:$B,0))*$G113*INDEX([1]ratio_ins!$D:$D,MATCH('001_population_health_zone_zs'!$B113,[1]ratio_ins!$B:$B,0))</f>
        <v>18476.213160000003</v>
      </c>
      <c r="AF113" s="10">
        <f>INDEX([1]ratio_ins!AC:AC,MATCH('001_population_health_zone_zs'!$B$2,[1]ratio_ins!$B:$B,0))*$G113*INDEX([1]ratio_ins!$D:$D,MATCH('001_population_health_zone_zs'!$B113,[1]ratio_ins!$B:$B,0))</f>
        <v>14631.452039999998</v>
      </c>
      <c r="AG113" s="10">
        <f>INDEX([1]ratio_ins!AD:AD,MATCH('001_population_health_zone_zs'!$B$2,[1]ratio_ins!$B:$B,0))*$G113*INDEX([1]ratio_ins!$D:$D,MATCH('001_population_health_zone_zs'!$B113,[1]ratio_ins!$B:$B,0))</f>
        <v>8864.3103600000013</v>
      </c>
      <c r="AH113" s="10">
        <f>INDEX([1]ratio_ins!AE:AE,MATCH('001_population_health_zone_zs'!$B$2,[1]ratio_ins!$B:$B,0))*$G113*INDEX([1]ratio_ins!$D:$D,MATCH('001_population_health_zone_zs'!$B113,[1]ratio_ins!$B:$B,0))</f>
        <v>5318.5862159999997</v>
      </c>
      <c r="AI113" s="13">
        <f>INDEX([1]ratio_ins!AF:AF,MATCH('001_population_health_zone_zs'!$B$2,[1]ratio_ins!$B:$B,0))*$G113*INDEX([1]ratio_ins!$D:$D,MATCH('001_population_health_zone_zs'!$B113,[1]ratio_ins!$B:$B,0))</f>
        <v>60854.024615999995</v>
      </c>
      <c r="AJ113" s="10">
        <f>INDEX([1]ratio_ins!AG:AG,MATCH('001_population_health_zone_zs'!$B$2,[1]ratio_ins!$B:$B,0))*$G113*INDEX([1]ratio_ins!$D:$D,MATCH('001_population_health_zone_zs'!$B113,[1]ratio_ins!$B:$B,0))</f>
        <v>3545.7241440000003</v>
      </c>
      <c r="AK113" s="10">
        <f>INDEX([1]ratio_ins!AH:AH,MATCH('001_population_health_zone_zs'!$B$2,[1]ratio_ins!$B:$B,0))*$G113*INDEX([1]ratio_ins!$D:$D,MATCH('001_population_health_zone_zs'!$B113,[1]ratio_ins!$B:$B,0))</f>
        <v>7903.1200800000015</v>
      </c>
      <c r="AL113" s="10">
        <f>INDEX([1]ratio_ins!AI:AI,MATCH('001_population_health_zone_zs'!$B$2,[1]ratio_ins!$B:$B,0))*$G113*INDEX([1]ratio_ins!$D:$D,MATCH('001_population_health_zone_zs'!$B113,[1]ratio_ins!$B:$B,0))</f>
        <v>7475.9244000000017</v>
      </c>
      <c r="AM113" s="10">
        <f>INDEX([1]ratio_ins!AJ:AJ,MATCH('001_population_health_zone_zs'!$B$2,[1]ratio_ins!$B:$B,0))*$G113*INDEX([1]ratio_ins!$D:$D,MATCH('001_population_health_zone_zs'!$B113,[1]ratio_ins!$B:$B,0))</f>
        <v>6835.1308800000006</v>
      </c>
      <c r="AN113" s="10">
        <f>INDEX([1]ratio_ins!AK:AK,MATCH('001_population_health_zone_zs'!$B$2,[1]ratio_ins!$B:$B,0))*$G113*INDEX([1]ratio_ins!$D:$D,MATCH('001_population_health_zone_zs'!$B113,[1]ratio_ins!$B:$B,0))</f>
        <v>6407.9351999999999</v>
      </c>
      <c r="AO113" s="10">
        <f>INDEX([1]ratio_ins!AL:AL,MATCH('001_population_health_zone_zs'!$B$2,[1]ratio_ins!$B:$B,0))*$G113*INDEX([1]ratio_ins!$D:$D,MATCH('001_population_health_zone_zs'!$B113,[1]ratio_ins!$B:$B,0))</f>
        <v>4805.9513999999999</v>
      </c>
      <c r="AP113" s="10">
        <f>INDEX([1]ratio_ins!AM:AM,MATCH('001_population_health_zone_zs'!$B$2,[1]ratio_ins!$B:$B,0))*$G113*INDEX([1]ratio_ins!$D:$D,MATCH('001_population_health_zone_zs'!$B113,[1]ratio_ins!$B:$B,0))</f>
        <v>3097.1686800000002</v>
      </c>
      <c r="AQ113" s="10">
        <f>INDEX([1]ratio_ins!AN:AN,MATCH('001_population_health_zone_zs'!$B$2,[1]ratio_ins!$B:$B,0))*$G113*INDEX([1]ratio_ins!$D:$D,MATCH('001_population_health_zone_zs'!$B113,[1]ratio_ins!$B:$B,0))</f>
        <v>2456.3751600000001</v>
      </c>
      <c r="AR113" s="10">
        <f>INDEX([1]ratio_ins!AO:AO,MATCH('001_population_health_zone_zs'!$B$2,[1]ratio_ins!$B:$B,0))*$G113*INDEX([1]ratio_ins!$D:$D,MATCH('001_population_health_zone_zs'!$B113,[1]ratio_ins!$B:$B,0))</f>
        <v>1174.7881200000002</v>
      </c>
      <c r="AS113" s="13">
        <f>INDEX([1]ratio_ins!AP:AP,MATCH('001_population_health_zone_zs'!$B$2,[1]ratio_ins!$B:$B,0))*$G113*INDEX([1]ratio_ins!$D:$D,MATCH('001_population_health_zone_zs'!$B113,[1]ratio_ins!$B:$B,0))</f>
        <v>43702.118064000002</v>
      </c>
      <c r="AT113" s="10">
        <f>INDEX([1]ratio_ins!AQ:AQ,MATCH('001_population_health_zone_zs'!$B$2,[1]ratio_ins!$B:$B,0))*$G113*INDEX([1]ratio_ins!$D:$D,MATCH('001_population_health_zone_zs'!$B113,[1]ratio_ins!$B:$B,0))</f>
        <v>1067.9892000000002</v>
      </c>
      <c r="AU113" s="10">
        <f>INDEX([1]ratio_ins!AR:AR,MATCH('001_population_health_zone_zs'!$B$2,[1]ratio_ins!$B:$B,0))*$G113*INDEX([1]ratio_ins!$D:$D,MATCH('001_population_health_zone_zs'!$B113,[1]ratio_ins!$B:$B,0))</f>
        <v>640.79352000000006</v>
      </c>
      <c r="AV113" s="10">
        <f>INDEX([1]ratio_ins!AS:AS,MATCH('001_population_health_zone_zs'!$B$2,[1]ratio_ins!$B:$B,0))*$G113*INDEX([1]ratio_ins!$D:$D,MATCH('001_population_health_zone_zs'!$B113,[1]ratio_ins!$B:$B,0))</f>
        <v>320.39676000000003</v>
      </c>
      <c r="AW113" s="10">
        <f>INDEX([1]ratio_ins!AT:AT,MATCH('001_population_health_zone_zs'!$B$2,[1]ratio_ins!$B:$B,0))*$G113*INDEX([1]ratio_ins!$D:$D,MATCH('001_population_health_zone_zs'!$B113,[1]ratio_ins!$B:$B,0))</f>
        <v>213.59784000000002</v>
      </c>
      <c r="AX113" s="13">
        <f>INDEX([1]ratio_ins!AU:AU,MATCH('001_population_health_zone_zs'!$B$2,[1]ratio_ins!$B:$B,0))*$G113*INDEX([1]ratio_ins!$D:$D,MATCH('001_population_health_zone_zs'!$B113,[1]ratio_ins!$B:$B,0))</f>
        <v>2242.7773199999997</v>
      </c>
      <c r="AY113" s="14">
        <f t="shared" si="7"/>
        <v>106798.91999999998</v>
      </c>
      <c r="AZ113" s="15">
        <f t="shared" si="8"/>
        <v>207779.99999999997</v>
      </c>
      <c r="BA113" s="16">
        <v>200394.57297696208</v>
      </c>
      <c r="BB113" s="10">
        <f t="shared" si="9"/>
        <v>45389.541000000005</v>
      </c>
      <c r="BC113" s="17">
        <f t="shared" si="10"/>
        <v>0.21845000000000003</v>
      </c>
      <c r="BD113" s="10">
        <f t="shared" si="11"/>
        <v>42109.110360000006</v>
      </c>
    </row>
    <row r="114" spans="1:56" x14ac:dyDescent="0.25">
      <c r="A114" s="8" t="s">
        <v>255</v>
      </c>
      <c r="B114" s="8" t="s">
        <v>256</v>
      </c>
      <c r="C114" s="8" t="s">
        <v>276</v>
      </c>
      <c r="D114" s="8" t="s">
        <v>277</v>
      </c>
      <c r="E114" s="8" t="s">
        <v>278</v>
      </c>
      <c r="F114" s="8" t="s">
        <v>279</v>
      </c>
      <c r="G114" s="9">
        <v>308919</v>
      </c>
      <c r="H114" s="10">
        <f>INDEX([1]ratio_ins!F:F,MATCH('001_population_health_zone_zs'!$B$2,[1]ratio_ins!$B:$B,0))*$G114*INDEX([1]ratio_ins!$C:$C,MATCH('001_population_health_zone_zs'!$B114,[1]ratio_ins!$B:$B,0))</f>
        <v>31378.138505999996</v>
      </c>
      <c r="I114" s="10">
        <f>INDEX([1]ratio_ins!G:G,MATCH('001_population_health_zone_zs'!$B$2,[1]ratio_ins!$B:$B,0))*$G114*INDEX([1]ratio_ins!$C:$C,MATCH('001_population_health_zone_zs'!$B114,[1]ratio_ins!$B:$B,0))</f>
        <v>25673.022414000003</v>
      </c>
      <c r="J114" s="10">
        <f>INDEX([1]ratio_ins!H:H,MATCH('001_population_health_zone_zs'!$B$2,[1]ratio_ins!$B:$B,0))*$G114*INDEX([1]ratio_ins!$C:$C,MATCH('001_population_health_zone_zs'!$B114,[1]ratio_ins!$B:$B,0))</f>
        <v>20268.175589999999</v>
      </c>
      <c r="K114" s="10">
        <f>INDEX([1]ratio_ins!I:I,MATCH('001_population_health_zone_zs'!$B$2,[1]ratio_ins!$B:$B,0))*$G114*INDEX([1]ratio_ins!$C:$C,MATCH('001_population_health_zone_zs'!$B114,[1]ratio_ins!$B:$B,0))</f>
        <v>12461.174622</v>
      </c>
      <c r="L114" s="10">
        <f>INDEX([1]ratio_ins!J:J,MATCH('001_population_health_zone_zs'!$B$2,[1]ratio_ins!$B:$B,0))*$G114*INDEX([1]ratio_ins!$C:$C,MATCH('001_population_health_zone_zs'!$B114,[1]ratio_ins!$B:$B,0))</f>
        <v>7476.7047732000001</v>
      </c>
      <c r="M114" s="11">
        <f>INDEX([1]ratio_ins!K:K,MATCH('001_population_health_zone_zs'!$B$2,[1]ratio_ins!$B:$B,0))*$G114*INDEX([1]ratio_ins!$C:$C,MATCH('001_population_health_zone_zs'!$B114,[1]ratio_ins!$B:$B,0))</f>
        <v>84796.041283199986</v>
      </c>
      <c r="N114" s="10">
        <f>INDEX([1]ratio_ins!L:L,MATCH('001_population_health_zone_zs'!$B$2,[1]ratio_ins!$B:$B,0))*$G114*INDEX([1]ratio_ins!$C:$C,MATCH('001_population_health_zone_zs'!$B114,[1]ratio_ins!$B:$B,0))</f>
        <v>4984.4698488000004</v>
      </c>
      <c r="O114" s="10">
        <f>INDEX([1]ratio_ins!M:M,MATCH('001_population_health_zone_zs'!$B$2,[1]ratio_ins!$B:$B,0))*$G114*INDEX([1]ratio_ins!$C:$C,MATCH('001_population_health_zone_zs'!$B114,[1]ratio_ins!$B:$B,0))</f>
        <v>10809.693648</v>
      </c>
      <c r="P114" s="10">
        <f>INDEX([1]ratio_ins!N:N,MATCH('001_population_health_zone_zs'!$B$2,[1]ratio_ins!$B:$B,0))*$G114*INDEX([1]ratio_ins!$C:$C,MATCH('001_population_health_zone_zs'!$B114,[1]ratio_ins!$B:$B,0))</f>
        <v>9758.7512100000004</v>
      </c>
      <c r="Q114" s="10">
        <f>INDEX([1]ratio_ins!O:O,MATCH('001_population_health_zone_zs'!$B$2,[1]ratio_ins!$B:$B,0))*$G114*INDEX([1]ratio_ins!$C:$C,MATCH('001_population_health_zone_zs'!$B114,[1]ratio_ins!$B:$B,0))</f>
        <v>8707.8087720000003</v>
      </c>
      <c r="R114" s="10">
        <f>INDEX([1]ratio_ins!P:P,MATCH('001_population_health_zone_zs'!$B$2,[1]ratio_ins!$B:$B,0))*$G114*INDEX([1]ratio_ins!$C:$C,MATCH('001_population_health_zone_zs'!$B114,[1]ratio_ins!$B:$B,0))</f>
        <v>8557.6741380000003</v>
      </c>
      <c r="S114" s="10">
        <f>INDEX([1]ratio_ins!Q:Q,MATCH('001_population_health_zone_zs'!$B$2,[1]ratio_ins!$B:$B,0))*$G114*INDEX([1]ratio_ins!$C:$C,MATCH('001_population_health_zone_zs'!$B114,[1]ratio_ins!$B:$B,0))</f>
        <v>7206.4624320000003</v>
      </c>
      <c r="T114" s="10">
        <f>INDEX([1]ratio_ins!R:R,MATCH('001_population_health_zone_zs'!$B$2,[1]ratio_ins!$B:$B,0))*$G114*INDEX([1]ratio_ins!$C:$C,MATCH('001_population_health_zone_zs'!$B114,[1]ratio_ins!$B:$B,0))</f>
        <v>5104.5775560000002</v>
      </c>
      <c r="U114" s="10">
        <f>INDEX([1]ratio_ins!S:S,MATCH('001_population_health_zone_zs'!$B$2,[1]ratio_ins!$B:$B,0))*$G114*INDEX([1]ratio_ins!$C:$C,MATCH('001_population_health_zone_zs'!$B114,[1]ratio_ins!$B:$B,0))</f>
        <v>4053.6351180000001</v>
      </c>
      <c r="V114" s="10">
        <f>INDEX([1]ratio_ins!T:T,MATCH('001_population_health_zone_zs'!$B$2,[1]ratio_ins!$B:$B,0))*$G114*INDEX([1]ratio_ins!$C:$C,MATCH('001_population_health_zone_zs'!$B114,[1]ratio_ins!$B:$B,0))</f>
        <v>2252.0195100000001</v>
      </c>
      <c r="W114" s="11">
        <f>INDEX([1]ratio_ins!U:U,MATCH('001_population_health_zone_zs'!$B$2,[1]ratio_ins!$B:$B,0))*$G114*INDEX([1]ratio_ins!$C:$C,MATCH('001_population_health_zone_zs'!$B114,[1]ratio_ins!$B:$B,0))</f>
        <v>61435.092232800002</v>
      </c>
      <c r="X114" s="10">
        <f>INDEX([1]ratio_ins!V:V,MATCH('001_population_health_zone_zs'!$B$2,[1]ratio_ins!$B:$B,0))*$G114*INDEX([1]ratio_ins!$C:$C,MATCH('001_population_health_zone_zs'!$B114,[1]ratio_ins!$B:$B,0))</f>
        <v>1801.6156080000001</v>
      </c>
      <c r="Y114" s="10">
        <f>INDEX([1]ratio_ins!W:W,MATCH('001_population_health_zone_zs'!$B$2,[1]ratio_ins!$B:$B,0))*$G114*INDEX([1]ratio_ins!$C:$C,MATCH('001_population_health_zone_zs'!$B114,[1]ratio_ins!$B:$B,0))</f>
        <v>1201.0770719999998</v>
      </c>
      <c r="Z114" s="10">
        <f>INDEX([1]ratio_ins!X:X,MATCH('001_population_health_zone_zs'!$B$2,[1]ratio_ins!$B:$B,0))*$G114*INDEX([1]ratio_ins!$C:$C,MATCH('001_population_health_zone_zs'!$B114,[1]ratio_ins!$B:$B,0))</f>
        <v>600.53853599999991</v>
      </c>
      <c r="AA114" s="10">
        <f>INDEX([1]ratio_ins!Y:Y,MATCH('001_population_health_zone_zs'!$B$2,[1]ratio_ins!$B:$B,0))*$G114*INDEX([1]ratio_ins!$C:$C,MATCH('001_population_health_zone_zs'!$B114,[1]ratio_ins!$B:$B,0))</f>
        <v>300.26926799999995</v>
      </c>
      <c r="AB114" s="11">
        <f>INDEX([1]ratio_ins!Z:Z,MATCH('001_population_health_zone_zs'!$B$2,[1]ratio_ins!$B:$B,0))*$G114*INDEX([1]ratio_ins!$C:$C,MATCH('001_population_health_zone_zs'!$B114,[1]ratio_ins!$B:$B,0))</f>
        <v>3903.5004840000006</v>
      </c>
      <c r="AC114" s="12">
        <f t="shared" si="6"/>
        <v>150134.63399999999</v>
      </c>
      <c r="AD114" s="10">
        <f>INDEX([1]ratio_ins!AA:AA,MATCH('001_population_health_zone_zs'!$B$2,[1]ratio_ins!$B:$B,0))*$G114*INDEX([1]ratio_ins!$D:$D,MATCH('001_population_health_zone_zs'!$B114,[1]ratio_ins!$B:$B,0))</f>
        <v>33344.71686</v>
      </c>
      <c r="AE114" s="10">
        <f>INDEX([1]ratio_ins!AB:AB,MATCH('001_population_health_zone_zs'!$B$2,[1]ratio_ins!$B:$B,0))*$G114*INDEX([1]ratio_ins!$D:$D,MATCH('001_population_health_zone_zs'!$B114,[1]ratio_ins!$B:$B,0))</f>
        <v>27469.695318000002</v>
      </c>
      <c r="AF114" s="10">
        <f>INDEX([1]ratio_ins!AC:AC,MATCH('001_population_health_zone_zs'!$B$2,[1]ratio_ins!$B:$B,0))*$G114*INDEX([1]ratio_ins!$D:$D,MATCH('001_population_health_zone_zs'!$B114,[1]ratio_ins!$B:$B,0))</f>
        <v>21753.458141999996</v>
      </c>
      <c r="AG114" s="10">
        <f>INDEX([1]ratio_ins!AD:AD,MATCH('001_population_health_zone_zs'!$B$2,[1]ratio_ins!$B:$B,0))*$G114*INDEX([1]ratio_ins!$D:$D,MATCH('001_population_health_zone_zs'!$B114,[1]ratio_ins!$B:$B,0))</f>
        <v>13179.102378000001</v>
      </c>
      <c r="AH114" s="10">
        <f>INDEX([1]ratio_ins!AE:AE,MATCH('001_population_health_zone_zs'!$B$2,[1]ratio_ins!$B:$B,0))*$G114*INDEX([1]ratio_ins!$D:$D,MATCH('001_population_health_zone_zs'!$B114,[1]ratio_ins!$B:$B,0))</f>
        <v>7907.4614267999996</v>
      </c>
      <c r="AI114" s="13">
        <f>INDEX([1]ratio_ins!AF:AF,MATCH('001_population_health_zone_zs'!$B$2,[1]ratio_ins!$B:$B,0))*$G114*INDEX([1]ratio_ins!$D:$D,MATCH('001_population_health_zone_zs'!$B114,[1]ratio_ins!$B:$B,0))</f>
        <v>90475.331746799988</v>
      </c>
      <c r="AJ114" s="10">
        <f>INDEX([1]ratio_ins!AG:AG,MATCH('001_population_health_zone_zs'!$B$2,[1]ratio_ins!$B:$B,0))*$G114*INDEX([1]ratio_ins!$D:$D,MATCH('001_population_health_zone_zs'!$B114,[1]ratio_ins!$B:$B,0))</f>
        <v>5271.6409512</v>
      </c>
      <c r="AK114" s="10">
        <f>INDEX([1]ratio_ins!AH:AH,MATCH('001_population_health_zone_zs'!$B$2,[1]ratio_ins!$B:$B,0))*$G114*INDEX([1]ratio_ins!$D:$D,MATCH('001_population_health_zone_zs'!$B114,[1]ratio_ins!$B:$B,0))</f>
        <v>11750.043084000003</v>
      </c>
      <c r="AL114" s="10">
        <f>INDEX([1]ratio_ins!AI:AI,MATCH('001_population_health_zone_zs'!$B$2,[1]ratio_ins!$B:$B,0))*$G114*INDEX([1]ratio_ins!$D:$D,MATCH('001_population_health_zone_zs'!$B114,[1]ratio_ins!$B:$B,0))</f>
        <v>11114.905620000001</v>
      </c>
      <c r="AM114" s="10">
        <f>INDEX([1]ratio_ins!AJ:AJ,MATCH('001_population_health_zone_zs'!$B$2,[1]ratio_ins!$B:$B,0))*$G114*INDEX([1]ratio_ins!$D:$D,MATCH('001_population_health_zone_zs'!$B114,[1]ratio_ins!$B:$B,0))</f>
        <v>10162.199424</v>
      </c>
      <c r="AN114" s="10">
        <f>INDEX([1]ratio_ins!AK:AK,MATCH('001_population_health_zone_zs'!$B$2,[1]ratio_ins!$B:$B,0))*$G114*INDEX([1]ratio_ins!$D:$D,MATCH('001_population_health_zone_zs'!$B114,[1]ratio_ins!$B:$B,0))</f>
        <v>9527.0619599999991</v>
      </c>
      <c r="AO114" s="10">
        <f>INDEX([1]ratio_ins!AL:AL,MATCH('001_population_health_zone_zs'!$B$2,[1]ratio_ins!$B:$B,0))*$G114*INDEX([1]ratio_ins!$D:$D,MATCH('001_population_health_zone_zs'!$B114,[1]ratio_ins!$B:$B,0))</f>
        <v>7145.2964700000002</v>
      </c>
      <c r="AP114" s="10">
        <f>INDEX([1]ratio_ins!AM:AM,MATCH('001_population_health_zone_zs'!$B$2,[1]ratio_ins!$B:$B,0))*$G114*INDEX([1]ratio_ins!$D:$D,MATCH('001_population_health_zone_zs'!$B114,[1]ratio_ins!$B:$B,0))</f>
        <v>4604.7466139999997</v>
      </c>
      <c r="AQ114" s="10">
        <f>INDEX([1]ratio_ins!AN:AN,MATCH('001_population_health_zone_zs'!$B$2,[1]ratio_ins!$B:$B,0))*$G114*INDEX([1]ratio_ins!$D:$D,MATCH('001_population_health_zone_zs'!$B114,[1]ratio_ins!$B:$B,0))</f>
        <v>3652.040418</v>
      </c>
      <c r="AR114" s="10">
        <f>INDEX([1]ratio_ins!AO:AO,MATCH('001_population_health_zone_zs'!$B$2,[1]ratio_ins!$B:$B,0))*$G114*INDEX([1]ratio_ins!$D:$D,MATCH('001_population_health_zone_zs'!$B114,[1]ratio_ins!$B:$B,0))</f>
        <v>1746.6280260000003</v>
      </c>
      <c r="AS114" s="13">
        <f>INDEX([1]ratio_ins!AP:AP,MATCH('001_population_health_zone_zs'!$B$2,[1]ratio_ins!$B:$B,0))*$G114*INDEX([1]ratio_ins!$D:$D,MATCH('001_population_health_zone_zs'!$B114,[1]ratio_ins!$B:$B,0))</f>
        <v>64974.562567200002</v>
      </c>
      <c r="AT114" s="10">
        <f>INDEX([1]ratio_ins!AQ:AQ,MATCH('001_population_health_zone_zs'!$B$2,[1]ratio_ins!$B:$B,0))*$G114*INDEX([1]ratio_ins!$D:$D,MATCH('001_population_health_zone_zs'!$B114,[1]ratio_ins!$B:$B,0))</f>
        <v>1587.84366</v>
      </c>
      <c r="AU114" s="10">
        <f>INDEX([1]ratio_ins!AR:AR,MATCH('001_population_health_zone_zs'!$B$2,[1]ratio_ins!$B:$B,0))*$G114*INDEX([1]ratio_ins!$D:$D,MATCH('001_population_health_zone_zs'!$B114,[1]ratio_ins!$B:$B,0))</f>
        <v>952.70619600000009</v>
      </c>
      <c r="AV114" s="10">
        <f>INDEX([1]ratio_ins!AS:AS,MATCH('001_population_health_zone_zs'!$B$2,[1]ratio_ins!$B:$B,0))*$G114*INDEX([1]ratio_ins!$D:$D,MATCH('001_population_health_zone_zs'!$B114,[1]ratio_ins!$B:$B,0))</f>
        <v>476.35309800000005</v>
      </c>
      <c r="AW114" s="10">
        <f>INDEX([1]ratio_ins!AT:AT,MATCH('001_population_health_zone_zs'!$B$2,[1]ratio_ins!$B:$B,0))*$G114*INDEX([1]ratio_ins!$D:$D,MATCH('001_population_health_zone_zs'!$B114,[1]ratio_ins!$B:$B,0))</f>
        <v>317.56873200000001</v>
      </c>
      <c r="AX114" s="13">
        <f>INDEX([1]ratio_ins!AU:AU,MATCH('001_population_health_zone_zs'!$B$2,[1]ratio_ins!$B:$B,0))*$G114*INDEX([1]ratio_ins!$D:$D,MATCH('001_population_health_zone_zs'!$B114,[1]ratio_ins!$B:$B,0))</f>
        <v>3334.4716859999994</v>
      </c>
      <c r="AY114" s="14">
        <f t="shared" si="7"/>
        <v>158784.36599999998</v>
      </c>
      <c r="AZ114" s="15">
        <f t="shared" si="8"/>
        <v>308919</v>
      </c>
      <c r="BA114" s="16">
        <v>297938.75750558381</v>
      </c>
      <c r="BB114" s="10">
        <f t="shared" si="9"/>
        <v>67483.355550000007</v>
      </c>
      <c r="BC114" s="17">
        <f t="shared" si="10"/>
        <v>0.21845000000000003</v>
      </c>
      <c r="BD114" s="10">
        <f t="shared" si="11"/>
        <v>62606.142378000004</v>
      </c>
    </row>
    <row r="115" spans="1:56" x14ac:dyDescent="0.25">
      <c r="A115" s="8" t="s">
        <v>255</v>
      </c>
      <c r="B115" s="8" t="s">
        <v>256</v>
      </c>
      <c r="C115" s="8" t="s">
        <v>276</v>
      </c>
      <c r="D115" s="8" t="s">
        <v>277</v>
      </c>
      <c r="E115" s="8" t="s">
        <v>280</v>
      </c>
      <c r="F115" s="8" t="s">
        <v>281</v>
      </c>
      <c r="G115" s="9">
        <v>219253</v>
      </c>
      <c r="H115" s="10">
        <f>INDEX([1]ratio_ins!F:F,MATCH('001_population_health_zone_zs'!$B$2,[1]ratio_ins!$B:$B,0))*$G115*INDEX([1]ratio_ins!$C:$C,MATCH('001_population_health_zone_zs'!$B115,[1]ratio_ins!$B:$B,0))</f>
        <v>22270.404222000001</v>
      </c>
      <c r="I115" s="10">
        <f>INDEX([1]ratio_ins!G:G,MATCH('001_population_health_zone_zs'!$B$2,[1]ratio_ins!$B:$B,0))*$G115*INDEX([1]ratio_ins!$C:$C,MATCH('001_population_health_zone_zs'!$B115,[1]ratio_ins!$B:$B,0))</f>
        <v>18221.239818000002</v>
      </c>
      <c r="J115" s="10">
        <f>INDEX([1]ratio_ins!H:H,MATCH('001_population_health_zone_zs'!$B$2,[1]ratio_ins!$B:$B,0))*$G115*INDEX([1]ratio_ins!$C:$C,MATCH('001_population_health_zone_zs'!$B115,[1]ratio_ins!$B:$B,0))</f>
        <v>14385.189330000001</v>
      </c>
      <c r="K115" s="10">
        <f>INDEX([1]ratio_ins!I:I,MATCH('001_population_health_zone_zs'!$B$2,[1]ratio_ins!$B:$B,0))*$G115*INDEX([1]ratio_ins!$C:$C,MATCH('001_population_health_zone_zs'!$B115,[1]ratio_ins!$B:$B,0))</f>
        <v>8844.2275140000002</v>
      </c>
      <c r="L115" s="10">
        <f>INDEX([1]ratio_ins!J:J,MATCH('001_population_health_zone_zs'!$B$2,[1]ratio_ins!$B:$B,0))*$G115*INDEX([1]ratio_ins!$C:$C,MATCH('001_population_health_zone_zs'!$B115,[1]ratio_ins!$B:$B,0))</f>
        <v>5306.5365083999995</v>
      </c>
      <c r="M115" s="11">
        <f>INDEX([1]ratio_ins!K:K,MATCH('001_population_health_zone_zs'!$B$2,[1]ratio_ins!$B:$B,0))*$G115*INDEX([1]ratio_ins!$C:$C,MATCH('001_population_health_zone_zs'!$B115,[1]ratio_ins!$B:$B,0))</f>
        <v>60183.369878399993</v>
      </c>
      <c r="N115" s="10">
        <f>INDEX([1]ratio_ins!L:L,MATCH('001_population_health_zone_zs'!$B$2,[1]ratio_ins!$B:$B,0))*$G115*INDEX([1]ratio_ins!$C:$C,MATCH('001_population_health_zone_zs'!$B115,[1]ratio_ins!$B:$B,0))</f>
        <v>3537.6910055999997</v>
      </c>
      <c r="O115" s="10">
        <f>INDEX([1]ratio_ins!M:M,MATCH('001_population_health_zone_zs'!$B$2,[1]ratio_ins!$B:$B,0))*$G115*INDEX([1]ratio_ins!$C:$C,MATCH('001_population_health_zone_zs'!$B115,[1]ratio_ins!$B:$B,0))</f>
        <v>7672.1009760000006</v>
      </c>
      <c r="P115" s="10">
        <f>INDEX([1]ratio_ins!N:N,MATCH('001_population_health_zone_zs'!$B$2,[1]ratio_ins!$B:$B,0))*$G115*INDEX([1]ratio_ins!$C:$C,MATCH('001_population_health_zone_zs'!$B115,[1]ratio_ins!$B:$B,0))</f>
        <v>6926.2022699999998</v>
      </c>
      <c r="Q115" s="10">
        <f>INDEX([1]ratio_ins!O:O,MATCH('001_population_health_zone_zs'!$B$2,[1]ratio_ins!$B:$B,0))*$G115*INDEX([1]ratio_ins!$C:$C,MATCH('001_population_health_zone_zs'!$B115,[1]ratio_ins!$B:$B,0))</f>
        <v>6180.3035639999998</v>
      </c>
      <c r="R115" s="10">
        <f>INDEX([1]ratio_ins!P:P,MATCH('001_population_health_zone_zs'!$B$2,[1]ratio_ins!$B:$B,0))*$G115*INDEX([1]ratio_ins!$C:$C,MATCH('001_population_health_zone_zs'!$B115,[1]ratio_ins!$B:$B,0))</f>
        <v>6073.7466059999997</v>
      </c>
      <c r="S115" s="10">
        <f>INDEX([1]ratio_ins!Q:Q,MATCH('001_population_health_zone_zs'!$B$2,[1]ratio_ins!$B:$B,0))*$G115*INDEX([1]ratio_ins!$C:$C,MATCH('001_population_health_zone_zs'!$B115,[1]ratio_ins!$B:$B,0))</f>
        <v>5114.7339840000004</v>
      </c>
      <c r="T115" s="10">
        <f>INDEX([1]ratio_ins!R:R,MATCH('001_population_health_zone_zs'!$B$2,[1]ratio_ins!$B:$B,0))*$G115*INDEX([1]ratio_ins!$C:$C,MATCH('001_population_health_zone_zs'!$B115,[1]ratio_ins!$B:$B,0))</f>
        <v>3622.9365720000001</v>
      </c>
      <c r="U115" s="10">
        <f>INDEX([1]ratio_ins!S:S,MATCH('001_population_health_zone_zs'!$B$2,[1]ratio_ins!$B:$B,0))*$G115*INDEX([1]ratio_ins!$C:$C,MATCH('001_population_health_zone_zs'!$B115,[1]ratio_ins!$B:$B,0))</f>
        <v>2877.0378660000006</v>
      </c>
      <c r="V115" s="10">
        <f>INDEX([1]ratio_ins!T:T,MATCH('001_population_health_zone_zs'!$B$2,[1]ratio_ins!$B:$B,0))*$G115*INDEX([1]ratio_ins!$C:$C,MATCH('001_population_health_zone_zs'!$B115,[1]ratio_ins!$B:$B,0))</f>
        <v>1598.35437</v>
      </c>
      <c r="W115" s="11">
        <f>INDEX([1]ratio_ins!U:U,MATCH('001_population_health_zone_zs'!$B$2,[1]ratio_ins!$B:$B,0))*$G115*INDEX([1]ratio_ins!$C:$C,MATCH('001_population_health_zone_zs'!$B115,[1]ratio_ins!$B:$B,0))</f>
        <v>43603.1072136</v>
      </c>
      <c r="X115" s="10">
        <f>INDEX([1]ratio_ins!V:V,MATCH('001_population_health_zone_zs'!$B$2,[1]ratio_ins!$B:$B,0))*$G115*INDEX([1]ratio_ins!$C:$C,MATCH('001_population_health_zone_zs'!$B115,[1]ratio_ins!$B:$B,0))</f>
        <v>1278.6834960000001</v>
      </c>
      <c r="Y115" s="10">
        <f>INDEX([1]ratio_ins!W:W,MATCH('001_population_health_zone_zs'!$B$2,[1]ratio_ins!$B:$B,0))*$G115*INDEX([1]ratio_ins!$C:$C,MATCH('001_population_health_zone_zs'!$B115,[1]ratio_ins!$B:$B,0))</f>
        <v>852.45566400000007</v>
      </c>
      <c r="Z115" s="10">
        <f>INDEX([1]ratio_ins!X:X,MATCH('001_population_health_zone_zs'!$B$2,[1]ratio_ins!$B:$B,0))*$G115*INDEX([1]ratio_ins!$C:$C,MATCH('001_population_health_zone_zs'!$B115,[1]ratio_ins!$B:$B,0))</f>
        <v>426.22783200000003</v>
      </c>
      <c r="AA115" s="10">
        <f>INDEX([1]ratio_ins!Y:Y,MATCH('001_population_health_zone_zs'!$B$2,[1]ratio_ins!$B:$B,0))*$G115*INDEX([1]ratio_ins!$C:$C,MATCH('001_population_health_zone_zs'!$B115,[1]ratio_ins!$B:$B,0))</f>
        <v>213.11391600000002</v>
      </c>
      <c r="AB115" s="11">
        <f>INDEX([1]ratio_ins!Z:Z,MATCH('001_population_health_zone_zs'!$B$2,[1]ratio_ins!$B:$B,0))*$G115*INDEX([1]ratio_ins!$C:$C,MATCH('001_population_health_zone_zs'!$B115,[1]ratio_ins!$B:$B,0))</f>
        <v>2770.480908</v>
      </c>
      <c r="AC115" s="12">
        <f t="shared" si="6"/>
        <v>106556.95799999998</v>
      </c>
      <c r="AD115" s="10">
        <f>INDEX([1]ratio_ins!AA:AA,MATCH('001_population_health_zone_zs'!$B$2,[1]ratio_ins!$B:$B,0))*$G115*INDEX([1]ratio_ins!$D:$D,MATCH('001_population_health_zone_zs'!$B115,[1]ratio_ins!$B:$B,0))</f>
        <v>23666.168819999999</v>
      </c>
      <c r="AE115" s="10">
        <f>INDEX([1]ratio_ins!AB:AB,MATCH('001_population_health_zone_zs'!$B$2,[1]ratio_ins!$B:$B,0))*$G115*INDEX([1]ratio_ins!$D:$D,MATCH('001_population_health_zone_zs'!$B115,[1]ratio_ins!$B:$B,0))</f>
        <v>19496.415266</v>
      </c>
      <c r="AF115" s="10">
        <f>INDEX([1]ratio_ins!AC:AC,MATCH('001_population_health_zone_zs'!$B$2,[1]ratio_ins!$B:$B,0))*$G115*INDEX([1]ratio_ins!$D:$D,MATCH('001_population_health_zone_zs'!$B115,[1]ratio_ins!$B:$B,0))</f>
        <v>15439.357753999999</v>
      </c>
      <c r="AG115" s="10">
        <f>INDEX([1]ratio_ins!AD:AD,MATCH('001_population_health_zone_zs'!$B$2,[1]ratio_ins!$B:$B,0))*$G115*INDEX([1]ratio_ins!$D:$D,MATCH('001_population_health_zone_zs'!$B115,[1]ratio_ins!$B:$B,0))</f>
        <v>9353.7714859999996</v>
      </c>
      <c r="AH115" s="10">
        <f>INDEX([1]ratio_ins!AE:AE,MATCH('001_population_health_zone_zs'!$B$2,[1]ratio_ins!$B:$B,0))*$G115*INDEX([1]ratio_ins!$D:$D,MATCH('001_population_health_zone_zs'!$B115,[1]ratio_ins!$B:$B,0))</f>
        <v>5612.2628916000003</v>
      </c>
      <c r="AI115" s="13">
        <f>INDEX([1]ratio_ins!AF:AF,MATCH('001_population_health_zone_zs'!$B$2,[1]ratio_ins!$B:$B,0))*$G115*INDEX([1]ratio_ins!$D:$D,MATCH('001_population_health_zone_zs'!$B115,[1]ratio_ins!$B:$B,0))</f>
        <v>64214.204731600003</v>
      </c>
      <c r="AJ115" s="10">
        <f>INDEX([1]ratio_ins!AG:AG,MATCH('001_population_health_zone_zs'!$B$2,[1]ratio_ins!$B:$B,0))*$G115*INDEX([1]ratio_ins!$D:$D,MATCH('001_population_health_zone_zs'!$B115,[1]ratio_ins!$B:$B,0))</f>
        <v>3741.5085944000002</v>
      </c>
      <c r="AK115" s="10">
        <f>INDEX([1]ratio_ins!AH:AH,MATCH('001_population_health_zone_zs'!$B$2,[1]ratio_ins!$B:$B,0))*$G115*INDEX([1]ratio_ins!$D:$D,MATCH('001_population_health_zone_zs'!$B115,[1]ratio_ins!$B:$B,0))</f>
        <v>8339.5071080000016</v>
      </c>
      <c r="AL115" s="10">
        <f>INDEX([1]ratio_ins!AI:AI,MATCH('001_population_health_zone_zs'!$B$2,[1]ratio_ins!$B:$B,0))*$G115*INDEX([1]ratio_ins!$D:$D,MATCH('001_population_health_zone_zs'!$B115,[1]ratio_ins!$B:$B,0))</f>
        <v>7888.7229400000006</v>
      </c>
      <c r="AM115" s="10">
        <f>INDEX([1]ratio_ins!AJ:AJ,MATCH('001_population_health_zone_zs'!$B$2,[1]ratio_ins!$B:$B,0))*$G115*INDEX([1]ratio_ins!$D:$D,MATCH('001_population_health_zone_zs'!$B115,[1]ratio_ins!$B:$B,0))</f>
        <v>7212.5466880000004</v>
      </c>
      <c r="AN115" s="10">
        <f>INDEX([1]ratio_ins!AK:AK,MATCH('001_population_health_zone_zs'!$B$2,[1]ratio_ins!$B:$B,0))*$G115*INDEX([1]ratio_ins!$D:$D,MATCH('001_population_health_zone_zs'!$B115,[1]ratio_ins!$B:$B,0))</f>
        <v>6761.7625200000002</v>
      </c>
      <c r="AO115" s="10">
        <f>INDEX([1]ratio_ins!AL:AL,MATCH('001_population_health_zone_zs'!$B$2,[1]ratio_ins!$B:$B,0))*$G115*INDEX([1]ratio_ins!$D:$D,MATCH('001_population_health_zone_zs'!$B115,[1]ratio_ins!$B:$B,0))</f>
        <v>5071.3218900000002</v>
      </c>
      <c r="AP115" s="10">
        <f>INDEX([1]ratio_ins!AM:AM,MATCH('001_population_health_zone_zs'!$B$2,[1]ratio_ins!$B:$B,0))*$G115*INDEX([1]ratio_ins!$D:$D,MATCH('001_population_health_zone_zs'!$B115,[1]ratio_ins!$B:$B,0))</f>
        <v>3268.1852179999996</v>
      </c>
      <c r="AQ115" s="10">
        <f>INDEX([1]ratio_ins!AN:AN,MATCH('001_population_health_zone_zs'!$B$2,[1]ratio_ins!$B:$B,0))*$G115*INDEX([1]ratio_ins!$D:$D,MATCH('001_population_health_zone_zs'!$B115,[1]ratio_ins!$B:$B,0))</f>
        <v>2592.0089659999999</v>
      </c>
      <c r="AR115" s="10">
        <f>INDEX([1]ratio_ins!AO:AO,MATCH('001_population_health_zone_zs'!$B$2,[1]ratio_ins!$B:$B,0))*$G115*INDEX([1]ratio_ins!$D:$D,MATCH('001_population_health_zone_zs'!$B115,[1]ratio_ins!$B:$B,0))</f>
        <v>1239.6564620000001</v>
      </c>
      <c r="AS115" s="13">
        <f>INDEX([1]ratio_ins!AP:AP,MATCH('001_population_health_zone_zs'!$B$2,[1]ratio_ins!$B:$B,0))*$G115*INDEX([1]ratio_ins!$D:$D,MATCH('001_population_health_zone_zs'!$B115,[1]ratio_ins!$B:$B,0))</f>
        <v>46115.220386400004</v>
      </c>
      <c r="AT115" s="10">
        <f>INDEX([1]ratio_ins!AQ:AQ,MATCH('001_population_health_zone_zs'!$B$2,[1]ratio_ins!$B:$B,0))*$G115*INDEX([1]ratio_ins!$D:$D,MATCH('001_population_health_zone_zs'!$B115,[1]ratio_ins!$B:$B,0))</f>
        <v>1126.9604200000001</v>
      </c>
      <c r="AU115" s="10">
        <f>INDEX([1]ratio_ins!AR:AR,MATCH('001_population_health_zone_zs'!$B$2,[1]ratio_ins!$B:$B,0))*$G115*INDEX([1]ratio_ins!$D:$D,MATCH('001_population_health_zone_zs'!$B115,[1]ratio_ins!$B:$B,0))</f>
        <v>676.17625199999998</v>
      </c>
      <c r="AV115" s="10">
        <f>INDEX([1]ratio_ins!AS:AS,MATCH('001_population_health_zone_zs'!$B$2,[1]ratio_ins!$B:$B,0))*$G115*INDEX([1]ratio_ins!$D:$D,MATCH('001_population_health_zone_zs'!$B115,[1]ratio_ins!$B:$B,0))</f>
        <v>338.08812599999999</v>
      </c>
      <c r="AW115" s="10">
        <f>INDEX([1]ratio_ins!AT:AT,MATCH('001_population_health_zone_zs'!$B$2,[1]ratio_ins!$B:$B,0))*$G115*INDEX([1]ratio_ins!$D:$D,MATCH('001_population_health_zone_zs'!$B115,[1]ratio_ins!$B:$B,0))</f>
        <v>225.39208400000001</v>
      </c>
      <c r="AX115" s="13">
        <f>INDEX([1]ratio_ins!AU:AU,MATCH('001_population_health_zone_zs'!$B$2,[1]ratio_ins!$B:$B,0))*$G115*INDEX([1]ratio_ins!$D:$D,MATCH('001_population_health_zone_zs'!$B115,[1]ratio_ins!$B:$B,0))</f>
        <v>2366.6168819999998</v>
      </c>
      <c r="AY115" s="14">
        <f t="shared" si="7"/>
        <v>112696.04200000002</v>
      </c>
      <c r="AZ115" s="15">
        <f t="shared" si="8"/>
        <v>219253</v>
      </c>
      <c r="BA115" s="16">
        <v>211460.35154633524</v>
      </c>
      <c r="BB115" s="10">
        <f t="shared" si="9"/>
        <v>47895.817849999999</v>
      </c>
      <c r="BC115" s="17">
        <f t="shared" si="10"/>
        <v>0.21845000000000001</v>
      </c>
      <c r="BD115" s="10">
        <f t="shared" si="11"/>
        <v>44434.251486000001</v>
      </c>
    </row>
    <row r="116" spans="1:56" x14ac:dyDescent="0.25">
      <c r="A116" s="8" t="s">
        <v>255</v>
      </c>
      <c r="B116" s="8" t="s">
        <v>256</v>
      </c>
      <c r="C116" s="8" t="s">
        <v>282</v>
      </c>
      <c r="D116" s="8" t="s">
        <v>283</v>
      </c>
      <c r="E116" s="8" t="s">
        <v>282</v>
      </c>
      <c r="F116" s="8" t="s">
        <v>284</v>
      </c>
      <c r="G116" s="9">
        <v>174811</v>
      </c>
      <c r="H116" s="10">
        <f>INDEX([1]ratio_ins!F:F,MATCH('001_population_health_zone_zs'!$B$2,[1]ratio_ins!$B:$B,0))*$G116*INDEX([1]ratio_ins!$C:$C,MATCH('001_population_health_zone_zs'!$B116,[1]ratio_ins!$B:$B,0))</f>
        <v>17756.252513999996</v>
      </c>
      <c r="I116" s="10">
        <f>INDEX([1]ratio_ins!G:G,MATCH('001_population_health_zone_zs'!$B$2,[1]ratio_ins!$B:$B,0))*$G116*INDEX([1]ratio_ins!$C:$C,MATCH('001_population_health_zone_zs'!$B116,[1]ratio_ins!$B:$B,0))</f>
        <v>14527.842966</v>
      </c>
      <c r="J116" s="10">
        <f>INDEX([1]ratio_ins!H:H,MATCH('001_population_health_zone_zs'!$B$2,[1]ratio_ins!$B:$B,0))*$G116*INDEX([1]ratio_ins!$C:$C,MATCH('001_population_health_zone_zs'!$B116,[1]ratio_ins!$B:$B,0))</f>
        <v>11469.34971</v>
      </c>
      <c r="K116" s="10">
        <f>INDEX([1]ratio_ins!I:I,MATCH('001_population_health_zone_zs'!$B$2,[1]ratio_ins!$B:$B,0))*$G116*INDEX([1]ratio_ins!$C:$C,MATCH('001_population_health_zone_zs'!$B116,[1]ratio_ins!$B:$B,0))</f>
        <v>7051.5261179999998</v>
      </c>
      <c r="L116" s="10">
        <f>INDEX([1]ratio_ins!J:J,MATCH('001_population_health_zone_zs'!$B$2,[1]ratio_ins!$B:$B,0))*$G116*INDEX([1]ratio_ins!$C:$C,MATCH('001_population_health_zone_zs'!$B116,[1]ratio_ins!$B:$B,0))</f>
        <v>4230.9156707999991</v>
      </c>
      <c r="M116" s="11">
        <f>INDEX([1]ratio_ins!K:K,MATCH('001_population_health_zone_zs'!$B$2,[1]ratio_ins!$B:$B,0))*$G116*INDEX([1]ratio_ins!$C:$C,MATCH('001_population_health_zone_zs'!$B116,[1]ratio_ins!$B:$B,0))</f>
        <v>47984.360860799992</v>
      </c>
      <c r="N116" s="10">
        <f>INDEX([1]ratio_ins!L:L,MATCH('001_population_health_zone_zs'!$B$2,[1]ratio_ins!$B:$B,0))*$G116*INDEX([1]ratio_ins!$C:$C,MATCH('001_population_health_zone_zs'!$B116,[1]ratio_ins!$B:$B,0))</f>
        <v>2820.6104471999997</v>
      </c>
      <c r="O116" s="10">
        <f>INDEX([1]ratio_ins!M:M,MATCH('001_population_health_zone_zs'!$B$2,[1]ratio_ins!$B:$B,0))*$G116*INDEX([1]ratio_ins!$C:$C,MATCH('001_population_health_zone_zs'!$B116,[1]ratio_ins!$B:$B,0))</f>
        <v>6116.9865120000004</v>
      </c>
      <c r="P116" s="10">
        <f>INDEX([1]ratio_ins!N:N,MATCH('001_population_health_zone_zs'!$B$2,[1]ratio_ins!$B:$B,0))*$G116*INDEX([1]ratio_ins!$C:$C,MATCH('001_population_health_zone_zs'!$B116,[1]ratio_ins!$B:$B,0))</f>
        <v>5522.2794899999999</v>
      </c>
      <c r="Q116" s="10">
        <f>INDEX([1]ratio_ins!O:O,MATCH('001_population_health_zone_zs'!$B$2,[1]ratio_ins!$B:$B,0))*$G116*INDEX([1]ratio_ins!$C:$C,MATCH('001_population_health_zone_zs'!$B116,[1]ratio_ins!$B:$B,0))</f>
        <v>4927.5724679999994</v>
      </c>
      <c r="R116" s="10">
        <f>INDEX([1]ratio_ins!P:P,MATCH('001_population_health_zone_zs'!$B$2,[1]ratio_ins!$B:$B,0))*$G116*INDEX([1]ratio_ins!$C:$C,MATCH('001_population_health_zone_zs'!$B116,[1]ratio_ins!$B:$B,0))</f>
        <v>4842.6143220000004</v>
      </c>
      <c r="S116" s="10">
        <f>INDEX([1]ratio_ins!Q:Q,MATCH('001_population_health_zone_zs'!$B$2,[1]ratio_ins!$B:$B,0))*$G116*INDEX([1]ratio_ins!$C:$C,MATCH('001_population_health_zone_zs'!$B116,[1]ratio_ins!$B:$B,0))</f>
        <v>4077.991008</v>
      </c>
      <c r="T116" s="10">
        <f>INDEX([1]ratio_ins!R:R,MATCH('001_population_health_zone_zs'!$B$2,[1]ratio_ins!$B:$B,0))*$G116*INDEX([1]ratio_ins!$C:$C,MATCH('001_population_health_zone_zs'!$B116,[1]ratio_ins!$B:$B,0))</f>
        <v>2888.5769640000003</v>
      </c>
      <c r="U116" s="10">
        <f>INDEX([1]ratio_ins!S:S,MATCH('001_population_health_zone_zs'!$B$2,[1]ratio_ins!$B:$B,0))*$G116*INDEX([1]ratio_ins!$C:$C,MATCH('001_population_health_zone_zs'!$B116,[1]ratio_ins!$B:$B,0))</f>
        <v>2293.8699420000003</v>
      </c>
      <c r="V116" s="10">
        <f>INDEX([1]ratio_ins!T:T,MATCH('001_population_health_zone_zs'!$B$2,[1]ratio_ins!$B:$B,0))*$G116*INDEX([1]ratio_ins!$C:$C,MATCH('001_population_health_zone_zs'!$B116,[1]ratio_ins!$B:$B,0))</f>
        <v>1274.37219</v>
      </c>
      <c r="W116" s="11">
        <f>INDEX([1]ratio_ins!U:U,MATCH('001_population_health_zone_zs'!$B$2,[1]ratio_ins!$B:$B,0))*$G116*INDEX([1]ratio_ins!$C:$C,MATCH('001_population_health_zone_zs'!$B116,[1]ratio_ins!$B:$B,0))</f>
        <v>34764.873343200001</v>
      </c>
      <c r="X116" s="10">
        <f>INDEX([1]ratio_ins!V:V,MATCH('001_population_health_zone_zs'!$B$2,[1]ratio_ins!$B:$B,0))*$G116*INDEX([1]ratio_ins!$C:$C,MATCH('001_population_health_zone_zs'!$B116,[1]ratio_ins!$B:$B,0))</f>
        <v>1019.497752</v>
      </c>
      <c r="Y116" s="10">
        <f>INDEX([1]ratio_ins!W:W,MATCH('001_population_health_zone_zs'!$B$2,[1]ratio_ins!$B:$B,0))*$G116*INDEX([1]ratio_ins!$C:$C,MATCH('001_population_health_zone_zs'!$B116,[1]ratio_ins!$B:$B,0))</f>
        <v>679.66516799999999</v>
      </c>
      <c r="Z116" s="10">
        <f>INDEX([1]ratio_ins!X:X,MATCH('001_population_health_zone_zs'!$B$2,[1]ratio_ins!$B:$B,0))*$G116*INDEX([1]ratio_ins!$C:$C,MATCH('001_population_health_zone_zs'!$B116,[1]ratio_ins!$B:$B,0))</f>
        <v>339.832584</v>
      </c>
      <c r="AA116" s="10">
        <f>INDEX([1]ratio_ins!Y:Y,MATCH('001_population_health_zone_zs'!$B$2,[1]ratio_ins!$B:$B,0))*$G116*INDEX([1]ratio_ins!$C:$C,MATCH('001_population_health_zone_zs'!$B116,[1]ratio_ins!$B:$B,0))</f>
        <v>169.916292</v>
      </c>
      <c r="AB116" s="11">
        <f>INDEX([1]ratio_ins!Z:Z,MATCH('001_population_health_zone_zs'!$B$2,[1]ratio_ins!$B:$B,0))*$G116*INDEX([1]ratio_ins!$C:$C,MATCH('001_population_health_zone_zs'!$B116,[1]ratio_ins!$B:$B,0))</f>
        <v>2208.9117959999999</v>
      </c>
      <c r="AC116" s="12">
        <f t="shared" si="6"/>
        <v>84958.145999999993</v>
      </c>
      <c r="AD116" s="10">
        <f>INDEX([1]ratio_ins!AA:AA,MATCH('001_population_health_zone_zs'!$B$2,[1]ratio_ins!$B:$B,0))*$G116*INDEX([1]ratio_ins!$D:$D,MATCH('001_population_health_zone_zs'!$B116,[1]ratio_ins!$B:$B,0))</f>
        <v>18869.099340000001</v>
      </c>
      <c r="AE116" s="10">
        <f>INDEX([1]ratio_ins!AB:AB,MATCH('001_population_health_zone_zs'!$B$2,[1]ratio_ins!$B:$B,0))*$G116*INDEX([1]ratio_ins!$D:$D,MATCH('001_population_health_zone_zs'!$B116,[1]ratio_ins!$B:$B,0))</f>
        <v>15544.543742000002</v>
      </c>
      <c r="AF116" s="10">
        <f>INDEX([1]ratio_ins!AC:AC,MATCH('001_population_health_zone_zs'!$B$2,[1]ratio_ins!$B:$B,0))*$G116*INDEX([1]ratio_ins!$D:$D,MATCH('001_population_health_zone_zs'!$B116,[1]ratio_ins!$B:$B,0))</f>
        <v>12309.840997999998</v>
      </c>
      <c r="AG116" s="10">
        <f>INDEX([1]ratio_ins!AD:AD,MATCH('001_population_health_zone_zs'!$B$2,[1]ratio_ins!$B:$B,0))*$G116*INDEX([1]ratio_ins!$D:$D,MATCH('001_population_health_zone_zs'!$B116,[1]ratio_ins!$B:$B,0))</f>
        <v>7457.7868820000003</v>
      </c>
      <c r="AH116" s="10">
        <f>INDEX([1]ratio_ins!AE:AE,MATCH('001_population_health_zone_zs'!$B$2,[1]ratio_ins!$B:$B,0))*$G116*INDEX([1]ratio_ins!$D:$D,MATCH('001_population_health_zone_zs'!$B116,[1]ratio_ins!$B:$B,0))</f>
        <v>4474.6721292000002</v>
      </c>
      <c r="AI116" s="13">
        <f>INDEX([1]ratio_ins!AF:AF,MATCH('001_population_health_zone_zs'!$B$2,[1]ratio_ins!$B:$B,0))*$G116*INDEX([1]ratio_ins!$D:$D,MATCH('001_population_health_zone_zs'!$B116,[1]ratio_ins!$B:$B,0))</f>
        <v>51198.156209200002</v>
      </c>
      <c r="AJ116" s="10">
        <f>INDEX([1]ratio_ins!AG:AG,MATCH('001_population_health_zone_zs'!$B$2,[1]ratio_ins!$B:$B,0))*$G116*INDEX([1]ratio_ins!$D:$D,MATCH('001_population_health_zone_zs'!$B116,[1]ratio_ins!$B:$B,0))</f>
        <v>2983.1147528000001</v>
      </c>
      <c r="AK116" s="10">
        <f>INDEX([1]ratio_ins!AH:AH,MATCH('001_population_health_zone_zs'!$B$2,[1]ratio_ins!$B:$B,0))*$G116*INDEX([1]ratio_ins!$D:$D,MATCH('001_population_health_zone_zs'!$B116,[1]ratio_ins!$B:$B,0))</f>
        <v>6649.1111960000007</v>
      </c>
      <c r="AL116" s="10">
        <f>INDEX([1]ratio_ins!AI:AI,MATCH('001_population_health_zone_zs'!$B$2,[1]ratio_ins!$B:$B,0))*$G116*INDEX([1]ratio_ins!$D:$D,MATCH('001_population_health_zone_zs'!$B116,[1]ratio_ins!$B:$B,0))</f>
        <v>6289.6997800000008</v>
      </c>
      <c r="AM116" s="10">
        <f>INDEX([1]ratio_ins!AJ:AJ,MATCH('001_population_health_zone_zs'!$B$2,[1]ratio_ins!$B:$B,0))*$G116*INDEX([1]ratio_ins!$D:$D,MATCH('001_population_health_zone_zs'!$B116,[1]ratio_ins!$B:$B,0))</f>
        <v>5750.5826560000005</v>
      </c>
      <c r="AN116" s="10">
        <f>INDEX([1]ratio_ins!AK:AK,MATCH('001_population_health_zone_zs'!$B$2,[1]ratio_ins!$B:$B,0))*$G116*INDEX([1]ratio_ins!$D:$D,MATCH('001_population_health_zone_zs'!$B116,[1]ratio_ins!$B:$B,0))</f>
        <v>5391.1712399999997</v>
      </c>
      <c r="AO116" s="10">
        <f>INDEX([1]ratio_ins!AL:AL,MATCH('001_population_health_zone_zs'!$B$2,[1]ratio_ins!$B:$B,0))*$G116*INDEX([1]ratio_ins!$D:$D,MATCH('001_population_health_zone_zs'!$B116,[1]ratio_ins!$B:$B,0))</f>
        <v>4043.3784300000002</v>
      </c>
      <c r="AP116" s="10">
        <f>INDEX([1]ratio_ins!AM:AM,MATCH('001_population_health_zone_zs'!$B$2,[1]ratio_ins!$B:$B,0))*$G116*INDEX([1]ratio_ins!$D:$D,MATCH('001_population_health_zone_zs'!$B116,[1]ratio_ins!$B:$B,0))</f>
        <v>2605.7327659999996</v>
      </c>
      <c r="AQ116" s="10">
        <f>INDEX([1]ratio_ins!AN:AN,MATCH('001_population_health_zone_zs'!$B$2,[1]ratio_ins!$B:$B,0))*$G116*INDEX([1]ratio_ins!$D:$D,MATCH('001_population_health_zone_zs'!$B116,[1]ratio_ins!$B:$B,0))</f>
        <v>2066.6156419999998</v>
      </c>
      <c r="AR116" s="10">
        <f>INDEX([1]ratio_ins!AO:AO,MATCH('001_population_health_zone_zs'!$B$2,[1]ratio_ins!$B:$B,0))*$G116*INDEX([1]ratio_ins!$D:$D,MATCH('001_population_health_zone_zs'!$B116,[1]ratio_ins!$B:$B,0))</f>
        <v>988.38139400000011</v>
      </c>
      <c r="AS116" s="13">
        <f>INDEX([1]ratio_ins!AP:AP,MATCH('001_population_health_zone_zs'!$B$2,[1]ratio_ins!$B:$B,0))*$G116*INDEX([1]ratio_ins!$D:$D,MATCH('001_population_health_zone_zs'!$B116,[1]ratio_ins!$B:$B,0))</f>
        <v>36767.787856800001</v>
      </c>
      <c r="AT116" s="10">
        <f>INDEX([1]ratio_ins!AQ:AQ,MATCH('001_population_health_zone_zs'!$B$2,[1]ratio_ins!$B:$B,0))*$G116*INDEX([1]ratio_ins!$D:$D,MATCH('001_population_health_zone_zs'!$B116,[1]ratio_ins!$B:$B,0))</f>
        <v>898.52854000000013</v>
      </c>
      <c r="AU116" s="10">
        <f>INDEX([1]ratio_ins!AR:AR,MATCH('001_population_health_zone_zs'!$B$2,[1]ratio_ins!$B:$B,0))*$G116*INDEX([1]ratio_ins!$D:$D,MATCH('001_population_health_zone_zs'!$B116,[1]ratio_ins!$B:$B,0))</f>
        <v>539.11712399999999</v>
      </c>
      <c r="AV116" s="10">
        <f>INDEX([1]ratio_ins!AS:AS,MATCH('001_population_health_zone_zs'!$B$2,[1]ratio_ins!$B:$B,0))*$G116*INDEX([1]ratio_ins!$D:$D,MATCH('001_population_health_zone_zs'!$B116,[1]ratio_ins!$B:$B,0))</f>
        <v>269.55856199999999</v>
      </c>
      <c r="AW116" s="10">
        <f>INDEX([1]ratio_ins!AT:AT,MATCH('001_population_health_zone_zs'!$B$2,[1]ratio_ins!$B:$B,0))*$G116*INDEX([1]ratio_ins!$D:$D,MATCH('001_population_health_zone_zs'!$B116,[1]ratio_ins!$B:$B,0))</f>
        <v>179.70570800000002</v>
      </c>
      <c r="AX116" s="13">
        <f>INDEX([1]ratio_ins!AU:AU,MATCH('001_population_health_zone_zs'!$B$2,[1]ratio_ins!$B:$B,0))*$G116*INDEX([1]ratio_ins!$D:$D,MATCH('001_population_health_zone_zs'!$B116,[1]ratio_ins!$B:$B,0))</f>
        <v>1886.9099339999998</v>
      </c>
      <c r="AY116" s="14">
        <f t="shared" si="7"/>
        <v>89852.853999999992</v>
      </c>
      <c r="AZ116" s="15">
        <f t="shared" si="8"/>
        <v>174811</v>
      </c>
      <c r="BA116" s="16">
        <v>168597.3873932423</v>
      </c>
      <c r="BB116" s="10">
        <f t="shared" si="9"/>
        <v>38187.462950000001</v>
      </c>
      <c r="BC116" s="17">
        <f t="shared" si="10"/>
        <v>0.21845000000000001</v>
      </c>
      <c r="BD116" s="10">
        <f t="shared" si="11"/>
        <v>35427.546882000002</v>
      </c>
    </row>
    <row r="117" spans="1:56" x14ac:dyDescent="0.25">
      <c r="A117" s="8" t="s">
        <v>255</v>
      </c>
      <c r="B117" s="8" t="s">
        <v>256</v>
      </c>
      <c r="C117" s="8" t="s">
        <v>285</v>
      </c>
      <c r="D117" s="8" t="s">
        <v>286</v>
      </c>
      <c r="E117" s="8" t="s">
        <v>285</v>
      </c>
      <c r="F117" s="8" t="s">
        <v>287</v>
      </c>
      <c r="G117" s="9">
        <v>194064</v>
      </c>
      <c r="H117" s="10">
        <f>INDEX([1]ratio_ins!F:F,MATCH('001_population_health_zone_zs'!$B$2,[1]ratio_ins!$B:$B,0))*$G117*INDEX([1]ratio_ins!$C:$C,MATCH('001_population_health_zone_zs'!$B117,[1]ratio_ins!$B:$B,0))</f>
        <v>19711.856735999998</v>
      </c>
      <c r="I117" s="10">
        <f>INDEX([1]ratio_ins!G:G,MATCH('001_population_health_zone_zs'!$B$2,[1]ratio_ins!$B:$B,0))*$G117*INDEX([1]ratio_ins!$C:$C,MATCH('001_population_health_zone_zs'!$B117,[1]ratio_ins!$B:$B,0))</f>
        <v>16127.882784000001</v>
      </c>
      <c r="J117" s="10">
        <f>INDEX([1]ratio_ins!H:H,MATCH('001_population_health_zone_zs'!$B$2,[1]ratio_ins!$B:$B,0))*$G117*INDEX([1]ratio_ins!$C:$C,MATCH('001_population_health_zone_zs'!$B117,[1]ratio_ins!$B:$B,0))</f>
        <v>12732.539040000001</v>
      </c>
      <c r="K117" s="10">
        <f>INDEX([1]ratio_ins!I:I,MATCH('001_population_health_zone_zs'!$B$2,[1]ratio_ins!$B:$B,0))*$G117*INDEX([1]ratio_ins!$C:$C,MATCH('001_population_health_zone_zs'!$B117,[1]ratio_ins!$B:$B,0))</f>
        <v>7828.1536320000005</v>
      </c>
      <c r="L117" s="10">
        <f>INDEX([1]ratio_ins!J:J,MATCH('001_population_health_zone_zs'!$B$2,[1]ratio_ins!$B:$B,0))*$G117*INDEX([1]ratio_ins!$C:$C,MATCH('001_population_health_zone_zs'!$B117,[1]ratio_ins!$B:$B,0))</f>
        <v>4696.8921791999992</v>
      </c>
      <c r="M117" s="11">
        <f>INDEX([1]ratio_ins!K:K,MATCH('001_population_health_zone_zs'!$B$2,[1]ratio_ins!$B:$B,0))*$G117*INDEX([1]ratio_ins!$C:$C,MATCH('001_population_health_zone_zs'!$B117,[1]ratio_ins!$B:$B,0))</f>
        <v>53269.170739199995</v>
      </c>
      <c r="N117" s="10">
        <f>INDEX([1]ratio_ins!L:L,MATCH('001_population_health_zone_zs'!$B$2,[1]ratio_ins!$B:$B,0))*$G117*INDEX([1]ratio_ins!$C:$C,MATCH('001_population_health_zone_zs'!$B117,[1]ratio_ins!$B:$B,0))</f>
        <v>3131.2614527999999</v>
      </c>
      <c r="O117" s="10">
        <f>INDEX([1]ratio_ins!M:M,MATCH('001_population_health_zone_zs'!$B$2,[1]ratio_ins!$B:$B,0))*$G117*INDEX([1]ratio_ins!$C:$C,MATCH('001_population_health_zone_zs'!$B117,[1]ratio_ins!$B:$B,0))</f>
        <v>6790.6874880000005</v>
      </c>
      <c r="P117" s="10">
        <f>INDEX([1]ratio_ins!N:N,MATCH('001_population_health_zone_zs'!$B$2,[1]ratio_ins!$B:$B,0))*$G117*INDEX([1]ratio_ins!$C:$C,MATCH('001_population_health_zone_zs'!$B117,[1]ratio_ins!$B:$B,0))</f>
        <v>6130.4817599999997</v>
      </c>
      <c r="Q117" s="10">
        <f>INDEX([1]ratio_ins!O:O,MATCH('001_population_health_zone_zs'!$B$2,[1]ratio_ins!$B:$B,0))*$G117*INDEX([1]ratio_ins!$C:$C,MATCH('001_population_health_zone_zs'!$B117,[1]ratio_ins!$B:$B,0))</f>
        <v>5470.2760319999998</v>
      </c>
      <c r="R117" s="10">
        <f>INDEX([1]ratio_ins!P:P,MATCH('001_population_health_zone_zs'!$B$2,[1]ratio_ins!$B:$B,0))*$G117*INDEX([1]ratio_ins!$C:$C,MATCH('001_population_health_zone_zs'!$B117,[1]ratio_ins!$B:$B,0))</f>
        <v>5375.9609280000004</v>
      </c>
      <c r="S117" s="10">
        <f>INDEX([1]ratio_ins!Q:Q,MATCH('001_population_health_zone_zs'!$B$2,[1]ratio_ins!$B:$B,0))*$G117*INDEX([1]ratio_ins!$C:$C,MATCH('001_population_health_zone_zs'!$B117,[1]ratio_ins!$B:$B,0))</f>
        <v>4527.124992</v>
      </c>
      <c r="T117" s="10">
        <f>INDEX([1]ratio_ins!R:R,MATCH('001_population_health_zone_zs'!$B$2,[1]ratio_ins!$B:$B,0))*$G117*INDEX([1]ratio_ins!$C:$C,MATCH('001_population_health_zone_zs'!$B117,[1]ratio_ins!$B:$B,0))</f>
        <v>3206.7135360000002</v>
      </c>
      <c r="U117" s="10">
        <f>INDEX([1]ratio_ins!S:S,MATCH('001_population_health_zone_zs'!$B$2,[1]ratio_ins!$B:$B,0))*$G117*INDEX([1]ratio_ins!$C:$C,MATCH('001_population_health_zone_zs'!$B117,[1]ratio_ins!$B:$B,0))</f>
        <v>2546.5078080000003</v>
      </c>
      <c r="V117" s="10">
        <f>INDEX([1]ratio_ins!T:T,MATCH('001_population_health_zone_zs'!$B$2,[1]ratio_ins!$B:$B,0))*$G117*INDEX([1]ratio_ins!$C:$C,MATCH('001_population_health_zone_zs'!$B117,[1]ratio_ins!$B:$B,0))</f>
        <v>1414.7265600000001</v>
      </c>
      <c r="W117" s="11">
        <f>INDEX([1]ratio_ins!U:U,MATCH('001_population_health_zone_zs'!$B$2,[1]ratio_ins!$B:$B,0))*$G117*INDEX([1]ratio_ins!$C:$C,MATCH('001_population_health_zone_zs'!$B117,[1]ratio_ins!$B:$B,0))</f>
        <v>38593.740556800003</v>
      </c>
      <c r="X117" s="10">
        <f>INDEX([1]ratio_ins!V:V,MATCH('001_population_health_zone_zs'!$B$2,[1]ratio_ins!$B:$B,0))*$G117*INDEX([1]ratio_ins!$C:$C,MATCH('001_population_health_zone_zs'!$B117,[1]ratio_ins!$B:$B,0))</f>
        <v>1131.781248</v>
      </c>
      <c r="Y117" s="10">
        <f>INDEX([1]ratio_ins!W:W,MATCH('001_population_health_zone_zs'!$B$2,[1]ratio_ins!$B:$B,0))*$G117*INDEX([1]ratio_ins!$C:$C,MATCH('001_population_health_zone_zs'!$B117,[1]ratio_ins!$B:$B,0))</f>
        <v>754.52083199999993</v>
      </c>
      <c r="Z117" s="10">
        <f>INDEX([1]ratio_ins!X:X,MATCH('001_population_health_zone_zs'!$B$2,[1]ratio_ins!$B:$B,0))*$G117*INDEX([1]ratio_ins!$C:$C,MATCH('001_population_health_zone_zs'!$B117,[1]ratio_ins!$B:$B,0))</f>
        <v>377.26041599999996</v>
      </c>
      <c r="AA117" s="10">
        <f>INDEX([1]ratio_ins!Y:Y,MATCH('001_population_health_zone_zs'!$B$2,[1]ratio_ins!$B:$B,0))*$G117*INDEX([1]ratio_ins!$C:$C,MATCH('001_population_health_zone_zs'!$B117,[1]ratio_ins!$B:$B,0))</f>
        <v>188.63020799999998</v>
      </c>
      <c r="AB117" s="11">
        <f>INDEX([1]ratio_ins!Z:Z,MATCH('001_population_health_zone_zs'!$B$2,[1]ratio_ins!$B:$B,0))*$G117*INDEX([1]ratio_ins!$C:$C,MATCH('001_population_health_zone_zs'!$B117,[1]ratio_ins!$B:$B,0))</f>
        <v>2452.192704</v>
      </c>
      <c r="AC117" s="12">
        <f t="shared" si="6"/>
        <v>94315.104000000007</v>
      </c>
      <c r="AD117" s="10">
        <f>INDEX([1]ratio_ins!AA:AA,MATCH('001_population_health_zone_zs'!$B$2,[1]ratio_ins!$B:$B,0))*$G117*INDEX([1]ratio_ins!$D:$D,MATCH('001_population_health_zone_zs'!$B117,[1]ratio_ins!$B:$B,0))</f>
        <v>20947.26816</v>
      </c>
      <c r="AE117" s="10">
        <f>INDEX([1]ratio_ins!AB:AB,MATCH('001_population_health_zone_zs'!$B$2,[1]ratio_ins!$B:$B,0))*$G117*INDEX([1]ratio_ins!$D:$D,MATCH('001_population_health_zone_zs'!$B117,[1]ratio_ins!$B:$B,0))</f>
        <v>17256.559008</v>
      </c>
      <c r="AF117" s="10">
        <f>INDEX([1]ratio_ins!AC:AC,MATCH('001_population_health_zone_zs'!$B$2,[1]ratio_ins!$B:$B,0))*$G117*INDEX([1]ratio_ins!$D:$D,MATCH('001_population_health_zone_zs'!$B117,[1]ratio_ins!$B:$B,0))</f>
        <v>13665.598751999998</v>
      </c>
      <c r="AG117" s="10">
        <f>INDEX([1]ratio_ins!AD:AD,MATCH('001_population_health_zone_zs'!$B$2,[1]ratio_ins!$B:$B,0))*$G117*INDEX([1]ratio_ins!$D:$D,MATCH('001_population_health_zone_zs'!$B117,[1]ratio_ins!$B:$B,0))</f>
        <v>8279.1583680000003</v>
      </c>
      <c r="AH117" s="10">
        <f>INDEX([1]ratio_ins!AE:AE,MATCH('001_population_health_zone_zs'!$B$2,[1]ratio_ins!$B:$B,0))*$G117*INDEX([1]ratio_ins!$D:$D,MATCH('001_population_health_zone_zs'!$B117,[1]ratio_ins!$B:$B,0))</f>
        <v>4967.4950208</v>
      </c>
      <c r="AI117" s="13">
        <f>INDEX([1]ratio_ins!AF:AF,MATCH('001_population_health_zone_zs'!$B$2,[1]ratio_ins!$B:$B,0))*$G117*INDEX([1]ratio_ins!$D:$D,MATCH('001_population_health_zone_zs'!$B117,[1]ratio_ins!$B:$B,0))</f>
        <v>56836.920940800002</v>
      </c>
      <c r="AJ117" s="10">
        <f>INDEX([1]ratio_ins!AG:AG,MATCH('001_population_health_zone_zs'!$B$2,[1]ratio_ins!$B:$B,0))*$G117*INDEX([1]ratio_ins!$D:$D,MATCH('001_population_health_zone_zs'!$B117,[1]ratio_ins!$B:$B,0))</f>
        <v>3311.6633471999999</v>
      </c>
      <c r="AK117" s="10">
        <f>INDEX([1]ratio_ins!AH:AH,MATCH('001_population_health_zone_zs'!$B$2,[1]ratio_ins!$B:$B,0))*$G117*INDEX([1]ratio_ins!$D:$D,MATCH('001_population_health_zone_zs'!$B117,[1]ratio_ins!$B:$B,0))</f>
        <v>7381.4183040000016</v>
      </c>
      <c r="AL117" s="10">
        <f>INDEX([1]ratio_ins!AI:AI,MATCH('001_population_health_zone_zs'!$B$2,[1]ratio_ins!$B:$B,0))*$G117*INDEX([1]ratio_ins!$D:$D,MATCH('001_population_health_zone_zs'!$B117,[1]ratio_ins!$B:$B,0))</f>
        <v>6982.4227200000005</v>
      </c>
      <c r="AM117" s="10">
        <f>INDEX([1]ratio_ins!AJ:AJ,MATCH('001_population_health_zone_zs'!$B$2,[1]ratio_ins!$B:$B,0))*$G117*INDEX([1]ratio_ins!$D:$D,MATCH('001_population_health_zone_zs'!$B117,[1]ratio_ins!$B:$B,0))</f>
        <v>6383.9293440000001</v>
      </c>
      <c r="AN117" s="10">
        <f>INDEX([1]ratio_ins!AK:AK,MATCH('001_population_health_zone_zs'!$B$2,[1]ratio_ins!$B:$B,0))*$G117*INDEX([1]ratio_ins!$D:$D,MATCH('001_population_health_zone_zs'!$B117,[1]ratio_ins!$B:$B,0))</f>
        <v>5984.9337599999999</v>
      </c>
      <c r="AO117" s="10">
        <f>INDEX([1]ratio_ins!AL:AL,MATCH('001_population_health_zone_zs'!$B$2,[1]ratio_ins!$B:$B,0))*$G117*INDEX([1]ratio_ins!$D:$D,MATCH('001_population_health_zone_zs'!$B117,[1]ratio_ins!$B:$B,0))</f>
        <v>4488.7003199999999</v>
      </c>
      <c r="AP117" s="10">
        <f>INDEX([1]ratio_ins!AM:AM,MATCH('001_population_health_zone_zs'!$B$2,[1]ratio_ins!$B:$B,0))*$G117*INDEX([1]ratio_ins!$D:$D,MATCH('001_population_health_zone_zs'!$B117,[1]ratio_ins!$B:$B,0))</f>
        <v>2892.7179839999999</v>
      </c>
      <c r="AQ117" s="10">
        <f>INDEX([1]ratio_ins!AN:AN,MATCH('001_population_health_zone_zs'!$B$2,[1]ratio_ins!$B:$B,0))*$G117*INDEX([1]ratio_ins!$D:$D,MATCH('001_population_health_zone_zs'!$B117,[1]ratio_ins!$B:$B,0))</f>
        <v>2294.224608</v>
      </c>
      <c r="AR117" s="10">
        <f>INDEX([1]ratio_ins!AO:AO,MATCH('001_population_health_zone_zs'!$B$2,[1]ratio_ins!$B:$B,0))*$G117*INDEX([1]ratio_ins!$D:$D,MATCH('001_population_health_zone_zs'!$B117,[1]ratio_ins!$B:$B,0))</f>
        <v>1097.2378560000002</v>
      </c>
      <c r="AS117" s="13">
        <f>INDEX([1]ratio_ins!AP:AP,MATCH('001_population_health_zone_zs'!$B$2,[1]ratio_ins!$B:$B,0))*$G117*INDEX([1]ratio_ins!$D:$D,MATCH('001_population_health_zone_zs'!$B117,[1]ratio_ins!$B:$B,0))</f>
        <v>40817.248243200003</v>
      </c>
      <c r="AT117" s="10">
        <f>INDEX([1]ratio_ins!AQ:AQ,MATCH('001_population_health_zone_zs'!$B$2,[1]ratio_ins!$B:$B,0))*$G117*INDEX([1]ratio_ins!$D:$D,MATCH('001_population_health_zone_zs'!$B117,[1]ratio_ins!$B:$B,0))</f>
        <v>997.48896000000002</v>
      </c>
      <c r="AU117" s="10">
        <f>INDEX([1]ratio_ins!AR:AR,MATCH('001_population_health_zone_zs'!$B$2,[1]ratio_ins!$B:$B,0))*$G117*INDEX([1]ratio_ins!$D:$D,MATCH('001_population_health_zone_zs'!$B117,[1]ratio_ins!$B:$B,0))</f>
        <v>598.49337600000001</v>
      </c>
      <c r="AV117" s="10">
        <f>INDEX([1]ratio_ins!AS:AS,MATCH('001_population_health_zone_zs'!$B$2,[1]ratio_ins!$B:$B,0))*$G117*INDEX([1]ratio_ins!$D:$D,MATCH('001_population_health_zone_zs'!$B117,[1]ratio_ins!$B:$B,0))</f>
        <v>299.24668800000001</v>
      </c>
      <c r="AW117" s="10">
        <f>INDEX([1]ratio_ins!AT:AT,MATCH('001_population_health_zone_zs'!$B$2,[1]ratio_ins!$B:$B,0))*$G117*INDEX([1]ratio_ins!$D:$D,MATCH('001_population_health_zone_zs'!$B117,[1]ratio_ins!$B:$B,0))</f>
        <v>199.497792</v>
      </c>
      <c r="AX117" s="13">
        <f>INDEX([1]ratio_ins!AU:AU,MATCH('001_population_health_zone_zs'!$B$2,[1]ratio_ins!$B:$B,0))*$G117*INDEX([1]ratio_ins!$D:$D,MATCH('001_population_health_zone_zs'!$B117,[1]ratio_ins!$B:$B,0))</f>
        <v>2094.7268159999999</v>
      </c>
      <c r="AY117" s="14">
        <f t="shared" si="7"/>
        <v>99748.895999999993</v>
      </c>
      <c r="AZ117" s="15">
        <f t="shared" si="8"/>
        <v>194064</v>
      </c>
      <c r="BA117" s="16">
        <v>187166.7459396343</v>
      </c>
      <c r="BB117" s="10">
        <f t="shared" si="9"/>
        <v>42393.280800000008</v>
      </c>
      <c r="BC117" s="17">
        <f t="shared" si="10"/>
        <v>0.21845000000000003</v>
      </c>
      <c r="BD117" s="10">
        <f t="shared" si="11"/>
        <v>39329.398368000002</v>
      </c>
    </row>
    <row r="118" spans="1:56" x14ac:dyDescent="0.25">
      <c r="A118" s="8" t="s">
        <v>255</v>
      </c>
      <c r="B118" s="8" t="s">
        <v>256</v>
      </c>
      <c r="C118" s="8" t="s">
        <v>288</v>
      </c>
      <c r="D118" s="8" t="s">
        <v>289</v>
      </c>
      <c r="E118" s="8" t="s">
        <v>288</v>
      </c>
      <c r="F118" s="8" t="s">
        <v>290</v>
      </c>
      <c r="G118" s="9">
        <v>167475</v>
      </c>
      <c r="H118" s="10">
        <f>INDEX([1]ratio_ins!F:F,MATCH('001_population_health_zone_zs'!$B$2,[1]ratio_ins!$B:$B,0))*$G118*INDEX([1]ratio_ins!$C:$C,MATCH('001_population_health_zone_zs'!$B118,[1]ratio_ins!$B:$B,0))</f>
        <v>17011.105650000001</v>
      </c>
      <c r="I118" s="10">
        <f>INDEX([1]ratio_ins!G:G,MATCH('001_population_health_zone_zs'!$B$2,[1]ratio_ins!$B:$B,0))*$G118*INDEX([1]ratio_ins!$C:$C,MATCH('001_population_health_zone_zs'!$B118,[1]ratio_ins!$B:$B,0))</f>
        <v>13918.17735</v>
      </c>
      <c r="J118" s="10">
        <f>INDEX([1]ratio_ins!H:H,MATCH('001_population_health_zone_zs'!$B$2,[1]ratio_ins!$B:$B,0))*$G118*INDEX([1]ratio_ins!$C:$C,MATCH('001_population_health_zone_zs'!$B118,[1]ratio_ins!$B:$B,0))</f>
        <v>10988.034749999999</v>
      </c>
      <c r="K118" s="10">
        <f>INDEX([1]ratio_ins!I:I,MATCH('001_population_health_zone_zs'!$B$2,[1]ratio_ins!$B:$B,0))*$G118*INDEX([1]ratio_ins!$C:$C,MATCH('001_population_health_zone_zs'!$B118,[1]ratio_ins!$B:$B,0))</f>
        <v>6755.6065500000004</v>
      </c>
      <c r="L118" s="10">
        <f>INDEX([1]ratio_ins!J:J,MATCH('001_population_health_zone_zs'!$B$2,[1]ratio_ins!$B:$B,0))*$G118*INDEX([1]ratio_ins!$C:$C,MATCH('001_population_health_zone_zs'!$B118,[1]ratio_ins!$B:$B,0))</f>
        <v>4053.3639299999995</v>
      </c>
      <c r="M118" s="11">
        <f>INDEX([1]ratio_ins!K:K,MATCH('001_population_health_zone_zs'!$B$2,[1]ratio_ins!$B:$B,0))*$G118*INDEX([1]ratio_ins!$C:$C,MATCH('001_population_health_zone_zs'!$B118,[1]ratio_ins!$B:$B,0))</f>
        <v>45970.681679999994</v>
      </c>
      <c r="N118" s="10">
        <f>INDEX([1]ratio_ins!L:L,MATCH('001_population_health_zone_zs'!$B$2,[1]ratio_ins!$B:$B,0))*$G118*INDEX([1]ratio_ins!$C:$C,MATCH('001_population_health_zone_zs'!$B118,[1]ratio_ins!$B:$B,0))</f>
        <v>2702.24262</v>
      </c>
      <c r="O118" s="10">
        <f>INDEX([1]ratio_ins!M:M,MATCH('001_population_health_zone_zs'!$B$2,[1]ratio_ins!$B:$B,0))*$G118*INDEX([1]ratio_ins!$C:$C,MATCH('001_population_health_zone_zs'!$B118,[1]ratio_ins!$B:$B,0))</f>
        <v>5860.2852000000003</v>
      </c>
      <c r="P118" s="10">
        <f>INDEX([1]ratio_ins!N:N,MATCH('001_population_health_zone_zs'!$B$2,[1]ratio_ins!$B:$B,0))*$G118*INDEX([1]ratio_ins!$C:$C,MATCH('001_population_health_zone_zs'!$B118,[1]ratio_ins!$B:$B,0))</f>
        <v>5290.5352499999999</v>
      </c>
      <c r="Q118" s="10">
        <f>INDEX([1]ratio_ins!O:O,MATCH('001_population_health_zone_zs'!$B$2,[1]ratio_ins!$B:$B,0))*$G118*INDEX([1]ratio_ins!$C:$C,MATCH('001_population_health_zone_zs'!$B118,[1]ratio_ins!$B:$B,0))</f>
        <v>4720.7852999999996</v>
      </c>
      <c r="R118" s="10">
        <f>INDEX([1]ratio_ins!P:P,MATCH('001_population_health_zone_zs'!$B$2,[1]ratio_ins!$B:$B,0))*$G118*INDEX([1]ratio_ins!$C:$C,MATCH('001_population_health_zone_zs'!$B118,[1]ratio_ins!$B:$B,0))</f>
        <v>4639.3924500000003</v>
      </c>
      <c r="S118" s="10">
        <f>INDEX([1]ratio_ins!Q:Q,MATCH('001_population_health_zone_zs'!$B$2,[1]ratio_ins!$B:$B,0))*$G118*INDEX([1]ratio_ins!$C:$C,MATCH('001_population_health_zone_zs'!$B118,[1]ratio_ins!$B:$B,0))</f>
        <v>3906.8568</v>
      </c>
      <c r="T118" s="10">
        <f>INDEX([1]ratio_ins!R:R,MATCH('001_population_health_zone_zs'!$B$2,[1]ratio_ins!$B:$B,0))*$G118*INDEX([1]ratio_ins!$C:$C,MATCH('001_population_health_zone_zs'!$B118,[1]ratio_ins!$B:$B,0))</f>
        <v>2767.3569000000002</v>
      </c>
      <c r="U118" s="10">
        <f>INDEX([1]ratio_ins!S:S,MATCH('001_population_health_zone_zs'!$B$2,[1]ratio_ins!$B:$B,0))*$G118*INDEX([1]ratio_ins!$C:$C,MATCH('001_population_health_zone_zs'!$B118,[1]ratio_ins!$B:$B,0))</f>
        <v>2197.6069500000003</v>
      </c>
      <c r="V118" s="10">
        <f>INDEX([1]ratio_ins!T:T,MATCH('001_population_health_zone_zs'!$B$2,[1]ratio_ins!$B:$B,0))*$G118*INDEX([1]ratio_ins!$C:$C,MATCH('001_population_health_zone_zs'!$B118,[1]ratio_ins!$B:$B,0))</f>
        <v>1220.89275</v>
      </c>
      <c r="W118" s="11">
        <f>INDEX([1]ratio_ins!U:U,MATCH('001_population_health_zone_zs'!$B$2,[1]ratio_ins!$B:$B,0))*$G118*INDEX([1]ratio_ins!$C:$C,MATCH('001_population_health_zone_zs'!$B118,[1]ratio_ins!$B:$B,0))</f>
        <v>33305.95422</v>
      </c>
      <c r="X118" s="10">
        <f>INDEX([1]ratio_ins!V:V,MATCH('001_population_health_zone_zs'!$B$2,[1]ratio_ins!$B:$B,0))*$G118*INDEX([1]ratio_ins!$C:$C,MATCH('001_population_health_zone_zs'!$B118,[1]ratio_ins!$B:$B,0))</f>
        <v>976.71420000000001</v>
      </c>
      <c r="Y118" s="10">
        <f>INDEX([1]ratio_ins!W:W,MATCH('001_population_health_zone_zs'!$B$2,[1]ratio_ins!$B:$B,0))*$G118*INDEX([1]ratio_ins!$C:$C,MATCH('001_population_health_zone_zs'!$B118,[1]ratio_ins!$B:$B,0))</f>
        <v>651.14279999999997</v>
      </c>
      <c r="Z118" s="10">
        <f>INDEX([1]ratio_ins!X:X,MATCH('001_population_health_zone_zs'!$B$2,[1]ratio_ins!$B:$B,0))*$G118*INDEX([1]ratio_ins!$C:$C,MATCH('001_population_health_zone_zs'!$B118,[1]ratio_ins!$B:$B,0))</f>
        <v>325.57139999999998</v>
      </c>
      <c r="AA118" s="10">
        <f>INDEX([1]ratio_ins!Y:Y,MATCH('001_population_health_zone_zs'!$B$2,[1]ratio_ins!$B:$B,0))*$G118*INDEX([1]ratio_ins!$C:$C,MATCH('001_population_health_zone_zs'!$B118,[1]ratio_ins!$B:$B,0))</f>
        <v>162.78569999999999</v>
      </c>
      <c r="AB118" s="11">
        <f>INDEX([1]ratio_ins!Z:Z,MATCH('001_population_health_zone_zs'!$B$2,[1]ratio_ins!$B:$B,0))*$G118*INDEX([1]ratio_ins!$C:$C,MATCH('001_population_health_zone_zs'!$B118,[1]ratio_ins!$B:$B,0))</f>
        <v>2116.2141000000001</v>
      </c>
      <c r="AC118" s="12">
        <f t="shared" si="6"/>
        <v>81392.849999999991</v>
      </c>
      <c r="AD118" s="10">
        <f>INDEX([1]ratio_ins!AA:AA,MATCH('001_population_health_zone_zs'!$B$2,[1]ratio_ins!$B:$B,0))*$G118*INDEX([1]ratio_ins!$D:$D,MATCH('001_population_health_zone_zs'!$B118,[1]ratio_ins!$B:$B,0))</f>
        <v>18077.251500000002</v>
      </c>
      <c r="AE118" s="10">
        <f>INDEX([1]ratio_ins!AB:AB,MATCH('001_population_health_zone_zs'!$B$2,[1]ratio_ins!$B:$B,0))*$G118*INDEX([1]ratio_ins!$D:$D,MATCH('001_population_health_zone_zs'!$B118,[1]ratio_ins!$B:$B,0))</f>
        <v>14892.211950000003</v>
      </c>
      <c r="AF118" s="10">
        <f>INDEX([1]ratio_ins!AC:AC,MATCH('001_population_health_zone_zs'!$B$2,[1]ratio_ins!$B:$B,0))*$G118*INDEX([1]ratio_ins!$D:$D,MATCH('001_population_health_zone_zs'!$B118,[1]ratio_ins!$B:$B,0))</f>
        <v>11793.25455</v>
      </c>
      <c r="AG118" s="10">
        <f>INDEX([1]ratio_ins!AD:AD,MATCH('001_population_health_zone_zs'!$B$2,[1]ratio_ins!$B:$B,0))*$G118*INDEX([1]ratio_ins!$D:$D,MATCH('001_population_health_zone_zs'!$B118,[1]ratio_ins!$B:$B,0))</f>
        <v>7144.8184500000007</v>
      </c>
      <c r="AH118" s="10">
        <f>INDEX([1]ratio_ins!AE:AE,MATCH('001_population_health_zone_zs'!$B$2,[1]ratio_ins!$B:$B,0))*$G118*INDEX([1]ratio_ins!$D:$D,MATCH('001_population_health_zone_zs'!$B118,[1]ratio_ins!$B:$B,0))</f>
        <v>4286.8910699999997</v>
      </c>
      <c r="AI118" s="13">
        <f>INDEX([1]ratio_ins!AF:AF,MATCH('001_population_health_zone_zs'!$B$2,[1]ratio_ins!$B:$B,0))*$G118*INDEX([1]ratio_ins!$D:$D,MATCH('001_population_health_zone_zs'!$B118,[1]ratio_ins!$B:$B,0))</f>
        <v>49049.609069999999</v>
      </c>
      <c r="AJ118" s="10">
        <f>INDEX([1]ratio_ins!AG:AG,MATCH('001_population_health_zone_zs'!$B$2,[1]ratio_ins!$B:$B,0))*$G118*INDEX([1]ratio_ins!$D:$D,MATCH('001_population_health_zone_zs'!$B118,[1]ratio_ins!$B:$B,0))</f>
        <v>2857.9273800000001</v>
      </c>
      <c r="AK118" s="10">
        <f>INDEX([1]ratio_ins!AH:AH,MATCH('001_population_health_zone_zs'!$B$2,[1]ratio_ins!$B:$B,0))*$G118*INDEX([1]ratio_ins!$D:$D,MATCH('001_population_health_zone_zs'!$B118,[1]ratio_ins!$B:$B,0))</f>
        <v>6370.0791000000008</v>
      </c>
      <c r="AL118" s="10">
        <f>INDEX([1]ratio_ins!AI:AI,MATCH('001_population_health_zone_zs'!$B$2,[1]ratio_ins!$B:$B,0))*$G118*INDEX([1]ratio_ins!$D:$D,MATCH('001_population_health_zone_zs'!$B118,[1]ratio_ins!$B:$B,0))</f>
        <v>6025.750500000001</v>
      </c>
      <c r="AM118" s="10">
        <f>INDEX([1]ratio_ins!AJ:AJ,MATCH('001_population_health_zone_zs'!$B$2,[1]ratio_ins!$B:$B,0))*$G118*INDEX([1]ratio_ins!$D:$D,MATCH('001_population_health_zone_zs'!$B118,[1]ratio_ins!$B:$B,0))</f>
        <v>5509.2575999999999</v>
      </c>
      <c r="AN118" s="10">
        <f>INDEX([1]ratio_ins!AK:AK,MATCH('001_population_health_zone_zs'!$B$2,[1]ratio_ins!$B:$B,0))*$G118*INDEX([1]ratio_ins!$D:$D,MATCH('001_population_health_zone_zs'!$B118,[1]ratio_ins!$B:$B,0))</f>
        <v>5164.9290000000001</v>
      </c>
      <c r="AO118" s="10">
        <f>INDEX([1]ratio_ins!AL:AL,MATCH('001_population_health_zone_zs'!$B$2,[1]ratio_ins!$B:$B,0))*$G118*INDEX([1]ratio_ins!$D:$D,MATCH('001_population_health_zone_zs'!$B118,[1]ratio_ins!$B:$B,0))</f>
        <v>3873.6967500000001</v>
      </c>
      <c r="AP118" s="10">
        <f>INDEX([1]ratio_ins!AM:AM,MATCH('001_population_health_zone_zs'!$B$2,[1]ratio_ins!$B:$B,0))*$G118*INDEX([1]ratio_ins!$D:$D,MATCH('001_population_health_zone_zs'!$B118,[1]ratio_ins!$B:$B,0))</f>
        <v>2496.3823499999999</v>
      </c>
      <c r="AQ118" s="10">
        <f>INDEX([1]ratio_ins!AN:AN,MATCH('001_population_health_zone_zs'!$B$2,[1]ratio_ins!$B:$B,0))*$G118*INDEX([1]ratio_ins!$D:$D,MATCH('001_population_health_zone_zs'!$B118,[1]ratio_ins!$B:$B,0))</f>
        <v>1979.8894499999999</v>
      </c>
      <c r="AR118" s="10">
        <f>INDEX([1]ratio_ins!AO:AO,MATCH('001_population_health_zone_zs'!$B$2,[1]ratio_ins!$B:$B,0))*$G118*INDEX([1]ratio_ins!$D:$D,MATCH('001_population_health_zone_zs'!$B118,[1]ratio_ins!$B:$B,0))</f>
        <v>946.90365000000008</v>
      </c>
      <c r="AS118" s="13">
        <f>INDEX([1]ratio_ins!AP:AP,MATCH('001_population_health_zone_zs'!$B$2,[1]ratio_ins!$B:$B,0))*$G118*INDEX([1]ratio_ins!$D:$D,MATCH('001_population_health_zone_zs'!$B118,[1]ratio_ins!$B:$B,0))</f>
        <v>35224.815780000004</v>
      </c>
      <c r="AT118" s="10">
        <f>INDEX([1]ratio_ins!AQ:AQ,MATCH('001_population_health_zone_zs'!$B$2,[1]ratio_ins!$B:$B,0))*$G118*INDEX([1]ratio_ins!$D:$D,MATCH('001_population_health_zone_zs'!$B118,[1]ratio_ins!$B:$B,0))</f>
        <v>860.82150000000001</v>
      </c>
      <c r="AU118" s="10">
        <f>INDEX([1]ratio_ins!AR:AR,MATCH('001_population_health_zone_zs'!$B$2,[1]ratio_ins!$B:$B,0))*$G118*INDEX([1]ratio_ins!$D:$D,MATCH('001_population_health_zone_zs'!$B118,[1]ratio_ins!$B:$B,0))</f>
        <v>516.49290000000008</v>
      </c>
      <c r="AV118" s="10">
        <f>INDEX([1]ratio_ins!AS:AS,MATCH('001_population_health_zone_zs'!$B$2,[1]ratio_ins!$B:$B,0))*$G118*INDEX([1]ratio_ins!$D:$D,MATCH('001_population_health_zone_zs'!$B118,[1]ratio_ins!$B:$B,0))</f>
        <v>258.24645000000004</v>
      </c>
      <c r="AW118" s="10">
        <f>INDEX([1]ratio_ins!AT:AT,MATCH('001_population_health_zone_zs'!$B$2,[1]ratio_ins!$B:$B,0))*$G118*INDEX([1]ratio_ins!$D:$D,MATCH('001_population_health_zone_zs'!$B118,[1]ratio_ins!$B:$B,0))</f>
        <v>172.1643</v>
      </c>
      <c r="AX118" s="13">
        <f>INDEX([1]ratio_ins!AU:AU,MATCH('001_population_health_zone_zs'!$B$2,[1]ratio_ins!$B:$B,0))*$G118*INDEX([1]ratio_ins!$D:$D,MATCH('001_population_health_zone_zs'!$B118,[1]ratio_ins!$B:$B,0))</f>
        <v>1807.7251499999998</v>
      </c>
      <c r="AY118" s="14">
        <f t="shared" si="7"/>
        <v>86082.150000000009</v>
      </c>
      <c r="AZ118" s="15">
        <f t="shared" si="8"/>
        <v>167475</v>
      </c>
      <c r="BA118" s="16">
        <v>161522.44883361747</v>
      </c>
      <c r="BB118" s="10">
        <f t="shared" si="9"/>
        <v>36584.913750000007</v>
      </c>
      <c r="BC118" s="17">
        <f t="shared" si="10"/>
        <v>0.21845000000000003</v>
      </c>
      <c r="BD118" s="10">
        <f t="shared" si="11"/>
        <v>33940.818449999999</v>
      </c>
    </row>
    <row r="119" spans="1:56" x14ac:dyDescent="0.25">
      <c r="A119" s="8" t="s">
        <v>255</v>
      </c>
      <c r="B119" s="8" t="s">
        <v>256</v>
      </c>
      <c r="C119" s="8" t="s">
        <v>291</v>
      </c>
      <c r="D119" s="8" t="s">
        <v>292</v>
      </c>
      <c r="E119" s="8" t="s">
        <v>291</v>
      </c>
      <c r="F119" s="8" t="s">
        <v>293</v>
      </c>
      <c r="G119" s="9">
        <v>172728</v>
      </c>
      <c r="H119" s="10">
        <f>INDEX([1]ratio_ins!F:F,MATCH('001_population_health_zone_zs'!$B$2,[1]ratio_ins!$B:$B,0))*$G119*INDEX([1]ratio_ins!$C:$C,MATCH('001_population_health_zone_zs'!$B119,[1]ratio_ins!$B:$B,0))</f>
        <v>17544.673871999999</v>
      </c>
      <c r="I119" s="10">
        <f>INDEX([1]ratio_ins!G:G,MATCH('001_population_health_zone_zs'!$B$2,[1]ratio_ins!$B:$B,0))*$G119*INDEX([1]ratio_ins!$C:$C,MATCH('001_population_health_zone_zs'!$B119,[1]ratio_ins!$B:$B,0))</f>
        <v>14354.733168000001</v>
      </c>
      <c r="J119" s="10">
        <f>INDEX([1]ratio_ins!H:H,MATCH('001_population_health_zone_zs'!$B$2,[1]ratio_ins!$B:$B,0))*$G119*INDEX([1]ratio_ins!$C:$C,MATCH('001_population_health_zone_zs'!$B119,[1]ratio_ins!$B:$B,0))</f>
        <v>11332.684080000001</v>
      </c>
      <c r="K119" s="10">
        <f>INDEX([1]ratio_ins!I:I,MATCH('001_population_health_zone_zs'!$B$2,[1]ratio_ins!$B:$B,0))*$G119*INDEX([1]ratio_ins!$C:$C,MATCH('001_population_health_zone_zs'!$B119,[1]ratio_ins!$B:$B,0))</f>
        <v>6967.5020640000002</v>
      </c>
      <c r="L119" s="10">
        <f>INDEX([1]ratio_ins!J:J,MATCH('001_population_health_zone_zs'!$B$2,[1]ratio_ins!$B:$B,0))*$G119*INDEX([1]ratio_ins!$C:$C,MATCH('001_population_health_zone_zs'!$B119,[1]ratio_ins!$B:$B,0))</f>
        <v>4180.5012384000001</v>
      </c>
      <c r="M119" s="11">
        <f>INDEX([1]ratio_ins!K:K,MATCH('001_population_health_zone_zs'!$B$2,[1]ratio_ins!$B:$B,0))*$G119*INDEX([1]ratio_ins!$C:$C,MATCH('001_population_health_zone_zs'!$B119,[1]ratio_ins!$B:$B,0))</f>
        <v>47412.592358399997</v>
      </c>
      <c r="N119" s="10">
        <f>INDEX([1]ratio_ins!L:L,MATCH('001_population_health_zone_zs'!$B$2,[1]ratio_ins!$B:$B,0))*$G119*INDEX([1]ratio_ins!$C:$C,MATCH('001_population_health_zone_zs'!$B119,[1]ratio_ins!$B:$B,0))</f>
        <v>2787.0008255999996</v>
      </c>
      <c r="O119" s="10">
        <f>INDEX([1]ratio_ins!M:M,MATCH('001_population_health_zone_zs'!$B$2,[1]ratio_ins!$B:$B,0))*$G119*INDEX([1]ratio_ins!$C:$C,MATCH('001_population_health_zone_zs'!$B119,[1]ratio_ins!$B:$B,0))</f>
        <v>6044.0981760000004</v>
      </c>
      <c r="P119" s="10">
        <f>INDEX([1]ratio_ins!N:N,MATCH('001_population_health_zone_zs'!$B$2,[1]ratio_ins!$B:$B,0))*$G119*INDEX([1]ratio_ins!$C:$C,MATCH('001_population_health_zone_zs'!$B119,[1]ratio_ins!$B:$B,0))</f>
        <v>5456.4775199999995</v>
      </c>
      <c r="Q119" s="10">
        <f>INDEX([1]ratio_ins!O:O,MATCH('001_population_health_zone_zs'!$B$2,[1]ratio_ins!$B:$B,0))*$G119*INDEX([1]ratio_ins!$C:$C,MATCH('001_population_health_zone_zs'!$B119,[1]ratio_ins!$B:$B,0))</f>
        <v>4868.8568640000003</v>
      </c>
      <c r="R119" s="10">
        <f>INDEX([1]ratio_ins!P:P,MATCH('001_population_health_zone_zs'!$B$2,[1]ratio_ins!$B:$B,0))*$G119*INDEX([1]ratio_ins!$C:$C,MATCH('001_population_health_zone_zs'!$B119,[1]ratio_ins!$B:$B,0))</f>
        <v>4784.9110559999999</v>
      </c>
      <c r="S119" s="10">
        <f>INDEX([1]ratio_ins!Q:Q,MATCH('001_population_health_zone_zs'!$B$2,[1]ratio_ins!$B:$B,0))*$G119*INDEX([1]ratio_ins!$C:$C,MATCH('001_population_health_zone_zs'!$B119,[1]ratio_ins!$B:$B,0))</f>
        <v>4029.3987839999995</v>
      </c>
      <c r="T119" s="10">
        <f>INDEX([1]ratio_ins!R:R,MATCH('001_population_health_zone_zs'!$B$2,[1]ratio_ins!$B:$B,0))*$G119*INDEX([1]ratio_ins!$C:$C,MATCH('001_population_health_zone_zs'!$B119,[1]ratio_ins!$B:$B,0))</f>
        <v>2854.1574720000003</v>
      </c>
      <c r="U119" s="10">
        <f>INDEX([1]ratio_ins!S:S,MATCH('001_population_health_zone_zs'!$B$2,[1]ratio_ins!$B:$B,0))*$G119*INDEX([1]ratio_ins!$C:$C,MATCH('001_population_health_zone_zs'!$B119,[1]ratio_ins!$B:$B,0))</f>
        <v>2266.5368160000003</v>
      </c>
      <c r="V119" s="10">
        <f>INDEX([1]ratio_ins!T:T,MATCH('001_population_health_zone_zs'!$B$2,[1]ratio_ins!$B:$B,0))*$G119*INDEX([1]ratio_ins!$C:$C,MATCH('001_population_health_zone_zs'!$B119,[1]ratio_ins!$B:$B,0))</f>
        <v>1259.18712</v>
      </c>
      <c r="W119" s="11">
        <f>INDEX([1]ratio_ins!U:U,MATCH('001_population_health_zone_zs'!$B$2,[1]ratio_ins!$B:$B,0))*$G119*INDEX([1]ratio_ins!$C:$C,MATCH('001_population_health_zone_zs'!$B119,[1]ratio_ins!$B:$B,0))</f>
        <v>34350.624633600004</v>
      </c>
      <c r="X119" s="10">
        <f>INDEX([1]ratio_ins!V:V,MATCH('001_population_health_zone_zs'!$B$2,[1]ratio_ins!$B:$B,0))*$G119*INDEX([1]ratio_ins!$C:$C,MATCH('001_population_health_zone_zs'!$B119,[1]ratio_ins!$B:$B,0))</f>
        <v>1007.3496959999999</v>
      </c>
      <c r="Y119" s="10">
        <f>INDEX([1]ratio_ins!W:W,MATCH('001_population_health_zone_zs'!$B$2,[1]ratio_ins!$B:$B,0))*$G119*INDEX([1]ratio_ins!$C:$C,MATCH('001_population_health_zone_zs'!$B119,[1]ratio_ins!$B:$B,0))</f>
        <v>671.566464</v>
      </c>
      <c r="Z119" s="10">
        <f>INDEX([1]ratio_ins!X:X,MATCH('001_population_health_zone_zs'!$B$2,[1]ratio_ins!$B:$B,0))*$G119*INDEX([1]ratio_ins!$C:$C,MATCH('001_population_health_zone_zs'!$B119,[1]ratio_ins!$B:$B,0))</f>
        <v>335.783232</v>
      </c>
      <c r="AA119" s="10">
        <f>INDEX([1]ratio_ins!Y:Y,MATCH('001_population_health_zone_zs'!$B$2,[1]ratio_ins!$B:$B,0))*$G119*INDEX([1]ratio_ins!$C:$C,MATCH('001_population_health_zone_zs'!$B119,[1]ratio_ins!$B:$B,0))</f>
        <v>167.891616</v>
      </c>
      <c r="AB119" s="11">
        <f>INDEX([1]ratio_ins!Z:Z,MATCH('001_population_health_zone_zs'!$B$2,[1]ratio_ins!$B:$B,0))*$G119*INDEX([1]ratio_ins!$C:$C,MATCH('001_population_health_zone_zs'!$B119,[1]ratio_ins!$B:$B,0))</f>
        <v>2182.5910080000003</v>
      </c>
      <c r="AC119" s="12">
        <f t="shared" si="6"/>
        <v>83945.808000000005</v>
      </c>
      <c r="AD119" s="10">
        <f>INDEX([1]ratio_ins!AA:AA,MATCH('001_population_health_zone_zs'!$B$2,[1]ratio_ins!$B:$B,0))*$G119*INDEX([1]ratio_ins!$D:$D,MATCH('001_population_health_zone_zs'!$B119,[1]ratio_ins!$B:$B,0))</f>
        <v>18644.260319999998</v>
      </c>
      <c r="AE119" s="10">
        <f>INDEX([1]ratio_ins!AB:AB,MATCH('001_population_health_zone_zs'!$B$2,[1]ratio_ins!$B:$B,0))*$G119*INDEX([1]ratio_ins!$D:$D,MATCH('001_population_health_zone_zs'!$B119,[1]ratio_ins!$B:$B,0))</f>
        <v>15359.319216000002</v>
      </c>
      <c r="AF119" s="10">
        <f>INDEX([1]ratio_ins!AC:AC,MATCH('001_population_health_zone_zs'!$B$2,[1]ratio_ins!$B:$B,0))*$G119*INDEX([1]ratio_ins!$D:$D,MATCH('001_population_health_zone_zs'!$B119,[1]ratio_ins!$B:$B,0))</f>
        <v>12163.160303999999</v>
      </c>
      <c r="AG119" s="10">
        <f>INDEX([1]ratio_ins!AD:AD,MATCH('001_population_health_zone_zs'!$B$2,[1]ratio_ins!$B:$B,0))*$G119*INDEX([1]ratio_ins!$D:$D,MATCH('001_population_health_zone_zs'!$B119,[1]ratio_ins!$B:$B,0))</f>
        <v>7368.9219360000006</v>
      </c>
      <c r="AH119" s="10">
        <f>INDEX([1]ratio_ins!AE:AE,MATCH('001_population_health_zone_zs'!$B$2,[1]ratio_ins!$B:$B,0))*$G119*INDEX([1]ratio_ins!$D:$D,MATCH('001_population_health_zone_zs'!$B119,[1]ratio_ins!$B:$B,0))</f>
        <v>4421.3531616</v>
      </c>
      <c r="AI119" s="13">
        <f>INDEX([1]ratio_ins!AF:AF,MATCH('001_population_health_zone_zs'!$B$2,[1]ratio_ins!$B:$B,0))*$G119*INDEX([1]ratio_ins!$D:$D,MATCH('001_population_health_zone_zs'!$B119,[1]ratio_ins!$B:$B,0))</f>
        <v>50588.093001599998</v>
      </c>
      <c r="AJ119" s="10">
        <f>INDEX([1]ratio_ins!AG:AG,MATCH('001_population_health_zone_zs'!$B$2,[1]ratio_ins!$B:$B,0))*$G119*INDEX([1]ratio_ins!$D:$D,MATCH('001_population_health_zone_zs'!$B119,[1]ratio_ins!$B:$B,0))</f>
        <v>2947.5687744000002</v>
      </c>
      <c r="AK119" s="10">
        <f>INDEX([1]ratio_ins!AH:AH,MATCH('001_population_health_zone_zs'!$B$2,[1]ratio_ins!$B:$B,0))*$G119*INDEX([1]ratio_ins!$D:$D,MATCH('001_population_health_zone_zs'!$B119,[1]ratio_ins!$B:$B,0))</f>
        <v>6569.8822080000009</v>
      </c>
      <c r="AL119" s="10">
        <f>INDEX([1]ratio_ins!AI:AI,MATCH('001_population_health_zone_zs'!$B$2,[1]ratio_ins!$B:$B,0))*$G119*INDEX([1]ratio_ins!$D:$D,MATCH('001_population_health_zone_zs'!$B119,[1]ratio_ins!$B:$B,0))</f>
        <v>6214.7534400000004</v>
      </c>
      <c r="AM119" s="10">
        <f>INDEX([1]ratio_ins!AJ:AJ,MATCH('001_population_health_zone_zs'!$B$2,[1]ratio_ins!$B:$B,0))*$G119*INDEX([1]ratio_ins!$D:$D,MATCH('001_population_health_zone_zs'!$B119,[1]ratio_ins!$B:$B,0))</f>
        <v>5682.0602880000006</v>
      </c>
      <c r="AN119" s="10">
        <f>INDEX([1]ratio_ins!AK:AK,MATCH('001_population_health_zone_zs'!$B$2,[1]ratio_ins!$B:$B,0))*$G119*INDEX([1]ratio_ins!$D:$D,MATCH('001_population_health_zone_zs'!$B119,[1]ratio_ins!$B:$B,0))</f>
        <v>5326.9315200000001</v>
      </c>
      <c r="AO119" s="10">
        <f>INDEX([1]ratio_ins!AL:AL,MATCH('001_population_health_zone_zs'!$B$2,[1]ratio_ins!$B:$B,0))*$G119*INDEX([1]ratio_ins!$D:$D,MATCH('001_population_health_zone_zs'!$B119,[1]ratio_ins!$B:$B,0))</f>
        <v>3995.1986399999996</v>
      </c>
      <c r="AP119" s="10">
        <f>INDEX([1]ratio_ins!AM:AM,MATCH('001_population_health_zone_zs'!$B$2,[1]ratio_ins!$B:$B,0))*$G119*INDEX([1]ratio_ins!$D:$D,MATCH('001_population_health_zone_zs'!$B119,[1]ratio_ins!$B:$B,0))</f>
        <v>2574.6835679999999</v>
      </c>
      <c r="AQ119" s="10">
        <f>INDEX([1]ratio_ins!AN:AN,MATCH('001_population_health_zone_zs'!$B$2,[1]ratio_ins!$B:$B,0))*$G119*INDEX([1]ratio_ins!$D:$D,MATCH('001_population_health_zone_zs'!$B119,[1]ratio_ins!$B:$B,0))</f>
        <v>2041.9904160000001</v>
      </c>
      <c r="AR119" s="10">
        <f>INDEX([1]ratio_ins!AO:AO,MATCH('001_population_health_zone_zs'!$B$2,[1]ratio_ins!$B:$B,0))*$G119*INDEX([1]ratio_ins!$D:$D,MATCH('001_population_health_zone_zs'!$B119,[1]ratio_ins!$B:$B,0))</f>
        <v>976.60411200000021</v>
      </c>
      <c r="AS119" s="13">
        <f>INDEX([1]ratio_ins!AP:AP,MATCH('001_population_health_zone_zs'!$B$2,[1]ratio_ins!$B:$B,0))*$G119*INDEX([1]ratio_ins!$D:$D,MATCH('001_population_health_zone_zs'!$B119,[1]ratio_ins!$B:$B,0))</f>
        <v>36329.672966400001</v>
      </c>
      <c r="AT119" s="10">
        <f>INDEX([1]ratio_ins!AQ:AQ,MATCH('001_population_health_zone_zs'!$B$2,[1]ratio_ins!$B:$B,0))*$G119*INDEX([1]ratio_ins!$D:$D,MATCH('001_population_health_zone_zs'!$B119,[1]ratio_ins!$B:$B,0))</f>
        <v>887.82191999999998</v>
      </c>
      <c r="AU119" s="10">
        <f>INDEX([1]ratio_ins!AR:AR,MATCH('001_population_health_zone_zs'!$B$2,[1]ratio_ins!$B:$B,0))*$G119*INDEX([1]ratio_ins!$D:$D,MATCH('001_population_health_zone_zs'!$B119,[1]ratio_ins!$B:$B,0))</f>
        <v>532.69315199999994</v>
      </c>
      <c r="AV119" s="10">
        <f>INDEX([1]ratio_ins!AS:AS,MATCH('001_population_health_zone_zs'!$B$2,[1]ratio_ins!$B:$B,0))*$G119*INDEX([1]ratio_ins!$D:$D,MATCH('001_population_health_zone_zs'!$B119,[1]ratio_ins!$B:$B,0))</f>
        <v>266.34657599999997</v>
      </c>
      <c r="AW119" s="10">
        <f>INDEX([1]ratio_ins!AT:AT,MATCH('001_population_health_zone_zs'!$B$2,[1]ratio_ins!$B:$B,0))*$G119*INDEX([1]ratio_ins!$D:$D,MATCH('001_population_health_zone_zs'!$B119,[1]ratio_ins!$B:$B,0))</f>
        <v>177.56438400000002</v>
      </c>
      <c r="AX119" s="13">
        <f>INDEX([1]ratio_ins!AU:AU,MATCH('001_population_health_zone_zs'!$B$2,[1]ratio_ins!$B:$B,0))*$G119*INDEX([1]ratio_ins!$D:$D,MATCH('001_population_health_zone_zs'!$B119,[1]ratio_ins!$B:$B,0))</f>
        <v>1864.4260319999999</v>
      </c>
      <c r="AY119" s="14">
        <f t="shared" si="7"/>
        <v>88782.191999999995</v>
      </c>
      <c r="AZ119" s="15">
        <f t="shared" si="8"/>
        <v>172728</v>
      </c>
      <c r="BA119" s="16">
        <v>166588.42514578559</v>
      </c>
      <c r="BB119" s="10">
        <f t="shared" si="9"/>
        <v>37732.431600000004</v>
      </c>
      <c r="BC119" s="17">
        <f t="shared" si="10"/>
        <v>0.21845000000000003</v>
      </c>
      <c r="BD119" s="10">
        <f t="shared" si="11"/>
        <v>35005.401936000002</v>
      </c>
    </row>
    <row r="120" spans="1:56" x14ac:dyDescent="0.25">
      <c r="A120" s="8" t="s">
        <v>294</v>
      </c>
      <c r="B120" s="8" t="s">
        <v>295</v>
      </c>
      <c r="C120" s="8" t="s">
        <v>296</v>
      </c>
      <c r="D120" s="8" t="s">
        <v>297</v>
      </c>
      <c r="E120" s="8" t="s">
        <v>298</v>
      </c>
      <c r="F120" s="8" t="s">
        <v>299</v>
      </c>
      <c r="G120" s="9">
        <v>76848</v>
      </c>
      <c r="H120" s="10">
        <f>INDEX([1]ratio_ins!F:F,MATCH('001_population_health_zone_zs'!$B$2,[1]ratio_ins!$B:$B,0))*$G120*INDEX([1]ratio_ins!$C:$C,MATCH('001_population_health_zone_zs'!$B120,[1]ratio_ins!$B:$B,0))</f>
        <v>7886.0649119999998</v>
      </c>
      <c r="I120" s="10">
        <f>INDEX([1]ratio_ins!G:G,MATCH('001_population_health_zone_zs'!$B$2,[1]ratio_ins!$B:$B,0))*$G120*INDEX([1]ratio_ins!$C:$C,MATCH('001_population_health_zone_zs'!$B120,[1]ratio_ins!$B:$B,0))</f>
        <v>6452.2349280000008</v>
      </c>
      <c r="J120" s="10">
        <f>INDEX([1]ratio_ins!H:H,MATCH('001_population_health_zone_zs'!$B$2,[1]ratio_ins!$B:$B,0))*$G120*INDEX([1]ratio_ins!$C:$C,MATCH('001_population_health_zone_zs'!$B120,[1]ratio_ins!$B:$B,0))</f>
        <v>5093.8696800000007</v>
      </c>
      <c r="K120" s="10">
        <f>INDEX([1]ratio_ins!I:I,MATCH('001_population_health_zone_zs'!$B$2,[1]ratio_ins!$B:$B,0))*$G120*INDEX([1]ratio_ins!$C:$C,MATCH('001_population_health_zone_zs'!$B120,[1]ratio_ins!$B:$B,0))</f>
        <v>3131.786544</v>
      </c>
      <c r="L120" s="10">
        <f>INDEX([1]ratio_ins!J:J,MATCH('001_population_health_zone_zs'!$B$2,[1]ratio_ins!$B:$B,0))*$G120*INDEX([1]ratio_ins!$C:$C,MATCH('001_population_health_zone_zs'!$B120,[1]ratio_ins!$B:$B,0))</f>
        <v>1879.0719263999997</v>
      </c>
      <c r="M120" s="11">
        <f>INDEX([1]ratio_ins!K:K,MATCH('001_population_health_zone_zs'!$B$2,[1]ratio_ins!$B:$B,0))*$G120*INDEX([1]ratio_ins!$C:$C,MATCH('001_population_health_zone_zs'!$B120,[1]ratio_ins!$B:$B,0))</f>
        <v>21311.241446399999</v>
      </c>
      <c r="N120" s="10">
        <f>INDEX([1]ratio_ins!L:L,MATCH('001_population_health_zone_zs'!$B$2,[1]ratio_ins!$B:$B,0))*$G120*INDEX([1]ratio_ins!$C:$C,MATCH('001_population_health_zone_zs'!$B120,[1]ratio_ins!$B:$B,0))</f>
        <v>1252.7146175999999</v>
      </c>
      <c r="O120" s="10">
        <f>INDEX([1]ratio_ins!M:M,MATCH('001_population_health_zone_zs'!$B$2,[1]ratio_ins!$B:$B,0))*$G120*INDEX([1]ratio_ins!$C:$C,MATCH('001_population_health_zone_zs'!$B120,[1]ratio_ins!$B:$B,0))</f>
        <v>2716.7304960000001</v>
      </c>
      <c r="P120" s="10">
        <f>INDEX([1]ratio_ins!N:N,MATCH('001_population_health_zone_zs'!$B$2,[1]ratio_ins!$B:$B,0))*$G120*INDEX([1]ratio_ins!$C:$C,MATCH('001_population_health_zone_zs'!$B120,[1]ratio_ins!$B:$B,0))</f>
        <v>2452.60392</v>
      </c>
      <c r="Q120" s="10">
        <f>INDEX([1]ratio_ins!O:O,MATCH('001_population_health_zone_zs'!$B$2,[1]ratio_ins!$B:$B,0))*$G120*INDEX([1]ratio_ins!$C:$C,MATCH('001_population_health_zone_zs'!$B120,[1]ratio_ins!$B:$B,0))</f>
        <v>2188.4773439999994</v>
      </c>
      <c r="R120" s="10">
        <f>INDEX([1]ratio_ins!P:P,MATCH('001_population_health_zone_zs'!$B$2,[1]ratio_ins!$B:$B,0))*$G120*INDEX([1]ratio_ins!$C:$C,MATCH('001_population_health_zone_zs'!$B120,[1]ratio_ins!$B:$B,0))</f>
        <v>2150.744976</v>
      </c>
      <c r="S120" s="10">
        <f>INDEX([1]ratio_ins!Q:Q,MATCH('001_population_health_zone_zs'!$B$2,[1]ratio_ins!$B:$B,0))*$G120*INDEX([1]ratio_ins!$C:$C,MATCH('001_population_health_zone_zs'!$B120,[1]ratio_ins!$B:$B,0))</f>
        <v>1811.1536640000002</v>
      </c>
      <c r="T120" s="10">
        <f>INDEX([1]ratio_ins!R:R,MATCH('001_population_health_zone_zs'!$B$2,[1]ratio_ins!$B:$B,0))*$G120*INDEX([1]ratio_ins!$C:$C,MATCH('001_population_health_zone_zs'!$B120,[1]ratio_ins!$B:$B,0))</f>
        <v>1282.9005120000002</v>
      </c>
      <c r="U120" s="10">
        <f>INDEX([1]ratio_ins!S:S,MATCH('001_population_health_zone_zs'!$B$2,[1]ratio_ins!$B:$B,0))*$G120*INDEX([1]ratio_ins!$C:$C,MATCH('001_population_health_zone_zs'!$B120,[1]ratio_ins!$B:$B,0))</f>
        <v>1018.773936</v>
      </c>
      <c r="V120" s="10">
        <f>INDEX([1]ratio_ins!T:T,MATCH('001_population_health_zone_zs'!$B$2,[1]ratio_ins!$B:$B,0))*$G120*INDEX([1]ratio_ins!$C:$C,MATCH('001_population_health_zone_zs'!$B120,[1]ratio_ins!$B:$B,0))</f>
        <v>565.98551999999995</v>
      </c>
      <c r="W120" s="11">
        <f>INDEX([1]ratio_ins!U:U,MATCH('001_population_health_zone_zs'!$B$2,[1]ratio_ins!$B:$B,0))*$G120*INDEX([1]ratio_ins!$C:$C,MATCH('001_population_health_zone_zs'!$B120,[1]ratio_ins!$B:$B,0))</f>
        <v>15440.0849856</v>
      </c>
      <c r="X120" s="10">
        <f>INDEX([1]ratio_ins!V:V,MATCH('001_population_health_zone_zs'!$B$2,[1]ratio_ins!$B:$B,0))*$G120*INDEX([1]ratio_ins!$C:$C,MATCH('001_population_health_zone_zs'!$B120,[1]ratio_ins!$B:$B,0))</f>
        <v>452.78841600000004</v>
      </c>
      <c r="Y120" s="10">
        <f>INDEX([1]ratio_ins!W:W,MATCH('001_population_health_zone_zs'!$B$2,[1]ratio_ins!$B:$B,0))*$G120*INDEX([1]ratio_ins!$C:$C,MATCH('001_population_health_zone_zs'!$B120,[1]ratio_ins!$B:$B,0))</f>
        <v>301.85894400000001</v>
      </c>
      <c r="Z120" s="10">
        <f>INDEX([1]ratio_ins!X:X,MATCH('001_population_health_zone_zs'!$B$2,[1]ratio_ins!$B:$B,0))*$G120*INDEX([1]ratio_ins!$C:$C,MATCH('001_population_health_zone_zs'!$B120,[1]ratio_ins!$B:$B,0))</f>
        <v>150.929472</v>
      </c>
      <c r="AA120" s="10">
        <f>INDEX([1]ratio_ins!Y:Y,MATCH('001_population_health_zone_zs'!$B$2,[1]ratio_ins!$B:$B,0))*$G120*INDEX([1]ratio_ins!$C:$C,MATCH('001_population_health_zone_zs'!$B120,[1]ratio_ins!$B:$B,0))</f>
        <v>75.464736000000002</v>
      </c>
      <c r="AB120" s="11">
        <f>INDEX([1]ratio_ins!Z:Z,MATCH('001_population_health_zone_zs'!$B$2,[1]ratio_ins!$B:$B,0))*$G120*INDEX([1]ratio_ins!$C:$C,MATCH('001_population_health_zone_zs'!$B120,[1]ratio_ins!$B:$B,0))</f>
        <v>981.0415680000001</v>
      </c>
      <c r="AC120" s="12">
        <f t="shared" si="6"/>
        <v>37732.368000000002</v>
      </c>
      <c r="AD120" s="10">
        <f>INDEX([1]ratio_ins!AA:AA,MATCH('001_population_health_zone_zs'!$B$2,[1]ratio_ins!$B:$B,0))*$G120*INDEX([1]ratio_ins!$D:$D,MATCH('001_population_health_zone_zs'!$B120,[1]ratio_ins!$B:$B,0))</f>
        <v>8214.2827199999992</v>
      </c>
      <c r="AE120" s="10">
        <f>INDEX([1]ratio_ins!AB:AB,MATCH('001_population_health_zone_zs'!$B$2,[1]ratio_ins!$B:$B,0))*$G120*INDEX([1]ratio_ins!$D:$D,MATCH('001_population_health_zone_zs'!$B120,[1]ratio_ins!$B:$B,0))</f>
        <v>6767.0043360000009</v>
      </c>
      <c r="AF120" s="10">
        <f>INDEX([1]ratio_ins!AC:AC,MATCH('001_population_health_zone_zs'!$B$2,[1]ratio_ins!$B:$B,0))*$G120*INDEX([1]ratio_ins!$D:$D,MATCH('001_population_health_zone_zs'!$B120,[1]ratio_ins!$B:$B,0))</f>
        <v>5358.8415839999998</v>
      </c>
      <c r="AG120" s="10">
        <f>INDEX([1]ratio_ins!AD:AD,MATCH('001_population_health_zone_zs'!$B$2,[1]ratio_ins!$B:$B,0))*$G120*INDEX([1]ratio_ins!$D:$D,MATCH('001_population_health_zone_zs'!$B120,[1]ratio_ins!$B:$B,0))</f>
        <v>3246.597456</v>
      </c>
      <c r="AH120" s="10">
        <f>INDEX([1]ratio_ins!AE:AE,MATCH('001_population_health_zone_zs'!$B$2,[1]ratio_ins!$B:$B,0))*$G120*INDEX([1]ratio_ins!$D:$D,MATCH('001_population_health_zone_zs'!$B120,[1]ratio_ins!$B:$B,0))</f>
        <v>1947.9584735999999</v>
      </c>
      <c r="AI120" s="13">
        <f>INDEX([1]ratio_ins!AF:AF,MATCH('001_population_health_zone_zs'!$B$2,[1]ratio_ins!$B:$B,0))*$G120*INDEX([1]ratio_ins!$D:$D,MATCH('001_population_health_zone_zs'!$B120,[1]ratio_ins!$B:$B,0))</f>
        <v>22288.087113599999</v>
      </c>
      <c r="AJ120" s="10">
        <f>INDEX([1]ratio_ins!AG:AG,MATCH('001_population_health_zone_zs'!$B$2,[1]ratio_ins!$B:$B,0))*$G120*INDEX([1]ratio_ins!$D:$D,MATCH('001_population_health_zone_zs'!$B120,[1]ratio_ins!$B:$B,0))</f>
        <v>1298.6389824</v>
      </c>
      <c r="AK120" s="10">
        <f>INDEX([1]ratio_ins!AH:AH,MATCH('001_population_health_zone_zs'!$B$2,[1]ratio_ins!$B:$B,0))*$G120*INDEX([1]ratio_ins!$D:$D,MATCH('001_population_health_zone_zs'!$B120,[1]ratio_ins!$B:$B,0))</f>
        <v>2894.5567680000004</v>
      </c>
      <c r="AL120" s="10">
        <f>INDEX([1]ratio_ins!AI:AI,MATCH('001_population_health_zone_zs'!$B$2,[1]ratio_ins!$B:$B,0))*$G120*INDEX([1]ratio_ins!$D:$D,MATCH('001_population_health_zone_zs'!$B120,[1]ratio_ins!$B:$B,0))</f>
        <v>2738.0942400000004</v>
      </c>
      <c r="AM120" s="10">
        <f>INDEX([1]ratio_ins!AJ:AJ,MATCH('001_population_health_zone_zs'!$B$2,[1]ratio_ins!$B:$B,0))*$G120*INDEX([1]ratio_ins!$D:$D,MATCH('001_population_health_zone_zs'!$B120,[1]ratio_ins!$B:$B,0))</f>
        <v>2503.4004479999999</v>
      </c>
      <c r="AN120" s="10">
        <f>INDEX([1]ratio_ins!AK:AK,MATCH('001_population_health_zone_zs'!$B$2,[1]ratio_ins!$B:$B,0))*$G120*INDEX([1]ratio_ins!$D:$D,MATCH('001_population_health_zone_zs'!$B120,[1]ratio_ins!$B:$B,0))</f>
        <v>2346.9379200000003</v>
      </c>
      <c r="AO120" s="10">
        <f>INDEX([1]ratio_ins!AL:AL,MATCH('001_population_health_zone_zs'!$B$2,[1]ratio_ins!$B:$B,0))*$G120*INDEX([1]ratio_ins!$D:$D,MATCH('001_population_health_zone_zs'!$B120,[1]ratio_ins!$B:$B,0))</f>
        <v>1760.20344</v>
      </c>
      <c r="AP120" s="10">
        <f>INDEX([1]ratio_ins!AM:AM,MATCH('001_population_health_zone_zs'!$B$2,[1]ratio_ins!$B:$B,0))*$G120*INDEX([1]ratio_ins!$D:$D,MATCH('001_population_health_zone_zs'!$B120,[1]ratio_ins!$B:$B,0))</f>
        <v>1134.3533279999999</v>
      </c>
      <c r="AQ120" s="10">
        <f>INDEX([1]ratio_ins!AN:AN,MATCH('001_population_health_zone_zs'!$B$2,[1]ratio_ins!$B:$B,0))*$G120*INDEX([1]ratio_ins!$D:$D,MATCH('001_population_health_zone_zs'!$B120,[1]ratio_ins!$B:$B,0))</f>
        <v>899.659536</v>
      </c>
      <c r="AR120" s="10">
        <f>INDEX([1]ratio_ins!AO:AO,MATCH('001_population_health_zone_zs'!$B$2,[1]ratio_ins!$B:$B,0))*$G120*INDEX([1]ratio_ins!$D:$D,MATCH('001_population_health_zone_zs'!$B120,[1]ratio_ins!$B:$B,0))</f>
        <v>430.27195200000006</v>
      </c>
      <c r="AS120" s="13">
        <f>INDEX([1]ratio_ins!AP:AP,MATCH('001_population_health_zone_zs'!$B$2,[1]ratio_ins!$B:$B,0))*$G120*INDEX([1]ratio_ins!$D:$D,MATCH('001_population_health_zone_zs'!$B120,[1]ratio_ins!$B:$B,0))</f>
        <v>16006.1166144</v>
      </c>
      <c r="AT120" s="10">
        <f>INDEX([1]ratio_ins!AQ:AQ,MATCH('001_population_health_zone_zs'!$B$2,[1]ratio_ins!$B:$B,0))*$G120*INDEX([1]ratio_ins!$D:$D,MATCH('001_population_health_zone_zs'!$B120,[1]ratio_ins!$B:$B,0))</f>
        <v>391.15631999999999</v>
      </c>
      <c r="AU120" s="10">
        <f>INDEX([1]ratio_ins!AR:AR,MATCH('001_population_health_zone_zs'!$B$2,[1]ratio_ins!$B:$B,0))*$G120*INDEX([1]ratio_ins!$D:$D,MATCH('001_population_health_zone_zs'!$B120,[1]ratio_ins!$B:$B,0))</f>
        <v>234.693792</v>
      </c>
      <c r="AV120" s="10">
        <f>INDEX([1]ratio_ins!AS:AS,MATCH('001_population_health_zone_zs'!$B$2,[1]ratio_ins!$B:$B,0))*$G120*INDEX([1]ratio_ins!$D:$D,MATCH('001_population_health_zone_zs'!$B120,[1]ratio_ins!$B:$B,0))</f>
        <v>117.346896</v>
      </c>
      <c r="AW120" s="10">
        <f>INDEX([1]ratio_ins!AT:AT,MATCH('001_population_health_zone_zs'!$B$2,[1]ratio_ins!$B:$B,0))*$G120*INDEX([1]ratio_ins!$D:$D,MATCH('001_population_health_zone_zs'!$B120,[1]ratio_ins!$B:$B,0))</f>
        <v>78.231263999999996</v>
      </c>
      <c r="AX120" s="13">
        <f>INDEX([1]ratio_ins!AU:AU,MATCH('001_population_health_zone_zs'!$B$2,[1]ratio_ins!$B:$B,0))*$G120*INDEX([1]ratio_ins!$D:$D,MATCH('001_population_health_zone_zs'!$B120,[1]ratio_ins!$B:$B,0))</f>
        <v>821.42827199999988</v>
      </c>
      <c r="AY120" s="14">
        <f t="shared" si="7"/>
        <v>39115.631999999998</v>
      </c>
      <c r="AZ120" s="15">
        <f t="shared" si="8"/>
        <v>76848</v>
      </c>
      <c r="BA120" s="16">
        <v>74154.455623994261</v>
      </c>
      <c r="BB120" s="10">
        <f t="shared" si="9"/>
        <v>16624.143599999999</v>
      </c>
      <c r="BC120" s="17">
        <f t="shared" si="10"/>
        <v>0.21632499999999999</v>
      </c>
      <c r="BD120" s="10">
        <f t="shared" si="11"/>
        <v>15734.397455999999</v>
      </c>
    </row>
    <row r="121" spans="1:56" x14ac:dyDescent="0.25">
      <c r="A121" s="8" t="s">
        <v>294</v>
      </c>
      <c r="B121" s="8" t="s">
        <v>295</v>
      </c>
      <c r="C121" s="8" t="s">
        <v>296</v>
      </c>
      <c r="D121" s="8" t="s">
        <v>297</v>
      </c>
      <c r="E121" s="8" t="s">
        <v>296</v>
      </c>
      <c r="F121" s="8" t="s">
        <v>300</v>
      </c>
      <c r="G121" s="9">
        <v>130114</v>
      </c>
      <c r="H121" s="10">
        <f>INDEX([1]ratio_ins!F:F,MATCH('001_population_health_zone_zs'!$B$2,[1]ratio_ins!$B:$B,0))*$G121*INDEX([1]ratio_ins!$C:$C,MATCH('001_population_health_zone_zs'!$B121,[1]ratio_ins!$B:$B,0))</f>
        <v>13352.168565999998</v>
      </c>
      <c r="I121" s="10">
        <f>INDEX([1]ratio_ins!G:G,MATCH('001_population_health_zone_zs'!$B$2,[1]ratio_ins!$B:$B,0))*$G121*INDEX([1]ratio_ins!$C:$C,MATCH('001_population_health_zone_zs'!$B121,[1]ratio_ins!$B:$B,0))</f>
        <v>10924.501554</v>
      </c>
      <c r="J121" s="10">
        <f>INDEX([1]ratio_ins!H:H,MATCH('001_population_health_zone_zs'!$B$2,[1]ratio_ins!$B:$B,0))*$G121*INDEX([1]ratio_ins!$C:$C,MATCH('001_population_health_zone_zs'!$B121,[1]ratio_ins!$B:$B,0))</f>
        <v>8624.6064900000001</v>
      </c>
      <c r="K121" s="10">
        <f>INDEX([1]ratio_ins!I:I,MATCH('001_population_health_zone_zs'!$B$2,[1]ratio_ins!$B:$B,0))*$G121*INDEX([1]ratio_ins!$C:$C,MATCH('001_population_health_zone_zs'!$B121,[1]ratio_ins!$B:$B,0))</f>
        <v>5302.5358420000002</v>
      </c>
      <c r="L121" s="10">
        <f>INDEX([1]ratio_ins!J:J,MATCH('001_population_health_zone_zs'!$B$2,[1]ratio_ins!$B:$B,0))*$G121*INDEX([1]ratio_ins!$C:$C,MATCH('001_population_health_zone_zs'!$B121,[1]ratio_ins!$B:$B,0))</f>
        <v>3181.5215051999994</v>
      </c>
      <c r="M121" s="11">
        <f>INDEX([1]ratio_ins!K:K,MATCH('001_population_health_zone_zs'!$B$2,[1]ratio_ins!$B:$B,0))*$G121*INDEX([1]ratio_ins!$C:$C,MATCH('001_population_health_zone_zs'!$B121,[1]ratio_ins!$B:$B,0))</f>
        <v>36082.798115199999</v>
      </c>
      <c r="N121" s="10">
        <f>INDEX([1]ratio_ins!L:L,MATCH('001_population_health_zone_zs'!$B$2,[1]ratio_ins!$B:$B,0))*$G121*INDEX([1]ratio_ins!$C:$C,MATCH('001_population_health_zone_zs'!$B121,[1]ratio_ins!$B:$B,0))</f>
        <v>2121.0143368000004</v>
      </c>
      <c r="O121" s="10">
        <f>INDEX([1]ratio_ins!M:M,MATCH('001_population_health_zone_zs'!$B$2,[1]ratio_ins!$B:$B,0))*$G121*INDEX([1]ratio_ins!$C:$C,MATCH('001_population_health_zone_zs'!$B121,[1]ratio_ins!$B:$B,0))</f>
        <v>4599.7901280000005</v>
      </c>
      <c r="P121" s="10">
        <f>INDEX([1]ratio_ins!N:N,MATCH('001_population_health_zone_zs'!$B$2,[1]ratio_ins!$B:$B,0))*$G121*INDEX([1]ratio_ins!$C:$C,MATCH('001_population_health_zone_zs'!$B121,[1]ratio_ins!$B:$B,0))</f>
        <v>4152.5883100000001</v>
      </c>
      <c r="Q121" s="10">
        <f>INDEX([1]ratio_ins!O:O,MATCH('001_population_health_zone_zs'!$B$2,[1]ratio_ins!$B:$B,0))*$G121*INDEX([1]ratio_ins!$C:$C,MATCH('001_population_health_zone_zs'!$B121,[1]ratio_ins!$B:$B,0))</f>
        <v>3705.3864919999996</v>
      </c>
      <c r="R121" s="10">
        <f>INDEX([1]ratio_ins!P:P,MATCH('001_population_health_zone_zs'!$B$2,[1]ratio_ins!$B:$B,0))*$G121*INDEX([1]ratio_ins!$C:$C,MATCH('001_population_health_zone_zs'!$B121,[1]ratio_ins!$B:$B,0))</f>
        <v>3641.5005180000003</v>
      </c>
      <c r="S121" s="10">
        <f>INDEX([1]ratio_ins!Q:Q,MATCH('001_population_health_zone_zs'!$B$2,[1]ratio_ins!$B:$B,0))*$G121*INDEX([1]ratio_ins!$C:$C,MATCH('001_population_health_zone_zs'!$B121,[1]ratio_ins!$B:$B,0))</f>
        <v>3066.5267519999998</v>
      </c>
      <c r="T121" s="10">
        <f>INDEX([1]ratio_ins!R:R,MATCH('001_population_health_zone_zs'!$B$2,[1]ratio_ins!$B:$B,0))*$G121*INDEX([1]ratio_ins!$C:$C,MATCH('001_population_health_zone_zs'!$B121,[1]ratio_ins!$B:$B,0))</f>
        <v>2172.1231160000002</v>
      </c>
      <c r="U121" s="10">
        <f>INDEX([1]ratio_ins!S:S,MATCH('001_population_health_zone_zs'!$B$2,[1]ratio_ins!$B:$B,0))*$G121*INDEX([1]ratio_ins!$C:$C,MATCH('001_population_health_zone_zs'!$B121,[1]ratio_ins!$B:$B,0))</f>
        <v>1724.9212980000002</v>
      </c>
      <c r="V121" s="10">
        <f>INDEX([1]ratio_ins!T:T,MATCH('001_population_health_zone_zs'!$B$2,[1]ratio_ins!$B:$B,0))*$G121*INDEX([1]ratio_ins!$C:$C,MATCH('001_population_health_zone_zs'!$B121,[1]ratio_ins!$B:$B,0))</f>
        <v>958.28961000000004</v>
      </c>
      <c r="W121" s="11">
        <f>INDEX([1]ratio_ins!U:U,MATCH('001_population_health_zone_zs'!$B$2,[1]ratio_ins!$B:$B,0))*$G121*INDEX([1]ratio_ins!$C:$C,MATCH('001_population_health_zone_zs'!$B121,[1]ratio_ins!$B:$B,0))</f>
        <v>26142.140560800002</v>
      </c>
      <c r="X121" s="10">
        <f>INDEX([1]ratio_ins!V:V,MATCH('001_population_health_zone_zs'!$B$2,[1]ratio_ins!$B:$B,0))*$G121*INDEX([1]ratio_ins!$C:$C,MATCH('001_population_health_zone_zs'!$B121,[1]ratio_ins!$B:$B,0))</f>
        <v>766.63168799999994</v>
      </c>
      <c r="Y121" s="10">
        <f>INDEX([1]ratio_ins!W:W,MATCH('001_population_health_zone_zs'!$B$2,[1]ratio_ins!$B:$B,0))*$G121*INDEX([1]ratio_ins!$C:$C,MATCH('001_population_health_zone_zs'!$B121,[1]ratio_ins!$B:$B,0))</f>
        <v>511.08779200000004</v>
      </c>
      <c r="Z121" s="10">
        <f>INDEX([1]ratio_ins!X:X,MATCH('001_population_health_zone_zs'!$B$2,[1]ratio_ins!$B:$B,0))*$G121*INDEX([1]ratio_ins!$C:$C,MATCH('001_population_health_zone_zs'!$B121,[1]ratio_ins!$B:$B,0))</f>
        <v>255.54389600000002</v>
      </c>
      <c r="AA121" s="10">
        <f>INDEX([1]ratio_ins!Y:Y,MATCH('001_population_health_zone_zs'!$B$2,[1]ratio_ins!$B:$B,0))*$G121*INDEX([1]ratio_ins!$C:$C,MATCH('001_population_health_zone_zs'!$B121,[1]ratio_ins!$B:$B,0))</f>
        <v>127.77194800000001</v>
      </c>
      <c r="AB121" s="11">
        <f>INDEX([1]ratio_ins!Z:Z,MATCH('001_population_health_zone_zs'!$B$2,[1]ratio_ins!$B:$B,0))*$G121*INDEX([1]ratio_ins!$C:$C,MATCH('001_population_health_zone_zs'!$B121,[1]ratio_ins!$B:$B,0))</f>
        <v>1661.0353240000002</v>
      </c>
      <c r="AC121" s="12">
        <f t="shared" si="6"/>
        <v>63885.974000000002</v>
      </c>
      <c r="AD121" s="10">
        <f>INDEX([1]ratio_ins!AA:AA,MATCH('001_population_health_zone_zs'!$B$2,[1]ratio_ins!$B:$B,0))*$G121*INDEX([1]ratio_ins!$D:$D,MATCH('001_population_health_zone_zs'!$B121,[1]ratio_ins!$B:$B,0))</f>
        <v>13907.88546</v>
      </c>
      <c r="AE121" s="10">
        <f>INDEX([1]ratio_ins!AB:AB,MATCH('001_population_health_zone_zs'!$B$2,[1]ratio_ins!$B:$B,0))*$G121*INDEX([1]ratio_ins!$D:$D,MATCH('001_population_health_zone_zs'!$B121,[1]ratio_ins!$B:$B,0))</f>
        <v>11457.448498000002</v>
      </c>
      <c r="AF121" s="10">
        <f>INDEX([1]ratio_ins!AC:AC,MATCH('001_population_health_zone_zs'!$B$2,[1]ratio_ins!$B:$B,0))*$G121*INDEX([1]ratio_ins!$D:$D,MATCH('001_population_health_zone_zs'!$B121,[1]ratio_ins!$B:$B,0))</f>
        <v>9073.2395619999988</v>
      </c>
      <c r="AG121" s="10">
        <f>INDEX([1]ratio_ins!AD:AD,MATCH('001_population_health_zone_zs'!$B$2,[1]ratio_ins!$B:$B,0))*$G121*INDEX([1]ratio_ins!$D:$D,MATCH('001_population_health_zone_zs'!$B121,[1]ratio_ins!$B:$B,0))</f>
        <v>5496.9261580000011</v>
      </c>
      <c r="AH121" s="10">
        <f>INDEX([1]ratio_ins!AE:AE,MATCH('001_population_health_zone_zs'!$B$2,[1]ratio_ins!$B:$B,0))*$G121*INDEX([1]ratio_ins!$D:$D,MATCH('001_population_health_zone_zs'!$B121,[1]ratio_ins!$B:$B,0))</f>
        <v>3298.1556947999998</v>
      </c>
      <c r="AI121" s="13">
        <f>INDEX([1]ratio_ins!AF:AF,MATCH('001_population_health_zone_zs'!$B$2,[1]ratio_ins!$B:$B,0))*$G121*INDEX([1]ratio_ins!$D:$D,MATCH('001_population_health_zone_zs'!$B121,[1]ratio_ins!$B:$B,0))</f>
        <v>37736.729214799998</v>
      </c>
      <c r="AJ121" s="10">
        <f>INDEX([1]ratio_ins!AG:AG,MATCH('001_population_health_zone_zs'!$B$2,[1]ratio_ins!$B:$B,0))*$G121*INDEX([1]ratio_ins!$D:$D,MATCH('001_population_health_zone_zs'!$B121,[1]ratio_ins!$B:$B,0))</f>
        <v>2198.7704632</v>
      </c>
      <c r="AK121" s="10">
        <f>INDEX([1]ratio_ins!AH:AH,MATCH('001_population_health_zone_zs'!$B$2,[1]ratio_ins!$B:$B,0))*$G121*INDEX([1]ratio_ins!$D:$D,MATCH('001_population_health_zone_zs'!$B121,[1]ratio_ins!$B:$B,0))</f>
        <v>4900.8739240000004</v>
      </c>
      <c r="AL121" s="10">
        <f>INDEX([1]ratio_ins!AI:AI,MATCH('001_population_health_zone_zs'!$B$2,[1]ratio_ins!$B:$B,0))*$G121*INDEX([1]ratio_ins!$D:$D,MATCH('001_population_health_zone_zs'!$B121,[1]ratio_ins!$B:$B,0))</f>
        <v>4635.9618200000004</v>
      </c>
      <c r="AM121" s="10">
        <f>INDEX([1]ratio_ins!AJ:AJ,MATCH('001_population_health_zone_zs'!$B$2,[1]ratio_ins!$B:$B,0))*$G121*INDEX([1]ratio_ins!$D:$D,MATCH('001_population_health_zone_zs'!$B121,[1]ratio_ins!$B:$B,0))</f>
        <v>4238.593664</v>
      </c>
      <c r="AN121" s="10">
        <f>INDEX([1]ratio_ins!AK:AK,MATCH('001_population_health_zone_zs'!$B$2,[1]ratio_ins!$B:$B,0))*$G121*INDEX([1]ratio_ins!$D:$D,MATCH('001_population_health_zone_zs'!$B121,[1]ratio_ins!$B:$B,0))</f>
        <v>3973.68156</v>
      </c>
      <c r="AO121" s="10">
        <f>INDEX([1]ratio_ins!AL:AL,MATCH('001_population_health_zone_zs'!$B$2,[1]ratio_ins!$B:$B,0))*$G121*INDEX([1]ratio_ins!$D:$D,MATCH('001_population_health_zone_zs'!$B121,[1]ratio_ins!$B:$B,0))</f>
        <v>2980.2611700000002</v>
      </c>
      <c r="AP121" s="10">
        <f>INDEX([1]ratio_ins!AM:AM,MATCH('001_population_health_zone_zs'!$B$2,[1]ratio_ins!$B:$B,0))*$G121*INDEX([1]ratio_ins!$D:$D,MATCH('001_population_health_zone_zs'!$B121,[1]ratio_ins!$B:$B,0))</f>
        <v>1920.6127539999998</v>
      </c>
      <c r="AQ121" s="10">
        <f>INDEX([1]ratio_ins!AN:AN,MATCH('001_population_health_zone_zs'!$B$2,[1]ratio_ins!$B:$B,0))*$G121*INDEX([1]ratio_ins!$D:$D,MATCH('001_population_health_zone_zs'!$B121,[1]ratio_ins!$B:$B,0))</f>
        <v>1523.244598</v>
      </c>
      <c r="AR121" s="10">
        <f>INDEX([1]ratio_ins!AO:AO,MATCH('001_population_health_zone_zs'!$B$2,[1]ratio_ins!$B:$B,0))*$G121*INDEX([1]ratio_ins!$D:$D,MATCH('001_population_health_zone_zs'!$B121,[1]ratio_ins!$B:$B,0))</f>
        <v>728.50828600000011</v>
      </c>
      <c r="AS121" s="13">
        <f>INDEX([1]ratio_ins!AP:AP,MATCH('001_population_health_zone_zs'!$B$2,[1]ratio_ins!$B:$B,0))*$G121*INDEX([1]ratio_ins!$D:$D,MATCH('001_population_health_zone_zs'!$B121,[1]ratio_ins!$B:$B,0))</f>
        <v>27100.5082392</v>
      </c>
      <c r="AT121" s="10">
        <f>INDEX([1]ratio_ins!AQ:AQ,MATCH('001_population_health_zone_zs'!$B$2,[1]ratio_ins!$B:$B,0))*$G121*INDEX([1]ratio_ins!$D:$D,MATCH('001_population_health_zone_zs'!$B121,[1]ratio_ins!$B:$B,0))</f>
        <v>662.28026000000011</v>
      </c>
      <c r="AU121" s="10">
        <f>INDEX([1]ratio_ins!AR:AR,MATCH('001_population_health_zone_zs'!$B$2,[1]ratio_ins!$B:$B,0))*$G121*INDEX([1]ratio_ins!$D:$D,MATCH('001_population_health_zone_zs'!$B121,[1]ratio_ins!$B:$B,0))</f>
        <v>397.368156</v>
      </c>
      <c r="AV121" s="10">
        <f>INDEX([1]ratio_ins!AS:AS,MATCH('001_population_health_zone_zs'!$B$2,[1]ratio_ins!$B:$B,0))*$G121*INDEX([1]ratio_ins!$D:$D,MATCH('001_population_health_zone_zs'!$B121,[1]ratio_ins!$B:$B,0))</f>
        <v>198.684078</v>
      </c>
      <c r="AW121" s="10">
        <f>INDEX([1]ratio_ins!AT:AT,MATCH('001_population_health_zone_zs'!$B$2,[1]ratio_ins!$B:$B,0))*$G121*INDEX([1]ratio_ins!$D:$D,MATCH('001_population_health_zone_zs'!$B121,[1]ratio_ins!$B:$B,0))</f>
        <v>132.456052</v>
      </c>
      <c r="AX121" s="13">
        <f>INDEX([1]ratio_ins!AU:AU,MATCH('001_population_health_zone_zs'!$B$2,[1]ratio_ins!$B:$B,0))*$G121*INDEX([1]ratio_ins!$D:$D,MATCH('001_population_health_zone_zs'!$B121,[1]ratio_ins!$B:$B,0))</f>
        <v>1390.788546</v>
      </c>
      <c r="AY121" s="14">
        <f t="shared" si="7"/>
        <v>66228.025999999998</v>
      </c>
      <c r="AZ121" s="15">
        <f t="shared" si="8"/>
        <v>130114</v>
      </c>
      <c r="BA121" s="16">
        <v>125554.00811032698</v>
      </c>
      <c r="BB121" s="10">
        <f t="shared" si="9"/>
        <v>28146.911050000002</v>
      </c>
      <c r="BC121" s="17">
        <f t="shared" si="10"/>
        <v>0.21632500000000002</v>
      </c>
      <c r="BD121" s="10">
        <f t="shared" si="11"/>
        <v>26640.451158</v>
      </c>
    </row>
    <row r="122" spans="1:56" x14ac:dyDescent="0.25">
      <c r="A122" s="8" t="s">
        <v>294</v>
      </c>
      <c r="B122" s="8" t="s">
        <v>295</v>
      </c>
      <c r="C122" s="8" t="s">
        <v>296</v>
      </c>
      <c r="D122" s="8" t="s">
        <v>297</v>
      </c>
      <c r="E122" s="8" t="s">
        <v>301</v>
      </c>
      <c r="F122" s="8" t="s">
        <v>302</v>
      </c>
      <c r="G122" s="9">
        <v>134154</v>
      </c>
      <c r="H122" s="10">
        <f>INDEX([1]ratio_ins!F:F,MATCH('001_population_health_zone_zs'!$B$2,[1]ratio_ins!$B:$B,0))*$G122*INDEX([1]ratio_ins!$C:$C,MATCH('001_population_health_zone_zs'!$B122,[1]ratio_ins!$B:$B,0))</f>
        <v>13766.749325999999</v>
      </c>
      <c r="I122" s="10">
        <f>INDEX([1]ratio_ins!G:G,MATCH('001_population_health_zone_zs'!$B$2,[1]ratio_ins!$B:$B,0))*$G122*INDEX([1]ratio_ins!$C:$C,MATCH('001_population_health_zone_zs'!$B122,[1]ratio_ins!$B:$B,0))</f>
        <v>11263.703994000001</v>
      </c>
      <c r="J122" s="10">
        <f>INDEX([1]ratio_ins!H:H,MATCH('001_population_health_zone_zs'!$B$2,[1]ratio_ins!$B:$B,0))*$G122*INDEX([1]ratio_ins!$C:$C,MATCH('001_population_health_zone_zs'!$B122,[1]ratio_ins!$B:$B,0))</f>
        <v>8892.3978900000002</v>
      </c>
      <c r="K122" s="10">
        <f>INDEX([1]ratio_ins!I:I,MATCH('001_population_health_zone_zs'!$B$2,[1]ratio_ins!$B:$B,0))*$G122*INDEX([1]ratio_ins!$C:$C,MATCH('001_population_health_zone_zs'!$B122,[1]ratio_ins!$B:$B,0))</f>
        <v>5467.1779620000007</v>
      </c>
      <c r="L122" s="10">
        <f>INDEX([1]ratio_ins!J:J,MATCH('001_population_health_zone_zs'!$B$2,[1]ratio_ins!$B:$B,0))*$G122*INDEX([1]ratio_ins!$C:$C,MATCH('001_population_health_zone_zs'!$B122,[1]ratio_ins!$B:$B,0))</f>
        <v>3280.3067771999995</v>
      </c>
      <c r="M122" s="11">
        <f>INDEX([1]ratio_ins!K:K,MATCH('001_population_health_zone_zs'!$B$2,[1]ratio_ins!$B:$B,0))*$G122*INDEX([1]ratio_ins!$C:$C,MATCH('001_population_health_zone_zs'!$B122,[1]ratio_ins!$B:$B,0))</f>
        <v>37203.1579872</v>
      </c>
      <c r="N122" s="10">
        <f>INDEX([1]ratio_ins!L:L,MATCH('001_population_health_zone_zs'!$B$2,[1]ratio_ins!$B:$B,0))*$G122*INDEX([1]ratio_ins!$C:$C,MATCH('001_population_health_zone_zs'!$B122,[1]ratio_ins!$B:$B,0))</f>
        <v>2186.8711847999998</v>
      </c>
      <c r="O122" s="10">
        <f>INDEX([1]ratio_ins!M:M,MATCH('001_population_health_zone_zs'!$B$2,[1]ratio_ins!$B:$B,0))*$G122*INDEX([1]ratio_ins!$C:$C,MATCH('001_population_health_zone_zs'!$B122,[1]ratio_ins!$B:$B,0))</f>
        <v>4742.6122080000005</v>
      </c>
      <c r="P122" s="10">
        <f>INDEX([1]ratio_ins!N:N,MATCH('001_population_health_zone_zs'!$B$2,[1]ratio_ins!$B:$B,0))*$G122*INDEX([1]ratio_ins!$C:$C,MATCH('001_population_health_zone_zs'!$B122,[1]ratio_ins!$B:$B,0))</f>
        <v>4281.5249100000001</v>
      </c>
      <c r="Q122" s="10">
        <f>INDEX([1]ratio_ins!O:O,MATCH('001_population_health_zone_zs'!$B$2,[1]ratio_ins!$B:$B,0))*$G122*INDEX([1]ratio_ins!$C:$C,MATCH('001_population_health_zone_zs'!$B122,[1]ratio_ins!$B:$B,0))</f>
        <v>3820.4376119999997</v>
      </c>
      <c r="R122" s="10">
        <f>INDEX([1]ratio_ins!P:P,MATCH('001_population_health_zone_zs'!$B$2,[1]ratio_ins!$B:$B,0))*$G122*INDEX([1]ratio_ins!$C:$C,MATCH('001_population_health_zone_zs'!$B122,[1]ratio_ins!$B:$B,0))</f>
        <v>3754.567998</v>
      </c>
      <c r="S122" s="10">
        <f>INDEX([1]ratio_ins!Q:Q,MATCH('001_population_health_zone_zs'!$B$2,[1]ratio_ins!$B:$B,0))*$G122*INDEX([1]ratio_ins!$C:$C,MATCH('001_population_health_zone_zs'!$B122,[1]ratio_ins!$B:$B,0))</f>
        <v>3161.7414719999997</v>
      </c>
      <c r="T122" s="10">
        <f>INDEX([1]ratio_ins!R:R,MATCH('001_population_health_zone_zs'!$B$2,[1]ratio_ins!$B:$B,0))*$G122*INDEX([1]ratio_ins!$C:$C,MATCH('001_population_health_zone_zs'!$B122,[1]ratio_ins!$B:$B,0))</f>
        <v>2239.5668759999999</v>
      </c>
      <c r="U122" s="10">
        <f>INDEX([1]ratio_ins!S:S,MATCH('001_population_health_zone_zs'!$B$2,[1]ratio_ins!$B:$B,0))*$G122*INDEX([1]ratio_ins!$C:$C,MATCH('001_population_health_zone_zs'!$B122,[1]ratio_ins!$B:$B,0))</f>
        <v>1778.4795780000002</v>
      </c>
      <c r="V122" s="10">
        <f>INDEX([1]ratio_ins!T:T,MATCH('001_population_health_zone_zs'!$B$2,[1]ratio_ins!$B:$B,0))*$G122*INDEX([1]ratio_ins!$C:$C,MATCH('001_population_health_zone_zs'!$B122,[1]ratio_ins!$B:$B,0))</f>
        <v>988.04420999999991</v>
      </c>
      <c r="W122" s="11">
        <f>INDEX([1]ratio_ins!U:U,MATCH('001_population_health_zone_zs'!$B$2,[1]ratio_ins!$B:$B,0))*$G122*INDEX([1]ratio_ins!$C:$C,MATCH('001_population_health_zone_zs'!$B122,[1]ratio_ins!$B:$B,0))</f>
        <v>26953.846048799998</v>
      </c>
      <c r="X122" s="10">
        <f>INDEX([1]ratio_ins!V:V,MATCH('001_population_health_zone_zs'!$B$2,[1]ratio_ins!$B:$B,0))*$G122*INDEX([1]ratio_ins!$C:$C,MATCH('001_population_health_zone_zs'!$B122,[1]ratio_ins!$B:$B,0))</f>
        <v>790.43536799999993</v>
      </c>
      <c r="Y122" s="10">
        <f>INDEX([1]ratio_ins!W:W,MATCH('001_population_health_zone_zs'!$B$2,[1]ratio_ins!$B:$B,0))*$G122*INDEX([1]ratio_ins!$C:$C,MATCH('001_population_health_zone_zs'!$B122,[1]ratio_ins!$B:$B,0))</f>
        <v>526.95691199999999</v>
      </c>
      <c r="Z122" s="10">
        <f>INDEX([1]ratio_ins!X:X,MATCH('001_population_health_zone_zs'!$B$2,[1]ratio_ins!$B:$B,0))*$G122*INDEX([1]ratio_ins!$C:$C,MATCH('001_population_health_zone_zs'!$B122,[1]ratio_ins!$B:$B,0))</f>
        <v>263.47845599999999</v>
      </c>
      <c r="AA122" s="10">
        <f>INDEX([1]ratio_ins!Y:Y,MATCH('001_population_health_zone_zs'!$B$2,[1]ratio_ins!$B:$B,0))*$G122*INDEX([1]ratio_ins!$C:$C,MATCH('001_population_health_zone_zs'!$B122,[1]ratio_ins!$B:$B,0))</f>
        <v>131.739228</v>
      </c>
      <c r="AB122" s="11">
        <f>INDEX([1]ratio_ins!Z:Z,MATCH('001_population_health_zone_zs'!$B$2,[1]ratio_ins!$B:$B,0))*$G122*INDEX([1]ratio_ins!$C:$C,MATCH('001_population_health_zone_zs'!$B122,[1]ratio_ins!$B:$B,0))</f>
        <v>1712.6099640000002</v>
      </c>
      <c r="AC122" s="12">
        <f t="shared" si="6"/>
        <v>65869.614000000001</v>
      </c>
      <c r="AD122" s="10">
        <f>INDEX([1]ratio_ins!AA:AA,MATCH('001_population_health_zone_zs'!$B$2,[1]ratio_ins!$B:$B,0))*$G122*INDEX([1]ratio_ins!$D:$D,MATCH('001_population_health_zone_zs'!$B122,[1]ratio_ins!$B:$B,0))</f>
        <v>14339.72106</v>
      </c>
      <c r="AE122" s="10">
        <f>INDEX([1]ratio_ins!AB:AB,MATCH('001_population_health_zone_zs'!$B$2,[1]ratio_ins!$B:$B,0))*$G122*INDEX([1]ratio_ins!$D:$D,MATCH('001_population_health_zone_zs'!$B122,[1]ratio_ins!$B:$B,0))</f>
        <v>11813.198778000002</v>
      </c>
      <c r="AF122" s="10">
        <f>INDEX([1]ratio_ins!AC:AC,MATCH('001_population_health_zone_zs'!$B$2,[1]ratio_ins!$B:$B,0))*$G122*INDEX([1]ratio_ins!$D:$D,MATCH('001_population_health_zone_zs'!$B122,[1]ratio_ins!$B:$B,0))</f>
        <v>9354.9608819999994</v>
      </c>
      <c r="AG122" s="10">
        <f>INDEX([1]ratio_ins!AD:AD,MATCH('001_population_health_zone_zs'!$B$2,[1]ratio_ins!$B:$B,0))*$G122*INDEX([1]ratio_ins!$D:$D,MATCH('001_population_health_zone_zs'!$B122,[1]ratio_ins!$B:$B,0))</f>
        <v>5667.6040380000004</v>
      </c>
      <c r="AH122" s="10">
        <f>INDEX([1]ratio_ins!AE:AE,MATCH('001_population_health_zone_zs'!$B$2,[1]ratio_ins!$B:$B,0))*$G122*INDEX([1]ratio_ins!$D:$D,MATCH('001_population_health_zone_zs'!$B122,[1]ratio_ins!$B:$B,0))</f>
        <v>3400.5624227999997</v>
      </c>
      <c r="AI122" s="13">
        <f>INDEX([1]ratio_ins!AF:AF,MATCH('001_population_health_zone_zs'!$B$2,[1]ratio_ins!$B:$B,0))*$G122*INDEX([1]ratio_ins!$D:$D,MATCH('001_population_health_zone_zs'!$B122,[1]ratio_ins!$B:$B,0))</f>
        <v>38908.443142800003</v>
      </c>
      <c r="AJ122" s="10">
        <f>INDEX([1]ratio_ins!AG:AG,MATCH('001_population_health_zone_zs'!$B$2,[1]ratio_ins!$B:$B,0))*$G122*INDEX([1]ratio_ins!$D:$D,MATCH('001_population_health_zone_zs'!$B122,[1]ratio_ins!$B:$B,0))</f>
        <v>2267.0416152000003</v>
      </c>
      <c r="AK122" s="10">
        <f>INDEX([1]ratio_ins!AH:AH,MATCH('001_population_health_zone_zs'!$B$2,[1]ratio_ins!$B:$B,0))*$G122*INDEX([1]ratio_ins!$D:$D,MATCH('001_population_health_zone_zs'!$B122,[1]ratio_ins!$B:$B,0))</f>
        <v>5053.0445640000007</v>
      </c>
      <c r="AL122" s="10">
        <f>INDEX([1]ratio_ins!AI:AI,MATCH('001_population_health_zone_zs'!$B$2,[1]ratio_ins!$B:$B,0))*$G122*INDEX([1]ratio_ins!$D:$D,MATCH('001_population_health_zone_zs'!$B122,[1]ratio_ins!$B:$B,0))</f>
        <v>4779.9070200000006</v>
      </c>
      <c r="AM122" s="10">
        <f>INDEX([1]ratio_ins!AJ:AJ,MATCH('001_population_health_zone_zs'!$B$2,[1]ratio_ins!$B:$B,0))*$G122*INDEX([1]ratio_ins!$D:$D,MATCH('001_population_health_zone_zs'!$B122,[1]ratio_ins!$B:$B,0))</f>
        <v>4370.2007039999999</v>
      </c>
      <c r="AN122" s="10">
        <f>INDEX([1]ratio_ins!AK:AK,MATCH('001_population_health_zone_zs'!$B$2,[1]ratio_ins!$B:$B,0))*$G122*INDEX([1]ratio_ins!$D:$D,MATCH('001_population_health_zone_zs'!$B122,[1]ratio_ins!$B:$B,0))</f>
        <v>4097.0631599999997</v>
      </c>
      <c r="AO122" s="10">
        <f>INDEX([1]ratio_ins!AL:AL,MATCH('001_population_health_zone_zs'!$B$2,[1]ratio_ins!$B:$B,0))*$G122*INDEX([1]ratio_ins!$D:$D,MATCH('001_population_health_zone_zs'!$B122,[1]ratio_ins!$B:$B,0))</f>
        <v>3072.7973699999998</v>
      </c>
      <c r="AP122" s="10">
        <f>INDEX([1]ratio_ins!AM:AM,MATCH('001_population_health_zone_zs'!$B$2,[1]ratio_ins!$B:$B,0))*$G122*INDEX([1]ratio_ins!$D:$D,MATCH('001_population_health_zone_zs'!$B122,[1]ratio_ins!$B:$B,0))</f>
        <v>1980.247194</v>
      </c>
      <c r="AQ122" s="10">
        <f>INDEX([1]ratio_ins!AN:AN,MATCH('001_population_health_zone_zs'!$B$2,[1]ratio_ins!$B:$B,0))*$G122*INDEX([1]ratio_ins!$D:$D,MATCH('001_population_health_zone_zs'!$B122,[1]ratio_ins!$B:$B,0))</f>
        <v>1570.540878</v>
      </c>
      <c r="AR122" s="10">
        <f>INDEX([1]ratio_ins!AO:AO,MATCH('001_population_health_zone_zs'!$B$2,[1]ratio_ins!$B:$B,0))*$G122*INDEX([1]ratio_ins!$D:$D,MATCH('001_population_health_zone_zs'!$B122,[1]ratio_ins!$B:$B,0))</f>
        <v>751.1282460000001</v>
      </c>
      <c r="AS122" s="13">
        <f>INDEX([1]ratio_ins!AP:AP,MATCH('001_population_health_zone_zs'!$B$2,[1]ratio_ins!$B:$B,0))*$G122*INDEX([1]ratio_ins!$D:$D,MATCH('001_population_health_zone_zs'!$B122,[1]ratio_ins!$B:$B,0))</f>
        <v>27941.970751200002</v>
      </c>
      <c r="AT122" s="10">
        <f>INDEX([1]ratio_ins!AQ:AQ,MATCH('001_population_health_zone_zs'!$B$2,[1]ratio_ins!$B:$B,0))*$G122*INDEX([1]ratio_ins!$D:$D,MATCH('001_population_health_zone_zs'!$B122,[1]ratio_ins!$B:$B,0))</f>
        <v>682.84385999999995</v>
      </c>
      <c r="AU122" s="10">
        <f>INDEX([1]ratio_ins!AR:AR,MATCH('001_population_health_zone_zs'!$B$2,[1]ratio_ins!$B:$B,0))*$G122*INDEX([1]ratio_ins!$D:$D,MATCH('001_population_health_zone_zs'!$B122,[1]ratio_ins!$B:$B,0))</f>
        <v>409.70631600000002</v>
      </c>
      <c r="AV122" s="10">
        <f>INDEX([1]ratio_ins!AS:AS,MATCH('001_population_health_zone_zs'!$B$2,[1]ratio_ins!$B:$B,0))*$G122*INDEX([1]ratio_ins!$D:$D,MATCH('001_population_health_zone_zs'!$B122,[1]ratio_ins!$B:$B,0))</f>
        <v>204.85315800000001</v>
      </c>
      <c r="AW122" s="10">
        <f>INDEX([1]ratio_ins!AT:AT,MATCH('001_population_health_zone_zs'!$B$2,[1]ratio_ins!$B:$B,0))*$G122*INDEX([1]ratio_ins!$D:$D,MATCH('001_population_health_zone_zs'!$B122,[1]ratio_ins!$B:$B,0))</f>
        <v>136.568772</v>
      </c>
      <c r="AX122" s="13">
        <f>INDEX([1]ratio_ins!AU:AU,MATCH('001_population_health_zone_zs'!$B$2,[1]ratio_ins!$B:$B,0))*$G122*INDEX([1]ratio_ins!$D:$D,MATCH('001_population_health_zone_zs'!$B122,[1]ratio_ins!$B:$B,0))</f>
        <v>1433.9721059999999</v>
      </c>
      <c r="AY122" s="14">
        <f t="shared" si="7"/>
        <v>68284.385999999999</v>
      </c>
      <c r="AZ122" s="15">
        <f t="shared" si="8"/>
        <v>134154</v>
      </c>
      <c r="BA122" s="16">
        <v>129452.58608063975</v>
      </c>
      <c r="BB122" s="10">
        <f t="shared" si="9"/>
        <v>29020.86405</v>
      </c>
      <c r="BC122" s="17">
        <f t="shared" si="10"/>
        <v>0.21632499999999999</v>
      </c>
      <c r="BD122" s="10">
        <f t="shared" si="11"/>
        <v>27467.629038000003</v>
      </c>
    </row>
    <row r="123" spans="1:56" x14ac:dyDescent="0.25">
      <c r="A123" s="8" t="s">
        <v>294</v>
      </c>
      <c r="B123" s="8" t="s">
        <v>295</v>
      </c>
      <c r="C123" s="8" t="s">
        <v>303</v>
      </c>
      <c r="D123" s="8" t="s">
        <v>304</v>
      </c>
      <c r="E123" s="8" t="s">
        <v>303</v>
      </c>
      <c r="F123" s="8" t="s">
        <v>305</v>
      </c>
      <c r="G123" s="9">
        <v>137917</v>
      </c>
      <c r="H123" s="10">
        <f>INDEX([1]ratio_ins!F:F,MATCH('001_population_health_zone_zs'!$B$2,[1]ratio_ins!$B:$B,0))*$G123*INDEX([1]ratio_ins!$C:$C,MATCH('001_population_health_zone_zs'!$B123,[1]ratio_ins!$B:$B,0))</f>
        <v>14152.904622999999</v>
      </c>
      <c r="I123" s="10">
        <f>INDEX([1]ratio_ins!G:G,MATCH('001_population_health_zone_zs'!$B$2,[1]ratio_ins!$B:$B,0))*$G123*INDEX([1]ratio_ins!$C:$C,MATCH('001_population_health_zone_zs'!$B123,[1]ratio_ins!$B:$B,0))</f>
        <v>11579.649237</v>
      </c>
      <c r="J123" s="10">
        <f>INDEX([1]ratio_ins!H:H,MATCH('001_population_health_zone_zs'!$B$2,[1]ratio_ins!$B:$B,0))*$G123*INDEX([1]ratio_ins!$C:$C,MATCH('001_population_health_zone_zs'!$B123,[1]ratio_ins!$B:$B,0))</f>
        <v>9141.8283449999999</v>
      </c>
      <c r="K123" s="10">
        <f>INDEX([1]ratio_ins!I:I,MATCH('001_population_health_zone_zs'!$B$2,[1]ratio_ins!$B:$B,0))*$G123*INDEX([1]ratio_ins!$C:$C,MATCH('001_population_health_zone_zs'!$B123,[1]ratio_ins!$B:$B,0))</f>
        <v>5620.5315010000004</v>
      </c>
      <c r="L123" s="10">
        <f>INDEX([1]ratio_ins!J:J,MATCH('001_population_health_zone_zs'!$B$2,[1]ratio_ins!$B:$B,0))*$G123*INDEX([1]ratio_ins!$C:$C,MATCH('001_population_health_zone_zs'!$B123,[1]ratio_ins!$B:$B,0))</f>
        <v>3372.3189005999998</v>
      </c>
      <c r="M123" s="11">
        <f>INDEX([1]ratio_ins!K:K,MATCH('001_population_health_zone_zs'!$B$2,[1]ratio_ins!$B:$B,0))*$G123*INDEX([1]ratio_ins!$C:$C,MATCH('001_population_health_zone_zs'!$B123,[1]ratio_ins!$B:$B,0))</f>
        <v>38246.701105599997</v>
      </c>
      <c r="N123" s="10">
        <f>INDEX([1]ratio_ins!L:L,MATCH('001_population_health_zone_zs'!$B$2,[1]ratio_ins!$B:$B,0))*$G123*INDEX([1]ratio_ins!$C:$C,MATCH('001_population_health_zone_zs'!$B123,[1]ratio_ins!$B:$B,0))</f>
        <v>2248.2126004000002</v>
      </c>
      <c r="O123" s="10">
        <f>INDEX([1]ratio_ins!M:M,MATCH('001_population_health_zone_zs'!$B$2,[1]ratio_ins!$B:$B,0))*$G123*INDEX([1]ratio_ins!$C:$C,MATCH('001_population_health_zone_zs'!$B123,[1]ratio_ins!$B:$B,0))</f>
        <v>4875.6417840000004</v>
      </c>
      <c r="P123" s="10">
        <f>INDEX([1]ratio_ins!N:N,MATCH('001_population_health_zone_zs'!$B$2,[1]ratio_ins!$B:$B,0))*$G123*INDEX([1]ratio_ins!$C:$C,MATCH('001_population_health_zone_zs'!$B123,[1]ratio_ins!$B:$B,0))</f>
        <v>4401.6210549999996</v>
      </c>
      <c r="Q123" s="10">
        <f>INDEX([1]ratio_ins!O:O,MATCH('001_population_health_zone_zs'!$B$2,[1]ratio_ins!$B:$B,0))*$G123*INDEX([1]ratio_ins!$C:$C,MATCH('001_population_health_zone_zs'!$B123,[1]ratio_ins!$B:$B,0))</f>
        <v>3927.6003259999998</v>
      </c>
      <c r="R123" s="10">
        <f>INDEX([1]ratio_ins!P:P,MATCH('001_population_health_zone_zs'!$B$2,[1]ratio_ins!$B:$B,0))*$G123*INDEX([1]ratio_ins!$C:$C,MATCH('001_population_health_zone_zs'!$B123,[1]ratio_ins!$B:$B,0))</f>
        <v>3859.8830790000002</v>
      </c>
      <c r="S123" s="10">
        <f>INDEX([1]ratio_ins!Q:Q,MATCH('001_population_health_zone_zs'!$B$2,[1]ratio_ins!$B:$B,0))*$G123*INDEX([1]ratio_ins!$C:$C,MATCH('001_population_health_zone_zs'!$B123,[1]ratio_ins!$B:$B,0))</f>
        <v>3250.4278560000002</v>
      </c>
      <c r="T123" s="10">
        <f>INDEX([1]ratio_ins!R:R,MATCH('001_population_health_zone_zs'!$B$2,[1]ratio_ins!$B:$B,0))*$G123*INDEX([1]ratio_ins!$C:$C,MATCH('001_population_health_zone_zs'!$B123,[1]ratio_ins!$B:$B,0))</f>
        <v>2302.3863980000001</v>
      </c>
      <c r="U123" s="10">
        <f>INDEX([1]ratio_ins!S:S,MATCH('001_population_health_zone_zs'!$B$2,[1]ratio_ins!$B:$B,0))*$G123*INDEX([1]ratio_ins!$C:$C,MATCH('001_population_health_zone_zs'!$B123,[1]ratio_ins!$B:$B,0))</f>
        <v>1828.3656690000003</v>
      </c>
      <c r="V123" s="10">
        <f>INDEX([1]ratio_ins!T:T,MATCH('001_population_health_zone_zs'!$B$2,[1]ratio_ins!$B:$B,0))*$G123*INDEX([1]ratio_ins!$C:$C,MATCH('001_population_health_zone_zs'!$B123,[1]ratio_ins!$B:$B,0))</f>
        <v>1015.7587050000001</v>
      </c>
      <c r="W123" s="11">
        <f>INDEX([1]ratio_ins!U:U,MATCH('001_population_health_zone_zs'!$B$2,[1]ratio_ins!$B:$B,0))*$G123*INDEX([1]ratio_ins!$C:$C,MATCH('001_population_health_zone_zs'!$B123,[1]ratio_ins!$B:$B,0))</f>
        <v>27709.8974724</v>
      </c>
      <c r="X123" s="10">
        <f>INDEX([1]ratio_ins!V:V,MATCH('001_population_health_zone_zs'!$B$2,[1]ratio_ins!$B:$B,0))*$G123*INDEX([1]ratio_ins!$C:$C,MATCH('001_population_health_zone_zs'!$B123,[1]ratio_ins!$B:$B,0))</f>
        <v>812.60696400000006</v>
      </c>
      <c r="Y123" s="10">
        <f>INDEX([1]ratio_ins!W:W,MATCH('001_population_health_zone_zs'!$B$2,[1]ratio_ins!$B:$B,0))*$G123*INDEX([1]ratio_ins!$C:$C,MATCH('001_population_health_zone_zs'!$B123,[1]ratio_ins!$B:$B,0))</f>
        <v>541.737976</v>
      </c>
      <c r="Z123" s="10">
        <f>INDEX([1]ratio_ins!X:X,MATCH('001_population_health_zone_zs'!$B$2,[1]ratio_ins!$B:$B,0))*$G123*INDEX([1]ratio_ins!$C:$C,MATCH('001_population_health_zone_zs'!$B123,[1]ratio_ins!$B:$B,0))</f>
        <v>270.868988</v>
      </c>
      <c r="AA123" s="10">
        <f>INDEX([1]ratio_ins!Y:Y,MATCH('001_population_health_zone_zs'!$B$2,[1]ratio_ins!$B:$B,0))*$G123*INDEX([1]ratio_ins!$C:$C,MATCH('001_population_health_zone_zs'!$B123,[1]ratio_ins!$B:$B,0))</f>
        <v>135.434494</v>
      </c>
      <c r="AB123" s="11">
        <f>INDEX([1]ratio_ins!Z:Z,MATCH('001_population_health_zone_zs'!$B$2,[1]ratio_ins!$B:$B,0))*$G123*INDEX([1]ratio_ins!$C:$C,MATCH('001_population_health_zone_zs'!$B123,[1]ratio_ins!$B:$B,0))</f>
        <v>1760.648422</v>
      </c>
      <c r="AC123" s="12">
        <f t="shared" si="6"/>
        <v>67717.247000000003</v>
      </c>
      <c r="AD123" s="10">
        <f>INDEX([1]ratio_ins!AA:AA,MATCH('001_population_health_zone_zs'!$B$2,[1]ratio_ins!$B:$B,0))*$G123*INDEX([1]ratio_ins!$D:$D,MATCH('001_population_health_zone_zs'!$B123,[1]ratio_ins!$B:$B,0))</f>
        <v>14741.948130000001</v>
      </c>
      <c r="AE123" s="10">
        <f>INDEX([1]ratio_ins!AB:AB,MATCH('001_population_health_zone_zs'!$B$2,[1]ratio_ins!$B:$B,0))*$G123*INDEX([1]ratio_ins!$D:$D,MATCH('001_population_health_zone_zs'!$B123,[1]ratio_ins!$B:$B,0))</f>
        <v>12144.557269000003</v>
      </c>
      <c r="AF123" s="10">
        <f>INDEX([1]ratio_ins!AC:AC,MATCH('001_population_health_zone_zs'!$B$2,[1]ratio_ins!$B:$B,0))*$G123*INDEX([1]ratio_ins!$D:$D,MATCH('001_population_health_zone_zs'!$B123,[1]ratio_ins!$B:$B,0))</f>
        <v>9617.3661609999981</v>
      </c>
      <c r="AG123" s="10">
        <f>INDEX([1]ratio_ins!AD:AD,MATCH('001_population_health_zone_zs'!$B$2,[1]ratio_ins!$B:$B,0))*$G123*INDEX([1]ratio_ins!$D:$D,MATCH('001_population_health_zone_zs'!$B123,[1]ratio_ins!$B:$B,0))</f>
        <v>5826.5794990000004</v>
      </c>
      <c r="AH123" s="10">
        <f>INDEX([1]ratio_ins!AE:AE,MATCH('001_population_health_zone_zs'!$B$2,[1]ratio_ins!$B:$B,0))*$G123*INDEX([1]ratio_ins!$D:$D,MATCH('001_population_health_zone_zs'!$B123,[1]ratio_ins!$B:$B,0))</f>
        <v>3495.9476994000001</v>
      </c>
      <c r="AI123" s="13">
        <f>INDEX([1]ratio_ins!AF:AF,MATCH('001_population_health_zone_zs'!$B$2,[1]ratio_ins!$B:$B,0))*$G123*INDEX([1]ratio_ins!$D:$D,MATCH('001_population_health_zone_zs'!$B123,[1]ratio_ins!$B:$B,0))</f>
        <v>39999.819259399999</v>
      </c>
      <c r="AJ123" s="10">
        <f>INDEX([1]ratio_ins!AG:AG,MATCH('001_population_health_zone_zs'!$B$2,[1]ratio_ins!$B:$B,0))*$G123*INDEX([1]ratio_ins!$D:$D,MATCH('001_population_health_zone_zs'!$B123,[1]ratio_ins!$B:$B,0))</f>
        <v>2330.6317995999998</v>
      </c>
      <c r="AK123" s="10">
        <f>INDEX([1]ratio_ins!AH:AH,MATCH('001_population_health_zone_zs'!$B$2,[1]ratio_ins!$B:$B,0))*$G123*INDEX([1]ratio_ins!$D:$D,MATCH('001_population_health_zone_zs'!$B123,[1]ratio_ins!$B:$B,0))</f>
        <v>5194.7817220000015</v>
      </c>
      <c r="AL123" s="10">
        <f>INDEX([1]ratio_ins!AI:AI,MATCH('001_population_health_zone_zs'!$B$2,[1]ratio_ins!$B:$B,0))*$G123*INDEX([1]ratio_ins!$D:$D,MATCH('001_population_health_zone_zs'!$B123,[1]ratio_ins!$B:$B,0))</f>
        <v>4913.9827100000002</v>
      </c>
      <c r="AM123" s="10">
        <f>INDEX([1]ratio_ins!AJ:AJ,MATCH('001_population_health_zone_zs'!$B$2,[1]ratio_ins!$B:$B,0))*$G123*INDEX([1]ratio_ins!$D:$D,MATCH('001_population_health_zone_zs'!$B123,[1]ratio_ins!$B:$B,0))</f>
        <v>4492.7841920000001</v>
      </c>
      <c r="AN123" s="10">
        <f>INDEX([1]ratio_ins!AK:AK,MATCH('001_population_health_zone_zs'!$B$2,[1]ratio_ins!$B:$B,0))*$G123*INDEX([1]ratio_ins!$D:$D,MATCH('001_population_health_zone_zs'!$B123,[1]ratio_ins!$B:$B,0))</f>
        <v>4211.9851800000006</v>
      </c>
      <c r="AO123" s="10">
        <f>INDEX([1]ratio_ins!AL:AL,MATCH('001_population_health_zone_zs'!$B$2,[1]ratio_ins!$B:$B,0))*$G123*INDEX([1]ratio_ins!$D:$D,MATCH('001_population_health_zone_zs'!$B123,[1]ratio_ins!$B:$B,0))</f>
        <v>3158.9888849999998</v>
      </c>
      <c r="AP123" s="10">
        <f>INDEX([1]ratio_ins!AM:AM,MATCH('001_population_health_zone_zs'!$B$2,[1]ratio_ins!$B:$B,0))*$G123*INDEX([1]ratio_ins!$D:$D,MATCH('001_population_health_zone_zs'!$B123,[1]ratio_ins!$B:$B,0))</f>
        <v>2035.792837</v>
      </c>
      <c r="AQ123" s="10">
        <f>INDEX([1]ratio_ins!AN:AN,MATCH('001_population_health_zone_zs'!$B$2,[1]ratio_ins!$B:$B,0))*$G123*INDEX([1]ratio_ins!$D:$D,MATCH('001_population_health_zone_zs'!$B123,[1]ratio_ins!$B:$B,0))</f>
        <v>1614.594319</v>
      </c>
      <c r="AR123" s="10">
        <f>INDEX([1]ratio_ins!AO:AO,MATCH('001_population_health_zone_zs'!$B$2,[1]ratio_ins!$B:$B,0))*$G123*INDEX([1]ratio_ins!$D:$D,MATCH('001_population_health_zone_zs'!$B123,[1]ratio_ins!$B:$B,0))</f>
        <v>772.19728300000008</v>
      </c>
      <c r="AS123" s="13">
        <f>INDEX([1]ratio_ins!AP:AP,MATCH('001_population_health_zone_zs'!$B$2,[1]ratio_ins!$B:$B,0))*$G123*INDEX([1]ratio_ins!$D:$D,MATCH('001_population_health_zone_zs'!$B123,[1]ratio_ins!$B:$B,0))</f>
        <v>28725.738927600003</v>
      </c>
      <c r="AT123" s="10">
        <f>INDEX([1]ratio_ins!AQ:AQ,MATCH('001_population_health_zone_zs'!$B$2,[1]ratio_ins!$B:$B,0))*$G123*INDEX([1]ratio_ins!$D:$D,MATCH('001_population_health_zone_zs'!$B123,[1]ratio_ins!$B:$B,0))</f>
        <v>701.9975300000001</v>
      </c>
      <c r="AU123" s="10">
        <f>INDEX([1]ratio_ins!AR:AR,MATCH('001_population_health_zone_zs'!$B$2,[1]ratio_ins!$B:$B,0))*$G123*INDEX([1]ratio_ins!$D:$D,MATCH('001_population_health_zone_zs'!$B123,[1]ratio_ins!$B:$B,0))</f>
        <v>421.19851800000004</v>
      </c>
      <c r="AV123" s="10">
        <f>INDEX([1]ratio_ins!AS:AS,MATCH('001_population_health_zone_zs'!$B$2,[1]ratio_ins!$B:$B,0))*$G123*INDEX([1]ratio_ins!$D:$D,MATCH('001_population_health_zone_zs'!$B123,[1]ratio_ins!$B:$B,0))</f>
        <v>210.59925900000002</v>
      </c>
      <c r="AW123" s="10">
        <f>INDEX([1]ratio_ins!AT:AT,MATCH('001_population_health_zone_zs'!$B$2,[1]ratio_ins!$B:$B,0))*$G123*INDEX([1]ratio_ins!$D:$D,MATCH('001_population_health_zone_zs'!$B123,[1]ratio_ins!$B:$B,0))</f>
        <v>140.399506</v>
      </c>
      <c r="AX123" s="13">
        <f>INDEX([1]ratio_ins!AU:AU,MATCH('001_population_health_zone_zs'!$B$2,[1]ratio_ins!$B:$B,0))*$G123*INDEX([1]ratio_ins!$D:$D,MATCH('001_population_health_zone_zs'!$B123,[1]ratio_ins!$B:$B,0))</f>
        <v>1474.1948129999998</v>
      </c>
      <c r="AY123" s="14">
        <f t="shared" si="7"/>
        <v>70199.752999999997</v>
      </c>
      <c r="AZ123" s="15">
        <f t="shared" si="8"/>
        <v>137917</v>
      </c>
      <c r="BA123" s="16">
        <v>133083.13681549355</v>
      </c>
      <c r="BB123" s="10">
        <f t="shared" si="9"/>
        <v>29834.895025000002</v>
      </c>
      <c r="BC123" s="17">
        <f t="shared" si="10"/>
        <v>0.21632500000000002</v>
      </c>
      <c r="BD123" s="10">
        <f t="shared" si="11"/>
        <v>28238.091999</v>
      </c>
    </row>
    <row r="124" spans="1:56" x14ac:dyDescent="0.25">
      <c r="A124" s="8" t="s">
        <v>294</v>
      </c>
      <c r="B124" s="8" t="s">
        <v>295</v>
      </c>
      <c r="C124" s="8" t="s">
        <v>303</v>
      </c>
      <c r="D124" s="8" t="s">
        <v>304</v>
      </c>
      <c r="E124" s="8" t="s">
        <v>306</v>
      </c>
      <c r="F124" s="8" t="s">
        <v>307</v>
      </c>
      <c r="G124" s="9">
        <v>92522</v>
      </c>
      <c r="H124" s="10">
        <f>INDEX([1]ratio_ins!F:F,MATCH('001_population_health_zone_zs'!$B$2,[1]ratio_ins!$B:$B,0))*$G124*INDEX([1]ratio_ins!$C:$C,MATCH('001_population_health_zone_zs'!$B124,[1]ratio_ins!$B:$B,0))</f>
        <v>9494.5151179999993</v>
      </c>
      <c r="I124" s="10">
        <f>INDEX([1]ratio_ins!G:G,MATCH('001_population_health_zone_zs'!$B$2,[1]ratio_ins!$B:$B,0))*$G124*INDEX([1]ratio_ins!$C:$C,MATCH('001_population_health_zone_zs'!$B124,[1]ratio_ins!$B:$B,0))</f>
        <v>7768.2396420000005</v>
      </c>
      <c r="J124" s="10">
        <f>INDEX([1]ratio_ins!H:H,MATCH('001_population_health_zone_zs'!$B$2,[1]ratio_ins!$B:$B,0))*$G124*INDEX([1]ratio_ins!$C:$C,MATCH('001_population_health_zone_zs'!$B124,[1]ratio_ins!$B:$B,0))</f>
        <v>6132.8207700000003</v>
      </c>
      <c r="K124" s="10">
        <f>INDEX([1]ratio_ins!I:I,MATCH('001_population_health_zone_zs'!$B$2,[1]ratio_ins!$B:$B,0))*$G124*INDEX([1]ratio_ins!$C:$C,MATCH('001_population_health_zone_zs'!$B124,[1]ratio_ins!$B:$B,0))</f>
        <v>3770.549066</v>
      </c>
      <c r="L124" s="10">
        <f>INDEX([1]ratio_ins!J:J,MATCH('001_population_health_zone_zs'!$B$2,[1]ratio_ins!$B:$B,0))*$G124*INDEX([1]ratio_ins!$C:$C,MATCH('001_population_health_zone_zs'!$B124,[1]ratio_ins!$B:$B,0))</f>
        <v>2262.3294395999997</v>
      </c>
      <c r="M124" s="11">
        <f>INDEX([1]ratio_ins!K:K,MATCH('001_population_health_zone_zs'!$B$2,[1]ratio_ins!$B:$B,0))*$G124*INDEX([1]ratio_ins!$C:$C,MATCH('001_population_health_zone_zs'!$B124,[1]ratio_ins!$B:$B,0))</f>
        <v>25657.904969599997</v>
      </c>
      <c r="N124" s="10">
        <f>INDEX([1]ratio_ins!L:L,MATCH('001_population_health_zone_zs'!$B$2,[1]ratio_ins!$B:$B,0))*$G124*INDEX([1]ratio_ins!$C:$C,MATCH('001_population_health_zone_zs'!$B124,[1]ratio_ins!$B:$B,0))</f>
        <v>1508.2196263999999</v>
      </c>
      <c r="O124" s="10">
        <f>INDEX([1]ratio_ins!M:M,MATCH('001_population_health_zone_zs'!$B$2,[1]ratio_ins!$B:$B,0))*$G124*INDEX([1]ratio_ins!$C:$C,MATCH('001_population_health_zone_zs'!$B124,[1]ratio_ins!$B:$B,0))</f>
        <v>3270.8377440000004</v>
      </c>
      <c r="P124" s="10">
        <f>INDEX([1]ratio_ins!N:N,MATCH('001_population_health_zone_zs'!$B$2,[1]ratio_ins!$B:$B,0))*$G124*INDEX([1]ratio_ins!$C:$C,MATCH('001_population_health_zone_zs'!$B124,[1]ratio_ins!$B:$B,0))</f>
        <v>2952.8396299999999</v>
      </c>
      <c r="Q124" s="10">
        <f>INDEX([1]ratio_ins!O:O,MATCH('001_population_health_zone_zs'!$B$2,[1]ratio_ins!$B:$B,0))*$G124*INDEX([1]ratio_ins!$C:$C,MATCH('001_population_health_zone_zs'!$B124,[1]ratio_ins!$B:$B,0))</f>
        <v>2634.841516</v>
      </c>
      <c r="R124" s="10">
        <f>INDEX([1]ratio_ins!P:P,MATCH('001_population_health_zone_zs'!$B$2,[1]ratio_ins!$B:$B,0))*$G124*INDEX([1]ratio_ins!$C:$C,MATCH('001_population_health_zone_zs'!$B124,[1]ratio_ins!$B:$B,0))</f>
        <v>2589.4132139999997</v>
      </c>
      <c r="S124" s="10">
        <f>INDEX([1]ratio_ins!Q:Q,MATCH('001_population_health_zone_zs'!$B$2,[1]ratio_ins!$B:$B,0))*$G124*INDEX([1]ratio_ins!$C:$C,MATCH('001_population_health_zone_zs'!$B124,[1]ratio_ins!$B:$B,0))</f>
        <v>2180.5584960000001</v>
      </c>
      <c r="T124" s="10">
        <f>INDEX([1]ratio_ins!R:R,MATCH('001_population_health_zone_zs'!$B$2,[1]ratio_ins!$B:$B,0))*$G124*INDEX([1]ratio_ins!$C:$C,MATCH('001_population_health_zone_zs'!$B124,[1]ratio_ins!$B:$B,0))</f>
        <v>1544.5622679999999</v>
      </c>
      <c r="U124" s="10">
        <f>INDEX([1]ratio_ins!S:S,MATCH('001_population_health_zone_zs'!$B$2,[1]ratio_ins!$B:$B,0))*$G124*INDEX([1]ratio_ins!$C:$C,MATCH('001_population_health_zone_zs'!$B124,[1]ratio_ins!$B:$B,0))</f>
        <v>1226.5641540000001</v>
      </c>
      <c r="V124" s="10">
        <f>INDEX([1]ratio_ins!T:T,MATCH('001_population_health_zone_zs'!$B$2,[1]ratio_ins!$B:$B,0))*$G124*INDEX([1]ratio_ins!$C:$C,MATCH('001_population_health_zone_zs'!$B124,[1]ratio_ins!$B:$B,0))</f>
        <v>681.42453</v>
      </c>
      <c r="W124" s="11">
        <f>INDEX([1]ratio_ins!U:U,MATCH('001_population_health_zone_zs'!$B$2,[1]ratio_ins!$B:$B,0))*$G124*INDEX([1]ratio_ins!$C:$C,MATCH('001_population_health_zone_zs'!$B124,[1]ratio_ins!$B:$B,0))</f>
        <v>18589.2611784</v>
      </c>
      <c r="X124" s="10">
        <f>INDEX([1]ratio_ins!V:V,MATCH('001_population_health_zone_zs'!$B$2,[1]ratio_ins!$B:$B,0))*$G124*INDEX([1]ratio_ins!$C:$C,MATCH('001_population_health_zone_zs'!$B124,[1]ratio_ins!$B:$B,0))</f>
        <v>545.13962400000003</v>
      </c>
      <c r="Y124" s="10">
        <f>INDEX([1]ratio_ins!W:W,MATCH('001_population_health_zone_zs'!$B$2,[1]ratio_ins!$B:$B,0))*$G124*INDEX([1]ratio_ins!$C:$C,MATCH('001_population_health_zone_zs'!$B124,[1]ratio_ins!$B:$B,0))</f>
        <v>363.42641600000002</v>
      </c>
      <c r="Z124" s="10">
        <f>INDEX([1]ratio_ins!X:X,MATCH('001_population_health_zone_zs'!$B$2,[1]ratio_ins!$B:$B,0))*$G124*INDEX([1]ratio_ins!$C:$C,MATCH('001_population_health_zone_zs'!$B124,[1]ratio_ins!$B:$B,0))</f>
        <v>181.71320800000001</v>
      </c>
      <c r="AA124" s="10">
        <f>INDEX([1]ratio_ins!Y:Y,MATCH('001_population_health_zone_zs'!$B$2,[1]ratio_ins!$B:$B,0))*$G124*INDEX([1]ratio_ins!$C:$C,MATCH('001_population_health_zone_zs'!$B124,[1]ratio_ins!$B:$B,0))</f>
        <v>90.856604000000004</v>
      </c>
      <c r="AB124" s="11">
        <f>INDEX([1]ratio_ins!Z:Z,MATCH('001_population_health_zone_zs'!$B$2,[1]ratio_ins!$B:$B,0))*$G124*INDEX([1]ratio_ins!$C:$C,MATCH('001_population_health_zone_zs'!$B124,[1]ratio_ins!$B:$B,0))</f>
        <v>1181.1358520000001</v>
      </c>
      <c r="AC124" s="12">
        <f t="shared" si="6"/>
        <v>45428.301999999996</v>
      </c>
      <c r="AD124" s="10">
        <f>INDEX([1]ratio_ins!AA:AA,MATCH('001_population_health_zone_zs'!$B$2,[1]ratio_ins!$B:$B,0))*$G124*INDEX([1]ratio_ins!$D:$D,MATCH('001_population_health_zone_zs'!$B124,[1]ratio_ins!$B:$B,0))</f>
        <v>9889.6765799999994</v>
      </c>
      <c r="AE124" s="10">
        <f>INDEX([1]ratio_ins!AB:AB,MATCH('001_population_health_zone_zs'!$B$2,[1]ratio_ins!$B:$B,0))*$G124*INDEX([1]ratio_ins!$D:$D,MATCH('001_population_health_zone_zs'!$B124,[1]ratio_ins!$B:$B,0))</f>
        <v>8147.2097540000004</v>
      </c>
      <c r="AF124" s="10">
        <f>INDEX([1]ratio_ins!AC:AC,MATCH('001_population_health_zone_zs'!$B$2,[1]ratio_ins!$B:$B,0))*$G124*INDEX([1]ratio_ins!$D:$D,MATCH('001_population_health_zone_zs'!$B124,[1]ratio_ins!$B:$B,0))</f>
        <v>6451.8366259999993</v>
      </c>
      <c r="AG124" s="10">
        <f>INDEX([1]ratio_ins!AD:AD,MATCH('001_population_health_zone_zs'!$B$2,[1]ratio_ins!$B:$B,0))*$G124*INDEX([1]ratio_ins!$D:$D,MATCH('001_population_health_zone_zs'!$B124,[1]ratio_ins!$B:$B,0))</f>
        <v>3908.776934</v>
      </c>
      <c r="AH124" s="10">
        <f>INDEX([1]ratio_ins!AE:AE,MATCH('001_population_health_zone_zs'!$B$2,[1]ratio_ins!$B:$B,0))*$G124*INDEX([1]ratio_ins!$D:$D,MATCH('001_population_health_zone_zs'!$B124,[1]ratio_ins!$B:$B,0))</f>
        <v>2345.2661604</v>
      </c>
      <c r="AI124" s="13">
        <f>INDEX([1]ratio_ins!AF:AF,MATCH('001_population_health_zone_zs'!$B$2,[1]ratio_ins!$B:$B,0))*$G124*INDEX([1]ratio_ins!$D:$D,MATCH('001_population_health_zone_zs'!$B124,[1]ratio_ins!$B:$B,0))</f>
        <v>26833.989120399998</v>
      </c>
      <c r="AJ124" s="10">
        <f>INDEX([1]ratio_ins!AG:AG,MATCH('001_population_health_zone_zs'!$B$2,[1]ratio_ins!$B:$B,0))*$G124*INDEX([1]ratio_ins!$D:$D,MATCH('001_population_health_zone_zs'!$B124,[1]ratio_ins!$B:$B,0))</f>
        <v>1563.5107736</v>
      </c>
      <c r="AK124" s="10">
        <f>INDEX([1]ratio_ins!AH:AH,MATCH('001_population_health_zone_zs'!$B$2,[1]ratio_ins!$B:$B,0))*$G124*INDEX([1]ratio_ins!$D:$D,MATCH('001_population_health_zone_zs'!$B124,[1]ratio_ins!$B:$B,0))</f>
        <v>3484.9336520000002</v>
      </c>
      <c r="AL124" s="10">
        <f>INDEX([1]ratio_ins!AI:AI,MATCH('001_population_health_zone_zs'!$B$2,[1]ratio_ins!$B:$B,0))*$G124*INDEX([1]ratio_ins!$D:$D,MATCH('001_population_health_zone_zs'!$B124,[1]ratio_ins!$B:$B,0))</f>
        <v>3296.5588600000005</v>
      </c>
      <c r="AM124" s="10">
        <f>INDEX([1]ratio_ins!AJ:AJ,MATCH('001_population_health_zone_zs'!$B$2,[1]ratio_ins!$B:$B,0))*$G124*INDEX([1]ratio_ins!$D:$D,MATCH('001_population_health_zone_zs'!$B124,[1]ratio_ins!$B:$B,0))</f>
        <v>3013.9966720000002</v>
      </c>
      <c r="AN124" s="10">
        <f>INDEX([1]ratio_ins!AK:AK,MATCH('001_population_health_zone_zs'!$B$2,[1]ratio_ins!$B:$B,0))*$G124*INDEX([1]ratio_ins!$D:$D,MATCH('001_population_health_zone_zs'!$B124,[1]ratio_ins!$B:$B,0))</f>
        <v>2825.6218799999997</v>
      </c>
      <c r="AO124" s="10">
        <f>INDEX([1]ratio_ins!AL:AL,MATCH('001_population_health_zone_zs'!$B$2,[1]ratio_ins!$B:$B,0))*$G124*INDEX([1]ratio_ins!$D:$D,MATCH('001_population_health_zone_zs'!$B124,[1]ratio_ins!$B:$B,0))</f>
        <v>2119.21641</v>
      </c>
      <c r="AP124" s="10">
        <f>INDEX([1]ratio_ins!AM:AM,MATCH('001_population_health_zone_zs'!$B$2,[1]ratio_ins!$B:$B,0))*$G124*INDEX([1]ratio_ins!$D:$D,MATCH('001_population_health_zone_zs'!$B124,[1]ratio_ins!$B:$B,0))</f>
        <v>1365.7172419999999</v>
      </c>
      <c r="AQ124" s="10">
        <f>INDEX([1]ratio_ins!AN:AN,MATCH('001_population_health_zone_zs'!$B$2,[1]ratio_ins!$B:$B,0))*$G124*INDEX([1]ratio_ins!$D:$D,MATCH('001_population_health_zone_zs'!$B124,[1]ratio_ins!$B:$B,0))</f>
        <v>1083.1550539999998</v>
      </c>
      <c r="AR124" s="10">
        <f>INDEX([1]ratio_ins!AO:AO,MATCH('001_population_health_zone_zs'!$B$2,[1]ratio_ins!$B:$B,0))*$G124*INDEX([1]ratio_ins!$D:$D,MATCH('001_population_health_zone_zs'!$B124,[1]ratio_ins!$B:$B,0))</f>
        <v>518.03067800000008</v>
      </c>
      <c r="AS124" s="13">
        <f>INDEX([1]ratio_ins!AP:AP,MATCH('001_population_health_zone_zs'!$B$2,[1]ratio_ins!$B:$B,0))*$G124*INDEX([1]ratio_ins!$D:$D,MATCH('001_population_health_zone_zs'!$B124,[1]ratio_ins!$B:$B,0))</f>
        <v>19270.741221599998</v>
      </c>
      <c r="AT124" s="10">
        <f>INDEX([1]ratio_ins!AQ:AQ,MATCH('001_population_health_zone_zs'!$B$2,[1]ratio_ins!$B:$B,0))*$G124*INDEX([1]ratio_ins!$D:$D,MATCH('001_population_health_zone_zs'!$B124,[1]ratio_ins!$B:$B,0))</f>
        <v>470.93698000000001</v>
      </c>
      <c r="AU124" s="10">
        <f>INDEX([1]ratio_ins!AR:AR,MATCH('001_population_health_zone_zs'!$B$2,[1]ratio_ins!$B:$B,0))*$G124*INDEX([1]ratio_ins!$D:$D,MATCH('001_population_health_zone_zs'!$B124,[1]ratio_ins!$B:$B,0))</f>
        <v>282.56218800000005</v>
      </c>
      <c r="AV124" s="10">
        <f>INDEX([1]ratio_ins!AS:AS,MATCH('001_population_health_zone_zs'!$B$2,[1]ratio_ins!$B:$B,0))*$G124*INDEX([1]ratio_ins!$D:$D,MATCH('001_population_health_zone_zs'!$B124,[1]ratio_ins!$B:$B,0))</f>
        <v>141.28109400000002</v>
      </c>
      <c r="AW124" s="10">
        <f>INDEX([1]ratio_ins!AT:AT,MATCH('001_population_health_zone_zs'!$B$2,[1]ratio_ins!$B:$B,0))*$G124*INDEX([1]ratio_ins!$D:$D,MATCH('001_population_health_zone_zs'!$B124,[1]ratio_ins!$B:$B,0))</f>
        <v>94.187396000000007</v>
      </c>
      <c r="AX124" s="13">
        <f>INDEX([1]ratio_ins!AU:AU,MATCH('001_population_health_zone_zs'!$B$2,[1]ratio_ins!$B:$B,0))*$G124*INDEX([1]ratio_ins!$D:$D,MATCH('001_population_health_zone_zs'!$B124,[1]ratio_ins!$B:$B,0))</f>
        <v>988.96765799999991</v>
      </c>
      <c r="AY124" s="14">
        <f t="shared" si="7"/>
        <v>47093.697999999997</v>
      </c>
      <c r="AZ124" s="15">
        <f t="shared" si="8"/>
        <v>92522</v>
      </c>
      <c r="BA124" s="16">
        <v>89278.958402182296</v>
      </c>
      <c r="BB124" s="10">
        <f t="shared" si="9"/>
        <v>20014.821649999998</v>
      </c>
      <c r="BC124" s="17">
        <f t="shared" si="10"/>
        <v>0.21632499999999999</v>
      </c>
      <c r="BD124" s="10">
        <f t="shared" si="11"/>
        <v>18943.601934000002</v>
      </c>
    </row>
    <row r="125" spans="1:56" x14ac:dyDescent="0.25">
      <c r="A125" s="8" t="s">
        <v>294</v>
      </c>
      <c r="B125" s="8" t="s">
        <v>295</v>
      </c>
      <c r="C125" s="8" t="s">
        <v>303</v>
      </c>
      <c r="D125" s="8" t="s">
        <v>304</v>
      </c>
      <c r="E125" s="8" t="s">
        <v>308</v>
      </c>
      <c r="F125" s="8" t="s">
        <v>309</v>
      </c>
      <c r="G125" s="9">
        <v>58932</v>
      </c>
      <c r="H125" s="10">
        <f>INDEX([1]ratio_ins!F:F,MATCH('001_population_health_zone_zs'!$B$2,[1]ratio_ins!$B:$B,0))*$G125*INDEX([1]ratio_ins!$C:$C,MATCH('001_population_health_zone_zs'!$B125,[1]ratio_ins!$B:$B,0))</f>
        <v>6047.5429079999994</v>
      </c>
      <c r="I125" s="10">
        <f>INDEX([1]ratio_ins!G:G,MATCH('001_population_health_zone_zs'!$B$2,[1]ratio_ins!$B:$B,0))*$G125*INDEX([1]ratio_ins!$C:$C,MATCH('001_population_health_zone_zs'!$B125,[1]ratio_ins!$B:$B,0))</f>
        <v>4947.9896520000002</v>
      </c>
      <c r="J125" s="10">
        <f>INDEX([1]ratio_ins!H:H,MATCH('001_population_health_zone_zs'!$B$2,[1]ratio_ins!$B:$B,0))*$G125*INDEX([1]ratio_ins!$C:$C,MATCH('001_population_health_zone_zs'!$B125,[1]ratio_ins!$B:$B,0))</f>
        <v>3906.30762</v>
      </c>
      <c r="K125" s="10">
        <f>INDEX([1]ratio_ins!I:I,MATCH('001_population_health_zone_zs'!$B$2,[1]ratio_ins!$B:$B,0))*$G125*INDEX([1]ratio_ins!$C:$C,MATCH('001_population_health_zone_zs'!$B125,[1]ratio_ins!$B:$B,0))</f>
        <v>2401.6557960000005</v>
      </c>
      <c r="L125" s="10">
        <f>INDEX([1]ratio_ins!J:J,MATCH('001_population_health_zone_zs'!$B$2,[1]ratio_ins!$B:$B,0))*$G125*INDEX([1]ratio_ins!$C:$C,MATCH('001_population_health_zone_zs'!$B125,[1]ratio_ins!$B:$B,0))</f>
        <v>1440.9934776</v>
      </c>
      <c r="M125" s="11">
        <f>INDEX([1]ratio_ins!K:K,MATCH('001_population_health_zone_zs'!$B$2,[1]ratio_ins!$B:$B,0))*$G125*INDEX([1]ratio_ins!$C:$C,MATCH('001_population_health_zone_zs'!$B125,[1]ratio_ins!$B:$B,0))</f>
        <v>16342.833657599998</v>
      </c>
      <c r="N125" s="10">
        <f>INDEX([1]ratio_ins!L:L,MATCH('001_population_health_zone_zs'!$B$2,[1]ratio_ins!$B:$B,0))*$G125*INDEX([1]ratio_ins!$C:$C,MATCH('001_population_health_zone_zs'!$B125,[1]ratio_ins!$B:$B,0))</f>
        <v>960.6623184</v>
      </c>
      <c r="O125" s="10">
        <f>INDEX([1]ratio_ins!M:M,MATCH('001_population_health_zone_zs'!$B$2,[1]ratio_ins!$B:$B,0))*$G125*INDEX([1]ratio_ins!$C:$C,MATCH('001_population_health_zone_zs'!$B125,[1]ratio_ins!$B:$B,0))</f>
        <v>2083.3640639999999</v>
      </c>
      <c r="P125" s="10">
        <f>INDEX([1]ratio_ins!N:N,MATCH('001_population_health_zone_zs'!$B$2,[1]ratio_ins!$B:$B,0))*$G125*INDEX([1]ratio_ins!$C:$C,MATCH('001_population_health_zone_zs'!$B125,[1]ratio_ins!$B:$B,0))</f>
        <v>1880.8147799999999</v>
      </c>
      <c r="Q125" s="10">
        <f>INDEX([1]ratio_ins!O:O,MATCH('001_population_health_zone_zs'!$B$2,[1]ratio_ins!$B:$B,0))*$G125*INDEX([1]ratio_ins!$C:$C,MATCH('001_population_health_zone_zs'!$B125,[1]ratio_ins!$B:$B,0))</f>
        <v>1678.2654959999998</v>
      </c>
      <c r="R125" s="10">
        <f>INDEX([1]ratio_ins!P:P,MATCH('001_population_health_zone_zs'!$B$2,[1]ratio_ins!$B:$B,0))*$G125*INDEX([1]ratio_ins!$C:$C,MATCH('001_population_health_zone_zs'!$B125,[1]ratio_ins!$B:$B,0))</f>
        <v>1649.329884</v>
      </c>
      <c r="S125" s="10">
        <f>INDEX([1]ratio_ins!Q:Q,MATCH('001_population_health_zone_zs'!$B$2,[1]ratio_ins!$B:$B,0))*$G125*INDEX([1]ratio_ins!$C:$C,MATCH('001_population_health_zone_zs'!$B125,[1]ratio_ins!$B:$B,0))</f>
        <v>1388.9093759999998</v>
      </c>
      <c r="T125" s="10">
        <f>INDEX([1]ratio_ins!R:R,MATCH('001_population_health_zone_zs'!$B$2,[1]ratio_ins!$B:$B,0))*$G125*INDEX([1]ratio_ins!$C:$C,MATCH('001_population_health_zone_zs'!$B125,[1]ratio_ins!$B:$B,0))</f>
        <v>983.81080800000007</v>
      </c>
      <c r="U125" s="10">
        <f>INDEX([1]ratio_ins!S:S,MATCH('001_population_health_zone_zs'!$B$2,[1]ratio_ins!$B:$B,0))*$G125*INDEX([1]ratio_ins!$C:$C,MATCH('001_population_health_zone_zs'!$B125,[1]ratio_ins!$B:$B,0))</f>
        <v>781.26152400000012</v>
      </c>
      <c r="V125" s="10">
        <f>INDEX([1]ratio_ins!T:T,MATCH('001_population_health_zone_zs'!$B$2,[1]ratio_ins!$B:$B,0))*$G125*INDEX([1]ratio_ins!$C:$C,MATCH('001_population_health_zone_zs'!$B125,[1]ratio_ins!$B:$B,0))</f>
        <v>434.03417999999999</v>
      </c>
      <c r="W125" s="11">
        <f>INDEX([1]ratio_ins!U:U,MATCH('001_population_health_zone_zs'!$B$2,[1]ratio_ins!$B:$B,0))*$G125*INDEX([1]ratio_ins!$C:$C,MATCH('001_population_health_zone_zs'!$B125,[1]ratio_ins!$B:$B,0))</f>
        <v>11840.452430399999</v>
      </c>
      <c r="X125" s="10">
        <f>INDEX([1]ratio_ins!V:V,MATCH('001_population_health_zone_zs'!$B$2,[1]ratio_ins!$B:$B,0))*$G125*INDEX([1]ratio_ins!$C:$C,MATCH('001_population_health_zone_zs'!$B125,[1]ratio_ins!$B:$B,0))</f>
        <v>347.22734399999996</v>
      </c>
      <c r="Y125" s="10">
        <f>INDEX([1]ratio_ins!W:W,MATCH('001_population_health_zone_zs'!$B$2,[1]ratio_ins!$B:$B,0))*$G125*INDEX([1]ratio_ins!$C:$C,MATCH('001_population_health_zone_zs'!$B125,[1]ratio_ins!$B:$B,0))</f>
        <v>231.48489599999999</v>
      </c>
      <c r="Z125" s="10">
        <f>INDEX([1]ratio_ins!X:X,MATCH('001_population_health_zone_zs'!$B$2,[1]ratio_ins!$B:$B,0))*$G125*INDEX([1]ratio_ins!$C:$C,MATCH('001_population_health_zone_zs'!$B125,[1]ratio_ins!$B:$B,0))</f>
        <v>115.742448</v>
      </c>
      <c r="AA125" s="10">
        <f>INDEX([1]ratio_ins!Y:Y,MATCH('001_population_health_zone_zs'!$B$2,[1]ratio_ins!$B:$B,0))*$G125*INDEX([1]ratio_ins!$C:$C,MATCH('001_population_health_zone_zs'!$B125,[1]ratio_ins!$B:$B,0))</f>
        <v>57.871223999999998</v>
      </c>
      <c r="AB125" s="11">
        <f>INDEX([1]ratio_ins!Z:Z,MATCH('001_population_health_zone_zs'!$B$2,[1]ratio_ins!$B:$B,0))*$G125*INDEX([1]ratio_ins!$C:$C,MATCH('001_population_health_zone_zs'!$B125,[1]ratio_ins!$B:$B,0))</f>
        <v>752.32591200000013</v>
      </c>
      <c r="AC125" s="12">
        <f t="shared" si="6"/>
        <v>28935.611999999997</v>
      </c>
      <c r="AD125" s="10">
        <f>INDEX([1]ratio_ins!AA:AA,MATCH('001_population_health_zone_zs'!$B$2,[1]ratio_ins!$B:$B,0))*$G125*INDEX([1]ratio_ins!$D:$D,MATCH('001_population_health_zone_zs'!$B125,[1]ratio_ins!$B:$B,0))</f>
        <v>6299.2414799999997</v>
      </c>
      <c r="AE125" s="10">
        <f>INDEX([1]ratio_ins!AB:AB,MATCH('001_population_health_zone_zs'!$B$2,[1]ratio_ins!$B:$B,0))*$G125*INDEX([1]ratio_ins!$D:$D,MATCH('001_population_health_zone_zs'!$B125,[1]ratio_ins!$B:$B,0))</f>
        <v>5189.3751240000001</v>
      </c>
      <c r="AF125" s="10">
        <f>INDEX([1]ratio_ins!AC:AC,MATCH('001_population_health_zone_zs'!$B$2,[1]ratio_ins!$B:$B,0))*$G125*INDEX([1]ratio_ins!$D:$D,MATCH('001_population_health_zone_zs'!$B125,[1]ratio_ins!$B:$B,0))</f>
        <v>4109.5051559999993</v>
      </c>
      <c r="AG125" s="10">
        <f>INDEX([1]ratio_ins!AD:AD,MATCH('001_population_health_zone_zs'!$B$2,[1]ratio_ins!$B:$B,0))*$G125*INDEX([1]ratio_ins!$D:$D,MATCH('001_population_health_zone_zs'!$B125,[1]ratio_ins!$B:$B,0))</f>
        <v>2489.7002040000002</v>
      </c>
      <c r="AH125" s="10">
        <f>INDEX([1]ratio_ins!AE:AE,MATCH('001_population_health_zone_zs'!$B$2,[1]ratio_ins!$B:$B,0))*$G125*INDEX([1]ratio_ins!$D:$D,MATCH('001_population_health_zone_zs'!$B125,[1]ratio_ins!$B:$B,0))</f>
        <v>1493.8201223999999</v>
      </c>
      <c r="AI125" s="13">
        <f>INDEX([1]ratio_ins!AF:AF,MATCH('001_population_health_zone_zs'!$B$2,[1]ratio_ins!$B:$B,0))*$G125*INDEX([1]ratio_ins!$D:$D,MATCH('001_population_health_zone_zs'!$B125,[1]ratio_ins!$B:$B,0))</f>
        <v>17091.941882400002</v>
      </c>
      <c r="AJ125" s="10">
        <f>INDEX([1]ratio_ins!AG:AG,MATCH('001_population_health_zone_zs'!$B$2,[1]ratio_ins!$B:$B,0))*$G125*INDEX([1]ratio_ins!$D:$D,MATCH('001_population_health_zone_zs'!$B125,[1]ratio_ins!$B:$B,0))</f>
        <v>995.88008160000004</v>
      </c>
      <c r="AK125" s="10">
        <f>INDEX([1]ratio_ins!AH:AH,MATCH('001_population_health_zone_zs'!$B$2,[1]ratio_ins!$B:$B,0))*$G125*INDEX([1]ratio_ins!$D:$D,MATCH('001_population_health_zone_zs'!$B125,[1]ratio_ins!$B:$B,0))</f>
        <v>2219.7327120000004</v>
      </c>
      <c r="AL125" s="10">
        <f>INDEX([1]ratio_ins!AI:AI,MATCH('001_population_health_zone_zs'!$B$2,[1]ratio_ins!$B:$B,0))*$G125*INDEX([1]ratio_ins!$D:$D,MATCH('001_population_health_zone_zs'!$B125,[1]ratio_ins!$B:$B,0))</f>
        <v>2099.7471600000003</v>
      </c>
      <c r="AM125" s="10">
        <f>INDEX([1]ratio_ins!AJ:AJ,MATCH('001_population_health_zone_zs'!$B$2,[1]ratio_ins!$B:$B,0))*$G125*INDEX([1]ratio_ins!$D:$D,MATCH('001_population_health_zone_zs'!$B125,[1]ratio_ins!$B:$B,0))</f>
        <v>1919.7688320000002</v>
      </c>
      <c r="AN125" s="10">
        <f>INDEX([1]ratio_ins!AK:AK,MATCH('001_population_health_zone_zs'!$B$2,[1]ratio_ins!$B:$B,0))*$G125*INDEX([1]ratio_ins!$D:$D,MATCH('001_population_health_zone_zs'!$B125,[1]ratio_ins!$B:$B,0))</f>
        <v>1799.7832800000001</v>
      </c>
      <c r="AO125" s="10">
        <f>INDEX([1]ratio_ins!AL:AL,MATCH('001_population_health_zone_zs'!$B$2,[1]ratio_ins!$B:$B,0))*$G125*INDEX([1]ratio_ins!$D:$D,MATCH('001_population_health_zone_zs'!$B125,[1]ratio_ins!$B:$B,0))</f>
        <v>1349.83746</v>
      </c>
      <c r="AP125" s="10">
        <f>INDEX([1]ratio_ins!AM:AM,MATCH('001_population_health_zone_zs'!$B$2,[1]ratio_ins!$B:$B,0))*$G125*INDEX([1]ratio_ins!$D:$D,MATCH('001_population_health_zone_zs'!$B125,[1]ratio_ins!$B:$B,0))</f>
        <v>869.89525199999991</v>
      </c>
      <c r="AQ125" s="10">
        <f>INDEX([1]ratio_ins!AN:AN,MATCH('001_population_health_zone_zs'!$B$2,[1]ratio_ins!$B:$B,0))*$G125*INDEX([1]ratio_ins!$D:$D,MATCH('001_population_health_zone_zs'!$B125,[1]ratio_ins!$B:$B,0))</f>
        <v>689.91692399999999</v>
      </c>
      <c r="AR125" s="10">
        <f>INDEX([1]ratio_ins!AO:AO,MATCH('001_population_health_zone_zs'!$B$2,[1]ratio_ins!$B:$B,0))*$G125*INDEX([1]ratio_ins!$D:$D,MATCH('001_population_health_zone_zs'!$B125,[1]ratio_ins!$B:$B,0))</f>
        <v>329.96026800000004</v>
      </c>
      <c r="AS125" s="13">
        <f>INDEX([1]ratio_ins!AP:AP,MATCH('001_population_health_zone_zs'!$B$2,[1]ratio_ins!$B:$B,0))*$G125*INDEX([1]ratio_ins!$D:$D,MATCH('001_population_health_zone_zs'!$B125,[1]ratio_ins!$B:$B,0))</f>
        <v>12274.5219696</v>
      </c>
      <c r="AT125" s="10">
        <f>INDEX([1]ratio_ins!AQ:AQ,MATCH('001_population_health_zone_zs'!$B$2,[1]ratio_ins!$B:$B,0))*$G125*INDEX([1]ratio_ins!$D:$D,MATCH('001_population_health_zone_zs'!$B125,[1]ratio_ins!$B:$B,0))</f>
        <v>299.96388000000002</v>
      </c>
      <c r="AU125" s="10">
        <f>INDEX([1]ratio_ins!AR:AR,MATCH('001_population_health_zone_zs'!$B$2,[1]ratio_ins!$B:$B,0))*$G125*INDEX([1]ratio_ins!$D:$D,MATCH('001_population_health_zone_zs'!$B125,[1]ratio_ins!$B:$B,0))</f>
        <v>179.978328</v>
      </c>
      <c r="AV125" s="10">
        <f>INDEX([1]ratio_ins!AS:AS,MATCH('001_population_health_zone_zs'!$B$2,[1]ratio_ins!$B:$B,0))*$G125*INDEX([1]ratio_ins!$D:$D,MATCH('001_population_health_zone_zs'!$B125,[1]ratio_ins!$B:$B,0))</f>
        <v>89.989164000000002</v>
      </c>
      <c r="AW125" s="10">
        <f>INDEX([1]ratio_ins!AT:AT,MATCH('001_population_health_zone_zs'!$B$2,[1]ratio_ins!$B:$B,0))*$G125*INDEX([1]ratio_ins!$D:$D,MATCH('001_population_health_zone_zs'!$B125,[1]ratio_ins!$B:$B,0))</f>
        <v>59.992776000000006</v>
      </c>
      <c r="AX125" s="13">
        <f>INDEX([1]ratio_ins!AU:AU,MATCH('001_population_health_zone_zs'!$B$2,[1]ratio_ins!$B:$B,0))*$G125*INDEX([1]ratio_ins!$D:$D,MATCH('001_population_health_zone_zs'!$B125,[1]ratio_ins!$B:$B,0))</f>
        <v>629.92414799999995</v>
      </c>
      <c r="AY125" s="14">
        <f t="shared" si="7"/>
        <v>29996.387999999999</v>
      </c>
      <c r="AZ125" s="15">
        <f t="shared" si="8"/>
        <v>58932</v>
      </c>
      <c r="BA125" s="16">
        <v>56866.698936888533</v>
      </c>
      <c r="BB125" s="10">
        <f t="shared" si="9"/>
        <v>12748.464900000001</v>
      </c>
      <c r="BC125" s="17">
        <f t="shared" si="10"/>
        <v>0.21632500000000002</v>
      </c>
      <c r="BD125" s="10">
        <f t="shared" si="11"/>
        <v>12066.150204</v>
      </c>
    </row>
    <row r="126" spans="1:56" x14ac:dyDescent="0.25">
      <c r="A126" s="8" t="s">
        <v>294</v>
      </c>
      <c r="B126" s="8" t="s">
        <v>295</v>
      </c>
      <c r="C126" s="8" t="s">
        <v>310</v>
      </c>
      <c r="D126" s="8" t="s">
        <v>311</v>
      </c>
      <c r="E126" s="8" t="s">
        <v>312</v>
      </c>
      <c r="F126" s="8" t="s">
        <v>313</v>
      </c>
      <c r="G126" s="9">
        <v>32575</v>
      </c>
      <c r="H126" s="10">
        <f>INDEX([1]ratio_ins!F:F,MATCH('001_population_health_zone_zs'!$B$2,[1]ratio_ins!$B:$B,0))*$G126*INDEX([1]ratio_ins!$C:$C,MATCH('001_population_health_zone_zs'!$B126,[1]ratio_ins!$B:$B,0))</f>
        <v>3342.8139249999995</v>
      </c>
      <c r="I126" s="10">
        <f>INDEX([1]ratio_ins!G:G,MATCH('001_population_health_zone_zs'!$B$2,[1]ratio_ins!$B:$B,0))*$G126*INDEX([1]ratio_ins!$C:$C,MATCH('001_population_health_zone_zs'!$B126,[1]ratio_ins!$B:$B,0))</f>
        <v>2735.0295750000005</v>
      </c>
      <c r="J126" s="10">
        <f>INDEX([1]ratio_ins!H:H,MATCH('001_population_health_zone_zs'!$B$2,[1]ratio_ins!$B:$B,0))*$G126*INDEX([1]ratio_ins!$C:$C,MATCH('001_population_health_zone_zs'!$B126,[1]ratio_ins!$B:$B,0))</f>
        <v>2159.2338749999999</v>
      </c>
      <c r="K126" s="10">
        <f>INDEX([1]ratio_ins!I:I,MATCH('001_population_health_zone_zs'!$B$2,[1]ratio_ins!$B:$B,0))*$G126*INDEX([1]ratio_ins!$C:$C,MATCH('001_population_health_zone_zs'!$B126,[1]ratio_ins!$B:$B,0))</f>
        <v>1327.5289750000002</v>
      </c>
      <c r="L126" s="10">
        <f>INDEX([1]ratio_ins!J:J,MATCH('001_population_health_zone_zs'!$B$2,[1]ratio_ins!$B:$B,0))*$G126*INDEX([1]ratio_ins!$C:$C,MATCH('001_population_health_zone_zs'!$B126,[1]ratio_ins!$B:$B,0))</f>
        <v>796.51738499999999</v>
      </c>
      <c r="M126" s="11">
        <f>INDEX([1]ratio_ins!K:K,MATCH('001_population_health_zone_zs'!$B$2,[1]ratio_ins!$B:$B,0))*$G126*INDEX([1]ratio_ins!$C:$C,MATCH('001_population_health_zone_zs'!$B126,[1]ratio_ins!$B:$B,0))</f>
        <v>9033.59476</v>
      </c>
      <c r="N126" s="10">
        <f>INDEX([1]ratio_ins!L:L,MATCH('001_population_health_zone_zs'!$B$2,[1]ratio_ins!$B:$B,0))*$G126*INDEX([1]ratio_ins!$C:$C,MATCH('001_population_health_zone_zs'!$B126,[1]ratio_ins!$B:$B,0))</f>
        <v>531.01158999999996</v>
      </c>
      <c r="O126" s="10">
        <f>INDEX([1]ratio_ins!M:M,MATCH('001_population_health_zone_zs'!$B$2,[1]ratio_ins!$B:$B,0))*$G126*INDEX([1]ratio_ins!$C:$C,MATCH('001_population_health_zone_zs'!$B126,[1]ratio_ins!$B:$B,0))</f>
        <v>1151.5914</v>
      </c>
      <c r="P126" s="10">
        <f>INDEX([1]ratio_ins!N:N,MATCH('001_population_health_zone_zs'!$B$2,[1]ratio_ins!$B:$B,0))*$G126*INDEX([1]ratio_ins!$C:$C,MATCH('001_population_health_zone_zs'!$B126,[1]ratio_ins!$B:$B,0))</f>
        <v>1039.6311249999999</v>
      </c>
      <c r="Q126" s="10">
        <f>INDEX([1]ratio_ins!O:O,MATCH('001_population_health_zone_zs'!$B$2,[1]ratio_ins!$B:$B,0))*$G126*INDEX([1]ratio_ins!$C:$C,MATCH('001_population_health_zone_zs'!$B126,[1]ratio_ins!$B:$B,0))</f>
        <v>927.67084999999997</v>
      </c>
      <c r="R126" s="10">
        <f>INDEX([1]ratio_ins!P:P,MATCH('001_population_health_zone_zs'!$B$2,[1]ratio_ins!$B:$B,0))*$G126*INDEX([1]ratio_ins!$C:$C,MATCH('001_population_health_zone_zs'!$B126,[1]ratio_ins!$B:$B,0))</f>
        <v>911.67652500000008</v>
      </c>
      <c r="S126" s="10">
        <f>INDEX([1]ratio_ins!Q:Q,MATCH('001_population_health_zone_zs'!$B$2,[1]ratio_ins!$B:$B,0))*$G126*INDEX([1]ratio_ins!$C:$C,MATCH('001_population_health_zone_zs'!$B126,[1]ratio_ins!$B:$B,0))</f>
        <v>767.72760000000005</v>
      </c>
      <c r="T126" s="10">
        <f>INDEX([1]ratio_ins!R:R,MATCH('001_population_health_zone_zs'!$B$2,[1]ratio_ins!$B:$B,0))*$G126*INDEX([1]ratio_ins!$C:$C,MATCH('001_population_health_zone_zs'!$B126,[1]ratio_ins!$B:$B,0))</f>
        <v>543.80705000000012</v>
      </c>
      <c r="U126" s="10">
        <f>INDEX([1]ratio_ins!S:S,MATCH('001_population_health_zone_zs'!$B$2,[1]ratio_ins!$B:$B,0))*$G126*INDEX([1]ratio_ins!$C:$C,MATCH('001_population_health_zone_zs'!$B126,[1]ratio_ins!$B:$B,0))</f>
        <v>431.84677500000004</v>
      </c>
      <c r="V126" s="10">
        <f>INDEX([1]ratio_ins!T:T,MATCH('001_population_health_zone_zs'!$B$2,[1]ratio_ins!$B:$B,0))*$G126*INDEX([1]ratio_ins!$C:$C,MATCH('001_population_health_zone_zs'!$B126,[1]ratio_ins!$B:$B,0))</f>
        <v>239.91487499999999</v>
      </c>
      <c r="W126" s="11">
        <f>INDEX([1]ratio_ins!U:U,MATCH('001_population_health_zone_zs'!$B$2,[1]ratio_ins!$B:$B,0))*$G126*INDEX([1]ratio_ins!$C:$C,MATCH('001_population_health_zone_zs'!$B126,[1]ratio_ins!$B:$B,0))</f>
        <v>6544.8777900000005</v>
      </c>
      <c r="X126" s="10">
        <f>INDEX([1]ratio_ins!V:V,MATCH('001_population_health_zone_zs'!$B$2,[1]ratio_ins!$B:$B,0))*$G126*INDEX([1]ratio_ins!$C:$C,MATCH('001_population_health_zone_zs'!$B126,[1]ratio_ins!$B:$B,0))</f>
        <v>191.93190000000001</v>
      </c>
      <c r="Y126" s="10">
        <f>INDEX([1]ratio_ins!W:W,MATCH('001_population_health_zone_zs'!$B$2,[1]ratio_ins!$B:$B,0))*$G126*INDEX([1]ratio_ins!$C:$C,MATCH('001_population_health_zone_zs'!$B126,[1]ratio_ins!$B:$B,0))</f>
        <v>127.95460000000001</v>
      </c>
      <c r="Z126" s="10">
        <f>INDEX([1]ratio_ins!X:X,MATCH('001_population_health_zone_zs'!$B$2,[1]ratio_ins!$B:$B,0))*$G126*INDEX([1]ratio_ins!$C:$C,MATCH('001_population_health_zone_zs'!$B126,[1]ratio_ins!$B:$B,0))</f>
        <v>63.977300000000007</v>
      </c>
      <c r="AA126" s="10">
        <f>INDEX([1]ratio_ins!Y:Y,MATCH('001_population_health_zone_zs'!$B$2,[1]ratio_ins!$B:$B,0))*$G126*INDEX([1]ratio_ins!$C:$C,MATCH('001_population_health_zone_zs'!$B126,[1]ratio_ins!$B:$B,0))</f>
        <v>31.988650000000003</v>
      </c>
      <c r="AB126" s="11">
        <f>INDEX([1]ratio_ins!Z:Z,MATCH('001_population_health_zone_zs'!$B$2,[1]ratio_ins!$B:$B,0))*$G126*INDEX([1]ratio_ins!$C:$C,MATCH('001_population_health_zone_zs'!$B126,[1]ratio_ins!$B:$B,0))</f>
        <v>415.85245000000003</v>
      </c>
      <c r="AC126" s="12">
        <f t="shared" si="6"/>
        <v>15994.325000000001</v>
      </c>
      <c r="AD126" s="10">
        <f>INDEX([1]ratio_ins!AA:AA,MATCH('001_population_health_zone_zs'!$B$2,[1]ratio_ins!$B:$B,0))*$G126*INDEX([1]ratio_ins!$D:$D,MATCH('001_population_health_zone_zs'!$B126,[1]ratio_ins!$B:$B,0))</f>
        <v>3481.94175</v>
      </c>
      <c r="AE126" s="10">
        <f>INDEX([1]ratio_ins!AB:AB,MATCH('001_population_health_zone_zs'!$B$2,[1]ratio_ins!$B:$B,0))*$G126*INDEX([1]ratio_ins!$D:$D,MATCH('001_population_health_zone_zs'!$B126,[1]ratio_ins!$B:$B,0))</f>
        <v>2868.4567750000001</v>
      </c>
      <c r="AF126" s="10">
        <f>INDEX([1]ratio_ins!AC:AC,MATCH('001_population_health_zone_zs'!$B$2,[1]ratio_ins!$B:$B,0))*$G126*INDEX([1]ratio_ins!$D:$D,MATCH('001_population_health_zone_zs'!$B126,[1]ratio_ins!$B:$B,0))</f>
        <v>2271.552475</v>
      </c>
      <c r="AG126" s="10">
        <f>INDEX([1]ratio_ins!AD:AD,MATCH('001_population_health_zone_zs'!$B$2,[1]ratio_ins!$B:$B,0))*$G126*INDEX([1]ratio_ins!$D:$D,MATCH('001_population_health_zone_zs'!$B126,[1]ratio_ins!$B:$B,0))</f>
        <v>1376.1960250000002</v>
      </c>
      <c r="AH126" s="10">
        <f>INDEX([1]ratio_ins!AE:AE,MATCH('001_population_health_zone_zs'!$B$2,[1]ratio_ins!$B:$B,0))*$G126*INDEX([1]ratio_ins!$D:$D,MATCH('001_population_health_zone_zs'!$B126,[1]ratio_ins!$B:$B,0))</f>
        <v>825.71761499999991</v>
      </c>
      <c r="AI126" s="13">
        <f>INDEX([1]ratio_ins!AF:AF,MATCH('001_population_health_zone_zs'!$B$2,[1]ratio_ins!$B:$B,0))*$G126*INDEX([1]ratio_ins!$D:$D,MATCH('001_population_health_zone_zs'!$B126,[1]ratio_ins!$B:$B,0))</f>
        <v>9447.6686150000005</v>
      </c>
      <c r="AJ126" s="10">
        <f>INDEX([1]ratio_ins!AG:AG,MATCH('001_population_health_zone_zs'!$B$2,[1]ratio_ins!$B:$B,0))*$G126*INDEX([1]ratio_ins!$D:$D,MATCH('001_population_health_zone_zs'!$B126,[1]ratio_ins!$B:$B,0))</f>
        <v>550.47841000000005</v>
      </c>
      <c r="AK126" s="10">
        <f>INDEX([1]ratio_ins!AH:AH,MATCH('001_population_health_zone_zs'!$B$2,[1]ratio_ins!$B:$B,0))*$G126*INDEX([1]ratio_ins!$D:$D,MATCH('001_population_health_zone_zs'!$B126,[1]ratio_ins!$B:$B,0))</f>
        <v>1226.9699500000002</v>
      </c>
      <c r="AL126" s="10">
        <f>INDEX([1]ratio_ins!AI:AI,MATCH('001_population_health_zone_zs'!$B$2,[1]ratio_ins!$B:$B,0))*$G126*INDEX([1]ratio_ins!$D:$D,MATCH('001_population_health_zone_zs'!$B126,[1]ratio_ins!$B:$B,0))</f>
        <v>1160.64725</v>
      </c>
      <c r="AM126" s="10">
        <f>INDEX([1]ratio_ins!AJ:AJ,MATCH('001_population_health_zone_zs'!$B$2,[1]ratio_ins!$B:$B,0))*$G126*INDEX([1]ratio_ins!$D:$D,MATCH('001_population_health_zone_zs'!$B126,[1]ratio_ins!$B:$B,0))</f>
        <v>1061.1632000000002</v>
      </c>
      <c r="AN126" s="10">
        <f>INDEX([1]ratio_ins!AK:AK,MATCH('001_population_health_zone_zs'!$B$2,[1]ratio_ins!$B:$B,0))*$G126*INDEX([1]ratio_ins!$D:$D,MATCH('001_population_health_zone_zs'!$B126,[1]ratio_ins!$B:$B,0))</f>
        <v>994.84050000000002</v>
      </c>
      <c r="AO126" s="10">
        <f>INDEX([1]ratio_ins!AL:AL,MATCH('001_population_health_zone_zs'!$B$2,[1]ratio_ins!$B:$B,0))*$G126*INDEX([1]ratio_ins!$D:$D,MATCH('001_population_health_zone_zs'!$B126,[1]ratio_ins!$B:$B,0))</f>
        <v>746.13037499999996</v>
      </c>
      <c r="AP126" s="10">
        <f>INDEX([1]ratio_ins!AM:AM,MATCH('001_population_health_zone_zs'!$B$2,[1]ratio_ins!$B:$B,0))*$G126*INDEX([1]ratio_ins!$D:$D,MATCH('001_population_health_zone_zs'!$B126,[1]ratio_ins!$B:$B,0))</f>
        <v>480.83957499999997</v>
      </c>
      <c r="AQ126" s="10">
        <f>INDEX([1]ratio_ins!AN:AN,MATCH('001_population_health_zone_zs'!$B$2,[1]ratio_ins!$B:$B,0))*$G126*INDEX([1]ratio_ins!$D:$D,MATCH('001_population_health_zone_zs'!$B126,[1]ratio_ins!$B:$B,0))</f>
        <v>381.355525</v>
      </c>
      <c r="AR126" s="10">
        <f>INDEX([1]ratio_ins!AO:AO,MATCH('001_population_health_zone_zs'!$B$2,[1]ratio_ins!$B:$B,0))*$G126*INDEX([1]ratio_ins!$D:$D,MATCH('001_population_health_zone_zs'!$B126,[1]ratio_ins!$B:$B,0))</f>
        <v>182.38742500000004</v>
      </c>
      <c r="AS126" s="13">
        <f>INDEX([1]ratio_ins!AP:AP,MATCH('001_population_health_zone_zs'!$B$2,[1]ratio_ins!$B:$B,0))*$G126*INDEX([1]ratio_ins!$D:$D,MATCH('001_population_health_zone_zs'!$B126,[1]ratio_ins!$B:$B,0))</f>
        <v>6784.8122100000001</v>
      </c>
      <c r="AT126" s="10">
        <f>INDEX([1]ratio_ins!AQ:AQ,MATCH('001_population_health_zone_zs'!$B$2,[1]ratio_ins!$B:$B,0))*$G126*INDEX([1]ratio_ins!$D:$D,MATCH('001_population_health_zone_zs'!$B126,[1]ratio_ins!$B:$B,0))</f>
        <v>165.80674999999999</v>
      </c>
      <c r="AU126" s="10">
        <f>INDEX([1]ratio_ins!AR:AR,MATCH('001_population_health_zone_zs'!$B$2,[1]ratio_ins!$B:$B,0))*$G126*INDEX([1]ratio_ins!$D:$D,MATCH('001_population_health_zone_zs'!$B126,[1]ratio_ins!$B:$B,0))</f>
        <v>99.484050000000011</v>
      </c>
      <c r="AV126" s="10">
        <f>INDEX([1]ratio_ins!AS:AS,MATCH('001_population_health_zone_zs'!$B$2,[1]ratio_ins!$B:$B,0))*$G126*INDEX([1]ratio_ins!$D:$D,MATCH('001_population_health_zone_zs'!$B126,[1]ratio_ins!$B:$B,0))</f>
        <v>49.742025000000005</v>
      </c>
      <c r="AW126" s="10">
        <f>INDEX([1]ratio_ins!AT:AT,MATCH('001_population_health_zone_zs'!$B$2,[1]ratio_ins!$B:$B,0))*$G126*INDEX([1]ratio_ins!$D:$D,MATCH('001_population_health_zone_zs'!$B126,[1]ratio_ins!$B:$B,0))</f>
        <v>33.161350000000006</v>
      </c>
      <c r="AX126" s="13">
        <f>INDEX([1]ratio_ins!AU:AU,MATCH('001_population_health_zone_zs'!$B$2,[1]ratio_ins!$B:$B,0))*$G126*INDEX([1]ratio_ins!$D:$D,MATCH('001_population_health_zone_zs'!$B126,[1]ratio_ins!$B:$B,0))</f>
        <v>348.19417499999997</v>
      </c>
      <c r="AY126" s="14">
        <f t="shared" si="7"/>
        <v>16580.674999999999</v>
      </c>
      <c r="AZ126" s="15">
        <f t="shared" si="8"/>
        <v>32575</v>
      </c>
      <c r="BA126" s="16">
        <v>31433.807767666429</v>
      </c>
      <c r="BB126" s="10">
        <f t="shared" si="9"/>
        <v>7046.7868749999998</v>
      </c>
      <c r="BC126" s="17">
        <f t="shared" si="10"/>
        <v>0.21632499999999999</v>
      </c>
      <c r="BD126" s="10">
        <f t="shared" si="11"/>
        <v>6669.6335250000002</v>
      </c>
    </row>
    <row r="127" spans="1:56" x14ac:dyDescent="0.25">
      <c r="A127" s="8" t="s">
        <v>294</v>
      </c>
      <c r="B127" s="8" t="s">
        <v>295</v>
      </c>
      <c r="C127" s="8" t="s">
        <v>310</v>
      </c>
      <c r="D127" s="8" t="s">
        <v>311</v>
      </c>
      <c r="E127" s="8" t="s">
        <v>310</v>
      </c>
      <c r="F127" s="8" t="s">
        <v>314</v>
      </c>
      <c r="G127" s="9">
        <v>128462</v>
      </c>
      <c r="H127" s="10">
        <f>INDEX([1]ratio_ins!F:F,MATCH('001_population_health_zone_zs'!$B$2,[1]ratio_ins!$B:$B,0))*$G127*INDEX([1]ratio_ins!$C:$C,MATCH('001_population_health_zone_zs'!$B127,[1]ratio_ins!$B:$B,0))</f>
        <v>13182.641977999998</v>
      </c>
      <c r="I127" s="10">
        <f>INDEX([1]ratio_ins!G:G,MATCH('001_population_health_zone_zs'!$B$2,[1]ratio_ins!$B:$B,0))*$G127*INDEX([1]ratio_ins!$C:$C,MATCH('001_population_health_zone_zs'!$B127,[1]ratio_ins!$B:$B,0))</f>
        <v>10785.797982</v>
      </c>
      <c r="J127" s="10">
        <f>INDEX([1]ratio_ins!H:H,MATCH('001_population_health_zone_zs'!$B$2,[1]ratio_ins!$B:$B,0))*$G127*INDEX([1]ratio_ins!$C:$C,MATCH('001_population_health_zone_zs'!$B127,[1]ratio_ins!$B:$B,0))</f>
        <v>8515.1036700000004</v>
      </c>
      <c r="K127" s="10">
        <f>INDEX([1]ratio_ins!I:I,MATCH('001_population_health_zone_zs'!$B$2,[1]ratio_ins!$B:$B,0))*$G127*INDEX([1]ratio_ins!$C:$C,MATCH('001_population_health_zone_zs'!$B127,[1]ratio_ins!$B:$B,0))</f>
        <v>5235.211886000001</v>
      </c>
      <c r="L127" s="10">
        <f>INDEX([1]ratio_ins!J:J,MATCH('001_population_health_zone_zs'!$B$2,[1]ratio_ins!$B:$B,0))*$G127*INDEX([1]ratio_ins!$C:$C,MATCH('001_population_health_zone_zs'!$B127,[1]ratio_ins!$B:$B,0))</f>
        <v>3141.1271315999998</v>
      </c>
      <c r="M127" s="11">
        <f>INDEX([1]ratio_ins!K:K,MATCH('001_population_health_zone_zs'!$B$2,[1]ratio_ins!$B:$B,0))*$G127*INDEX([1]ratio_ins!$C:$C,MATCH('001_population_health_zone_zs'!$B127,[1]ratio_ins!$B:$B,0))</f>
        <v>35624.670761599999</v>
      </c>
      <c r="N127" s="10">
        <f>INDEX([1]ratio_ins!L:L,MATCH('001_population_health_zone_zs'!$B$2,[1]ratio_ins!$B:$B,0))*$G127*INDEX([1]ratio_ins!$C:$C,MATCH('001_population_health_zone_zs'!$B127,[1]ratio_ins!$B:$B,0))</f>
        <v>2094.0847543999998</v>
      </c>
      <c r="O127" s="10">
        <f>INDEX([1]ratio_ins!M:M,MATCH('001_population_health_zone_zs'!$B$2,[1]ratio_ins!$B:$B,0))*$G127*INDEX([1]ratio_ins!$C:$C,MATCH('001_population_health_zone_zs'!$B127,[1]ratio_ins!$B:$B,0))</f>
        <v>4541.3886240000002</v>
      </c>
      <c r="P127" s="10">
        <f>INDEX([1]ratio_ins!N:N,MATCH('001_population_health_zone_zs'!$B$2,[1]ratio_ins!$B:$B,0))*$G127*INDEX([1]ratio_ins!$C:$C,MATCH('001_population_health_zone_zs'!$B127,[1]ratio_ins!$B:$B,0))</f>
        <v>4099.8647300000002</v>
      </c>
      <c r="Q127" s="10">
        <f>INDEX([1]ratio_ins!O:O,MATCH('001_population_health_zone_zs'!$B$2,[1]ratio_ins!$B:$B,0))*$G127*INDEX([1]ratio_ins!$C:$C,MATCH('001_population_health_zone_zs'!$B127,[1]ratio_ins!$B:$B,0))</f>
        <v>3658.3408359999999</v>
      </c>
      <c r="R127" s="10">
        <f>INDEX([1]ratio_ins!P:P,MATCH('001_population_health_zone_zs'!$B$2,[1]ratio_ins!$B:$B,0))*$G127*INDEX([1]ratio_ins!$C:$C,MATCH('001_population_health_zone_zs'!$B127,[1]ratio_ins!$B:$B,0))</f>
        <v>3595.2659939999999</v>
      </c>
      <c r="S127" s="10">
        <f>INDEX([1]ratio_ins!Q:Q,MATCH('001_population_health_zone_zs'!$B$2,[1]ratio_ins!$B:$B,0))*$G127*INDEX([1]ratio_ins!$C:$C,MATCH('001_population_health_zone_zs'!$B127,[1]ratio_ins!$B:$B,0))</f>
        <v>3027.592416</v>
      </c>
      <c r="T127" s="10">
        <f>INDEX([1]ratio_ins!R:R,MATCH('001_population_health_zone_zs'!$B$2,[1]ratio_ins!$B:$B,0))*$G127*INDEX([1]ratio_ins!$C:$C,MATCH('001_population_health_zone_zs'!$B127,[1]ratio_ins!$B:$B,0))</f>
        <v>2144.5446280000001</v>
      </c>
      <c r="U127" s="10">
        <f>INDEX([1]ratio_ins!S:S,MATCH('001_population_health_zone_zs'!$B$2,[1]ratio_ins!$B:$B,0))*$G127*INDEX([1]ratio_ins!$C:$C,MATCH('001_population_health_zone_zs'!$B127,[1]ratio_ins!$B:$B,0))</f>
        <v>1703.0207340000002</v>
      </c>
      <c r="V127" s="10">
        <f>INDEX([1]ratio_ins!T:T,MATCH('001_population_health_zone_zs'!$B$2,[1]ratio_ins!$B:$B,0))*$G127*INDEX([1]ratio_ins!$C:$C,MATCH('001_population_health_zone_zs'!$B127,[1]ratio_ins!$B:$B,0))</f>
        <v>946.12262999999996</v>
      </c>
      <c r="W127" s="11">
        <f>INDEX([1]ratio_ins!U:U,MATCH('001_population_health_zone_zs'!$B$2,[1]ratio_ins!$B:$B,0))*$G127*INDEX([1]ratio_ins!$C:$C,MATCH('001_population_health_zone_zs'!$B127,[1]ratio_ins!$B:$B,0))</f>
        <v>25810.225346399999</v>
      </c>
      <c r="X127" s="10">
        <f>INDEX([1]ratio_ins!V:V,MATCH('001_population_health_zone_zs'!$B$2,[1]ratio_ins!$B:$B,0))*$G127*INDEX([1]ratio_ins!$C:$C,MATCH('001_population_health_zone_zs'!$B127,[1]ratio_ins!$B:$B,0))</f>
        <v>756.89810399999999</v>
      </c>
      <c r="Y127" s="10">
        <f>INDEX([1]ratio_ins!W:W,MATCH('001_population_health_zone_zs'!$B$2,[1]ratio_ins!$B:$B,0))*$G127*INDEX([1]ratio_ins!$C:$C,MATCH('001_population_health_zone_zs'!$B127,[1]ratio_ins!$B:$B,0))</f>
        <v>504.59873599999997</v>
      </c>
      <c r="Z127" s="10">
        <f>INDEX([1]ratio_ins!X:X,MATCH('001_population_health_zone_zs'!$B$2,[1]ratio_ins!$B:$B,0))*$G127*INDEX([1]ratio_ins!$C:$C,MATCH('001_population_health_zone_zs'!$B127,[1]ratio_ins!$B:$B,0))</f>
        <v>252.29936799999999</v>
      </c>
      <c r="AA127" s="10">
        <f>INDEX([1]ratio_ins!Y:Y,MATCH('001_population_health_zone_zs'!$B$2,[1]ratio_ins!$B:$B,0))*$G127*INDEX([1]ratio_ins!$C:$C,MATCH('001_population_health_zone_zs'!$B127,[1]ratio_ins!$B:$B,0))</f>
        <v>126.14968399999999</v>
      </c>
      <c r="AB127" s="11">
        <f>INDEX([1]ratio_ins!Z:Z,MATCH('001_population_health_zone_zs'!$B$2,[1]ratio_ins!$B:$B,0))*$G127*INDEX([1]ratio_ins!$C:$C,MATCH('001_population_health_zone_zs'!$B127,[1]ratio_ins!$B:$B,0))</f>
        <v>1639.945892</v>
      </c>
      <c r="AC127" s="12">
        <f t="shared" si="6"/>
        <v>63074.842000000004</v>
      </c>
      <c r="AD127" s="10">
        <f>INDEX([1]ratio_ins!AA:AA,MATCH('001_population_health_zone_zs'!$B$2,[1]ratio_ins!$B:$B,0))*$G127*INDEX([1]ratio_ins!$D:$D,MATCH('001_population_health_zone_zs'!$B127,[1]ratio_ins!$B:$B,0))</f>
        <v>13731.303180000001</v>
      </c>
      <c r="AE127" s="10">
        <f>INDEX([1]ratio_ins!AB:AB,MATCH('001_population_health_zone_zs'!$B$2,[1]ratio_ins!$B:$B,0))*$G127*INDEX([1]ratio_ins!$D:$D,MATCH('001_population_health_zone_zs'!$B127,[1]ratio_ins!$B:$B,0))</f>
        <v>11311.978334000001</v>
      </c>
      <c r="AF127" s="10">
        <f>INDEX([1]ratio_ins!AC:AC,MATCH('001_population_health_zone_zs'!$B$2,[1]ratio_ins!$B:$B,0))*$G127*INDEX([1]ratio_ins!$D:$D,MATCH('001_population_health_zone_zs'!$B127,[1]ratio_ins!$B:$B,0))</f>
        <v>8958.0406459999995</v>
      </c>
      <c r="AG127" s="10">
        <f>INDEX([1]ratio_ins!AD:AD,MATCH('001_population_health_zone_zs'!$B$2,[1]ratio_ins!$B:$B,0))*$G127*INDEX([1]ratio_ins!$D:$D,MATCH('001_population_health_zone_zs'!$B127,[1]ratio_ins!$B:$B,0))</f>
        <v>5427.1341140000004</v>
      </c>
      <c r="AH127" s="10">
        <f>INDEX([1]ratio_ins!AE:AE,MATCH('001_population_health_zone_zs'!$B$2,[1]ratio_ins!$B:$B,0))*$G127*INDEX([1]ratio_ins!$D:$D,MATCH('001_population_health_zone_zs'!$B127,[1]ratio_ins!$B:$B,0))</f>
        <v>3256.2804683999998</v>
      </c>
      <c r="AI127" s="13">
        <f>INDEX([1]ratio_ins!AF:AF,MATCH('001_population_health_zone_zs'!$B$2,[1]ratio_ins!$B:$B,0))*$G127*INDEX([1]ratio_ins!$D:$D,MATCH('001_population_health_zone_zs'!$B127,[1]ratio_ins!$B:$B,0))</f>
        <v>37257.602628399996</v>
      </c>
      <c r="AJ127" s="10">
        <f>INDEX([1]ratio_ins!AG:AG,MATCH('001_population_health_zone_zs'!$B$2,[1]ratio_ins!$B:$B,0))*$G127*INDEX([1]ratio_ins!$D:$D,MATCH('001_population_health_zone_zs'!$B127,[1]ratio_ins!$B:$B,0))</f>
        <v>2170.8536456000002</v>
      </c>
      <c r="AK127" s="10">
        <f>INDEX([1]ratio_ins!AH:AH,MATCH('001_population_health_zone_zs'!$B$2,[1]ratio_ins!$B:$B,0))*$G127*INDEX([1]ratio_ins!$D:$D,MATCH('001_population_health_zone_zs'!$B127,[1]ratio_ins!$B:$B,0))</f>
        <v>4838.6496920000009</v>
      </c>
      <c r="AL127" s="10">
        <f>INDEX([1]ratio_ins!AI:AI,MATCH('001_population_health_zone_zs'!$B$2,[1]ratio_ins!$B:$B,0))*$G127*INDEX([1]ratio_ins!$D:$D,MATCH('001_population_health_zone_zs'!$B127,[1]ratio_ins!$B:$B,0))</f>
        <v>4577.10106</v>
      </c>
      <c r="AM127" s="10">
        <f>INDEX([1]ratio_ins!AJ:AJ,MATCH('001_population_health_zone_zs'!$B$2,[1]ratio_ins!$B:$B,0))*$G127*INDEX([1]ratio_ins!$D:$D,MATCH('001_population_health_zone_zs'!$B127,[1]ratio_ins!$B:$B,0))</f>
        <v>4184.778112</v>
      </c>
      <c r="AN127" s="10">
        <f>INDEX([1]ratio_ins!AK:AK,MATCH('001_population_health_zone_zs'!$B$2,[1]ratio_ins!$B:$B,0))*$G127*INDEX([1]ratio_ins!$D:$D,MATCH('001_population_health_zone_zs'!$B127,[1]ratio_ins!$B:$B,0))</f>
        <v>3923.2294799999995</v>
      </c>
      <c r="AO127" s="10">
        <f>INDEX([1]ratio_ins!AL:AL,MATCH('001_population_health_zone_zs'!$B$2,[1]ratio_ins!$B:$B,0))*$G127*INDEX([1]ratio_ins!$D:$D,MATCH('001_population_health_zone_zs'!$B127,[1]ratio_ins!$B:$B,0))</f>
        <v>2942.42211</v>
      </c>
      <c r="AP127" s="10">
        <f>INDEX([1]ratio_ins!AM:AM,MATCH('001_population_health_zone_zs'!$B$2,[1]ratio_ins!$B:$B,0))*$G127*INDEX([1]ratio_ins!$D:$D,MATCH('001_population_health_zone_zs'!$B127,[1]ratio_ins!$B:$B,0))</f>
        <v>1896.2275819999998</v>
      </c>
      <c r="AQ127" s="10">
        <f>INDEX([1]ratio_ins!AN:AN,MATCH('001_population_health_zone_zs'!$B$2,[1]ratio_ins!$B:$B,0))*$G127*INDEX([1]ratio_ins!$D:$D,MATCH('001_population_health_zone_zs'!$B127,[1]ratio_ins!$B:$B,0))</f>
        <v>1503.904634</v>
      </c>
      <c r="AR127" s="10">
        <f>INDEX([1]ratio_ins!AO:AO,MATCH('001_population_health_zone_zs'!$B$2,[1]ratio_ins!$B:$B,0))*$G127*INDEX([1]ratio_ins!$D:$D,MATCH('001_population_health_zone_zs'!$B127,[1]ratio_ins!$B:$B,0))</f>
        <v>719.25873800000011</v>
      </c>
      <c r="AS127" s="13">
        <f>INDEX([1]ratio_ins!AP:AP,MATCH('001_population_health_zone_zs'!$B$2,[1]ratio_ins!$B:$B,0))*$G127*INDEX([1]ratio_ins!$D:$D,MATCH('001_population_health_zone_zs'!$B127,[1]ratio_ins!$B:$B,0))</f>
        <v>26756.4250536</v>
      </c>
      <c r="AT127" s="10">
        <f>INDEX([1]ratio_ins!AQ:AQ,MATCH('001_population_health_zone_zs'!$B$2,[1]ratio_ins!$B:$B,0))*$G127*INDEX([1]ratio_ins!$D:$D,MATCH('001_population_health_zone_zs'!$B127,[1]ratio_ins!$B:$B,0))</f>
        <v>653.87158000000011</v>
      </c>
      <c r="AU127" s="10">
        <f>INDEX([1]ratio_ins!AR:AR,MATCH('001_population_health_zone_zs'!$B$2,[1]ratio_ins!$B:$B,0))*$G127*INDEX([1]ratio_ins!$D:$D,MATCH('001_population_health_zone_zs'!$B127,[1]ratio_ins!$B:$B,0))</f>
        <v>392.32294800000005</v>
      </c>
      <c r="AV127" s="10">
        <f>INDEX([1]ratio_ins!AS:AS,MATCH('001_population_health_zone_zs'!$B$2,[1]ratio_ins!$B:$B,0))*$G127*INDEX([1]ratio_ins!$D:$D,MATCH('001_population_health_zone_zs'!$B127,[1]ratio_ins!$B:$B,0))</f>
        <v>196.16147400000003</v>
      </c>
      <c r="AW127" s="10">
        <f>INDEX([1]ratio_ins!AT:AT,MATCH('001_population_health_zone_zs'!$B$2,[1]ratio_ins!$B:$B,0))*$G127*INDEX([1]ratio_ins!$D:$D,MATCH('001_population_health_zone_zs'!$B127,[1]ratio_ins!$B:$B,0))</f>
        <v>130.774316</v>
      </c>
      <c r="AX127" s="13">
        <f>INDEX([1]ratio_ins!AU:AU,MATCH('001_population_health_zone_zs'!$B$2,[1]ratio_ins!$B:$B,0))*$G127*INDEX([1]ratio_ins!$D:$D,MATCH('001_population_health_zone_zs'!$B127,[1]ratio_ins!$B:$B,0))</f>
        <v>1373.130318</v>
      </c>
      <c r="AY127" s="14">
        <f t="shared" si="7"/>
        <v>65387.158000000003</v>
      </c>
      <c r="AZ127" s="15">
        <f t="shared" si="8"/>
        <v>128462</v>
      </c>
      <c r="BA127" s="16">
        <v>123959.55063574982</v>
      </c>
      <c r="BB127" s="10">
        <f t="shared" si="9"/>
        <v>27789.542149999997</v>
      </c>
      <c r="BC127" s="17">
        <f t="shared" si="10"/>
        <v>0.21632499999999999</v>
      </c>
      <c r="BD127" s="10">
        <f t="shared" si="11"/>
        <v>26302.209114000001</v>
      </c>
    </row>
    <row r="128" spans="1:56" x14ac:dyDescent="0.25">
      <c r="A128" s="8" t="s">
        <v>294</v>
      </c>
      <c r="B128" s="8" t="s">
        <v>295</v>
      </c>
      <c r="C128" s="8" t="s">
        <v>315</v>
      </c>
      <c r="D128" s="8" t="s">
        <v>316</v>
      </c>
      <c r="E128" s="8" t="s">
        <v>315</v>
      </c>
      <c r="F128" s="8" t="s">
        <v>317</v>
      </c>
      <c r="G128" s="9">
        <v>98792</v>
      </c>
      <c r="H128" s="10">
        <f>INDEX([1]ratio_ins!F:F,MATCH('001_population_health_zone_zs'!$B$2,[1]ratio_ins!$B:$B,0))*$G128*INDEX([1]ratio_ins!$C:$C,MATCH('001_population_health_zone_zs'!$B128,[1]ratio_ins!$B:$B,0))</f>
        <v>10137.936247999998</v>
      </c>
      <c r="I128" s="10">
        <f>INDEX([1]ratio_ins!G:G,MATCH('001_population_health_zone_zs'!$B$2,[1]ratio_ins!$B:$B,0))*$G128*INDEX([1]ratio_ins!$C:$C,MATCH('001_population_health_zone_zs'!$B128,[1]ratio_ins!$B:$B,0))</f>
        <v>8294.6751120000008</v>
      </c>
      <c r="J128" s="10">
        <f>INDEX([1]ratio_ins!H:H,MATCH('001_population_health_zone_zs'!$B$2,[1]ratio_ins!$B:$B,0))*$G128*INDEX([1]ratio_ins!$C:$C,MATCH('001_population_health_zone_zs'!$B128,[1]ratio_ins!$B:$B,0))</f>
        <v>6548.4277199999997</v>
      </c>
      <c r="K128" s="10">
        <f>INDEX([1]ratio_ins!I:I,MATCH('001_population_health_zone_zs'!$B$2,[1]ratio_ins!$B:$B,0))*$G128*INDEX([1]ratio_ins!$C:$C,MATCH('001_population_health_zone_zs'!$B128,[1]ratio_ins!$B:$B,0))</f>
        <v>4026.0703760000001</v>
      </c>
      <c r="L128" s="10">
        <f>INDEX([1]ratio_ins!J:J,MATCH('001_population_health_zone_zs'!$B$2,[1]ratio_ins!$B:$B,0))*$G128*INDEX([1]ratio_ins!$C:$C,MATCH('001_population_health_zone_zs'!$B128,[1]ratio_ins!$B:$B,0))</f>
        <v>2415.6422255999996</v>
      </c>
      <c r="M128" s="11">
        <f>INDEX([1]ratio_ins!K:K,MATCH('001_population_health_zone_zs'!$B$2,[1]ratio_ins!$B:$B,0))*$G128*INDEX([1]ratio_ins!$C:$C,MATCH('001_population_health_zone_zs'!$B128,[1]ratio_ins!$B:$B,0))</f>
        <v>27396.681305599999</v>
      </c>
      <c r="N128" s="10">
        <f>INDEX([1]ratio_ins!L:L,MATCH('001_population_health_zone_zs'!$B$2,[1]ratio_ins!$B:$B,0))*$G128*INDEX([1]ratio_ins!$C:$C,MATCH('001_population_health_zone_zs'!$B128,[1]ratio_ins!$B:$B,0))</f>
        <v>1610.4281504</v>
      </c>
      <c r="O128" s="10">
        <f>INDEX([1]ratio_ins!M:M,MATCH('001_population_health_zone_zs'!$B$2,[1]ratio_ins!$B:$B,0))*$G128*INDEX([1]ratio_ins!$C:$C,MATCH('001_population_health_zone_zs'!$B128,[1]ratio_ins!$B:$B,0))</f>
        <v>3492.4947840000004</v>
      </c>
      <c r="P128" s="10">
        <f>INDEX([1]ratio_ins!N:N,MATCH('001_population_health_zone_zs'!$B$2,[1]ratio_ins!$B:$B,0))*$G128*INDEX([1]ratio_ins!$C:$C,MATCH('001_population_health_zone_zs'!$B128,[1]ratio_ins!$B:$B,0))</f>
        <v>3152.94668</v>
      </c>
      <c r="Q128" s="10">
        <f>INDEX([1]ratio_ins!O:O,MATCH('001_population_health_zone_zs'!$B$2,[1]ratio_ins!$B:$B,0))*$G128*INDEX([1]ratio_ins!$C:$C,MATCH('001_population_health_zone_zs'!$B128,[1]ratio_ins!$B:$B,0))</f>
        <v>2813.3985759999996</v>
      </c>
      <c r="R128" s="10">
        <f>INDEX([1]ratio_ins!P:P,MATCH('001_population_health_zone_zs'!$B$2,[1]ratio_ins!$B:$B,0))*$G128*INDEX([1]ratio_ins!$C:$C,MATCH('001_population_health_zone_zs'!$B128,[1]ratio_ins!$B:$B,0))</f>
        <v>2764.8917040000001</v>
      </c>
      <c r="S128" s="10">
        <f>INDEX([1]ratio_ins!Q:Q,MATCH('001_population_health_zone_zs'!$B$2,[1]ratio_ins!$B:$B,0))*$G128*INDEX([1]ratio_ins!$C:$C,MATCH('001_population_health_zone_zs'!$B128,[1]ratio_ins!$B:$B,0))</f>
        <v>2328.3298560000003</v>
      </c>
      <c r="T128" s="10">
        <f>INDEX([1]ratio_ins!R:R,MATCH('001_population_health_zone_zs'!$B$2,[1]ratio_ins!$B:$B,0))*$G128*INDEX([1]ratio_ins!$C:$C,MATCH('001_population_health_zone_zs'!$B128,[1]ratio_ins!$B:$B,0))</f>
        <v>1649.2336480000001</v>
      </c>
      <c r="U128" s="10">
        <f>INDEX([1]ratio_ins!S:S,MATCH('001_population_health_zone_zs'!$B$2,[1]ratio_ins!$B:$B,0))*$G128*INDEX([1]ratio_ins!$C:$C,MATCH('001_population_health_zone_zs'!$B128,[1]ratio_ins!$B:$B,0))</f>
        <v>1309.6855440000002</v>
      </c>
      <c r="V128" s="10">
        <f>INDEX([1]ratio_ins!T:T,MATCH('001_population_health_zone_zs'!$B$2,[1]ratio_ins!$B:$B,0))*$G128*INDEX([1]ratio_ins!$C:$C,MATCH('001_population_health_zone_zs'!$B128,[1]ratio_ins!$B:$B,0))</f>
        <v>727.60307999999998</v>
      </c>
      <c r="W128" s="11">
        <f>INDEX([1]ratio_ins!U:U,MATCH('001_population_health_zone_zs'!$B$2,[1]ratio_ins!$B:$B,0))*$G128*INDEX([1]ratio_ins!$C:$C,MATCH('001_population_health_zone_zs'!$B128,[1]ratio_ins!$B:$B,0))</f>
        <v>19849.012022399998</v>
      </c>
      <c r="X128" s="10">
        <f>INDEX([1]ratio_ins!V:V,MATCH('001_population_health_zone_zs'!$B$2,[1]ratio_ins!$B:$B,0))*$G128*INDEX([1]ratio_ins!$C:$C,MATCH('001_population_health_zone_zs'!$B128,[1]ratio_ins!$B:$B,0))</f>
        <v>582.08246400000007</v>
      </c>
      <c r="Y128" s="10">
        <f>INDEX([1]ratio_ins!W:W,MATCH('001_population_health_zone_zs'!$B$2,[1]ratio_ins!$B:$B,0))*$G128*INDEX([1]ratio_ins!$C:$C,MATCH('001_population_health_zone_zs'!$B128,[1]ratio_ins!$B:$B,0))</f>
        <v>388.05497600000001</v>
      </c>
      <c r="Z128" s="10">
        <f>INDEX([1]ratio_ins!X:X,MATCH('001_population_health_zone_zs'!$B$2,[1]ratio_ins!$B:$B,0))*$G128*INDEX([1]ratio_ins!$C:$C,MATCH('001_population_health_zone_zs'!$B128,[1]ratio_ins!$B:$B,0))</f>
        <v>194.02748800000001</v>
      </c>
      <c r="AA128" s="10">
        <f>INDEX([1]ratio_ins!Y:Y,MATCH('001_population_health_zone_zs'!$B$2,[1]ratio_ins!$B:$B,0))*$G128*INDEX([1]ratio_ins!$C:$C,MATCH('001_population_health_zone_zs'!$B128,[1]ratio_ins!$B:$B,0))</f>
        <v>97.013744000000003</v>
      </c>
      <c r="AB128" s="11">
        <f>INDEX([1]ratio_ins!Z:Z,MATCH('001_population_health_zone_zs'!$B$2,[1]ratio_ins!$B:$B,0))*$G128*INDEX([1]ratio_ins!$C:$C,MATCH('001_population_health_zone_zs'!$B128,[1]ratio_ins!$B:$B,0))</f>
        <v>1261.178672</v>
      </c>
      <c r="AC128" s="12">
        <f t="shared" si="6"/>
        <v>48506.871999999996</v>
      </c>
      <c r="AD128" s="10">
        <f>INDEX([1]ratio_ins!AA:AA,MATCH('001_population_health_zone_zs'!$B$2,[1]ratio_ins!$B:$B,0))*$G128*INDEX([1]ratio_ins!$D:$D,MATCH('001_population_health_zone_zs'!$B128,[1]ratio_ins!$B:$B,0))</f>
        <v>10559.87688</v>
      </c>
      <c r="AE128" s="10">
        <f>INDEX([1]ratio_ins!AB:AB,MATCH('001_population_health_zone_zs'!$B$2,[1]ratio_ins!$B:$B,0))*$G128*INDEX([1]ratio_ins!$D:$D,MATCH('001_population_health_zone_zs'!$B128,[1]ratio_ins!$B:$B,0))</f>
        <v>8699.3271440000026</v>
      </c>
      <c r="AF128" s="10">
        <f>INDEX([1]ratio_ins!AC:AC,MATCH('001_population_health_zone_zs'!$B$2,[1]ratio_ins!$B:$B,0))*$G128*INDEX([1]ratio_ins!$D:$D,MATCH('001_population_health_zone_zs'!$B128,[1]ratio_ins!$B:$B,0))</f>
        <v>6889.0625359999995</v>
      </c>
      <c r="AG128" s="10">
        <f>INDEX([1]ratio_ins!AD:AD,MATCH('001_population_health_zone_zs'!$B$2,[1]ratio_ins!$B:$B,0))*$G128*INDEX([1]ratio_ins!$D:$D,MATCH('001_population_health_zone_zs'!$B128,[1]ratio_ins!$B:$B,0))</f>
        <v>4173.6656240000002</v>
      </c>
      <c r="AH128" s="10">
        <f>INDEX([1]ratio_ins!AE:AE,MATCH('001_population_health_zone_zs'!$B$2,[1]ratio_ins!$B:$B,0))*$G128*INDEX([1]ratio_ins!$D:$D,MATCH('001_population_health_zone_zs'!$B128,[1]ratio_ins!$B:$B,0))</f>
        <v>2504.1993744000001</v>
      </c>
      <c r="AI128" s="13">
        <f>INDEX([1]ratio_ins!AF:AF,MATCH('001_population_health_zone_zs'!$B$2,[1]ratio_ins!$B:$B,0))*$G128*INDEX([1]ratio_ins!$D:$D,MATCH('001_population_health_zone_zs'!$B128,[1]ratio_ins!$B:$B,0))</f>
        <v>28652.465934399999</v>
      </c>
      <c r="AJ128" s="10">
        <f>INDEX([1]ratio_ins!AG:AG,MATCH('001_population_health_zone_zs'!$B$2,[1]ratio_ins!$B:$B,0))*$G128*INDEX([1]ratio_ins!$D:$D,MATCH('001_population_health_zone_zs'!$B128,[1]ratio_ins!$B:$B,0))</f>
        <v>1669.4662496000001</v>
      </c>
      <c r="AK128" s="10">
        <f>INDEX([1]ratio_ins!AH:AH,MATCH('001_population_health_zone_zs'!$B$2,[1]ratio_ins!$B:$B,0))*$G128*INDEX([1]ratio_ins!$D:$D,MATCH('001_population_health_zone_zs'!$B128,[1]ratio_ins!$B:$B,0))</f>
        <v>3721.0994720000008</v>
      </c>
      <c r="AL128" s="10">
        <f>INDEX([1]ratio_ins!AI:AI,MATCH('001_population_health_zone_zs'!$B$2,[1]ratio_ins!$B:$B,0))*$G128*INDEX([1]ratio_ins!$D:$D,MATCH('001_population_health_zone_zs'!$B128,[1]ratio_ins!$B:$B,0))</f>
        <v>3519.9589600000004</v>
      </c>
      <c r="AM128" s="10">
        <f>INDEX([1]ratio_ins!AJ:AJ,MATCH('001_population_health_zone_zs'!$B$2,[1]ratio_ins!$B:$B,0))*$G128*INDEX([1]ratio_ins!$D:$D,MATCH('001_population_health_zone_zs'!$B128,[1]ratio_ins!$B:$B,0))</f>
        <v>3218.248192</v>
      </c>
      <c r="AN128" s="10">
        <f>INDEX([1]ratio_ins!AK:AK,MATCH('001_population_health_zone_zs'!$B$2,[1]ratio_ins!$B:$B,0))*$G128*INDEX([1]ratio_ins!$D:$D,MATCH('001_population_health_zone_zs'!$B128,[1]ratio_ins!$B:$B,0))</f>
        <v>3017.1076799999996</v>
      </c>
      <c r="AO128" s="10">
        <f>INDEX([1]ratio_ins!AL:AL,MATCH('001_population_health_zone_zs'!$B$2,[1]ratio_ins!$B:$B,0))*$G128*INDEX([1]ratio_ins!$D:$D,MATCH('001_population_health_zone_zs'!$B128,[1]ratio_ins!$B:$B,0))</f>
        <v>2262.8307599999998</v>
      </c>
      <c r="AP128" s="10">
        <f>INDEX([1]ratio_ins!AM:AM,MATCH('001_population_health_zone_zs'!$B$2,[1]ratio_ins!$B:$B,0))*$G128*INDEX([1]ratio_ins!$D:$D,MATCH('001_population_health_zone_zs'!$B128,[1]ratio_ins!$B:$B,0))</f>
        <v>1458.2687120000001</v>
      </c>
      <c r="AQ128" s="10">
        <f>INDEX([1]ratio_ins!AN:AN,MATCH('001_population_health_zone_zs'!$B$2,[1]ratio_ins!$B:$B,0))*$G128*INDEX([1]ratio_ins!$D:$D,MATCH('001_population_health_zone_zs'!$B128,[1]ratio_ins!$B:$B,0))</f>
        <v>1156.5579439999999</v>
      </c>
      <c r="AR128" s="10">
        <f>INDEX([1]ratio_ins!AO:AO,MATCH('001_population_health_zone_zs'!$B$2,[1]ratio_ins!$B:$B,0))*$G128*INDEX([1]ratio_ins!$D:$D,MATCH('001_population_health_zone_zs'!$B128,[1]ratio_ins!$B:$B,0))</f>
        <v>553.13640800000007</v>
      </c>
      <c r="AS128" s="13">
        <f>INDEX([1]ratio_ins!AP:AP,MATCH('001_population_health_zone_zs'!$B$2,[1]ratio_ins!$B:$B,0))*$G128*INDEX([1]ratio_ins!$D:$D,MATCH('001_population_health_zone_zs'!$B128,[1]ratio_ins!$B:$B,0))</f>
        <v>20576.6743776</v>
      </c>
      <c r="AT128" s="10">
        <f>INDEX([1]ratio_ins!AQ:AQ,MATCH('001_population_health_zone_zs'!$B$2,[1]ratio_ins!$B:$B,0))*$G128*INDEX([1]ratio_ins!$D:$D,MATCH('001_population_health_zone_zs'!$B128,[1]ratio_ins!$B:$B,0))</f>
        <v>502.85128000000003</v>
      </c>
      <c r="AU128" s="10">
        <f>INDEX([1]ratio_ins!AR:AR,MATCH('001_population_health_zone_zs'!$B$2,[1]ratio_ins!$B:$B,0))*$G128*INDEX([1]ratio_ins!$D:$D,MATCH('001_population_health_zone_zs'!$B128,[1]ratio_ins!$B:$B,0))</f>
        <v>301.71076800000003</v>
      </c>
      <c r="AV128" s="10">
        <f>INDEX([1]ratio_ins!AS:AS,MATCH('001_population_health_zone_zs'!$B$2,[1]ratio_ins!$B:$B,0))*$G128*INDEX([1]ratio_ins!$D:$D,MATCH('001_population_health_zone_zs'!$B128,[1]ratio_ins!$B:$B,0))</f>
        <v>150.85538400000002</v>
      </c>
      <c r="AW128" s="10">
        <f>INDEX([1]ratio_ins!AT:AT,MATCH('001_population_health_zone_zs'!$B$2,[1]ratio_ins!$B:$B,0))*$G128*INDEX([1]ratio_ins!$D:$D,MATCH('001_population_health_zone_zs'!$B128,[1]ratio_ins!$B:$B,0))</f>
        <v>100.570256</v>
      </c>
      <c r="AX128" s="13">
        <f>INDEX([1]ratio_ins!AU:AU,MATCH('001_population_health_zone_zs'!$B$2,[1]ratio_ins!$B:$B,0))*$G128*INDEX([1]ratio_ins!$D:$D,MATCH('001_population_health_zone_zs'!$B128,[1]ratio_ins!$B:$B,0))</f>
        <v>1055.9876879999997</v>
      </c>
      <c r="AY128" s="14">
        <f t="shared" si="7"/>
        <v>50285.128000000004</v>
      </c>
      <c r="AZ128" s="15">
        <f t="shared" si="8"/>
        <v>98792</v>
      </c>
      <c r="BA128" s="16">
        <v>95329.368666265364</v>
      </c>
      <c r="BB128" s="10">
        <f t="shared" si="9"/>
        <v>21371.179400000005</v>
      </c>
      <c r="BC128" s="17">
        <f t="shared" si="10"/>
        <v>0.21632500000000005</v>
      </c>
      <c r="BD128" s="10">
        <f t="shared" si="11"/>
        <v>20227.365623999998</v>
      </c>
    </row>
    <row r="129" spans="1:56" x14ac:dyDescent="0.25">
      <c r="A129" s="8" t="s">
        <v>294</v>
      </c>
      <c r="B129" s="8" t="s">
        <v>295</v>
      </c>
      <c r="C129" s="8" t="s">
        <v>315</v>
      </c>
      <c r="D129" s="8" t="s">
        <v>316</v>
      </c>
      <c r="E129" s="8" t="s">
        <v>318</v>
      </c>
      <c r="F129" s="8" t="s">
        <v>319</v>
      </c>
      <c r="G129" s="9">
        <v>74135</v>
      </c>
      <c r="H129" s="10">
        <f>INDEX([1]ratio_ins!F:F,MATCH('001_population_health_zone_zs'!$B$2,[1]ratio_ins!$B:$B,0))*$G129*INDEX([1]ratio_ins!$C:$C,MATCH('001_population_health_zone_zs'!$B129,[1]ratio_ins!$B:$B,0))</f>
        <v>7607.6595649999999</v>
      </c>
      <c r="I129" s="10">
        <f>INDEX([1]ratio_ins!G:G,MATCH('001_population_health_zone_zs'!$B$2,[1]ratio_ins!$B:$B,0))*$G129*INDEX([1]ratio_ins!$C:$C,MATCH('001_population_health_zone_zs'!$B129,[1]ratio_ins!$B:$B,0))</f>
        <v>6224.4487349999999</v>
      </c>
      <c r="J129" s="10">
        <f>INDEX([1]ratio_ins!H:H,MATCH('001_population_health_zone_zs'!$B$2,[1]ratio_ins!$B:$B,0))*$G129*INDEX([1]ratio_ins!$C:$C,MATCH('001_population_health_zone_zs'!$B129,[1]ratio_ins!$B:$B,0))</f>
        <v>4914.0384750000003</v>
      </c>
      <c r="K129" s="10">
        <f>INDEX([1]ratio_ins!I:I,MATCH('001_population_health_zone_zs'!$B$2,[1]ratio_ins!$B:$B,0))*$G129*INDEX([1]ratio_ins!$C:$C,MATCH('001_population_health_zone_zs'!$B129,[1]ratio_ins!$B:$B,0))</f>
        <v>3021.2236549999998</v>
      </c>
      <c r="L129" s="10">
        <f>INDEX([1]ratio_ins!J:J,MATCH('001_population_health_zone_zs'!$B$2,[1]ratio_ins!$B:$B,0))*$G129*INDEX([1]ratio_ins!$C:$C,MATCH('001_population_health_zone_zs'!$B129,[1]ratio_ins!$B:$B,0))</f>
        <v>1812.7341929999998</v>
      </c>
      <c r="M129" s="11">
        <f>INDEX([1]ratio_ins!K:K,MATCH('001_population_health_zone_zs'!$B$2,[1]ratio_ins!$B:$B,0))*$G129*INDEX([1]ratio_ins!$C:$C,MATCH('001_population_health_zone_zs'!$B129,[1]ratio_ins!$B:$B,0))</f>
        <v>20558.880967999998</v>
      </c>
      <c r="N129" s="10">
        <f>INDEX([1]ratio_ins!L:L,MATCH('001_population_health_zone_zs'!$B$2,[1]ratio_ins!$B:$B,0))*$G129*INDEX([1]ratio_ins!$C:$C,MATCH('001_population_health_zone_zs'!$B129,[1]ratio_ins!$B:$B,0))</f>
        <v>1208.489462</v>
      </c>
      <c r="O129" s="10">
        <f>INDEX([1]ratio_ins!M:M,MATCH('001_population_health_zone_zs'!$B$2,[1]ratio_ins!$B:$B,0))*$G129*INDEX([1]ratio_ins!$C:$C,MATCH('001_population_health_zone_zs'!$B129,[1]ratio_ins!$B:$B,0))</f>
        <v>2620.8205200000002</v>
      </c>
      <c r="P129" s="10">
        <f>INDEX([1]ratio_ins!N:N,MATCH('001_population_health_zone_zs'!$B$2,[1]ratio_ins!$B:$B,0))*$G129*INDEX([1]ratio_ins!$C:$C,MATCH('001_population_health_zone_zs'!$B129,[1]ratio_ins!$B:$B,0))</f>
        <v>2366.0185250000004</v>
      </c>
      <c r="Q129" s="10">
        <f>INDEX([1]ratio_ins!O:O,MATCH('001_population_health_zone_zs'!$B$2,[1]ratio_ins!$B:$B,0))*$G129*INDEX([1]ratio_ins!$C:$C,MATCH('001_population_health_zone_zs'!$B129,[1]ratio_ins!$B:$B,0))</f>
        <v>2111.2165300000001</v>
      </c>
      <c r="R129" s="10">
        <f>INDEX([1]ratio_ins!P:P,MATCH('001_population_health_zone_zs'!$B$2,[1]ratio_ins!$B:$B,0))*$G129*INDEX([1]ratio_ins!$C:$C,MATCH('001_population_health_zone_zs'!$B129,[1]ratio_ins!$B:$B,0))</f>
        <v>2074.816245</v>
      </c>
      <c r="S129" s="10">
        <f>INDEX([1]ratio_ins!Q:Q,MATCH('001_population_health_zone_zs'!$B$2,[1]ratio_ins!$B:$B,0))*$G129*INDEX([1]ratio_ins!$C:$C,MATCH('001_population_health_zone_zs'!$B129,[1]ratio_ins!$B:$B,0))</f>
        <v>1747.2136800000001</v>
      </c>
      <c r="T129" s="10">
        <f>INDEX([1]ratio_ins!R:R,MATCH('001_population_health_zone_zs'!$B$2,[1]ratio_ins!$B:$B,0))*$G129*INDEX([1]ratio_ins!$C:$C,MATCH('001_population_health_zone_zs'!$B129,[1]ratio_ins!$B:$B,0))</f>
        <v>1237.60969</v>
      </c>
      <c r="U129" s="10">
        <f>INDEX([1]ratio_ins!S:S,MATCH('001_population_health_zone_zs'!$B$2,[1]ratio_ins!$B:$B,0))*$G129*INDEX([1]ratio_ins!$C:$C,MATCH('001_population_health_zone_zs'!$B129,[1]ratio_ins!$B:$B,0))</f>
        <v>982.80769500000008</v>
      </c>
      <c r="V129" s="10">
        <f>INDEX([1]ratio_ins!T:T,MATCH('001_population_health_zone_zs'!$B$2,[1]ratio_ins!$B:$B,0))*$G129*INDEX([1]ratio_ins!$C:$C,MATCH('001_population_health_zone_zs'!$B129,[1]ratio_ins!$B:$B,0))</f>
        <v>546.00427499999989</v>
      </c>
      <c r="W129" s="11">
        <f>INDEX([1]ratio_ins!U:U,MATCH('001_population_health_zone_zs'!$B$2,[1]ratio_ins!$B:$B,0))*$G129*INDEX([1]ratio_ins!$C:$C,MATCH('001_population_health_zone_zs'!$B129,[1]ratio_ins!$B:$B,0))</f>
        <v>14894.996622000001</v>
      </c>
      <c r="X129" s="10">
        <f>INDEX([1]ratio_ins!V:V,MATCH('001_population_health_zone_zs'!$B$2,[1]ratio_ins!$B:$B,0))*$G129*INDEX([1]ratio_ins!$C:$C,MATCH('001_population_health_zone_zs'!$B129,[1]ratio_ins!$B:$B,0))</f>
        <v>436.80342000000002</v>
      </c>
      <c r="Y129" s="10">
        <f>INDEX([1]ratio_ins!W:W,MATCH('001_population_health_zone_zs'!$B$2,[1]ratio_ins!$B:$B,0))*$G129*INDEX([1]ratio_ins!$C:$C,MATCH('001_population_health_zone_zs'!$B129,[1]ratio_ins!$B:$B,0))</f>
        <v>291.20228000000003</v>
      </c>
      <c r="Z129" s="10">
        <f>INDEX([1]ratio_ins!X:X,MATCH('001_population_health_zone_zs'!$B$2,[1]ratio_ins!$B:$B,0))*$G129*INDEX([1]ratio_ins!$C:$C,MATCH('001_population_health_zone_zs'!$B129,[1]ratio_ins!$B:$B,0))</f>
        <v>145.60114000000002</v>
      </c>
      <c r="AA129" s="10">
        <f>INDEX([1]ratio_ins!Y:Y,MATCH('001_population_health_zone_zs'!$B$2,[1]ratio_ins!$B:$B,0))*$G129*INDEX([1]ratio_ins!$C:$C,MATCH('001_population_health_zone_zs'!$B129,[1]ratio_ins!$B:$B,0))</f>
        <v>72.800570000000008</v>
      </c>
      <c r="AB129" s="11">
        <f>INDEX([1]ratio_ins!Z:Z,MATCH('001_population_health_zone_zs'!$B$2,[1]ratio_ins!$B:$B,0))*$G129*INDEX([1]ratio_ins!$C:$C,MATCH('001_population_health_zone_zs'!$B129,[1]ratio_ins!$B:$B,0))</f>
        <v>946.40741000000014</v>
      </c>
      <c r="AC129" s="12">
        <f t="shared" si="6"/>
        <v>36400.284999999996</v>
      </c>
      <c r="AD129" s="10">
        <f>INDEX([1]ratio_ins!AA:AA,MATCH('001_population_health_zone_zs'!$B$2,[1]ratio_ins!$B:$B,0))*$G129*INDEX([1]ratio_ins!$D:$D,MATCH('001_population_health_zone_zs'!$B129,[1]ratio_ins!$B:$B,0))</f>
        <v>7924.2901499999998</v>
      </c>
      <c r="AE129" s="10">
        <f>INDEX([1]ratio_ins!AB:AB,MATCH('001_population_health_zone_zs'!$B$2,[1]ratio_ins!$B:$B,0))*$G129*INDEX([1]ratio_ins!$D:$D,MATCH('001_population_health_zone_zs'!$B129,[1]ratio_ins!$B:$B,0))</f>
        <v>6528.1056950000011</v>
      </c>
      <c r="AF129" s="10">
        <f>INDEX([1]ratio_ins!AC:AC,MATCH('001_population_health_zone_zs'!$B$2,[1]ratio_ins!$B:$B,0))*$G129*INDEX([1]ratio_ins!$D:$D,MATCH('001_population_health_zone_zs'!$B129,[1]ratio_ins!$B:$B,0))</f>
        <v>5169.6559549999993</v>
      </c>
      <c r="AG129" s="10">
        <f>INDEX([1]ratio_ins!AD:AD,MATCH('001_population_health_zone_zs'!$B$2,[1]ratio_ins!$B:$B,0))*$G129*INDEX([1]ratio_ins!$D:$D,MATCH('001_population_health_zone_zs'!$B129,[1]ratio_ins!$B:$B,0))</f>
        <v>3131.9813450000001</v>
      </c>
      <c r="AH129" s="10">
        <f>INDEX([1]ratio_ins!AE:AE,MATCH('001_population_health_zone_zs'!$B$2,[1]ratio_ins!$B:$B,0))*$G129*INDEX([1]ratio_ins!$D:$D,MATCH('001_population_health_zone_zs'!$B129,[1]ratio_ins!$B:$B,0))</f>
        <v>1879.188807</v>
      </c>
      <c r="AI129" s="13">
        <f>INDEX([1]ratio_ins!AF:AF,MATCH('001_population_health_zone_zs'!$B$2,[1]ratio_ins!$B:$B,0))*$G129*INDEX([1]ratio_ins!$D:$D,MATCH('001_population_health_zone_zs'!$B129,[1]ratio_ins!$B:$B,0))</f>
        <v>21501.240607</v>
      </c>
      <c r="AJ129" s="10">
        <f>INDEX([1]ratio_ins!AG:AG,MATCH('001_population_health_zone_zs'!$B$2,[1]ratio_ins!$B:$B,0))*$G129*INDEX([1]ratio_ins!$D:$D,MATCH('001_population_health_zone_zs'!$B129,[1]ratio_ins!$B:$B,0))</f>
        <v>1252.7925380000001</v>
      </c>
      <c r="AK129" s="10">
        <f>INDEX([1]ratio_ins!AH:AH,MATCH('001_population_health_zone_zs'!$B$2,[1]ratio_ins!$B:$B,0))*$G129*INDEX([1]ratio_ins!$D:$D,MATCH('001_population_health_zone_zs'!$B129,[1]ratio_ins!$B:$B,0))</f>
        <v>2792.3689100000006</v>
      </c>
      <c r="AL129" s="10">
        <f>INDEX([1]ratio_ins!AI:AI,MATCH('001_population_health_zone_zs'!$B$2,[1]ratio_ins!$B:$B,0))*$G129*INDEX([1]ratio_ins!$D:$D,MATCH('001_population_health_zone_zs'!$B129,[1]ratio_ins!$B:$B,0))</f>
        <v>2641.4300500000004</v>
      </c>
      <c r="AM129" s="10">
        <f>INDEX([1]ratio_ins!AJ:AJ,MATCH('001_population_health_zone_zs'!$B$2,[1]ratio_ins!$B:$B,0))*$G129*INDEX([1]ratio_ins!$D:$D,MATCH('001_population_health_zone_zs'!$B129,[1]ratio_ins!$B:$B,0))</f>
        <v>2415.0217600000001</v>
      </c>
      <c r="AN129" s="10">
        <f>INDEX([1]ratio_ins!AK:AK,MATCH('001_population_health_zone_zs'!$B$2,[1]ratio_ins!$B:$B,0))*$G129*INDEX([1]ratio_ins!$D:$D,MATCH('001_population_health_zone_zs'!$B129,[1]ratio_ins!$B:$B,0))</f>
        <v>2264.0828999999999</v>
      </c>
      <c r="AO129" s="10">
        <f>INDEX([1]ratio_ins!AL:AL,MATCH('001_population_health_zone_zs'!$B$2,[1]ratio_ins!$B:$B,0))*$G129*INDEX([1]ratio_ins!$D:$D,MATCH('001_population_health_zone_zs'!$B129,[1]ratio_ins!$B:$B,0))</f>
        <v>1698.062175</v>
      </c>
      <c r="AP129" s="10">
        <f>INDEX([1]ratio_ins!AM:AM,MATCH('001_population_health_zone_zs'!$B$2,[1]ratio_ins!$B:$B,0))*$G129*INDEX([1]ratio_ins!$D:$D,MATCH('001_population_health_zone_zs'!$B129,[1]ratio_ins!$B:$B,0))</f>
        <v>1094.3067349999999</v>
      </c>
      <c r="AQ129" s="10">
        <f>INDEX([1]ratio_ins!AN:AN,MATCH('001_population_health_zone_zs'!$B$2,[1]ratio_ins!$B:$B,0))*$G129*INDEX([1]ratio_ins!$D:$D,MATCH('001_population_health_zone_zs'!$B129,[1]ratio_ins!$B:$B,0))</f>
        <v>867.89844500000004</v>
      </c>
      <c r="AR129" s="10">
        <f>INDEX([1]ratio_ins!AO:AO,MATCH('001_population_health_zone_zs'!$B$2,[1]ratio_ins!$B:$B,0))*$G129*INDEX([1]ratio_ins!$D:$D,MATCH('001_population_health_zone_zs'!$B129,[1]ratio_ins!$B:$B,0))</f>
        <v>415.08186500000005</v>
      </c>
      <c r="AS129" s="13">
        <f>INDEX([1]ratio_ins!AP:AP,MATCH('001_population_health_zone_zs'!$B$2,[1]ratio_ins!$B:$B,0))*$G129*INDEX([1]ratio_ins!$D:$D,MATCH('001_population_health_zone_zs'!$B129,[1]ratio_ins!$B:$B,0))</f>
        <v>15441.045378000001</v>
      </c>
      <c r="AT129" s="10">
        <f>INDEX([1]ratio_ins!AQ:AQ,MATCH('001_population_health_zone_zs'!$B$2,[1]ratio_ins!$B:$B,0))*$G129*INDEX([1]ratio_ins!$D:$D,MATCH('001_population_health_zone_zs'!$B129,[1]ratio_ins!$B:$B,0))</f>
        <v>377.34715</v>
      </c>
      <c r="AU129" s="10">
        <f>INDEX([1]ratio_ins!AR:AR,MATCH('001_population_health_zone_zs'!$B$2,[1]ratio_ins!$B:$B,0))*$G129*INDEX([1]ratio_ins!$D:$D,MATCH('001_population_health_zone_zs'!$B129,[1]ratio_ins!$B:$B,0))</f>
        <v>226.40828999999999</v>
      </c>
      <c r="AV129" s="10">
        <f>INDEX([1]ratio_ins!AS:AS,MATCH('001_population_health_zone_zs'!$B$2,[1]ratio_ins!$B:$B,0))*$G129*INDEX([1]ratio_ins!$D:$D,MATCH('001_population_health_zone_zs'!$B129,[1]ratio_ins!$B:$B,0))</f>
        <v>113.204145</v>
      </c>
      <c r="AW129" s="10">
        <f>INDEX([1]ratio_ins!AT:AT,MATCH('001_population_health_zone_zs'!$B$2,[1]ratio_ins!$B:$B,0))*$G129*INDEX([1]ratio_ins!$D:$D,MATCH('001_population_health_zone_zs'!$B129,[1]ratio_ins!$B:$B,0))</f>
        <v>75.469430000000003</v>
      </c>
      <c r="AX129" s="13">
        <f>INDEX([1]ratio_ins!AU:AU,MATCH('001_population_health_zone_zs'!$B$2,[1]ratio_ins!$B:$B,0))*$G129*INDEX([1]ratio_ins!$D:$D,MATCH('001_population_health_zone_zs'!$B129,[1]ratio_ins!$B:$B,0))</f>
        <v>792.42901499999994</v>
      </c>
      <c r="AY129" s="14">
        <f t="shared" si="7"/>
        <v>37734.715000000004</v>
      </c>
      <c r="AZ129" s="15">
        <f t="shared" si="8"/>
        <v>74135</v>
      </c>
      <c r="BA129" s="16">
        <v>71536.621432210013</v>
      </c>
      <c r="BB129" s="10">
        <f t="shared" si="9"/>
        <v>16037.253875</v>
      </c>
      <c r="BC129" s="17">
        <f t="shared" si="10"/>
        <v>0.21632500000000002</v>
      </c>
      <c r="BD129" s="10">
        <f t="shared" si="11"/>
        <v>15178.918845</v>
      </c>
    </row>
    <row r="130" spans="1:56" x14ac:dyDescent="0.25">
      <c r="A130" s="8" t="s">
        <v>294</v>
      </c>
      <c r="B130" s="8" t="s">
        <v>295</v>
      </c>
      <c r="C130" s="8" t="s">
        <v>320</v>
      </c>
      <c r="D130" s="8" t="s">
        <v>321</v>
      </c>
      <c r="E130" s="8" t="s">
        <v>320</v>
      </c>
      <c r="F130" s="8" t="s">
        <v>322</v>
      </c>
      <c r="G130" s="9">
        <v>109983</v>
      </c>
      <c r="H130" s="10">
        <f>INDEX([1]ratio_ins!F:F,MATCH('001_population_health_zone_zs'!$B$2,[1]ratio_ins!$B:$B,0))*$G130*INDEX([1]ratio_ins!$C:$C,MATCH('001_population_health_zone_zs'!$B130,[1]ratio_ins!$B:$B,0))</f>
        <v>11286.345477000001</v>
      </c>
      <c r="I130" s="10">
        <f>INDEX([1]ratio_ins!G:G,MATCH('001_population_health_zone_zs'!$B$2,[1]ratio_ins!$B:$B,0))*$G130*INDEX([1]ratio_ins!$C:$C,MATCH('001_population_health_zone_zs'!$B130,[1]ratio_ins!$B:$B,0))</f>
        <v>9234.282663</v>
      </c>
      <c r="J130" s="10">
        <f>INDEX([1]ratio_ins!H:H,MATCH('001_population_health_zone_zs'!$B$2,[1]ratio_ins!$B:$B,0))*$G130*INDEX([1]ratio_ins!$C:$C,MATCH('001_population_health_zone_zs'!$B130,[1]ratio_ins!$B:$B,0))</f>
        <v>7290.2231550000006</v>
      </c>
      <c r="K130" s="10">
        <f>INDEX([1]ratio_ins!I:I,MATCH('001_population_health_zone_zs'!$B$2,[1]ratio_ins!$B:$B,0))*$G130*INDEX([1]ratio_ins!$C:$C,MATCH('001_population_health_zone_zs'!$B130,[1]ratio_ins!$B:$B,0))</f>
        <v>4482.1371989999998</v>
      </c>
      <c r="L130" s="10">
        <f>INDEX([1]ratio_ins!J:J,MATCH('001_population_health_zone_zs'!$B$2,[1]ratio_ins!$B:$B,0))*$G130*INDEX([1]ratio_ins!$C:$C,MATCH('001_population_health_zone_zs'!$B130,[1]ratio_ins!$B:$B,0))</f>
        <v>2689.2823193999998</v>
      </c>
      <c r="M130" s="11">
        <f>INDEX([1]ratio_ins!K:K,MATCH('001_population_health_zone_zs'!$B$2,[1]ratio_ins!$B:$B,0))*$G130*INDEX([1]ratio_ins!$C:$C,MATCH('001_population_health_zone_zs'!$B130,[1]ratio_ins!$B:$B,0))</f>
        <v>30500.133614399998</v>
      </c>
      <c r="N130" s="10">
        <f>INDEX([1]ratio_ins!L:L,MATCH('001_population_health_zone_zs'!$B$2,[1]ratio_ins!$B:$B,0))*$G130*INDEX([1]ratio_ins!$C:$C,MATCH('001_population_health_zone_zs'!$B130,[1]ratio_ins!$B:$B,0))</f>
        <v>1792.8548796</v>
      </c>
      <c r="O130" s="10">
        <f>INDEX([1]ratio_ins!M:M,MATCH('001_population_health_zone_zs'!$B$2,[1]ratio_ins!$B:$B,0))*$G130*INDEX([1]ratio_ins!$C:$C,MATCH('001_population_health_zone_zs'!$B130,[1]ratio_ins!$B:$B,0))</f>
        <v>3888.1190160000001</v>
      </c>
      <c r="P130" s="10">
        <f>INDEX([1]ratio_ins!N:N,MATCH('001_population_health_zone_zs'!$B$2,[1]ratio_ins!$B:$B,0))*$G130*INDEX([1]ratio_ins!$C:$C,MATCH('001_population_health_zone_zs'!$B130,[1]ratio_ins!$B:$B,0))</f>
        <v>3510.1074450000001</v>
      </c>
      <c r="Q130" s="10">
        <f>INDEX([1]ratio_ins!O:O,MATCH('001_population_health_zone_zs'!$B$2,[1]ratio_ins!$B:$B,0))*$G130*INDEX([1]ratio_ins!$C:$C,MATCH('001_population_health_zone_zs'!$B130,[1]ratio_ins!$B:$B,0))</f>
        <v>3132.0958739999996</v>
      </c>
      <c r="R130" s="10">
        <f>INDEX([1]ratio_ins!P:P,MATCH('001_population_health_zone_zs'!$B$2,[1]ratio_ins!$B:$B,0))*$G130*INDEX([1]ratio_ins!$C:$C,MATCH('001_population_health_zone_zs'!$B130,[1]ratio_ins!$B:$B,0))</f>
        <v>3078.0942209999998</v>
      </c>
      <c r="S130" s="10">
        <f>INDEX([1]ratio_ins!Q:Q,MATCH('001_population_health_zone_zs'!$B$2,[1]ratio_ins!$B:$B,0))*$G130*INDEX([1]ratio_ins!$C:$C,MATCH('001_population_health_zone_zs'!$B130,[1]ratio_ins!$B:$B,0))</f>
        <v>2592.0793440000002</v>
      </c>
      <c r="T130" s="10">
        <f>INDEX([1]ratio_ins!R:R,MATCH('001_population_health_zone_zs'!$B$2,[1]ratio_ins!$B:$B,0))*$G130*INDEX([1]ratio_ins!$C:$C,MATCH('001_population_health_zone_zs'!$B130,[1]ratio_ins!$B:$B,0))</f>
        <v>1836.0562020000002</v>
      </c>
      <c r="U130" s="10">
        <f>INDEX([1]ratio_ins!S:S,MATCH('001_population_health_zone_zs'!$B$2,[1]ratio_ins!$B:$B,0))*$G130*INDEX([1]ratio_ins!$C:$C,MATCH('001_population_health_zone_zs'!$B130,[1]ratio_ins!$B:$B,0))</f>
        <v>1458.044631</v>
      </c>
      <c r="V130" s="10">
        <f>INDEX([1]ratio_ins!T:T,MATCH('001_population_health_zone_zs'!$B$2,[1]ratio_ins!$B:$B,0))*$G130*INDEX([1]ratio_ins!$C:$C,MATCH('001_population_health_zone_zs'!$B130,[1]ratio_ins!$B:$B,0))</f>
        <v>810.02479499999993</v>
      </c>
      <c r="W130" s="11">
        <f>INDEX([1]ratio_ins!U:U,MATCH('001_population_health_zone_zs'!$B$2,[1]ratio_ins!$B:$B,0))*$G130*INDEX([1]ratio_ins!$C:$C,MATCH('001_population_health_zone_zs'!$B130,[1]ratio_ins!$B:$B,0))</f>
        <v>22097.476407600003</v>
      </c>
      <c r="X130" s="10">
        <f>INDEX([1]ratio_ins!V:V,MATCH('001_population_health_zone_zs'!$B$2,[1]ratio_ins!$B:$B,0))*$G130*INDEX([1]ratio_ins!$C:$C,MATCH('001_population_health_zone_zs'!$B130,[1]ratio_ins!$B:$B,0))</f>
        <v>648.01983600000005</v>
      </c>
      <c r="Y130" s="10">
        <f>INDEX([1]ratio_ins!W:W,MATCH('001_population_health_zone_zs'!$B$2,[1]ratio_ins!$B:$B,0))*$G130*INDEX([1]ratio_ins!$C:$C,MATCH('001_population_health_zone_zs'!$B130,[1]ratio_ins!$B:$B,0))</f>
        <v>432.01322400000004</v>
      </c>
      <c r="Z130" s="10">
        <f>INDEX([1]ratio_ins!X:X,MATCH('001_population_health_zone_zs'!$B$2,[1]ratio_ins!$B:$B,0))*$G130*INDEX([1]ratio_ins!$C:$C,MATCH('001_population_health_zone_zs'!$B130,[1]ratio_ins!$B:$B,0))</f>
        <v>216.00661200000002</v>
      </c>
      <c r="AA130" s="10">
        <f>INDEX([1]ratio_ins!Y:Y,MATCH('001_population_health_zone_zs'!$B$2,[1]ratio_ins!$B:$B,0))*$G130*INDEX([1]ratio_ins!$C:$C,MATCH('001_population_health_zone_zs'!$B130,[1]ratio_ins!$B:$B,0))</f>
        <v>108.00330600000001</v>
      </c>
      <c r="AB130" s="11">
        <f>INDEX([1]ratio_ins!Z:Z,MATCH('001_population_health_zone_zs'!$B$2,[1]ratio_ins!$B:$B,0))*$G130*INDEX([1]ratio_ins!$C:$C,MATCH('001_population_health_zone_zs'!$B130,[1]ratio_ins!$B:$B,0))</f>
        <v>1404.0429780000002</v>
      </c>
      <c r="AC130" s="12">
        <f t="shared" si="6"/>
        <v>54001.652999999998</v>
      </c>
      <c r="AD130" s="10">
        <f>INDEX([1]ratio_ins!AA:AA,MATCH('001_population_health_zone_zs'!$B$2,[1]ratio_ins!$B:$B,0))*$G130*INDEX([1]ratio_ins!$D:$D,MATCH('001_population_health_zone_zs'!$B130,[1]ratio_ins!$B:$B,0))</f>
        <v>11756.08287</v>
      </c>
      <c r="AE130" s="10">
        <f>INDEX([1]ratio_ins!AB:AB,MATCH('001_population_health_zone_zs'!$B$2,[1]ratio_ins!$B:$B,0))*$G130*INDEX([1]ratio_ins!$D:$D,MATCH('001_population_health_zone_zs'!$B130,[1]ratio_ins!$B:$B,0))</f>
        <v>9684.7730310000006</v>
      </c>
      <c r="AF130" s="10">
        <f>INDEX([1]ratio_ins!AC:AC,MATCH('001_population_health_zone_zs'!$B$2,[1]ratio_ins!$B:$B,0))*$G130*INDEX([1]ratio_ins!$D:$D,MATCH('001_population_health_zone_zs'!$B130,[1]ratio_ins!$B:$B,0))</f>
        <v>7669.4445389999992</v>
      </c>
      <c r="AG130" s="10">
        <f>INDEX([1]ratio_ins!AD:AD,MATCH('001_population_health_zone_zs'!$B$2,[1]ratio_ins!$B:$B,0))*$G130*INDEX([1]ratio_ins!$D:$D,MATCH('001_population_health_zone_zs'!$B130,[1]ratio_ins!$B:$B,0))</f>
        <v>4646.4518010000002</v>
      </c>
      <c r="AH130" s="10">
        <f>INDEX([1]ratio_ins!AE:AE,MATCH('001_population_health_zone_zs'!$B$2,[1]ratio_ins!$B:$B,0))*$G130*INDEX([1]ratio_ins!$D:$D,MATCH('001_population_health_zone_zs'!$B130,[1]ratio_ins!$B:$B,0))</f>
        <v>2787.8710805999995</v>
      </c>
      <c r="AI130" s="13">
        <f>INDEX([1]ratio_ins!AF:AF,MATCH('001_population_health_zone_zs'!$B$2,[1]ratio_ins!$B:$B,0))*$G130*INDEX([1]ratio_ins!$D:$D,MATCH('001_population_health_zone_zs'!$B130,[1]ratio_ins!$B:$B,0))</f>
        <v>31898.171520600001</v>
      </c>
      <c r="AJ130" s="10">
        <f>INDEX([1]ratio_ins!AG:AG,MATCH('001_population_health_zone_zs'!$B$2,[1]ratio_ins!$B:$B,0))*$G130*INDEX([1]ratio_ins!$D:$D,MATCH('001_population_health_zone_zs'!$B130,[1]ratio_ins!$B:$B,0))</f>
        <v>1858.5807204000002</v>
      </c>
      <c r="AK130" s="10">
        <f>INDEX([1]ratio_ins!AH:AH,MATCH('001_population_health_zone_zs'!$B$2,[1]ratio_ins!$B:$B,0))*$G130*INDEX([1]ratio_ins!$D:$D,MATCH('001_population_health_zone_zs'!$B130,[1]ratio_ins!$B:$B,0))</f>
        <v>4142.6196780000009</v>
      </c>
      <c r="AL130" s="10">
        <f>INDEX([1]ratio_ins!AI:AI,MATCH('001_population_health_zone_zs'!$B$2,[1]ratio_ins!$B:$B,0))*$G130*INDEX([1]ratio_ins!$D:$D,MATCH('001_population_health_zone_zs'!$B130,[1]ratio_ins!$B:$B,0))</f>
        <v>3918.6942900000004</v>
      </c>
      <c r="AM130" s="10">
        <f>INDEX([1]ratio_ins!AJ:AJ,MATCH('001_population_health_zone_zs'!$B$2,[1]ratio_ins!$B:$B,0))*$G130*INDEX([1]ratio_ins!$D:$D,MATCH('001_population_health_zone_zs'!$B130,[1]ratio_ins!$B:$B,0))</f>
        <v>3582.806208</v>
      </c>
      <c r="AN130" s="10">
        <f>INDEX([1]ratio_ins!AK:AK,MATCH('001_population_health_zone_zs'!$B$2,[1]ratio_ins!$B:$B,0))*$G130*INDEX([1]ratio_ins!$D:$D,MATCH('001_population_health_zone_zs'!$B130,[1]ratio_ins!$B:$B,0))</f>
        <v>3358.8808199999999</v>
      </c>
      <c r="AO130" s="10">
        <f>INDEX([1]ratio_ins!AL:AL,MATCH('001_population_health_zone_zs'!$B$2,[1]ratio_ins!$B:$B,0))*$G130*INDEX([1]ratio_ins!$D:$D,MATCH('001_population_health_zone_zs'!$B130,[1]ratio_ins!$B:$B,0))</f>
        <v>2519.1606149999998</v>
      </c>
      <c r="AP130" s="10">
        <f>INDEX([1]ratio_ins!AM:AM,MATCH('001_population_health_zone_zs'!$B$2,[1]ratio_ins!$B:$B,0))*$G130*INDEX([1]ratio_ins!$D:$D,MATCH('001_population_health_zone_zs'!$B130,[1]ratio_ins!$B:$B,0))</f>
        <v>1623.4590629999998</v>
      </c>
      <c r="AQ130" s="10">
        <f>INDEX([1]ratio_ins!AN:AN,MATCH('001_population_health_zone_zs'!$B$2,[1]ratio_ins!$B:$B,0))*$G130*INDEX([1]ratio_ins!$D:$D,MATCH('001_population_health_zone_zs'!$B130,[1]ratio_ins!$B:$B,0))</f>
        <v>1287.5709810000001</v>
      </c>
      <c r="AR130" s="10">
        <f>INDEX([1]ratio_ins!AO:AO,MATCH('001_population_health_zone_zs'!$B$2,[1]ratio_ins!$B:$B,0))*$G130*INDEX([1]ratio_ins!$D:$D,MATCH('001_population_health_zone_zs'!$B130,[1]ratio_ins!$B:$B,0))</f>
        <v>615.79481700000008</v>
      </c>
      <c r="AS130" s="13">
        <f>INDEX([1]ratio_ins!AP:AP,MATCH('001_population_health_zone_zs'!$B$2,[1]ratio_ins!$B:$B,0))*$G130*INDEX([1]ratio_ins!$D:$D,MATCH('001_population_health_zone_zs'!$B130,[1]ratio_ins!$B:$B,0))</f>
        <v>22907.567192400002</v>
      </c>
      <c r="AT130" s="10">
        <f>INDEX([1]ratio_ins!AQ:AQ,MATCH('001_population_health_zone_zs'!$B$2,[1]ratio_ins!$B:$B,0))*$G130*INDEX([1]ratio_ins!$D:$D,MATCH('001_population_health_zone_zs'!$B130,[1]ratio_ins!$B:$B,0))</f>
        <v>559.81346999999994</v>
      </c>
      <c r="AU130" s="10">
        <f>INDEX([1]ratio_ins!AR:AR,MATCH('001_population_health_zone_zs'!$B$2,[1]ratio_ins!$B:$B,0))*$G130*INDEX([1]ratio_ins!$D:$D,MATCH('001_population_health_zone_zs'!$B130,[1]ratio_ins!$B:$B,0))</f>
        <v>335.888082</v>
      </c>
      <c r="AV130" s="10">
        <f>INDEX([1]ratio_ins!AS:AS,MATCH('001_population_health_zone_zs'!$B$2,[1]ratio_ins!$B:$B,0))*$G130*INDEX([1]ratio_ins!$D:$D,MATCH('001_population_health_zone_zs'!$B130,[1]ratio_ins!$B:$B,0))</f>
        <v>167.944041</v>
      </c>
      <c r="AW130" s="10">
        <f>INDEX([1]ratio_ins!AT:AT,MATCH('001_population_health_zone_zs'!$B$2,[1]ratio_ins!$B:$B,0))*$G130*INDEX([1]ratio_ins!$D:$D,MATCH('001_population_health_zone_zs'!$B130,[1]ratio_ins!$B:$B,0))</f>
        <v>111.962694</v>
      </c>
      <c r="AX130" s="13">
        <f>INDEX([1]ratio_ins!AU:AU,MATCH('001_population_health_zone_zs'!$B$2,[1]ratio_ins!$B:$B,0))*$G130*INDEX([1]ratio_ins!$D:$D,MATCH('001_population_health_zone_zs'!$B130,[1]ratio_ins!$B:$B,0))</f>
        <v>1175.6082869999998</v>
      </c>
      <c r="AY130" s="14">
        <f t="shared" si="7"/>
        <v>55981.347000000002</v>
      </c>
      <c r="AZ130" s="15">
        <f t="shared" si="8"/>
        <v>109983</v>
      </c>
      <c r="BA130" s="16">
        <v>106128.88650863766</v>
      </c>
      <c r="BB130" s="10">
        <f t="shared" si="9"/>
        <v>23792.072475000001</v>
      </c>
      <c r="BC130" s="17">
        <f t="shared" si="10"/>
        <v>0.21632500000000002</v>
      </c>
      <c r="BD130" s="10">
        <f t="shared" si="11"/>
        <v>22518.689300999999</v>
      </c>
    </row>
    <row r="131" spans="1:56" x14ac:dyDescent="0.25">
      <c r="A131" s="8" t="s">
        <v>294</v>
      </c>
      <c r="B131" s="8" t="s">
        <v>295</v>
      </c>
      <c r="C131" s="8" t="s">
        <v>323</v>
      </c>
      <c r="D131" s="8" t="s">
        <v>324</v>
      </c>
      <c r="E131" s="8" t="s">
        <v>323</v>
      </c>
      <c r="F131" s="8" t="s">
        <v>325</v>
      </c>
      <c r="G131" s="9">
        <v>231279</v>
      </c>
      <c r="H131" s="10">
        <f>INDEX([1]ratio_ins!F:F,MATCH('001_population_health_zone_zs'!$B$2,[1]ratio_ins!$B:$B,0))*$G131*INDEX([1]ratio_ins!$C:$C,MATCH('001_population_health_zone_zs'!$B131,[1]ratio_ins!$B:$B,0))</f>
        <v>23733.619701</v>
      </c>
      <c r="I131" s="10">
        <f>INDEX([1]ratio_ins!G:G,MATCH('001_population_health_zone_zs'!$B$2,[1]ratio_ins!$B:$B,0))*$G131*INDEX([1]ratio_ins!$C:$C,MATCH('001_population_health_zone_zs'!$B131,[1]ratio_ins!$B:$B,0))</f>
        <v>19418.416119000001</v>
      </c>
      <c r="J131" s="10">
        <f>INDEX([1]ratio_ins!H:H,MATCH('001_population_health_zone_zs'!$B$2,[1]ratio_ins!$B:$B,0))*$G131*INDEX([1]ratio_ins!$C:$C,MATCH('001_population_health_zone_zs'!$B131,[1]ratio_ins!$B:$B,0))</f>
        <v>15330.328515000001</v>
      </c>
      <c r="K131" s="10">
        <f>INDEX([1]ratio_ins!I:I,MATCH('001_population_health_zone_zs'!$B$2,[1]ratio_ins!$B:$B,0))*$G131*INDEX([1]ratio_ins!$C:$C,MATCH('001_population_health_zone_zs'!$B131,[1]ratio_ins!$B:$B,0))</f>
        <v>9425.3130869999986</v>
      </c>
      <c r="L131" s="10">
        <f>INDEX([1]ratio_ins!J:J,MATCH('001_population_health_zone_zs'!$B$2,[1]ratio_ins!$B:$B,0))*$G131*INDEX([1]ratio_ins!$C:$C,MATCH('001_population_health_zone_zs'!$B131,[1]ratio_ins!$B:$B,0))</f>
        <v>5655.1878521999997</v>
      </c>
      <c r="M131" s="11">
        <f>INDEX([1]ratio_ins!K:K,MATCH('001_population_health_zone_zs'!$B$2,[1]ratio_ins!$B:$B,0))*$G131*INDEX([1]ratio_ins!$C:$C,MATCH('001_population_health_zone_zs'!$B131,[1]ratio_ins!$B:$B,0))</f>
        <v>64137.552187199995</v>
      </c>
      <c r="N131" s="10">
        <f>INDEX([1]ratio_ins!L:L,MATCH('001_population_health_zone_zs'!$B$2,[1]ratio_ins!$B:$B,0))*$G131*INDEX([1]ratio_ins!$C:$C,MATCH('001_population_health_zone_zs'!$B131,[1]ratio_ins!$B:$B,0))</f>
        <v>3770.1252348000003</v>
      </c>
      <c r="O131" s="10">
        <f>INDEX([1]ratio_ins!M:M,MATCH('001_population_health_zone_zs'!$B$2,[1]ratio_ins!$B:$B,0))*$G131*INDEX([1]ratio_ins!$C:$C,MATCH('001_population_health_zone_zs'!$B131,[1]ratio_ins!$B:$B,0))</f>
        <v>8176.1752080000015</v>
      </c>
      <c r="P131" s="10">
        <f>INDEX([1]ratio_ins!N:N,MATCH('001_population_health_zone_zs'!$B$2,[1]ratio_ins!$B:$B,0))*$G131*INDEX([1]ratio_ins!$C:$C,MATCH('001_population_health_zone_zs'!$B131,[1]ratio_ins!$B:$B,0))</f>
        <v>7381.2692850000003</v>
      </c>
      <c r="Q131" s="10">
        <f>INDEX([1]ratio_ins!O:O,MATCH('001_population_health_zone_zs'!$B$2,[1]ratio_ins!$B:$B,0))*$G131*INDEX([1]ratio_ins!$C:$C,MATCH('001_population_health_zone_zs'!$B131,[1]ratio_ins!$B:$B,0))</f>
        <v>6586.3633619999991</v>
      </c>
      <c r="R131" s="10">
        <f>INDEX([1]ratio_ins!P:P,MATCH('001_population_health_zone_zs'!$B$2,[1]ratio_ins!$B:$B,0))*$G131*INDEX([1]ratio_ins!$C:$C,MATCH('001_population_health_zone_zs'!$B131,[1]ratio_ins!$B:$B,0))</f>
        <v>6472.8053730000001</v>
      </c>
      <c r="S131" s="10">
        <f>INDEX([1]ratio_ins!Q:Q,MATCH('001_population_health_zone_zs'!$B$2,[1]ratio_ins!$B:$B,0))*$G131*INDEX([1]ratio_ins!$C:$C,MATCH('001_population_health_zone_zs'!$B131,[1]ratio_ins!$B:$B,0))</f>
        <v>5450.7834720000001</v>
      </c>
      <c r="T131" s="10">
        <f>INDEX([1]ratio_ins!R:R,MATCH('001_population_health_zone_zs'!$B$2,[1]ratio_ins!$B:$B,0))*$G131*INDEX([1]ratio_ins!$C:$C,MATCH('001_population_health_zone_zs'!$B131,[1]ratio_ins!$B:$B,0))</f>
        <v>3860.9716260000005</v>
      </c>
      <c r="U131" s="10">
        <f>INDEX([1]ratio_ins!S:S,MATCH('001_population_health_zone_zs'!$B$2,[1]ratio_ins!$B:$B,0))*$G131*INDEX([1]ratio_ins!$C:$C,MATCH('001_population_health_zone_zs'!$B131,[1]ratio_ins!$B:$B,0))</f>
        <v>3066.0657030000002</v>
      </c>
      <c r="V131" s="10">
        <f>INDEX([1]ratio_ins!T:T,MATCH('001_population_health_zone_zs'!$B$2,[1]ratio_ins!$B:$B,0))*$G131*INDEX([1]ratio_ins!$C:$C,MATCH('001_population_health_zone_zs'!$B131,[1]ratio_ins!$B:$B,0))</f>
        <v>1703.369835</v>
      </c>
      <c r="W131" s="11">
        <f>INDEX([1]ratio_ins!U:U,MATCH('001_population_health_zone_zs'!$B$2,[1]ratio_ins!$B:$B,0))*$G131*INDEX([1]ratio_ins!$C:$C,MATCH('001_population_health_zone_zs'!$B131,[1]ratio_ins!$B:$B,0))</f>
        <v>46467.929098799999</v>
      </c>
      <c r="X131" s="10">
        <f>INDEX([1]ratio_ins!V:V,MATCH('001_population_health_zone_zs'!$B$2,[1]ratio_ins!$B:$B,0))*$G131*INDEX([1]ratio_ins!$C:$C,MATCH('001_population_health_zone_zs'!$B131,[1]ratio_ins!$B:$B,0))</f>
        <v>1362.695868</v>
      </c>
      <c r="Y131" s="10">
        <f>INDEX([1]ratio_ins!W:W,MATCH('001_population_health_zone_zs'!$B$2,[1]ratio_ins!$B:$B,0))*$G131*INDEX([1]ratio_ins!$C:$C,MATCH('001_population_health_zone_zs'!$B131,[1]ratio_ins!$B:$B,0))</f>
        <v>908.46391199999994</v>
      </c>
      <c r="Z131" s="10">
        <f>INDEX([1]ratio_ins!X:X,MATCH('001_population_health_zone_zs'!$B$2,[1]ratio_ins!$B:$B,0))*$G131*INDEX([1]ratio_ins!$C:$C,MATCH('001_population_health_zone_zs'!$B131,[1]ratio_ins!$B:$B,0))</f>
        <v>454.23195599999997</v>
      </c>
      <c r="AA131" s="10">
        <f>INDEX([1]ratio_ins!Y:Y,MATCH('001_population_health_zone_zs'!$B$2,[1]ratio_ins!$B:$B,0))*$G131*INDEX([1]ratio_ins!$C:$C,MATCH('001_population_health_zone_zs'!$B131,[1]ratio_ins!$B:$B,0))</f>
        <v>227.11597799999998</v>
      </c>
      <c r="AB131" s="11">
        <f>INDEX([1]ratio_ins!Z:Z,MATCH('001_population_health_zone_zs'!$B$2,[1]ratio_ins!$B:$B,0))*$G131*INDEX([1]ratio_ins!$C:$C,MATCH('001_population_health_zone_zs'!$B131,[1]ratio_ins!$B:$B,0))</f>
        <v>2952.5077140000003</v>
      </c>
      <c r="AC131" s="12">
        <f t="shared" ref="AC131:AC194" si="12">M131+W131+AB131</f>
        <v>113557.989</v>
      </c>
      <c r="AD131" s="10">
        <f>INDEX([1]ratio_ins!AA:AA,MATCH('001_population_health_zone_zs'!$B$2,[1]ratio_ins!$B:$B,0))*$G131*INDEX([1]ratio_ins!$D:$D,MATCH('001_population_health_zone_zs'!$B131,[1]ratio_ins!$B:$B,0))</f>
        <v>24721.41231</v>
      </c>
      <c r="AE131" s="10">
        <f>INDEX([1]ratio_ins!AB:AB,MATCH('001_population_health_zone_zs'!$B$2,[1]ratio_ins!$B:$B,0))*$G131*INDEX([1]ratio_ins!$D:$D,MATCH('001_population_health_zone_zs'!$B131,[1]ratio_ins!$B:$B,0))</f>
        <v>20365.734903</v>
      </c>
      <c r="AF131" s="10">
        <f>INDEX([1]ratio_ins!AC:AC,MATCH('001_population_health_zone_zs'!$B$2,[1]ratio_ins!$B:$B,0))*$G131*INDEX([1]ratio_ins!$D:$D,MATCH('001_population_health_zone_zs'!$B131,[1]ratio_ins!$B:$B,0))</f>
        <v>16127.778506999997</v>
      </c>
      <c r="AG131" s="10">
        <f>INDEX([1]ratio_ins!AD:AD,MATCH('001_population_health_zone_zs'!$B$2,[1]ratio_ins!$B:$B,0))*$G131*INDEX([1]ratio_ins!$D:$D,MATCH('001_population_health_zone_zs'!$B131,[1]ratio_ins!$B:$B,0))</f>
        <v>9770.8439130000006</v>
      </c>
      <c r="AH131" s="10">
        <f>INDEX([1]ratio_ins!AE:AE,MATCH('001_population_health_zone_zs'!$B$2,[1]ratio_ins!$B:$B,0))*$G131*INDEX([1]ratio_ins!$D:$D,MATCH('001_population_health_zone_zs'!$B131,[1]ratio_ins!$B:$B,0))</f>
        <v>5862.5063478000002</v>
      </c>
      <c r="AI131" s="13">
        <f>INDEX([1]ratio_ins!AF:AF,MATCH('001_population_health_zone_zs'!$B$2,[1]ratio_ins!$B:$B,0))*$G131*INDEX([1]ratio_ins!$D:$D,MATCH('001_population_health_zone_zs'!$B131,[1]ratio_ins!$B:$B,0))</f>
        <v>67077.432067799993</v>
      </c>
      <c r="AJ131" s="10">
        <f>INDEX([1]ratio_ins!AG:AG,MATCH('001_population_health_zone_zs'!$B$2,[1]ratio_ins!$B:$B,0))*$G131*INDEX([1]ratio_ins!$D:$D,MATCH('001_population_health_zone_zs'!$B131,[1]ratio_ins!$B:$B,0))</f>
        <v>3908.3375652</v>
      </c>
      <c r="AK131" s="10">
        <f>INDEX([1]ratio_ins!AH:AH,MATCH('001_population_health_zone_zs'!$B$2,[1]ratio_ins!$B:$B,0))*$G131*INDEX([1]ratio_ins!$D:$D,MATCH('001_population_health_zone_zs'!$B131,[1]ratio_ins!$B:$B,0))</f>
        <v>8711.3548140000003</v>
      </c>
      <c r="AL131" s="10">
        <f>INDEX([1]ratio_ins!AI:AI,MATCH('001_population_health_zone_zs'!$B$2,[1]ratio_ins!$B:$B,0))*$G131*INDEX([1]ratio_ins!$D:$D,MATCH('001_population_health_zone_zs'!$B131,[1]ratio_ins!$B:$B,0))</f>
        <v>8240.4707699999999</v>
      </c>
      <c r="AM131" s="10">
        <f>INDEX([1]ratio_ins!AJ:AJ,MATCH('001_population_health_zone_zs'!$B$2,[1]ratio_ins!$B:$B,0))*$G131*INDEX([1]ratio_ins!$D:$D,MATCH('001_population_health_zone_zs'!$B131,[1]ratio_ins!$B:$B,0))</f>
        <v>7534.1447040000003</v>
      </c>
      <c r="AN131" s="10">
        <f>INDEX([1]ratio_ins!AK:AK,MATCH('001_population_health_zone_zs'!$B$2,[1]ratio_ins!$B:$B,0))*$G131*INDEX([1]ratio_ins!$D:$D,MATCH('001_population_health_zone_zs'!$B131,[1]ratio_ins!$B:$B,0))</f>
        <v>7063.2606599999999</v>
      </c>
      <c r="AO131" s="10">
        <f>INDEX([1]ratio_ins!AL:AL,MATCH('001_population_health_zone_zs'!$B$2,[1]ratio_ins!$B:$B,0))*$G131*INDEX([1]ratio_ins!$D:$D,MATCH('001_population_health_zone_zs'!$B131,[1]ratio_ins!$B:$B,0))</f>
        <v>5297.4454949999999</v>
      </c>
      <c r="AP131" s="10">
        <f>INDEX([1]ratio_ins!AM:AM,MATCH('001_population_health_zone_zs'!$B$2,[1]ratio_ins!$B:$B,0))*$G131*INDEX([1]ratio_ins!$D:$D,MATCH('001_population_health_zone_zs'!$B131,[1]ratio_ins!$B:$B,0))</f>
        <v>3413.9093189999999</v>
      </c>
      <c r="AQ131" s="10">
        <f>INDEX([1]ratio_ins!AN:AN,MATCH('001_population_health_zone_zs'!$B$2,[1]ratio_ins!$B:$B,0))*$G131*INDEX([1]ratio_ins!$D:$D,MATCH('001_population_health_zone_zs'!$B131,[1]ratio_ins!$B:$B,0))</f>
        <v>2707.5832529999998</v>
      </c>
      <c r="AR131" s="10">
        <f>INDEX([1]ratio_ins!AO:AO,MATCH('001_population_health_zone_zs'!$B$2,[1]ratio_ins!$B:$B,0))*$G131*INDEX([1]ratio_ins!$D:$D,MATCH('001_population_health_zone_zs'!$B131,[1]ratio_ins!$B:$B,0))</f>
        <v>1294.9311210000003</v>
      </c>
      <c r="AS131" s="13">
        <f>INDEX([1]ratio_ins!AP:AP,MATCH('001_population_health_zone_zs'!$B$2,[1]ratio_ins!$B:$B,0))*$G131*INDEX([1]ratio_ins!$D:$D,MATCH('001_population_health_zone_zs'!$B131,[1]ratio_ins!$B:$B,0))</f>
        <v>48171.437701200004</v>
      </c>
      <c r="AT131" s="10">
        <f>INDEX([1]ratio_ins!AQ:AQ,MATCH('001_population_health_zone_zs'!$B$2,[1]ratio_ins!$B:$B,0))*$G131*INDEX([1]ratio_ins!$D:$D,MATCH('001_population_health_zone_zs'!$B131,[1]ratio_ins!$B:$B,0))</f>
        <v>1177.21011</v>
      </c>
      <c r="AU131" s="10">
        <f>INDEX([1]ratio_ins!AR:AR,MATCH('001_population_health_zone_zs'!$B$2,[1]ratio_ins!$B:$B,0))*$G131*INDEX([1]ratio_ins!$D:$D,MATCH('001_population_health_zone_zs'!$B131,[1]ratio_ins!$B:$B,0))</f>
        <v>706.32606599999997</v>
      </c>
      <c r="AV131" s="10">
        <f>INDEX([1]ratio_ins!AS:AS,MATCH('001_population_health_zone_zs'!$B$2,[1]ratio_ins!$B:$B,0))*$G131*INDEX([1]ratio_ins!$D:$D,MATCH('001_population_health_zone_zs'!$B131,[1]ratio_ins!$B:$B,0))</f>
        <v>353.16303299999998</v>
      </c>
      <c r="AW131" s="10">
        <f>INDEX([1]ratio_ins!AT:AT,MATCH('001_population_health_zone_zs'!$B$2,[1]ratio_ins!$B:$B,0))*$G131*INDEX([1]ratio_ins!$D:$D,MATCH('001_population_health_zone_zs'!$B131,[1]ratio_ins!$B:$B,0))</f>
        <v>235.44202200000001</v>
      </c>
      <c r="AX131" s="13">
        <f>INDEX([1]ratio_ins!AU:AU,MATCH('001_population_health_zone_zs'!$B$2,[1]ratio_ins!$B:$B,0))*$G131*INDEX([1]ratio_ins!$D:$D,MATCH('001_population_health_zone_zs'!$B131,[1]ratio_ins!$B:$B,0))</f>
        <v>2472.1412309999996</v>
      </c>
      <c r="AY131" s="14">
        <f t="shared" ref="AY131:AY194" si="13">AI131+AS131+AX131</f>
        <v>117721.011</v>
      </c>
      <c r="AZ131" s="15">
        <f t="shared" ref="AZ131:AZ194" si="14">AC131+AY131</f>
        <v>231279</v>
      </c>
      <c r="BA131" s="16">
        <v>223173.79133415109</v>
      </c>
      <c r="BB131" s="10">
        <f t="shared" ref="BB131:BB194" si="15">SUM(AH131,AJ131,AK131:AP131)</f>
        <v>50031.429674999999</v>
      </c>
      <c r="BC131" s="17">
        <f t="shared" ref="BC131:BC194" si="16">BB131/G131</f>
        <v>0.21632499999999999</v>
      </c>
      <c r="BD131" s="10">
        <f t="shared" ref="BD131:BD194" si="17">SUM(L131,N131:T131)</f>
        <v>47353.681413000006</v>
      </c>
    </row>
    <row r="132" spans="1:56" x14ac:dyDescent="0.25">
      <c r="A132" s="8" t="s">
        <v>294</v>
      </c>
      <c r="B132" s="8" t="s">
        <v>295</v>
      </c>
      <c r="C132" s="8" t="s">
        <v>323</v>
      </c>
      <c r="D132" s="8" t="s">
        <v>324</v>
      </c>
      <c r="E132" s="8" t="s">
        <v>326</v>
      </c>
      <c r="F132" s="8" t="s">
        <v>327</v>
      </c>
      <c r="G132" s="9">
        <v>103587</v>
      </c>
      <c r="H132" s="10">
        <f>INDEX([1]ratio_ins!F:F,MATCH('001_population_health_zone_zs'!$B$2,[1]ratio_ins!$B:$B,0))*$G132*INDEX([1]ratio_ins!$C:$C,MATCH('001_population_health_zone_zs'!$B132,[1]ratio_ins!$B:$B,0))</f>
        <v>10629.994353</v>
      </c>
      <c r="I132" s="10">
        <f>INDEX([1]ratio_ins!G:G,MATCH('001_population_health_zone_zs'!$B$2,[1]ratio_ins!$B:$B,0))*$G132*INDEX([1]ratio_ins!$C:$C,MATCH('001_population_health_zone_zs'!$B132,[1]ratio_ins!$B:$B,0))</f>
        <v>8697.2681069999999</v>
      </c>
      <c r="J132" s="10">
        <f>INDEX([1]ratio_ins!H:H,MATCH('001_population_health_zone_zs'!$B$2,[1]ratio_ins!$B:$B,0))*$G132*INDEX([1]ratio_ins!$C:$C,MATCH('001_population_health_zone_zs'!$B132,[1]ratio_ins!$B:$B,0))</f>
        <v>6866.2642949999999</v>
      </c>
      <c r="K132" s="10">
        <f>INDEX([1]ratio_ins!I:I,MATCH('001_population_health_zone_zs'!$B$2,[1]ratio_ins!$B:$B,0))*$G132*INDEX([1]ratio_ins!$C:$C,MATCH('001_population_health_zone_zs'!$B132,[1]ratio_ins!$B:$B,0))</f>
        <v>4221.4810109999999</v>
      </c>
      <c r="L132" s="10">
        <f>INDEX([1]ratio_ins!J:J,MATCH('001_population_health_zone_zs'!$B$2,[1]ratio_ins!$B:$B,0))*$G132*INDEX([1]ratio_ins!$C:$C,MATCH('001_population_health_zone_zs'!$B132,[1]ratio_ins!$B:$B,0))</f>
        <v>2532.8886066</v>
      </c>
      <c r="M132" s="11">
        <f>INDEX([1]ratio_ins!K:K,MATCH('001_population_health_zone_zs'!$B$2,[1]ratio_ins!$B:$B,0))*$G132*INDEX([1]ratio_ins!$C:$C,MATCH('001_population_health_zone_zs'!$B132,[1]ratio_ins!$B:$B,0))</f>
        <v>28726.415361599997</v>
      </c>
      <c r="N132" s="10">
        <f>INDEX([1]ratio_ins!L:L,MATCH('001_population_health_zone_zs'!$B$2,[1]ratio_ins!$B:$B,0))*$G132*INDEX([1]ratio_ins!$C:$C,MATCH('001_population_health_zone_zs'!$B132,[1]ratio_ins!$B:$B,0))</f>
        <v>1688.5924044000001</v>
      </c>
      <c r="O132" s="10">
        <f>INDEX([1]ratio_ins!M:M,MATCH('001_population_health_zone_zs'!$B$2,[1]ratio_ins!$B:$B,0))*$G132*INDEX([1]ratio_ins!$C:$C,MATCH('001_population_health_zone_zs'!$B132,[1]ratio_ins!$B:$B,0))</f>
        <v>3662.0076240000003</v>
      </c>
      <c r="P132" s="10">
        <f>INDEX([1]ratio_ins!N:N,MATCH('001_population_health_zone_zs'!$B$2,[1]ratio_ins!$B:$B,0))*$G132*INDEX([1]ratio_ins!$C:$C,MATCH('001_population_health_zone_zs'!$B132,[1]ratio_ins!$B:$B,0))</f>
        <v>3305.9791050000003</v>
      </c>
      <c r="Q132" s="10">
        <f>INDEX([1]ratio_ins!O:O,MATCH('001_population_health_zone_zs'!$B$2,[1]ratio_ins!$B:$B,0))*$G132*INDEX([1]ratio_ins!$C:$C,MATCH('001_population_health_zone_zs'!$B132,[1]ratio_ins!$B:$B,0))</f>
        <v>2949.9505859999995</v>
      </c>
      <c r="R132" s="10">
        <f>INDEX([1]ratio_ins!P:P,MATCH('001_population_health_zone_zs'!$B$2,[1]ratio_ins!$B:$B,0))*$G132*INDEX([1]ratio_ins!$C:$C,MATCH('001_population_health_zone_zs'!$B132,[1]ratio_ins!$B:$B,0))</f>
        <v>2899.0893689999998</v>
      </c>
      <c r="S132" s="10">
        <f>INDEX([1]ratio_ins!Q:Q,MATCH('001_population_health_zone_zs'!$B$2,[1]ratio_ins!$B:$B,0))*$G132*INDEX([1]ratio_ins!$C:$C,MATCH('001_population_health_zone_zs'!$B132,[1]ratio_ins!$B:$B,0))</f>
        <v>2441.3384160000001</v>
      </c>
      <c r="T132" s="10">
        <f>INDEX([1]ratio_ins!R:R,MATCH('001_population_health_zone_zs'!$B$2,[1]ratio_ins!$B:$B,0))*$G132*INDEX([1]ratio_ins!$C:$C,MATCH('001_population_health_zone_zs'!$B132,[1]ratio_ins!$B:$B,0))</f>
        <v>1729.2813779999999</v>
      </c>
      <c r="U132" s="10">
        <f>INDEX([1]ratio_ins!S:S,MATCH('001_population_health_zone_zs'!$B$2,[1]ratio_ins!$B:$B,0))*$G132*INDEX([1]ratio_ins!$C:$C,MATCH('001_population_health_zone_zs'!$B132,[1]ratio_ins!$B:$B,0))</f>
        <v>1373.2528589999999</v>
      </c>
      <c r="V132" s="10">
        <f>INDEX([1]ratio_ins!T:T,MATCH('001_population_health_zone_zs'!$B$2,[1]ratio_ins!$B:$B,0))*$G132*INDEX([1]ratio_ins!$C:$C,MATCH('001_population_health_zone_zs'!$B132,[1]ratio_ins!$B:$B,0))</f>
        <v>762.91825499999993</v>
      </c>
      <c r="W132" s="11">
        <f>INDEX([1]ratio_ins!U:U,MATCH('001_population_health_zone_zs'!$B$2,[1]ratio_ins!$B:$B,0))*$G132*INDEX([1]ratio_ins!$C:$C,MATCH('001_population_health_zone_zs'!$B132,[1]ratio_ins!$B:$B,0))</f>
        <v>20812.409996399998</v>
      </c>
      <c r="X132" s="10">
        <f>INDEX([1]ratio_ins!V:V,MATCH('001_population_health_zone_zs'!$B$2,[1]ratio_ins!$B:$B,0))*$G132*INDEX([1]ratio_ins!$C:$C,MATCH('001_population_health_zone_zs'!$B132,[1]ratio_ins!$B:$B,0))</f>
        <v>610.33460400000001</v>
      </c>
      <c r="Y132" s="10">
        <f>INDEX([1]ratio_ins!W:W,MATCH('001_population_health_zone_zs'!$B$2,[1]ratio_ins!$B:$B,0))*$G132*INDEX([1]ratio_ins!$C:$C,MATCH('001_population_health_zone_zs'!$B132,[1]ratio_ins!$B:$B,0))</f>
        <v>406.88973600000003</v>
      </c>
      <c r="Z132" s="10">
        <f>INDEX([1]ratio_ins!X:X,MATCH('001_population_health_zone_zs'!$B$2,[1]ratio_ins!$B:$B,0))*$G132*INDEX([1]ratio_ins!$C:$C,MATCH('001_population_health_zone_zs'!$B132,[1]ratio_ins!$B:$B,0))</f>
        <v>203.44486800000001</v>
      </c>
      <c r="AA132" s="10">
        <f>INDEX([1]ratio_ins!Y:Y,MATCH('001_population_health_zone_zs'!$B$2,[1]ratio_ins!$B:$B,0))*$G132*INDEX([1]ratio_ins!$C:$C,MATCH('001_population_health_zone_zs'!$B132,[1]ratio_ins!$B:$B,0))</f>
        <v>101.72243400000001</v>
      </c>
      <c r="AB132" s="11">
        <f>INDEX([1]ratio_ins!Z:Z,MATCH('001_population_health_zone_zs'!$B$2,[1]ratio_ins!$B:$B,0))*$G132*INDEX([1]ratio_ins!$C:$C,MATCH('001_population_health_zone_zs'!$B132,[1]ratio_ins!$B:$B,0))</f>
        <v>1322.391642</v>
      </c>
      <c r="AC132" s="12">
        <f t="shared" si="12"/>
        <v>50861.216999999997</v>
      </c>
      <c r="AD132" s="10">
        <f>INDEX([1]ratio_ins!AA:AA,MATCH('001_population_health_zone_zs'!$B$2,[1]ratio_ins!$B:$B,0))*$G132*INDEX([1]ratio_ins!$D:$D,MATCH('001_population_health_zone_zs'!$B132,[1]ratio_ins!$B:$B,0))</f>
        <v>11072.414430000001</v>
      </c>
      <c r="AE132" s="10">
        <f>INDEX([1]ratio_ins!AB:AB,MATCH('001_population_health_zone_zs'!$B$2,[1]ratio_ins!$B:$B,0))*$G132*INDEX([1]ratio_ins!$D:$D,MATCH('001_population_health_zone_zs'!$B132,[1]ratio_ins!$B:$B,0))</f>
        <v>9121.5604590000021</v>
      </c>
      <c r="AF132" s="10">
        <f>INDEX([1]ratio_ins!AC:AC,MATCH('001_population_health_zone_zs'!$B$2,[1]ratio_ins!$B:$B,0))*$G132*INDEX([1]ratio_ins!$D:$D,MATCH('001_population_health_zone_zs'!$B132,[1]ratio_ins!$B:$B,0))</f>
        <v>7223.4322709999988</v>
      </c>
      <c r="AG132" s="10">
        <f>INDEX([1]ratio_ins!AD:AD,MATCH('001_population_health_zone_zs'!$B$2,[1]ratio_ins!$B:$B,0))*$G132*INDEX([1]ratio_ins!$D:$D,MATCH('001_population_health_zone_zs'!$B132,[1]ratio_ins!$B:$B,0))</f>
        <v>4376.2399889999997</v>
      </c>
      <c r="AH132" s="10">
        <f>INDEX([1]ratio_ins!AE:AE,MATCH('001_population_health_zone_zs'!$B$2,[1]ratio_ins!$B:$B,0))*$G132*INDEX([1]ratio_ins!$D:$D,MATCH('001_population_health_zone_zs'!$B132,[1]ratio_ins!$B:$B,0))</f>
        <v>2625.7439933999999</v>
      </c>
      <c r="AI132" s="13">
        <f>INDEX([1]ratio_ins!AF:AF,MATCH('001_population_health_zone_zs'!$B$2,[1]ratio_ins!$B:$B,0))*$G132*INDEX([1]ratio_ins!$D:$D,MATCH('001_population_health_zone_zs'!$B132,[1]ratio_ins!$B:$B,0))</f>
        <v>30043.151153399998</v>
      </c>
      <c r="AJ132" s="10">
        <f>INDEX([1]ratio_ins!AG:AG,MATCH('001_population_health_zone_zs'!$B$2,[1]ratio_ins!$B:$B,0))*$G132*INDEX([1]ratio_ins!$D:$D,MATCH('001_population_health_zone_zs'!$B132,[1]ratio_ins!$B:$B,0))</f>
        <v>1750.4959956</v>
      </c>
      <c r="AK132" s="10">
        <f>INDEX([1]ratio_ins!AH:AH,MATCH('001_population_health_zone_zs'!$B$2,[1]ratio_ins!$B:$B,0))*$G132*INDEX([1]ratio_ins!$D:$D,MATCH('001_population_health_zone_zs'!$B132,[1]ratio_ins!$B:$B,0))</f>
        <v>3901.7079420000005</v>
      </c>
      <c r="AL132" s="10">
        <f>INDEX([1]ratio_ins!AI:AI,MATCH('001_population_health_zone_zs'!$B$2,[1]ratio_ins!$B:$B,0))*$G132*INDEX([1]ratio_ins!$D:$D,MATCH('001_population_health_zone_zs'!$B132,[1]ratio_ins!$B:$B,0))</f>
        <v>3690.8048100000005</v>
      </c>
      <c r="AM132" s="10">
        <f>INDEX([1]ratio_ins!AJ:AJ,MATCH('001_population_health_zone_zs'!$B$2,[1]ratio_ins!$B:$B,0))*$G132*INDEX([1]ratio_ins!$D:$D,MATCH('001_population_health_zone_zs'!$B132,[1]ratio_ins!$B:$B,0))</f>
        <v>3374.450112</v>
      </c>
      <c r="AN132" s="10">
        <f>INDEX([1]ratio_ins!AK:AK,MATCH('001_population_health_zone_zs'!$B$2,[1]ratio_ins!$B:$B,0))*$G132*INDEX([1]ratio_ins!$D:$D,MATCH('001_population_health_zone_zs'!$B132,[1]ratio_ins!$B:$B,0))</f>
        <v>3163.5469799999996</v>
      </c>
      <c r="AO132" s="10">
        <f>INDEX([1]ratio_ins!AL:AL,MATCH('001_population_health_zone_zs'!$B$2,[1]ratio_ins!$B:$B,0))*$G132*INDEX([1]ratio_ins!$D:$D,MATCH('001_population_health_zone_zs'!$B132,[1]ratio_ins!$B:$B,0))</f>
        <v>2372.6602349999998</v>
      </c>
      <c r="AP132" s="10">
        <f>INDEX([1]ratio_ins!AM:AM,MATCH('001_population_health_zone_zs'!$B$2,[1]ratio_ins!$B:$B,0))*$G132*INDEX([1]ratio_ins!$D:$D,MATCH('001_population_health_zone_zs'!$B132,[1]ratio_ins!$B:$B,0))</f>
        <v>1529.0477069999999</v>
      </c>
      <c r="AQ132" s="10">
        <f>INDEX([1]ratio_ins!AN:AN,MATCH('001_population_health_zone_zs'!$B$2,[1]ratio_ins!$B:$B,0))*$G132*INDEX([1]ratio_ins!$D:$D,MATCH('001_population_health_zone_zs'!$B132,[1]ratio_ins!$B:$B,0))</f>
        <v>1212.6930089999998</v>
      </c>
      <c r="AR132" s="10">
        <f>INDEX([1]ratio_ins!AO:AO,MATCH('001_population_health_zone_zs'!$B$2,[1]ratio_ins!$B:$B,0))*$G132*INDEX([1]ratio_ins!$D:$D,MATCH('001_population_health_zone_zs'!$B132,[1]ratio_ins!$B:$B,0))</f>
        <v>579.9836130000001</v>
      </c>
      <c r="AS132" s="13">
        <f>INDEX([1]ratio_ins!AP:AP,MATCH('001_population_health_zone_zs'!$B$2,[1]ratio_ins!$B:$B,0))*$G132*INDEX([1]ratio_ins!$D:$D,MATCH('001_population_health_zone_zs'!$B132,[1]ratio_ins!$B:$B,0))</f>
        <v>21575.390403600002</v>
      </c>
      <c r="AT132" s="10">
        <f>INDEX([1]ratio_ins!AQ:AQ,MATCH('001_population_health_zone_zs'!$B$2,[1]ratio_ins!$B:$B,0))*$G132*INDEX([1]ratio_ins!$D:$D,MATCH('001_population_health_zone_zs'!$B132,[1]ratio_ins!$B:$B,0))</f>
        <v>527.25783000000001</v>
      </c>
      <c r="AU132" s="10">
        <f>INDEX([1]ratio_ins!AR:AR,MATCH('001_population_health_zone_zs'!$B$2,[1]ratio_ins!$B:$B,0))*$G132*INDEX([1]ratio_ins!$D:$D,MATCH('001_population_health_zone_zs'!$B132,[1]ratio_ins!$B:$B,0))</f>
        <v>316.35469800000004</v>
      </c>
      <c r="AV132" s="10">
        <f>INDEX([1]ratio_ins!AS:AS,MATCH('001_population_health_zone_zs'!$B$2,[1]ratio_ins!$B:$B,0))*$G132*INDEX([1]ratio_ins!$D:$D,MATCH('001_population_health_zone_zs'!$B132,[1]ratio_ins!$B:$B,0))</f>
        <v>158.17734900000002</v>
      </c>
      <c r="AW132" s="10">
        <f>INDEX([1]ratio_ins!AT:AT,MATCH('001_population_health_zone_zs'!$B$2,[1]ratio_ins!$B:$B,0))*$G132*INDEX([1]ratio_ins!$D:$D,MATCH('001_population_health_zone_zs'!$B132,[1]ratio_ins!$B:$B,0))</f>
        <v>105.451566</v>
      </c>
      <c r="AX132" s="13">
        <f>INDEX([1]ratio_ins!AU:AU,MATCH('001_population_health_zone_zs'!$B$2,[1]ratio_ins!$B:$B,0))*$G132*INDEX([1]ratio_ins!$D:$D,MATCH('001_population_health_zone_zs'!$B132,[1]ratio_ins!$B:$B,0))</f>
        <v>1107.2414429999999</v>
      </c>
      <c r="AY132" s="14">
        <f t="shared" si="13"/>
        <v>52725.783000000003</v>
      </c>
      <c r="AZ132" s="15">
        <f t="shared" si="14"/>
        <v>103587</v>
      </c>
      <c r="BA132" s="16">
        <v>99956.6456829823</v>
      </c>
      <c r="BB132" s="10">
        <f t="shared" si="15"/>
        <v>22408.457775000003</v>
      </c>
      <c r="BC132" s="17">
        <f t="shared" si="16"/>
        <v>0.21632500000000002</v>
      </c>
      <c r="BD132" s="10">
        <f t="shared" si="17"/>
        <v>21209.127488999999</v>
      </c>
    </row>
    <row r="133" spans="1:56" x14ac:dyDescent="0.25">
      <c r="A133" s="8" t="s">
        <v>294</v>
      </c>
      <c r="B133" s="8" t="s">
        <v>295</v>
      </c>
      <c r="C133" s="8" t="s">
        <v>328</v>
      </c>
      <c r="D133" s="8" t="s">
        <v>329</v>
      </c>
      <c r="E133" s="8" t="s">
        <v>328</v>
      </c>
      <c r="F133" s="8" t="s">
        <v>330</v>
      </c>
      <c r="G133" s="9">
        <v>247943</v>
      </c>
      <c r="H133" s="10">
        <f>INDEX([1]ratio_ins!F:F,MATCH('001_population_health_zone_zs'!$B$2,[1]ratio_ins!$B:$B,0))*$G133*INDEX([1]ratio_ins!$C:$C,MATCH('001_population_health_zone_zs'!$B133,[1]ratio_ins!$B:$B,0))</f>
        <v>25443.662716999999</v>
      </c>
      <c r="I133" s="10">
        <f>INDEX([1]ratio_ins!G:G,MATCH('001_population_health_zone_zs'!$B$2,[1]ratio_ins!$B:$B,0))*$G133*INDEX([1]ratio_ins!$C:$C,MATCH('001_population_health_zone_zs'!$B133,[1]ratio_ins!$B:$B,0))</f>
        <v>20817.542223</v>
      </c>
      <c r="J133" s="10">
        <f>INDEX([1]ratio_ins!H:H,MATCH('001_population_health_zone_zs'!$B$2,[1]ratio_ins!$B:$B,0))*$G133*INDEX([1]ratio_ins!$C:$C,MATCH('001_population_health_zone_zs'!$B133,[1]ratio_ins!$B:$B,0))</f>
        <v>16434.901754999999</v>
      </c>
      <c r="K133" s="10">
        <f>INDEX([1]ratio_ins!I:I,MATCH('001_population_health_zone_zs'!$B$2,[1]ratio_ins!$B:$B,0))*$G133*INDEX([1]ratio_ins!$C:$C,MATCH('001_population_health_zone_zs'!$B133,[1]ratio_ins!$B:$B,0))</f>
        <v>10104.421079</v>
      </c>
      <c r="L133" s="10">
        <f>INDEX([1]ratio_ins!J:J,MATCH('001_population_health_zone_zs'!$B$2,[1]ratio_ins!$B:$B,0))*$G133*INDEX([1]ratio_ins!$C:$C,MATCH('001_population_health_zone_zs'!$B133,[1]ratio_ins!$B:$B,0))</f>
        <v>6062.6526473999993</v>
      </c>
      <c r="M133" s="11">
        <f>INDEX([1]ratio_ins!K:K,MATCH('001_population_health_zone_zs'!$B$2,[1]ratio_ins!$B:$B,0))*$G133*INDEX([1]ratio_ins!$C:$C,MATCH('001_population_health_zone_zs'!$B133,[1]ratio_ins!$B:$B,0))</f>
        <v>68758.759342399993</v>
      </c>
      <c r="N133" s="10">
        <f>INDEX([1]ratio_ins!L:L,MATCH('001_population_health_zone_zs'!$B$2,[1]ratio_ins!$B:$B,0))*$G133*INDEX([1]ratio_ins!$C:$C,MATCH('001_population_health_zone_zs'!$B133,[1]ratio_ins!$B:$B,0))</f>
        <v>4041.7684316</v>
      </c>
      <c r="O133" s="10">
        <f>INDEX([1]ratio_ins!M:M,MATCH('001_population_health_zone_zs'!$B$2,[1]ratio_ins!$B:$B,0))*$G133*INDEX([1]ratio_ins!$C:$C,MATCH('001_population_health_zone_zs'!$B133,[1]ratio_ins!$B:$B,0))</f>
        <v>8765.280936000001</v>
      </c>
      <c r="P133" s="10">
        <f>INDEX([1]ratio_ins!N:N,MATCH('001_population_health_zone_zs'!$B$2,[1]ratio_ins!$B:$B,0))*$G133*INDEX([1]ratio_ins!$C:$C,MATCH('001_population_health_zone_zs'!$B133,[1]ratio_ins!$B:$B,0))</f>
        <v>7913.1008449999999</v>
      </c>
      <c r="Q133" s="10">
        <f>INDEX([1]ratio_ins!O:O,MATCH('001_population_health_zone_zs'!$B$2,[1]ratio_ins!$B:$B,0))*$G133*INDEX([1]ratio_ins!$C:$C,MATCH('001_population_health_zone_zs'!$B133,[1]ratio_ins!$B:$B,0))</f>
        <v>7060.9207539999998</v>
      </c>
      <c r="R133" s="10">
        <f>INDEX([1]ratio_ins!P:P,MATCH('001_population_health_zone_zs'!$B$2,[1]ratio_ins!$B:$B,0))*$G133*INDEX([1]ratio_ins!$C:$C,MATCH('001_population_health_zone_zs'!$B133,[1]ratio_ins!$B:$B,0))</f>
        <v>6939.1807410000001</v>
      </c>
      <c r="S133" s="10">
        <f>INDEX([1]ratio_ins!Q:Q,MATCH('001_population_health_zone_zs'!$B$2,[1]ratio_ins!$B:$B,0))*$G133*INDEX([1]ratio_ins!$C:$C,MATCH('001_population_health_zone_zs'!$B133,[1]ratio_ins!$B:$B,0))</f>
        <v>5843.5206240000007</v>
      </c>
      <c r="T133" s="10">
        <f>INDEX([1]ratio_ins!R:R,MATCH('001_population_health_zone_zs'!$B$2,[1]ratio_ins!$B:$B,0))*$G133*INDEX([1]ratio_ins!$C:$C,MATCH('001_population_health_zone_zs'!$B133,[1]ratio_ins!$B:$B,0))</f>
        <v>4139.1604420000003</v>
      </c>
      <c r="U133" s="10">
        <f>INDEX([1]ratio_ins!S:S,MATCH('001_population_health_zone_zs'!$B$2,[1]ratio_ins!$B:$B,0))*$G133*INDEX([1]ratio_ins!$C:$C,MATCH('001_population_health_zone_zs'!$B133,[1]ratio_ins!$B:$B,0))</f>
        <v>3286.9803510000006</v>
      </c>
      <c r="V133" s="10">
        <f>INDEX([1]ratio_ins!T:T,MATCH('001_population_health_zone_zs'!$B$2,[1]ratio_ins!$B:$B,0))*$G133*INDEX([1]ratio_ins!$C:$C,MATCH('001_population_health_zone_zs'!$B133,[1]ratio_ins!$B:$B,0))</f>
        <v>1826.100195</v>
      </c>
      <c r="W133" s="11">
        <f>INDEX([1]ratio_ins!U:U,MATCH('001_population_health_zone_zs'!$B$2,[1]ratio_ins!$B:$B,0))*$G133*INDEX([1]ratio_ins!$C:$C,MATCH('001_population_health_zone_zs'!$B133,[1]ratio_ins!$B:$B,0))</f>
        <v>49816.013319600002</v>
      </c>
      <c r="X133" s="10">
        <f>INDEX([1]ratio_ins!V:V,MATCH('001_population_health_zone_zs'!$B$2,[1]ratio_ins!$B:$B,0))*$G133*INDEX([1]ratio_ins!$C:$C,MATCH('001_population_health_zone_zs'!$B133,[1]ratio_ins!$B:$B,0))</f>
        <v>1460.8801560000002</v>
      </c>
      <c r="Y133" s="10">
        <f>INDEX([1]ratio_ins!W:W,MATCH('001_population_health_zone_zs'!$B$2,[1]ratio_ins!$B:$B,0))*$G133*INDEX([1]ratio_ins!$C:$C,MATCH('001_population_health_zone_zs'!$B133,[1]ratio_ins!$B:$B,0))</f>
        <v>973.92010400000004</v>
      </c>
      <c r="Z133" s="10">
        <f>INDEX([1]ratio_ins!X:X,MATCH('001_population_health_zone_zs'!$B$2,[1]ratio_ins!$B:$B,0))*$G133*INDEX([1]ratio_ins!$C:$C,MATCH('001_population_health_zone_zs'!$B133,[1]ratio_ins!$B:$B,0))</f>
        <v>486.96005200000002</v>
      </c>
      <c r="AA133" s="10">
        <f>INDEX([1]ratio_ins!Y:Y,MATCH('001_population_health_zone_zs'!$B$2,[1]ratio_ins!$B:$B,0))*$G133*INDEX([1]ratio_ins!$C:$C,MATCH('001_population_health_zone_zs'!$B133,[1]ratio_ins!$B:$B,0))</f>
        <v>243.48002600000001</v>
      </c>
      <c r="AB133" s="11">
        <f>INDEX([1]ratio_ins!Z:Z,MATCH('001_population_health_zone_zs'!$B$2,[1]ratio_ins!$B:$B,0))*$G133*INDEX([1]ratio_ins!$C:$C,MATCH('001_population_health_zone_zs'!$B133,[1]ratio_ins!$B:$B,0))</f>
        <v>3165.2403380000005</v>
      </c>
      <c r="AC133" s="12">
        <f t="shared" si="12"/>
        <v>121740.01300000001</v>
      </c>
      <c r="AD133" s="10">
        <f>INDEX([1]ratio_ins!AA:AA,MATCH('001_population_health_zone_zs'!$B$2,[1]ratio_ins!$B:$B,0))*$G133*INDEX([1]ratio_ins!$D:$D,MATCH('001_population_health_zone_zs'!$B133,[1]ratio_ins!$B:$B,0))</f>
        <v>26502.627270000001</v>
      </c>
      <c r="AE133" s="10">
        <f>INDEX([1]ratio_ins!AB:AB,MATCH('001_population_health_zone_zs'!$B$2,[1]ratio_ins!$B:$B,0))*$G133*INDEX([1]ratio_ins!$D:$D,MATCH('001_population_health_zone_zs'!$B133,[1]ratio_ins!$B:$B,0))</f>
        <v>21833.116751000001</v>
      </c>
      <c r="AF133" s="10">
        <f>INDEX([1]ratio_ins!AC:AC,MATCH('001_population_health_zone_zs'!$B$2,[1]ratio_ins!$B:$B,0))*$G133*INDEX([1]ratio_ins!$D:$D,MATCH('001_population_health_zone_zs'!$B133,[1]ratio_ins!$B:$B,0))</f>
        <v>17289.809218999999</v>
      </c>
      <c r="AG133" s="10">
        <f>INDEX([1]ratio_ins!AD:AD,MATCH('001_population_health_zone_zs'!$B$2,[1]ratio_ins!$B:$B,0))*$G133*INDEX([1]ratio_ins!$D:$D,MATCH('001_population_health_zone_zs'!$B133,[1]ratio_ins!$B:$B,0))</f>
        <v>10474.847921</v>
      </c>
      <c r="AH133" s="10">
        <f>INDEX([1]ratio_ins!AE:AE,MATCH('001_population_health_zone_zs'!$B$2,[1]ratio_ins!$B:$B,0))*$G133*INDEX([1]ratio_ins!$D:$D,MATCH('001_population_health_zone_zs'!$B133,[1]ratio_ins!$B:$B,0))</f>
        <v>6284.9087525999994</v>
      </c>
      <c r="AI133" s="13">
        <f>INDEX([1]ratio_ins!AF:AF,MATCH('001_population_health_zone_zs'!$B$2,[1]ratio_ins!$B:$B,0))*$G133*INDEX([1]ratio_ins!$D:$D,MATCH('001_population_health_zone_zs'!$B133,[1]ratio_ins!$B:$B,0))</f>
        <v>71910.461992600001</v>
      </c>
      <c r="AJ133" s="10">
        <f>INDEX([1]ratio_ins!AG:AG,MATCH('001_population_health_zone_zs'!$B$2,[1]ratio_ins!$B:$B,0))*$G133*INDEX([1]ratio_ins!$D:$D,MATCH('001_population_health_zone_zs'!$B133,[1]ratio_ins!$B:$B,0))</f>
        <v>4189.9391684000002</v>
      </c>
      <c r="AK133" s="10">
        <f>INDEX([1]ratio_ins!AH:AH,MATCH('001_population_health_zone_zs'!$B$2,[1]ratio_ins!$B:$B,0))*$G133*INDEX([1]ratio_ins!$D:$D,MATCH('001_population_health_zone_zs'!$B133,[1]ratio_ins!$B:$B,0))</f>
        <v>9339.0210380000008</v>
      </c>
      <c r="AL133" s="10">
        <f>INDEX([1]ratio_ins!AI:AI,MATCH('001_population_health_zone_zs'!$B$2,[1]ratio_ins!$B:$B,0))*$G133*INDEX([1]ratio_ins!$D:$D,MATCH('001_population_health_zone_zs'!$B133,[1]ratio_ins!$B:$B,0))</f>
        <v>8834.2090900000003</v>
      </c>
      <c r="AM133" s="10">
        <f>INDEX([1]ratio_ins!AJ:AJ,MATCH('001_population_health_zone_zs'!$B$2,[1]ratio_ins!$B:$B,0))*$G133*INDEX([1]ratio_ins!$D:$D,MATCH('001_population_health_zone_zs'!$B133,[1]ratio_ins!$B:$B,0))</f>
        <v>8076.9911680000005</v>
      </c>
      <c r="AN133" s="10">
        <f>INDEX([1]ratio_ins!AK:AK,MATCH('001_population_health_zone_zs'!$B$2,[1]ratio_ins!$B:$B,0))*$G133*INDEX([1]ratio_ins!$D:$D,MATCH('001_population_health_zone_zs'!$B133,[1]ratio_ins!$B:$B,0))</f>
        <v>7572.17922</v>
      </c>
      <c r="AO133" s="10">
        <f>INDEX([1]ratio_ins!AL:AL,MATCH('001_population_health_zone_zs'!$B$2,[1]ratio_ins!$B:$B,0))*$G133*INDEX([1]ratio_ins!$D:$D,MATCH('001_population_health_zone_zs'!$B133,[1]ratio_ins!$B:$B,0))</f>
        <v>5679.1344149999995</v>
      </c>
      <c r="AP133" s="10">
        <f>INDEX([1]ratio_ins!AM:AM,MATCH('001_population_health_zone_zs'!$B$2,[1]ratio_ins!$B:$B,0))*$G133*INDEX([1]ratio_ins!$D:$D,MATCH('001_population_health_zone_zs'!$B133,[1]ratio_ins!$B:$B,0))</f>
        <v>3659.8866229999999</v>
      </c>
      <c r="AQ133" s="10">
        <f>INDEX([1]ratio_ins!AN:AN,MATCH('001_population_health_zone_zs'!$B$2,[1]ratio_ins!$B:$B,0))*$G133*INDEX([1]ratio_ins!$D:$D,MATCH('001_population_health_zone_zs'!$B133,[1]ratio_ins!$B:$B,0))</f>
        <v>2902.6687010000001</v>
      </c>
      <c r="AR133" s="10">
        <f>INDEX([1]ratio_ins!AO:AO,MATCH('001_population_health_zone_zs'!$B$2,[1]ratio_ins!$B:$B,0))*$G133*INDEX([1]ratio_ins!$D:$D,MATCH('001_population_health_zone_zs'!$B133,[1]ratio_ins!$B:$B,0))</f>
        <v>1388.232857</v>
      </c>
      <c r="AS133" s="13">
        <f>INDEX([1]ratio_ins!AP:AP,MATCH('001_population_health_zone_zs'!$B$2,[1]ratio_ins!$B:$B,0))*$G133*INDEX([1]ratio_ins!$D:$D,MATCH('001_population_health_zone_zs'!$B133,[1]ratio_ins!$B:$B,0))</f>
        <v>51642.262280400006</v>
      </c>
      <c r="AT133" s="10">
        <f>INDEX([1]ratio_ins!AQ:AQ,MATCH('001_population_health_zone_zs'!$B$2,[1]ratio_ins!$B:$B,0))*$G133*INDEX([1]ratio_ins!$D:$D,MATCH('001_population_health_zone_zs'!$B133,[1]ratio_ins!$B:$B,0))</f>
        <v>1262.0298699999998</v>
      </c>
      <c r="AU133" s="10">
        <f>INDEX([1]ratio_ins!AR:AR,MATCH('001_population_health_zone_zs'!$B$2,[1]ratio_ins!$B:$B,0))*$G133*INDEX([1]ratio_ins!$D:$D,MATCH('001_population_health_zone_zs'!$B133,[1]ratio_ins!$B:$B,0))</f>
        <v>757.21792200000004</v>
      </c>
      <c r="AV133" s="10">
        <f>INDEX([1]ratio_ins!AS:AS,MATCH('001_population_health_zone_zs'!$B$2,[1]ratio_ins!$B:$B,0))*$G133*INDEX([1]ratio_ins!$D:$D,MATCH('001_population_health_zone_zs'!$B133,[1]ratio_ins!$B:$B,0))</f>
        <v>378.60896100000002</v>
      </c>
      <c r="AW133" s="10">
        <f>INDEX([1]ratio_ins!AT:AT,MATCH('001_population_health_zone_zs'!$B$2,[1]ratio_ins!$B:$B,0))*$G133*INDEX([1]ratio_ins!$D:$D,MATCH('001_population_health_zone_zs'!$B133,[1]ratio_ins!$B:$B,0))</f>
        <v>252.40597400000001</v>
      </c>
      <c r="AX133" s="13">
        <f>INDEX([1]ratio_ins!AU:AU,MATCH('001_population_health_zone_zs'!$B$2,[1]ratio_ins!$B:$B,0))*$G133*INDEX([1]ratio_ins!$D:$D,MATCH('001_population_health_zone_zs'!$B133,[1]ratio_ins!$B:$B,0))</f>
        <v>2650.2627269999998</v>
      </c>
      <c r="AY133" s="14">
        <f t="shared" si="13"/>
        <v>126202.98699999999</v>
      </c>
      <c r="AZ133" s="15">
        <f t="shared" si="14"/>
        <v>247943</v>
      </c>
      <c r="BA133" s="16">
        <v>239253.14113866183</v>
      </c>
      <c r="BB133" s="10">
        <f t="shared" si="15"/>
        <v>53636.269474999994</v>
      </c>
      <c r="BC133" s="17">
        <f t="shared" si="16"/>
        <v>0.21632499999999996</v>
      </c>
      <c r="BD133" s="10">
        <f t="shared" si="17"/>
        <v>50765.585421000003</v>
      </c>
    </row>
    <row r="134" spans="1:56" x14ac:dyDescent="0.25">
      <c r="A134" s="8" t="s">
        <v>294</v>
      </c>
      <c r="B134" s="8" t="s">
        <v>295</v>
      </c>
      <c r="C134" s="8" t="s">
        <v>328</v>
      </c>
      <c r="D134" s="8" t="s">
        <v>329</v>
      </c>
      <c r="E134" s="8" t="s">
        <v>331</v>
      </c>
      <c r="F134" s="8" t="s">
        <v>332</v>
      </c>
      <c r="G134" s="9">
        <v>82886</v>
      </c>
      <c r="H134" s="10">
        <f>INDEX([1]ratio_ins!F:F,MATCH('001_population_health_zone_zs'!$B$2,[1]ratio_ins!$B:$B,0))*$G134*INDEX([1]ratio_ins!$C:$C,MATCH('001_population_health_zone_zs'!$B134,[1]ratio_ins!$B:$B,0))</f>
        <v>8505.6784339999995</v>
      </c>
      <c r="I134" s="10">
        <f>INDEX([1]ratio_ins!G:G,MATCH('001_population_health_zone_zs'!$B$2,[1]ratio_ins!$B:$B,0))*$G134*INDEX([1]ratio_ins!$C:$C,MATCH('001_population_health_zone_zs'!$B134,[1]ratio_ins!$B:$B,0))</f>
        <v>6959.1914460000007</v>
      </c>
      <c r="J134" s="10">
        <f>INDEX([1]ratio_ins!H:H,MATCH('001_population_health_zone_zs'!$B$2,[1]ratio_ins!$B:$B,0))*$G134*INDEX([1]ratio_ins!$C:$C,MATCH('001_population_health_zone_zs'!$B134,[1]ratio_ins!$B:$B,0))</f>
        <v>5494.0985099999998</v>
      </c>
      <c r="K134" s="10">
        <f>INDEX([1]ratio_ins!I:I,MATCH('001_population_health_zone_zs'!$B$2,[1]ratio_ins!$B:$B,0))*$G134*INDEX([1]ratio_ins!$C:$C,MATCH('001_population_health_zone_zs'!$B134,[1]ratio_ins!$B:$B,0))</f>
        <v>3377.8531580000003</v>
      </c>
      <c r="L134" s="10">
        <f>INDEX([1]ratio_ins!J:J,MATCH('001_population_health_zone_zs'!$B$2,[1]ratio_ins!$B:$B,0))*$G134*INDEX([1]ratio_ins!$C:$C,MATCH('001_population_health_zone_zs'!$B134,[1]ratio_ins!$B:$B,0))</f>
        <v>2026.7118947999998</v>
      </c>
      <c r="M134" s="11">
        <f>INDEX([1]ratio_ins!K:K,MATCH('001_population_health_zone_zs'!$B$2,[1]ratio_ins!$B:$B,0))*$G134*INDEX([1]ratio_ins!$C:$C,MATCH('001_population_health_zone_zs'!$B134,[1]ratio_ins!$B:$B,0))</f>
        <v>22985.680284799997</v>
      </c>
      <c r="N134" s="10">
        <f>INDEX([1]ratio_ins!L:L,MATCH('001_population_health_zone_zs'!$B$2,[1]ratio_ins!$B:$B,0))*$G134*INDEX([1]ratio_ins!$C:$C,MATCH('001_population_health_zone_zs'!$B134,[1]ratio_ins!$B:$B,0))</f>
        <v>1351.1412631999999</v>
      </c>
      <c r="O134" s="10">
        <f>INDEX([1]ratio_ins!M:M,MATCH('001_population_health_zone_zs'!$B$2,[1]ratio_ins!$B:$B,0))*$G134*INDEX([1]ratio_ins!$C:$C,MATCH('001_population_health_zone_zs'!$B134,[1]ratio_ins!$B:$B,0))</f>
        <v>2930.185872</v>
      </c>
      <c r="P134" s="10">
        <f>INDEX([1]ratio_ins!N:N,MATCH('001_population_health_zone_zs'!$B$2,[1]ratio_ins!$B:$B,0))*$G134*INDEX([1]ratio_ins!$C:$C,MATCH('001_population_health_zone_zs'!$B134,[1]ratio_ins!$B:$B,0))</f>
        <v>2645.3066899999999</v>
      </c>
      <c r="Q134" s="10">
        <f>INDEX([1]ratio_ins!O:O,MATCH('001_population_health_zone_zs'!$B$2,[1]ratio_ins!$B:$B,0))*$G134*INDEX([1]ratio_ins!$C:$C,MATCH('001_population_health_zone_zs'!$B134,[1]ratio_ins!$B:$B,0))</f>
        <v>2360.4275079999998</v>
      </c>
      <c r="R134" s="10">
        <f>INDEX([1]ratio_ins!P:P,MATCH('001_population_health_zone_zs'!$B$2,[1]ratio_ins!$B:$B,0))*$G134*INDEX([1]ratio_ins!$C:$C,MATCH('001_population_health_zone_zs'!$B134,[1]ratio_ins!$B:$B,0))</f>
        <v>2319.7304819999999</v>
      </c>
      <c r="S134" s="10">
        <f>INDEX([1]ratio_ins!Q:Q,MATCH('001_population_health_zone_zs'!$B$2,[1]ratio_ins!$B:$B,0))*$G134*INDEX([1]ratio_ins!$C:$C,MATCH('001_population_health_zone_zs'!$B134,[1]ratio_ins!$B:$B,0))</f>
        <v>1953.4572480000002</v>
      </c>
      <c r="T134" s="10">
        <f>INDEX([1]ratio_ins!R:R,MATCH('001_population_health_zone_zs'!$B$2,[1]ratio_ins!$B:$B,0))*$G134*INDEX([1]ratio_ins!$C:$C,MATCH('001_population_health_zone_zs'!$B134,[1]ratio_ins!$B:$B,0))</f>
        <v>1383.6988840000001</v>
      </c>
      <c r="U134" s="10">
        <f>INDEX([1]ratio_ins!S:S,MATCH('001_population_health_zone_zs'!$B$2,[1]ratio_ins!$B:$B,0))*$G134*INDEX([1]ratio_ins!$C:$C,MATCH('001_population_health_zone_zs'!$B134,[1]ratio_ins!$B:$B,0))</f>
        <v>1098.8197020000002</v>
      </c>
      <c r="V134" s="10">
        <f>INDEX([1]ratio_ins!T:T,MATCH('001_population_health_zone_zs'!$B$2,[1]ratio_ins!$B:$B,0))*$G134*INDEX([1]ratio_ins!$C:$C,MATCH('001_population_health_zone_zs'!$B134,[1]ratio_ins!$B:$B,0))</f>
        <v>610.45538999999997</v>
      </c>
      <c r="W134" s="11">
        <f>INDEX([1]ratio_ins!U:U,MATCH('001_population_health_zone_zs'!$B$2,[1]ratio_ins!$B:$B,0))*$G134*INDEX([1]ratio_ins!$C:$C,MATCH('001_population_health_zone_zs'!$B134,[1]ratio_ins!$B:$B,0))</f>
        <v>16653.223039200002</v>
      </c>
      <c r="X134" s="10">
        <f>INDEX([1]ratio_ins!V:V,MATCH('001_population_health_zone_zs'!$B$2,[1]ratio_ins!$B:$B,0))*$G134*INDEX([1]ratio_ins!$C:$C,MATCH('001_population_health_zone_zs'!$B134,[1]ratio_ins!$B:$B,0))</f>
        <v>488.36431200000004</v>
      </c>
      <c r="Y134" s="10">
        <f>INDEX([1]ratio_ins!W:W,MATCH('001_population_health_zone_zs'!$B$2,[1]ratio_ins!$B:$B,0))*$G134*INDEX([1]ratio_ins!$C:$C,MATCH('001_population_health_zone_zs'!$B134,[1]ratio_ins!$B:$B,0))</f>
        <v>325.57620799999995</v>
      </c>
      <c r="Z134" s="10">
        <f>INDEX([1]ratio_ins!X:X,MATCH('001_population_health_zone_zs'!$B$2,[1]ratio_ins!$B:$B,0))*$G134*INDEX([1]ratio_ins!$C:$C,MATCH('001_population_health_zone_zs'!$B134,[1]ratio_ins!$B:$B,0))</f>
        <v>162.78810399999998</v>
      </c>
      <c r="AA134" s="10">
        <f>INDEX([1]ratio_ins!Y:Y,MATCH('001_population_health_zone_zs'!$B$2,[1]ratio_ins!$B:$B,0))*$G134*INDEX([1]ratio_ins!$C:$C,MATCH('001_population_health_zone_zs'!$B134,[1]ratio_ins!$B:$B,0))</f>
        <v>81.394051999999988</v>
      </c>
      <c r="AB134" s="11">
        <f>INDEX([1]ratio_ins!Z:Z,MATCH('001_population_health_zone_zs'!$B$2,[1]ratio_ins!$B:$B,0))*$G134*INDEX([1]ratio_ins!$C:$C,MATCH('001_population_health_zone_zs'!$B134,[1]ratio_ins!$B:$B,0))</f>
        <v>1058.122676</v>
      </c>
      <c r="AC134" s="12">
        <f t="shared" si="12"/>
        <v>40697.025999999998</v>
      </c>
      <c r="AD134" s="10">
        <f>INDEX([1]ratio_ins!AA:AA,MATCH('001_population_health_zone_zs'!$B$2,[1]ratio_ins!$B:$B,0))*$G134*INDEX([1]ratio_ins!$D:$D,MATCH('001_population_health_zone_zs'!$B134,[1]ratio_ins!$B:$B,0))</f>
        <v>8859.6845399999984</v>
      </c>
      <c r="AE134" s="10">
        <f>INDEX([1]ratio_ins!AB:AB,MATCH('001_population_health_zone_zs'!$B$2,[1]ratio_ins!$B:$B,0))*$G134*INDEX([1]ratio_ins!$D:$D,MATCH('001_population_health_zone_zs'!$B134,[1]ratio_ins!$B:$B,0))</f>
        <v>7298.6925020000008</v>
      </c>
      <c r="AF134" s="10">
        <f>INDEX([1]ratio_ins!AC:AC,MATCH('001_population_health_zone_zs'!$B$2,[1]ratio_ins!$B:$B,0))*$G134*INDEX([1]ratio_ins!$D:$D,MATCH('001_population_health_zone_zs'!$B134,[1]ratio_ins!$B:$B,0))</f>
        <v>5779.8894379999992</v>
      </c>
      <c r="AG134" s="10">
        <f>INDEX([1]ratio_ins!AD:AD,MATCH('001_population_health_zone_zs'!$B$2,[1]ratio_ins!$B:$B,0))*$G134*INDEX([1]ratio_ins!$D:$D,MATCH('001_population_health_zone_zs'!$B134,[1]ratio_ins!$B:$B,0))</f>
        <v>3501.6848420000001</v>
      </c>
      <c r="AH134" s="10">
        <f>INDEX([1]ratio_ins!AE:AE,MATCH('001_population_health_zone_zs'!$B$2,[1]ratio_ins!$B:$B,0))*$G134*INDEX([1]ratio_ins!$D:$D,MATCH('001_population_health_zone_zs'!$B134,[1]ratio_ins!$B:$B,0))</f>
        <v>2101.0109051999998</v>
      </c>
      <c r="AI134" s="13">
        <f>INDEX([1]ratio_ins!AF:AF,MATCH('001_population_health_zone_zs'!$B$2,[1]ratio_ins!$B:$B,0))*$G134*INDEX([1]ratio_ins!$D:$D,MATCH('001_population_health_zone_zs'!$B134,[1]ratio_ins!$B:$B,0))</f>
        <v>24039.277385199999</v>
      </c>
      <c r="AJ134" s="10">
        <f>INDEX([1]ratio_ins!AG:AG,MATCH('001_population_health_zone_zs'!$B$2,[1]ratio_ins!$B:$B,0))*$G134*INDEX([1]ratio_ins!$D:$D,MATCH('001_population_health_zone_zs'!$B134,[1]ratio_ins!$B:$B,0))</f>
        <v>1400.6739368000001</v>
      </c>
      <c r="AK134" s="10">
        <f>INDEX([1]ratio_ins!AH:AH,MATCH('001_population_health_zone_zs'!$B$2,[1]ratio_ins!$B:$B,0))*$G134*INDEX([1]ratio_ins!$D:$D,MATCH('001_population_health_zone_zs'!$B134,[1]ratio_ins!$B:$B,0))</f>
        <v>3121.9840760000006</v>
      </c>
      <c r="AL134" s="10">
        <f>INDEX([1]ratio_ins!AI:AI,MATCH('001_population_health_zone_zs'!$B$2,[1]ratio_ins!$B:$B,0))*$G134*INDEX([1]ratio_ins!$D:$D,MATCH('001_population_health_zone_zs'!$B134,[1]ratio_ins!$B:$B,0))</f>
        <v>2953.2281800000001</v>
      </c>
      <c r="AM134" s="10">
        <f>INDEX([1]ratio_ins!AJ:AJ,MATCH('001_population_health_zone_zs'!$B$2,[1]ratio_ins!$B:$B,0))*$G134*INDEX([1]ratio_ins!$D:$D,MATCH('001_population_health_zone_zs'!$B134,[1]ratio_ins!$B:$B,0))</f>
        <v>2700.0943360000001</v>
      </c>
      <c r="AN134" s="10">
        <f>INDEX([1]ratio_ins!AK:AK,MATCH('001_population_health_zone_zs'!$B$2,[1]ratio_ins!$B:$B,0))*$G134*INDEX([1]ratio_ins!$D:$D,MATCH('001_population_health_zone_zs'!$B134,[1]ratio_ins!$B:$B,0))</f>
        <v>2531.33844</v>
      </c>
      <c r="AO134" s="10">
        <f>INDEX([1]ratio_ins!AL:AL,MATCH('001_population_health_zone_zs'!$B$2,[1]ratio_ins!$B:$B,0))*$G134*INDEX([1]ratio_ins!$D:$D,MATCH('001_population_health_zone_zs'!$B134,[1]ratio_ins!$B:$B,0))</f>
        <v>1898.5038299999999</v>
      </c>
      <c r="AP134" s="10">
        <f>INDEX([1]ratio_ins!AM:AM,MATCH('001_population_health_zone_zs'!$B$2,[1]ratio_ins!$B:$B,0))*$G134*INDEX([1]ratio_ins!$D:$D,MATCH('001_population_health_zone_zs'!$B134,[1]ratio_ins!$B:$B,0))</f>
        <v>1223.4802460000001</v>
      </c>
      <c r="AQ134" s="10">
        <f>INDEX([1]ratio_ins!AN:AN,MATCH('001_population_health_zone_zs'!$B$2,[1]ratio_ins!$B:$B,0))*$G134*INDEX([1]ratio_ins!$D:$D,MATCH('001_population_health_zone_zs'!$B134,[1]ratio_ins!$B:$B,0))</f>
        <v>970.34640200000001</v>
      </c>
      <c r="AR134" s="10">
        <f>INDEX([1]ratio_ins!AO:AO,MATCH('001_population_health_zone_zs'!$B$2,[1]ratio_ins!$B:$B,0))*$G134*INDEX([1]ratio_ins!$D:$D,MATCH('001_population_health_zone_zs'!$B134,[1]ratio_ins!$B:$B,0))</f>
        <v>464.07871400000005</v>
      </c>
      <c r="AS134" s="13">
        <f>INDEX([1]ratio_ins!AP:AP,MATCH('001_population_health_zone_zs'!$B$2,[1]ratio_ins!$B:$B,0))*$G134*INDEX([1]ratio_ins!$D:$D,MATCH('001_population_health_zone_zs'!$B134,[1]ratio_ins!$B:$B,0))</f>
        <v>17263.728160800001</v>
      </c>
      <c r="AT134" s="10">
        <f>INDEX([1]ratio_ins!AQ:AQ,MATCH('001_population_health_zone_zs'!$B$2,[1]ratio_ins!$B:$B,0))*$G134*INDEX([1]ratio_ins!$D:$D,MATCH('001_population_health_zone_zs'!$B134,[1]ratio_ins!$B:$B,0))</f>
        <v>421.88974000000002</v>
      </c>
      <c r="AU134" s="10">
        <f>INDEX([1]ratio_ins!AR:AR,MATCH('001_population_health_zone_zs'!$B$2,[1]ratio_ins!$B:$B,0))*$G134*INDEX([1]ratio_ins!$D:$D,MATCH('001_population_health_zone_zs'!$B134,[1]ratio_ins!$B:$B,0))</f>
        <v>253.13384400000001</v>
      </c>
      <c r="AV134" s="10">
        <f>INDEX([1]ratio_ins!AS:AS,MATCH('001_population_health_zone_zs'!$B$2,[1]ratio_ins!$B:$B,0))*$G134*INDEX([1]ratio_ins!$D:$D,MATCH('001_population_health_zone_zs'!$B134,[1]ratio_ins!$B:$B,0))</f>
        <v>126.56692200000001</v>
      </c>
      <c r="AW134" s="10">
        <f>INDEX([1]ratio_ins!AT:AT,MATCH('001_population_health_zone_zs'!$B$2,[1]ratio_ins!$B:$B,0))*$G134*INDEX([1]ratio_ins!$D:$D,MATCH('001_population_health_zone_zs'!$B134,[1]ratio_ins!$B:$B,0))</f>
        <v>84.377948000000004</v>
      </c>
      <c r="AX134" s="13">
        <f>INDEX([1]ratio_ins!AU:AU,MATCH('001_population_health_zone_zs'!$B$2,[1]ratio_ins!$B:$B,0))*$G134*INDEX([1]ratio_ins!$D:$D,MATCH('001_population_health_zone_zs'!$B134,[1]ratio_ins!$B:$B,0))</f>
        <v>885.96845399999995</v>
      </c>
      <c r="AY134" s="14">
        <f t="shared" si="13"/>
        <v>42188.974000000002</v>
      </c>
      <c r="AZ134" s="15">
        <f t="shared" si="14"/>
        <v>82886</v>
      </c>
      <c r="BA134" s="16">
        <v>79981.002231188279</v>
      </c>
      <c r="BB134" s="10">
        <f t="shared" si="15"/>
        <v>17930.31395</v>
      </c>
      <c r="BC134" s="17">
        <f t="shared" si="16"/>
        <v>0.21632499999999999</v>
      </c>
      <c r="BD134" s="10">
        <f t="shared" si="17"/>
        <v>16970.659841999997</v>
      </c>
    </row>
    <row r="135" spans="1:56" x14ac:dyDescent="0.25">
      <c r="A135" s="8" t="s">
        <v>294</v>
      </c>
      <c r="B135" s="8" t="s">
        <v>295</v>
      </c>
      <c r="C135" s="8" t="s">
        <v>328</v>
      </c>
      <c r="D135" s="8" t="s">
        <v>329</v>
      </c>
      <c r="E135" s="8" t="s">
        <v>333</v>
      </c>
      <c r="F135" s="8" t="s">
        <v>334</v>
      </c>
      <c r="G135" s="9">
        <v>73047</v>
      </c>
      <c r="H135" s="10">
        <f>INDEX([1]ratio_ins!F:F,MATCH('001_population_health_zone_zs'!$B$2,[1]ratio_ins!$B:$B,0))*$G135*INDEX([1]ratio_ins!$C:$C,MATCH('001_population_health_zone_zs'!$B135,[1]ratio_ins!$B:$B,0))</f>
        <v>7496.010092999999</v>
      </c>
      <c r="I135" s="10">
        <f>INDEX([1]ratio_ins!G:G,MATCH('001_population_health_zone_zs'!$B$2,[1]ratio_ins!$B:$B,0))*$G135*INDEX([1]ratio_ins!$C:$C,MATCH('001_population_health_zone_zs'!$B135,[1]ratio_ins!$B:$B,0))</f>
        <v>6133.0991670000003</v>
      </c>
      <c r="J135" s="10">
        <f>INDEX([1]ratio_ins!H:H,MATCH('001_population_health_zone_zs'!$B$2,[1]ratio_ins!$B:$B,0))*$G135*INDEX([1]ratio_ins!$C:$C,MATCH('001_population_health_zone_zs'!$B135,[1]ratio_ins!$B:$B,0))</f>
        <v>4841.9203950000001</v>
      </c>
      <c r="K135" s="10">
        <f>INDEX([1]ratio_ins!I:I,MATCH('001_population_health_zone_zs'!$B$2,[1]ratio_ins!$B:$B,0))*$G135*INDEX([1]ratio_ins!$C:$C,MATCH('001_population_health_zone_zs'!$B135,[1]ratio_ins!$B:$B,0))</f>
        <v>2976.8843910000005</v>
      </c>
      <c r="L135" s="10">
        <f>INDEX([1]ratio_ins!J:J,MATCH('001_population_health_zone_zs'!$B$2,[1]ratio_ins!$B:$B,0))*$G135*INDEX([1]ratio_ins!$C:$C,MATCH('001_population_health_zone_zs'!$B135,[1]ratio_ins!$B:$B,0))</f>
        <v>1786.1306345999999</v>
      </c>
      <c r="M135" s="11">
        <f>INDEX([1]ratio_ins!K:K,MATCH('001_population_health_zone_zs'!$B$2,[1]ratio_ins!$B:$B,0))*$G135*INDEX([1]ratio_ins!$C:$C,MATCH('001_population_health_zone_zs'!$B135,[1]ratio_ins!$B:$B,0))</f>
        <v>20257.1602896</v>
      </c>
      <c r="N135" s="10">
        <f>INDEX([1]ratio_ins!L:L,MATCH('001_population_health_zone_zs'!$B$2,[1]ratio_ins!$B:$B,0))*$G135*INDEX([1]ratio_ins!$C:$C,MATCH('001_population_health_zone_zs'!$B135,[1]ratio_ins!$B:$B,0))</f>
        <v>1190.7537564000002</v>
      </c>
      <c r="O135" s="10">
        <f>INDEX([1]ratio_ins!M:M,MATCH('001_population_health_zone_zs'!$B$2,[1]ratio_ins!$B:$B,0))*$G135*INDEX([1]ratio_ins!$C:$C,MATCH('001_population_health_zone_zs'!$B135,[1]ratio_ins!$B:$B,0))</f>
        <v>2582.3575440000004</v>
      </c>
      <c r="P135" s="10">
        <f>INDEX([1]ratio_ins!N:N,MATCH('001_population_health_zone_zs'!$B$2,[1]ratio_ins!$B:$B,0))*$G135*INDEX([1]ratio_ins!$C:$C,MATCH('001_population_health_zone_zs'!$B135,[1]ratio_ins!$B:$B,0))</f>
        <v>2331.2950049999999</v>
      </c>
      <c r="Q135" s="10">
        <f>INDEX([1]ratio_ins!O:O,MATCH('001_population_health_zone_zs'!$B$2,[1]ratio_ins!$B:$B,0))*$G135*INDEX([1]ratio_ins!$C:$C,MATCH('001_population_health_zone_zs'!$B135,[1]ratio_ins!$B:$B,0))</f>
        <v>2080.2324659999999</v>
      </c>
      <c r="R135" s="10">
        <f>INDEX([1]ratio_ins!P:P,MATCH('001_population_health_zone_zs'!$B$2,[1]ratio_ins!$B:$B,0))*$G135*INDEX([1]ratio_ins!$C:$C,MATCH('001_population_health_zone_zs'!$B135,[1]ratio_ins!$B:$B,0))</f>
        <v>2044.366389</v>
      </c>
      <c r="S135" s="10">
        <f>INDEX([1]ratio_ins!Q:Q,MATCH('001_population_health_zone_zs'!$B$2,[1]ratio_ins!$B:$B,0))*$G135*INDEX([1]ratio_ins!$C:$C,MATCH('001_population_health_zone_zs'!$B135,[1]ratio_ins!$B:$B,0))</f>
        <v>1721.571696</v>
      </c>
      <c r="T135" s="10">
        <f>INDEX([1]ratio_ins!R:R,MATCH('001_population_health_zone_zs'!$B$2,[1]ratio_ins!$B:$B,0))*$G135*INDEX([1]ratio_ins!$C:$C,MATCH('001_population_health_zone_zs'!$B135,[1]ratio_ins!$B:$B,0))</f>
        <v>1219.4466179999999</v>
      </c>
      <c r="U135" s="10">
        <f>INDEX([1]ratio_ins!S:S,MATCH('001_population_health_zone_zs'!$B$2,[1]ratio_ins!$B:$B,0))*$G135*INDEX([1]ratio_ins!$C:$C,MATCH('001_population_health_zone_zs'!$B135,[1]ratio_ins!$B:$B,0))</f>
        <v>968.38407900000004</v>
      </c>
      <c r="V135" s="10">
        <f>INDEX([1]ratio_ins!T:T,MATCH('001_population_health_zone_zs'!$B$2,[1]ratio_ins!$B:$B,0))*$G135*INDEX([1]ratio_ins!$C:$C,MATCH('001_population_health_zone_zs'!$B135,[1]ratio_ins!$B:$B,0))</f>
        <v>537.99115499999994</v>
      </c>
      <c r="W135" s="11">
        <f>INDEX([1]ratio_ins!U:U,MATCH('001_population_health_zone_zs'!$B$2,[1]ratio_ins!$B:$B,0))*$G135*INDEX([1]ratio_ins!$C:$C,MATCH('001_population_health_zone_zs'!$B135,[1]ratio_ins!$B:$B,0))</f>
        <v>14676.3987084</v>
      </c>
      <c r="X135" s="10">
        <f>INDEX([1]ratio_ins!V:V,MATCH('001_population_health_zone_zs'!$B$2,[1]ratio_ins!$B:$B,0))*$G135*INDEX([1]ratio_ins!$C:$C,MATCH('001_population_health_zone_zs'!$B135,[1]ratio_ins!$B:$B,0))</f>
        <v>430.39292399999999</v>
      </c>
      <c r="Y135" s="10">
        <f>INDEX([1]ratio_ins!W:W,MATCH('001_population_health_zone_zs'!$B$2,[1]ratio_ins!$B:$B,0))*$G135*INDEX([1]ratio_ins!$C:$C,MATCH('001_population_health_zone_zs'!$B135,[1]ratio_ins!$B:$B,0))</f>
        <v>286.92861599999998</v>
      </c>
      <c r="Z135" s="10">
        <f>INDEX([1]ratio_ins!X:X,MATCH('001_population_health_zone_zs'!$B$2,[1]ratio_ins!$B:$B,0))*$G135*INDEX([1]ratio_ins!$C:$C,MATCH('001_population_health_zone_zs'!$B135,[1]ratio_ins!$B:$B,0))</f>
        <v>143.46430799999999</v>
      </c>
      <c r="AA135" s="10">
        <f>INDEX([1]ratio_ins!Y:Y,MATCH('001_population_health_zone_zs'!$B$2,[1]ratio_ins!$B:$B,0))*$G135*INDEX([1]ratio_ins!$C:$C,MATCH('001_population_health_zone_zs'!$B135,[1]ratio_ins!$B:$B,0))</f>
        <v>71.732153999999994</v>
      </c>
      <c r="AB135" s="11">
        <f>INDEX([1]ratio_ins!Z:Z,MATCH('001_population_health_zone_zs'!$B$2,[1]ratio_ins!$B:$B,0))*$G135*INDEX([1]ratio_ins!$C:$C,MATCH('001_population_health_zone_zs'!$B135,[1]ratio_ins!$B:$B,0))</f>
        <v>932.51800200000014</v>
      </c>
      <c r="AC135" s="12">
        <f t="shared" si="12"/>
        <v>35866.076999999997</v>
      </c>
      <c r="AD135" s="10">
        <f>INDEX([1]ratio_ins!AA:AA,MATCH('001_population_health_zone_zs'!$B$2,[1]ratio_ins!$B:$B,0))*$G135*INDEX([1]ratio_ins!$D:$D,MATCH('001_population_health_zone_zs'!$B135,[1]ratio_ins!$B:$B,0))</f>
        <v>7807.9938299999994</v>
      </c>
      <c r="AE135" s="10">
        <f>INDEX([1]ratio_ins!AB:AB,MATCH('001_population_health_zone_zs'!$B$2,[1]ratio_ins!$B:$B,0))*$G135*INDEX([1]ratio_ins!$D:$D,MATCH('001_population_health_zone_zs'!$B135,[1]ratio_ins!$B:$B,0))</f>
        <v>6432.2996790000007</v>
      </c>
      <c r="AF135" s="10">
        <f>INDEX([1]ratio_ins!AC:AC,MATCH('001_population_health_zone_zs'!$B$2,[1]ratio_ins!$B:$B,0))*$G135*INDEX([1]ratio_ins!$D:$D,MATCH('001_population_health_zone_zs'!$B135,[1]ratio_ins!$B:$B,0))</f>
        <v>5093.786450999999</v>
      </c>
      <c r="AG135" s="10">
        <f>INDEX([1]ratio_ins!AD:AD,MATCH('001_population_health_zone_zs'!$B$2,[1]ratio_ins!$B:$B,0))*$G135*INDEX([1]ratio_ins!$D:$D,MATCH('001_population_health_zone_zs'!$B135,[1]ratio_ins!$B:$B,0))</f>
        <v>3086.0166090000002</v>
      </c>
      <c r="AH135" s="10">
        <f>INDEX([1]ratio_ins!AE:AE,MATCH('001_population_health_zone_zs'!$B$2,[1]ratio_ins!$B:$B,0))*$G135*INDEX([1]ratio_ins!$D:$D,MATCH('001_population_health_zone_zs'!$B135,[1]ratio_ins!$B:$B,0))</f>
        <v>1851.6099653999997</v>
      </c>
      <c r="AI135" s="13">
        <f>INDEX([1]ratio_ins!AF:AF,MATCH('001_population_health_zone_zs'!$B$2,[1]ratio_ins!$B:$B,0))*$G135*INDEX([1]ratio_ins!$D:$D,MATCH('001_population_health_zone_zs'!$B135,[1]ratio_ins!$B:$B,0))</f>
        <v>21185.689925400002</v>
      </c>
      <c r="AJ135" s="10">
        <f>INDEX([1]ratio_ins!AG:AG,MATCH('001_population_health_zone_zs'!$B$2,[1]ratio_ins!$B:$B,0))*$G135*INDEX([1]ratio_ins!$D:$D,MATCH('001_population_health_zone_zs'!$B135,[1]ratio_ins!$B:$B,0))</f>
        <v>1234.4066436000001</v>
      </c>
      <c r="AK135" s="10">
        <f>INDEX([1]ratio_ins!AH:AH,MATCH('001_population_health_zone_zs'!$B$2,[1]ratio_ins!$B:$B,0))*$G135*INDEX([1]ratio_ins!$D:$D,MATCH('001_population_health_zone_zs'!$B135,[1]ratio_ins!$B:$B,0))</f>
        <v>2751.3883020000007</v>
      </c>
      <c r="AL135" s="10">
        <f>INDEX([1]ratio_ins!AI:AI,MATCH('001_population_health_zone_zs'!$B$2,[1]ratio_ins!$B:$B,0))*$G135*INDEX([1]ratio_ins!$D:$D,MATCH('001_population_health_zone_zs'!$B135,[1]ratio_ins!$B:$B,0))</f>
        <v>2602.6646100000003</v>
      </c>
      <c r="AM135" s="10">
        <f>INDEX([1]ratio_ins!AJ:AJ,MATCH('001_population_health_zone_zs'!$B$2,[1]ratio_ins!$B:$B,0))*$G135*INDEX([1]ratio_ins!$D:$D,MATCH('001_population_health_zone_zs'!$B135,[1]ratio_ins!$B:$B,0))</f>
        <v>2379.579072</v>
      </c>
      <c r="AN135" s="10">
        <f>INDEX([1]ratio_ins!AK:AK,MATCH('001_population_health_zone_zs'!$B$2,[1]ratio_ins!$B:$B,0))*$G135*INDEX([1]ratio_ins!$D:$D,MATCH('001_population_health_zone_zs'!$B135,[1]ratio_ins!$B:$B,0))</f>
        <v>2230.85538</v>
      </c>
      <c r="AO135" s="10">
        <f>INDEX([1]ratio_ins!AL:AL,MATCH('001_population_health_zone_zs'!$B$2,[1]ratio_ins!$B:$B,0))*$G135*INDEX([1]ratio_ins!$D:$D,MATCH('001_population_health_zone_zs'!$B135,[1]ratio_ins!$B:$B,0))</f>
        <v>1673.141535</v>
      </c>
      <c r="AP135" s="10">
        <f>INDEX([1]ratio_ins!AM:AM,MATCH('001_population_health_zone_zs'!$B$2,[1]ratio_ins!$B:$B,0))*$G135*INDEX([1]ratio_ins!$D:$D,MATCH('001_population_health_zone_zs'!$B135,[1]ratio_ins!$B:$B,0))</f>
        <v>1078.2467669999999</v>
      </c>
      <c r="AQ135" s="10">
        <f>INDEX([1]ratio_ins!AN:AN,MATCH('001_population_health_zone_zs'!$B$2,[1]ratio_ins!$B:$B,0))*$G135*INDEX([1]ratio_ins!$D:$D,MATCH('001_population_health_zone_zs'!$B135,[1]ratio_ins!$B:$B,0))</f>
        <v>855.16122899999993</v>
      </c>
      <c r="AR135" s="10">
        <f>INDEX([1]ratio_ins!AO:AO,MATCH('001_population_health_zone_zs'!$B$2,[1]ratio_ins!$B:$B,0))*$G135*INDEX([1]ratio_ins!$D:$D,MATCH('001_population_health_zone_zs'!$B135,[1]ratio_ins!$B:$B,0))</f>
        <v>408.99015300000002</v>
      </c>
      <c r="AS135" s="13">
        <f>INDEX([1]ratio_ins!AP:AP,MATCH('001_population_health_zone_zs'!$B$2,[1]ratio_ins!$B:$B,0))*$G135*INDEX([1]ratio_ins!$D:$D,MATCH('001_population_health_zone_zs'!$B135,[1]ratio_ins!$B:$B,0))</f>
        <v>15214.433691599999</v>
      </c>
      <c r="AT135" s="10">
        <f>INDEX([1]ratio_ins!AQ:AQ,MATCH('001_population_health_zone_zs'!$B$2,[1]ratio_ins!$B:$B,0))*$G135*INDEX([1]ratio_ins!$D:$D,MATCH('001_population_health_zone_zs'!$B135,[1]ratio_ins!$B:$B,0))</f>
        <v>371.80923000000001</v>
      </c>
      <c r="AU135" s="10">
        <f>INDEX([1]ratio_ins!AR:AR,MATCH('001_population_health_zone_zs'!$B$2,[1]ratio_ins!$B:$B,0))*$G135*INDEX([1]ratio_ins!$D:$D,MATCH('001_population_health_zone_zs'!$B135,[1]ratio_ins!$B:$B,0))</f>
        <v>223.08553799999999</v>
      </c>
      <c r="AV135" s="10">
        <f>INDEX([1]ratio_ins!AS:AS,MATCH('001_population_health_zone_zs'!$B$2,[1]ratio_ins!$B:$B,0))*$G135*INDEX([1]ratio_ins!$D:$D,MATCH('001_population_health_zone_zs'!$B135,[1]ratio_ins!$B:$B,0))</f>
        <v>111.54276899999999</v>
      </c>
      <c r="AW135" s="10">
        <f>INDEX([1]ratio_ins!AT:AT,MATCH('001_population_health_zone_zs'!$B$2,[1]ratio_ins!$B:$B,0))*$G135*INDEX([1]ratio_ins!$D:$D,MATCH('001_population_health_zone_zs'!$B135,[1]ratio_ins!$B:$B,0))</f>
        <v>74.361846</v>
      </c>
      <c r="AX135" s="13">
        <f>INDEX([1]ratio_ins!AU:AU,MATCH('001_population_health_zone_zs'!$B$2,[1]ratio_ins!$B:$B,0))*$G135*INDEX([1]ratio_ins!$D:$D,MATCH('001_population_health_zone_zs'!$B135,[1]ratio_ins!$B:$B,0))</f>
        <v>780.79938299999992</v>
      </c>
      <c r="AY135" s="14">
        <f t="shared" si="13"/>
        <v>37180.923000000003</v>
      </c>
      <c r="AZ135" s="15">
        <f t="shared" si="14"/>
        <v>73047</v>
      </c>
      <c r="BA135" s="16">
        <v>70487.355720668798</v>
      </c>
      <c r="BB135" s="10">
        <f t="shared" si="15"/>
        <v>15801.892275000004</v>
      </c>
      <c r="BC135" s="17">
        <f t="shared" si="16"/>
        <v>0.21632500000000005</v>
      </c>
      <c r="BD135" s="10">
        <f t="shared" si="17"/>
        <v>14956.154109000001</v>
      </c>
    </row>
    <row r="136" spans="1:56" x14ac:dyDescent="0.25">
      <c r="A136" s="8" t="s">
        <v>294</v>
      </c>
      <c r="B136" s="8" t="s">
        <v>295</v>
      </c>
      <c r="C136" s="8" t="s">
        <v>335</v>
      </c>
      <c r="D136" s="8" t="s">
        <v>336</v>
      </c>
      <c r="E136" s="8" t="s">
        <v>335</v>
      </c>
      <c r="F136" s="8" t="s">
        <v>337</v>
      </c>
      <c r="G136" s="9">
        <v>136373</v>
      </c>
      <c r="H136" s="10">
        <f>INDEX([1]ratio_ins!F:F,MATCH('001_population_health_zone_zs'!$B$2,[1]ratio_ins!$B:$B,0))*$G136*INDEX([1]ratio_ins!$C:$C,MATCH('001_population_health_zone_zs'!$B136,[1]ratio_ins!$B:$B,0))</f>
        <v>13994.460886999999</v>
      </c>
      <c r="I136" s="10">
        <f>INDEX([1]ratio_ins!G:G,MATCH('001_population_health_zone_zs'!$B$2,[1]ratio_ins!$B:$B,0))*$G136*INDEX([1]ratio_ins!$C:$C,MATCH('001_population_health_zone_zs'!$B136,[1]ratio_ins!$B:$B,0))</f>
        <v>11450.013453000001</v>
      </c>
      <c r="J136" s="10">
        <f>INDEX([1]ratio_ins!H:H,MATCH('001_population_health_zone_zs'!$B$2,[1]ratio_ins!$B:$B,0))*$G136*INDEX([1]ratio_ins!$C:$C,MATCH('001_population_health_zone_zs'!$B136,[1]ratio_ins!$B:$B,0))</f>
        <v>9039.4843049999999</v>
      </c>
      <c r="K136" s="10">
        <f>INDEX([1]ratio_ins!I:I,MATCH('001_population_health_zone_zs'!$B$2,[1]ratio_ins!$B:$B,0))*$G136*INDEX([1]ratio_ins!$C:$C,MATCH('001_population_health_zone_zs'!$B136,[1]ratio_ins!$B:$B,0))</f>
        <v>5557.6088690000006</v>
      </c>
      <c r="L136" s="10">
        <f>INDEX([1]ratio_ins!J:J,MATCH('001_population_health_zone_zs'!$B$2,[1]ratio_ins!$B:$B,0))*$G136*INDEX([1]ratio_ins!$C:$C,MATCH('001_population_health_zone_zs'!$B136,[1]ratio_ins!$B:$B,0))</f>
        <v>3334.5653213999999</v>
      </c>
      <c r="M136" s="11">
        <f>INDEX([1]ratio_ins!K:K,MATCH('001_population_health_zone_zs'!$B$2,[1]ratio_ins!$B:$B,0))*$G136*INDEX([1]ratio_ins!$C:$C,MATCH('001_population_health_zone_zs'!$B136,[1]ratio_ins!$B:$B,0))</f>
        <v>37818.523966399996</v>
      </c>
      <c r="N136" s="10">
        <f>INDEX([1]ratio_ins!L:L,MATCH('001_population_health_zone_zs'!$B$2,[1]ratio_ins!$B:$B,0))*$G136*INDEX([1]ratio_ins!$C:$C,MATCH('001_population_health_zone_zs'!$B136,[1]ratio_ins!$B:$B,0))</f>
        <v>2223.0435475999998</v>
      </c>
      <c r="O136" s="10">
        <f>INDEX([1]ratio_ins!M:M,MATCH('001_population_health_zone_zs'!$B$2,[1]ratio_ins!$B:$B,0))*$G136*INDEX([1]ratio_ins!$C:$C,MATCH('001_population_health_zone_zs'!$B136,[1]ratio_ins!$B:$B,0))</f>
        <v>4821.0582960000011</v>
      </c>
      <c r="P136" s="10">
        <f>INDEX([1]ratio_ins!N:N,MATCH('001_population_health_zone_zs'!$B$2,[1]ratio_ins!$B:$B,0))*$G136*INDEX([1]ratio_ins!$C:$C,MATCH('001_population_health_zone_zs'!$B136,[1]ratio_ins!$B:$B,0))</f>
        <v>4352.3442949999999</v>
      </c>
      <c r="Q136" s="10">
        <f>INDEX([1]ratio_ins!O:O,MATCH('001_population_health_zone_zs'!$B$2,[1]ratio_ins!$B:$B,0))*$G136*INDEX([1]ratio_ins!$C:$C,MATCH('001_population_health_zone_zs'!$B136,[1]ratio_ins!$B:$B,0))</f>
        <v>3883.6302939999996</v>
      </c>
      <c r="R136" s="10">
        <f>INDEX([1]ratio_ins!P:P,MATCH('001_population_health_zone_zs'!$B$2,[1]ratio_ins!$B:$B,0))*$G136*INDEX([1]ratio_ins!$C:$C,MATCH('001_population_health_zone_zs'!$B136,[1]ratio_ins!$B:$B,0))</f>
        <v>3816.671151</v>
      </c>
      <c r="S136" s="10">
        <f>INDEX([1]ratio_ins!Q:Q,MATCH('001_population_health_zone_zs'!$B$2,[1]ratio_ins!$B:$B,0))*$G136*INDEX([1]ratio_ins!$C:$C,MATCH('001_population_health_zone_zs'!$B136,[1]ratio_ins!$B:$B,0))</f>
        <v>3214.0388640000001</v>
      </c>
      <c r="T136" s="10">
        <f>INDEX([1]ratio_ins!R:R,MATCH('001_population_health_zone_zs'!$B$2,[1]ratio_ins!$B:$B,0))*$G136*INDEX([1]ratio_ins!$C:$C,MATCH('001_population_health_zone_zs'!$B136,[1]ratio_ins!$B:$B,0))</f>
        <v>2276.6108620000005</v>
      </c>
      <c r="U136" s="10">
        <f>INDEX([1]ratio_ins!S:S,MATCH('001_population_health_zone_zs'!$B$2,[1]ratio_ins!$B:$B,0))*$G136*INDEX([1]ratio_ins!$C:$C,MATCH('001_population_health_zone_zs'!$B136,[1]ratio_ins!$B:$B,0))</f>
        <v>1807.8968610000002</v>
      </c>
      <c r="V136" s="10">
        <f>INDEX([1]ratio_ins!T:T,MATCH('001_population_health_zone_zs'!$B$2,[1]ratio_ins!$B:$B,0))*$G136*INDEX([1]ratio_ins!$C:$C,MATCH('001_population_health_zone_zs'!$B136,[1]ratio_ins!$B:$B,0))</f>
        <v>1004.387145</v>
      </c>
      <c r="W136" s="11">
        <f>INDEX([1]ratio_ins!U:U,MATCH('001_population_health_zone_zs'!$B$2,[1]ratio_ins!$B:$B,0))*$G136*INDEX([1]ratio_ins!$C:$C,MATCH('001_population_health_zone_zs'!$B136,[1]ratio_ins!$B:$B,0))</f>
        <v>27399.681315599999</v>
      </c>
      <c r="X136" s="10">
        <f>INDEX([1]ratio_ins!V:V,MATCH('001_population_health_zone_zs'!$B$2,[1]ratio_ins!$B:$B,0))*$G136*INDEX([1]ratio_ins!$C:$C,MATCH('001_population_health_zone_zs'!$B136,[1]ratio_ins!$B:$B,0))</f>
        <v>803.50971600000003</v>
      </c>
      <c r="Y136" s="10">
        <f>INDEX([1]ratio_ins!W:W,MATCH('001_population_health_zone_zs'!$B$2,[1]ratio_ins!$B:$B,0))*$G136*INDEX([1]ratio_ins!$C:$C,MATCH('001_population_health_zone_zs'!$B136,[1]ratio_ins!$B:$B,0))</f>
        <v>535.67314399999998</v>
      </c>
      <c r="Z136" s="10">
        <f>INDEX([1]ratio_ins!X:X,MATCH('001_population_health_zone_zs'!$B$2,[1]ratio_ins!$B:$B,0))*$G136*INDEX([1]ratio_ins!$C:$C,MATCH('001_population_health_zone_zs'!$B136,[1]ratio_ins!$B:$B,0))</f>
        <v>267.83657199999999</v>
      </c>
      <c r="AA136" s="10">
        <f>INDEX([1]ratio_ins!Y:Y,MATCH('001_population_health_zone_zs'!$B$2,[1]ratio_ins!$B:$B,0))*$G136*INDEX([1]ratio_ins!$C:$C,MATCH('001_population_health_zone_zs'!$B136,[1]ratio_ins!$B:$B,0))</f>
        <v>133.91828599999999</v>
      </c>
      <c r="AB136" s="11">
        <f>INDEX([1]ratio_ins!Z:Z,MATCH('001_population_health_zone_zs'!$B$2,[1]ratio_ins!$B:$B,0))*$G136*INDEX([1]ratio_ins!$C:$C,MATCH('001_population_health_zone_zs'!$B136,[1]ratio_ins!$B:$B,0))</f>
        <v>1740.9377180000001</v>
      </c>
      <c r="AC136" s="12">
        <f t="shared" si="12"/>
        <v>66959.142999999996</v>
      </c>
      <c r="AD136" s="10">
        <f>INDEX([1]ratio_ins!AA:AA,MATCH('001_population_health_zone_zs'!$B$2,[1]ratio_ins!$B:$B,0))*$G136*INDEX([1]ratio_ins!$D:$D,MATCH('001_population_health_zone_zs'!$B136,[1]ratio_ins!$B:$B,0))</f>
        <v>14576.909969999999</v>
      </c>
      <c r="AE136" s="10">
        <f>INDEX([1]ratio_ins!AB:AB,MATCH('001_population_health_zone_zs'!$B$2,[1]ratio_ins!$B:$B,0))*$G136*INDEX([1]ratio_ins!$D:$D,MATCH('001_population_health_zone_zs'!$B136,[1]ratio_ins!$B:$B,0))</f>
        <v>12008.597261000001</v>
      </c>
      <c r="AF136" s="10">
        <f>INDEX([1]ratio_ins!AC:AC,MATCH('001_population_health_zone_zs'!$B$2,[1]ratio_ins!$B:$B,0))*$G136*INDEX([1]ratio_ins!$D:$D,MATCH('001_population_health_zone_zs'!$B136,[1]ratio_ins!$B:$B,0))</f>
        <v>9509.6984089999987</v>
      </c>
      <c r="AG136" s="10">
        <f>INDEX([1]ratio_ins!AD:AD,MATCH('001_population_health_zone_zs'!$B$2,[1]ratio_ins!$B:$B,0))*$G136*INDEX([1]ratio_ins!$D:$D,MATCH('001_population_health_zone_zs'!$B136,[1]ratio_ins!$B:$B,0))</f>
        <v>5761.3501310000001</v>
      </c>
      <c r="AH136" s="10">
        <f>INDEX([1]ratio_ins!AE:AE,MATCH('001_population_health_zone_zs'!$B$2,[1]ratio_ins!$B:$B,0))*$G136*INDEX([1]ratio_ins!$D:$D,MATCH('001_population_health_zone_zs'!$B136,[1]ratio_ins!$B:$B,0))</f>
        <v>3456.8100786</v>
      </c>
      <c r="AI136" s="13">
        <f>INDEX([1]ratio_ins!AF:AF,MATCH('001_population_health_zone_zs'!$B$2,[1]ratio_ins!$B:$B,0))*$G136*INDEX([1]ratio_ins!$D:$D,MATCH('001_population_health_zone_zs'!$B136,[1]ratio_ins!$B:$B,0))</f>
        <v>39552.0157186</v>
      </c>
      <c r="AJ136" s="10">
        <f>INDEX([1]ratio_ins!AG:AG,MATCH('001_population_health_zone_zs'!$B$2,[1]ratio_ins!$B:$B,0))*$G136*INDEX([1]ratio_ins!$D:$D,MATCH('001_population_health_zone_zs'!$B136,[1]ratio_ins!$B:$B,0))</f>
        <v>2304.5400524000001</v>
      </c>
      <c r="AK136" s="10">
        <f>INDEX([1]ratio_ins!AH:AH,MATCH('001_population_health_zone_zs'!$B$2,[1]ratio_ins!$B:$B,0))*$G136*INDEX([1]ratio_ins!$D:$D,MATCH('001_population_health_zone_zs'!$B136,[1]ratio_ins!$B:$B,0))</f>
        <v>5136.6254180000005</v>
      </c>
      <c r="AL136" s="10">
        <f>INDEX([1]ratio_ins!AI:AI,MATCH('001_population_health_zone_zs'!$B$2,[1]ratio_ins!$B:$B,0))*$G136*INDEX([1]ratio_ins!$D:$D,MATCH('001_population_health_zone_zs'!$B136,[1]ratio_ins!$B:$B,0))</f>
        <v>4858.9699900000005</v>
      </c>
      <c r="AM136" s="10">
        <f>INDEX([1]ratio_ins!AJ:AJ,MATCH('001_population_health_zone_zs'!$B$2,[1]ratio_ins!$B:$B,0))*$G136*INDEX([1]ratio_ins!$D:$D,MATCH('001_population_health_zone_zs'!$B136,[1]ratio_ins!$B:$B,0))</f>
        <v>4442.4868479999996</v>
      </c>
      <c r="AN136" s="10">
        <f>INDEX([1]ratio_ins!AK:AK,MATCH('001_population_health_zone_zs'!$B$2,[1]ratio_ins!$B:$B,0))*$G136*INDEX([1]ratio_ins!$D:$D,MATCH('001_population_health_zone_zs'!$B136,[1]ratio_ins!$B:$B,0))</f>
        <v>4164.8314200000004</v>
      </c>
      <c r="AO136" s="10">
        <f>INDEX([1]ratio_ins!AL:AL,MATCH('001_population_health_zone_zs'!$B$2,[1]ratio_ins!$B:$B,0))*$G136*INDEX([1]ratio_ins!$D:$D,MATCH('001_population_health_zone_zs'!$B136,[1]ratio_ins!$B:$B,0))</f>
        <v>3123.6235649999999</v>
      </c>
      <c r="AP136" s="10">
        <f>INDEX([1]ratio_ins!AM:AM,MATCH('001_population_health_zone_zs'!$B$2,[1]ratio_ins!$B:$B,0))*$G136*INDEX([1]ratio_ins!$D:$D,MATCH('001_population_health_zone_zs'!$B136,[1]ratio_ins!$B:$B,0))</f>
        <v>2013.0018529999998</v>
      </c>
      <c r="AQ136" s="10">
        <f>INDEX([1]ratio_ins!AN:AN,MATCH('001_population_health_zone_zs'!$B$2,[1]ratio_ins!$B:$B,0))*$G136*INDEX([1]ratio_ins!$D:$D,MATCH('001_population_health_zone_zs'!$B136,[1]ratio_ins!$B:$B,0))</f>
        <v>1596.5187109999999</v>
      </c>
      <c r="AR136" s="10">
        <f>INDEX([1]ratio_ins!AO:AO,MATCH('001_population_health_zone_zs'!$B$2,[1]ratio_ins!$B:$B,0))*$G136*INDEX([1]ratio_ins!$D:$D,MATCH('001_population_health_zone_zs'!$B136,[1]ratio_ins!$B:$B,0))</f>
        <v>763.55242700000008</v>
      </c>
      <c r="AS136" s="13">
        <f>INDEX([1]ratio_ins!AP:AP,MATCH('001_population_health_zone_zs'!$B$2,[1]ratio_ins!$B:$B,0))*$G136*INDEX([1]ratio_ins!$D:$D,MATCH('001_population_health_zone_zs'!$B136,[1]ratio_ins!$B:$B,0))</f>
        <v>28404.150284399999</v>
      </c>
      <c r="AT136" s="10">
        <f>INDEX([1]ratio_ins!AQ:AQ,MATCH('001_population_health_zone_zs'!$B$2,[1]ratio_ins!$B:$B,0))*$G136*INDEX([1]ratio_ins!$D:$D,MATCH('001_population_health_zone_zs'!$B136,[1]ratio_ins!$B:$B,0))</f>
        <v>694.13857000000007</v>
      </c>
      <c r="AU136" s="10">
        <f>INDEX([1]ratio_ins!AR:AR,MATCH('001_population_health_zone_zs'!$B$2,[1]ratio_ins!$B:$B,0))*$G136*INDEX([1]ratio_ins!$D:$D,MATCH('001_population_health_zone_zs'!$B136,[1]ratio_ins!$B:$B,0))</f>
        <v>416.48314200000004</v>
      </c>
      <c r="AV136" s="10">
        <f>INDEX([1]ratio_ins!AS:AS,MATCH('001_population_health_zone_zs'!$B$2,[1]ratio_ins!$B:$B,0))*$G136*INDEX([1]ratio_ins!$D:$D,MATCH('001_population_health_zone_zs'!$B136,[1]ratio_ins!$B:$B,0))</f>
        <v>208.24157100000002</v>
      </c>
      <c r="AW136" s="10">
        <f>INDEX([1]ratio_ins!AT:AT,MATCH('001_population_health_zone_zs'!$B$2,[1]ratio_ins!$B:$B,0))*$G136*INDEX([1]ratio_ins!$D:$D,MATCH('001_population_health_zone_zs'!$B136,[1]ratio_ins!$B:$B,0))</f>
        <v>138.82771399999999</v>
      </c>
      <c r="AX136" s="13">
        <f>INDEX([1]ratio_ins!AU:AU,MATCH('001_population_health_zone_zs'!$B$2,[1]ratio_ins!$B:$B,0))*$G136*INDEX([1]ratio_ins!$D:$D,MATCH('001_population_health_zone_zs'!$B136,[1]ratio_ins!$B:$B,0))</f>
        <v>1457.6909969999999</v>
      </c>
      <c r="AY136" s="14">
        <f t="shared" si="13"/>
        <v>69413.856999999989</v>
      </c>
      <c r="AZ136" s="15">
        <f t="shared" si="14"/>
        <v>136373</v>
      </c>
      <c r="BA136" s="16">
        <v>131593.75820027248</v>
      </c>
      <c r="BB136" s="10">
        <f t="shared" si="15"/>
        <v>29500.889225000006</v>
      </c>
      <c r="BC136" s="17">
        <f t="shared" si="16"/>
        <v>0.21632500000000005</v>
      </c>
      <c r="BD136" s="10">
        <f t="shared" si="17"/>
        <v>27921.962631000002</v>
      </c>
    </row>
    <row r="137" spans="1:56" x14ac:dyDescent="0.25">
      <c r="A137" s="8" t="s">
        <v>294</v>
      </c>
      <c r="B137" s="8" t="s">
        <v>295</v>
      </c>
      <c r="C137" s="8" t="s">
        <v>335</v>
      </c>
      <c r="D137" s="8" t="s">
        <v>336</v>
      </c>
      <c r="E137" s="8" t="s">
        <v>338</v>
      </c>
      <c r="F137" s="8" t="s">
        <v>339</v>
      </c>
      <c r="G137" s="9">
        <v>96765</v>
      </c>
      <c r="H137" s="10">
        <f>INDEX([1]ratio_ins!F:F,MATCH('001_population_health_zone_zs'!$B$2,[1]ratio_ins!$B:$B,0))*$G137*INDEX([1]ratio_ins!$C:$C,MATCH('001_population_health_zone_zs'!$B137,[1]ratio_ins!$B:$B,0))</f>
        <v>9929.9275349999989</v>
      </c>
      <c r="I137" s="10">
        <f>INDEX([1]ratio_ins!G:G,MATCH('001_population_health_zone_zs'!$B$2,[1]ratio_ins!$B:$B,0))*$G137*INDEX([1]ratio_ins!$C:$C,MATCH('001_population_health_zone_zs'!$B137,[1]ratio_ins!$B:$B,0))</f>
        <v>8124.4861650000012</v>
      </c>
      <c r="J137" s="10">
        <f>INDEX([1]ratio_ins!H:H,MATCH('001_population_health_zone_zs'!$B$2,[1]ratio_ins!$B:$B,0))*$G137*INDEX([1]ratio_ins!$C:$C,MATCH('001_population_health_zone_zs'!$B137,[1]ratio_ins!$B:$B,0))</f>
        <v>6414.0680250000005</v>
      </c>
      <c r="K137" s="10">
        <f>INDEX([1]ratio_ins!I:I,MATCH('001_population_health_zone_zs'!$B$2,[1]ratio_ins!$B:$B,0))*$G137*INDEX([1]ratio_ins!$C:$C,MATCH('001_population_health_zone_zs'!$B137,[1]ratio_ins!$B:$B,0))</f>
        <v>3943.4640450000002</v>
      </c>
      <c r="L137" s="10">
        <f>INDEX([1]ratio_ins!J:J,MATCH('001_population_health_zone_zs'!$B$2,[1]ratio_ins!$B:$B,0))*$G137*INDEX([1]ratio_ins!$C:$C,MATCH('001_population_health_zone_zs'!$B137,[1]ratio_ins!$B:$B,0))</f>
        <v>2366.0784269999999</v>
      </c>
      <c r="M137" s="11">
        <f>INDEX([1]ratio_ins!K:K,MATCH('001_population_health_zone_zs'!$B$2,[1]ratio_ins!$B:$B,0))*$G137*INDEX([1]ratio_ins!$C:$C,MATCH('001_population_health_zone_zs'!$B137,[1]ratio_ins!$B:$B,0))</f>
        <v>26834.560151999998</v>
      </c>
      <c r="N137" s="10">
        <f>INDEX([1]ratio_ins!L:L,MATCH('001_population_health_zone_zs'!$B$2,[1]ratio_ins!$B:$B,0))*$G137*INDEX([1]ratio_ins!$C:$C,MATCH('001_population_health_zone_zs'!$B137,[1]ratio_ins!$B:$B,0))</f>
        <v>1577.385618</v>
      </c>
      <c r="O137" s="10">
        <f>INDEX([1]ratio_ins!M:M,MATCH('001_population_health_zone_zs'!$B$2,[1]ratio_ins!$B:$B,0))*$G137*INDEX([1]ratio_ins!$C:$C,MATCH('001_population_health_zone_zs'!$B137,[1]ratio_ins!$B:$B,0))</f>
        <v>3420.8362800000004</v>
      </c>
      <c r="P137" s="10">
        <f>INDEX([1]ratio_ins!N:N,MATCH('001_population_health_zone_zs'!$B$2,[1]ratio_ins!$B:$B,0))*$G137*INDEX([1]ratio_ins!$C:$C,MATCH('001_population_health_zone_zs'!$B137,[1]ratio_ins!$B:$B,0))</f>
        <v>3088.2549750000003</v>
      </c>
      <c r="Q137" s="10">
        <f>INDEX([1]ratio_ins!O:O,MATCH('001_population_health_zone_zs'!$B$2,[1]ratio_ins!$B:$B,0))*$G137*INDEX([1]ratio_ins!$C:$C,MATCH('001_population_health_zone_zs'!$B137,[1]ratio_ins!$B:$B,0))</f>
        <v>2755.6736699999997</v>
      </c>
      <c r="R137" s="10">
        <f>INDEX([1]ratio_ins!P:P,MATCH('001_population_health_zone_zs'!$B$2,[1]ratio_ins!$B:$B,0))*$G137*INDEX([1]ratio_ins!$C:$C,MATCH('001_population_health_zone_zs'!$B137,[1]ratio_ins!$B:$B,0))</f>
        <v>2708.1620550000002</v>
      </c>
      <c r="S137" s="10">
        <f>INDEX([1]ratio_ins!Q:Q,MATCH('001_population_health_zone_zs'!$B$2,[1]ratio_ins!$B:$B,0))*$G137*INDEX([1]ratio_ins!$C:$C,MATCH('001_population_health_zone_zs'!$B137,[1]ratio_ins!$B:$B,0))</f>
        <v>2280.5575200000003</v>
      </c>
      <c r="T137" s="10">
        <f>INDEX([1]ratio_ins!R:R,MATCH('001_population_health_zone_zs'!$B$2,[1]ratio_ins!$B:$B,0))*$G137*INDEX([1]ratio_ins!$C:$C,MATCH('001_population_health_zone_zs'!$B137,[1]ratio_ins!$B:$B,0))</f>
        <v>1615.39491</v>
      </c>
      <c r="U137" s="10">
        <f>INDEX([1]ratio_ins!S:S,MATCH('001_population_health_zone_zs'!$B$2,[1]ratio_ins!$B:$B,0))*$G137*INDEX([1]ratio_ins!$C:$C,MATCH('001_population_health_zone_zs'!$B137,[1]ratio_ins!$B:$B,0))</f>
        <v>1282.8136050000001</v>
      </c>
      <c r="V137" s="10">
        <f>INDEX([1]ratio_ins!T:T,MATCH('001_population_health_zone_zs'!$B$2,[1]ratio_ins!$B:$B,0))*$G137*INDEX([1]ratio_ins!$C:$C,MATCH('001_population_health_zone_zs'!$B137,[1]ratio_ins!$B:$B,0))</f>
        <v>712.67422499999998</v>
      </c>
      <c r="W137" s="11">
        <f>INDEX([1]ratio_ins!U:U,MATCH('001_population_health_zone_zs'!$B$2,[1]ratio_ins!$B:$B,0))*$G137*INDEX([1]ratio_ins!$C:$C,MATCH('001_population_health_zone_zs'!$B137,[1]ratio_ins!$B:$B,0))</f>
        <v>19441.752858</v>
      </c>
      <c r="X137" s="10">
        <f>INDEX([1]ratio_ins!V:V,MATCH('001_population_health_zone_zs'!$B$2,[1]ratio_ins!$B:$B,0))*$G137*INDEX([1]ratio_ins!$C:$C,MATCH('001_population_health_zone_zs'!$B137,[1]ratio_ins!$B:$B,0))</f>
        <v>570.13938000000007</v>
      </c>
      <c r="Y137" s="10">
        <f>INDEX([1]ratio_ins!W:W,MATCH('001_population_health_zone_zs'!$B$2,[1]ratio_ins!$B:$B,0))*$G137*INDEX([1]ratio_ins!$C:$C,MATCH('001_population_health_zone_zs'!$B137,[1]ratio_ins!$B:$B,0))</f>
        <v>380.09291999999999</v>
      </c>
      <c r="Z137" s="10">
        <f>INDEX([1]ratio_ins!X:X,MATCH('001_population_health_zone_zs'!$B$2,[1]ratio_ins!$B:$B,0))*$G137*INDEX([1]ratio_ins!$C:$C,MATCH('001_population_health_zone_zs'!$B137,[1]ratio_ins!$B:$B,0))</f>
        <v>190.04646</v>
      </c>
      <c r="AA137" s="10">
        <f>INDEX([1]ratio_ins!Y:Y,MATCH('001_population_health_zone_zs'!$B$2,[1]ratio_ins!$B:$B,0))*$G137*INDEX([1]ratio_ins!$C:$C,MATCH('001_population_health_zone_zs'!$B137,[1]ratio_ins!$B:$B,0))</f>
        <v>95.023229999999998</v>
      </c>
      <c r="AB137" s="11">
        <f>INDEX([1]ratio_ins!Z:Z,MATCH('001_population_health_zone_zs'!$B$2,[1]ratio_ins!$B:$B,0))*$G137*INDEX([1]ratio_ins!$C:$C,MATCH('001_population_health_zone_zs'!$B137,[1]ratio_ins!$B:$B,0))</f>
        <v>1235.3019900000002</v>
      </c>
      <c r="AC137" s="12">
        <f t="shared" si="12"/>
        <v>47511.614999999998</v>
      </c>
      <c r="AD137" s="10">
        <f>INDEX([1]ratio_ins!AA:AA,MATCH('001_population_health_zone_zs'!$B$2,[1]ratio_ins!$B:$B,0))*$G137*INDEX([1]ratio_ins!$D:$D,MATCH('001_population_health_zone_zs'!$B137,[1]ratio_ins!$B:$B,0))</f>
        <v>10343.210849999999</v>
      </c>
      <c r="AE137" s="10">
        <f>INDEX([1]ratio_ins!AB:AB,MATCH('001_population_health_zone_zs'!$B$2,[1]ratio_ins!$B:$B,0))*$G137*INDEX([1]ratio_ins!$D:$D,MATCH('001_population_health_zone_zs'!$B137,[1]ratio_ins!$B:$B,0))</f>
        <v>8520.8356050000002</v>
      </c>
      <c r="AF137" s="10">
        <f>INDEX([1]ratio_ins!AC:AC,MATCH('001_population_health_zone_zs'!$B$2,[1]ratio_ins!$B:$B,0))*$G137*INDEX([1]ratio_ins!$D:$D,MATCH('001_population_health_zone_zs'!$B137,[1]ratio_ins!$B:$B,0))</f>
        <v>6747.7137449999991</v>
      </c>
      <c r="AG137" s="10">
        <f>INDEX([1]ratio_ins!AD:AD,MATCH('001_population_health_zone_zs'!$B$2,[1]ratio_ins!$B:$B,0))*$G137*INDEX([1]ratio_ins!$D:$D,MATCH('001_population_health_zone_zs'!$B137,[1]ratio_ins!$B:$B,0))</f>
        <v>4088.0309550000006</v>
      </c>
      <c r="AH137" s="10">
        <f>INDEX([1]ratio_ins!AE:AE,MATCH('001_population_health_zone_zs'!$B$2,[1]ratio_ins!$B:$B,0))*$G137*INDEX([1]ratio_ins!$D:$D,MATCH('001_population_health_zone_zs'!$B137,[1]ratio_ins!$B:$B,0))</f>
        <v>2452.818573</v>
      </c>
      <c r="AI137" s="13">
        <f>INDEX([1]ratio_ins!AF:AF,MATCH('001_population_health_zone_zs'!$B$2,[1]ratio_ins!$B:$B,0))*$G137*INDEX([1]ratio_ins!$D:$D,MATCH('001_population_health_zone_zs'!$B137,[1]ratio_ins!$B:$B,0))</f>
        <v>28064.578773000001</v>
      </c>
      <c r="AJ137" s="10">
        <f>INDEX([1]ratio_ins!AG:AG,MATCH('001_population_health_zone_zs'!$B$2,[1]ratio_ins!$B:$B,0))*$G137*INDEX([1]ratio_ins!$D:$D,MATCH('001_population_health_zone_zs'!$B137,[1]ratio_ins!$B:$B,0))</f>
        <v>1635.2123819999999</v>
      </c>
      <c r="AK137" s="10">
        <f>INDEX([1]ratio_ins!AH:AH,MATCH('001_population_health_zone_zs'!$B$2,[1]ratio_ins!$B:$B,0))*$G137*INDEX([1]ratio_ins!$D:$D,MATCH('001_population_health_zone_zs'!$B137,[1]ratio_ins!$B:$B,0))</f>
        <v>3644.7504900000004</v>
      </c>
      <c r="AL137" s="10">
        <f>INDEX([1]ratio_ins!AI:AI,MATCH('001_population_health_zone_zs'!$B$2,[1]ratio_ins!$B:$B,0))*$G137*INDEX([1]ratio_ins!$D:$D,MATCH('001_population_health_zone_zs'!$B137,[1]ratio_ins!$B:$B,0))</f>
        <v>3447.7369500000004</v>
      </c>
      <c r="AM137" s="10">
        <f>INDEX([1]ratio_ins!AJ:AJ,MATCH('001_population_health_zone_zs'!$B$2,[1]ratio_ins!$B:$B,0))*$G137*INDEX([1]ratio_ins!$D:$D,MATCH('001_population_health_zone_zs'!$B137,[1]ratio_ins!$B:$B,0))</f>
        <v>3152.2166400000001</v>
      </c>
      <c r="AN137" s="10">
        <f>INDEX([1]ratio_ins!AK:AK,MATCH('001_population_health_zone_zs'!$B$2,[1]ratio_ins!$B:$B,0))*$G137*INDEX([1]ratio_ins!$D:$D,MATCH('001_population_health_zone_zs'!$B137,[1]ratio_ins!$B:$B,0))</f>
        <v>2955.2030999999997</v>
      </c>
      <c r="AO137" s="10">
        <f>INDEX([1]ratio_ins!AL:AL,MATCH('001_population_health_zone_zs'!$B$2,[1]ratio_ins!$B:$B,0))*$G137*INDEX([1]ratio_ins!$D:$D,MATCH('001_population_health_zone_zs'!$B137,[1]ratio_ins!$B:$B,0))</f>
        <v>2216.402325</v>
      </c>
      <c r="AP137" s="10">
        <f>INDEX([1]ratio_ins!AM:AM,MATCH('001_population_health_zone_zs'!$B$2,[1]ratio_ins!$B:$B,0))*$G137*INDEX([1]ratio_ins!$D:$D,MATCH('001_population_health_zone_zs'!$B137,[1]ratio_ins!$B:$B,0))</f>
        <v>1428.3481650000001</v>
      </c>
      <c r="AQ137" s="10">
        <f>INDEX([1]ratio_ins!AN:AN,MATCH('001_population_health_zone_zs'!$B$2,[1]ratio_ins!$B:$B,0))*$G137*INDEX([1]ratio_ins!$D:$D,MATCH('001_population_health_zone_zs'!$B137,[1]ratio_ins!$B:$B,0))</f>
        <v>1132.827855</v>
      </c>
      <c r="AR137" s="10">
        <f>INDEX([1]ratio_ins!AO:AO,MATCH('001_population_health_zone_zs'!$B$2,[1]ratio_ins!$B:$B,0))*$G137*INDEX([1]ratio_ins!$D:$D,MATCH('001_population_health_zone_zs'!$B137,[1]ratio_ins!$B:$B,0))</f>
        <v>541.78723500000012</v>
      </c>
      <c r="AS137" s="13">
        <f>INDEX([1]ratio_ins!AP:AP,MATCH('001_population_health_zone_zs'!$B$2,[1]ratio_ins!$B:$B,0))*$G137*INDEX([1]ratio_ins!$D:$D,MATCH('001_population_health_zone_zs'!$B137,[1]ratio_ins!$B:$B,0))</f>
        <v>20154.485141999998</v>
      </c>
      <c r="AT137" s="10">
        <f>INDEX([1]ratio_ins!AQ:AQ,MATCH('001_population_health_zone_zs'!$B$2,[1]ratio_ins!$B:$B,0))*$G137*INDEX([1]ratio_ins!$D:$D,MATCH('001_population_health_zone_zs'!$B137,[1]ratio_ins!$B:$B,0))</f>
        <v>492.53384999999997</v>
      </c>
      <c r="AU137" s="10">
        <f>INDEX([1]ratio_ins!AR:AR,MATCH('001_population_health_zone_zs'!$B$2,[1]ratio_ins!$B:$B,0))*$G137*INDEX([1]ratio_ins!$D:$D,MATCH('001_population_health_zone_zs'!$B137,[1]ratio_ins!$B:$B,0))</f>
        <v>295.52030999999999</v>
      </c>
      <c r="AV137" s="10">
        <f>INDEX([1]ratio_ins!AS:AS,MATCH('001_population_health_zone_zs'!$B$2,[1]ratio_ins!$B:$B,0))*$G137*INDEX([1]ratio_ins!$D:$D,MATCH('001_population_health_zone_zs'!$B137,[1]ratio_ins!$B:$B,0))</f>
        <v>147.760155</v>
      </c>
      <c r="AW137" s="10">
        <f>INDEX([1]ratio_ins!AT:AT,MATCH('001_population_health_zone_zs'!$B$2,[1]ratio_ins!$B:$B,0))*$G137*INDEX([1]ratio_ins!$D:$D,MATCH('001_population_health_zone_zs'!$B137,[1]ratio_ins!$B:$B,0))</f>
        <v>98.506770000000003</v>
      </c>
      <c r="AX137" s="13">
        <f>INDEX([1]ratio_ins!AU:AU,MATCH('001_population_health_zone_zs'!$B$2,[1]ratio_ins!$B:$B,0))*$G137*INDEX([1]ratio_ins!$D:$D,MATCH('001_population_health_zone_zs'!$B137,[1]ratio_ins!$B:$B,0))</f>
        <v>1034.321085</v>
      </c>
      <c r="AY137" s="14">
        <f t="shared" si="13"/>
        <v>49253.385000000002</v>
      </c>
      <c r="AZ137" s="15">
        <f t="shared" si="14"/>
        <v>96765</v>
      </c>
      <c r="BA137" s="16">
        <v>93373.226712020536</v>
      </c>
      <c r="BB137" s="10">
        <f t="shared" si="15"/>
        <v>20932.688624999999</v>
      </c>
      <c r="BC137" s="17">
        <f t="shared" si="16"/>
        <v>0.21632499999999999</v>
      </c>
      <c r="BD137" s="10">
        <f t="shared" si="17"/>
        <v>19812.343454999998</v>
      </c>
    </row>
    <row r="138" spans="1:56" x14ac:dyDescent="0.25">
      <c r="A138" s="8" t="s">
        <v>340</v>
      </c>
      <c r="B138" s="8" t="s">
        <v>341</v>
      </c>
      <c r="C138" s="8" t="s">
        <v>342</v>
      </c>
      <c r="D138" s="8" t="s">
        <v>343</v>
      </c>
      <c r="E138" s="8" t="s">
        <v>344</v>
      </c>
      <c r="F138" s="8" t="s">
        <v>345</v>
      </c>
      <c r="G138" s="9">
        <v>179220</v>
      </c>
      <c r="H138" s="10">
        <f>INDEX([1]ratio_ins!F:F,MATCH('001_population_health_zone_zs'!$B$2,[1]ratio_ins!$B:$B,0))*$G138*INDEX([1]ratio_ins!$C:$C,MATCH('001_population_health_zone_zs'!$B138,[1]ratio_ins!$B:$B,0))</f>
        <v>18466.291139999998</v>
      </c>
      <c r="I138" s="10">
        <f>INDEX([1]ratio_ins!G:G,MATCH('001_population_health_zone_zs'!$B$2,[1]ratio_ins!$B:$B,0))*$G138*INDEX([1]ratio_ins!$C:$C,MATCH('001_population_health_zone_zs'!$B138,[1]ratio_ins!$B:$B,0))</f>
        <v>15108.783660000001</v>
      </c>
      <c r="J138" s="10">
        <f>INDEX([1]ratio_ins!H:H,MATCH('001_population_health_zone_zs'!$B$2,[1]ratio_ins!$B:$B,0))*$G138*INDEX([1]ratio_ins!$C:$C,MATCH('001_population_health_zone_zs'!$B138,[1]ratio_ins!$B:$B,0))</f>
        <v>11927.9871</v>
      </c>
      <c r="K138" s="10">
        <f>INDEX([1]ratio_ins!I:I,MATCH('001_population_health_zone_zs'!$B$2,[1]ratio_ins!$B:$B,0))*$G138*INDEX([1]ratio_ins!$C:$C,MATCH('001_population_health_zone_zs'!$B138,[1]ratio_ins!$B:$B,0))</f>
        <v>7333.5031799999997</v>
      </c>
      <c r="L138" s="10">
        <f>INDEX([1]ratio_ins!J:J,MATCH('001_population_health_zone_zs'!$B$2,[1]ratio_ins!$B:$B,0))*$G138*INDEX([1]ratio_ins!$C:$C,MATCH('001_population_health_zone_zs'!$B138,[1]ratio_ins!$B:$B,0))</f>
        <v>4400.1019079999996</v>
      </c>
      <c r="M138" s="11">
        <f>INDEX([1]ratio_ins!K:K,MATCH('001_population_health_zone_zs'!$B$2,[1]ratio_ins!$B:$B,0))*$G138*INDEX([1]ratio_ins!$C:$C,MATCH('001_population_health_zone_zs'!$B138,[1]ratio_ins!$B:$B,0))</f>
        <v>49903.163807999998</v>
      </c>
      <c r="N138" s="10">
        <f>INDEX([1]ratio_ins!L:L,MATCH('001_population_health_zone_zs'!$B$2,[1]ratio_ins!$B:$B,0))*$G138*INDEX([1]ratio_ins!$C:$C,MATCH('001_population_health_zone_zs'!$B138,[1]ratio_ins!$B:$B,0))</f>
        <v>2933.4012720000001</v>
      </c>
      <c r="O138" s="10">
        <f>INDEX([1]ratio_ins!M:M,MATCH('001_population_health_zone_zs'!$B$2,[1]ratio_ins!$B:$B,0))*$G138*INDEX([1]ratio_ins!$C:$C,MATCH('001_population_health_zone_zs'!$B138,[1]ratio_ins!$B:$B,0))</f>
        <v>6361.5931200000005</v>
      </c>
      <c r="P138" s="10">
        <f>INDEX([1]ratio_ins!N:N,MATCH('001_population_health_zone_zs'!$B$2,[1]ratio_ins!$B:$B,0))*$G138*INDEX([1]ratio_ins!$C:$C,MATCH('001_population_health_zone_zs'!$B138,[1]ratio_ins!$B:$B,0))</f>
        <v>5743.1049000000003</v>
      </c>
      <c r="Q138" s="10">
        <f>INDEX([1]ratio_ins!O:O,MATCH('001_population_health_zone_zs'!$B$2,[1]ratio_ins!$B:$B,0))*$G138*INDEX([1]ratio_ins!$C:$C,MATCH('001_population_health_zone_zs'!$B138,[1]ratio_ins!$B:$B,0))</f>
        <v>5124.6166799999992</v>
      </c>
      <c r="R138" s="10">
        <f>INDEX([1]ratio_ins!P:P,MATCH('001_population_health_zone_zs'!$B$2,[1]ratio_ins!$B:$B,0))*$G138*INDEX([1]ratio_ins!$C:$C,MATCH('001_population_health_zone_zs'!$B138,[1]ratio_ins!$B:$B,0))</f>
        <v>5036.2612200000003</v>
      </c>
      <c r="S138" s="10">
        <f>INDEX([1]ratio_ins!Q:Q,MATCH('001_population_health_zone_zs'!$B$2,[1]ratio_ins!$B:$B,0))*$G138*INDEX([1]ratio_ins!$C:$C,MATCH('001_population_health_zone_zs'!$B138,[1]ratio_ins!$B:$B,0))</f>
        <v>4241.0620799999997</v>
      </c>
      <c r="T138" s="10">
        <f>INDEX([1]ratio_ins!R:R,MATCH('001_population_health_zone_zs'!$B$2,[1]ratio_ins!$B:$B,0))*$G138*INDEX([1]ratio_ins!$C:$C,MATCH('001_population_health_zone_zs'!$B138,[1]ratio_ins!$B:$B,0))</f>
        <v>3004.0856400000002</v>
      </c>
      <c r="U138" s="10">
        <f>INDEX([1]ratio_ins!S:S,MATCH('001_population_health_zone_zs'!$B$2,[1]ratio_ins!$B:$B,0))*$G138*INDEX([1]ratio_ins!$C:$C,MATCH('001_population_health_zone_zs'!$B138,[1]ratio_ins!$B:$B,0))</f>
        <v>2385.5974200000001</v>
      </c>
      <c r="V138" s="10">
        <f>INDEX([1]ratio_ins!T:T,MATCH('001_population_health_zone_zs'!$B$2,[1]ratio_ins!$B:$B,0))*$G138*INDEX([1]ratio_ins!$C:$C,MATCH('001_population_health_zone_zs'!$B138,[1]ratio_ins!$B:$B,0))</f>
        <v>1325.3318999999999</v>
      </c>
      <c r="W138" s="11">
        <f>INDEX([1]ratio_ins!U:U,MATCH('001_population_health_zone_zs'!$B$2,[1]ratio_ins!$B:$B,0))*$G138*INDEX([1]ratio_ins!$C:$C,MATCH('001_population_health_zone_zs'!$B138,[1]ratio_ins!$B:$B,0))</f>
        <v>36155.054232000002</v>
      </c>
      <c r="X138" s="10">
        <f>INDEX([1]ratio_ins!V:V,MATCH('001_population_health_zone_zs'!$B$2,[1]ratio_ins!$B:$B,0))*$G138*INDEX([1]ratio_ins!$C:$C,MATCH('001_population_health_zone_zs'!$B138,[1]ratio_ins!$B:$B,0))</f>
        <v>1060.2655199999999</v>
      </c>
      <c r="Y138" s="10">
        <f>INDEX([1]ratio_ins!W:W,MATCH('001_population_health_zone_zs'!$B$2,[1]ratio_ins!$B:$B,0))*$G138*INDEX([1]ratio_ins!$C:$C,MATCH('001_population_health_zone_zs'!$B138,[1]ratio_ins!$B:$B,0))</f>
        <v>706.84367999999995</v>
      </c>
      <c r="Z138" s="10">
        <f>INDEX([1]ratio_ins!X:X,MATCH('001_population_health_zone_zs'!$B$2,[1]ratio_ins!$B:$B,0))*$G138*INDEX([1]ratio_ins!$C:$C,MATCH('001_population_health_zone_zs'!$B138,[1]ratio_ins!$B:$B,0))</f>
        <v>353.42183999999997</v>
      </c>
      <c r="AA138" s="10">
        <f>INDEX([1]ratio_ins!Y:Y,MATCH('001_population_health_zone_zs'!$B$2,[1]ratio_ins!$B:$B,0))*$G138*INDEX([1]ratio_ins!$C:$C,MATCH('001_population_health_zone_zs'!$B138,[1]ratio_ins!$B:$B,0))</f>
        <v>176.71091999999999</v>
      </c>
      <c r="AB138" s="11">
        <f>INDEX([1]ratio_ins!Z:Z,MATCH('001_population_health_zone_zs'!$B$2,[1]ratio_ins!$B:$B,0))*$G138*INDEX([1]ratio_ins!$C:$C,MATCH('001_population_health_zone_zs'!$B138,[1]ratio_ins!$B:$B,0))</f>
        <v>2297.2419600000003</v>
      </c>
      <c r="AC138" s="12">
        <f t="shared" si="12"/>
        <v>88355.46</v>
      </c>
      <c r="AD138" s="10">
        <f>INDEX([1]ratio_ins!AA:AA,MATCH('001_population_health_zone_zs'!$B$2,[1]ratio_ins!$B:$B,0))*$G138*INDEX([1]ratio_ins!$D:$D,MATCH('001_population_health_zone_zs'!$B138,[1]ratio_ins!$B:$B,0))</f>
        <v>19081.553399999997</v>
      </c>
      <c r="AE138" s="10">
        <f>INDEX([1]ratio_ins!AB:AB,MATCH('001_population_health_zone_zs'!$B$2,[1]ratio_ins!$B:$B,0))*$G138*INDEX([1]ratio_ins!$D:$D,MATCH('001_population_health_zone_zs'!$B138,[1]ratio_ins!$B:$B,0))</f>
        <v>15719.565420000001</v>
      </c>
      <c r="AF138" s="10">
        <f>INDEX([1]ratio_ins!AC:AC,MATCH('001_population_health_zone_zs'!$B$2,[1]ratio_ins!$B:$B,0))*$G138*INDEX([1]ratio_ins!$D:$D,MATCH('001_population_health_zone_zs'!$B138,[1]ratio_ins!$B:$B,0))</f>
        <v>12448.441979999998</v>
      </c>
      <c r="AG138" s="10">
        <f>INDEX([1]ratio_ins!AD:AD,MATCH('001_population_health_zone_zs'!$B$2,[1]ratio_ins!$B:$B,0))*$G138*INDEX([1]ratio_ins!$D:$D,MATCH('001_population_health_zone_zs'!$B138,[1]ratio_ins!$B:$B,0))</f>
        <v>7541.7568200000005</v>
      </c>
      <c r="AH138" s="10">
        <f>INDEX([1]ratio_ins!AE:AE,MATCH('001_population_health_zone_zs'!$B$2,[1]ratio_ins!$B:$B,0))*$G138*INDEX([1]ratio_ins!$D:$D,MATCH('001_population_health_zone_zs'!$B138,[1]ratio_ins!$B:$B,0))</f>
        <v>4525.0540919999994</v>
      </c>
      <c r="AI138" s="13">
        <f>INDEX([1]ratio_ins!AF:AF,MATCH('001_population_health_zone_zs'!$B$2,[1]ratio_ins!$B:$B,0))*$G138*INDEX([1]ratio_ins!$D:$D,MATCH('001_population_health_zone_zs'!$B138,[1]ratio_ins!$B:$B,0))</f>
        <v>51774.614891999998</v>
      </c>
      <c r="AJ138" s="10">
        <f>INDEX([1]ratio_ins!AG:AG,MATCH('001_population_health_zone_zs'!$B$2,[1]ratio_ins!$B:$B,0))*$G138*INDEX([1]ratio_ins!$D:$D,MATCH('001_population_health_zone_zs'!$B138,[1]ratio_ins!$B:$B,0))</f>
        <v>3016.7027280000002</v>
      </c>
      <c r="AK138" s="10">
        <f>INDEX([1]ratio_ins!AH:AH,MATCH('001_population_health_zone_zs'!$B$2,[1]ratio_ins!$B:$B,0))*$G138*INDEX([1]ratio_ins!$D:$D,MATCH('001_population_health_zone_zs'!$B138,[1]ratio_ins!$B:$B,0))</f>
        <v>6723.9759600000016</v>
      </c>
      <c r="AL138" s="10">
        <f>INDEX([1]ratio_ins!AI:AI,MATCH('001_population_health_zone_zs'!$B$2,[1]ratio_ins!$B:$B,0))*$G138*INDEX([1]ratio_ins!$D:$D,MATCH('001_population_health_zone_zs'!$B138,[1]ratio_ins!$B:$B,0))</f>
        <v>6360.5178000000005</v>
      </c>
      <c r="AM138" s="10">
        <f>INDEX([1]ratio_ins!AJ:AJ,MATCH('001_population_health_zone_zs'!$B$2,[1]ratio_ins!$B:$B,0))*$G138*INDEX([1]ratio_ins!$D:$D,MATCH('001_population_health_zone_zs'!$B138,[1]ratio_ins!$B:$B,0))</f>
        <v>5815.3305600000003</v>
      </c>
      <c r="AN138" s="10">
        <f>INDEX([1]ratio_ins!AK:AK,MATCH('001_population_health_zone_zs'!$B$2,[1]ratio_ins!$B:$B,0))*$G138*INDEX([1]ratio_ins!$D:$D,MATCH('001_population_health_zone_zs'!$B138,[1]ratio_ins!$B:$B,0))</f>
        <v>5451.8723999999993</v>
      </c>
      <c r="AO138" s="10">
        <f>INDEX([1]ratio_ins!AL:AL,MATCH('001_population_health_zone_zs'!$B$2,[1]ratio_ins!$B:$B,0))*$G138*INDEX([1]ratio_ins!$D:$D,MATCH('001_population_health_zone_zs'!$B138,[1]ratio_ins!$B:$B,0))</f>
        <v>4088.9042999999997</v>
      </c>
      <c r="AP138" s="10">
        <f>INDEX([1]ratio_ins!AM:AM,MATCH('001_population_health_zone_zs'!$B$2,[1]ratio_ins!$B:$B,0))*$G138*INDEX([1]ratio_ins!$D:$D,MATCH('001_population_health_zone_zs'!$B138,[1]ratio_ins!$B:$B,0))</f>
        <v>2635.0716599999996</v>
      </c>
      <c r="AQ138" s="10">
        <f>INDEX([1]ratio_ins!AN:AN,MATCH('001_population_health_zone_zs'!$B$2,[1]ratio_ins!$B:$B,0))*$G138*INDEX([1]ratio_ins!$D:$D,MATCH('001_population_health_zone_zs'!$B138,[1]ratio_ins!$B:$B,0))</f>
        <v>2089.8844199999999</v>
      </c>
      <c r="AR138" s="10">
        <f>INDEX([1]ratio_ins!AO:AO,MATCH('001_population_health_zone_zs'!$B$2,[1]ratio_ins!$B:$B,0))*$G138*INDEX([1]ratio_ins!$D:$D,MATCH('001_population_health_zone_zs'!$B138,[1]ratio_ins!$B:$B,0))</f>
        <v>999.50994000000014</v>
      </c>
      <c r="AS138" s="13">
        <f>INDEX([1]ratio_ins!AP:AP,MATCH('001_population_health_zone_zs'!$B$2,[1]ratio_ins!$B:$B,0))*$G138*INDEX([1]ratio_ins!$D:$D,MATCH('001_population_health_zone_zs'!$B138,[1]ratio_ins!$B:$B,0))</f>
        <v>37181.769768000006</v>
      </c>
      <c r="AT138" s="10">
        <f>INDEX([1]ratio_ins!AQ:AQ,MATCH('001_population_health_zone_zs'!$B$2,[1]ratio_ins!$B:$B,0))*$G138*INDEX([1]ratio_ins!$D:$D,MATCH('001_population_health_zone_zs'!$B138,[1]ratio_ins!$B:$B,0))</f>
        <v>908.6454</v>
      </c>
      <c r="AU138" s="10">
        <f>INDEX([1]ratio_ins!AR:AR,MATCH('001_population_health_zone_zs'!$B$2,[1]ratio_ins!$B:$B,0))*$G138*INDEX([1]ratio_ins!$D:$D,MATCH('001_population_health_zone_zs'!$B138,[1]ratio_ins!$B:$B,0))</f>
        <v>545.18723999999997</v>
      </c>
      <c r="AV138" s="10">
        <f>INDEX([1]ratio_ins!AS:AS,MATCH('001_population_health_zone_zs'!$B$2,[1]ratio_ins!$B:$B,0))*$G138*INDEX([1]ratio_ins!$D:$D,MATCH('001_population_health_zone_zs'!$B138,[1]ratio_ins!$B:$B,0))</f>
        <v>272.59361999999999</v>
      </c>
      <c r="AW138" s="10">
        <f>INDEX([1]ratio_ins!AT:AT,MATCH('001_population_health_zone_zs'!$B$2,[1]ratio_ins!$B:$B,0))*$G138*INDEX([1]ratio_ins!$D:$D,MATCH('001_population_health_zone_zs'!$B138,[1]ratio_ins!$B:$B,0))</f>
        <v>181.72908000000001</v>
      </c>
      <c r="AX138" s="13">
        <f>INDEX([1]ratio_ins!AU:AU,MATCH('001_population_health_zone_zs'!$B$2,[1]ratio_ins!$B:$B,0))*$G138*INDEX([1]ratio_ins!$D:$D,MATCH('001_population_health_zone_zs'!$B138,[1]ratio_ins!$B:$B,0))</f>
        <v>1908.1553399999998</v>
      </c>
      <c r="AY138" s="14">
        <f t="shared" si="13"/>
        <v>90864.540000000008</v>
      </c>
      <c r="AZ138" s="15">
        <f t="shared" si="14"/>
        <v>179220</v>
      </c>
      <c r="BA138" s="16">
        <v>172910.32478803053</v>
      </c>
      <c r="BB138" s="10">
        <f t="shared" si="15"/>
        <v>38617.429500000006</v>
      </c>
      <c r="BC138" s="17">
        <f t="shared" si="16"/>
        <v>0.21547500000000003</v>
      </c>
      <c r="BD138" s="10">
        <f t="shared" si="17"/>
        <v>36844.226820000003</v>
      </c>
    </row>
    <row r="139" spans="1:56" x14ac:dyDescent="0.25">
      <c r="A139" s="8" t="s">
        <v>340</v>
      </c>
      <c r="B139" s="8" t="s">
        <v>341</v>
      </c>
      <c r="C139" s="8" t="s">
        <v>342</v>
      </c>
      <c r="D139" s="8" t="s">
        <v>343</v>
      </c>
      <c r="E139" s="8" t="s">
        <v>346</v>
      </c>
      <c r="F139" s="8" t="s">
        <v>347</v>
      </c>
      <c r="G139" s="9">
        <v>195858</v>
      </c>
      <c r="H139" s="10">
        <f>INDEX([1]ratio_ins!F:F,MATCH('001_population_health_zone_zs'!$B$2,[1]ratio_ins!$B:$B,0))*$G139*INDEX([1]ratio_ins!$C:$C,MATCH('001_population_health_zone_zs'!$B139,[1]ratio_ins!$B:$B,0))</f>
        <v>20180.620746000001</v>
      </c>
      <c r="I139" s="10">
        <f>INDEX([1]ratio_ins!G:G,MATCH('001_population_health_zone_zs'!$B$2,[1]ratio_ins!$B:$B,0))*$G139*INDEX([1]ratio_ins!$C:$C,MATCH('001_population_health_zone_zs'!$B139,[1]ratio_ins!$B:$B,0))</f>
        <v>16511.416974</v>
      </c>
      <c r="J139" s="10">
        <f>INDEX([1]ratio_ins!H:H,MATCH('001_population_health_zone_zs'!$B$2,[1]ratio_ins!$B:$B,0))*$G139*INDEX([1]ratio_ins!$C:$C,MATCH('001_population_health_zone_zs'!$B139,[1]ratio_ins!$B:$B,0))</f>
        <v>13035.32919</v>
      </c>
      <c r="K139" s="10">
        <f>INDEX([1]ratio_ins!I:I,MATCH('001_population_health_zone_zs'!$B$2,[1]ratio_ins!$B:$B,0))*$G139*INDEX([1]ratio_ins!$C:$C,MATCH('001_population_health_zone_zs'!$B139,[1]ratio_ins!$B:$B,0))</f>
        <v>8014.313502</v>
      </c>
      <c r="L139" s="10">
        <f>INDEX([1]ratio_ins!J:J,MATCH('001_population_health_zone_zs'!$B$2,[1]ratio_ins!$B:$B,0))*$G139*INDEX([1]ratio_ins!$C:$C,MATCH('001_population_health_zone_zs'!$B139,[1]ratio_ins!$B:$B,0))</f>
        <v>4808.5881012</v>
      </c>
      <c r="M139" s="11">
        <f>INDEX([1]ratio_ins!K:K,MATCH('001_population_health_zone_zs'!$B$2,[1]ratio_ins!$B:$B,0))*$G139*INDEX([1]ratio_ins!$C:$C,MATCH('001_population_health_zone_zs'!$B139,[1]ratio_ins!$B:$B,0))</f>
        <v>54535.955011199992</v>
      </c>
      <c r="N139" s="10">
        <f>INDEX([1]ratio_ins!L:L,MATCH('001_population_health_zone_zs'!$B$2,[1]ratio_ins!$B:$B,0))*$G139*INDEX([1]ratio_ins!$C:$C,MATCH('001_population_health_zone_zs'!$B139,[1]ratio_ins!$B:$B,0))</f>
        <v>3205.7254008</v>
      </c>
      <c r="O139" s="10">
        <f>INDEX([1]ratio_ins!M:M,MATCH('001_population_health_zone_zs'!$B$2,[1]ratio_ins!$B:$B,0))*$G139*INDEX([1]ratio_ins!$C:$C,MATCH('001_population_health_zone_zs'!$B139,[1]ratio_ins!$B:$B,0))</f>
        <v>6952.1755680000006</v>
      </c>
      <c r="P139" s="10">
        <f>INDEX([1]ratio_ins!N:N,MATCH('001_population_health_zone_zs'!$B$2,[1]ratio_ins!$B:$B,0))*$G139*INDEX([1]ratio_ins!$C:$C,MATCH('001_population_health_zone_zs'!$B139,[1]ratio_ins!$B:$B,0))</f>
        <v>6276.2696100000003</v>
      </c>
      <c r="Q139" s="10">
        <f>INDEX([1]ratio_ins!O:O,MATCH('001_population_health_zone_zs'!$B$2,[1]ratio_ins!$B:$B,0))*$G139*INDEX([1]ratio_ins!$C:$C,MATCH('001_population_health_zone_zs'!$B139,[1]ratio_ins!$B:$B,0))</f>
        <v>5600.3636519999991</v>
      </c>
      <c r="R139" s="10">
        <f>INDEX([1]ratio_ins!P:P,MATCH('001_population_health_zone_zs'!$B$2,[1]ratio_ins!$B:$B,0))*$G139*INDEX([1]ratio_ins!$C:$C,MATCH('001_population_health_zone_zs'!$B139,[1]ratio_ins!$B:$B,0))</f>
        <v>5503.8056580000002</v>
      </c>
      <c r="S139" s="10">
        <f>INDEX([1]ratio_ins!Q:Q,MATCH('001_population_health_zone_zs'!$B$2,[1]ratio_ins!$B:$B,0))*$G139*INDEX([1]ratio_ins!$C:$C,MATCH('001_population_health_zone_zs'!$B139,[1]ratio_ins!$B:$B,0))</f>
        <v>4634.7837119999995</v>
      </c>
      <c r="T139" s="10">
        <f>INDEX([1]ratio_ins!R:R,MATCH('001_population_health_zone_zs'!$B$2,[1]ratio_ins!$B:$B,0))*$G139*INDEX([1]ratio_ins!$C:$C,MATCH('001_population_health_zone_zs'!$B139,[1]ratio_ins!$B:$B,0))</f>
        <v>3282.9717960000003</v>
      </c>
      <c r="U139" s="10">
        <f>INDEX([1]ratio_ins!S:S,MATCH('001_population_health_zone_zs'!$B$2,[1]ratio_ins!$B:$B,0))*$G139*INDEX([1]ratio_ins!$C:$C,MATCH('001_population_health_zone_zs'!$B139,[1]ratio_ins!$B:$B,0))</f>
        <v>2607.065838</v>
      </c>
      <c r="V139" s="10">
        <f>INDEX([1]ratio_ins!T:T,MATCH('001_population_health_zone_zs'!$B$2,[1]ratio_ins!$B:$B,0))*$G139*INDEX([1]ratio_ins!$C:$C,MATCH('001_population_health_zone_zs'!$B139,[1]ratio_ins!$B:$B,0))</f>
        <v>1448.3699099999999</v>
      </c>
      <c r="W139" s="11">
        <f>INDEX([1]ratio_ins!U:U,MATCH('001_population_health_zone_zs'!$B$2,[1]ratio_ins!$B:$B,0))*$G139*INDEX([1]ratio_ins!$C:$C,MATCH('001_population_health_zone_zs'!$B139,[1]ratio_ins!$B:$B,0))</f>
        <v>39511.531144800007</v>
      </c>
      <c r="X139" s="10">
        <f>INDEX([1]ratio_ins!V:V,MATCH('001_population_health_zone_zs'!$B$2,[1]ratio_ins!$B:$B,0))*$G139*INDEX([1]ratio_ins!$C:$C,MATCH('001_population_health_zone_zs'!$B139,[1]ratio_ins!$B:$B,0))</f>
        <v>1158.6959279999999</v>
      </c>
      <c r="Y139" s="10">
        <f>INDEX([1]ratio_ins!W:W,MATCH('001_population_health_zone_zs'!$B$2,[1]ratio_ins!$B:$B,0))*$G139*INDEX([1]ratio_ins!$C:$C,MATCH('001_population_health_zone_zs'!$B139,[1]ratio_ins!$B:$B,0))</f>
        <v>772.46395200000006</v>
      </c>
      <c r="Z139" s="10">
        <f>INDEX([1]ratio_ins!X:X,MATCH('001_population_health_zone_zs'!$B$2,[1]ratio_ins!$B:$B,0))*$G139*INDEX([1]ratio_ins!$C:$C,MATCH('001_population_health_zone_zs'!$B139,[1]ratio_ins!$B:$B,0))</f>
        <v>386.23197600000003</v>
      </c>
      <c r="AA139" s="10">
        <f>INDEX([1]ratio_ins!Y:Y,MATCH('001_population_health_zone_zs'!$B$2,[1]ratio_ins!$B:$B,0))*$G139*INDEX([1]ratio_ins!$C:$C,MATCH('001_population_health_zone_zs'!$B139,[1]ratio_ins!$B:$B,0))</f>
        <v>193.11598800000002</v>
      </c>
      <c r="AB139" s="11">
        <f>INDEX([1]ratio_ins!Z:Z,MATCH('001_population_health_zone_zs'!$B$2,[1]ratio_ins!$B:$B,0))*$G139*INDEX([1]ratio_ins!$C:$C,MATCH('001_population_health_zone_zs'!$B139,[1]ratio_ins!$B:$B,0))</f>
        <v>2510.5078439999997</v>
      </c>
      <c r="AC139" s="12">
        <f t="shared" si="12"/>
        <v>96557.994000000006</v>
      </c>
      <c r="AD139" s="10">
        <f>INDEX([1]ratio_ins!AA:AA,MATCH('001_population_health_zone_zs'!$B$2,[1]ratio_ins!$B:$B,0))*$G139*INDEX([1]ratio_ins!$D:$D,MATCH('001_population_health_zone_zs'!$B139,[1]ratio_ins!$B:$B,0))</f>
        <v>20853.001260000001</v>
      </c>
      <c r="AE139" s="10">
        <f>INDEX([1]ratio_ins!AB:AB,MATCH('001_population_health_zone_zs'!$B$2,[1]ratio_ins!$B:$B,0))*$G139*INDEX([1]ratio_ins!$D:$D,MATCH('001_population_health_zone_zs'!$B139,[1]ratio_ins!$B:$B,0))</f>
        <v>17178.901038</v>
      </c>
      <c r="AF139" s="10">
        <f>INDEX([1]ratio_ins!AC:AC,MATCH('001_population_health_zone_zs'!$B$2,[1]ratio_ins!$B:$B,0))*$G139*INDEX([1]ratio_ins!$D:$D,MATCH('001_population_health_zone_zs'!$B139,[1]ratio_ins!$B:$B,0))</f>
        <v>13604.100821999999</v>
      </c>
      <c r="AG139" s="10">
        <f>INDEX([1]ratio_ins!AD:AD,MATCH('001_population_health_zone_zs'!$B$2,[1]ratio_ins!$B:$B,0))*$G139*INDEX([1]ratio_ins!$D:$D,MATCH('001_population_health_zone_zs'!$B139,[1]ratio_ins!$B:$B,0))</f>
        <v>8241.9004980000009</v>
      </c>
      <c r="AH139" s="10">
        <f>INDEX([1]ratio_ins!AE:AE,MATCH('001_population_health_zone_zs'!$B$2,[1]ratio_ins!$B:$B,0))*$G139*INDEX([1]ratio_ins!$D:$D,MATCH('001_population_health_zone_zs'!$B139,[1]ratio_ins!$B:$B,0))</f>
        <v>4945.1402988</v>
      </c>
      <c r="AI139" s="13">
        <f>INDEX([1]ratio_ins!AF:AF,MATCH('001_population_health_zone_zs'!$B$2,[1]ratio_ins!$B:$B,0))*$G139*INDEX([1]ratio_ins!$D:$D,MATCH('001_population_health_zone_zs'!$B139,[1]ratio_ins!$B:$B,0))</f>
        <v>56581.143418799998</v>
      </c>
      <c r="AJ139" s="10">
        <f>INDEX([1]ratio_ins!AG:AG,MATCH('001_population_health_zone_zs'!$B$2,[1]ratio_ins!$B:$B,0))*$G139*INDEX([1]ratio_ins!$D:$D,MATCH('001_population_health_zone_zs'!$B139,[1]ratio_ins!$B:$B,0))</f>
        <v>3296.7601992</v>
      </c>
      <c r="AK139" s="10">
        <f>INDEX([1]ratio_ins!AH:AH,MATCH('001_population_health_zone_zs'!$B$2,[1]ratio_ins!$B:$B,0))*$G139*INDEX([1]ratio_ins!$D:$D,MATCH('001_population_health_zone_zs'!$B139,[1]ratio_ins!$B:$B,0))</f>
        <v>7348.200444000001</v>
      </c>
      <c r="AL139" s="10">
        <f>INDEX([1]ratio_ins!AI:AI,MATCH('001_population_health_zone_zs'!$B$2,[1]ratio_ins!$B:$B,0))*$G139*INDEX([1]ratio_ins!$D:$D,MATCH('001_population_health_zone_zs'!$B139,[1]ratio_ins!$B:$B,0))</f>
        <v>6951.0004200000003</v>
      </c>
      <c r="AM139" s="10">
        <f>INDEX([1]ratio_ins!AJ:AJ,MATCH('001_population_health_zone_zs'!$B$2,[1]ratio_ins!$B:$B,0))*$G139*INDEX([1]ratio_ins!$D:$D,MATCH('001_population_health_zone_zs'!$B139,[1]ratio_ins!$B:$B,0))</f>
        <v>6355.2003839999998</v>
      </c>
      <c r="AN139" s="10">
        <f>INDEX([1]ratio_ins!AK:AK,MATCH('001_population_health_zone_zs'!$B$2,[1]ratio_ins!$B:$B,0))*$G139*INDEX([1]ratio_ins!$D:$D,MATCH('001_population_health_zone_zs'!$B139,[1]ratio_ins!$B:$B,0))</f>
        <v>5958.00036</v>
      </c>
      <c r="AO139" s="10">
        <f>INDEX([1]ratio_ins!AL:AL,MATCH('001_population_health_zone_zs'!$B$2,[1]ratio_ins!$B:$B,0))*$G139*INDEX([1]ratio_ins!$D:$D,MATCH('001_population_health_zone_zs'!$B139,[1]ratio_ins!$B:$B,0))</f>
        <v>4468.5002700000005</v>
      </c>
      <c r="AP139" s="10">
        <f>INDEX([1]ratio_ins!AM:AM,MATCH('001_population_health_zone_zs'!$B$2,[1]ratio_ins!$B:$B,0))*$G139*INDEX([1]ratio_ins!$D:$D,MATCH('001_population_health_zone_zs'!$B139,[1]ratio_ins!$B:$B,0))</f>
        <v>2879.7001740000001</v>
      </c>
      <c r="AQ139" s="10">
        <f>INDEX([1]ratio_ins!AN:AN,MATCH('001_population_health_zone_zs'!$B$2,[1]ratio_ins!$B:$B,0))*$G139*INDEX([1]ratio_ins!$D:$D,MATCH('001_population_health_zone_zs'!$B139,[1]ratio_ins!$B:$B,0))</f>
        <v>2283.9001380000004</v>
      </c>
      <c r="AR139" s="10">
        <f>INDEX([1]ratio_ins!AO:AO,MATCH('001_population_health_zone_zs'!$B$2,[1]ratio_ins!$B:$B,0))*$G139*INDEX([1]ratio_ins!$D:$D,MATCH('001_population_health_zone_zs'!$B139,[1]ratio_ins!$B:$B,0))</f>
        <v>1092.300066</v>
      </c>
      <c r="AS139" s="13">
        <f>INDEX([1]ratio_ins!AP:AP,MATCH('001_population_health_zone_zs'!$B$2,[1]ratio_ins!$B:$B,0))*$G139*INDEX([1]ratio_ins!$D:$D,MATCH('001_population_health_zone_zs'!$B139,[1]ratio_ins!$B:$B,0))</f>
        <v>40633.562455200001</v>
      </c>
      <c r="AT139" s="10">
        <f>INDEX([1]ratio_ins!AQ:AQ,MATCH('001_population_health_zone_zs'!$B$2,[1]ratio_ins!$B:$B,0))*$G139*INDEX([1]ratio_ins!$D:$D,MATCH('001_population_health_zone_zs'!$B139,[1]ratio_ins!$B:$B,0))</f>
        <v>993.00005999999996</v>
      </c>
      <c r="AU139" s="10">
        <f>INDEX([1]ratio_ins!AR:AR,MATCH('001_population_health_zone_zs'!$B$2,[1]ratio_ins!$B:$B,0))*$G139*INDEX([1]ratio_ins!$D:$D,MATCH('001_population_health_zone_zs'!$B139,[1]ratio_ins!$B:$B,0))</f>
        <v>595.80003599999998</v>
      </c>
      <c r="AV139" s="10">
        <f>INDEX([1]ratio_ins!AS:AS,MATCH('001_population_health_zone_zs'!$B$2,[1]ratio_ins!$B:$B,0))*$G139*INDEX([1]ratio_ins!$D:$D,MATCH('001_population_health_zone_zs'!$B139,[1]ratio_ins!$B:$B,0))</f>
        <v>297.90001799999999</v>
      </c>
      <c r="AW139" s="10">
        <f>INDEX([1]ratio_ins!AT:AT,MATCH('001_population_health_zone_zs'!$B$2,[1]ratio_ins!$B:$B,0))*$G139*INDEX([1]ratio_ins!$D:$D,MATCH('001_population_health_zone_zs'!$B139,[1]ratio_ins!$B:$B,0))</f>
        <v>198.60001199999999</v>
      </c>
      <c r="AX139" s="13">
        <f>INDEX([1]ratio_ins!AU:AU,MATCH('001_population_health_zone_zs'!$B$2,[1]ratio_ins!$B:$B,0))*$G139*INDEX([1]ratio_ins!$D:$D,MATCH('001_population_health_zone_zs'!$B139,[1]ratio_ins!$B:$B,0))</f>
        <v>2085.3001260000001</v>
      </c>
      <c r="AY139" s="14">
        <f t="shared" si="13"/>
        <v>99300.006000000008</v>
      </c>
      <c r="AZ139" s="15">
        <f t="shared" si="14"/>
        <v>195858</v>
      </c>
      <c r="BA139" s="16">
        <v>188962.18385579897</v>
      </c>
      <c r="BB139" s="10">
        <f t="shared" si="15"/>
        <v>42202.502550000005</v>
      </c>
      <c r="BC139" s="17">
        <f t="shared" si="16"/>
        <v>0.21547500000000003</v>
      </c>
      <c r="BD139" s="10">
        <f t="shared" si="17"/>
        <v>40264.683497999999</v>
      </c>
    </row>
    <row r="140" spans="1:56" x14ac:dyDescent="0.25">
      <c r="A140" s="8" t="s">
        <v>340</v>
      </c>
      <c r="B140" s="8" t="s">
        <v>341</v>
      </c>
      <c r="C140" s="8" t="s">
        <v>342</v>
      </c>
      <c r="D140" s="8" t="s">
        <v>343</v>
      </c>
      <c r="E140" s="8" t="s">
        <v>348</v>
      </c>
      <c r="F140" s="8" t="s">
        <v>349</v>
      </c>
      <c r="G140" s="9">
        <v>285637</v>
      </c>
      <c r="H140" s="10">
        <f>INDEX([1]ratio_ins!F:F,MATCH('001_population_health_zone_zs'!$B$2,[1]ratio_ins!$B:$B,0))*$G140*INDEX([1]ratio_ins!$C:$C,MATCH('001_population_health_zone_zs'!$B140,[1]ratio_ins!$B:$B,0))</f>
        <v>29431.179568999996</v>
      </c>
      <c r="I140" s="10">
        <f>INDEX([1]ratio_ins!G:G,MATCH('001_population_health_zone_zs'!$B$2,[1]ratio_ins!$B:$B,0))*$G140*INDEX([1]ratio_ins!$C:$C,MATCH('001_population_health_zone_zs'!$B140,[1]ratio_ins!$B:$B,0))</f>
        <v>24080.056011000001</v>
      </c>
      <c r="J140" s="10">
        <f>INDEX([1]ratio_ins!H:H,MATCH('001_population_health_zone_zs'!$B$2,[1]ratio_ins!$B:$B,0))*$G140*INDEX([1]ratio_ins!$C:$C,MATCH('001_population_health_zone_zs'!$B140,[1]ratio_ins!$B:$B,0))</f>
        <v>19010.570535000003</v>
      </c>
      <c r="K140" s="10">
        <f>INDEX([1]ratio_ins!I:I,MATCH('001_population_health_zone_zs'!$B$2,[1]ratio_ins!$B:$B,0))*$G140*INDEX([1]ratio_ins!$C:$C,MATCH('001_population_health_zone_zs'!$B140,[1]ratio_ins!$B:$B,0))</f>
        <v>11687.980403000001</v>
      </c>
      <c r="L140" s="10">
        <f>INDEX([1]ratio_ins!J:J,MATCH('001_population_health_zone_zs'!$B$2,[1]ratio_ins!$B:$B,0))*$G140*INDEX([1]ratio_ins!$C:$C,MATCH('001_population_health_zone_zs'!$B140,[1]ratio_ins!$B:$B,0))</f>
        <v>7012.7882417999999</v>
      </c>
      <c r="M140" s="11">
        <f>INDEX([1]ratio_ins!K:K,MATCH('001_population_health_zone_zs'!$B$2,[1]ratio_ins!$B:$B,0))*$G140*INDEX([1]ratio_ins!$C:$C,MATCH('001_population_health_zone_zs'!$B140,[1]ratio_ins!$B:$B,0))</f>
        <v>79534.594356799993</v>
      </c>
      <c r="N140" s="10">
        <f>INDEX([1]ratio_ins!L:L,MATCH('001_population_health_zone_zs'!$B$2,[1]ratio_ins!$B:$B,0))*$G140*INDEX([1]ratio_ins!$C:$C,MATCH('001_population_health_zone_zs'!$B140,[1]ratio_ins!$B:$B,0))</f>
        <v>4675.1921611999996</v>
      </c>
      <c r="O140" s="10">
        <f>INDEX([1]ratio_ins!M:M,MATCH('001_population_health_zone_zs'!$B$2,[1]ratio_ins!$B:$B,0))*$G140*INDEX([1]ratio_ins!$C:$C,MATCH('001_population_health_zone_zs'!$B140,[1]ratio_ins!$B:$B,0))</f>
        <v>10138.970952</v>
      </c>
      <c r="P140" s="10">
        <f>INDEX([1]ratio_ins!N:N,MATCH('001_population_health_zone_zs'!$B$2,[1]ratio_ins!$B:$B,0))*$G140*INDEX([1]ratio_ins!$C:$C,MATCH('001_population_health_zone_zs'!$B140,[1]ratio_ins!$B:$B,0))</f>
        <v>9153.2376649999987</v>
      </c>
      <c r="Q140" s="10">
        <f>INDEX([1]ratio_ins!O:O,MATCH('001_population_health_zone_zs'!$B$2,[1]ratio_ins!$B:$B,0))*$G140*INDEX([1]ratio_ins!$C:$C,MATCH('001_population_health_zone_zs'!$B140,[1]ratio_ins!$B:$B,0))</f>
        <v>8167.5043779999996</v>
      </c>
      <c r="R140" s="10">
        <f>INDEX([1]ratio_ins!P:P,MATCH('001_population_health_zone_zs'!$B$2,[1]ratio_ins!$B:$B,0))*$G140*INDEX([1]ratio_ins!$C:$C,MATCH('001_population_health_zone_zs'!$B140,[1]ratio_ins!$B:$B,0))</f>
        <v>8026.6853370000008</v>
      </c>
      <c r="S140" s="10">
        <f>INDEX([1]ratio_ins!Q:Q,MATCH('001_population_health_zone_zs'!$B$2,[1]ratio_ins!$B:$B,0))*$G140*INDEX([1]ratio_ins!$C:$C,MATCH('001_population_health_zone_zs'!$B140,[1]ratio_ins!$B:$B,0))</f>
        <v>6759.3139680000004</v>
      </c>
      <c r="T140" s="10">
        <f>INDEX([1]ratio_ins!R:R,MATCH('001_population_health_zone_zs'!$B$2,[1]ratio_ins!$B:$B,0))*$G140*INDEX([1]ratio_ins!$C:$C,MATCH('001_population_health_zone_zs'!$B140,[1]ratio_ins!$B:$B,0))</f>
        <v>4787.8473940000003</v>
      </c>
      <c r="U140" s="10">
        <f>INDEX([1]ratio_ins!S:S,MATCH('001_population_health_zone_zs'!$B$2,[1]ratio_ins!$B:$B,0))*$G140*INDEX([1]ratio_ins!$C:$C,MATCH('001_population_health_zone_zs'!$B140,[1]ratio_ins!$B:$B,0))</f>
        <v>3802.1141070000003</v>
      </c>
      <c r="V140" s="10">
        <f>INDEX([1]ratio_ins!T:T,MATCH('001_population_health_zone_zs'!$B$2,[1]ratio_ins!$B:$B,0))*$G140*INDEX([1]ratio_ins!$C:$C,MATCH('001_population_health_zone_zs'!$B140,[1]ratio_ins!$B:$B,0))</f>
        <v>2112.2856150000002</v>
      </c>
      <c r="W140" s="11">
        <f>INDEX([1]ratio_ins!U:U,MATCH('001_population_health_zone_zs'!$B$2,[1]ratio_ins!$B:$B,0))*$G140*INDEX([1]ratio_ins!$C:$C,MATCH('001_population_health_zone_zs'!$B140,[1]ratio_ins!$B:$B,0))</f>
        <v>57623.151577200006</v>
      </c>
      <c r="X140" s="10">
        <f>INDEX([1]ratio_ins!V:V,MATCH('001_population_health_zone_zs'!$B$2,[1]ratio_ins!$B:$B,0))*$G140*INDEX([1]ratio_ins!$C:$C,MATCH('001_population_health_zone_zs'!$B140,[1]ratio_ins!$B:$B,0))</f>
        <v>1689.8284920000001</v>
      </c>
      <c r="Y140" s="10">
        <f>INDEX([1]ratio_ins!W:W,MATCH('001_population_health_zone_zs'!$B$2,[1]ratio_ins!$B:$B,0))*$G140*INDEX([1]ratio_ins!$C:$C,MATCH('001_population_health_zone_zs'!$B140,[1]ratio_ins!$B:$B,0))</f>
        <v>1126.552328</v>
      </c>
      <c r="Z140" s="10">
        <f>INDEX([1]ratio_ins!X:X,MATCH('001_population_health_zone_zs'!$B$2,[1]ratio_ins!$B:$B,0))*$G140*INDEX([1]ratio_ins!$C:$C,MATCH('001_population_health_zone_zs'!$B140,[1]ratio_ins!$B:$B,0))</f>
        <v>563.27616399999999</v>
      </c>
      <c r="AA140" s="10">
        <f>INDEX([1]ratio_ins!Y:Y,MATCH('001_population_health_zone_zs'!$B$2,[1]ratio_ins!$B:$B,0))*$G140*INDEX([1]ratio_ins!$C:$C,MATCH('001_population_health_zone_zs'!$B140,[1]ratio_ins!$B:$B,0))</f>
        <v>281.638082</v>
      </c>
      <c r="AB140" s="11">
        <f>INDEX([1]ratio_ins!Z:Z,MATCH('001_population_health_zone_zs'!$B$2,[1]ratio_ins!$B:$B,0))*$G140*INDEX([1]ratio_ins!$C:$C,MATCH('001_population_health_zone_zs'!$B140,[1]ratio_ins!$B:$B,0))</f>
        <v>3661.2950660000001</v>
      </c>
      <c r="AC140" s="12">
        <f t="shared" si="12"/>
        <v>140819.041</v>
      </c>
      <c r="AD140" s="10">
        <f>INDEX([1]ratio_ins!AA:AA,MATCH('001_population_health_zone_zs'!$B$2,[1]ratio_ins!$B:$B,0))*$G140*INDEX([1]ratio_ins!$D:$D,MATCH('001_population_health_zone_zs'!$B140,[1]ratio_ins!$B:$B,0))</f>
        <v>30411.771389999998</v>
      </c>
      <c r="AE140" s="10">
        <f>INDEX([1]ratio_ins!AB:AB,MATCH('001_population_health_zone_zs'!$B$2,[1]ratio_ins!$B:$B,0))*$G140*INDEX([1]ratio_ins!$D:$D,MATCH('001_population_health_zone_zs'!$B140,[1]ratio_ins!$B:$B,0))</f>
        <v>25053.506906999999</v>
      </c>
      <c r="AF140" s="10">
        <f>INDEX([1]ratio_ins!AC:AC,MATCH('001_population_health_zone_zs'!$B$2,[1]ratio_ins!$B:$B,0))*$G140*INDEX([1]ratio_ins!$D:$D,MATCH('001_population_health_zone_zs'!$B140,[1]ratio_ins!$B:$B,0))</f>
        <v>19840.060382999996</v>
      </c>
      <c r="AG140" s="10">
        <f>INDEX([1]ratio_ins!AD:AD,MATCH('001_population_health_zone_zs'!$B$2,[1]ratio_ins!$B:$B,0))*$G140*INDEX([1]ratio_ins!$D:$D,MATCH('001_population_health_zone_zs'!$B140,[1]ratio_ins!$B:$B,0))</f>
        <v>12019.890597000001</v>
      </c>
      <c r="AH140" s="10">
        <f>INDEX([1]ratio_ins!AE:AE,MATCH('001_population_health_zone_zs'!$B$2,[1]ratio_ins!$B:$B,0))*$G140*INDEX([1]ratio_ins!$D:$D,MATCH('001_population_health_zone_zs'!$B140,[1]ratio_ins!$B:$B,0))</f>
        <v>7211.9343581999992</v>
      </c>
      <c r="AI140" s="13">
        <f>INDEX([1]ratio_ins!AF:AF,MATCH('001_population_health_zone_zs'!$B$2,[1]ratio_ins!$B:$B,0))*$G140*INDEX([1]ratio_ins!$D:$D,MATCH('001_population_health_zone_zs'!$B140,[1]ratio_ins!$B:$B,0))</f>
        <v>82517.273038200001</v>
      </c>
      <c r="AJ140" s="10">
        <f>INDEX([1]ratio_ins!AG:AG,MATCH('001_population_health_zone_zs'!$B$2,[1]ratio_ins!$B:$B,0))*$G140*INDEX([1]ratio_ins!$D:$D,MATCH('001_population_health_zone_zs'!$B140,[1]ratio_ins!$B:$B,0))</f>
        <v>4807.9562388000004</v>
      </c>
      <c r="AK140" s="10">
        <f>INDEX([1]ratio_ins!AH:AH,MATCH('001_population_health_zone_zs'!$B$2,[1]ratio_ins!$B:$B,0))*$G140*INDEX([1]ratio_ins!$D:$D,MATCH('001_population_health_zone_zs'!$B140,[1]ratio_ins!$B:$B,0))</f>
        <v>10716.528966000002</v>
      </c>
      <c r="AL140" s="10">
        <f>INDEX([1]ratio_ins!AI:AI,MATCH('001_population_health_zone_zs'!$B$2,[1]ratio_ins!$B:$B,0))*$G140*INDEX([1]ratio_ins!$D:$D,MATCH('001_population_health_zone_zs'!$B140,[1]ratio_ins!$B:$B,0))</f>
        <v>10137.25713</v>
      </c>
      <c r="AM140" s="10">
        <f>INDEX([1]ratio_ins!AJ:AJ,MATCH('001_population_health_zone_zs'!$B$2,[1]ratio_ins!$B:$B,0))*$G140*INDEX([1]ratio_ins!$D:$D,MATCH('001_population_health_zone_zs'!$B140,[1]ratio_ins!$B:$B,0))</f>
        <v>9268.3493760000001</v>
      </c>
      <c r="AN140" s="10">
        <f>INDEX([1]ratio_ins!AK:AK,MATCH('001_population_health_zone_zs'!$B$2,[1]ratio_ins!$B:$B,0))*$G140*INDEX([1]ratio_ins!$D:$D,MATCH('001_population_health_zone_zs'!$B140,[1]ratio_ins!$B:$B,0))</f>
        <v>8689.0775400000002</v>
      </c>
      <c r="AO140" s="10">
        <f>INDEX([1]ratio_ins!AL:AL,MATCH('001_population_health_zone_zs'!$B$2,[1]ratio_ins!$B:$B,0))*$G140*INDEX([1]ratio_ins!$D:$D,MATCH('001_population_health_zone_zs'!$B140,[1]ratio_ins!$B:$B,0))</f>
        <v>6516.8081549999997</v>
      </c>
      <c r="AP140" s="10">
        <f>INDEX([1]ratio_ins!AM:AM,MATCH('001_population_health_zone_zs'!$B$2,[1]ratio_ins!$B:$B,0))*$G140*INDEX([1]ratio_ins!$D:$D,MATCH('001_population_health_zone_zs'!$B140,[1]ratio_ins!$B:$B,0))</f>
        <v>4199.7208110000001</v>
      </c>
      <c r="AQ140" s="10">
        <f>INDEX([1]ratio_ins!AN:AN,MATCH('001_population_health_zone_zs'!$B$2,[1]ratio_ins!$B:$B,0))*$G140*INDEX([1]ratio_ins!$D:$D,MATCH('001_population_health_zone_zs'!$B140,[1]ratio_ins!$B:$B,0))</f>
        <v>3330.8130569999998</v>
      </c>
      <c r="AR140" s="10">
        <f>INDEX([1]ratio_ins!AO:AO,MATCH('001_population_health_zone_zs'!$B$2,[1]ratio_ins!$B:$B,0))*$G140*INDEX([1]ratio_ins!$D:$D,MATCH('001_population_health_zone_zs'!$B140,[1]ratio_ins!$B:$B,0))</f>
        <v>1592.9975490000004</v>
      </c>
      <c r="AS140" s="13">
        <f>INDEX([1]ratio_ins!AP:AP,MATCH('001_population_health_zone_zs'!$B$2,[1]ratio_ins!$B:$B,0))*$G140*INDEX([1]ratio_ins!$D:$D,MATCH('001_population_health_zone_zs'!$B140,[1]ratio_ins!$B:$B,0))</f>
        <v>59259.508822800002</v>
      </c>
      <c r="AT140" s="10">
        <f>INDEX([1]ratio_ins!AQ:AQ,MATCH('001_population_health_zone_zs'!$B$2,[1]ratio_ins!$B:$B,0))*$G140*INDEX([1]ratio_ins!$D:$D,MATCH('001_population_health_zone_zs'!$B140,[1]ratio_ins!$B:$B,0))</f>
        <v>1448.17959</v>
      </c>
      <c r="AU140" s="10">
        <f>INDEX([1]ratio_ins!AR:AR,MATCH('001_population_health_zone_zs'!$B$2,[1]ratio_ins!$B:$B,0))*$G140*INDEX([1]ratio_ins!$D:$D,MATCH('001_population_health_zone_zs'!$B140,[1]ratio_ins!$B:$B,0))</f>
        <v>868.90775400000007</v>
      </c>
      <c r="AV140" s="10">
        <f>INDEX([1]ratio_ins!AS:AS,MATCH('001_population_health_zone_zs'!$B$2,[1]ratio_ins!$B:$B,0))*$G140*INDEX([1]ratio_ins!$D:$D,MATCH('001_population_health_zone_zs'!$B140,[1]ratio_ins!$B:$B,0))</f>
        <v>434.45387700000003</v>
      </c>
      <c r="AW140" s="10">
        <f>INDEX([1]ratio_ins!AT:AT,MATCH('001_population_health_zone_zs'!$B$2,[1]ratio_ins!$B:$B,0))*$G140*INDEX([1]ratio_ins!$D:$D,MATCH('001_population_health_zone_zs'!$B140,[1]ratio_ins!$B:$B,0))</f>
        <v>289.635918</v>
      </c>
      <c r="AX140" s="13">
        <f>INDEX([1]ratio_ins!AU:AU,MATCH('001_population_health_zone_zs'!$B$2,[1]ratio_ins!$B:$B,0))*$G140*INDEX([1]ratio_ins!$D:$D,MATCH('001_population_health_zone_zs'!$B140,[1]ratio_ins!$B:$B,0))</f>
        <v>3041.1771389999999</v>
      </c>
      <c r="AY140" s="14">
        <f t="shared" si="13"/>
        <v>144817.959</v>
      </c>
      <c r="AZ140" s="15">
        <f t="shared" si="14"/>
        <v>285637</v>
      </c>
      <c r="BA140" s="16">
        <v>275579.91392501537</v>
      </c>
      <c r="BB140" s="10">
        <f t="shared" si="15"/>
        <v>61547.632574999996</v>
      </c>
      <c r="BC140" s="17">
        <f t="shared" si="16"/>
        <v>0.21547499999999997</v>
      </c>
      <c r="BD140" s="10">
        <f t="shared" si="17"/>
        <v>58721.540097000005</v>
      </c>
    </row>
    <row r="141" spans="1:56" x14ac:dyDescent="0.25">
      <c r="A141" s="8" t="s">
        <v>340</v>
      </c>
      <c r="B141" s="8" t="s">
        <v>341</v>
      </c>
      <c r="C141" s="8" t="s">
        <v>342</v>
      </c>
      <c r="D141" s="8" t="s">
        <v>343</v>
      </c>
      <c r="E141" s="8" t="s">
        <v>342</v>
      </c>
      <c r="F141" s="8" t="s">
        <v>350</v>
      </c>
      <c r="G141" s="9">
        <v>420779</v>
      </c>
      <c r="H141" s="10">
        <f>INDEX([1]ratio_ins!F:F,MATCH('001_population_health_zone_zs'!$B$2,[1]ratio_ins!$B:$B,0))*$G141*INDEX([1]ratio_ins!$C:$C,MATCH('001_population_health_zone_zs'!$B141,[1]ratio_ins!$B:$B,0))</f>
        <v>43355.805823000002</v>
      </c>
      <c r="I141" s="10">
        <f>INDEX([1]ratio_ins!G:G,MATCH('001_population_health_zone_zs'!$B$2,[1]ratio_ins!$B:$B,0))*$G141*INDEX([1]ratio_ins!$C:$C,MATCH('001_population_health_zone_zs'!$B141,[1]ratio_ins!$B:$B,0))</f>
        <v>35472.932036999999</v>
      </c>
      <c r="J141" s="10">
        <f>INDEX([1]ratio_ins!H:H,MATCH('001_population_health_zone_zs'!$B$2,[1]ratio_ins!$B:$B,0))*$G141*INDEX([1]ratio_ins!$C:$C,MATCH('001_population_health_zone_zs'!$B141,[1]ratio_ins!$B:$B,0))</f>
        <v>28004.946345</v>
      </c>
      <c r="K141" s="10">
        <f>INDEX([1]ratio_ins!I:I,MATCH('001_population_health_zone_zs'!$B$2,[1]ratio_ins!$B:$B,0))*$G141*INDEX([1]ratio_ins!$C:$C,MATCH('001_population_health_zone_zs'!$B141,[1]ratio_ins!$B:$B,0))</f>
        <v>17217.855900999999</v>
      </c>
      <c r="L141" s="10">
        <f>INDEX([1]ratio_ins!J:J,MATCH('001_population_health_zone_zs'!$B$2,[1]ratio_ins!$B:$B,0))*$G141*INDEX([1]ratio_ins!$C:$C,MATCH('001_population_health_zone_zs'!$B141,[1]ratio_ins!$B:$B,0))</f>
        <v>10330.7135406</v>
      </c>
      <c r="M141" s="11">
        <f>INDEX([1]ratio_ins!K:K,MATCH('001_population_health_zone_zs'!$B$2,[1]ratio_ins!$B:$B,0))*$G141*INDEX([1]ratio_ins!$C:$C,MATCH('001_population_health_zone_zs'!$B141,[1]ratio_ins!$B:$B,0))</f>
        <v>117164.39774559998</v>
      </c>
      <c r="N141" s="10">
        <f>INDEX([1]ratio_ins!L:L,MATCH('001_population_health_zone_zs'!$B$2,[1]ratio_ins!$B:$B,0))*$G141*INDEX([1]ratio_ins!$C:$C,MATCH('001_population_health_zone_zs'!$B141,[1]ratio_ins!$B:$B,0))</f>
        <v>6887.1423604000001</v>
      </c>
      <c r="O141" s="10">
        <f>INDEX([1]ratio_ins!M:M,MATCH('001_population_health_zone_zs'!$B$2,[1]ratio_ins!$B:$B,0))*$G141*INDEX([1]ratio_ins!$C:$C,MATCH('001_population_health_zone_zs'!$B141,[1]ratio_ins!$B:$B,0))</f>
        <v>14935.971384000002</v>
      </c>
      <c r="P141" s="10">
        <f>INDEX([1]ratio_ins!N:N,MATCH('001_population_health_zone_zs'!$B$2,[1]ratio_ins!$B:$B,0))*$G141*INDEX([1]ratio_ins!$C:$C,MATCH('001_population_health_zone_zs'!$B141,[1]ratio_ins!$B:$B,0))</f>
        <v>13483.863055000002</v>
      </c>
      <c r="Q141" s="10">
        <f>INDEX([1]ratio_ins!O:O,MATCH('001_population_health_zone_zs'!$B$2,[1]ratio_ins!$B:$B,0))*$G141*INDEX([1]ratio_ins!$C:$C,MATCH('001_population_health_zone_zs'!$B141,[1]ratio_ins!$B:$B,0))</f>
        <v>12031.754725999999</v>
      </c>
      <c r="R141" s="10">
        <f>INDEX([1]ratio_ins!P:P,MATCH('001_population_health_zone_zs'!$B$2,[1]ratio_ins!$B:$B,0))*$G141*INDEX([1]ratio_ins!$C:$C,MATCH('001_population_health_zone_zs'!$B141,[1]ratio_ins!$B:$B,0))</f>
        <v>11824.310679</v>
      </c>
      <c r="S141" s="10">
        <f>INDEX([1]ratio_ins!Q:Q,MATCH('001_population_health_zone_zs'!$B$2,[1]ratio_ins!$B:$B,0))*$G141*INDEX([1]ratio_ins!$C:$C,MATCH('001_population_health_zone_zs'!$B141,[1]ratio_ins!$B:$B,0))</f>
        <v>9957.3142559999997</v>
      </c>
      <c r="T141" s="10">
        <f>INDEX([1]ratio_ins!R:R,MATCH('001_population_health_zone_zs'!$B$2,[1]ratio_ins!$B:$B,0))*$G141*INDEX([1]ratio_ins!$C:$C,MATCH('001_population_health_zone_zs'!$B141,[1]ratio_ins!$B:$B,0))</f>
        <v>7053.0975980000003</v>
      </c>
      <c r="U141" s="10">
        <f>INDEX([1]ratio_ins!S:S,MATCH('001_population_health_zone_zs'!$B$2,[1]ratio_ins!$B:$B,0))*$G141*INDEX([1]ratio_ins!$C:$C,MATCH('001_population_health_zone_zs'!$B141,[1]ratio_ins!$B:$B,0))</f>
        <v>5600.9892690000006</v>
      </c>
      <c r="V141" s="10">
        <f>INDEX([1]ratio_ins!T:T,MATCH('001_population_health_zone_zs'!$B$2,[1]ratio_ins!$B:$B,0))*$G141*INDEX([1]ratio_ins!$C:$C,MATCH('001_population_health_zone_zs'!$B141,[1]ratio_ins!$B:$B,0))</f>
        <v>3111.6607049999998</v>
      </c>
      <c r="W141" s="11">
        <f>INDEX([1]ratio_ins!U:U,MATCH('001_population_health_zone_zs'!$B$2,[1]ratio_ins!$B:$B,0))*$G141*INDEX([1]ratio_ins!$C:$C,MATCH('001_population_health_zone_zs'!$B141,[1]ratio_ins!$B:$B,0))</f>
        <v>84886.104032400006</v>
      </c>
      <c r="X141" s="10">
        <f>INDEX([1]ratio_ins!V:V,MATCH('001_population_health_zone_zs'!$B$2,[1]ratio_ins!$B:$B,0))*$G141*INDEX([1]ratio_ins!$C:$C,MATCH('001_population_health_zone_zs'!$B141,[1]ratio_ins!$B:$B,0))</f>
        <v>2489.3285639999999</v>
      </c>
      <c r="Y141" s="10">
        <f>INDEX([1]ratio_ins!W:W,MATCH('001_population_health_zone_zs'!$B$2,[1]ratio_ins!$B:$B,0))*$G141*INDEX([1]ratio_ins!$C:$C,MATCH('001_population_health_zone_zs'!$B141,[1]ratio_ins!$B:$B,0))</f>
        <v>1659.5523759999999</v>
      </c>
      <c r="Z141" s="10">
        <f>INDEX([1]ratio_ins!X:X,MATCH('001_population_health_zone_zs'!$B$2,[1]ratio_ins!$B:$B,0))*$G141*INDEX([1]ratio_ins!$C:$C,MATCH('001_population_health_zone_zs'!$B141,[1]ratio_ins!$B:$B,0))</f>
        <v>829.77618799999993</v>
      </c>
      <c r="AA141" s="10">
        <f>INDEX([1]ratio_ins!Y:Y,MATCH('001_population_health_zone_zs'!$B$2,[1]ratio_ins!$B:$B,0))*$G141*INDEX([1]ratio_ins!$C:$C,MATCH('001_population_health_zone_zs'!$B141,[1]ratio_ins!$B:$B,0))</f>
        <v>414.88809399999997</v>
      </c>
      <c r="AB141" s="11">
        <f>INDEX([1]ratio_ins!Z:Z,MATCH('001_population_health_zone_zs'!$B$2,[1]ratio_ins!$B:$B,0))*$G141*INDEX([1]ratio_ins!$C:$C,MATCH('001_population_health_zone_zs'!$B141,[1]ratio_ins!$B:$B,0))</f>
        <v>5393.5452220000006</v>
      </c>
      <c r="AC141" s="12">
        <f t="shared" si="12"/>
        <v>207444.04699999996</v>
      </c>
      <c r="AD141" s="10">
        <f>INDEX([1]ratio_ins!AA:AA,MATCH('001_population_health_zone_zs'!$B$2,[1]ratio_ins!$B:$B,0))*$G141*INDEX([1]ratio_ins!$D:$D,MATCH('001_population_health_zone_zs'!$B141,[1]ratio_ins!$B:$B,0))</f>
        <v>44800.340129999997</v>
      </c>
      <c r="AE141" s="10">
        <f>INDEX([1]ratio_ins!AB:AB,MATCH('001_population_health_zone_zs'!$B$2,[1]ratio_ins!$B:$B,0))*$G141*INDEX([1]ratio_ins!$D:$D,MATCH('001_population_health_zone_zs'!$B141,[1]ratio_ins!$B:$B,0))</f>
        <v>36906.946869000007</v>
      </c>
      <c r="AF141" s="10">
        <f>INDEX([1]ratio_ins!AC:AC,MATCH('001_population_health_zone_zs'!$B$2,[1]ratio_ins!$B:$B,0))*$G141*INDEX([1]ratio_ins!$D:$D,MATCH('001_population_health_zone_zs'!$B141,[1]ratio_ins!$B:$B,0))</f>
        <v>29226.888560999996</v>
      </c>
      <c r="AG141" s="10">
        <f>INDEX([1]ratio_ins!AD:AD,MATCH('001_population_health_zone_zs'!$B$2,[1]ratio_ins!$B:$B,0))*$G141*INDEX([1]ratio_ins!$D:$D,MATCH('001_population_health_zone_zs'!$B141,[1]ratio_ins!$B:$B,0))</f>
        <v>17706.801099</v>
      </c>
      <c r="AH141" s="10">
        <f>INDEX([1]ratio_ins!AE:AE,MATCH('001_population_health_zone_zs'!$B$2,[1]ratio_ins!$B:$B,0))*$G141*INDEX([1]ratio_ins!$D:$D,MATCH('001_population_health_zone_zs'!$B141,[1]ratio_ins!$B:$B,0))</f>
        <v>10624.080659400001</v>
      </c>
      <c r="AI141" s="13">
        <f>INDEX([1]ratio_ins!AF:AF,MATCH('001_population_health_zone_zs'!$B$2,[1]ratio_ins!$B:$B,0))*$G141*INDEX([1]ratio_ins!$D:$D,MATCH('001_population_health_zone_zs'!$B141,[1]ratio_ins!$B:$B,0))</f>
        <v>121558.25621939999</v>
      </c>
      <c r="AJ141" s="10">
        <f>INDEX([1]ratio_ins!AG:AG,MATCH('001_population_health_zone_zs'!$B$2,[1]ratio_ins!$B:$B,0))*$G141*INDEX([1]ratio_ins!$D:$D,MATCH('001_population_health_zone_zs'!$B141,[1]ratio_ins!$B:$B,0))</f>
        <v>7082.7204396000006</v>
      </c>
      <c r="AK141" s="10">
        <f>INDEX([1]ratio_ins!AH:AH,MATCH('001_population_health_zone_zs'!$B$2,[1]ratio_ins!$B:$B,0))*$G141*INDEX([1]ratio_ins!$D:$D,MATCH('001_population_health_zone_zs'!$B141,[1]ratio_ins!$B:$B,0))</f>
        <v>15786.786522000002</v>
      </c>
      <c r="AL141" s="10">
        <f>INDEX([1]ratio_ins!AI:AI,MATCH('001_population_health_zone_zs'!$B$2,[1]ratio_ins!$B:$B,0))*$G141*INDEX([1]ratio_ins!$D:$D,MATCH('001_population_health_zone_zs'!$B141,[1]ratio_ins!$B:$B,0))</f>
        <v>14933.446710000002</v>
      </c>
      <c r="AM141" s="10">
        <f>INDEX([1]ratio_ins!AJ:AJ,MATCH('001_population_health_zone_zs'!$B$2,[1]ratio_ins!$B:$B,0))*$G141*INDEX([1]ratio_ins!$D:$D,MATCH('001_population_health_zone_zs'!$B141,[1]ratio_ins!$B:$B,0))</f>
        <v>13653.436992000001</v>
      </c>
      <c r="AN141" s="10">
        <f>INDEX([1]ratio_ins!AK:AK,MATCH('001_population_health_zone_zs'!$B$2,[1]ratio_ins!$B:$B,0))*$G141*INDEX([1]ratio_ins!$D:$D,MATCH('001_population_health_zone_zs'!$B141,[1]ratio_ins!$B:$B,0))</f>
        <v>12800.097179999999</v>
      </c>
      <c r="AO141" s="10">
        <f>INDEX([1]ratio_ins!AL:AL,MATCH('001_population_health_zone_zs'!$B$2,[1]ratio_ins!$B:$B,0))*$G141*INDEX([1]ratio_ins!$D:$D,MATCH('001_population_health_zone_zs'!$B141,[1]ratio_ins!$B:$B,0))</f>
        <v>9600.0728849999996</v>
      </c>
      <c r="AP141" s="10">
        <f>INDEX([1]ratio_ins!AM:AM,MATCH('001_population_health_zone_zs'!$B$2,[1]ratio_ins!$B:$B,0))*$G141*INDEX([1]ratio_ins!$D:$D,MATCH('001_population_health_zone_zs'!$B141,[1]ratio_ins!$B:$B,0))</f>
        <v>6186.7136369999989</v>
      </c>
      <c r="AQ141" s="10">
        <f>INDEX([1]ratio_ins!AN:AN,MATCH('001_population_health_zone_zs'!$B$2,[1]ratio_ins!$B:$B,0))*$G141*INDEX([1]ratio_ins!$D:$D,MATCH('001_population_health_zone_zs'!$B141,[1]ratio_ins!$B:$B,0))</f>
        <v>4906.7039189999996</v>
      </c>
      <c r="AR141" s="10">
        <f>INDEX([1]ratio_ins!AO:AO,MATCH('001_population_health_zone_zs'!$B$2,[1]ratio_ins!$B:$B,0))*$G141*INDEX([1]ratio_ins!$D:$D,MATCH('001_population_health_zone_zs'!$B141,[1]ratio_ins!$B:$B,0))</f>
        <v>2346.6844830000005</v>
      </c>
      <c r="AS141" s="13">
        <f>INDEX([1]ratio_ins!AP:AP,MATCH('001_population_health_zone_zs'!$B$2,[1]ratio_ins!$B:$B,0))*$G141*INDEX([1]ratio_ins!$D:$D,MATCH('001_population_health_zone_zs'!$B141,[1]ratio_ins!$B:$B,0))</f>
        <v>87296.662767600006</v>
      </c>
      <c r="AT141" s="10">
        <f>INDEX([1]ratio_ins!AQ:AQ,MATCH('001_population_health_zone_zs'!$B$2,[1]ratio_ins!$B:$B,0))*$G141*INDEX([1]ratio_ins!$D:$D,MATCH('001_population_health_zone_zs'!$B141,[1]ratio_ins!$B:$B,0))</f>
        <v>2133.34953</v>
      </c>
      <c r="AU141" s="10">
        <f>INDEX([1]ratio_ins!AR:AR,MATCH('001_population_health_zone_zs'!$B$2,[1]ratio_ins!$B:$B,0))*$G141*INDEX([1]ratio_ins!$D:$D,MATCH('001_population_health_zone_zs'!$B141,[1]ratio_ins!$B:$B,0))</f>
        <v>1280.009718</v>
      </c>
      <c r="AV141" s="10">
        <f>INDEX([1]ratio_ins!AS:AS,MATCH('001_population_health_zone_zs'!$B$2,[1]ratio_ins!$B:$B,0))*$G141*INDEX([1]ratio_ins!$D:$D,MATCH('001_population_health_zone_zs'!$B141,[1]ratio_ins!$B:$B,0))</f>
        <v>640.00485900000001</v>
      </c>
      <c r="AW141" s="10">
        <f>INDEX([1]ratio_ins!AT:AT,MATCH('001_population_health_zone_zs'!$B$2,[1]ratio_ins!$B:$B,0))*$G141*INDEX([1]ratio_ins!$D:$D,MATCH('001_population_health_zone_zs'!$B141,[1]ratio_ins!$B:$B,0))</f>
        <v>426.66990600000003</v>
      </c>
      <c r="AX141" s="13">
        <f>INDEX([1]ratio_ins!AU:AU,MATCH('001_population_health_zone_zs'!$B$2,[1]ratio_ins!$B:$B,0))*$G141*INDEX([1]ratio_ins!$D:$D,MATCH('001_population_health_zone_zs'!$B141,[1]ratio_ins!$B:$B,0))</f>
        <v>4480.0340129999995</v>
      </c>
      <c r="AY141" s="14">
        <f t="shared" si="13"/>
        <v>213334.95300000001</v>
      </c>
      <c r="AZ141" s="15">
        <f t="shared" si="14"/>
        <v>420779</v>
      </c>
      <c r="BA141" s="16">
        <v>405964.41669275053</v>
      </c>
      <c r="BB141" s="10">
        <f t="shared" si="15"/>
        <v>90667.355024999997</v>
      </c>
      <c r="BC141" s="17">
        <f t="shared" si="16"/>
        <v>0.215475</v>
      </c>
      <c r="BD141" s="10">
        <f t="shared" si="17"/>
        <v>86504.167599000008</v>
      </c>
    </row>
    <row r="142" spans="1:56" x14ac:dyDescent="0.25">
      <c r="A142" s="8" t="s">
        <v>340</v>
      </c>
      <c r="B142" s="8" t="s">
        <v>341</v>
      </c>
      <c r="C142" s="8" t="s">
        <v>342</v>
      </c>
      <c r="D142" s="8" t="s">
        <v>343</v>
      </c>
      <c r="E142" s="8" t="s">
        <v>351</v>
      </c>
      <c r="F142" s="8" t="s">
        <v>352</v>
      </c>
      <c r="G142" s="9">
        <v>343379</v>
      </c>
      <c r="H142" s="10">
        <f>INDEX([1]ratio_ins!F:F,MATCH('001_population_health_zone_zs'!$B$2,[1]ratio_ins!$B:$B,0))*$G142*INDEX([1]ratio_ins!$C:$C,MATCH('001_population_health_zone_zs'!$B142,[1]ratio_ins!$B:$B,0))</f>
        <v>35380.742022999999</v>
      </c>
      <c r="I142" s="10">
        <f>INDEX([1]ratio_ins!G:G,MATCH('001_population_health_zone_zs'!$B$2,[1]ratio_ins!$B:$B,0))*$G142*INDEX([1]ratio_ins!$C:$C,MATCH('001_population_health_zone_zs'!$B142,[1]ratio_ins!$B:$B,0))</f>
        <v>28947.879837</v>
      </c>
      <c r="J142" s="10">
        <f>INDEX([1]ratio_ins!H:H,MATCH('001_population_health_zone_zs'!$B$2,[1]ratio_ins!$B:$B,0))*$G142*INDEX([1]ratio_ins!$C:$C,MATCH('001_population_health_zone_zs'!$B142,[1]ratio_ins!$B:$B,0))</f>
        <v>22853.589345</v>
      </c>
      <c r="K142" s="10">
        <f>INDEX([1]ratio_ins!I:I,MATCH('001_population_health_zone_zs'!$B$2,[1]ratio_ins!$B:$B,0))*$G142*INDEX([1]ratio_ins!$C:$C,MATCH('001_population_health_zone_zs'!$B142,[1]ratio_ins!$B:$B,0))</f>
        <v>14050.725301</v>
      </c>
      <c r="L142" s="10">
        <f>INDEX([1]ratio_ins!J:J,MATCH('001_population_health_zone_zs'!$B$2,[1]ratio_ins!$B:$B,0))*$G142*INDEX([1]ratio_ins!$C:$C,MATCH('001_population_health_zone_zs'!$B142,[1]ratio_ins!$B:$B,0))</f>
        <v>8430.4351805999995</v>
      </c>
      <c r="M142" s="11">
        <f>INDEX([1]ratio_ins!K:K,MATCH('001_population_health_zone_zs'!$B$2,[1]ratio_ins!$B:$B,0))*$G142*INDEX([1]ratio_ins!$C:$C,MATCH('001_population_health_zone_zs'!$B142,[1]ratio_ins!$B:$B,0))</f>
        <v>95612.64638559999</v>
      </c>
      <c r="N142" s="10">
        <f>INDEX([1]ratio_ins!L:L,MATCH('001_population_health_zone_zs'!$B$2,[1]ratio_ins!$B:$B,0))*$G142*INDEX([1]ratio_ins!$C:$C,MATCH('001_population_health_zone_zs'!$B142,[1]ratio_ins!$B:$B,0))</f>
        <v>5620.2901204</v>
      </c>
      <c r="O142" s="10">
        <f>INDEX([1]ratio_ins!M:M,MATCH('001_population_health_zone_zs'!$B$2,[1]ratio_ins!$B:$B,0))*$G142*INDEX([1]ratio_ins!$C:$C,MATCH('001_population_health_zone_zs'!$B142,[1]ratio_ins!$B:$B,0))</f>
        <v>12188.580984000002</v>
      </c>
      <c r="P142" s="10">
        <f>INDEX([1]ratio_ins!N:N,MATCH('001_population_health_zone_zs'!$B$2,[1]ratio_ins!$B:$B,0))*$G142*INDEX([1]ratio_ins!$C:$C,MATCH('001_population_health_zone_zs'!$B142,[1]ratio_ins!$B:$B,0))</f>
        <v>11003.580055</v>
      </c>
      <c r="Q142" s="10">
        <f>INDEX([1]ratio_ins!O:O,MATCH('001_population_health_zone_zs'!$B$2,[1]ratio_ins!$B:$B,0))*$G142*INDEX([1]ratio_ins!$C:$C,MATCH('001_population_health_zone_zs'!$B142,[1]ratio_ins!$B:$B,0))</f>
        <v>9818.5791260000005</v>
      </c>
      <c r="R142" s="10">
        <f>INDEX([1]ratio_ins!P:P,MATCH('001_population_health_zone_zs'!$B$2,[1]ratio_ins!$B:$B,0))*$G142*INDEX([1]ratio_ins!$C:$C,MATCH('001_population_health_zone_zs'!$B142,[1]ratio_ins!$B:$B,0))</f>
        <v>9649.2932789999995</v>
      </c>
      <c r="S142" s="10">
        <f>INDEX([1]ratio_ins!Q:Q,MATCH('001_population_health_zone_zs'!$B$2,[1]ratio_ins!$B:$B,0))*$G142*INDEX([1]ratio_ins!$C:$C,MATCH('001_population_health_zone_zs'!$B142,[1]ratio_ins!$B:$B,0))</f>
        <v>8125.7206559999995</v>
      </c>
      <c r="T142" s="10">
        <f>INDEX([1]ratio_ins!R:R,MATCH('001_population_health_zone_zs'!$B$2,[1]ratio_ins!$B:$B,0))*$G142*INDEX([1]ratio_ins!$C:$C,MATCH('001_population_health_zone_zs'!$B142,[1]ratio_ins!$B:$B,0))</f>
        <v>5755.7187979999999</v>
      </c>
      <c r="U142" s="10">
        <f>INDEX([1]ratio_ins!S:S,MATCH('001_population_health_zone_zs'!$B$2,[1]ratio_ins!$B:$B,0))*$G142*INDEX([1]ratio_ins!$C:$C,MATCH('001_population_health_zone_zs'!$B142,[1]ratio_ins!$B:$B,0))</f>
        <v>4570.717869000001</v>
      </c>
      <c r="V142" s="10">
        <f>INDEX([1]ratio_ins!T:T,MATCH('001_population_health_zone_zs'!$B$2,[1]ratio_ins!$B:$B,0))*$G142*INDEX([1]ratio_ins!$C:$C,MATCH('001_population_health_zone_zs'!$B142,[1]ratio_ins!$B:$B,0))</f>
        <v>2539.2877049999997</v>
      </c>
      <c r="W142" s="11">
        <f>INDEX([1]ratio_ins!U:U,MATCH('001_population_health_zone_zs'!$B$2,[1]ratio_ins!$B:$B,0))*$G142*INDEX([1]ratio_ins!$C:$C,MATCH('001_population_health_zone_zs'!$B142,[1]ratio_ins!$B:$B,0))</f>
        <v>69271.768592399996</v>
      </c>
      <c r="X142" s="10">
        <f>INDEX([1]ratio_ins!V:V,MATCH('001_population_health_zone_zs'!$B$2,[1]ratio_ins!$B:$B,0))*$G142*INDEX([1]ratio_ins!$C:$C,MATCH('001_population_health_zone_zs'!$B142,[1]ratio_ins!$B:$B,0))</f>
        <v>2031.4301639999999</v>
      </c>
      <c r="Y142" s="10">
        <f>INDEX([1]ratio_ins!W:W,MATCH('001_population_health_zone_zs'!$B$2,[1]ratio_ins!$B:$B,0))*$G142*INDEX([1]ratio_ins!$C:$C,MATCH('001_population_health_zone_zs'!$B142,[1]ratio_ins!$B:$B,0))</f>
        <v>1354.2867760000001</v>
      </c>
      <c r="Z142" s="10">
        <f>INDEX([1]ratio_ins!X:X,MATCH('001_population_health_zone_zs'!$B$2,[1]ratio_ins!$B:$B,0))*$G142*INDEX([1]ratio_ins!$C:$C,MATCH('001_population_health_zone_zs'!$B142,[1]ratio_ins!$B:$B,0))</f>
        <v>677.14338800000007</v>
      </c>
      <c r="AA142" s="10">
        <f>INDEX([1]ratio_ins!Y:Y,MATCH('001_population_health_zone_zs'!$B$2,[1]ratio_ins!$B:$B,0))*$G142*INDEX([1]ratio_ins!$C:$C,MATCH('001_population_health_zone_zs'!$B142,[1]ratio_ins!$B:$B,0))</f>
        <v>338.57169400000004</v>
      </c>
      <c r="AB142" s="11">
        <f>INDEX([1]ratio_ins!Z:Z,MATCH('001_population_health_zone_zs'!$B$2,[1]ratio_ins!$B:$B,0))*$G142*INDEX([1]ratio_ins!$C:$C,MATCH('001_population_health_zone_zs'!$B142,[1]ratio_ins!$B:$B,0))</f>
        <v>4401.4320220000009</v>
      </c>
      <c r="AC142" s="12">
        <f t="shared" si="12"/>
        <v>169285.84699999998</v>
      </c>
      <c r="AD142" s="10">
        <f>INDEX([1]ratio_ins!AA:AA,MATCH('001_population_health_zone_zs'!$B$2,[1]ratio_ins!$B:$B,0))*$G142*INDEX([1]ratio_ins!$D:$D,MATCH('001_population_health_zone_zs'!$B142,[1]ratio_ins!$B:$B,0))</f>
        <v>36559.562129999998</v>
      </c>
      <c r="AE142" s="10">
        <f>INDEX([1]ratio_ins!AB:AB,MATCH('001_population_health_zone_zs'!$B$2,[1]ratio_ins!$B:$B,0))*$G142*INDEX([1]ratio_ins!$D:$D,MATCH('001_population_health_zone_zs'!$B142,[1]ratio_ins!$B:$B,0))</f>
        <v>30118.115469</v>
      </c>
      <c r="AF142" s="10">
        <f>INDEX([1]ratio_ins!AC:AC,MATCH('001_population_health_zone_zs'!$B$2,[1]ratio_ins!$B:$B,0))*$G142*INDEX([1]ratio_ins!$D:$D,MATCH('001_population_health_zone_zs'!$B142,[1]ratio_ins!$B:$B,0))</f>
        <v>23850.761960999997</v>
      </c>
      <c r="AG142" s="10">
        <f>INDEX([1]ratio_ins!AD:AD,MATCH('001_population_health_zone_zs'!$B$2,[1]ratio_ins!$B:$B,0))*$G142*INDEX([1]ratio_ins!$D:$D,MATCH('001_population_health_zone_zs'!$B142,[1]ratio_ins!$B:$B,0))</f>
        <v>14449.731699000002</v>
      </c>
      <c r="AH142" s="10">
        <f>INDEX([1]ratio_ins!AE:AE,MATCH('001_population_health_zone_zs'!$B$2,[1]ratio_ins!$B:$B,0))*$G142*INDEX([1]ratio_ins!$D:$D,MATCH('001_population_health_zone_zs'!$B142,[1]ratio_ins!$B:$B,0))</f>
        <v>8669.8390194000003</v>
      </c>
      <c r="AI142" s="13">
        <f>INDEX([1]ratio_ins!AF:AF,MATCH('001_population_health_zone_zs'!$B$2,[1]ratio_ins!$B:$B,0))*$G142*INDEX([1]ratio_ins!$D:$D,MATCH('001_population_health_zone_zs'!$B142,[1]ratio_ins!$B:$B,0))</f>
        <v>99198.278579400008</v>
      </c>
      <c r="AJ142" s="10">
        <f>INDEX([1]ratio_ins!AG:AG,MATCH('001_population_health_zone_zs'!$B$2,[1]ratio_ins!$B:$B,0))*$G142*INDEX([1]ratio_ins!$D:$D,MATCH('001_population_health_zone_zs'!$B142,[1]ratio_ins!$B:$B,0))</f>
        <v>5779.8926796000005</v>
      </c>
      <c r="AK142" s="10">
        <f>INDEX([1]ratio_ins!AH:AH,MATCH('001_population_health_zone_zs'!$B$2,[1]ratio_ins!$B:$B,0))*$G142*INDEX([1]ratio_ins!$D:$D,MATCH('001_population_health_zone_zs'!$B142,[1]ratio_ins!$B:$B,0))</f>
        <v>12882.893322000002</v>
      </c>
      <c r="AL142" s="10">
        <f>INDEX([1]ratio_ins!AI:AI,MATCH('001_population_health_zone_zs'!$B$2,[1]ratio_ins!$B:$B,0))*$G142*INDEX([1]ratio_ins!$D:$D,MATCH('001_population_health_zone_zs'!$B142,[1]ratio_ins!$B:$B,0))</f>
        <v>12186.520710000001</v>
      </c>
      <c r="AM142" s="10">
        <f>INDEX([1]ratio_ins!AJ:AJ,MATCH('001_population_health_zone_zs'!$B$2,[1]ratio_ins!$B:$B,0))*$G142*INDEX([1]ratio_ins!$D:$D,MATCH('001_population_health_zone_zs'!$B142,[1]ratio_ins!$B:$B,0))</f>
        <v>11141.961792</v>
      </c>
      <c r="AN142" s="10">
        <f>INDEX([1]ratio_ins!AK:AK,MATCH('001_population_health_zone_zs'!$B$2,[1]ratio_ins!$B:$B,0))*$G142*INDEX([1]ratio_ins!$D:$D,MATCH('001_population_health_zone_zs'!$B142,[1]ratio_ins!$B:$B,0))</f>
        <v>10445.589179999999</v>
      </c>
      <c r="AO142" s="10">
        <f>INDEX([1]ratio_ins!AL:AL,MATCH('001_population_health_zone_zs'!$B$2,[1]ratio_ins!$B:$B,0))*$G142*INDEX([1]ratio_ins!$D:$D,MATCH('001_population_health_zone_zs'!$B142,[1]ratio_ins!$B:$B,0))</f>
        <v>7834.1918850000002</v>
      </c>
      <c r="AP142" s="10">
        <f>INDEX([1]ratio_ins!AM:AM,MATCH('001_population_health_zone_zs'!$B$2,[1]ratio_ins!$B:$B,0))*$G142*INDEX([1]ratio_ins!$D:$D,MATCH('001_population_health_zone_zs'!$B142,[1]ratio_ins!$B:$B,0))</f>
        <v>5048.7014369999997</v>
      </c>
      <c r="AQ142" s="10">
        <f>INDEX([1]ratio_ins!AN:AN,MATCH('001_population_health_zone_zs'!$B$2,[1]ratio_ins!$B:$B,0))*$G142*INDEX([1]ratio_ins!$D:$D,MATCH('001_population_health_zone_zs'!$B142,[1]ratio_ins!$B:$B,0))</f>
        <v>4004.142519</v>
      </c>
      <c r="AR142" s="10">
        <f>INDEX([1]ratio_ins!AO:AO,MATCH('001_population_health_zone_zs'!$B$2,[1]ratio_ins!$B:$B,0))*$G142*INDEX([1]ratio_ins!$D:$D,MATCH('001_population_health_zone_zs'!$B142,[1]ratio_ins!$B:$B,0))</f>
        <v>1915.0246830000001</v>
      </c>
      <c r="AS142" s="13">
        <f>INDEX([1]ratio_ins!AP:AP,MATCH('001_population_health_zone_zs'!$B$2,[1]ratio_ins!$B:$B,0))*$G142*INDEX([1]ratio_ins!$D:$D,MATCH('001_population_health_zone_zs'!$B142,[1]ratio_ins!$B:$B,0))</f>
        <v>71238.9182076</v>
      </c>
      <c r="AT142" s="10">
        <f>INDEX([1]ratio_ins!AQ:AQ,MATCH('001_population_health_zone_zs'!$B$2,[1]ratio_ins!$B:$B,0))*$G142*INDEX([1]ratio_ins!$D:$D,MATCH('001_population_health_zone_zs'!$B142,[1]ratio_ins!$B:$B,0))</f>
        <v>1740.9315300000001</v>
      </c>
      <c r="AU142" s="10">
        <f>INDEX([1]ratio_ins!AR:AR,MATCH('001_population_health_zone_zs'!$B$2,[1]ratio_ins!$B:$B,0))*$G142*INDEX([1]ratio_ins!$D:$D,MATCH('001_population_health_zone_zs'!$B142,[1]ratio_ins!$B:$B,0))</f>
        <v>1044.5589179999999</v>
      </c>
      <c r="AV142" s="10">
        <f>INDEX([1]ratio_ins!AS:AS,MATCH('001_population_health_zone_zs'!$B$2,[1]ratio_ins!$B:$B,0))*$G142*INDEX([1]ratio_ins!$D:$D,MATCH('001_population_health_zone_zs'!$B142,[1]ratio_ins!$B:$B,0))</f>
        <v>522.27945899999997</v>
      </c>
      <c r="AW142" s="10">
        <f>INDEX([1]ratio_ins!AT:AT,MATCH('001_population_health_zone_zs'!$B$2,[1]ratio_ins!$B:$B,0))*$G142*INDEX([1]ratio_ins!$D:$D,MATCH('001_population_health_zone_zs'!$B142,[1]ratio_ins!$B:$B,0))</f>
        <v>348.186306</v>
      </c>
      <c r="AX142" s="13">
        <f>INDEX([1]ratio_ins!AU:AU,MATCH('001_population_health_zone_zs'!$B$2,[1]ratio_ins!$B:$B,0))*$G142*INDEX([1]ratio_ins!$D:$D,MATCH('001_population_health_zone_zs'!$B142,[1]ratio_ins!$B:$B,0))</f>
        <v>3655.9562129999995</v>
      </c>
      <c r="AY142" s="14">
        <f t="shared" si="13"/>
        <v>174093.15299999999</v>
      </c>
      <c r="AZ142" s="15">
        <f t="shared" si="14"/>
        <v>343379</v>
      </c>
      <c r="BA142" s="16">
        <v>331288.87668026972</v>
      </c>
      <c r="BB142" s="10">
        <f t="shared" si="15"/>
        <v>73989.590024999998</v>
      </c>
      <c r="BC142" s="17">
        <f t="shared" si="16"/>
        <v>0.215475</v>
      </c>
      <c r="BD142" s="10">
        <f t="shared" si="17"/>
        <v>70592.198198999991</v>
      </c>
    </row>
    <row r="143" spans="1:56" x14ac:dyDescent="0.25">
      <c r="A143" s="8" t="s">
        <v>340</v>
      </c>
      <c r="B143" s="8" t="s">
        <v>341</v>
      </c>
      <c r="C143" s="8" t="s">
        <v>353</v>
      </c>
      <c r="D143" s="8" t="s">
        <v>354</v>
      </c>
      <c r="E143" s="8" t="s">
        <v>355</v>
      </c>
      <c r="F143" s="8" t="s">
        <v>356</v>
      </c>
      <c r="G143" s="9">
        <v>170957</v>
      </c>
      <c r="H143" s="10">
        <f>INDEX([1]ratio_ins!F:F,MATCH('001_population_health_zone_zs'!$B$2,[1]ratio_ins!$B:$B,0))*$G143*INDEX([1]ratio_ins!$C:$C,MATCH('001_population_health_zone_zs'!$B143,[1]ratio_ins!$B:$B,0))</f>
        <v>17614.896409000001</v>
      </c>
      <c r="I143" s="10">
        <f>INDEX([1]ratio_ins!G:G,MATCH('001_population_health_zone_zs'!$B$2,[1]ratio_ins!$B:$B,0))*$G143*INDEX([1]ratio_ins!$C:$C,MATCH('001_population_health_zone_zs'!$B143,[1]ratio_ins!$B:$B,0))</f>
        <v>14412.187970999999</v>
      </c>
      <c r="J143" s="10">
        <f>INDEX([1]ratio_ins!H:H,MATCH('001_population_health_zone_zs'!$B$2,[1]ratio_ins!$B:$B,0))*$G143*INDEX([1]ratio_ins!$C:$C,MATCH('001_population_health_zone_zs'!$B143,[1]ratio_ins!$B:$B,0))</f>
        <v>11378.043135</v>
      </c>
      <c r="K143" s="10">
        <f>INDEX([1]ratio_ins!I:I,MATCH('001_population_health_zone_zs'!$B$2,[1]ratio_ins!$B:$B,0))*$G143*INDEX([1]ratio_ins!$C:$C,MATCH('001_population_health_zone_zs'!$B143,[1]ratio_ins!$B:$B,0))</f>
        <v>6995.3894829999999</v>
      </c>
      <c r="L143" s="10">
        <f>INDEX([1]ratio_ins!J:J,MATCH('001_population_health_zone_zs'!$B$2,[1]ratio_ins!$B:$B,0))*$G143*INDEX([1]ratio_ins!$C:$C,MATCH('001_population_health_zone_zs'!$B143,[1]ratio_ins!$B:$B,0))</f>
        <v>4197.2336897999994</v>
      </c>
      <c r="M143" s="11">
        <f>INDEX([1]ratio_ins!K:K,MATCH('001_population_health_zone_zs'!$B$2,[1]ratio_ins!$B:$B,0))*$G143*INDEX([1]ratio_ins!$C:$C,MATCH('001_population_health_zone_zs'!$B143,[1]ratio_ins!$B:$B,0))</f>
        <v>47602.361204799992</v>
      </c>
      <c r="N143" s="10">
        <f>INDEX([1]ratio_ins!L:L,MATCH('001_population_health_zone_zs'!$B$2,[1]ratio_ins!$B:$B,0))*$G143*INDEX([1]ratio_ins!$C:$C,MATCH('001_population_health_zone_zs'!$B143,[1]ratio_ins!$B:$B,0))</f>
        <v>2798.1557932000001</v>
      </c>
      <c r="O143" s="10">
        <f>INDEX([1]ratio_ins!M:M,MATCH('001_population_health_zone_zs'!$B$2,[1]ratio_ins!$B:$B,0))*$G143*INDEX([1]ratio_ins!$C:$C,MATCH('001_population_health_zone_zs'!$B143,[1]ratio_ins!$B:$B,0))</f>
        <v>6068.2896720000008</v>
      </c>
      <c r="P143" s="10">
        <f>INDEX([1]ratio_ins!N:N,MATCH('001_population_health_zone_zs'!$B$2,[1]ratio_ins!$B:$B,0))*$G143*INDEX([1]ratio_ins!$C:$C,MATCH('001_population_health_zone_zs'!$B143,[1]ratio_ins!$B:$B,0))</f>
        <v>5478.3170650000002</v>
      </c>
      <c r="Q143" s="10">
        <f>INDEX([1]ratio_ins!O:O,MATCH('001_population_health_zone_zs'!$B$2,[1]ratio_ins!$B:$B,0))*$G143*INDEX([1]ratio_ins!$C:$C,MATCH('001_population_health_zone_zs'!$B143,[1]ratio_ins!$B:$B,0))</f>
        <v>4888.3444579999996</v>
      </c>
      <c r="R143" s="10">
        <f>INDEX([1]ratio_ins!P:P,MATCH('001_population_health_zone_zs'!$B$2,[1]ratio_ins!$B:$B,0))*$G143*INDEX([1]ratio_ins!$C:$C,MATCH('001_population_health_zone_zs'!$B143,[1]ratio_ins!$B:$B,0))</f>
        <v>4804.0626570000004</v>
      </c>
      <c r="S143" s="10">
        <f>INDEX([1]ratio_ins!Q:Q,MATCH('001_population_health_zone_zs'!$B$2,[1]ratio_ins!$B:$B,0))*$G143*INDEX([1]ratio_ins!$C:$C,MATCH('001_population_health_zone_zs'!$B143,[1]ratio_ins!$B:$B,0))</f>
        <v>4045.5264479999996</v>
      </c>
      <c r="T143" s="10">
        <f>INDEX([1]ratio_ins!R:R,MATCH('001_population_health_zone_zs'!$B$2,[1]ratio_ins!$B:$B,0))*$G143*INDEX([1]ratio_ins!$C:$C,MATCH('001_population_health_zone_zs'!$B143,[1]ratio_ins!$B:$B,0))</f>
        <v>2865.5812340000002</v>
      </c>
      <c r="U143" s="10">
        <f>INDEX([1]ratio_ins!S:S,MATCH('001_population_health_zone_zs'!$B$2,[1]ratio_ins!$B:$B,0))*$G143*INDEX([1]ratio_ins!$C:$C,MATCH('001_population_health_zone_zs'!$B143,[1]ratio_ins!$B:$B,0))</f>
        <v>2275.6086270000005</v>
      </c>
      <c r="V143" s="10">
        <f>INDEX([1]ratio_ins!T:T,MATCH('001_population_health_zone_zs'!$B$2,[1]ratio_ins!$B:$B,0))*$G143*INDEX([1]ratio_ins!$C:$C,MATCH('001_population_health_zone_zs'!$B143,[1]ratio_ins!$B:$B,0))</f>
        <v>1264.2270149999999</v>
      </c>
      <c r="W143" s="11">
        <f>INDEX([1]ratio_ins!U:U,MATCH('001_population_health_zone_zs'!$B$2,[1]ratio_ins!$B:$B,0))*$G143*INDEX([1]ratio_ins!$C:$C,MATCH('001_population_health_zone_zs'!$B143,[1]ratio_ins!$B:$B,0))</f>
        <v>34488.112969199996</v>
      </c>
      <c r="X143" s="10">
        <f>INDEX([1]ratio_ins!V:V,MATCH('001_population_health_zone_zs'!$B$2,[1]ratio_ins!$B:$B,0))*$G143*INDEX([1]ratio_ins!$C:$C,MATCH('001_population_health_zone_zs'!$B143,[1]ratio_ins!$B:$B,0))</f>
        <v>1011.3816119999999</v>
      </c>
      <c r="Y143" s="10">
        <f>INDEX([1]ratio_ins!W:W,MATCH('001_population_health_zone_zs'!$B$2,[1]ratio_ins!$B:$B,0))*$G143*INDEX([1]ratio_ins!$C:$C,MATCH('001_population_health_zone_zs'!$B143,[1]ratio_ins!$B:$B,0))</f>
        <v>674.25440800000001</v>
      </c>
      <c r="Z143" s="10">
        <f>INDEX([1]ratio_ins!X:X,MATCH('001_population_health_zone_zs'!$B$2,[1]ratio_ins!$B:$B,0))*$G143*INDEX([1]ratio_ins!$C:$C,MATCH('001_population_health_zone_zs'!$B143,[1]ratio_ins!$B:$B,0))</f>
        <v>337.12720400000001</v>
      </c>
      <c r="AA143" s="10">
        <f>INDEX([1]ratio_ins!Y:Y,MATCH('001_population_health_zone_zs'!$B$2,[1]ratio_ins!$B:$B,0))*$G143*INDEX([1]ratio_ins!$C:$C,MATCH('001_population_health_zone_zs'!$B143,[1]ratio_ins!$B:$B,0))</f>
        <v>168.563602</v>
      </c>
      <c r="AB143" s="11">
        <f>INDEX([1]ratio_ins!Z:Z,MATCH('001_population_health_zone_zs'!$B$2,[1]ratio_ins!$B:$B,0))*$G143*INDEX([1]ratio_ins!$C:$C,MATCH('001_population_health_zone_zs'!$B143,[1]ratio_ins!$B:$B,0))</f>
        <v>2191.3268260000004</v>
      </c>
      <c r="AC143" s="12">
        <f t="shared" si="12"/>
        <v>84281.800999999992</v>
      </c>
      <c r="AD143" s="10">
        <f>INDEX([1]ratio_ins!AA:AA,MATCH('001_population_health_zone_zs'!$B$2,[1]ratio_ins!$B:$B,0))*$G143*INDEX([1]ratio_ins!$D:$D,MATCH('001_population_health_zone_zs'!$B143,[1]ratio_ins!$B:$B,0))</f>
        <v>18201.791789999999</v>
      </c>
      <c r="AE143" s="10">
        <f>INDEX([1]ratio_ins!AB:AB,MATCH('001_population_health_zone_zs'!$B$2,[1]ratio_ins!$B:$B,0))*$G143*INDEX([1]ratio_ins!$D:$D,MATCH('001_population_health_zone_zs'!$B143,[1]ratio_ins!$B:$B,0))</f>
        <v>14994.809427</v>
      </c>
      <c r="AF143" s="10">
        <f>INDEX([1]ratio_ins!AC:AC,MATCH('001_population_health_zone_zs'!$B$2,[1]ratio_ins!$B:$B,0))*$G143*INDEX([1]ratio_ins!$D:$D,MATCH('001_population_health_zone_zs'!$B143,[1]ratio_ins!$B:$B,0))</f>
        <v>11874.502262999998</v>
      </c>
      <c r="AG143" s="10">
        <f>INDEX([1]ratio_ins!AD:AD,MATCH('001_population_health_zone_zs'!$B$2,[1]ratio_ins!$B:$B,0))*$G143*INDEX([1]ratio_ins!$D:$D,MATCH('001_population_health_zone_zs'!$B143,[1]ratio_ins!$B:$B,0))</f>
        <v>7194.0415170000006</v>
      </c>
      <c r="AH143" s="10">
        <f>INDEX([1]ratio_ins!AE:AE,MATCH('001_population_health_zone_zs'!$B$2,[1]ratio_ins!$B:$B,0))*$G143*INDEX([1]ratio_ins!$D:$D,MATCH('001_population_health_zone_zs'!$B143,[1]ratio_ins!$B:$B,0))</f>
        <v>4316.4249101999994</v>
      </c>
      <c r="AI143" s="13">
        <f>INDEX([1]ratio_ins!AF:AF,MATCH('001_population_health_zone_zs'!$B$2,[1]ratio_ins!$B:$B,0))*$G143*INDEX([1]ratio_ins!$D:$D,MATCH('001_population_health_zone_zs'!$B143,[1]ratio_ins!$B:$B,0))</f>
        <v>49387.528390200001</v>
      </c>
      <c r="AJ143" s="10">
        <f>INDEX([1]ratio_ins!AG:AG,MATCH('001_population_health_zone_zs'!$B$2,[1]ratio_ins!$B:$B,0))*$G143*INDEX([1]ratio_ins!$D:$D,MATCH('001_population_health_zone_zs'!$B143,[1]ratio_ins!$B:$B,0))</f>
        <v>2877.6166067999998</v>
      </c>
      <c r="AK143" s="10">
        <f>INDEX([1]ratio_ins!AH:AH,MATCH('001_population_health_zone_zs'!$B$2,[1]ratio_ins!$B:$B,0))*$G143*INDEX([1]ratio_ins!$D:$D,MATCH('001_population_health_zone_zs'!$B143,[1]ratio_ins!$B:$B,0))</f>
        <v>6413.9647260000011</v>
      </c>
      <c r="AL143" s="10">
        <f>INDEX([1]ratio_ins!AI:AI,MATCH('001_population_health_zone_zs'!$B$2,[1]ratio_ins!$B:$B,0))*$G143*INDEX([1]ratio_ins!$D:$D,MATCH('001_population_health_zone_zs'!$B143,[1]ratio_ins!$B:$B,0))</f>
        <v>6067.263930000001</v>
      </c>
      <c r="AM143" s="10">
        <f>INDEX([1]ratio_ins!AJ:AJ,MATCH('001_population_health_zone_zs'!$B$2,[1]ratio_ins!$B:$B,0))*$G143*INDEX([1]ratio_ins!$D:$D,MATCH('001_population_health_zone_zs'!$B143,[1]ratio_ins!$B:$B,0))</f>
        <v>5547.2127359999995</v>
      </c>
      <c r="AN143" s="10">
        <f>INDEX([1]ratio_ins!AK:AK,MATCH('001_population_health_zone_zs'!$B$2,[1]ratio_ins!$B:$B,0))*$G143*INDEX([1]ratio_ins!$D:$D,MATCH('001_population_health_zone_zs'!$B143,[1]ratio_ins!$B:$B,0))</f>
        <v>5200.5119400000003</v>
      </c>
      <c r="AO143" s="10">
        <f>INDEX([1]ratio_ins!AL:AL,MATCH('001_population_health_zone_zs'!$B$2,[1]ratio_ins!$B:$B,0))*$G143*INDEX([1]ratio_ins!$D:$D,MATCH('001_population_health_zone_zs'!$B143,[1]ratio_ins!$B:$B,0))</f>
        <v>3900.3839549999998</v>
      </c>
      <c r="AP143" s="10">
        <f>INDEX([1]ratio_ins!AM:AM,MATCH('001_population_health_zone_zs'!$B$2,[1]ratio_ins!$B:$B,0))*$G143*INDEX([1]ratio_ins!$D:$D,MATCH('001_population_health_zone_zs'!$B143,[1]ratio_ins!$B:$B,0))</f>
        <v>2513.5807709999999</v>
      </c>
      <c r="AQ143" s="10">
        <f>INDEX([1]ratio_ins!AN:AN,MATCH('001_population_health_zone_zs'!$B$2,[1]ratio_ins!$B:$B,0))*$G143*INDEX([1]ratio_ins!$D:$D,MATCH('001_population_health_zone_zs'!$B143,[1]ratio_ins!$B:$B,0))</f>
        <v>1993.529577</v>
      </c>
      <c r="AR143" s="10">
        <f>INDEX([1]ratio_ins!AO:AO,MATCH('001_population_health_zone_zs'!$B$2,[1]ratio_ins!$B:$B,0))*$G143*INDEX([1]ratio_ins!$D:$D,MATCH('001_population_health_zone_zs'!$B143,[1]ratio_ins!$B:$B,0))</f>
        <v>953.42718900000011</v>
      </c>
      <c r="AS143" s="13">
        <f>INDEX([1]ratio_ins!AP:AP,MATCH('001_population_health_zone_zs'!$B$2,[1]ratio_ins!$B:$B,0))*$G143*INDEX([1]ratio_ins!$D:$D,MATCH('001_population_health_zone_zs'!$B143,[1]ratio_ins!$B:$B,0))</f>
        <v>35467.491430800001</v>
      </c>
      <c r="AT143" s="10">
        <f>INDEX([1]ratio_ins!AQ:AQ,MATCH('001_population_health_zone_zs'!$B$2,[1]ratio_ins!$B:$B,0))*$G143*INDEX([1]ratio_ins!$D:$D,MATCH('001_population_health_zone_zs'!$B143,[1]ratio_ins!$B:$B,0))</f>
        <v>866.75198999999998</v>
      </c>
      <c r="AU143" s="10">
        <f>INDEX([1]ratio_ins!AR:AR,MATCH('001_population_health_zone_zs'!$B$2,[1]ratio_ins!$B:$B,0))*$G143*INDEX([1]ratio_ins!$D:$D,MATCH('001_population_health_zone_zs'!$B143,[1]ratio_ins!$B:$B,0))</f>
        <v>520.05119400000001</v>
      </c>
      <c r="AV143" s="10">
        <f>INDEX([1]ratio_ins!AS:AS,MATCH('001_population_health_zone_zs'!$B$2,[1]ratio_ins!$B:$B,0))*$G143*INDEX([1]ratio_ins!$D:$D,MATCH('001_population_health_zone_zs'!$B143,[1]ratio_ins!$B:$B,0))</f>
        <v>260.025597</v>
      </c>
      <c r="AW143" s="10">
        <f>INDEX([1]ratio_ins!AT:AT,MATCH('001_population_health_zone_zs'!$B$2,[1]ratio_ins!$B:$B,0))*$G143*INDEX([1]ratio_ins!$D:$D,MATCH('001_population_health_zone_zs'!$B143,[1]ratio_ins!$B:$B,0))</f>
        <v>173.35039799999998</v>
      </c>
      <c r="AX143" s="13">
        <f>INDEX([1]ratio_ins!AU:AU,MATCH('001_population_health_zone_zs'!$B$2,[1]ratio_ins!$B:$B,0))*$G143*INDEX([1]ratio_ins!$D:$D,MATCH('001_population_health_zone_zs'!$B143,[1]ratio_ins!$B:$B,0))</f>
        <v>1820.179179</v>
      </c>
      <c r="AY143" s="14">
        <f t="shared" si="13"/>
        <v>86675.198999999993</v>
      </c>
      <c r="AZ143" s="15">
        <f t="shared" si="14"/>
        <v>170957</v>
      </c>
      <c r="BA143" s="16">
        <v>164937.71326980717</v>
      </c>
      <c r="BB143" s="10">
        <f t="shared" si="15"/>
        <v>36836.959575000001</v>
      </c>
      <c r="BC143" s="17">
        <f t="shared" si="16"/>
        <v>0.215475</v>
      </c>
      <c r="BD143" s="10">
        <f t="shared" si="17"/>
        <v>35145.511017000004</v>
      </c>
    </row>
    <row r="144" spans="1:56" x14ac:dyDescent="0.25">
      <c r="A144" s="8" t="s">
        <v>340</v>
      </c>
      <c r="B144" s="8" t="s">
        <v>341</v>
      </c>
      <c r="C144" s="8" t="s">
        <v>353</v>
      </c>
      <c r="D144" s="8" t="s">
        <v>354</v>
      </c>
      <c r="E144" s="8" t="s">
        <v>353</v>
      </c>
      <c r="F144" s="8" t="s">
        <v>357</v>
      </c>
      <c r="G144" s="9">
        <v>161781</v>
      </c>
      <c r="H144" s="10">
        <f>INDEX([1]ratio_ins!F:F,MATCH('001_population_health_zone_zs'!$B$2,[1]ratio_ins!$B:$B,0))*$G144*INDEX([1]ratio_ins!$C:$C,MATCH('001_population_health_zone_zs'!$B144,[1]ratio_ins!$B:$B,0))</f>
        <v>16669.428896999998</v>
      </c>
      <c r="I144" s="10">
        <f>INDEX([1]ratio_ins!G:G,MATCH('001_population_health_zone_zs'!$B$2,[1]ratio_ins!$B:$B,0))*$G144*INDEX([1]ratio_ins!$C:$C,MATCH('001_population_health_zone_zs'!$B144,[1]ratio_ins!$B:$B,0))</f>
        <v>13638.623643000001</v>
      </c>
      <c r="J144" s="10">
        <f>INDEX([1]ratio_ins!H:H,MATCH('001_population_health_zone_zs'!$B$2,[1]ratio_ins!$B:$B,0))*$G144*INDEX([1]ratio_ins!$C:$C,MATCH('001_population_health_zone_zs'!$B144,[1]ratio_ins!$B:$B,0))</f>
        <v>10767.334455</v>
      </c>
      <c r="K144" s="10">
        <f>INDEX([1]ratio_ins!I:I,MATCH('001_population_health_zone_zs'!$B$2,[1]ratio_ins!$B:$B,0))*$G144*INDEX([1]ratio_ins!$C:$C,MATCH('001_population_health_zone_zs'!$B144,[1]ratio_ins!$B:$B,0))</f>
        <v>6619.9167390000002</v>
      </c>
      <c r="L144" s="10">
        <f>INDEX([1]ratio_ins!J:J,MATCH('001_population_health_zone_zs'!$B$2,[1]ratio_ins!$B:$B,0))*$G144*INDEX([1]ratio_ins!$C:$C,MATCH('001_population_health_zone_zs'!$B144,[1]ratio_ins!$B:$B,0))</f>
        <v>3971.9500433999997</v>
      </c>
      <c r="M144" s="11">
        <f>INDEX([1]ratio_ins!K:K,MATCH('001_population_health_zone_zs'!$B$2,[1]ratio_ins!$B:$B,0))*$G144*INDEX([1]ratio_ins!$C:$C,MATCH('001_population_health_zone_zs'!$B144,[1]ratio_ins!$B:$B,0))</f>
        <v>45047.337038399994</v>
      </c>
      <c r="N144" s="10">
        <f>INDEX([1]ratio_ins!L:L,MATCH('001_population_health_zone_zs'!$B$2,[1]ratio_ins!$B:$B,0))*$G144*INDEX([1]ratio_ins!$C:$C,MATCH('001_population_health_zone_zs'!$B144,[1]ratio_ins!$B:$B,0))</f>
        <v>2647.9666956000001</v>
      </c>
      <c r="O144" s="10">
        <f>INDEX([1]ratio_ins!M:M,MATCH('001_population_health_zone_zs'!$B$2,[1]ratio_ins!$B:$B,0))*$G144*INDEX([1]ratio_ins!$C:$C,MATCH('001_population_health_zone_zs'!$B144,[1]ratio_ins!$B:$B,0))</f>
        <v>5742.5783760000004</v>
      </c>
      <c r="P144" s="10">
        <f>INDEX([1]ratio_ins!N:N,MATCH('001_population_health_zone_zs'!$B$2,[1]ratio_ins!$B:$B,0))*$G144*INDEX([1]ratio_ins!$C:$C,MATCH('001_population_health_zone_zs'!$B144,[1]ratio_ins!$B:$B,0))</f>
        <v>5184.2721450000008</v>
      </c>
      <c r="Q144" s="10">
        <f>INDEX([1]ratio_ins!O:O,MATCH('001_population_health_zone_zs'!$B$2,[1]ratio_ins!$B:$B,0))*$G144*INDEX([1]ratio_ins!$C:$C,MATCH('001_population_health_zone_zs'!$B144,[1]ratio_ins!$B:$B,0))</f>
        <v>4625.9659139999994</v>
      </c>
      <c r="R144" s="10">
        <f>INDEX([1]ratio_ins!P:P,MATCH('001_population_health_zone_zs'!$B$2,[1]ratio_ins!$B:$B,0))*$G144*INDEX([1]ratio_ins!$C:$C,MATCH('001_population_health_zone_zs'!$B144,[1]ratio_ins!$B:$B,0))</f>
        <v>4546.2078810000003</v>
      </c>
      <c r="S144" s="10">
        <f>INDEX([1]ratio_ins!Q:Q,MATCH('001_population_health_zone_zs'!$B$2,[1]ratio_ins!$B:$B,0))*$G144*INDEX([1]ratio_ins!$C:$C,MATCH('001_population_health_zone_zs'!$B144,[1]ratio_ins!$B:$B,0))</f>
        <v>3828.3855840000001</v>
      </c>
      <c r="T144" s="10">
        <f>INDEX([1]ratio_ins!R:R,MATCH('001_population_health_zone_zs'!$B$2,[1]ratio_ins!$B:$B,0))*$G144*INDEX([1]ratio_ins!$C:$C,MATCH('001_population_health_zone_zs'!$B144,[1]ratio_ins!$B:$B,0))</f>
        <v>2711.7731220000001</v>
      </c>
      <c r="U144" s="10">
        <f>INDEX([1]ratio_ins!S:S,MATCH('001_population_health_zone_zs'!$B$2,[1]ratio_ins!$B:$B,0))*$G144*INDEX([1]ratio_ins!$C:$C,MATCH('001_population_health_zone_zs'!$B144,[1]ratio_ins!$B:$B,0))</f>
        <v>2153.466891</v>
      </c>
      <c r="V144" s="10">
        <f>INDEX([1]ratio_ins!T:T,MATCH('001_population_health_zone_zs'!$B$2,[1]ratio_ins!$B:$B,0))*$G144*INDEX([1]ratio_ins!$C:$C,MATCH('001_population_health_zone_zs'!$B144,[1]ratio_ins!$B:$B,0))</f>
        <v>1196.3704949999999</v>
      </c>
      <c r="W144" s="11">
        <f>INDEX([1]ratio_ins!U:U,MATCH('001_population_health_zone_zs'!$B$2,[1]ratio_ins!$B:$B,0))*$G144*INDEX([1]ratio_ins!$C:$C,MATCH('001_population_health_zone_zs'!$B144,[1]ratio_ins!$B:$B,0))</f>
        <v>32636.9871036</v>
      </c>
      <c r="X144" s="10">
        <f>INDEX([1]ratio_ins!V:V,MATCH('001_population_health_zone_zs'!$B$2,[1]ratio_ins!$B:$B,0))*$G144*INDEX([1]ratio_ins!$C:$C,MATCH('001_population_health_zone_zs'!$B144,[1]ratio_ins!$B:$B,0))</f>
        <v>957.09639600000003</v>
      </c>
      <c r="Y144" s="10">
        <f>INDEX([1]ratio_ins!W:W,MATCH('001_population_health_zone_zs'!$B$2,[1]ratio_ins!$B:$B,0))*$G144*INDEX([1]ratio_ins!$C:$C,MATCH('001_population_health_zone_zs'!$B144,[1]ratio_ins!$B:$B,0))</f>
        <v>638.06426399999998</v>
      </c>
      <c r="Z144" s="10">
        <f>INDEX([1]ratio_ins!X:X,MATCH('001_population_health_zone_zs'!$B$2,[1]ratio_ins!$B:$B,0))*$G144*INDEX([1]ratio_ins!$C:$C,MATCH('001_population_health_zone_zs'!$B144,[1]ratio_ins!$B:$B,0))</f>
        <v>319.03213199999999</v>
      </c>
      <c r="AA144" s="10">
        <f>INDEX([1]ratio_ins!Y:Y,MATCH('001_population_health_zone_zs'!$B$2,[1]ratio_ins!$B:$B,0))*$G144*INDEX([1]ratio_ins!$C:$C,MATCH('001_population_health_zone_zs'!$B144,[1]ratio_ins!$B:$B,0))</f>
        <v>159.516066</v>
      </c>
      <c r="AB144" s="11">
        <f>INDEX([1]ratio_ins!Z:Z,MATCH('001_population_health_zone_zs'!$B$2,[1]ratio_ins!$B:$B,0))*$G144*INDEX([1]ratio_ins!$C:$C,MATCH('001_population_health_zone_zs'!$B144,[1]ratio_ins!$B:$B,0))</f>
        <v>2073.7088580000004</v>
      </c>
      <c r="AC144" s="12">
        <f t="shared" si="12"/>
        <v>79758.032999999996</v>
      </c>
      <c r="AD144" s="10">
        <f>INDEX([1]ratio_ins!AA:AA,MATCH('001_population_health_zone_zs'!$B$2,[1]ratio_ins!$B:$B,0))*$G144*INDEX([1]ratio_ins!$D:$D,MATCH('001_population_health_zone_zs'!$B144,[1]ratio_ins!$B:$B,0))</f>
        <v>17224.823070000002</v>
      </c>
      <c r="AE144" s="10">
        <f>INDEX([1]ratio_ins!AB:AB,MATCH('001_population_health_zone_zs'!$B$2,[1]ratio_ins!$B:$B,0))*$G144*INDEX([1]ratio_ins!$D:$D,MATCH('001_population_health_zone_zs'!$B144,[1]ratio_ins!$B:$B,0))</f>
        <v>14189.973291</v>
      </c>
      <c r="AF144" s="10">
        <f>INDEX([1]ratio_ins!AC:AC,MATCH('001_population_health_zone_zs'!$B$2,[1]ratio_ins!$B:$B,0))*$G144*INDEX([1]ratio_ins!$D:$D,MATCH('001_population_health_zone_zs'!$B144,[1]ratio_ins!$B:$B,0))</f>
        <v>11237.146478999997</v>
      </c>
      <c r="AG144" s="10">
        <f>INDEX([1]ratio_ins!AD:AD,MATCH('001_population_health_zone_zs'!$B$2,[1]ratio_ins!$B:$B,0))*$G144*INDEX([1]ratio_ins!$D:$D,MATCH('001_population_health_zone_zs'!$B144,[1]ratio_ins!$B:$B,0))</f>
        <v>6807.9062610000001</v>
      </c>
      <c r="AH144" s="10">
        <f>INDEX([1]ratio_ins!AE:AE,MATCH('001_population_health_zone_zs'!$B$2,[1]ratio_ins!$B:$B,0))*$G144*INDEX([1]ratio_ins!$D:$D,MATCH('001_population_health_zone_zs'!$B144,[1]ratio_ins!$B:$B,0))</f>
        <v>4084.7437565999994</v>
      </c>
      <c r="AI144" s="13">
        <f>INDEX([1]ratio_ins!AF:AF,MATCH('001_population_health_zone_zs'!$B$2,[1]ratio_ins!$B:$B,0))*$G144*INDEX([1]ratio_ins!$D:$D,MATCH('001_population_health_zone_zs'!$B144,[1]ratio_ins!$B:$B,0))</f>
        <v>46736.686596599997</v>
      </c>
      <c r="AJ144" s="10">
        <f>INDEX([1]ratio_ins!AG:AG,MATCH('001_population_health_zone_zs'!$B$2,[1]ratio_ins!$B:$B,0))*$G144*INDEX([1]ratio_ins!$D:$D,MATCH('001_population_health_zone_zs'!$B144,[1]ratio_ins!$B:$B,0))</f>
        <v>2723.1625044000002</v>
      </c>
      <c r="AK144" s="10">
        <f>INDEX([1]ratio_ins!AH:AH,MATCH('001_population_health_zone_zs'!$B$2,[1]ratio_ins!$B:$B,0))*$G144*INDEX([1]ratio_ins!$D:$D,MATCH('001_population_health_zone_zs'!$B144,[1]ratio_ins!$B:$B,0))</f>
        <v>6069.6995580000012</v>
      </c>
      <c r="AL144" s="10">
        <f>INDEX([1]ratio_ins!AI:AI,MATCH('001_population_health_zone_zs'!$B$2,[1]ratio_ins!$B:$B,0))*$G144*INDEX([1]ratio_ins!$D:$D,MATCH('001_population_health_zone_zs'!$B144,[1]ratio_ins!$B:$B,0))</f>
        <v>5741.6076900000007</v>
      </c>
      <c r="AM144" s="10">
        <f>INDEX([1]ratio_ins!AJ:AJ,MATCH('001_population_health_zone_zs'!$B$2,[1]ratio_ins!$B:$B,0))*$G144*INDEX([1]ratio_ins!$D:$D,MATCH('001_population_health_zone_zs'!$B144,[1]ratio_ins!$B:$B,0))</f>
        <v>5249.4698880000005</v>
      </c>
      <c r="AN144" s="10">
        <f>INDEX([1]ratio_ins!AK:AK,MATCH('001_population_health_zone_zs'!$B$2,[1]ratio_ins!$B:$B,0))*$G144*INDEX([1]ratio_ins!$D:$D,MATCH('001_population_health_zone_zs'!$B144,[1]ratio_ins!$B:$B,0))</f>
        <v>4921.3780199999992</v>
      </c>
      <c r="AO144" s="10">
        <f>INDEX([1]ratio_ins!AL:AL,MATCH('001_population_health_zone_zs'!$B$2,[1]ratio_ins!$B:$B,0))*$G144*INDEX([1]ratio_ins!$D:$D,MATCH('001_population_health_zone_zs'!$B144,[1]ratio_ins!$B:$B,0))</f>
        <v>3691.0335149999996</v>
      </c>
      <c r="AP144" s="10">
        <f>INDEX([1]ratio_ins!AM:AM,MATCH('001_population_health_zone_zs'!$B$2,[1]ratio_ins!$B:$B,0))*$G144*INDEX([1]ratio_ins!$D:$D,MATCH('001_population_health_zone_zs'!$B144,[1]ratio_ins!$B:$B,0))</f>
        <v>2378.6660429999997</v>
      </c>
      <c r="AQ144" s="10">
        <f>INDEX([1]ratio_ins!AN:AN,MATCH('001_population_health_zone_zs'!$B$2,[1]ratio_ins!$B:$B,0))*$G144*INDEX([1]ratio_ins!$D:$D,MATCH('001_population_health_zone_zs'!$B144,[1]ratio_ins!$B:$B,0))</f>
        <v>1886.528241</v>
      </c>
      <c r="AR144" s="10">
        <f>INDEX([1]ratio_ins!AO:AO,MATCH('001_population_health_zone_zs'!$B$2,[1]ratio_ins!$B:$B,0))*$G144*INDEX([1]ratio_ins!$D:$D,MATCH('001_population_health_zone_zs'!$B144,[1]ratio_ins!$B:$B,0))</f>
        <v>902.25263700000005</v>
      </c>
      <c r="AS144" s="13">
        <f>INDEX([1]ratio_ins!AP:AP,MATCH('001_population_health_zone_zs'!$B$2,[1]ratio_ins!$B:$B,0))*$G144*INDEX([1]ratio_ins!$D:$D,MATCH('001_population_health_zone_zs'!$B144,[1]ratio_ins!$B:$B,0))</f>
        <v>33563.798096400002</v>
      </c>
      <c r="AT144" s="10">
        <f>INDEX([1]ratio_ins!AQ:AQ,MATCH('001_population_health_zone_zs'!$B$2,[1]ratio_ins!$B:$B,0))*$G144*INDEX([1]ratio_ins!$D:$D,MATCH('001_population_health_zone_zs'!$B144,[1]ratio_ins!$B:$B,0))</f>
        <v>820.22966999999994</v>
      </c>
      <c r="AU144" s="10">
        <f>INDEX([1]ratio_ins!AR:AR,MATCH('001_population_health_zone_zs'!$B$2,[1]ratio_ins!$B:$B,0))*$G144*INDEX([1]ratio_ins!$D:$D,MATCH('001_population_health_zone_zs'!$B144,[1]ratio_ins!$B:$B,0))</f>
        <v>492.13780200000002</v>
      </c>
      <c r="AV144" s="10">
        <f>INDEX([1]ratio_ins!AS:AS,MATCH('001_population_health_zone_zs'!$B$2,[1]ratio_ins!$B:$B,0))*$G144*INDEX([1]ratio_ins!$D:$D,MATCH('001_population_health_zone_zs'!$B144,[1]ratio_ins!$B:$B,0))</f>
        <v>246.06890100000001</v>
      </c>
      <c r="AW144" s="10">
        <f>INDEX([1]ratio_ins!AT:AT,MATCH('001_population_health_zone_zs'!$B$2,[1]ratio_ins!$B:$B,0))*$G144*INDEX([1]ratio_ins!$D:$D,MATCH('001_population_health_zone_zs'!$B144,[1]ratio_ins!$B:$B,0))</f>
        <v>164.04593400000002</v>
      </c>
      <c r="AX144" s="13">
        <f>INDEX([1]ratio_ins!AU:AU,MATCH('001_population_health_zone_zs'!$B$2,[1]ratio_ins!$B:$B,0))*$G144*INDEX([1]ratio_ins!$D:$D,MATCH('001_population_health_zone_zs'!$B144,[1]ratio_ins!$B:$B,0))</f>
        <v>1722.482307</v>
      </c>
      <c r="AY144" s="14">
        <f t="shared" si="13"/>
        <v>82022.967000000004</v>
      </c>
      <c r="AZ144" s="15">
        <f t="shared" si="14"/>
        <v>161781</v>
      </c>
      <c r="BA144" s="16">
        <v>156084.83176753655</v>
      </c>
      <c r="BB144" s="10">
        <f t="shared" si="15"/>
        <v>34859.760974999997</v>
      </c>
      <c r="BC144" s="17">
        <f t="shared" si="16"/>
        <v>0.21547499999999997</v>
      </c>
      <c r="BD144" s="10">
        <f t="shared" si="17"/>
        <v>33259.099761000005</v>
      </c>
    </row>
    <row r="145" spans="1:56" x14ac:dyDescent="0.25">
      <c r="A145" s="8" t="s">
        <v>340</v>
      </c>
      <c r="B145" s="8" t="s">
        <v>341</v>
      </c>
      <c r="C145" s="8" t="s">
        <v>353</v>
      </c>
      <c r="D145" s="8" t="s">
        <v>354</v>
      </c>
      <c r="E145" s="8" t="s">
        <v>358</v>
      </c>
      <c r="F145" s="8" t="s">
        <v>359</v>
      </c>
      <c r="G145" s="9">
        <v>163212</v>
      </c>
      <c r="H145" s="10">
        <f>INDEX([1]ratio_ins!F:F,MATCH('001_population_health_zone_zs'!$B$2,[1]ratio_ins!$B:$B,0))*$G145*INDEX([1]ratio_ins!$C:$C,MATCH('001_population_health_zone_zs'!$B145,[1]ratio_ins!$B:$B,0))</f>
        <v>16816.874843999998</v>
      </c>
      <c r="I145" s="10">
        <f>INDEX([1]ratio_ins!G:G,MATCH('001_population_health_zone_zs'!$B$2,[1]ratio_ins!$B:$B,0))*$G145*INDEX([1]ratio_ins!$C:$C,MATCH('001_population_health_zone_zs'!$B145,[1]ratio_ins!$B:$B,0))</f>
        <v>13759.261236</v>
      </c>
      <c r="J145" s="10">
        <f>INDEX([1]ratio_ins!H:H,MATCH('001_population_health_zone_zs'!$B$2,[1]ratio_ins!$B:$B,0))*$G145*INDEX([1]ratio_ins!$C:$C,MATCH('001_population_health_zone_zs'!$B145,[1]ratio_ins!$B:$B,0))</f>
        <v>10862.574660000002</v>
      </c>
      <c r="K145" s="10">
        <f>INDEX([1]ratio_ins!I:I,MATCH('001_population_health_zone_zs'!$B$2,[1]ratio_ins!$B:$B,0))*$G145*INDEX([1]ratio_ins!$C:$C,MATCH('001_population_health_zone_zs'!$B145,[1]ratio_ins!$B:$B,0))</f>
        <v>6678.4718280000006</v>
      </c>
      <c r="L145" s="10">
        <f>INDEX([1]ratio_ins!J:J,MATCH('001_population_health_zone_zs'!$B$2,[1]ratio_ins!$B:$B,0))*$G145*INDEX([1]ratio_ins!$C:$C,MATCH('001_population_health_zone_zs'!$B145,[1]ratio_ins!$B:$B,0))</f>
        <v>4007.0830968</v>
      </c>
      <c r="M145" s="11">
        <f>INDEX([1]ratio_ins!K:K,MATCH('001_population_health_zone_zs'!$B$2,[1]ratio_ins!$B:$B,0))*$G145*INDEX([1]ratio_ins!$C:$C,MATCH('001_population_health_zone_zs'!$B145,[1]ratio_ins!$B:$B,0))</f>
        <v>45445.793836800003</v>
      </c>
      <c r="N145" s="10">
        <f>INDEX([1]ratio_ins!L:L,MATCH('001_population_health_zone_zs'!$B$2,[1]ratio_ins!$B:$B,0))*$G145*INDEX([1]ratio_ins!$C:$C,MATCH('001_population_health_zone_zs'!$B145,[1]ratio_ins!$B:$B,0))</f>
        <v>2671.3887311999997</v>
      </c>
      <c r="O145" s="10">
        <f>INDEX([1]ratio_ins!M:M,MATCH('001_population_health_zone_zs'!$B$2,[1]ratio_ins!$B:$B,0))*$G145*INDEX([1]ratio_ins!$C:$C,MATCH('001_population_health_zone_zs'!$B145,[1]ratio_ins!$B:$B,0))</f>
        <v>5793.3731520000001</v>
      </c>
      <c r="P145" s="10">
        <f>INDEX([1]ratio_ins!N:N,MATCH('001_population_health_zone_zs'!$B$2,[1]ratio_ins!$B:$B,0))*$G145*INDEX([1]ratio_ins!$C:$C,MATCH('001_population_health_zone_zs'!$B145,[1]ratio_ins!$B:$B,0))</f>
        <v>5230.1285400000006</v>
      </c>
      <c r="Q145" s="10">
        <f>INDEX([1]ratio_ins!O:O,MATCH('001_population_health_zone_zs'!$B$2,[1]ratio_ins!$B:$B,0))*$G145*INDEX([1]ratio_ins!$C:$C,MATCH('001_population_health_zone_zs'!$B145,[1]ratio_ins!$B:$B,0))</f>
        <v>4666.8839279999993</v>
      </c>
      <c r="R145" s="10">
        <f>INDEX([1]ratio_ins!P:P,MATCH('001_population_health_zone_zs'!$B$2,[1]ratio_ins!$B:$B,0))*$G145*INDEX([1]ratio_ins!$C:$C,MATCH('001_population_health_zone_zs'!$B145,[1]ratio_ins!$B:$B,0))</f>
        <v>4586.4204120000004</v>
      </c>
      <c r="S145" s="10">
        <f>INDEX([1]ratio_ins!Q:Q,MATCH('001_population_health_zone_zs'!$B$2,[1]ratio_ins!$B:$B,0))*$G145*INDEX([1]ratio_ins!$C:$C,MATCH('001_population_health_zone_zs'!$B145,[1]ratio_ins!$B:$B,0))</f>
        <v>3862.2487679999999</v>
      </c>
      <c r="T145" s="10">
        <f>INDEX([1]ratio_ins!R:R,MATCH('001_population_health_zone_zs'!$B$2,[1]ratio_ins!$B:$B,0))*$G145*INDEX([1]ratio_ins!$C:$C,MATCH('001_population_health_zone_zs'!$B145,[1]ratio_ins!$B:$B,0))</f>
        <v>2735.759544</v>
      </c>
      <c r="U145" s="10">
        <f>INDEX([1]ratio_ins!S:S,MATCH('001_population_health_zone_zs'!$B$2,[1]ratio_ins!$B:$B,0))*$G145*INDEX([1]ratio_ins!$C:$C,MATCH('001_population_health_zone_zs'!$B145,[1]ratio_ins!$B:$B,0))</f>
        <v>2172.514932</v>
      </c>
      <c r="V145" s="10">
        <f>INDEX([1]ratio_ins!T:T,MATCH('001_population_health_zone_zs'!$B$2,[1]ratio_ins!$B:$B,0))*$G145*INDEX([1]ratio_ins!$C:$C,MATCH('001_population_health_zone_zs'!$B145,[1]ratio_ins!$B:$B,0))</f>
        <v>1206.9527399999999</v>
      </c>
      <c r="W145" s="11">
        <f>INDEX([1]ratio_ins!U:U,MATCH('001_population_health_zone_zs'!$B$2,[1]ratio_ins!$B:$B,0))*$G145*INDEX([1]ratio_ins!$C:$C,MATCH('001_population_health_zone_zs'!$B145,[1]ratio_ins!$B:$B,0))</f>
        <v>32925.670747199998</v>
      </c>
      <c r="X145" s="10">
        <f>INDEX([1]ratio_ins!V:V,MATCH('001_population_health_zone_zs'!$B$2,[1]ratio_ins!$B:$B,0))*$G145*INDEX([1]ratio_ins!$C:$C,MATCH('001_population_health_zone_zs'!$B145,[1]ratio_ins!$B:$B,0))</f>
        <v>965.56219199999998</v>
      </c>
      <c r="Y145" s="10">
        <f>INDEX([1]ratio_ins!W:W,MATCH('001_population_health_zone_zs'!$B$2,[1]ratio_ins!$B:$B,0))*$G145*INDEX([1]ratio_ins!$C:$C,MATCH('001_population_health_zone_zs'!$B145,[1]ratio_ins!$B:$B,0))</f>
        <v>643.7081280000001</v>
      </c>
      <c r="Z145" s="10">
        <f>INDEX([1]ratio_ins!X:X,MATCH('001_population_health_zone_zs'!$B$2,[1]ratio_ins!$B:$B,0))*$G145*INDEX([1]ratio_ins!$C:$C,MATCH('001_population_health_zone_zs'!$B145,[1]ratio_ins!$B:$B,0))</f>
        <v>321.85406400000005</v>
      </c>
      <c r="AA145" s="10">
        <f>INDEX([1]ratio_ins!Y:Y,MATCH('001_population_health_zone_zs'!$B$2,[1]ratio_ins!$B:$B,0))*$G145*INDEX([1]ratio_ins!$C:$C,MATCH('001_population_health_zone_zs'!$B145,[1]ratio_ins!$B:$B,0))</f>
        <v>160.92703200000003</v>
      </c>
      <c r="AB145" s="11">
        <f>INDEX([1]ratio_ins!Z:Z,MATCH('001_population_health_zone_zs'!$B$2,[1]ratio_ins!$B:$B,0))*$G145*INDEX([1]ratio_ins!$C:$C,MATCH('001_population_health_zone_zs'!$B145,[1]ratio_ins!$B:$B,0))</f>
        <v>2092.0514160000002</v>
      </c>
      <c r="AC145" s="12">
        <f t="shared" si="12"/>
        <v>80463.516000000003</v>
      </c>
      <c r="AD145" s="10">
        <f>INDEX([1]ratio_ins!AA:AA,MATCH('001_population_health_zone_zs'!$B$2,[1]ratio_ins!$B:$B,0))*$G145*INDEX([1]ratio_ins!$D:$D,MATCH('001_population_health_zone_zs'!$B145,[1]ratio_ins!$B:$B,0))</f>
        <v>17377.181639999999</v>
      </c>
      <c r="AE145" s="10">
        <f>INDEX([1]ratio_ins!AB:AB,MATCH('001_population_health_zone_zs'!$B$2,[1]ratio_ins!$B:$B,0))*$G145*INDEX([1]ratio_ins!$D:$D,MATCH('001_population_health_zone_zs'!$B145,[1]ratio_ins!$B:$B,0))</f>
        <v>14315.487732000001</v>
      </c>
      <c r="AF145" s="10">
        <f>INDEX([1]ratio_ins!AC:AC,MATCH('001_population_health_zone_zs'!$B$2,[1]ratio_ins!$B:$B,0))*$G145*INDEX([1]ratio_ins!$D:$D,MATCH('001_population_health_zone_zs'!$B145,[1]ratio_ins!$B:$B,0))</f>
        <v>11336.542308</v>
      </c>
      <c r="AG145" s="10">
        <f>INDEX([1]ratio_ins!AD:AD,MATCH('001_population_health_zone_zs'!$B$2,[1]ratio_ins!$B:$B,0))*$G145*INDEX([1]ratio_ins!$D:$D,MATCH('001_population_health_zone_zs'!$B145,[1]ratio_ins!$B:$B,0))</f>
        <v>6868.1241720000007</v>
      </c>
      <c r="AH145" s="10">
        <f>INDEX([1]ratio_ins!AE:AE,MATCH('001_population_health_zone_zs'!$B$2,[1]ratio_ins!$B:$B,0))*$G145*INDEX([1]ratio_ins!$D:$D,MATCH('001_population_health_zone_zs'!$B145,[1]ratio_ins!$B:$B,0))</f>
        <v>4120.8745031999997</v>
      </c>
      <c r="AI145" s="13">
        <f>INDEX([1]ratio_ins!AF:AF,MATCH('001_population_health_zone_zs'!$B$2,[1]ratio_ins!$B:$B,0))*$G145*INDEX([1]ratio_ins!$D:$D,MATCH('001_population_health_zone_zs'!$B145,[1]ratio_ins!$B:$B,0))</f>
        <v>47150.086183200001</v>
      </c>
      <c r="AJ145" s="10">
        <f>INDEX([1]ratio_ins!AG:AG,MATCH('001_population_health_zone_zs'!$B$2,[1]ratio_ins!$B:$B,0))*$G145*INDEX([1]ratio_ins!$D:$D,MATCH('001_population_health_zone_zs'!$B145,[1]ratio_ins!$B:$B,0))</f>
        <v>2747.2496688000001</v>
      </c>
      <c r="AK145" s="10">
        <f>INDEX([1]ratio_ins!AH:AH,MATCH('001_population_health_zone_zs'!$B$2,[1]ratio_ins!$B:$B,0))*$G145*INDEX([1]ratio_ins!$D:$D,MATCH('001_population_health_zone_zs'!$B145,[1]ratio_ins!$B:$B,0))</f>
        <v>6123.3878160000013</v>
      </c>
      <c r="AL145" s="10">
        <f>INDEX([1]ratio_ins!AI:AI,MATCH('001_population_health_zone_zs'!$B$2,[1]ratio_ins!$B:$B,0))*$G145*INDEX([1]ratio_ins!$D:$D,MATCH('001_population_health_zone_zs'!$B145,[1]ratio_ins!$B:$B,0))</f>
        <v>5792.3938800000014</v>
      </c>
      <c r="AM145" s="10">
        <f>INDEX([1]ratio_ins!AJ:AJ,MATCH('001_population_health_zone_zs'!$B$2,[1]ratio_ins!$B:$B,0))*$G145*INDEX([1]ratio_ins!$D:$D,MATCH('001_population_health_zone_zs'!$B145,[1]ratio_ins!$B:$B,0))</f>
        <v>5295.9029760000003</v>
      </c>
      <c r="AN145" s="10">
        <f>INDEX([1]ratio_ins!AK:AK,MATCH('001_population_health_zone_zs'!$B$2,[1]ratio_ins!$B:$B,0))*$G145*INDEX([1]ratio_ins!$D:$D,MATCH('001_population_health_zone_zs'!$B145,[1]ratio_ins!$B:$B,0))</f>
        <v>4964.9090399999995</v>
      </c>
      <c r="AO145" s="10">
        <f>INDEX([1]ratio_ins!AL:AL,MATCH('001_population_health_zone_zs'!$B$2,[1]ratio_ins!$B:$B,0))*$G145*INDEX([1]ratio_ins!$D:$D,MATCH('001_population_health_zone_zs'!$B145,[1]ratio_ins!$B:$B,0))</f>
        <v>3723.6817799999999</v>
      </c>
      <c r="AP145" s="10">
        <f>INDEX([1]ratio_ins!AM:AM,MATCH('001_population_health_zone_zs'!$B$2,[1]ratio_ins!$B:$B,0))*$G145*INDEX([1]ratio_ins!$D:$D,MATCH('001_population_health_zone_zs'!$B145,[1]ratio_ins!$B:$B,0))</f>
        <v>2399.7060359999996</v>
      </c>
      <c r="AQ145" s="10">
        <f>INDEX([1]ratio_ins!AN:AN,MATCH('001_population_health_zone_zs'!$B$2,[1]ratio_ins!$B:$B,0))*$G145*INDEX([1]ratio_ins!$D:$D,MATCH('001_population_health_zone_zs'!$B145,[1]ratio_ins!$B:$B,0))</f>
        <v>1903.2151319999998</v>
      </c>
      <c r="AR145" s="10">
        <f>INDEX([1]ratio_ins!AO:AO,MATCH('001_population_health_zone_zs'!$B$2,[1]ratio_ins!$B:$B,0))*$G145*INDEX([1]ratio_ins!$D:$D,MATCH('001_population_health_zone_zs'!$B145,[1]ratio_ins!$B:$B,0))</f>
        <v>910.23332400000004</v>
      </c>
      <c r="AS145" s="13">
        <f>INDEX([1]ratio_ins!AP:AP,MATCH('001_population_health_zone_zs'!$B$2,[1]ratio_ins!$B:$B,0))*$G145*INDEX([1]ratio_ins!$D:$D,MATCH('001_population_health_zone_zs'!$B145,[1]ratio_ins!$B:$B,0))</f>
        <v>33860.679652799998</v>
      </c>
      <c r="AT145" s="10">
        <f>INDEX([1]ratio_ins!AQ:AQ,MATCH('001_population_health_zone_zs'!$B$2,[1]ratio_ins!$B:$B,0))*$G145*INDEX([1]ratio_ins!$D:$D,MATCH('001_population_health_zone_zs'!$B145,[1]ratio_ins!$B:$B,0))</f>
        <v>827.48484000000008</v>
      </c>
      <c r="AU145" s="10">
        <f>INDEX([1]ratio_ins!AR:AR,MATCH('001_population_health_zone_zs'!$B$2,[1]ratio_ins!$B:$B,0))*$G145*INDEX([1]ratio_ins!$D:$D,MATCH('001_population_health_zone_zs'!$B145,[1]ratio_ins!$B:$B,0))</f>
        <v>496.49090400000006</v>
      </c>
      <c r="AV145" s="10">
        <f>INDEX([1]ratio_ins!AS:AS,MATCH('001_population_health_zone_zs'!$B$2,[1]ratio_ins!$B:$B,0))*$G145*INDEX([1]ratio_ins!$D:$D,MATCH('001_population_health_zone_zs'!$B145,[1]ratio_ins!$B:$B,0))</f>
        <v>248.24545200000003</v>
      </c>
      <c r="AW145" s="10">
        <f>INDEX([1]ratio_ins!AT:AT,MATCH('001_population_health_zone_zs'!$B$2,[1]ratio_ins!$B:$B,0))*$G145*INDEX([1]ratio_ins!$D:$D,MATCH('001_population_health_zone_zs'!$B145,[1]ratio_ins!$B:$B,0))</f>
        <v>165.49696800000001</v>
      </c>
      <c r="AX145" s="13">
        <f>INDEX([1]ratio_ins!AU:AU,MATCH('001_population_health_zone_zs'!$B$2,[1]ratio_ins!$B:$B,0))*$G145*INDEX([1]ratio_ins!$D:$D,MATCH('001_population_health_zone_zs'!$B145,[1]ratio_ins!$B:$B,0))</f>
        <v>1737.7181639999999</v>
      </c>
      <c r="AY145" s="14">
        <f t="shared" si="13"/>
        <v>82748.484000000011</v>
      </c>
      <c r="AZ145" s="15">
        <f t="shared" si="14"/>
        <v>163212</v>
      </c>
      <c r="BA145" s="16">
        <v>157465.87291828048</v>
      </c>
      <c r="BB145" s="10">
        <f t="shared" si="15"/>
        <v>35168.1057</v>
      </c>
      <c r="BC145" s="17">
        <f t="shared" si="16"/>
        <v>0.215475</v>
      </c>
      <c r="BD145" s="10">
        <f t="shared" si="17"/>
        <v>33553.286172</v>
      </c>
    </row>
    <row r="146" spans="1:56" x14ac:dyDescent="0.25">
      <c r="A146" s="8" t="s">
        <v>340</v>
      </c>
      <c r="B146" s="8" t="s">
        <v>341</v>
      </c>
      <c r="C146" s="8" t="s">
        <v>353</v>
      </c>
      <c r="D146" s="8" t="s">
        <v>354</v>
      </c>
      <c r="E146" s="8" t="s">
        <v>360</v>
      </c>
      <c r="F146" s="8" t="s">
        <v>361</v>
      </c>
      <c r="G146" s="9">
        <v>83000</v>
      </c>
      <c r="H146" s="10">
        <f>INDEX([1]ratio_ins!F:F,MATCH('001_population_health_zone_zs'!$B$2,[1]ratio_ins!$B:$B,0))*$G146*INDEX([1]ratio_ins!$C:$C,MATCH('001_population_health_zone_zs'!$B146,[1]ratio_ins!$B:$B,0))</f>
        <v>8552.0709999999999</v>
      </c>
      <c r="I146" s="10">
        <f>INDEX([1]ratio_ins!G:G,MATCH('001_population_health_zone_zs'!$B$2,[1]ratio_ins!$B:$B,0))*$G146*INDEX([1]ratio_ins!$C:$C,MATCH('001_population_health_zone_zs'!$B146,[1]ratio_ins!$B:$B,0))</f>
        <v>6997.1490000000013</v>
      </c>
      <c r="J146" s="10">
        <f>INDEX([1]ratio_ins!H:H,MATCH('001_population_health_zone_zs'!$B$2,[1]ratio_ins!$B:$B,0))*$G146*INDEX([1]ratio_ins!$C:$C,MATCH('001_population_health_zone_zs'!$B146,[1]ratio_ins!$B:$B,0))</f>
        <v>5524.0649999999996</v>
      </c>
      <c r="K146" s="10">
        <f>INDEX([1]ratio_ins!I:I,MATCH('001_population_health_zone_zs'!$B$2,[1]ratio_ins!$B:$B,0))*$G146*INDEX([1]ratio_ins!$C:$C,MATCH('001_population_health_zone_zs'!$B146,[1]ratio_ins!$B:$B,0))</f>
        <v>3396.277</v>
      </c>
      <c r="L146" s="10">
        <f>INDEX([1]ratio_ins!J:J,MATCH('001_population_health_zone_zs'!$B$2,[1]ratio_ins!$B:$B,0))*$G146*INDEX([1]ratio_ins!$C:$C,MATCH('001_population_health_zone_zs'!$B146,[1]ratio_ins!$B:$B,0))</f>
        <v>2037.7661999999998</v>
      </c>
      <c r="M146" s="11">
        <f>INDEX([1]ratio_ins!K:K,MATCH('001_population_health_zone_zs'!$B$2,[1]ratio_ins!$B:$B,0))*$G146*INDEX([1]ratio_ins!$C:$C,MATCH('001_population_health_zone_zs'!$B146,[1]ratio_ins!$B:$B,0))</f>
        <v>23111.051199999998</v>
      </c>
      <c r="N146" s="10">
        <f>INDEX([1]ratio_ins!L:L,MATCH('001_population_health_zone_zs'!$B$2,[1]ratio_ins!$B:$B,0))*$G146*INDEX([1]ratio_ins!$C:$C,MATCH('001_population_health_zone_zs'!$B146,[1]ratio_ins!$B:$B,0))</f>
        <v>1358.5108</v>
      </c>
      <c r="O146" s="10">
        <f>INDEX([1]ratio_ins!M:M,MATCH('001_population_health_zone_zs'!$B$2,[1]ratio_ins!$B:$B,0))*$G146*INDEX([1]ratio_ins!$C:$C,MATCH('001_population_health_zone_zs'!$B146,[1]ratio_ins!$B:$B,0))</f>
        <v>2946.1680000000006</v>
      </c>
      <c r="P146" s="10">
        <f>INDEX([1]ratio_ins!N:N,MATCH('001_population_health_zone_zs'!$B$2,[1]ratio_ins!$B:$B,0))*$G146*INDEX([1]ratio_ins!$C:$C,MATCH('001_population_health_zone_zs'!$B146,[1]ratio_ins!$B:$B,0))</f>
        <v>2659.7350000000001</v>
      </c>
      <c r="Q146" s="10">
        <f>INDEX([1]ratio_ins!O:O,MATCH('001_population_health_zone_zs'!$B$2,[1]ratio_ins!$B:$B,0))*$G146*INDEX([1]ratio_ins!$C:$C,MATCH('001_population_health_zone_zs'!$B146,[1]ratio_ins!$B:$B,0))</f>
        <v>2373.3020000000001</v>
      </c>
      <c r="R146" s="10">
        <f>INDEX([1]ratio_ins!P:P,MATCH('001_population_health_zone_zs'!$B$2,[1]ratio_ins!$B:$B,0))*$G146*INDEX([1]ratio_ins!$C:$C,MATCH('001_population_health_zone_zs'!$B146,[1]ratio_ins!$B:$B,0))</f>
        <v>2332.3829999999998</v>
      </c>
      <c r="S146" s="10">
        <f>INDEX([1]ratio_ins!Q:Q,MATCH('001_population_health_zone_zs'!$B$2,[1]ratio_ins!$B:$B,0))*$G146*INDEX([1]ratio_ins!$C:$C,MATCH('001_population_health_zone_zs'!$B146,[1]ratio_ins!$B:$B,0))</f>
        <v>1964.1120000000001</v>
      </c>
      <c r="T146" s="10">
        <f>INDEX([1]ratio_ins!R:R,MATCH('001_population_health_zone_zs'!$B$2,[1]ratio_ins!$B:$B,0))*$G146*INDEX([1]ratio_ins!$C:$C,MATCH('001_population_health_zone_zs'!$B146,[1]ratio_ins!$B:$B,0))</f>
        <v>1391.2460000000001</v>
      </c>
      <c r="U146" s="10">
        <f>INDEX([1]ratio_ins!S:S,MATCH('001_population_health_zone_zs'!$B$2,[1]ratio_ins!$B:$B,0))*$G146*INDEX([1]ratio_ins!$C:$C,MATCH('001_population_health_zone_zs'!$B146,[1]ratio_ins!$B:$B,0))</f>
        <v>1104.8130000000001</v>
      </c>
      <c r="V146" s="10">
        <f>INDEX([1]ratio_ins!T:T,MATCH('001_population_health_zone_zs'!$B$2,[1]ratio_ins!$B:$B,0))*$G146*INDEX([1]ratio_ins!$C:$C,MATCH('001_population_health_zone_zs'!$B146,[1]ratio_ins!$B:$B,0))</f>
        <v>613.78499999999997</v>
      </c>
      <c r="W146" s="11">
        <f>INDEX([1]ratio_ins!U:U,MATCH('001_population_health_zone_zs'!$B$2,[1]ratio_ins!$B:$B,0))*$G146*INDEX([1]ratio_ins!$C:$C,MATCH('001_population_health_zone_zs'!$B146,[1]ratio_ins!$B:$B,0))</f>
        <v>16744.054799999998</v>
      </c>
      <c r="X146" s="10">
        <f>INDEX([1]ratio_ins!V:V,MATCH('001_population_health_zone_zs'!$B$2,[1]ratio_ins!$B:$B,0))*$G146*INDEX([1]ratio_ins!$C:$C,MATCH('001_population_health_zone_zs'!$B146,[1]ratio_ins!$B:$B,0))</f>
        <v>491.02800000000002</v>
      </c>
      <c r="Y146" s="10">
        <f>INDEX([1]ratio_ins!W:W,MATCH('001_population_health_zone_zs'!$B$2,[1]ratio_ins!$B:$B,0))*$G146*INDEX([1]ratio_ins!$C:$C,MATCH('001_population_health_zone_zs'!$B146,[1]ratio_ins!$B:$B,0))</f>
        <v>327.35199999999998</v>
      </c>
      <c r="Z146" s="10">
        <f>INDEX([1]ratio_ins!X:X,MATCH('001_population_health_zone_zs'!$B$2,[1]ratio_ins!$B:$B,0))*$G146*INDEX([1]ratio_ins!$C:$C,MATCH('001_population_health_zone_zs'!$B146,[1]ratio_ins!$B:$B,0))</f>
        <v>163.67599999999999</v>
      </c>
      <c r="AA146" s="10">
        <f>INDEX([1]ratio_ins!Y:Y,MATCH('001_population_health_zone_zs'!$B$2,[1]ratio_ins!$B:$B,0))*$G146*INDEX([1]ratio_ins!$C:$C,MATCH('001_population_health_zone_zs'!$B146,[1]ratio_ins!$B:$B,0))</f>
        <v>81.837999999999994</v>
      </c>
      <c r="AB146" s="11">
        <f>INDEX([1]ratio_ins!Z:Z,MATCH('001_population_health_zone_zs'!$B$2,[1]ratio_ins!$B:$B,0))*$G146*INDEX([1]ratio_ins!$C:$C,MATCH('001_population_health_zone_zs'!$B146,[1]ratio_ins!$B:$B,0))</f>
        <v>1063.894</v>
      </c>
      <c r="AC146" s="12">
        <f t="shared" si="12"/>
        <v>40919</v>
      </c>
      <c r="AD146" s="10">
        <f>INDEX([1]ratio_ins!AA:AA,MATCH('001_population_health_zone_zs'!$B$2,[1]ratio_ins!$B:$B,0))*$G146*INDEX([1]ratio_ins!$D:$D,MATCH('001_population_health_zone_zs'!$B146,[1]ratio_ins!$B:$B,0))</f>
        <v>8837.01</v>
      </c>
      <c r="AE146" s="10">
        <f>INDEX([1]ratio_ins!AB:AB,MATCH('001_population_health_zone_zs'!$B$2,[1]ratio_ins!$B:$B,0))*$G146*INDEX([1]ratio_ins!$D:$D,MATCH('001_population_health_zone_zs'!$B146,[1]ratio_ins!$B:$B,0))</f>
        <v>7280.0130000000008</v>
      </c>
      <c r="AF146" s="10">
        <f>INDEX([1]ratio_ins!AC:AC,MATCH('001_population_health_zone_zs'!$B$2,[1]ratio_ins!$B:$B,0))*$G146*INDEX([1]ratio_ins!$D:$D,MATCH('001_population_health_zone_zs'!$B146,[1]ratio_ins!$B:$B,0))</f>
        <v>5765.0969999999988</v>
      </c>
      <c r="AG146" s="10">
        <f>INDEX([1]ratio_ins!AD:AD,MATCH('001_population_health_zone_zs'!$B$2,[1]ratio_ins!$B:$B,0))*$G146*INDEX([1]ratio_ins!$D:$D,MATCH('001_population_health_zone_zs'!$B146,[1]ratio_ins!$B:$B,0))</f>
        <v>3492.723</v>
      </c>
      <c r="AH146" s="10">
        <f>INDEX([1]ratio_ins!AE:AE,MATCH('001_population_health_zone_zs'!$B$2,[1]ratio_ins!$B:$B,0))*$G146*INDEX([1]ratio_ins!$D:$D,MATCH('001_population_health_zone_zs'!$B146,[1]ratio_ins!$B:$B,0))</f>
        <v>2095.6338000000001</v>
      </c>
      <c r="AI146" s="13">
        <f>INDEX([1]ratio_ins!AF:AF,MATCH('001_population_health_zone_zs'!$B$2,[1]ratio_ins!$B:$B,0))*$G146*INDEX([1]ratio_ins!$D:$D,MATCH('001_population_health_zone_zs'!$B146,[1]ratio_ins!$B:$B,0))</f>
        <v>23977.753799999999</v>
      </c>
      <c r="AJ146" s="10">
        <f>INDEX([1]ratio_ins!AG:AG,MATCH('001_population_health_zone_zs'!$B$2,[1]ratio_ins!$B:$B,0))*$G146*INDEX([1]ratio_ins!$D:$D,MATCH('001_population_health_zone_zs'!$B146,[1]ratio_ins!$B:$B,0))</f>
        <v>1397.0891999999999</v>
      </c>
      <c r="AK146" s="10">
        <f>INDEX([1]ratio_ins!AH:AH,MATCH('001_population_health_zone_zs'!$B$2,[1]ratio_ins!$B:$B,0))*$G146*INDEX([1]ratio_ins!$D:$D,MATCH('001_population_health_zone_zs'!$B146,[1]ratio_ins!$B:$B,0))</f>
        <v>3113.9940000000006</v>
      </c>
      <c r="AL146" s="10">
        <f>INDEX([1]ratio_ins!AI:AI,MATCH('001_population_health_zone_zs'!$B$2,[1]ratio_ins!$B:$B,0))*$G146*INDEX([1]ratio_ins!$D:$D,MATCH('001_population_health_zone_zs'!$B146,[1]ratio_ins!$B:$B,0))</f>
        <v>2945.6700000000005</v>
      </c>
      <c r="AM146" s="10">
        <f>INDEX([1]ratio_ins!AJ:AJ,MATCH('001_population_health_zone_zs'!$B$2,[1]ratio_ins!$B:$B,0))*$G146*INDEX([1]ratio_ins!$D:$D,MATCH('001_population_health_zone_zs'!$B146,[1]ratio_ins!$B:$B,0))</f>
        <v>2693.1840000000002</v>
      </c>
      <c r="AN146" s="10">
        <f>INDEX([1]ratio_ins!AK:AK,MATCH('001_population_health_zone_zs'!$B$2,[1]ratio_ins!$B:$B,0))*$G146*INDEX([1]ratio_ins!$D:$D,MATCH('001_population_health_zone_zs'!$B146,[1]ratio_ins!$B:$B,0))</f>
        <v>2524.86</v>
      </c>
      <c r="AO146" s="10">
        <f>INDEX([1]ratio_ins!AL:AL,MATCH('001_population_health_zone_zs'!$B$2,[1]ratio_ins!$B:$B,0))*$G146*INDEX([1]ratio_ins!$D:$D,MATCH('001_population_health_zone_zs'!$B146,[1]ratio_ins!$B:$B,0))</f>
        <v>1893.645</v>
      </c>
      <c r="AP146" s="10">
        <f>INDEX([1]ratio_ins!AM:AM,MATCH('001_population_health_zone_zs'!$B$2,[1]ratio_ins!$B:$B,0))*$G146*INDEX([1]ratio_ins!$D:$D,MATCH('001_population_health_zone_zs'!$B146,[1]ratio_ins!$B:$B,0))</f>
        <v>1220.3489999999999</v>
      </c>
      <c r="AQ146" s="10">
        <f>INDEX([1]ratio_ins!AN:AN,MATCH('001_population_health_zone_zs'!$B$2,[1]ratio_ins!$B:$B,0))*$G146*INDEX([1]ratio_ins!$D:$D,MATCH('001_population_health_zone_zs'!$B146,[1]ratio_ins!$B:$B,0))</f>
        <v>967.86300000000006</v>
      </c>
      <c r="AR146" s="10">
        <f>INDEX([1]ratio_ins!AO:AO,MATCH('001_population_health_zone_zs'!$B$2,[1]ratio_ins!$B:$B,0))*$G146*INDEX([1]ratio_ins!$D:$D,MATCH('001_population_health_zone_zs'!$B146,[1]ratio_ins!$B:$B,0))</f>
        <v>462.89100000000008</v>
      </c>
      <c r="AS146" s="13">
        <f>INDEX([1]ratio_ins!AP:AP,MATCH('001_population_health_zone_zs'!$B$2,[1]ratio_ins!$B:$B,0))*$G146*INDEX([1]ratio_ins!$D:$D,MATCH('001_population_health_zone_zs'!$B146,[1]ratio_ins!$B:$B,0))</f>
        <v>17219.5452</v>
      </c>
      <c r="AT146" s="10">
        <f>INDEX([1]ratio_ins!AQ:AQ,MATCH('001_population_health_zone_zs'!$B$2,[1]ratio_ins!$B:$B,0))*$G146*INDEX([1]ratio_ins!$D:$D,MATCH('001_population_health_zone_zs'!$B146,[1]ratio_ins!$B:$B,0))</f>
        <v>420.81</v>
      </c>
      <c r="AU146" s="10">
        <f>INDEX([1]ratio_ins!AR:AR,MATCH('001_population_health_zone_zs'!$B$2,[1]ratio_ins!$B:$B,0))*$G146*INDEX([1]ratio_ins!$D:$D,MATCH('001_population_health_zone_zs'!$B146,[1]ratio_ins!$B:$B,0))</f>
        <v>252.48599999999999</v>
      </c>
      <c r="AV146" s="10">
        <f>INDEX([1]ratio_ins!AS:AS,MATCH('001_population_health_zone_zs'!$B$2,[1]ratio_ins!$B:$B,0))*$G146*INDEX([1]ratio_ins!$D:$D,MATCH('001_population_health_zone_zs'!$B146,[1]ratio_ins!$B:$B,0))</f>
        <v>126.24299999999999</v>
      </c>
      <c r="AW146" s="10">
        <f>INDEX([1]ratio_ins!AT:AT,MATCH('001_population_health_zone_zs'!$B$2,[1]ratio_ins!$B:$B,0))*$G146*INDEX([1]ratio_ins!$D:$D,MATCH('001_population_health_zone_zs'!$B146,[1]ratio_ins!$B:$B,0))</f>
        <v>84.162000000000006</v>
      </c>
      <c r="AX146" s="13">
        <f>INDEX([1]ratio_ins!AU:AU,MATCH('001_population_health_zone_zs'!$B$2,[1]ratio_ins!$B:$B,0))*$G146*INDEX([1]ratio_ins!$D:$D,MATCH('001_population_health_zone_zs'!$B146,[1]ratio_ins!$B:$B,0))</f>
        <v>883.70099999999991</v>
      </c>
      <c r="AY146" s="14">
        <f t="shared" si="13"/>
        <v>42081</v>
      </c>
      <c r="AZ146" s="15">
        <f t="shared" si="14"/>
        <v>83000</v>
      </c>
      <c r="BA146" s="16">
        <v>80077.386814822807</v>
      </c>
      <c r="BB146" s="10">
        <f t="shared" si="15"/>
        <v>17884.424999999999</v>
      </c>
      <c r="BC146" s="17">
        <f t="shared" si="16"/>
        <v>0.215475</v>
      </c>
      <c r="BD146" s="10">
        <f t="shared" si="17"/>
        <v>17063.222999999998</v>
      </c>
    </row>
    <row r="147" spans="1:56" x14ac:dyDescent="0.25">
      <c r="A147" s="8" t="s">
        <v>340</v>
      </c>
      <c r="B147" s="8" t="s">
        <v>341</v>
      </c>
      <c r="C147" s="8" t="s">
        <v>353</v>
      </c>
      <c r="D147" s="8" t="s">
        <v>354</v>
      </c>
      <c r="E147" s="8" t="s">
        <v>362</v>
      </c>
      <c r="F147" s="8" t="s">
        <v>363</v>
      </c>
      <c r="G147" s="9">
        <v>158536</v>
      </c>
      <c r="H147" s="10">
        <f>INDEX([1]ratio_ins!F:F,MATCH('001_population_health_zone_zs'!$B$2,[1]ratio_ins!$B:$B,0))*$G147*INDEX([1]ratio_ins!$C:$C,MATCH('001_population_health_zone_zs'!$B147,[1]ratio_ins!$B:$B,0))</f>
        <v>16335.073831999998</v>
      </c>
      <c r="I147" s="10">
        <f>INDEX([1]ratio_ins!G:G,MATCH('001_population_health_zone_zs'!$B$2,[1]ratio_ins!$B:$B,0))*$G147*INDEX([1]ratio_ins!$C:$C,MATCH('001_population_health_zone_zs'!$B147,[1]ratio_ins!$B:$B,0))</f>
        <v>13365.060408000001</v>
      </c>
      <c r="J147" s="10">
        <f>INDEX([1]ratio_ins!H:H,MATCH('001_population_health_zone_zs'!$B$2,[1]ratio_ins!$B:$B,0))*$G147*INDEX([1]ratio_ins!$C:$C,MATCH('001_population_health_zone_zs'!$B147,[1]ratio_ins!$B:$B,0))</f>
        <v>10551.36348</v>
      </c>
      <c r="K147" s="10">
        <f>INDEX([1]ratio_ins!I:I,MATCH('001_population_health_zone_zs'!$B$2,[1]ratio_ins!$B:$B,0))*$G147*INDEX([1]ratio_ins!$C:$C,MATCH('001_population_health_zone_zs'!$B147,[1]ratio_ins!$B:$B,0))</f>
        <v>6487.1345840000004</v>
      </c>
      <c r="L147" s="10">
        <f>INDEX([1]ratio_ins!J:J,MATCH('001_population_health_zone_zs'!$B$2,[1]ratio_ins!$B:$B,0))*$G147*INDEX([1]ratio_ins!$C:$C,MATCH('001_population_health_zone_zs'!$B147,[1]ratio_ins!$B:$B,0))</f>
        <v>3892.2807503999998</v>
      </c>
      <c r="M147" s="11">
        <f>INDEX([1]ratio_ins!K:K,MATCH('001_population_health_zone_zs'!$B$2,[1]ratio_ins!$B:$B,0))*$G147*INDEX([1]ratio_ins!$C:$C,MATCH('001_population_health_zone_zs'!$B147,[1]ratio_ins!$B:$B,0))</f>
        <v>44143.778470399993</v>
      </c>
      <c r="N147" s="10">
        <f>INDEX([1]ratio_ins!L:L,MATCH('001_population_health_zone_zs'!$B$2,[1]ratio_ins!$B:$B,0))*$G147*INDEX([1]ratio_ins!$C:$C,MATCH('001_population_health_zone_zs'!$B147,[1]ratio_ins!$B:$B,0))</f>
        <v>2594.8538336000001</v>
      </c>
      <c r="O147" s="10">
        <f>INDEX([1]ratio_ins!M:M,MATCH('001_population_health_zone_zs'!$B$2,[1]ratio_ins!$B:$B,0))*$G147*INDEX([1]ratio_ins!$C:$C,MATCH('001_population_health_zone_zs'!$B147,[1]ratio_ins!$B:$B,0))</f>
        <v>5627.3938560000006</v>
      </c>
      <c r="P147" s="10">
        <f>INDEX([1]ratio_ins!N:N,MATCH('001_population_health_zone_zs'!$B$2,[1]ratio_ins!$B:$B,0))*$G147*INDEX([1]ratio_ins!$C:$C,MATCH('001_population_health_zone_zs'!$B147,[1]ratio_ins!$B:$B,0))</f>
        <v>5080.2861199999998</v>
      </c>
      <c r="Q147" s="10">
        <f>INDEX([1]ratio_ins!O:O,MATCH('001_population_health_zone_zs'!$B$2,[1]ratio_ins!$B:$B,0))*$G147*INDEX([1]ratio_ins!$C:$C,MATCH('001_population_health_zone_zs'!$B147,[1]ratio_ins!$B:$B,0))</f>
        <v>4533.1783839999998</v>
      </c>
      <c r="R147" s="10">
        <f>INDEX([1]ratio_ins!P:P,MATCH('001_population_health_zone_zs'!$B$2,[1]ratio_ins!$B:$B,0))*$G147*INDEX([1]ratio_ins!$C:$C,MATCH('001_population_health_zone_zs'!$B147,[1]ratio_ins!$B:$B,0))</f>
        <v>4455.0201360000001</v>
      </c>
      <c r="S147" s="10">
        <f>INDEX([1]ratio_ins!Q:Q,MATCH('001_population_health_zone_zs'!$B$2,[1]ratio_ins!$B:$B,0))*$G147*INDEX([1]ratio_ins!$C:$C,MATCH('001_population_health_zone_zs'!$B147,[1]ratio_ins!$B:$B,0))</f>
        <v>3751.5959039999998</v>
      </c>
      <c r="T147" s="10">
        <f>INDEX([1]ratio_ins!R:R,MATCH('001_population_health_zone_zs'!$B$2,[1]ratio_ins!$B:$B,0))*$G147*INDEX([1]ratio_ins!$C:$C,MATCH('001_population_health_zone_zs'!$B147,[1]ratio_ins!$B:$B,0))</f>
        <v>2657.3804319999999</v>
      </c>
      <c r="U147" s="10">
        <f>INDEX([1]ratio_ins!S:S,MATCH('001_population_health_zone_zs'!$B$2,[1]ratio_ins!$B:$B,0))*$G147*INDEX([1]ratio_ins!$C:$C,MATCH('001_population_health_zone_zs'!$B147,[1]ratio_ins!$B:$B,0))</f>
        <v>2110.2726960000005</v>
      </c>
      <c r="V147" s="10">
        <f>INDEX([1]ratio_ins!T:T,MATCH('001_population_health_zone_zs'!$B$2,[1]ratio_ins!$B:$B,0))*$G147*INDEX([1]ratio_ins!$C:$C,MATCH('001_population_health_zone_zs'!$B147,[1]ratio_ins!$B:$B,0))</f>
        <v>1172.37372</v>
      </c>
      <c r="W147" s="11">
        <f>INDEX([1]ratio_ins!U:U,MATCH('001_population_health_zone_zs'!$B$2,[1]ratio_ins!$B:$B,0))*$G147*INDEX([1]ratio_ins!$C:$C,MATCH('001_population_health_zone_zs'!$B147,[1]ratio_ins!$B:$B,0))</f>
        <v>31982.355081599999</v>
      </c>
      <c r="X147" s="10">
        <f>INDEX([1]ratio_ins!V:V,MATCH('001_population_health_zone_zs'!$B$2,[1]ratio_ins!$B:$B,0))*$G147*INDEX([1]ratio_ins!$C:$C,MATCH('001_population_health_zone_zs'!$B147,[1]ratio_ins!$B:$B,0))</f>
        <v>937.89897599999995</v>
      </c>
      <c r="Y147" s="10">
        <f>INDEX([1]ratio_ins!W:W,MATCH('001_population_health_zone_zs'!$B$2,[1]ratio_ins!$B:$B,0))*$G147*INDEX([1]ratio_ins!$C:$C,MATCH('001_population_health_zone_zs'!$B147,[1]ratio_ins!$B:$B,0))</f>
        <v>625.265984</v>
      </c>
      <c r="Z147" s="10">
        <f>INDEX([1]ratio_ins!X:X,MATCH('001_population_health_zone_zs'!$B$2,[1]ratio_ins!$B:$B,0))*$G147*INDEX([1]ratio_ins!$C:$C,MATCH('001_population_health_zone_zs'!$B147,[1]ratio_ins!$B:$B,0))</f>
        <v>312.632992</v>
      </c>
      <c r="AA147" s="10">
        <f>INDEX([1]ratio_ins!Y:Y,MATCH('001_population_health_zone_zs'!$B$2,[1]ratio_ins!$B:$B,0))*$G147*INDEX([1]ratio_ins!$C:$C,MATCH('001_population_health_zone_zs'!$B147,[1]ratio_ins!$B:$B,0))</f>
        <v>156.316496</v>
      </c>
      <c r="AB147" s="11">
        <f>INDEX([1]ratio_ins!Z:Z,MATCH('001_population_health_zone_zs'!$B$2,[1]ratio_ins!$B:$B,0))*$G147*INDEX([1]ratio_ins!$C:$C,MATCH('001_population_health_zone_zs'!$B147,[1]ratio_ins!$B:$B,0))</f>
        <v>2032.1144480000003</v>
      </c>
      <c r="AC147" s="12">
        <f t="shared" si="12"/>
        <v>78158.247999999992</v>
      </c>
      <c r="AD147" s="10">
        <f>INDEX([1]ratio_ins!AA:AA,MATCH('001_population_health_zone_zs'!$B$2,[1]ratio_ins!$B:$B,0))*$G147*INDEX([1]ratio_ins!$D:$D,MATCH('001_population_health_zone_zs'!$B147,[1]ratio_ins!$B:$B,0))</f>
        <v>16879.32792</v>
      </c>
      <c r="AE147" s="10">
        <f>INDEX([1]ratio_ins!AB:AB,MATCH('001_population_health_zone_zs'!$B$2,[1]ratio_ins!$B:$B,0))*$G147*INDEX([1]ratio_ins!$D:$D,MATCH('001_population_health_zone_zs'!$B147,[1]ratio_ins!$B:$B,0))</f>
        <v>13905.351096000002</v>
      </c>
      <c r="AF147" s="10">
        <f>INDEX([1]ratio_ins!AC:AC,MATCH('001_population_health_zone_zs'!$B$2,[1]ratio_ins!$B:$B,0))*$G147*INDEX([1]ratio_ins!$D:$D,MATCH('001_population_health_zone_zs'!$B147,[1]ratio_ins!$B:$B,0))</f>
        <v>11011.752023999999</v>
      </c>
      <c r="AG147" s="10">
        <f>INDEX([1]ratio_ins!AD:AD,MATCH('001_population_health_zone_zs'!$B$2,[1]ratio_ins!$B:$B,0))*$G147*INDEX([1]ratio_ins!$D:$D,MATCH('001_population_health_zone_zs'!$B147,[1]ratio_ins!$B:$B,0))</f>
        <v>6671.3534160000008</v>
      </c>
      <c r="AH147" s="10">
        <f>INDEX([1]ratio_ins!AE:AE,MATCH('001_population_health_zone_zs'!$B$2,[1]ratio_ins!$B:$B,0))*$G147*INDEX([1]ratio_ins!$D:$D,MATCH('001_population_health_zone_zs'!$B147,[1]ratio_ins!$B:$B,0))</f>
        <v>4002.8120495999997</v>
      </c>
      <c r="AI147" s="13">
        <f>INDEX([1]ratio_ins!AF:AF,MATCH('001_population_health_zone_zs'!$B$2,[1]ratio_ins!$B:$B,0))*$G147*INDEX([1]ratio_ins!$D:$D,MATCH('001_population_health_zone_zs'!$B147,[1]ratio_ins!$B:$B,0))</f>
        <v>45799.243089600001</v>
      </c>
      <c r="AJ147" s="10">
        <f>INDEX([1]ratio_ins!AG:AG,MATCH('001_population_health_zone_zs'!$B$2,[1]ratio_ins!$B:$B,0))*$G147*INDEX([1]ratio_ins!$D:$D,MATCH('001_population_health_zone_zs'!$B147,[1]ratio_ins!$B:$B,0))</f>
        <v>2668.5413663999998</v>
      </c>
      <c r="AK147" s="10">
        <f>INDEX([1]ratio_ins!AH:AH,MATCH('001_population_health_zone_zs'!$B$2,[1]ratio_ins!$B:$B,0))*$G147*INDEX([1]ratio_ins!$D:$D,MATCH('001_population_health_zone_zs'!$B147,[1]ratio_ins!$B:$B,0))</f>
        <v>5947.9536480000015</v>
      </c>
      <c r="AL147" s="10">
        <f>INDEX([1]ratio_ins!AI:AI,MATCH('001_population_health_zone_zs'!$B$2,[1]ratio_ins!$B:$B,0))*$G147*INDEX([1]ratio_ins!$D:$D,MATCH('001_population_health_zone_zs'!$B147,[1]ratio_ins!$B:$B,0))</f>
        <v>5626.4426400000002</v>
      </c>
      <c r="AM147" s="10">
        <f>INDEX([1]ratio_ins!AJ:AJ,MATCH('001_population_health_zone_zs'!$B$2,[1]ratio_ins!$B:$B,0))*$G147*INDEX([1]ratio_ins!$D:$D,MATCH('001_population_health_zone_zs'!$B147,[1]ratio_ins!$B:$B,0))</f>
        <v>5144.1761280000001</v>
      </c>
      <c r="AN147" s="10">
        <f>INDEX([1]ratio_ins!AK:AK,MATCH('001_population_health_zone_zs'!$B$2,[1]ratio_ins!$B:$B,0))*$G147*INDEX([1]ratio_ins!$D:$D,MATCH('001_population_health_zone_zs'!$B147,[1]ratio_ins!$B:$B,0))</f>
        <v>4822.6651199999997</v>
      </c>
      <c r="AO147" s="10">
        <f>INDEX([1]ratio_ins!AL:AL,MATCH('001_population_health_zone_zs'!$B$2,[1]ratio_ins!$B:$B,0))*$G147*INDEX([1]ratio_ins!$D:$D,MATCH('001_population_health_zone_zs'!$B147,[1]ratio_ins!$B:$B,0))</f>
        <v>3616.9988400000002</v>
      </c>
      <c r="AP147" s="10">
        <f>INDEX([1]ratio_ins!AM:AM,MATCH('001_population_health_zone_zs'!$B$2,[1]ratio_ins!$B:$B,0))*$G147*INDEX([1]ratio_ins!$D:$D,MATCH('001_population_health_zone_zs'!$B147,[1]ratio_ins!$B:$B,0))</f>
        <v>2330.954808</v>
      </c>
      <c r="AQ147" s="10">
        <f>INDEX([1]ratio_ins!AN:AN,MATCH('001_population_health_zone_zs'!$B$2,[1]ratio_ins!$B:$B,0))*$G147*INDEX([1]ratio_ins!$D:$D,MATCH('001_population_health_zone_zs'!$B147,[1]ratio_ins!$B:$B,0))</f>
        <v>1848.688296</v>
      </c>
      <c r="AR147" s="10">
        <f>INDEX([1]ratio_ins!AO:AO,MATCH('001_population_health_zone_zs'!$B$2,[1]ratio_ins!$B:$B,0))*$G147*INDEX([1]ratio_ins!$D:$D,MATCH('001_population_health_zone_zs'!$B147,[1]ratio_ins!$B:$B,0))</f>
        <v>884.15527200000008</v>
      </c>
      <c r="AS147" s="13">
        <f>INDEX([1]ratio_ins!AP:AP,MATCH('001_population_health_zone_zs'!$B$2,[1]ratio_ins!$B:$B,0))*$G147*INDEX([1]ratio_ins!$D:$D,MATCH('001_population_health_zone_zs'!$B147,[1]ratio_ins!$B:$B,0))</f>
        <v>32890.5761184</v>
      </c>
      <c r="AT147" s="10">
        <f>INDEX([1]ratio_ins!AQ:AQ,MATCH('001_population_health_zone_zs'!$B$2,[1]ratio_ins!$B:$B,0))*$G147*INDEX([1]ratio_ins!$D:$D,MATCH('001_population_health_zone_zs'!$B147,[1]ratio_ins!$B:$B,0))</f>
        <v>803.7775200000001</v>
      </c>
      <c r="AU147" s="10">
        <f>INDEX([1]ratio_ins!AR:AR,MATCH('001_population_health_zone_zs'!$B$2,[1]ratio_ins!$B:$B,0))*$G147*INDEX([1]ratio_ins!$D:$D,MATCH('001_population_health_zone_zs'!$B147,[1]ratio_ins!$B:$B,0))</f>
        <v>482.26651200000003</v>
      </c>
      <c r="AV147" s="10">
        <f>INDEX([1]ratio_ins!AS:AS,MATCH('001_population_health_zone_zs'!$B$2,[1]ratio_ins!$B:$B,0))*$G147*INDEX([1]ratio_ins!$D:$D,MATCH('001_population_health_zone_zs'!$B147,[1]ratio_ins!$B:$B,0))</f>
        <v>241.13325600000002</v>
      </c>
      <c r="AW147" s="10">
        <f>INDEX([1]ratio_ins!AT:AT,MATCH('001_population_health_zone_zs'!$B$2,[1]ratio_ins!$B:$B,0))*$G147*INDEX([1]ratio_ins!$D:$D,MATCH('001_population_health_zone_zs'!$B147,[1]ratio_ins!$B:$B,0))</f>
        <v>160.755504</v>
      </c>
      <c r="AX147" s="13">
        <f>INDEX([1]ratio_ins!AU:AU,MATCH('001_population_health_zone_zs'!$B$2,[1]ratio_ins!$B:$B,0))*$G147*INDEX([1]ratio_ins!$D:$D,MATCH('001_population_health_zone_zs'!$B147,[1]ratio_ins!$B:$B,0))</f>
        <v>1687.9327919999998</v>
      </c>
      <c r="AY147" s="14">
        <f t="shared" si="13"/>
        <v>80377.752000000008</v>
      </c>
      <c r="AZ147" s="15">
        <f t="shared" si="14"/>
        <v>158536</v>
      </c>
      <c r="BA147" s="16">
        <v>152953.70516157287</v>
      </c>
      <c r="BB147" s="10">
        <f t="shared" si="15"/>
        <v>34160.544600000001</v>
      </c>
      <c r="BC147" s="17">
        <f t="shared" si="16"/>
        <v>0.215475</v>
      </c>
      <c r="BD147" s="10">
        <f t="shared" si="17"/>
        <v>32591.989415999997</v>
      </c>
    </row>
    <row r="148" spans="1:56" x14ac:dyDescent="0.25">
      <c r="A148" s="8" t="s">
        <v>340</v>
      </c>
      <c r="B148" s="8" t="s">
        <v>341</v>
      </c>
      <c r="C148" s="8" t="s">
        <v>364</v>
      </c>
      <c r="D148" s="8" t="s">
        <v>365</v>
      </c>
      <c r="E148" s="8" t="s">
        <v>366</v>
      </c>
      <c r="F148" s="8" t="s">
        <v>367</v>
      </c>
      <c r="G148" s="9">
        <v>269745</v>
      </c>
      <c r="H148" s="10">
        <f>INDEX([1]ratio_ins!F:F,MATCH('001_population_health_zone_zs'!$B$2,[1]ratio_ins!$B:$B,0))*$G148*INDEX([1]ratio_ins!$C:$C,MATCH('001_population_health_zone_zs'!$B148,[1]ratio_ins!$B:$B,0))</f>
        <v>27793.715564999999</v>
      </c>
      <c r="I148" s="10">
        <f>INDEX([1]ratio_ins!G:G,MATCH('001_population_health_zone_zs'!$B$2,[1]ratio_ins!$B:$B,0))*$G148*INDEX([1]ratio_ins!$C:$C,MATCH('001_population_health_zone_zs'!$B148,[1]ratio_ins!$B:$B,0))</f>
        <v>22740.312735000003</v>
      </c>
      <c r="J148" s="10">
        <f>INDEX([1]ratio_ins!H:H,MATCH('001_population_health_zone_zs'!$B$2,[1]ratio_ins!$B:$B,0))*$G148*INDEX([1]ratio_ins!$C:$C,MATCH('001_population_health_zone_zs'!$B148,[1]ratio_ins!$B:$B,0))</f>
        <v>17952.878475000001</v>
      </c>
      <c r="K148" s="10">
        <f>INDEX([1]ratio_ins!I:I,MATCH('001_population_health_zone_zs'!$B$2,[1]ratio_ins!$B:$B,0))*$G148*INDEX([1]ratio_ins!$C:$C,MATCH('001_population_health_zone_zs'!$B148,[1]ratio_ins!$B:$B,0))</f>
        <v>11037.695655000001</v>
      </c>
      <c r="L148" s="10">
        <f>INDEX([1]ratio_ins!J:J,MATCH('001_population_health_zone_zs'!$B$2,[1]ratio_ins!$B:$B,0))*$G148*INDEX([1]ratio_ins!$C:$C,MATCH('001_population_health_zone_zs'!$B148,[1]ratio_ins!$B:$B,0))</f>
        <v>6622.6173929999995</v>
      </c>
      <c r="M148" s="11">
        <f>INDEX([1]ratio_ins!K:K,MATCH('001_population_health_zone_zs'!$B$2,[1]ratio_ins!$B:$B,0))*$G148*INDEX([1]ratio_ins!$C:$C,MATCH('001_population_health_zone_zs'!$B148,[1]ratio_ins!$B:$B,0))</f>
        <v>75109.524168000004</v>
      </c>
      <c r="N148" s="10">
        <f>INDEX([1]ratio_ins!L:L,MATCH('001_population_health_zone_zs'!$B$2,[1]ratio_ins!$B:$B,0))*$G148*INDEX([1]ratio_ins!$C:$C,MATCH('001_population_health_zone_zs'!$B148,[1]ratio_ins!$B:$B,0))</f>
        <v>4415.078262</v>
      </c>
      <c r="O148" s="10">
        <f>INDEX([1]ratio_ins!M:M,MATCH('001_population_health_zone_zs'!$B$2,[1]ratio_ins!$B:$B,0))*$G148*INDEX([1]ratio_ins!$C:$C,MATCH('001_population_health_zone_zs'!$B148,[1]ratio_ins!$B:$B,0))</f>
        <v>9574.8685200000018</v>
      </c>
      <c r="P148" s="10">
        <f>INDEX([1]ratio_ins!N:N,MATCH('001_population_health_zone_zs'!$B$2,[1]ratio_ins!$B:$B,0))*$G148*INDEX([1]ratio_ins!$C:$C,MATCH('001_population_health_zone_zs'!$B148,[1]ratio_ins!$B:$B,0))</f>
        <v>8643.9785249999986</v>
      </c>
      <c r="Q148" s="10">
        <f>INDEX([1]ratio_ins!O:O,MATCH('001_population_health_zone_zs'!$B$2,[1]ratio_ins!$B:$B,0))*$G148*INDEX([1]ratio_ins!$C:$C,MATCH('001_population_health_zone_zs'!$B148,[1]ratio_ins!$B:$B,0))</f>
        <v>7713.0885299999991</v>
      </c>
      <c r="R148" s="10">
        <f>INDEX([1]ratio_ins!P:P,MATCH('001_population_health_zone_zs'!$B$2,[1]ratio_ins!$B:$B,0))*$G148*INDEX([1]ratio_ins!$C:$C,MATCH('001_population_health_zone_zs'!$B148,[1]ratio_ins!$B:$B,0))</f>
        <v>7580.1042449999995</v>
      </c>
      <c r="S148" s="10">
        <f>INDEX([1]ratio_ins!Q:Q,MATCH('001_population_health_zone_zs'!$B$2,[1]ratio_ins!$B:$B,0))*$G148*INDEX([1]ratio_ins!$C:$C,MATCH('001_population_health_zone_zs'!$B148,[1]ratio_ins!$B:$B,0))</f>
        <v>6383.24568</v>
      </c>
      <c r="T148" s="10">
        <f>INDEX([1]ratio_ins!R:R,MATCH('001_population_health_zone_zs'!$B$2,[1]ratio_ins!$B:$B,0))*$G148*INDEX([1]ratio_ins!$C:$C,MATCH('001_population_health_zone_zs'!$B148,[1]ratio_ins!$B:$B,0))</f>
        <v>4521.46569</v>
      </c>
      <c r="U148" s="10">
        <f>INDEX([1]ratio_ins!S:S,MATCH('001_population_health_zone_zs'!$B$2,[1]ratio_ins!$B:$B,0))*$G148*INDEX([1]ratio_ins!$C:$C,MATCH('001_population_health_zone_zs'!$B148,[1]ratio_ins!$B:$B,0))</f>
        <v>3590.5756950000005</v>
      </c>
      <c r="V148" s="10">
        <f>INDEX([1]ratio_ins!T:T,MATCH('001_population_health_zone_zs'!$B$2,[1]ratio_ins!$B:$B,0))*$G148*INDEX([1]ratio_ins!$C:$C,MATCH('001_population_health_zone_zs'!$B148,[1]ratio_ins!$B:$B,0))</f>
        <v>1994.7642749999998</v>
      </c>
      <c r="W148" s="11">
        <f>INDEX([1]ratio_ins!U:U,MATCH('001_population_health_zone_zs'!$B$2,[1]ratio_ins!$B:$B,0))*$G148*INDEX([1]ratio_ins!$C:$C,MATCH('001_population_health_zone_zs'!$B148,[1]ratio_ins!$B:$B,0))</f>
        <v>54417.169421999999</v>
      </c>
      <c r="X148" s="10">
        <f>INDEX([1]ratio_ins!V:V,MATCH('001_population_health_zone_zs'!$B$2,[1]ratio_ins!$B:$B,0))*$G148*INDEX([1]ratio_ins!$C:$C,MATCH('001_population_health_zone_zs'!$B148,[1]ratio_ins!$B:$B,0))</f>
        <v>1595.81142</v>
      </c>
      <c r="Y148" s="10">
        <f>INDEX([1]ratio_ins!W:W,MATCH('001_population_health_zone_zs'!$B$2,[1]ratio_ins!$B:$B,0))*$G148*INDEX([1]ratio_ins!$C:$C,MATCH('001_population_health_zone_zs'!$B148,[1]ratio_ins!$B:$B,0))</f>
        <v>1063.87428</v>
      </c>
      <c r="Z148" s="10">
        <f>INDEX([1]ratio_ins!X:X,MATCH('001_population_health_zone_zs'!$B$2,[1]ratio_ins!$B:$B,0))*$G148*INDEX([1]ratio_ins!$C:$C,MATCH('001_population_health_zone_zs'!$B148,[1]ratio_ins!$B:$B,0))</f>
        <v>531.93714</v>
      </c>
      <c r="AA148" s="10">
        <f>INDEX([1]ratio_ins!Y:Y,MATCH('001_population_health_zone_zs'!$B$2,[1]ratio_ins!$B:$B,0))*$G148*INDEX([1]ratio_ins!$C:$C,MATCH('001_population_health_zone_zs'!$B148,[1]ratio_ins!$B:$B,0))</f>
        <v>265.96857</v>
      </c>
      <c r="AB148" s="11">
        <f>INDEX([1]ratio_ins!Z:Z,MATCH('001_population_health_zone_zs'!$B$2,[1]ratio_ins!$B:$B,0))*$G148*INDEX([1]ratio_ins!$C:$C,MATCH('001_population_health_zone_zs'!$B148,[1]ratio_ins!$B:$B,0))</f>
        <v>3457.5914100000005</v>
      </c>
      <c r="AC148" s="12">
        <f t="shared" si="12"/>
        <v>132984.285</v>
      </c>
      <c r="AD148" s="10">
        <f>INDEX([1]ratio_ins!AA:AA,MATCH('001_population_health_zone_zs'!$B$2,[1]ratio_ins!$B:$B,0))*$G148*INDEX([1]ratio_ins!$D:$D,MATCH('001_population_health_zone_zs'!$B148,[1]ratio_ins!$B:$B,0))</f>
        <v>28719.75015</v>
      </c>
      <c r="AE148" s="10">
        <f>INDEX([1]ratio_ins!AB:AB,MATCH('001_population_health_zone_zs'!$B$2,[1]ratio_ins!$B:$B,0))*$G148*INDEX([1]ratio_ins!$D:$D,MATCH('001_population_health_zone_zs'!$B148,[1]ratio_ins!$B:$B,0))</f>
        <v>23659.603695000002</v>
      </c>
      <c r="AF148" s="10">
        <f>INDEX([1]ratio_ins!AC:AC,MATCH('001_population_health_zone_zs'!$B$2,[1]ratio_ins!$B:$B,0))*$G148*INDEX([1]ratio_ins!$D:$D,MATCH('001_population_health_zone_zs'!$B148,[1]ratio_ins!$B:$B,0))</f>
        <v>18736.217954999996</v>
      </c>
      <c r="AG148" s="10">
        <f>INDEX([1]ratio_ins!AD:AD,MATCH('001_population_health_zone_zs'!$B$2,[1]ratio_ins!$B:$B,0))*$G148*INDEX([1]ratio_ins!$D:$D,MATCH('001_population_health_zone_zs'!$B148,[1]ratio_ins!$B:$B,0))</f>
        <v>11351.139345000001</v>
      </c>
      <c r="AH148" s="10">
        <f>INDEX([1]ratio_ins!AE:AE,MATCH('001_population_health_zone_zs'!$B$2,[1]ratio_ins!$B:$B,0))*$G148*INDEX([1]ratio_ins!$D:$D,MATCH('001_population_health_zone_zs'!$B148,[1]ratio_ins!$B:$B,0))</f>
        <v>6810.6836069999999</v>
      </c>
      <c r="AI148" s="13">
        <f>INDEX([1]ratio_ins!AF:AF,MATCH('001_population_health_zone_zs'!$B$2,[1]ratio_ins!$B:$B,0))*$G148*INDEX([1]ratio_ins!$D:$D,MATCH('001_population_health_zone_zs'!$B148,[1]ratio_ins!$B:$B,0))</f>
        <v>77926.255407000004</v>
      </c>
      <c r="AJ148" s="10">
        <f>INDEX([1]ratio_ins!AG:AG,MATCH('001_population_health_zone_zs'!$B$2,[1]ratio_ins!$B:$B,0))*$G148*INDEX([1]ratio_ins!$D:$D,MATCH('001_population_health_zone_zs'!$B148,[1]ratio_ins!$B:$B,0))</f>
        <v>4540.4557379999997</v>
      </c>
      <c r="AK148" s="10">
        <f>INDEX([1]ratio_ins!AH:AH,MATCH('001_population_health_zone_zs'!$B$2,[1]ratio_ins!$B:$B,0))*$G148*INDEX([1]ratio_ins!$D:$D,MATCH('001_population_health_zone_zs'!$B148,[1]ratio_ins!$B:$B,0))</f>
        <v>10120.29291</v>
      </c>
      <c r="AL148" s="10">
        <f>INDEX([1]ratio_ins!AI:AI,MATCH('001_population_health_zone_zs'!$B$2,[1]ratio_ins!$B:$B,0))*$G148*INDEX([1]ratio_ins!$D:$D,MATCH('001_population_health_zone_zs'!$B148,[1]ratio_ins!$B:$B,0))</f>
        <v>9573.2500500000006</v>
      </c>
      <c r="AM148" s="10">
        <f>INDEX([1]ratio_ins!AJ:AJ,MATCH('001_population_health_zone_zs'!$B$2,[1]ratio_ins!$B:$B,0))*$G148*INDEX([1]ratio_ins!$D:$D,MATCH('001_population_health_zone_zs'!$B148,[1]ratio_ins!$B:$B,0))</f>
        <v>8752.6857600000003</v>
      </c>
      <c r="AN148" s="10">
        <f>INDEX([1]ratio_ins!AK:AK,MATCH('001_population_health_zone_zs'!$B$2,[1]ratio_ins!$B:$B,0))*$G148*INDEX([1]ratio_ins!$D:$D,MATCH('001_population_health_zone_zs'!$B148,[1]ratio_ins!$B:$B,0))</f>
        <v>8205.6428999999989</v>
      </c>
      <c r="AO148" s="10">
        <f>INDEX([1]ratio_ins!AL:AL,MATCH('001_population_health_zone_zs'!$B$2,[1]ratio_ins!$B:$B,0))*$G148*INDEX([1]ratio_ins!$D:$D,MATCH('001_population_health_zone_zs'!$B148,[1]ratio_ins!$B:$B,0))</f>
        <v>6154.2321750000001</v>
      </c>
      <c r="AP148" s="10">
        <f>INDEX([1]ratio_ins!AM:AM,MATCH('001_population_health_zone_zs'!$B$2,[1]ratio_ins!$B:$B,0))*$G148*INDEX([1]ratio_ins!$D:$D,MATCH('001_population_health_zone_zs'!$B148,[1]ratio_ins!$B:$B,0))</f>
        <v>3966.060735</v>
      </c>
      <c r="AQ148" s="10">
        <f>INDEX([1]ratio_ins!AN:AN,MATCH('001_population_health_zone_zs'!$B$2,[1]ratio_ins!$B:$B,0))*$G148*INDEX([1]ratio_ins!$D:$D,MATCH('001_population_health_zone_zs'!$B148,[1]ratio_ins!$B:$B,0))</f>
        <v>3145.4964450000002</v>
      </c>
      <c r="AR148" s="10">
        <f>INDEX([1]ratio_ins!AO:AO,MATCH('001_population_health_zone_zs'!$B$2,[1]ratio_ins!$B:$B,0))*$G148*INDEX([1]ratio_ins!$D:$D,MATCH('001_population_health_zone_zs'!$B148,[1]ratio_ins!$B:$B,0))</f>
        <v>1504.3678650000002</v>
      </c>
      <c r="AS148" s="13">
        <f>INDEX([1]ratio_ins!AP:AP,MATCH('001_population_health_zone_zs'!$B$2,[1]ratio_ins!$B:$B,0))*$G148*INDEX([1]ratio_ins!$D:$D,MATCH('001_population_health_zone_zs'!$B148,[1]ratio_ins!$B:$B,0))</f>
        <v>55962.484577999996</v>
      </c>
      <c r="AT148" s="10">
        <f>INDEX([1]ratio_ins!AQ:AQ,MATCH('001_population_health_zone_zs'!$B$2,[1]ratio_ins!$B:$B,0))*$G148*INDEX([1]ratio_ins!$D:$D,MATCH('001_population_health_zone_zs'!$B148,[1]ratio_ins!$B:$B,0))</f>
        <v>1367.60715</v>
      </c>
      <c r="AU148" s="10">
        <f>INDEX([1]ratio_ins!AR:AR,MATCH('001_population_health_zone_zs'!$B$2,[1]ratio_ins!$B:$B,0))*$G148*INDEX([1]ratio_ins!$D:$D,MATCH('001_population_health_zone_zs'!$B148,[1]ratio_ins!$B:$B,0))</f>
        <v>820.56429000000003</v>
      </c>
      <c r="AV148" s="10">
        <f>INDEX([1]ratio_ins!AS:AS,MATCH('001_population_health_zone_zs'!$B$2,[1]ratio_ins!$B:$B,0))*$G148*INDEX([1]ratio_ins!$D:$D,MATCH('001_population_health_zone_zs'!$B148,[1]ratio_ins!$B:$B,0))</f>
        <v>410.28214500000001</v>
      </c>
      <c r="AW148" s="10">
        <f>INDEX([1]ratio_ins!AT:AT,MATCH('001_population_health_zone_zs'!$B$2,[1]ratio_ins!$B:$B,0))*$G148*INDEX([1]ratio_ins!$D:$D,MATCH('001_population_health_zone_zs'!$B148,[1]ratio_ins!$B:$B,0))</f>
        <v>273.52143000000001</v>
      </c>
      <c r="AX148" s="13">
        <f>INDEX([1]ratio_ins!AU:AU,MATCH('001_population_health_zone_zs'!$B$2,[1]ratio_ins!$B:$B,0))*$G148*INDEX([1]ratio_ins!$D:$D,MATCH('001_population_health_zone_zs'!$B148,[1]ratio_ins!$B:$B,0))</f>
        <v>2871.975015</v>
      </c>
      <c r="AY148" s="14">
        <f t="shared" si="13"/>
        <v>136760.715</v>
      </c>
      <c r="AZ148" s="15">
        <f t="shared" si="14"/>
        <v>269745</v>
      </c>
      <c r="BA148" s="16">
        <v>260247.32534302425</v>
      </c>
      <c r="BB148" s="10">
        <f t="shared" si="15"/>
        <v>58123.303874999998</v>
      </c>
      <c r="BC148" s="17">
        <f t="shared" si="16"/>
        <v>0.215475</v>
      </c>
      <c r="BD148" s="10">
        <f t="shared" si="17"/>
        <v>55454.446844999999</v>
      </c>
    </row>
    <row r="149" spans="1:56" x14ac:dyDescent="0.25">
      <c r="A149" s="8" t="s">
        <v>340</v>
      </c>
      <c r="B149" s="8" t="s">
        <v>341</v>
      </c>
      <c r="C149" s="8" t="s">
        <v>364</v>
      </c>
      <c r="D149" s="8" t="s">
        <v>365</v>
      </c>
      <c r="E149" s="8" t="s">
        <v>368</v>
      </c>
      <c r="F149" s="8" t="s">
        <v>369</v>
      </c>
      <c r="G149" s="9">
        <v>22622</v>
      </c>
      <c r="H149" s="10">
        <f>INDEX([1]ratio_ins!F:F,MATCH('001_population_health_zone_zs'!$B$2,[1]ratio_ins!$B:$B,0))*$G149*INDEX([1]ratio_ins!$C:$C,MATCH('001_population_health_zone_zs'!$B149,[1]ratio_ins!$B:$B,0))</f>
        <v>2330.903014</v>
      </c>
      <c r="I149" s="10">
        <f>INDEX([1]ratio_ins!G:G,MATCH('001_population_health_zone_zs'!$B$2,[1]ratio_ins!$B:$B,0))*$G149*INDEX([1]ratio_ins!$C:$C,MATCH('001_population_health_zone_zs'!$B149,[1]ratio_ins!$B:$B,0))</f>
        <v>1907.102466</v>
      </c>
      <c r="J149" s="10">
        <f>INDEX([1]ratio_ins!H:H,MATCH('001_population_health_zone_zs'!$B$2,[1]ratio_ins!$B:$B,0))*$G149*INDEX([1]ratio_ins!$C:$C,MATCH('001_population_health_zone_zs'!$B149,[1]ratio_ins!$B:$B,0))</f>
        <v>1505.6072100000001</v>
      </c>
      <c r="K149" s="10">
        <f>INDEX([1]ratio_ins!I:I,MATCH('001_population_health_zone_zs'!$B$2,[1]ratio_ins!$B:$B,0))*$G149*INDEX([1]ratio_ins!$C:$C,MATCH('001_population_health_zone_zs'!$B149,[1]ratio_ins!$B:$B,0))</f>
        <v>925.66961800000013</v>
      </c>
      <c r="L149" s="10">
        <f>INDEX([1]ratio_ins!J:J,MATCH('001_population_health_zone_zs'!$B$2,[1]ratio_ins!$B:$B,0))*$G149*INDEX([1]ratio_ins!$C:$C,MATCH('001_population_health_zone_zs'!$B149,[1]ratio_ins!$B:$B,0))</f>
        <v>555.40177079999989</v>
      </c>
      <c r="M149" s="11">
        <f>INDEX([1]ratio_ins!K:K,MATCH('001_population_health_zone_zs'!$B$2,[1]ratio_ins!$B:$B,0))*$G149*INDEX([1]ratio_ins!$C:$C,MATCH('001_population_health_zone_zs'!$B149,[1]ratio_ins!$B:$B,0))</f>
        <v>6299.0144608000001</v>
      </c>
      <c r="N149" s="10">
        <f>INDEX([1]ratio_ins!L:L,MATCH('001_population_health_zone_zs'!$B$2,[1]ratio_ins!$B:$B,0))*$G149*INDEX([1]ratio_ins!$C:$C,MATCH('001_population_health_zone_zs'!$B149,[1]ratio_ins!$B:$B,0))</f>
        <v>370.26784720000001</v>
      </c>
      <c r="O149" s="10">
        <f>INDEX([1]ratio_ins!M:M,MATCH('001_population_health_zone_zs'!$B$2,[1]ratio_ins!$B:$B,0))*$G149*INDEX([1]ratio_ins!$C:$C,MATCH('001_population_health_zone_zs'!$B149,[1]ratio_ins!$B:$B,0))</f>
        <v>802.99051200000008</v>
      </c>
      <c r="P149" s="10">
        <f>INDEX([1]ratio_ins!N:N,MATCH('001_population_health_zone_zs'!$B$2,[1]ratio_ins!$B:$B,0))*$G149*INDEX([1]ratio_ins!$C:$C,MATCH('001_population_health_zone_zs'!$B149,[1]ratio_ins!$B:$B,0))</f>
        <v>724.92199000000005</v>
      </c>
      <c r="Q149" s="10">
        <f>INDEX([1]ratio_ins!O:O,MATCH('001_population_health_zone_zs'!$B$2,[1]ratio_ins!$B:$B,0))*$G149*INDEX([1]ratio_ins!$C:$C,MATCH('001_population_health_zone_zs'!$B149,[1]ratio_ins!$B:$B,0))</f>
        <v>646.85346800000002</v>
      </c>
      <c r="R149" s="10">
        <f>INDEX([1]ratio_ins!P:P,MATCH('001_population_health_zone_zs'!$B$2,[1]ratio_ins!$B:$B,0))*$G149*INDEX([1]ratio_ins!$C:$C,MATCH('001_population_health_zone_zs'!$B149,[1]ratio_ins!$B:$B,0))</f>
        <v>635.70082200000002</v>
      </c>
      <c r="S149" s="10">
        <f>INDEX([1]ratio_ins!Q:Q,MATCH('001_population_health_zone_zs'!$B$2,[1]ratio_ins!$B:$B,0))*$G149*INDEX([1]ratio_ins!$C:$C,MATCH('001_population_health_zone_zs'!$B149,[1]ratio_ins!$B:$B,0))</f>
        <v>535.32700799999998</v>
      </c>
      <c r="T149" s="10">
        <f>INDEX([1]ratio_ins!R:R,MATCH('001_population_health_zone_zs'!$B$2,[1]ratio_ins!$B:$B,0))*$G149*INDEX([1]ratio_ins!$C:$C,MATCH('001_population_health_zone_zs'!$B149,[1]ratio_ins!$B:$B,0))</f>
        <v>379.18996400000003</v>
      </c>
      <c r="U149" s="10">
        <f>INDEX([1]ratio_ins!S:S,MATCH('001_population_health_zone_zs'!$B$2,[1]ratio_ins!$B:$B,0))*$G149*INDEX([1]ratio_ins!$C:$C,MATCH('001_population_health_zone_zs'!$B149,[1]ratio_ins!$B:$B,0))</f>
        <v>301.12144200000006</v>
      </c>
      <c r="V149" s="10">
        <f>INDEX([1]ratio_ins!T:T,MATCH('001_population_health_zone_zs'!$B$2,[1]ratio_ins!$B:$B,0))*$G149*INDEX([1]ratio_ins!$C:$C,MATCH('001_population_health_zone_zs'!$B149,[1]ratio_ins!$B:$B,0))</f>
        <v>167.28968999999998</v>
      </c>
      <c r="W149" s="11">
        <f>INDEX([1]ratio_ins!U:U,MATCH('001_population_health_zone_zs'!$B$2,[1]ratio_ins!$B:$B,0))*$G149*INDEX([1]ratio_ins!$C:$C,MATCH('001_population_health_zone_zs'!$B149,[1]ratio_ins!$B:$B,0))</f>
        <v>4563.6627431999996</v>
      </c>
      <c r="X149" s="10">
        <f>INDEX([1]ratio_ins!V:V,MATCH('001_population_health_zone_zs'!$B$2,[1]ratio_ins!$B:$B,0))*$G149*INDEX([1]ratio_ins!$C:$C,MATCH('001_population_health_zone_zs'!$B149,[1]ratio_ins!$B:$B,0))</f>
        <v>133.83175199999999</v>
      </c>
      <c r="Y149" s="10">
        <f>INDEX([1]ratio_ins!W:W,MATCH('001_population_health_zone_zs'!$B$2,[1]ratio_ins!$B:$B,0))*$G149*INDEX([1]ratio_ins!$C:$C,MATCH('001_population_health_zone_zs'!$B149,[1]ratio_ins!$B:$B,0))</f>
        <v>89.221167999999992</v>
      </c>
      <c r="Z149" s="10">
        <f>INDEX([1]ratio_ins!X:X,MATCH('001_population_health_zone_zs'!$B$2,[1]ratio_ins!$B:$B,0))*$G149*INDEX([1]ratio_ins!$C:$C,MATCH('001_population_health_zone_zs'!$B149,[1]ratio_ins!$B:$B,0))</f>
        <v>44.610583999999996</v>
      </c>
      <c r="AA149" s="10">
        <f>INDEX([1]ratio_ins!Y:Y,MATCH('001_population_health_zone_zs'!$B$2,[1]ratio_ins!$B:$B,0))*$G149*INDEX([1]ratio_ins!$C:$C,MATCH('001_population_health_zone_zs'!$B149,[1]ratio_ins!$B:$B,0))</f>
        <v>22.305291999999998</v>
      </c>
      <c r="AB149" s="11">
        <f>INDEX([1]ratio_ins!Z:Z,MATCH('001_population_health_zone_zs'!$B$2,[1]ratio_ins!$B:$B,0))*$G149*INDEX([1]ratio_ins!$C:$C,MATCH('001_population_health_zone_zs'!$B149,[1]ratio_ins!$B:$B,0))</f>
        <v>289.968796</v>
      </c>
      <c r="AC149" s="12">
        <f t="shared" si="12"/>
        <v>11152.645999999999</v>
      </c>
      <c r="AD149" s="10">
        <f>INDEX([1]ratio_ins!AA:AA,MATCH('001_population_health_zone_zs'!$B$2,[1]ratio_ins!$B:$B,0))*$G149*INDEX([1]ratio_ins!$D:$D,MATCH('001_population_health_zone_zs'!$B149,[1]ratio_ins!$B:$B,0))</f>
        <v>2408.5643399999999</v>
      </c>
      <c r="AE149" s="10">
        <f>INDEX([1]ratio_ins!AB:AB,MATCH('001_population_health_zone_zs'!$B$2,[1]ratio_ins!$B:$B,0))*$G149*INDEX([1]ratio_ins!$D:$D,MATCH('001_population_health_zone_zs'!$B149,[1]ratio_ins!$B:$B,0))</f>
        <v>1984.1982420000002</v>
      </c>
      <c r="AF149" s="10">
        <f>INDEX([1]ratio_ins!AC:AC,MATCH('001_population_health_zone_zs'!$B$2,[1]ratio_ins!$B:$B,0))*$G149*INDEX([1]ratio_ins!$D:$D,MATCH('001_population_health_zone_zs'!$B149,[1]ratio_ins!$B:$B,0))</f>
        <v>1571.3014979999998</v>
      </c>
      <c r="AG149" s="10">
        <f>INDEX([1]ratio_ins!AD:AD,MATCH('001_population_health_zone_zs'!$B$2,[1]ratio_ins!$B:$B,0))*$G149*INDEX([1]ratio_ins!$D:$D,MATCH('001_population_health_zone_zs'!$B149,[1]ratio_ins!$B:$B,0))</f>
        <v>951.95638200000008</v>
      </c>
      <c r="AH149" s="10">
        <f>INDEX([1]ratio_ins!AE:AE,MATCH('001_population_health_zone_zs'!$B$2,[1]ratio_ins!$B:$B,0))*$G149*INDEX([1]ratio_ins!$D:$D,MATCH('001_population_health_zone_zs'!$B149,[1]ratio_ins!$B:$B,0))</f>
        <v>571.1738292</v>
      </c>
      <c r="AI149" s="13">
        <f>INDEX([1]ratio_ins!AF:AF,MATCH('001_population_health_zone_zs'!$B$2,[1]ratio_ins!$B:$B,0))*$G149*INDEX([1]ratio_ins!$D:$D,MATCH('001_population_health_zone_zs'!$B149,[1]ratio_ins!$B:$B,0))</f>
        <v>6535.2379091999992</v>
      </c>
      <c r="AJ149" s="10">
        <f>INDEX([1]ratio_ins!AG:AG,MATCH('001_population_health_zone_zs'!$B$2,[1]ratio_ins!$B:$B,0))*$G149*INDEX([1]ratio_ins!$D:$D,MATCH('001_population_health_zone_zs'!$B149,[1]ratio_ins!$B:$B,0))</f>
        <v>380.78255279999996</v>
      </c>
      <c r="AK149" s="10">
        <f>INDEX([1]ratio_ins!AH:AH,MATCH('001_population_health_zone_zs'!$B$2,[1]ratio_ins!$B:$B,0))*$G149*INDEX([1]ratio_ins!$D:$D,MATCH('001_population_health_zone_zs'!$B149,[1]ratio_ins!$B:$B,0))</f>
        <v>848.73219600000016</v>
      </c>
      <c r="AL149" s="10">
        <f>INDEX([1]ratio_ins!AI:AI,MATCH('001_population_health_zone_zs'!$B$2,[1]ratio_ins!$B:$B,0))*$G149*INDEX([1]ratio_ins!$D:$D,MATCH('001_population_health_zone_zs'!$B149,[1]ratio_ins!$B:$B,0))</f>
        <v>802.85478000000012</v>
      </c>
      <c r="AM149" s="10">
        <f>INDEX([1]ratio_ins!AJ:AJ,MATCH('001_population_health_zone_zs'!$B$2,[1]ratio_ins!$B:$B,0))*$G149*INDEX([1]ratio_ins!$D:$D,MATCH('001_population_health_zone_zs'!$B149,[1]ratio_ins!$B:$B,0))</f>
        <v>734.03865600000006</v>
      </c>
      <c r="AN149" s="10">
        <f>INDEX([1]ratio_ins!AK:AK,MATCH('001_population_health_zone_zs'!$B$2,[1]ratio_ins!$B:$B,0))*$G149*INDEX([1]ratio_ins!$D:$D,MATCH('001_population_health_zone_zs'!$B149,[1]ratio_ins!$B:$B,0))</f>
        <v>688.16124000000002</v>
      </c>
      <c r="AO149" s="10">
        <f>INDEX([1]ratio_ins!AL:AL,MATCH('001_population_health_zone_zs'!$B$2,[1]ratio_ins!$B:$B,0))*$G149*INDEX([1]ratio_ins!$D:$D,MATCH('001_population_health_zone_zs'!$B149,[1]ratio_ins!$B:$B,0))</f>
        <v>516.12093000000004</v>
      </c>
      <c r="AP149" s="10">
        <f>INDEX([1]ratio_ins!AM:AM,MATCH('001_population_health_zone_zs'!$B$2,[1]ratio_ins!$B:$B,0))*$G149*INDEX([1]ratio_ins!$D:$D,MATCH('001_population_health_zone_zs'!$B149,[1]ratio_ins!$B:$B,0))</f>
        <v>332.611266</v>
      </c>
      <c r="AQ149" s="10">
        <f>INDEX([1]ratio_ins!AN:AN,MATCH('001_population_health_zone_zs'!$B$2,[1]ratio_ins!$B:$B,0))*$G149*INDEX([1]ratio_ins!$D:$D,MATCH('001_population_health_zone_zs'!$B149,[1]ratio_ins!$B:$B,0))</f>
        <v>263.795142</v>
      </c>
      <c r="AR149" s="10">
        <f>INDEX([1]ratio_ins!AO:AO,MATCH('001_population_health_zone_zs'!$B$2,[1]ratio_ins!$B:$B,0))*$G149*INDEX([1]ratio_ins!$D:$D,MATCH('001_population_health_zone_zs'!$B149,[1]ratio_ins!$B:$B,0))</f>
        <v>126.16289400000001</v>
      </c>
      <c r="AS149" s="13">
        <f>INDEX([1]ratio_ins!AP:AP,MATCH('001_population_health_zone_zs'!$B$2,[1]ratio_ins!$B:$B,0))*$G149*INDEX([1]ratio_ins!$D:$D,MATCH('001_population_health_zone_zs'!$B149,[1]ratio_ins!$B:$B,0))</f>
        <v>4693.2596567999999</v>
      </c>
      <c r="AT149" s="10">
        <f>INDEX([1]ratio_ins!AQ:AQ,MATCH('001_population_health_zone_zs'!$B$2,[1]ratio_ins!$B:$B,0))*$G149*INDEX([1]ratio_ins!$D:$D,MATCH('001_population_health_zone_zs'!$B149,[1]ratio_ins!$B:$B,0))</f>
        <v>114.69354</v>
      </c>
      <c r="AU149" s="10">
        <f>INDEX([1]ratio_ins!AR:AR,MATCH('001_population_health_zone_zs'!$B$2,[1]ratio_ins!$B:$B,0))*$G149*INDEX([1]ratio_ins!$D:$D,MATCH('001_population_health_zone_zs'!$B149,[1]ratio_ins!$B:$B,0))</f>
        <v>68.816124000000002</v>
      </c>
      <c r="AV149" s="10">
        <f>INDEX([1]ratio_ins!AS:AS,MATCH('001_population_health_zone_zs'!$B$2,[1]ratio_ins!$B:$B,0))*$G149*INDEX([1]ratio_ins!$D:$D,MATCH('001_population_health_zone_zs'!$B149,[1]ratio_ins!$B:$B,0))</f>
        <v>34.408062000000001</v>
      </c>
      <c r="AW149" s="10">
        <f>INDEX([1]ratio_ins!AT:AT,MATCH('001_population_health_zone_zs'!$B$2,[1]ratio_ins!$B:$B,0))*$G149*INDEX([1]ratio_ins!$D:$D,MATCH('001_population_health_zone_zs'!$B149,[1]ratio_ins!$B:$B,0))</f>
        <v>22.938708000000002</v>
      </c>
      <c r="AX149" s="13">
        <f>INDEX([1]ratio_ins!AU:AU,MATCH('001_population_health_zone_zs'!$B$2,[1]ratio_ins!$B:$B,0))*$G149*INDEX([1]ratio_ins!$D:$D,MATCH('001_population_health_zone_zs'!$B149,[1]ratio_ins!$B:$B,0))</f>
        <v>240.85643399999998</v>
      </c>
      <c r="AY149" s="14">
        <f t="shared" si="13"/>
        <v>11469.353999999998</v>
      </c>
      <c r="AZ149" s="15">
        <f t="shared" si="14"/>
        <v>22621.999999999996</v>
      </c>
      <c r="BA149" s="16">
        <v>21825.886528448686</v>
      </c>
      <c r="BB149" s="10">
        <f t="shared" si="15"/>
        <v>4874.4754499999999</v>
      </c>
      <c r="BC149" s="17">
        <f t="shared" si="16"/>
        <v>0.215475</v>
      </c>
      <c r="BD149" s="10">
        <f t="shared" si="17"/>
        <v>4650.6533820000004</v>
      </c>
    </row>
    <row r="150" spans="1:56" x14ac:dyDescent="0.25">
      <c r="A150" s="8" t="s">
        <v>340</v>
      </c>
      <c r="B150" s="8" t="s">
        <v>341</v>
      </c>
      <c r="C150" s="8" t="s">
        <v>364</v>
      </c>
      <c r="D150" s="8" t="s">
        <v>365</v>
      </c>
      <c r="E150" s="8" t="s">
        <v>364</v>
      </c>
      <c r="F150" s="8" t="s">
        <v>370</v>
      </c>
      <c r="G150" s="9">
        <v>268007</v>
      </c>
      <c r="H150" s="10">
        <f>INDEX([1]ratio_ins!F:F,MATCH('001_population_health_zone_zs'!$B$2,[1]ratio_ins!$B:$B,0))*$G150*INDEX([1]ratio_ins!$C:$C,MATCH('001_population_health_zone_zs'!$B150,[1]ratio_ins!$B:$B,0))</f>
        <v>27614.637258999999</v>
      </c>
      <c r="I150" s="10">
        <f>INDEX([1]ratio_ins!G:G,MATCH('001_population_health_zone_zs'!$B$2,[1]ratio_ins!$B:$B,0))*$G150*INDEX([1]ratio_ins!$C:$C,MATCH('001_population_health_zone_zs'!$B150,[1]ratio_ins!$B:$B,0))</f>
        <v>22593.794120999999</v>
      </c>
      <c r="J150" s="10">
        <f>INDEX([1]ratio_ins!H:H,MATCH('001_population_health_zone_zs'!$B$2,[1]ratio_ins!$B:$B,0))*$G150*INDEX([1]ratio_ins!$C:$C,MATCH('001_population_health_zone_zs'!$B150,[1]ratio_ins!$B:$B,0))</f>
        <v>17837.205884999999</v>
      </c>
      <c r="K150" s="10">
        <f>INDEX([1]ratio_ins!I:I,MATCH('001_population_health_zone_zs'!$B$2,[1]ratio_ins!$B:$B,0))*$G150*INDEX([1]ratio_ins!$C:$C,MATCH('001_population_health_zone_zs'!$B150,[1]ratio_ins!$B:$B,0))</f>
        <v>10966.578433000001</v>
      </c>
      <c r="L150" s="10">
        <f>INDEX([1]ratio_ins!J:J,MATCH('001_population_health_zone_zs'!$B$2,[1]ratio_ins!$B:$B,0))*$G150*INDEX([1]ratio_ins!$C:$C,MATCH('001_population_health_zone_zs'!$B150,[1]ratio_ins!$B:$B,0))</f>
        <v>6579.9470597999998</v>
      </c>
      <c r="M150" s="11">
        <f>INDEX([1]ratio_ins!K:K,MATCH('001_population_health_zone_zs'!$B$2,[1]ratio_ins!$B:$B,0))*$G150*INDEX([1]ratio_ins!$C:$C,MATCH('001_population_health_zone_zs'!$B150,[1]ratio_ins!$B:$B,0))</f>
        <v>74625.584324800002</v>
      </c>
      <c r="N150" s="10">
        <f>INDEX([1]ratio_ins!L:L,MATCH('001_population_health_zone_zs'!$B$2,[1]ratio_ins!$B:$B,0))*$G150*INDEX([1]ratio_ins!$C:$C,MATCH('001_population_health_zone_zs'!$B150,[1]ratio_ins!$B:$B,0))</f>
        <v>4386.6313731999999</v>
      </c>
      <c r="O150" s="10">
        <f>INDEX([1]ratio_ins!M:M,MATCH('001_population_health_zone_zs'!$B$2,[1]ratio_ins!$B:$B,0))*$G150*INDEX([1]ratio_ins!$C:$C,MATCH('001_population_health_zone_zs'!$B150,[1]ratio_ins!$B:$B,0))</f>
        <v>9513.176472000001</v>
      </c>
      <c r="P150" s="10">
        <f>INDEX([1]ratio_ins!N:N,MATCH('001_population_health_zone_zs'!$B$2,[1]ratio_ins!$B:$B,0))*$G150*INDEX([1]ratio_ins!$C:$C,MATCH('001_population_health_zone_zs'!$B150,[1]ratio_ins!$B:$B,0))</f>
        <v>8588.2843150000008</v>
      </c>
      <c r="Q150" s="10">
        <f>INDEX([1]ratio_ins!O:O,MATCH('001_population_health_zone_zs'!$B$2,[1]ratio_ins!$B:$B,0))*$G150*INDEX([1]ratio_ins!$C:$C,MATCH('001_population_health_zone_zs'!$B150,[1]ratio_ins!$B:$B,0))</f>
        <v>7663.3921579999997</v>
      </c>
      <c r="R150" s="10">
        <f>INDEX([1]ratio_ins!P:P,MATCH('001_population_health_zone_zs'!$B$2,[1]ratio_ins!$B:$B,0))*$G150*INDEX([1]ratio_ins!$C:$C,MATCH('001_population_health_zone_zs'!$B150,[1]ratio_ins!$B:$B,0))</f>
        <v>7531.2647070000003</v>
      </c>
      <c r="S150" s="10">
        <f>INDEX([1]ratio_ins!Q:Q,MATCH('001_population_health_zone_zs'!$B$2,[1]ratio_ins!$B:$B,0))*$G150*INDEX([1]ratio_ins!$C:$C,MATCH('001_population_health_zone_zs'!$B150,[1]ratio_ins!$B:$B,0))</f>
        <v>6342.1176480000004</v>
      </c>
      <c r="T150" s="10">
        <f>INDEX([1]ratio_ins!R:R,MATCH('001_population_health_zone_zs'!$B$2,[1]ratio_ins!$B:$B,0))*$G150*INDEX([1]ratio_ins!$C:$C,MATCH('001_population_health_zone_zs'!$B150,[1]ratio_ins!$B:$B,0))</f>
        <v>4492.3333340000008</v>
      </c>
      <c r="U150" s="10">
        <f>INDEX([1]ratio_ins!S:S,MATCH('001_population_health_zone_zs'!$B$2,[1]ratio_ins!$B:$B,0))*$G150*INDEX([1]ratio_ins!$C:$C,MATCH('001_population_health_zone_zs'!$B150,[1]ratio_ins!$B:$B,0))</f>
        <v>3567.4411770000006</v>
      </c>
      <c r="V150" s="10">
        <f>INDEX([1]ratio_ins!T:T,MATCH('001_population_health_zone_zs'!$B$2,[1]ratio_ins!$B:$B,0))*$G150*INDEX([1]ratio_ins!$C:$C,MATCH('001_population_health_zone_zs'!$B150,[1]ratio_ins!$B:$B,0))</f>
        <v>1981.9117650000001</v>
      </c>
      <c r="W150" s="11">
        <f>INDEX([1]ratio_ins!U:U,MATCH('001_population_health_zone_zs'!$B$2,[1]ratio_ins!$B:$B,0))*$G150*INDEX([1]ratio_ins!$C:$C,MATCH('001_population_health_zone_zs'!$B150,[1]ratio_ins!$B:$B,0))</f>
        <v>54066.552949199999</v>
      </c>
      <c r="X150" s="10">
        <f>INDEX([1]ratio_ins!V:V,MATCH('001_population_health_zone_zs'!$B$2,[1]ratio_ins!$B:$B,0))*$G150*INDEX([1]ratio_ins!$C:$C,MATCH('001_population_health_zone_zs'!$B150,[1]ratio_ins!$B:$B,0))</f>
        <v>1585.5294120000001</v>
      </c>
      <c r="Y150" s="10">
        <f>INDEX([1]ratio_ins!W:W,MATCH('001_population_health_zone_zs'!$B$2,[1]ratio_ins!$B:$B,0))*$G150*INDEX([1]ratio_ins!$C:$C,MATCH('001_population_health_zone_zs'!$B150,[1]ratio_ins!$B:$B,0))</f>
        <v>1057.0196080000001</v>
      </c>
      <c r="Z150" s="10">
        <f>INDEX([1]ratio_ins!X:X,MATCH('001_population_health_zone_zs'!$B$2,[1]ratio_ins!$B:$B,0))*$G150*INDEX([1]ratio_ins!$C:$C,MATCH('001_population_health_zone_zs'!$B150,[1]ratio_ins!$B:$B,0))</f>
        <v>528.50980400000003</v>
      </c>
      <c r="AA150" s="10">
        <f>INDEX([1]ratio_ins!Y:Y,MATCH('001_population_health_zone_zs'!$B$2,[1]ratio_ins!$B:$B,0))*$G150*INDEX([1]ratio_ins!$C:$C,MATCH('001_population_health_zone_zs'!$B150,[1]ratio_ins!$B:$B,0))</f>
        <v>264.25490200000002</v>
      </c>
      <c r="AB150" s="11">
        <f>INDEX([1]ratio_ins!Z:Z,MATCH('001_population_health_zone_zs'!$B$2,[1]ratio_ins!$B:$B,0))*$G150*INDEX([1]ratio_ins!$C:$C,MATCH('001_population_health_zone_zs'!$B150,[1]ratio_ins!$B:$B,0))</f>
        <v>3435.3137260000003</v>
      </c>
      <c r="AC150" s="12">
        <f t="shared" si="12"/>
        <v>132127.451</v>
      </c>
      <c r="AD150" s="10">
        <f>INDEX([1]ratio_ins!AA:AA,MATCH('001_population_health_zone_zs'!$B$2,[1]ratio_ins!$B:$B,0))*$G150*INDEX([1]ratio_ins!$D:$D,MATCH('001_population_health_zone_zs'!$B150,[1]ratio_ins!$B:$B,0))</f>
        <v>28534.705290000002</v>
      </c>
      <c r="AE150" s="10">
        <f>INDEX([1]ratio_ins!AB:AB,MATCH('001_population_health_zone_zs'!$B$2,[1]ratio_ins!$B:$B,0))*$G150*INDEX([1]ratio_ins!$D:$D,MATCH('001_population_health_zone_zs'!$B150,[1]ratio_ins!$B:$B,0))</f>
        <v>23507.161977000003</v>
      </c>
      <c r="AF150" s="10">
        <f>INDEX([1]ratio_ins!AC:AC,MATCH('001_population_health_zone_zs'!$B$2,[1]ratio_ins!$B:$B,0))*$G150*INDEX([1]ratio_ins!$D:$D,MATCH('001_population_health_zone_zs'!$B150,[1]ratio_ins!$B:$B,0))</f>
        <v>18615.498212999999</v>
      </c>
      <c r="AG150" s="10">
        <f>INDEX([1]ratio_ins!AD:AD,MATCH('001_population_health_zone_zs'!$B$2,[1]ratio_ins!$B:$B,0))*$G150*INDEX([1]ratio_ins!$D:$D,MATCH('001_population_health_zone_zs'!$B150,[1]ratio_ins!$B:$B,0))</f>
        <v>11278.002567000001</v>
      </c>
      <c r="AH150" s="10">
        <f>INDEX([1]ratio_ins!AE:AE,MATCH('001_population_health_zone_zs'!$B$2,[1]ratio_ins!$B:$B,0))*$G150*INDEX([1]ratio_ins!$D:$D,MATCH('001_population_health_zone_zs'!$B150,[1]ratio_ins!$B:$B,0))</f>
        <v>6766.8015401999992</v>
      </c>
      <c r="AI150" s="13">
        <f>INDEX([1]ratio_ins!AF:AF,MATCH('001_population_health_zone_zs'!$B$2,[1]ratio_ins!$B:$B,0))*$G150*INDEX([1]ratio_ins!$D:$D,MATCH('001_population_health_zone_zs'!$B150,[1]ratio_ins!$B:$B,0))</f>
        <v>77424.16702020001</v>
      </c>
      <c r="AJ150" s="10">
        <f>INDEX([1]ratio_ins!AG:AG,MATCH('001_population_health_zone_zs'!$B$2,[1]ratio_ins!$B:$B,0))*$G150*INDEX([1]ratio_ins!$D:$D,MATCH('001_population_health_zone_zs'!$B150,[1]ratio_ins!$B:$B,0))</f>
        <v>4511.2010267999995</v>
      </c>
      <c r="AK150" s="10">
        <f>INDEX([1]ratio_ins!AH:AH,MATCH('001_population_health_zone_zs'!$B$2,[1]ratio_ins!$B:$B,0))*$G150*INDEX([1]ratio_ins!$D:$D,MATCH('001_population_health_zone_zs'!$B150,[1]ratio_ins!$B:$B,0))</f>
        <v>10055.086626000002</v>
      </c>
      <c r="AL150" s="10">
        <f>INDEX([1]ratio_ins!AI:AI,MATCH('001_population_health_zone_zs'!$B$2,[1]ratio_ins!$B:$B,0))*$G150*INDEX([1]ratio_ins!$D:$D,MATCH('001_population_health_zone_zs'!$B150,[1]ratio_ins!$B:$B,0))</f>
        <v>9511.5684300000012</v>
      </c>
      <c r="AM150" s="10">
        <f>INDEX([1]ratio_ins!AJ:AJ,MATCH('001_population_health_zone_zs'!$B$2,[1]ratio_ins!$B:$B,0))*$G150*INDEX([1]ratio_ins!$D:$D,MATCH('001_population_health_zone_zs'!$B150,[1]ratio_ins!$B:$B,0))</f>
        <v>8696.2911359999998</v>
      </c>
      <c r="AN150" s="10">
        <f>INDEX([1]ratio_ins!AK:AK,MATCH('001_population_health_zone_zs'!$B$2,[1]ratio_ins!$B:$B,0))*$G150*INDEX([1]ratio_ins!$D:$D,MATCH('001_population_health_zone_zs'!$B150,[1]ratio_ins!$B:$B,0))</f>
        <v>8152.7729399999998</v>
      </c>
      <c r="AO150" s="10">
        <f>INDEX([1]ratio_ins!AL:AL,MATCH('001_population_health_zone_zs'!$B$2,[1]ratio_ins!$B:$B,0))*$G150*INDEX([1]ratio_ins!$D:$D,MATCH('001_population_health_zone_zs'!$B150,[1]ratio_ins!$B:$B,0))</f>
        <v>6114.5797049999992</v>
      </c>
      <c r="AP150" s="10">
        <f>INDEX([1]ratio_ins!AM:AM,MATCH('001_population_health_zone_zs'!$B$2,[1]ratio_ins!$B:$B,0))*$G150*INDEX([1]ratio_ins!$D:$D,MATCH('001_population_health_zone_zs'!$B150,[1]ratio_ins!$B:$B,0))</f>
        <v>3940.5069209999997</v>
      </c>
      <c r="AQ150" s="10">
        <f>INDEX([1]ratio_ins!AN:AN,MATCH('001_population_health_zone_zs'!$B$2,[1]ratio_ins!$B:$B,0))*$G150*INDEX([1]ratio_ins!$D:$D,MATCH('001_population_health_zone_zs'!$B150,[1]ratio_ins!$B:$B,0))</f>
        <v>3125.2296270000002</v>
      </c>
      <c r="AR150" s="10">
        <f>INDEX([1]ratio_ins!AO:AO,MATCH('001_population_health_zone_zs'!$B$2,[1]ratio_ins!$B:$B,0))*$G150*INDEX([1]ratio_ins!$D:$D,MATCH('001_population_health_zone_zs'!$B150,[1]ratio_ins!$B:$B,0))</f>
        <v>1494.6750390000002</v>
      </c>
      <c r="AS150" s="13">
        <f>INDEX([1]ratio_ins!AP:AP,MATCH('001_population_health_zone_zs'!$B$2,[1]ratio_ins!$B:$B,0))*$G150*INDEX([1]ratio_ins!$D:$D,MATCH('001_population_health_zone_zs'!$B150,[1]ratio_ins!$B:$B,0))</f>
        <v>55601.911450799998</v>
      </c>
      <c r="AT150" s="10">
        <f>INDEX([1]ratio_ins!AQ:AQ,MATCH('001_population_health_zone_zs'!$B$2,[1]ratio_ins!$B:$B,0))*$G150*INDEX([1]ratio_ins!$D:$D,MATCH('001_population_health_zone_zs'!$B150,[1]ratio_ins!$B:$B,0))</f>
        <v>1358.7954900000002</v>
      </c>
      <c r="AU150" s="10">
        <f>INDEX([1]ratio_ins!AR:AR,MATCH('001_population_health_zone_zs'!$B$2,[1]ratio_ins!$B:$B,0))*$G150*INDEX([1]ratio_ins!$D:$D,MATCH('001_population_health_zone_zs'!$B150,[1]ratio_ins!$B:$B,0))</f>
        <v>815.2772940000001</v>
      </c>
      <c r="AV150" s="10">
        <f>INDEX([1]ratio_ins!AS:AS,MATCH('001_population_health_zone_zs'!$B$2,[1]ratio_ins!$B:$B,0))*$G150*INDEX([1]ratio_ins!$D:$D,MATCH('001_population_health_zone_zs'!$B150,[1]ratio_ins!$B:$B,0))</f>
        <v>407.63864700000005</v>
      </c>
      <c r="AW150" s="10">
        <f>INDEX([1]ratio_ins!AT:AT,MATCH('001_population_health_zone_zs'!$B$2,[1]ratio_ins!$B:$B,0))*$G150*INDEX([1]ratio_ins!$D:$D,MATCH('001_population_health_zone_zs'!$B150,[1]ratio_ins!$B:$B,0))</f>
        <v>271.75909799999999</v>
      </c>
      <c r="AX150" s="13">
        <f>INDEX([1]ratio_ins!AU:AU,MATCH('001_population_health_zone_zs'!$B$2,[1]ratio_ins!$B:$B,0))*$G150*INDEX([1]ratio_ins!$D:$D,MATCH('001_population_health_zone_zs'!$B150,[1]ratio_ins!$B:$B,0))</f>
        <v>2853.4705289999997</v>
      </c>
      <c r="AY150" s="14">
        <f t="shared" si="13"/>
        <v>135879.54900000003</v>
      </c>
      <c r="AZ150" s="15">
        <f t="shared" si="14"/>
        <v>268007</v>
      </c>
      <c r="BA150" s="16">
        <v>258570.42147792716</v>
      </c>
      <c r="BB150" s="10">
        <f t="shared" si="15"/>
        <v>57748.808324999998</v>
      </c>
      <c r="BC150" s="17">
        <f t="shared" si="16"/>
        <v>0.215475</v>
      </c>
      <c r="BD150" s="10">
        <f t="shared" si="17"/>
        <v>55097.147067000005</v>
      </c>
    </row>
    <row r="151" spans="1:56" x14ac:dyDescent="0.25">
      <c r="A151" s="8" t="s">
        <v>340</v>
      </c>
      <c r="B151" s="8" t="s">
        <v>341</v>
      </c>
      <c r="C151" s="8" t="s">
        <v>371</v>
      </c>
      <c r="D151" s="8" t="s">
        <v>372</v>
      </c>
      <c r="E151" s="8" t="s">
        <v>371</v>
      </c>
      <c r="F151" s="8" t="s">
        <v>373</v>
      </c>
      <c r="G151" s="9">
        <v>285637</v>
      </c>
      <c r="H151" s="10">
        <f>INDEX([1]ratio_ins!F:F,MATCH('001_population_health_zone_zs'!$B$2,[1]ratio_ins!$B:$B,0))*$G151*INDEX([1]ratio_ins!$C:$C,MATCH('001_population_health_zone_zs'!$B151,[1]ratio_ins!$B:$B,0))</f>
        <v>29431.179568999996</v>
      </c>
      <c r="I151" s="10">
        <f>INDEX([1]ratio_ins!G:G,MATCH('001_population_health_zone_zs'!$B$2,[1]ratio_ins!$B:$B,0))*$G151*INDEX([1]ratio_ins!$C:$C,MATCH('001_population_health_zone_zs'!$B151,[1]ratio_ins!$B:$B,0))</f>
        <v>24080.056011000001</v>
      </c>
      <c r="J151" s="10">
        <f>INDEX([1]ratio_ins!H:H,MATCH('001_population_health_zone_zs'!$B$2,[1]ratio_ins!$B:$B,0))*$G151*INDEX([1]ratio_ins!$C:$C,MATCH('001_population_health_zone_zs'!$B151,[1]ratio_ins!$B:$B,0))</f>
        <v>19010.570535000003</v>
      </c>
      <c r="K151" s="10">
        <f>INDEX([1]ratio_ins!I:I,MATCH('001_population_health_zone_zs'!$B$2,[1]ratio_ins!$B:$B,0))*$G151*INDEX([1]ratio_ins!$C:$C,MATCH('001_population_health_zone_zs'!$B151,[1]ratio_ins!$B:$B,0))</f>
        <v>11687.980403000001</v>
      </c>
      <c r="L151" s="10">
        <f>INDEX([1]ratio_ins!J:J,MATCH('001_population_health_zone_zs'!$B$2,[1]ratio_ins!$B:$B,0))*$G151*INDEX([1]ratio_ins!$C:$C,MATCH('001_population_health_zone_zs'!$B151,[1]ratio_ins!$B:$B,0))</f>
        <v>7012.7882417999999</v>
      </c>
      <c r="M151" s="11">
        <f>INDEX([1]ratio_ins!K:K,MATCH('001_population_health_zone_zs'!$B$2,[1]ratio_ins!$B:$B,0))*$G151*INDEX([1]ratio_ins!$C:$C,MATCH('001_population_health_zone_zs'!$B151,[1]ratio_ins!$B:$B,0))</f>
        <v>79534.594356799993</v>
      </c>
      <c r="N151" s="10">
        <f>INDEX([1]ratio_ins!L:L,MATCH('001_population_health_zone_zs'!$B$2,[1]ratio_ins!$B:$B,0))*$G151*INDEX([1]ratio_ins!$C:$C,MATCH('001_population_health_zone_zs'!$B151,[1]ratio_ins!$B:$B,0))</f>
        <v>4675.1921611999996</v>
      </c>
      <c r="O151" s="10">
        <f>INDEX([1]ratio_ins!M:M,MATCH('001_population_health_zone_zs'!$B$2,[1]ratio_ins!$B:$B,0))*$G151*INDEX([1]ratio_ins!$C:$C,MATCH('001_population_health_zone_zs'!$B151,[1]ratio_ins!$B:$B,0))</f>
        <v>10138.970952</v>
      </c>
      <c r="P151" s="10">
        <f>INDEX([1]ratio_ins!N:N,MATCH('001_population_health_zone_zs'!$B$2,[1]ratio_ins!$B:$B,0))*$G151*INDEX([1]ratio_ins!$C:$C,MATCH('001_population_health_zone_zs'!$B151,[1]ratio_ins!$B:$B,0))</f>
        <v>9153.2376649999987</v>
      </c>
      <c r="Q151" s="10">
        <f>INDEX([1]ratio_ins!O:O,MATCH('001_population_health_zone_zs'!$B$2,[1]ratio_ins!$B:$B,0))*$G151*INDEX([1]ratio_ins!$C:$C,MATCH('001_population_health_zone_zs'!$B151,[1]ratio_ins!$B:$B,0))</f>
        <v>8167.5043779999996</v>
      </c>
      <c r="R151" s="10">
        <f>INDEX([1]ratio_ins!P:P,MATCH('001_population_health_zone_zs'!$B$2,[1]ratio_ins!$B:$B,0))*$G151*INDEX([1]ratio_ins!$C:$C,MATCH('001_population_health_zone_zs'!$B151,[1]ratio_ins!$B:$B,0))</f>
        <v>8026.6853370000008</v>
      </c>
      <c r="S151" s="10">
        <f>INDEX([1]ratio_ins!Q:Q,MATCH('001_population_health_zone_zs'!$B$2,[1]ratio_ins!$B:$B,0))*$G151*INDEX([1]ratio_ins!$C:$C,MATCH('001_population_health_zone_zs'!$B151,[1]ratio_ins!$B:$B,0))</f>
        <v>6759.3139680000004</v>
      </c>
      <c r="T151" s="10">
        <f>INDEX([1]ratio_ins!R:R,MATCH('001_population_health_zone_zs'!$B$2,[1]ratio_ins!$B:$B,0))*$G151*INDEX([1]ratio_ins!$C:$C,MATCH('001_population_health_zone_zs'!$B151,[1]ratio_ins!$B:$B,0))</f>
        <v>4787.8473940000003</v>
      </c>
      <c r="U151" s="10">
        <f>INDEX([1]ratio_ins!S:S,MATCH('001_population_health_zone_zs'!$B$2,[1]ratio_ins!$B:$B,0))*$G151*INDEX([1]ratio_ins!$C:$C,MATCH('001_population_health_zone_zs'!$B151,[1]ratio_ins!$B:$B,0))</f>
        <v>3802.1141070000003</v>
      </c>
      <c r="V151" s="10">
        <f>INDEX([1]ratio_ins!T:T,MATCH('001_population_health_zone_zs'!$B$2,[1]ratio_ins!$B:$B,0))*$G151*INDEX([1]ratio_ins!$C:$C,MATCH('001_population_health_zone_zs'!$B151,[1]ratio_ins!$B:$B,0))</f>
        <v>2112.2856150000002</v>
      </c>
      <c r="W151" s="11">
        <f>INDEX([1]ratio_ins!U:U,MATCH('001_population_health_zone_zs'!$B$2,[1]ratio_ins!$B:$B,0))*$G151*INDEX([1]ratio_ins!$C:$C,MATCH('001_population_health_zone_zs'!$B151,[1]ratio_ins!$B:$B,0))</f>
        <v>57623.151577200006</v>
      </c>
      <c r="X151" s="10">
        <f>INDEX([1]ratio_ins!V:V,MATCH('001_population_health_zone_zs'!$B$2,[1]ratio_ins!$B:$B,0))*$G151*INDEX([1]ratio_ins!$C:$C,MATCH('001_population_health_zone_zs'!$B151,[1]ratio_ins!$B:$B,0))</f>
        <v>1689.8284920000001</v>
      </c>
      <c r="Y151" s="10">
        <f>INDEX([1]ratio_ins!W:W,MATCH('001_population_health_zone_zs'!$B$2,[1]ratio_ins!$B:$B,0))*$G151*INDEX([1]ratio_ins!$C:$C,MATCH('001_population_health_zone_zs'!$B151,[1]ratio_ins!$B:$B,0))</f>
        <v>1126.552328</v>
      </c>
      <c r="Z151" s="10">
        <f>INDEX([1]ratio_ins!X:X,MATCH('001_population_health_zone_zs'!$B$2,[1]ratio_ins!$B:$B,0))*$G151*INDEX([1]ratio_ins!$C:$C,MATCH('001_population_health_zone_zs'!$B151,[1]ratio_ins!$B:$B,0))</f>
        <v>563.27616399999999</v>
      </c>
      <c r="AA151" s="10">
        <f>INDEX([1]ratio_ins!Y:Y,MATCH('001_population_health_zone_zs'!$B$2,[1]ratio_ins!$B:$B,0))*$G151*INDEX([1]ratio_ins!$C:$C,MATCH('001_population_health_zone_zs'!$B151,[1]ratio_ins!$B:$B,0))</f>
        <v>281.638082</v>
      </c>
      <c r="AB151" s="11">
        <f>INDEX([1]ratio_ins!Z:Z,MATCH('001_population_health_zone_zs'!$B$2,[1]ratio_ins!$B:$B,0))*$G151*INDEX([1]ratio_ins!$C:$C,MATCH('001_population_health_zone_zs'!$B151,[1]ratio_ins!$B:$B,0))</f>
        <v>3661.2950660000001</v>
      </c>
      <c r="AC151" s="12">
        <f t="shared" si="12"/>
        <v>140819.041</v>
      </c>
      <c r="AD151" s="10">
        <f>INDEX([1]ratio_ins!AA:AA,MATCH('001_population_health_zone_zs'!$B$2,[1]ratio_ins!$B:$B,0))*$G151*INDEX([1]ratio_ins!$D:$D,MATCH('001_population_health_zone_zs'!$B151,[1]ratio_ins!$B:$B,0))</f>
        <v>30411.771389999998</v>
      </c>
      <c r="AE151" s="10">
        <f>INDEX([1]ratio_ins!AB:AB,MATCH('001_population_health_zone_zs'!$B$2,[1]ratio_ins!$B:$B,0))*$G151*INDEX([1]ratio_ins!$D:$D,MATCH('001_population_health_zone_zs'!$B151,[1]ratio_ins!$B:$B,0))</f>
        <v>25053.506906999999</v>
      </c>
      <c r="AF151" s="10">
        <f>INDEX([1]ratio_ins!AC:AC,MATCH('001_population_health_zone_zs'!$B$2,[1]ratio_ins!$B:$B,0))*$G151*INDEX([1]ratio_ins!$D:$D,MATCH('001_population_health_zone_zs'!$B151,[1]ratio_ins!$B:$B,0))</f>
        <v>19840.060382999996</v>
      </c>
      <c r="AG151" s="10">
        <f>INDEX([1]ratio_ins!AD:AD,MATCH('001_population_health_zone_zs'!$B$2,[1]ratio_ins!$B:$B,0))*$G151*INDEX([1]ratio_ins!$D:$D,MATCH('001_population_health_zone_zs'!$B151,[1]ratio_ins!$B:$B,0))</f>
        <v>12019.890597000001</v>
      </c>
      <c r="AH151" s="10">
        <f>INDEX([1]ratio_ins!AE:AE,MATCH('001_population_health_zone_zs'!$B$2,[1]ratio_ins!$B:$B,0))*$G151*INDEX([1]ratio_ins!$D:$D,MATCH('001_population_health_zone_zs'!$B151,[1]ratio_ins!$B:$B,0))</f>
        <v>7211.9343581999992</v>
      </c>
      <c r="AI151" s="13">
        <f>INDEX([1]ratio_ins!AF:AF,MATCH('001_population_health_zone_zs'!$B$2,[1]ratio_ins!$B:$B,0))*$G151*INDEX([1]ratio_ins!$D:$D,MATCH('001_population_health_zone_zs'!$B151,[1]ratio_ins!$B:$B,0))</f>
        <v>82517.273038200001</v>
      </c>
      <c r="AJ151" s="10">
        <f>INDEX([1]ratio_ins!AG:AG,MATCH('001_population_health_zone_zs'!$B$2,[1]ratio_ins!$B:$B,0))*$G151*INDEX([1]ratio_ins!$D:$D,MATCH('001_population_health_zone_zs'!$B151,[1]ratio_ins!$B:$B,0))</f>
        <v>4807.9562388000004</v>
      </c>
      <c r="AK151" s="10">
        <f>INDEX([1]ratio_ins!AH:AH,MATCH('001_population_health_zone_zs'!$B$2,[1]ratio_ins!$B:$B,0))*$G151*INDEX([1]ratio_ins!$D:$D,MATCH('001_population_health_zone_zs'!$B151,[1]ratio_ins!$B:$B,0))</f>
        <v>10716.528966000002</v>
      </c>
      <c r="AL151" s="10">
        <f>INDEX([1]ratio_ins!AI:AI,MATCH('001_population_health_zone_zs'!$B$2,[1]ratio_ins!$B:$B,0))*$G151*INDEX([1]ratio_ins!$D:$D,MATCH('001_population_health_zone_zs'!$B151,[1]ratio_ins!$B:$B,0))</f>
        <v>10137.25713</v>
      </c>
      <c r="AM151" s="10">
        <f>INDEX([1]ratio_ins!AJ:AJ,MATCH('001_population_health_zone_zs'!$B$2,[1]ratio_ins!$B:$B,0))*$G151*INDEX([1]ratio_ins!$D:$D,MATCH('001_population_health_zone_zs'!$B151,[1]ratio_ins!$B:$B,0))</f>
        <v>9268.3493760000001</v>
      </c>
      <c r="AN151" s="10">
        <f>INDEX([1]ratio_ins!AK:AK,MATCH('001_population_health_zone_zs'!$B$2,[1]ratio_ins!$B:$B,0))*$G151*INDEX([1]ratio_ins!$D:$D,MATCH('001_population_health_zone_zs'!$B151,[1]ratio_ins!$B:$B,0))</f>
        <v>8689.0775400000002</v>
      </c>
      <c r="AO151" s="10">
        <f>INDEX([1]ratio_ins!AL:AL,MATCH('001_population_health_zone_zs'!$B$2,[1]ratio_ins!$B:$B,0))*$G151*INDEX([1]ratio_ins!$D:$D,MATCH('001_population_health_zone_zs'!$B151,[1]ratio_ins!$B:$B,0))</f>
        <v>6516.8081549999997</v>
      </c>
      <c r="AP151" s="10">
        <f>INDEX([1]ratio_ins!AM:AM,MATCH('001_population_health_zone_zs'!$B$2,[1]ratio_ins!$B:$B,0))*$G151*INDEX([1]ratio_ins!$D:$D,MATCH('001_population_health_zone_zs'!$B151,[1]ratio_ins!$B:$B,0))</f>
        <v>4199.7208110000001</v>
      </c>
      <c r="AQ151" s="10">
        <f>INDEX([1]ratio_ins!AN:AN,MATCH('001_population_health_zone_zs'!$B$2,[1]ratio_ins!$B:$B,0))*$G151*INDEX([1]ratio_ins!$D:$D,MATCH('001_population_health_zone_zs'!$B151,[1]ratio_ins!$B:$B,0))</f>
        <v>3330.8130569999998</v>
      </c>
      <c r="AR151" s="10">
        <f>INDEX([1]ratio_ins!AO:AO,MATCH('001_population_health_zone_zs'!$B$2,[1]ratio_ins!$B:$B,0))*$G151*INDEX([1]ratio_ins!$D:$D,MATCH('001_population_health_zone_zs'!$B151,[1]ratio_ins!$B:$B,0))</f>
        <v>1592.9975490000004</v>
      </c>
      <c r="AS151" s="13">
        <f>INDEX([1]ratio_ins!AP:AP,MATCH('001_population_health_zone_zs'!$B$2,[1]ratio_ins!$B:$B,0))*$G151*INDEX([1]ratio_ins!$D:$D,MATCH('001_population_health_zone_zs'!$B151,[1]ratio_ins!$B:$B,0))</f>
        <v>59259.508822800002</v>
      </c>
      <c r="AT151" s="10">
        <f>INDEX([1]ratio_ins!AQ:AQ,MATCH('001_population_health_zone_zs'!$B$2,[1]ratio_ins!$B:$B,0))*$G151*INDEX([1]ratio_ins!$D:$D,MATCH('001_population_health_zone_zs'!$B151,[1]ratio_ins!$B:$B,0))</f>
        <v>1448.17959</v>
      </c>
      <c r="AU151" s="10">
        <f>INDEX([1]ratio_ins!AR:AR,MATCH('001_population_health_zone_zs'!$B$2,[1]ratio_ins!$B:$B,0))*$G151*INDEX([1]ratio_ins!$D:$D,MATCH('001_population_health_zone_zs'!$B151,[1]ratio_ins!$B:$B,0))</f>
        <v>868.90775400000007</v>
      </c>
      <c r="AV151" s="10">
        <f>INDEX([1]ratio_ins!AS:AS,MATCH('001_population_health_zone_zs'!$B$2,[1]ratio_ins!$B:$B,0))*$G151*INDEX([1]ratio_ins!$D:$D,MATCH('001_population_health_zone_zs'!$B151,[1]ratio_ins!$B:$B,0))</f>
        <v>434.45387700000003</v>
      </c>
      <c r="AW151" s="10">
        <f>INDEX([1]ratio_ins!AT:AT,MATCH('001_population_health_zone_zs'!$B$2,[1]ratio_ins!$B:$B,0))*$G151*INDEX([1]ratio_ins!$D:$D,MATCH('001_population_health_zone_zs'!$B151,[1]ratio_ins!$B:$B,0))</f>
        <v>289.635918</v>
      </c>
      <c r="AX151" s="13">
        <f>INDEX([1]ratio_ins!AU:AU,MATCH('001_population_health_zone_zs'!$B$2,[1]ratio_ins!$B:$B,0))*$G151*INDEX([1]ratio_ins!$D:$D,MATCH('001_population_health_zone_zs'!$B151,[1]ratio_ins!$B:$B,0))</f>
        <v>3041.1771389999999</v>
      </c>
      <c r="AY151" s="14">
        <f t="shared" si="13"/>
        <v>144817.959</v>
      </c>
      <c r="AZ151" s="15">
        <f t="shared" si="14"/>
        <v>285637</v>
      </c>
      <c r="BA151" s="16">
        <v>275579.91392501537</v>
      </c>
      <c r="BB151" s="10">
        <f t="shared" si="15"/>
        <v>61547.632574999996</v>
      </c>
      <c r="BC151" s="17">
        <f t="shared" si="16"/>
        <v>0.21547499999999997</v>
      </c>
      <c r="BD151" s="10">
        <f t="shared" si="17"/>
        <v>58721.540097000005</v>
      </c>
    </row>
    <row r="152" spans="1:56" x14ac:dyDescent="0.25">
      <c r="A152" s="8" t="s">
        <v>340</v>
      </c>
      <c r="B152" s="8" t="s">
        <v>341</v>
      </c>
      <c r="C152" s="8" t="s">
        <v>371</v>
      </c>
      <c r="D152" s="8" t="s">
        <v>372</v>
      </c>
      <c r="E152" s="8" t="s">
        <v>374</v>
      </c>
      <c r="F152" s="8" t="s">
        <v>375</v>
      </c>
      <c r="G152" s="9">
        <v>193428</v>
      </c>
      <c r="H152" s="10">
        <f>INDEX([1]ratio_ins!F:F,MATCH('001_population_health_zone_zs'!$B$2,[1]ratio_ins!$B:$B,0))*$G152*INDEX([1]ratio_ins!$C:$C,MATCH('001_population_health_zone_zs'!$B152,[1]ratio_ins!$B:$B,0))</f>
        <v>19930.240835999997</v>
      </c>
      <c r="I152" s="10">
        <f>INDEX([1]ratio_ins!G:G,MATCH('001_population_health_zone_zs'!$B$2,[1]ratio_ins!$B:$B,0))*$G152*INDEX([1]ratio_ins!$C:$C,MATCH('001_population_health_zone_zs'!$B152,[1]ratio_ins!$B:$B,0))</f>
        <v>16306.560684</v>
      </c>
      <c r="J152" s="10">
        <f>INDEX([1]ratio_ins!H:H,MATCH('001_population_health_zone_zs'!$B$2,[1]ratio_ins!$B:$B,0))*$G152*INDEX([1]ratio_ins!$C:$C,MATCH('001_population_health_zone_zs'!$B152,[1]ratio_ins!$B:$B,0))</f>
        <v>12873.600540000001</v>
      </c>
      <c r="K152" s="10">
        <f>INDEX([1]ratio_ins!I:I,MATCH('001_population_health_zone_zs'!$B$2,[1]ratio_ins!$B:$B,0))*$G152*INDEX([1]ratio_ins!$C:$C,MATCH('001_population_health_zone_zs'!$B152,[1]ratio_ins!$B:$B,0))</f>
        <v>7914.8803320000006</v>
      </c>
      <c r="L152" s="10">
        <f>INDEX([1]ratio_ins!J:J,MATCH('001_population_health_zone_zs'!$B$2,[1]ratio_ins!$B:$B,0))*$G152*INDEX([1]ratio_ins!$C:$C,MATCH('001_population_health_zone_zs'!$B152,[1]ratio_ins!$B:$B,0))</f>
        <v>4748.9281991999997</v>
      </c>
      <c r="M152" s="11">
        <f>INDEX([1]ratio_ins!K:K,MATCH('001_population_health_zone_zs'!$B$2,[1]ratio_ins!$B:$B,0))*$G152*INDEX([1]ratio_ins!$C:$C,MATCH('001_population_health_zone_zs'!$B152,[1]ratio_ins!$B:$B,0))</f>
        <v>53859.330259199996</v>
      </c>
      <c r="N152" s="10">
        <f>INDEX([1]ratio_ins!L:L,MATCH('001_population_health_zone_zs'!$B$2,[1]ratio_ins!$B:$B,0))*$G152*INDEX([1]ratio_ins!$C:$C,MATCH('001_population_health_zone_zs'!$B152,[1]ratio_ins!$B:$B,0))</f>
        <v>3165.9521328000001</v>
      </c>
      <c r="O152" s="10">
        <f>INDEX([1]ratio_ins!M:M,MATCH('001_population_health_zone_zs'!$B$2,[1]ratio_ins!$B:$B,0))*$G152*INDEX([1]ratio_ins!$C:$C,MATCH('001_population_health_zone_zs'!$B152,[1]ratio_ins!$B:$B,0))</f>
        <v>6865.9202880000012</v>
      </c>
      <c r="P152" s="10">
        <f>INDEX([1]ratio_ins!N:N,MATCH('001_population_health_zone_zs'!$B$2,[1]ratio_ins!$B:$B,0))*$G152*INDEX([1]ratio_ins!$C:$C,MATCH('001_population_health_zone_zs'!$B152,[1]ratio_ins!$B:$B,0))</f>
        <v>6198.4002599999994</v>
      </c>
      <c r="Q152" s="10">
        <f>INDEX([1]ratio_ins!O:O,MATCH('001_population_health_zone_zs'!$B$2,[1]ratio_ins!$B:$B,0))*$G152*INDEX([1]ratio_ins!$C:$C,MATCH('001_population_health_zone_zs'!$B152,[1]ratio_ins!$B:$B,0))</f>
        <v>5530.8802319999995</v>
      </c>
      <c r="R152" s="10">
        <f>INDEX([1]ratio_ins!P:P,MATCH('001_population_health_zone_zs'!$B$2,[1]ratio_ins!$B:$B,0))*$G152*INDEX([1]ratio_ins!$C:$C,MATCH('001_population_health_zone_zs'!$B152,[1]ratio_ins!$B:$B,0))</f>
        <v>5435.5202280000003</v>
      </c>
      <c r="S152" s="10">
        <f>INDEX([1]ratio_ins!Q:Q,MATCH('001_population_health_zone_zs'!$B$2,[1]ratio_ins!$B:$B,0))*$G152*INDEX([1]ratio_ins!$C:$C,MATCH('001_population_health_zone_zs'!$B152,[1]ratio_ins!$B:$B,0))</f>
        <v>4577.2801920000002</v>
      </c>
      <c r="T152" s="10">
        <f>INDEX([1]ratio_ins!R:R,MATCH('001_population_health_zone_zs'!$B$2,[1]ratio_ins!$B:$B,0))*$G152*INDEX([1]ratio_ins!$C:$C,MATCH('001_population_health_zone_zs'!$B152,[1]ratio_ins!$B:$B,0))</f>
        <v>3242.2401360000003</v>
      </c>
      <c r="U152" s="10">
        <f>INDEX([1]ratio_ins!S:S,MATCH('001_population_health_zone_zs'!$B$2,[1]ratio_ins!$B:$B,0))*$G152*INDEX([1]ratio_ins!$C:$C,MATCH('001_population_health_zone_zs'!$B152,[1]ratio_ins!$B:$B,0))</f>
        <v>2574.7201080000004</v>
      </c>
      <c r="V152" s="10">
        <f>INDEX([1]ratio_ins!T:T,MATCH('001_population_health_zone_zs'!$B$2,[1]ratio_ins!$B:$B,0))*$G152*INDEX([1]ratio_ins!$C:$C,MATCH('001_population_health_zone_zs'!$B152,[1]ratio_ins!$B:$B,0))</f>
        <v>1430.4000599999999</v>
      </c>
      <c r="W152" s="11">
        <f>INDEX([1]ratio_ins!U:U,MATCH('001_population_health_zone_zs'!$B$2,[1]ratio_ins!$B:$B,0))*$G152*INDEX([1]ratio_ins!$C:$C,MATCH('001_population_health_zone_zs'!$B152,[1]ratio_ins!$B:$B,0))</f>
        <v>39021.313636800005</v>
      </c>
      <c r="X152" s="10">
        <f>INDEX([1]ratio_ins!V:V,MATCH('001_population_health_zone_zs'!$B$2,[1]ratio_ins!$B:$B,0))*$G152*INDEX([1]ratio_ins!$C:$C,MATCH('001_population_health_zone_zs'!$B152,[1]ratio_ins!$B:$B,0))</f>
        <v>1144.320048</v>
      </c>
      <c r="Y152" s="10">
        <f>INDEX([1]ratio_ins!W:W,MATCH('001_population_health_zone_zs'!$B$2,[1]ratio_ins!$B:$B,0))*$G152*INDEX([1]ratio_ins!$C:$C,MATCH('001_population_health_zone_zs'!$B152,[1]ratio_ins!$B:$B,0))</f>
        <v>762.88003200000003</v>
      </c>
      <c r="Z152" s="10">
        <f>INDEX([1]ratio_ins!X:X,MATCH('001_population_health_zone_zs'!$B$2,[1]ratio_ins!$B:$B,0))*$G152*INDEX([1]ratio_ins!$C:$C,MATCH('001_population_health_zone_zs'!$B152,[1]ratio_ins!$B:$B,0))</f>
        <v>381.44001600000001</v>
      </c>
      <c r="AA152" s="10">
        <f>INDEX([1]ratio_ins!Y:Y,MATCH('001_population_health_zone_zs'!$B$2,[1]ratio_ins!$B:$B,0))*$G152*INDEX([1]ratio_ins!$C:$C,MATCH('001_population_health_zone_zs'!$B152,[1]ratio_ins!$B:$B,0))</f>
        <v>190.72000800000001</v>
      </c>
      <c r="AB152" s="11">
        <f>INDEX([1]ratio_ins!Z:Z,MATCH('001_population_health_zone_zs'!$B$2,[1]ratio_ins!$B:$B,0))*$G152*INDEX([1]ratio_ins!$C:$C,MATCH('001_population_health_zone_zs'!$B152,[1]ratio_ins!$B:$B,0))</f>
        <v>2479.3601040000003</v>
      </c>
      <c r="AC152" s="12">
        <f t="shared" si="12"/>
        <v>95360.004000000001</v>
      </c>
      <c r="AD152" s="10">
        <f>INDEX([1]ratio_ins!AA:AA,MATCH('001_population_health_zone_zs'!$B$2,[1]ratio_ins!$B:$B,0))*$G152*INDEX([1]ratio_ins!$D:$D,MATCH('001_population_health_zone_zs'!$B152,[1]ratio_ins!$B:$B,0))</f>
        <v>20594.279159999998</v>
      </c>
      <c r="AE152" s="10">
        <f>INDEX([1]ratio_ins!AB:AB,MATCH('001_population_health_zone_zs'!$B$2,[1]ratio_ins!$B:$B,0))*$G152*INDEX([1]ratio_ins!$D:$D,MATCH('001_population_health_zone_zs'!$B152,[1]ratio_ins!$B:$B,0))</f>
        <v>16965.763308000001</v>
      </c>
      <c r="AF152" s="10">
        <f>INDEX([1]ratio_ins!AC:AC,MATCH('001_population_health_zone_zs'!$B$2,[1]ratio_ins!$B:$B,0))*$G152*INDEX([1]ratio_ins!$D:$D,MATCH('001_population_health_zone_zs'!$B152,[1]ratio_ins!$B:$B,0))</f>
        <v>13435.315451999997</v>
      </c>
      <c r="AG152" s="10">
        <f>INDEX([1]ratio_ins!AD:AD,MATCH('001_population_health_zone_zs'!$B$2,[1]ratio_ins!$B:$B,0))*$G152*INDEX([1]ratio_ins!$D:$D,MATCH('001_population_health_zone_zs'!$B152,[1]ratio_ins!$B:$B,0))</f>
        <v>8139.6436680000006</v>
      </c>
      <c r="AH152" s="10">
        <f>INDEX([1]ratio_ins!AE:AE,MATCH('001_population_health_zone_zs'!$B$2,[1]ratio_ins!$B:$B,0))*$G152*INDEX([1]ratio_ins!$D:$D,MATCH('001_population_health_zone_zs'!$B152,[1]ratio_ins!$B:$B,0))</f>
        <v>4883.7862007999993</v>
      </c>
      <c r="AI152" s="13">
        <f>INDEX([1]ratio_ins!AF:AF,MATCH('001_population_health_zone_zs'!$B$2,[1]ratio_ins!$B:$B,0))*$G152*INDEX([1]ratio_ins!$D:$D,MATCH('001_population_health_zone_zs'!$B152,[1]ratio_ins!$B:$B,0))</f>
        <v>55879.144120799996</v>
      </c>
      <c r="AJ152" s="10">
        <f>INDEX([1]ratio_ins!AG:AG,MATCH('001_population_health_zone_zs'!$B$2,[1]ratio_ins!$B:$B,0))*$G152*INDEX([1]ratio_ins!$D:$D,MATCH('001_population_health_zone_zs'!$B152,[1]ratio_ins!$B:$B,0))</f>
        <v>3255.8574672000004</v>
      </c>
      <c r="AK152" s="10">
        <f>INDEX([1]ratio_ins!AH:AH,MATCH('001_population_health_zone_zs'!$B$2,[1]ratio_ins!$B:$B,0))*$G152*INDEX([1]ratio_ins!$D:$D,MATCH('001_population_health_zone_zs'!$B152,[1]ratio_ins!$B:$B,0))</f>
        <v>7257.0317040000009</v>
      </c>
      <c r="AL152" s="10">
        <f>INDEX([1]ratio_ins!AI:AI,MATCH('001_population_health_zone_zs'!$B$2,[1]ratio_ins!$B:$B,0))*$G152*INDEX([1]ratio_ins!$D:$D,MATCH('001_population_health_zone_zs'!$B152,[1]ratio_ins!$B:$B,0))</f>
        <v>6864.7597200000009</v>
      </c>
      <c r="AM152" s="10">
        <f>INDEX([1]ratio_ins!AJ:AJ,MATCH('001_population_health_zone_zs'!$B$2,[1]ratio_ins!$B:$B,0))*$G152*INDEX([1]ratio_ins!$D:$D,MATCH('001_population_health_zone_zs'!$B152,[1]ratio_ins!$B:$B,0))</f>
        <v>6276.3517439999996</v>
      </c>
      <c r="AN152" s="10">
        <f>INDEX([1]ratio_ins!AK:AK,MATCH('001_population_health_zone_zs'!$B$2,[1]ratio_ins!$B:$B,0))*$G152*INDEX([1]ratio_ins!$D:$D,MATCH('001_population_health_zone_zs'!$B152,[1]ratio_ins!$B:$B,0))</f>
        <v>5884.0797600000005</v>
      </c>
      <c r="AO152" s="10">
        <f>INDEX([1]ratio_ins!AL:AL,MATCH('001_population_health_zone_zs'!$B$2,[1]ratio_ins!$B:$B,0))*$G152*INDEX([1]ratio_ins!$D:$D,MATCH('001_population_health_zone_zs'!$B152,[1]ratio_ins!$B:$B,0))</f>
        <v>4413.0598200000004</v>
      </c>
      <c r="AP152" s="10">
        <f>INDEX([1]ratio_ins!AM:AM,MATCH('001_population_health_zone_zs'!$B$2,[1]ratio_ins!$B:$B,0))*$G152*INDEX([1]ratio_ins!$D:$D,MATCH('001_population_health_zone_zs'!$B152,[1]ratio_ins!$B:$B,0))</f>
        <v>2843.9718839999996</v>
      </c>
      <c r="AQ152" s="10">
        <f>INDEX([1]ratio_ins!AN:AN,MATCH('001_population_health_zone_zs'!$B$2,[1]ratio_ins!$B:$B,0))*$G152*INDEX([1]ratio_ins!$D:$D,MATCH('001_population_health_zone_zs'!$B152,[1]ratio_ins!$B:$B,0))</f>
        <v>2255.5639080000001</v>
      </c>
      <c r="AR152" s="10">
        <f>INDEX([1]ratio_ins!AO:AO,MATCH('001_population_health_zone_zs'!$B$2,[1]ratio_ins!$B:$B,0))*$G152*INDEX([1]ratio_ins!$D:$D,MATCH('001_population_health_zone_zs'!$B152,[1]ratio_ins!$B:$B,0))</f>
        <v>1078.7479560000002</v>
      </c>
      <c r="AS152" s="13">
        <f>INDEX([1]ratio_ins!AP:AP,MATCH('001_population_health_zone_zs'!$B$2,[1]ratio_ins!$B:$B,0))*$G152*INDEX([1]ratio_ins!$D:$D,MATCH('001_population_health_zone_zs'!$B152,[1]ratio_ins!$B:$B,0))</f>
        <v>40129.423963200003</v>
      </c>
      <c r="AT152" s="10">
        <f>INDEX([1]ratio_ins!AQ:AQ,MATCH('001_population_health_zone_zs'!$B$2,[1]ratio_ins!$B:$B,0))*$G152*INDEX([1]ratio_ins!$D:$D,MATCH('001_population_health_zone_zs'!$B152,[1]ratio_ins!$B:$B,0))</f>
        <v>980.67996000000005</v>
      </c>
      <c r="AU152" s="10">
        <f>INDEX([1]ratio_ins!AR:AR,MATCH('001_population_health_zone_zs'!$B$2,[1]ratio_ins!$B:$B,0))*$G152*INDEX([1]ratio_ins!$D:$D,MATCH('001_population_health_zone_zs'!$B152,[1]ratio_ins!$B:$B,0))</f>
        <v>588.40797599999996</v>
      </c>
      <c r="AV152" s="10">
        <f>INDEX([1]ratio_ins!AS:AS,MATCH('001_population_health_zone_zs'!$B$2,[1]ratio_ins!$B:$B,0))*$G152*INDEX([1]ratio_ins!$D:$D,MATCH('001_population_health_zone_zs'!$B152,[1]ratio_ins!$B:$B,0))</f>
        <v>294.20398799999998</v>
      </c>
      <c r="AW152" s="10">
        <f>INDEX([1]ratio_ins!AT:AT,MATCH('001_population_health_zone_zs'!$B$2,[1]ratio_ins!$B:$B,0))*$G152*INDEX([1]ratio_ins!$D:$D,MATCH('001_population_health_zone_zs'!$B152,[1]ratio_ins!$B:$B,0))</f>
        <v>196.13599199999999</v>
      </c>
      <c r="AX152" s="13">
        <f>INDEX([1]ratio_ins!AU:AU,MATCH('001_population_health_zone_zs'!$B$2,[1]ratio_ins!$B:$B,0))*$G152*INDEX([1]ratio_ins!$D:$D,MATCH('001_population_health_zone_zs'!$B152,[1]ratio_ins!$B:$B,0))</f>
        <v>2059.4279159999996</v>
      </c>
      <c r="AY152" s="14">
        <f t="shared" si="13"/>
        <v>98067.995999999999</v>
      </c>
      <c r="AZ152" s="15">
        <f t="shared" si="14"/>
        <v>193428</v>
      </c>
      <c r="BA152" s="16">
        <v>186617.23661801047</v>
      </c>
      <c r="BB152" s="10">
        <f t="shared" si="15"/>
        <v>41678.898300000008</v>
      </c>
      <c r="BC152" s="17">
        <f t="shared" si="16"/>
        <v>0.21547500000000003</v>
      </c>
      <c r="BD152" s="10">
        <f t="shared" si="17"/>
        <v>39765.121668</v>
      </c>
    </row>
    <row r="153" spans="1:56" x14ac:dyDescent="0.25">
      <c r="A153" s="8" t="s">
        <v>340</v>
      </c>
      <c r="B153" s="8" t="s">
        <v>341</v>
      </c>
      <c r="C153" s="8" t="s">
        <v>376</v>
      </c>
      <c r="D153" s="8" t="s">
        <v>377</v>
      </c>
      <c r="E153" s="8" t="s">
        <v>376</v>
      </c>
      <c r="F153" s="8" t="s">
        <v>378</v>
      </c>
      <c r="G153" s="9">
        <v>93957</v>
      </c>
      <c r="H153" s="10">
        <f>INDEX([1]ratio_ins!F:F,MATCH('001_population_health_zone_zs'!$B$2,[1]ratio_ins!$B:$B,0))*$G153*INDEX([1]ratio_ins!$C:$C,MATCH('001_population_health_zone_zs'!$B153,[1]ratio_ins!$B:$B,0))</f>
        <v>9681.0474089999989</v>
      </c>
      <c r="I153" s="10">
        <f>INDEX([1]ratio_ins!G:G,MATCH('001_population_health_zone_zs'!$B$2,[1]ratio_ins!$B:$B,0))*$G153*INDEX([1]ratio_ins!$C:$C,MATCH('001_population_health_zone_zs'!$B153,[1]ratio_ins!$B:$B,0))</f>
        <v>7920.8569710000002</v>
      </c>
      <c r="J153" s="10">
        <f>INDEX([1]ratio_ins!H:H,MATCH('001_population_health_zone_zs'!$B$2,[1]ratio_ins!$B:$B,0))*$G153*INDEX([1]ratio_ins!$C:$C,MATCH('001_population_health_zone_zs'!$B153,[1]ratio_ins!$B:$B,0))</f>
        <v>6253.3081350000002</v>
      </c>
      <c r="K153" s="10">
        <f>INDEX([1]ratio_ins!I:I,MATCH('001_population_health_zone_zs'!$B$2,[1]ratio_ins!$B:$B,0))*$G153*INDEX([1]ratio_ins!$C:$C,MATCH('001_population_health_zone_zs'!$B153,[1]ratio_ins!$B:$B,0))</f>
        <v>3844.626483</v>
      </c>
      <c r="L153" s="10">
        <f>INDEX([1]ratio_ins!J:J,MATCH('001_population_health_zone_zs'!$B$2,[1]ratio_ins!$B:$B,0))*$G153*INDEX([1]ratio_ins!$C:$C,MATCH('001_population_health_zone_zs'!$B153,[1]ratio_ins!$B:$B,0))</f>
        <v>2306.7758897999997</v>
      </c>
      <c r="M153" s="11">
        <f>INDEX([1]ratio_ins!K:K,MATCH('001_population_health_zone_zs'!$B$2,[1]ratio_ins!$B:$B,0))*$G153*INDEX([1]ratio_ins!$C:$C,MATCH('001_population_health_zone_zs'!$B153,[1]ratio_ins!$B:$B,0))</f>
        <v>26161.988404799999</v>
      </c>
      <c r="N153" s="10">
        <f>INDEX([1]ratio_ins!L:L,MATCH('001_population_health_zone_zs'!$B$2,[1]ratio_ins!$B:$B,0))*$G153*INDEX([1]ratio_ins!$C:$C,MATCH('001_population_health_zone_zs'!$B153,[1]ratio_ins!$B:$B,0))</f>
        <v>1537.8505932</v>
      </c>
      <c r="O153" s="10">
        <f>INDEX([1]ratio_ins!M:M,MATCH('001_population_health_zone_zs'!$B$2,[1]ratio_ins!$B:$B,0))*$G153*INDEX([1]ratio_ins!$C:$C,MATCH('001_population_health_zone_zs'!$B153,[1]ratio_ins!$B:$B,0))</f>
        <v>3335.0976720000003</v>
      </c>
      <c r="P153" s="10">
        <f>INDEX([1]ratio_ins!N:N,MATCH('001_population_health_zone_zs'!$B$2,[1]ratio_ins!$B:$B,0))*$G153*INDEX([1]ratio_ins!$C:$C,MATCH('001_population_health_zone_zs'!$B153,[1]ratio_ins!$B:$B,0))</f>
        <v>3010.852065</v>
      </c>
      <c r="Q153" s="10">
        <f>INDEX([1]ratio_ins!O:O,MATCH('001_population_health_zone_zs'!$B$2,[1]ratio_ins!$B:$B,0))*$G153*INDEX([1]ratio_ins!$C:$C,MATCH('001_population_health_zone_zs'!$B153,[1]ratio_ins!$B:$B,0))</f>
        <v>2686.6064579999997</v>
      </c>
      <c r="R153" s="10">
        <f>INDEX([1]ratio_ins!P:P,MATCH('001_population_health_zone_zs'!$B$2,[1]ratio_ins!$B:$B,0))*$G153*INDEX([1]ratio_ins!$C:$C,MATCH('001_population_health_zone_zs'!$B153,[1]ratio_ins!$B:$B,0))</f>
        <v>2640.2856569999999</v>
      </c>
      <c r="S153" s="10">
        <f>INDEX([1]ratio_ins!Q:Q,MATCH('001_population_health_zone_zs'!$B$2,[1]ratio_ins!$B:$B,0))*$G153*INDEX([1]ratio_ins!$C:$C,MATCH('001_population_health_zone_zs'!$B153,[1]ratio_ins!$B:$B,0))</f>
        <v>2223.3984479999999</v>
      </c>
      <c r="T153" s="10">
        <f>INDEX([1]ratio_ins!R:R,MATCH('001_population_health_zone_zs'!$B$2,[1]ratio_ins!$B:$B,0))*$G153*INDEX([1]ratio_ins!$C:$C,MATCH('001_population_health_zone_zs'!$B153,[1]ratio_ins!$B:$B,0))</f>
        <v>1574.907234</v>
      </c>
      <c r="U153" s="10">
        <f>INDEX([1]ratio_ins!S:S,MATCH('001_population_health_zone_zs'!$B$2,[1]ratio_ins!$B:$B,0))*$G153*INDEX([1]ratio_ins!$C:$C,MATCH('001_population_health_zone_zs'!$B153,[1]ratio_ins!$B:$B,0))</f>
        <v>1250.6616270000002</v>
      </c>
      <c r="V153" s="10">
        <f>INDEX([1]ratio_ins!T:T,MATCH('001_population_health_zone_zs'!$B$2,[1]ratio_ins!$B:$B,0))*$G153*INDEX([1]ratio_ins!$C:$C,MATCH('001_population_health_zone_zs'!$B153,[1]ratio_ins!$B:$B,0))</f>
        <v>694.81201499999997</v>
      </c>
      <c r="W153" s="11">
        <f>INDEX([1]ratio_ins!U:U,MATCH('001_population_health_zone_zs'!$B$2,[1]ratio_ins!$B:$B,0))*$G153*INDEX([1]ratio_ins!$C:$C,MATCH('001_population_health_zone_zs'!$B153,[1]ratio_ins!$B:$B,0))</f>
        <v>18954.471769200001</v>
      </c>
      <c r="X153" s="10">
        <f>INDEX([1]ratio_ins!V:V,MATCH('001_population_health_zone_zs'!$B$2,[1]ratio_ins!$B:$B,0))*$G153*INDEX([1]ratio_ins!$C:$C,MATCH('001_population_health_zone_zs'!$B153,[1]ratio_ins!$B:$B,0))</f>
        <v>555.84961199999998</v>
      </c>
      <c r="Y153" s="10">
        <f>INDEX([1]ratio_ins!W:W,MATCH('001_population_health_zone_zs'!$B$2,[1]ratio_ins!$B:$B,0))*$G153*INDEX([1]ratio_ins!$C:$C,MATCH('001_population_health_zone_zs'!$B153,[1]ratio_ins!$B:$B,0))</f>
        <v>370.56640800000002</v>
      </c>
      <c r="Z153" s="10">
        <f>INDEX([1]ratio_ins!X:X,MATCH('001_population_health_zone_zs'!$B$2,[1]ratio_ins!$B:$B,0))*$G153*INDEX([1]ratio_ins!$C:$C,MATCH('001_population_health_zone_zs'!$B153,[1]ratio_ins!$B:$B,0))</f>
        <v>185.28320400000001</v>
      </c>
      <c r="AA153" s="10">
        <f>INDEX([1]ratio_ins!Y:Y,MATCH('001_population_health_zone_zs'!$B$2,[1]ratio_ins!$B:$B,0))*$G153*INDEX([1]ratio_ins!$C:$C,MATCH('001_population_health_zone_zs'!$B153,[1]ratio_ins!$B:$B,0))</f>
        <v>92.641602000000006</v>
      </c>
      <c r="AB153" s="11">
        <f>INDEX([1]ratio_ins!Z:Z,MATCH('001_population_health_zone_zs'!$B$2,[1]ratio_ins!$B:$B,0))*$G153*INDEX([1]ratio_ins!$C:$C,MATCH('001_population_health_zone_zs'!$B153,[1]ratio_ins!$B:$B,0))</f>
        <v>1204.3408260000001</v>
      </c>
      <c r="AC153" s="12">
        <f t="shared" si="12"/>
        <v>46320.800999999999</v>
      </c>
      <c r="AD153" s="10">
        <f>INDEX([1]ratio_ins!AA:AA,MATCH('001_population_health_zone_zs'!$B$2,[1]ratio_ins!$B:$B,0))*$G153*INDEX([1]ratio_ins!$D:$D,MATCH('001_population_health_zone_zs'!$B153,[1]ratio_ins!$B:$B,0))</f>
        <v>10003.601789999999</v>
      </c>
      <c r="AE153" s="10">
        <f>INDEX([1]ratio_ins!AB:AB,MATCH('001_population_health_zone_zs'!$B$2,[1]ratio_ins!$B:$B,0))*$G153*INDEX([1]ratio_ins!$D:$D,MATCH('001_population_health_zone_zs'!$B153,[1]ratio_ins!$B:$B,0))</f>
        <v>8241.0624270000008</v>
      </c>
      <c r="AF153" s="10">
        <f>INDEX([1]ratio_ins!AC:AC,MATCH('001_population_health_zone_zs'!$B$2,[1]ratio_ins!$B:$B,0))*$G153*INDEX([1]ratio_ins!$D:$D,MATCH('001_population_health_zone_zs'!$B153,[1]ratio_ins!$B:$B,0))</f>
        <v>6526.1592629999996</v>
      </c>
      <c r="AG153" s="10">
        <f>INDEX([1]ratio_ins!AD:AD,MATCH('001_population_health_zone_zs'!$B$2,[1]ratio_ins!$B:$B,0))*$G153*INDEX([1]ratio_ins!$D:$D,MATCH('001_population_health_zone_zs'!$B153,[1]ratio_ins!$B:$B,0))</f>
        <v>3953.8045170000005</v>
      </c>
      <c r="AH153" s="10">
        <f>INDEX([1]ratio_ins!AE:AE,MATCH('001_population_health_zone_zs'!$B$2,[1]ratio_ins!$B:$B,0))*$G153*INDEX([1]ratio_ins!$D:$D,MATCH('001_population_health_zone_zs'!$B153,[1]ratio_ins!$B:$B,0))</f>
        <v>2372.2827101999997</v>
      </c>
      <c r="AI153" s="13">
        <f>INDEX([1]ratio_ins!AF:AF,MATCH('001_population_health_zone_zs'!$B$2,[1]ratio_ins!$B:$B,0))*$G153*INDEX([1]ratio_ins!$D:$D,MATCH('001_population_health_zone_zs'!$B153,[1]ratio_ins!$B:$B,0))</f>
        <v>27143.1061902</v>
      </c>
      <c r="AJ153" s="10">
        <f>INDEX([1]ratio_ins!AG:AG,MATCH('001_population_health_zone_zs'!$B$2,[1]ratio_ins!$B:$B,0))*$G153*INDEX([1]ratio_ins!$D:$D,MATCH('001_population_health_zone_zs'!$B153,[1]ratio_ins!$B:$B,0))</f>
        <v>1581.5218068000001</v>
      </c>
      <c r="AK153" s="10">
        <f>INDEX([1]ratio_ins!AH:AH,MATCH('001_population_health_zone_zs'!$B$2,[1]ratio_ins!$B:$B,0))*$G153*INDEX([1]ratio_ins!$D:$D,MATCH('001_population_health_zone_zs'!$B153,[1]ratio_ins!$B:$B,0))</f>
        <v>3525.0787260000006</v>
      </c>
      <c r="AL153" s="10">
        <f>INDEX([1]ratio_ins!AI:AI,MATCH('001_population_health_zone_zs'!$B$2,[1]ratio_ins!$B:$B,0))*$G153*INDEX([1]ratio_ins!$D:$D,MATCH('001_population_health_zone_zs'!$B153,[1]ratio_ins!$B:$B,0))</f>
        <v>3334.5339300000005</v>
      </c>
      <c r="AM153" s="10">
        <f>INDEX([1]ratio_ins!AJ:AJ,MATCH('001_population_health_zone_zs'!$B$2,[1]ratio_ins!$B:$B,0))*$G153*INDEX([1]ratio_ins!$D:$D,MATCH('001_population_health_zone_zs'!$B153,[1]ratio_ins!$B:$B,0))</f>
        <v>3048.7167360000003</v>
      </c>
      <c r="AN153" s="10">
        <f>INDEX([1]ratio_ins!AK:AK,MATCH('001_population_health_zone_zs'!$B$2,[1]ratio_ins!$B:$B,0))*$G153*INDEX([1]ratio_ins!$D:$D,MATCH('001_population_health_zone_zs'!$B153,[1]ratio_ins!$B:$B,0))</f>
        <v>2858.1719400000002</v>
      </c>
      <c r="AO153" s="10">
        <f>INDEX([1]ratio_ins!AL:AL,MATCH('001_population_health_zone_zs'!$B$2,[1]ratio_ins!$B:$B,0))*$G153*INDEX([1]ratio_ins!$D:$D,MATCH('001_population_health_zone_zs'!$B153,[1]ratio_ins!$B:$B,0))</f>
        <v>2143.6289549999997</v>
      </c>
      <c r="AP153" s="10">
        <f>INDEX([1]ratio_ins!AM:AM,MATCH('001_population_health_zone_zs'!$B$2,[1]ratio_ins!$B:$B,0))*$G153*INDEX([1]ratio_ins!$D:$D,MATCH('001_population_health_zone_zs'!$B153,[1]ratio_ins!$B:$B,0))</f>
        <v>1381.4497709999998</v>
      </c>
      <c r="AQ153" s="10">
        <f>INDEX([1]ratio_ins!AN:AN,MATCH('001_population_health_zone_zs'!$B$2,[1]ratio_ins!$B:$B,0))*$G153*INDEX([1]ratio_ins!$D:$D,MATCH('001_population_health_zone_zs'!$B153,[1]ratio_ins!$B:$B,0))</f>
        <v>1095.6325770000001</v>
      </c>
      <c r="AR153" s="10">
        <f>INDEX([1]ratio_ins!AO:AO,MATCH('001_population_health_zone_zs'!$B$2,[1]ratio_ins!$B:$B,0))*$G153*INDEX([1]ratio_ins!$D:$D,MATCH('001_population_health_zone_zs'!$B153,[1]ratio_ins!$B:$B,0))</f>
        <v>523.99818900000002</v>
      </c>
      <c r="AS153" s="13">
        <f>INDEX([1]ratio_ins!AP:AP,MATCH('001_population_health_zone_zs'!$B$2,[1]ratio_ins!$B:$B,0))*$G153*INDEX([1]ratio_ins!$D:$D,MATCH('001_population_health_zone_zs'!$B153,[1]ratio_ins!$B:$B,0))</f>
        <v>19492.732630800001</v>
      </c>
      <c r="AT153" s="10">
        <f>INDEX([1]ratio_ins!AQ:AQ,MATCH('001_population_health_zone_zs'!$B$2,[1]ratio_ins!$B:$B,0))*$G153*INDEX([1]ratio_ins!$D:$D,MATCH('001_population_health_zone_zs'!$B153,[1]ratio_ins!$B:$B,0))</f>
        <v>476.36199000000005</v>
      </c>
      <c r="AU153" s="10">
        <f>INDEX([1]ratio_ins!AR:AR,MATCH('001_population_health_zone_zs'!$B$2,[1]ratio_ins!$B:$B,0))*$G153*INDEX([1]ratio_ins!$D:$D,MATCH('001_population_health_zone_zs'!$B153,[1]ratio_ins!$B:$B,0))</f>
        <v>285.81719399999997</v>
      </c>
      <c r="AV153" s="10">
        <f>INDEX([1]ratio_ins!AS:AS,MATCH('001_population_health_zone_zs'!$B$2,[1]ratio_ins!$B:$B,0))*$G153*INDEX([1]ratio_ins!$D:$D,MATCH('001_population_health_zone_zs'!$B153,[1]ratio_ins!$B:$B,0))</f>
        <v>142.90859699999999</v>
      </c>
      <c r="AW153" s="10">
        <f>INDEX([1]ratio_ins!AT:AT,MATCH('001_population_health_zone_zs'!$B$2,[1]ratio_ins!$B:$B,0))*$G153*INDEX([1]ratio_ins!$D:$D,MATCH('001_population_health_zone_zs'!$B153,[1]ratio_ins!$B:$B,0))</f>
        <v>95.27239800000001</v>
      </c>
      <c r="AX153" s="13">
        <f>INDEX([1]ratio_ins!AU:AU,MATCH('001_population_health_zone_zs'!$B$2,[1]ratio_ins!$B:$B,0))*$G153*INDEX([1]ratio_ins!$D:$D,MATCH('001_population_health_zone_zs'!$B153,[1]ratio_ins!$B:$B,0))</f>
        <v>1000.3601789999999</v>
      </c>
      <c r="AY153" s="14">
        <f t="shared" si="13"/>
        <v>47636.199000000001</v>
      </c>
      <c r="AZ153" s="15">
        <f t="shared" si="14"/>
        <v>93957</v>
      </c>
      <c r="BA153" s="16">
        <v>90648.990233689168</v>
      </c>
      <c r="BB153" s="10">
        <f t="shared" si="15"/>
        <v>20245.384575000004</v>
      </c>
      <c r="BC153" s="17">
        <f t="shared" si="16"/>
        <v>0.21547500000000003</v>
      </c>
      <c r="BD153" s="10">
        <f t="shared" si="17"/>
        <v>19315.774016999996</v>
      </c>
    </row>
    <row r="154" spans="1:56" x14ac:dyDescent="0.25">
      <c r="A154" s="8" t="s">
        <v>379</v>
      </c>
      <c r="B154" s="8" t="s">
        <v>380</v>
      </c>
      <c r="C154" s="8" t="s">
        <v>381</v>
      </c>
      <c r="D154" s="8" t="s">
        <v>382</v>
      </c>
      <c r="E154" s="8" t="s">
        <v>381</v>
      </c>
      <c r="F154" s="8" t="s">
        <v>383</v>
      </c>
      <c r="G154" s="9">
        <v>172462</v>
      </c>
      <c r="H154" s="10">
        <f>INDEX([1]ratio_ins!F:F,MATCH('001_population_health_zone_zs'!$B$2,[1]ratio_ins!$B:$B,0))*$G154*INDEX([1]ratio_ins!$C:$C,MATCH('001_population_health_zone_zs'!$B154,[1]ratio_ins!$B:$B,0))</f>
        <v>17769.967094</v>
      </c>
      <c r="I154" s="10">
        <f>INDEX([1]ratio_ins!G:G,MATCH('001_population_health_zone_zs'!$B$2,[1]ratio_ins!$B:$B,0))*$G154*INDEX([1]ratio_ins!$C:$C,MATCH('001_population_health_zone_zs'!$B154,[1]ratio_ins!$B:$B,0))</f>
        <v>14539.063986000001</v>
      </c>
      <c r="J154" s="10">
        <f>INDEX([1]ratio_ins!H:H,MATCH('001_population_health_zone_zs'!$B$2,[1]ratio_ins!$B:$B,0))*$G154*INDEX([1]ratio_ins!$C:$C,MATCH('001_population_health_zone_zs'!$B154,[1]ratio_ins!$B:$B,0))</f>
        <v>11478.208410000001</v>
      </c>
      <c r="K154" s="10">
        <f>INDEX([1]ratio_ins!I:I,MATCH('001_population_health_zone_zs'!$B$2,[1]ratio_ins!$B:$B,0))*$G154*INDEX([1]ratio_ins!$C:$C,MATCH('001_population_health_zone_zs'!$B154,[1]ratio_ins!$B:$B,0))</f>
        <v>7056.9725780000008</v>
      </c>
      <c r="L154" s="10">
        <f>INDEX([1]ratio_ins!J:J,MATCH('001_population_health_zone_zs'!$B$2,[1]ratio_ins!$B:$B,0))*$G154*INDEX([1]ratio_ins!$C:$C,MATCH('001_population_health_zone_zs'!$B154,[1]ratio_ins!$B:$B,0))</f>
        <v>4234.1835467999999</v>
      </c>
      <c r="M154" s="11">
        <f>INDEX([1]ratio_ins!K:K,MATCH('001_population_health_zone_zs'!$B$2,[1]ratio_ins!$B:$B,0))*$G154*INDEX([1]ratio_ins!$C:$C,MATCH('001_population_health_zone_zs'!$B154,[1]ratio_ins!$B:$B,0))</f>
        <v>48021.423036799999</v>
      </c>
      <c r="N154" s="10">
        <f>INDEX([1]ratio_ins!L:L,MATCH('001_population_health_zone_zs'!$B$2,[1]ratio_ins!$B:$B,0))*$G154*INDEX([1]ratio_ins!$C:$C,MATCH('001_population_health_zone_zs'!$B154,[1]ratio_ins!$B:$B,0))</f>
        <v>2822.7890312</v>
      </c>
      <c r="O154" s="10">
        <f>INDEX([1]ratio_ins!M:M,MATCH('001_population_health_zone_zs'!$B$2,[1]ratio_ins!$B:$B,0))*$G154*INDEX([1]ratio_ins!$C:$C,MATCH('001_population_health_zone_zs'!$B154,[1]ratio_ins!$B:$B,0))</f>
        <v>6121.7111520000008</v>
      </c>
      <c r="P154" s="10">
        <f>INDEX([1]ratio_ins!N:N,MATCH('001_population_health_zone_zs'!$B$2,[1]ratio_ins!$B:$B,0))*$G154*INDEX([1]ratio_ins!$C:$C,MATCH('001_population_health_zone_zs'!$B154,[1]ratio_ins!$B:$B,0))</f>
        <v>5526.5447899999999</v>
      </c>
      <c r="Q154" s="10">
        <f>INDEX([1]ratio_ins!O:O,MATCH('001_population_health_zone_zs'!$B$2,[1]ratio_ins!$B:$B,0))*$G154*INDEX([1]ratio_ins!$C:$C,MATCH('001_population_health_zone_zs'!$B154,[1]ratio_ins!$B:$B,0))</f>
        <v>4931.3784279999991</v>
      </c>
      <c r="R154" s="10">
        <f>INDEX([1]ratio_ins!P:P,MATCH('001_population_health_zone_zs'!$B$2,[1]ratio_ins!$B:$B,0))*$G154*INDEX([1]ratio_ins!$C:$C,MATCH('001_population_health_zone_zs'!$B154,[1]ratio_ins!$B:$B,0))</f>
        <v>4846.3546620000006</v>
      </c>
      <c r="S154" s="10">
        <f>INDEX([1]ratio_ins!Q:Q,MATCH('001_population_health_zone_zs'!$B$2,[1]ratio_ins!$B:$B,0))*$G154*INDEX([1]ratio_ins!$C:$C,MATCH('001_population_health_zone_zs'!$B154,[1]ratio_ins!$B:$B,0))</f>
        <v>4081.1407679999998</v>
      </c>
      <c r="T154" s="10">
        <f>INDEX([1]ratio_ins!R:R,MATCH('001_population_health_zone_zs'!$B$2,[1]ratio_ins!$B:$B,0))*$G154*INDEX([1]ratio_ins!$C:$C,MATCH('001_population_health_zone_zs'!$B154,[1]ratio_ins!$B:$B,0))</f>
        <v>2890.8080440000003</v>
      </c>
      <c r="U154" s="10">
        <f>INDEX([1]ratio_ins!S:S,MATCH('001_population_health_zone_zs'!$B$2,[1]ratio_ins!$B:$B,0))*$G154*INDEX([1]ratio_ins!$C:$C,MATCH('001_population_health_zone_zs'!$B154,[1]ratio_ins!$B:$B,0))</f>
        <v>2295.6416819999999</v>
      </c>
      <c r="V154" s="10">
        <f>INDEX([1]ratio_ins!T:T,MATCH('001_population_health_zone_zs'!$B$2,[1]ratio_ins!$B:$B,0))*$G154*INDEX([1]ratio_ins!$C:$C,MATCH('001_population_health_zone_zs'!$B154,[1]ratio_ins!$B:$B,0))</f>
        <v>1275.3564899999999</v>
      </c>
      <c r="W154" s="11">
        <f>INDEX([1]ratio_ins!U:U,MATCH('001_population_health_zone_zs'!$B$2,[1]ratio_ins!$B:$B,0))*$G154*INDEX([1]ratio_ins!$C:$C,MATCH('001_population_health_zone_zs'!$B154,[1]ratio_ins!$B:$B,0))</f>
        <v>34791.725047200001</v>
      </c>
      <c r="X154" s="10">
        <f>INDEX([1]ratio_ins!V:V,MATCH('001_population_health_zone_zs'!$B$2,[1]ratio_ins!$B:$B,0))*$G154*INDEX([1]ratio_ins!$C:$C,MATCH('001_population_health_zone_zs'!$B154,[1]ratio_ins!$B:$B,0))</f>
        <v>1020.2851919999999</v>
      </c>
      <c r="Y154" s="10">
        <f>INDEX([1]ratio_ins!W:W,MATCH('001_population_health_zone_zs'!$B$2,[1]ratio_ins!$B:$B,0))*$G154*INDEX([1]ratio_ins!$C:$C,MATCH('001_population_health_zone_zs'!$B154,[1]ratio_ins!$B:$B,0))</f>
        <v>680.19012800000007</v>
      </c>
      <c r="Z154" s="10">
        <f>INDEX([1]ratio_ins!X:X,MATCH('001_population_health_zone_zs'!$B$2,[1]ratio_ins!$B:$B,0))*$G154*INDEX([1]ratio_ins!$C:$C,MATCH('001_population_health_zone_zs'!$B154,[1]ratio_ins!$B:$B,0))</f>
        <v>340.09506400000004</v>
      </c>
      <c r="AA154" s="10">
        <f>INDEX([1]ratio_ins!Y:Y,MATCH('001_population_health_zone_zs'!$B$2,[1]ratio_ins!$B:$B,0))*$G154*INDEX([1]ratio_ins!$C:$C,MATCH('001_population_health_zone_zs'!$B154,[1]ratio_ins!$B:$B,0))</f>
        <v>170.04753200000002</v>
      </c>
      <c r="AB154" s="11">
        <f>INDEX([1]ratio_ins!Z:Z,MATCH('001_population_health_zone_zs'!$B$2,[1]ratio_ins!$B:$B,0))*$G154*INDEX([1]ratio_ins!$C:$C,MATCH('001_population_health_zone_zs'!$B154,[1]ratio_ins!$B:$B,0))</f>
        <v>2210.6179160000002</v>
      </c>
      <c r="AC154" s="12">
        <f t="shared" si="12"/>
        <v>85023.766000000003</v>
      </c>
      <c r="AD154" s="10">
        <f>INDEX([1]ratio_ins!AA:AA,MATCH('001_population_health_zone_zs'!$B$2,[1]ratio_ins!$B:$B,0))*$G154*INDEX([1]ratio_ins!$D:$D,MATCH('001_population_health_zone_zs'!$B154,[1]ratio_ins!$B:$B,0))</f>
        <v>18362.029139999999</v>
      </c>
      <c r="AE154" s="10">
        <f>INDEX([1]ratio_ins!AB:AB,MATCH('001_population_health_zone_zs'!$B$2,[1]ratio_ins!$B:$B,0))*$G154*INDEX([1]ratio_ins!$D:$D,MATCH('001_population_health_zone_zs'!$B154,[1]ratio_ins!$B:$B,0))</f>
        <v>15126.814482000002</v>
      </c>
      <c r="AF154" s="10">
        <f>INDEX([1]ratio_ins!AC:AC,MATCH('001_population_health_zone_zs'!$B$2,[1]ratio_ins!$B:$B,0))*$G154*INDEX([1]ratio_ins!$D:$D,MATCH('001_population_health_zone_zs'!$B154,[1]ratio_ins!$B:$B,0))</f>
        <v>11979.038057999998</v>
      </c>
      <c r="AG154" s="10">
        <f>INDEX([1]ratio_ins!AD:AD,MATCH('001_population_health_zone_zs'!$B$2,[1]ratio_ins!$B:$B,0))*$G154*INDEX([1]ratio_ins!$D:$D,MATCH('001_population_health_zone_zs'!$B154,[1]ratio_ins!$B:$B,0))</f>
        <v>7257.3734220000006</v>
      </c>
      <c r="AH154" s="10">
        <f>INDEX([1]ratio_ins!AE:AE,MATCH('001_population_health_zone_zs'!$B$2,[1]ratio_ins!$B:$B,0))*$G154*INDEX([1]ratio_ins!$D:$D,MATCH('001_population_health_zone_zs'!$B154,[1]ratio_ins!$B:$B,0))</f>
        <v>4354.4240531999994</v>
      </c>
      <c r="AI154" s="13">
        <f>INDEX([1]ratio_ins!AF:AF,MATCH('001_population_health_zone_zs'!$B$2,[1]ratio_ins!$B:$B,0))*$G154*INDEX([1]ratio_ins!$D:$D,MATCH('001_population_health_zone_zs'!$B154,[1]ratio_ins!$B:$B,0))</f>
        <v>49822.305733199995</v>
      </c>
      <c r="AJ154" s="10">
        <f>INDEX([1]ratio_ins!AG:AG,MATCH('001_population_health_zone_zs'!$B$2,[1]ratio_ins!$B:$B,0))*$G154*INDEX([1]ratio_ins!$D:$D,MATCH('001_population_health_zone_zs'!$B154,[1]ratio_ins!$B:$B,0))</f>
        <v>2902.9493688000002</v>
      </c>
      <c r="AK154" s="10">
        <f>INDEX([1]ratio_ins!AH:AH,MATCH('001_population_health_zone_zs'!$B$2,[1]ratio_ins!$B:$B,0))*$G154*INDEX([1]ratio_ins!$D:$D,MATCH('001_population_health_zone_zs'!$B154,[1]ratio_ins!$B:$B,0))</f>
        <v>6470.4293160000007</v>
      </c>
      <c r="AL154" s="10">
        <f>INDEX([1]ratio_ins!AI:AI,MATCH('001_population_health_zone_zs'!$B$2,[1]ratio_ins!$B:$B,0))*$G154*INDEX([1]ratio_ins!$D:$D,MATCH('001_population_health_zone_zs'!$B154,[1]ratio_ins!$B:$B,0))</f>
        <v>6120.6763800000008</v>
      </c>
      <c r="AM154" s="10">
        <f>INDEX([1]ratio_ins!AJ:AJ,MATCH('001_population_health_zone_zs'!$B$2,[1]ratio_ins!$B:$B,0))*$G154*INDEX([1]ratio_ins!$D:$D,MATCH('001_population_health_zone_zs'!$B154,[1]ratio_ins!$B:$B,0))</f>
        <v>5596.0469760000005</v>
      </c>
      <c r="AN154" s="10">
        <f>INDEX([1]ratio_ins!AK:AK,MATCH('001_population_health_zone_zs'!$B$2,[1]ratio_ins!$B:$B,0))*$G154*INDEX([1]ratio_ins!$D:$D,MATCH('001_population_health_zone_zs'!$B154,[1]ratio_ins!$B:$B,0))</f>
        <v>5246.2940399999998</v>
      </c>
      <c r="AO154" s="10">
        <f>INDEX([1]ratio_ins!AL:AL,MATCH('001_population_health_zone_zs'!$B$2,[1]ratio_ins!$B:$B,0))*$G154*INDEX([1]ratio_ins!$D:$D,MATCH('001_population_health_zone_zs'!$B154,[1]ratio_ins!$B:$B,0))</f>
        <v>3934.7205300000001</v>
      </c>
      <c r="AP154" s="10">
        <f>INDEX([1]ratio_ins!AM:AM,MATCH('001_population_health_zone_zs'!$B$2,[1]ratio_ins!$B:$B,0))*$G154*INDEX([1]ratio_ins!$D:$D,MATCH('001_population_health_zone_zs'!$B154,[1]ratio_ins!$B:$B,0))</f>
        <v>2535.7087859999997</v>
      </c>
      <c r="AQ154" s="10">
        <f>INDEX([1]ratio_ins!AN:AN,MATCH('001_population_health_zone_zs'!$B$2,[1]ratio_ins!$B:$B,0))*$G154*INDEX([1]ratio_ins!$D:$D,MATCH('001_population_health_zone_zs'!$B154,[1]ratio_ins!$B:$B,0))</f>
        <v>2011.0793819999999</v>
      </c>
      <c r="AR154" s="10">
        <f>INDEX([1]ratio_ins!AO:AO,MATCH('001_population_health_zone_zs'!$B$2,[1]ratio_ins!$B:$B,0))*$G154*INDEX([1]ratio_ins!$D:$D,MATCH('001_population_health_zone_zs'!$B154,[1]ratio_ins!$B:$B,0))</f>
        <v>961.82057400000008</v>
      </c>
      <c r="AS154" s="13">
        <f>INDEX([1]ratio_ins!AP:AP,MATCH('001_population_health_zone_zs'!$B$2,[1]ratio_ins!$B:$B,0))*$G154*INDEX([1]ratio_ins!$D:$D,MATCH('001_population_health_zone_zs'!$B154,[1]ratio_ins!$B:$B,0))</f>
        <v>35779.7253528</v>
      </c>
      <c r="AT154" s="10">
        <f>INDEX([1]ratio_ins!AQ:AQ,MATCH('001_population_health_zone_zs'!$B$2,[1]ratio_ins!$B:$B,0))*$G154*INDEX([1]ratio_ins!$D:$D,MATCH('001_population_health_zone_zs'!$B154,[1]ratio_ins!$B:$B,0))</f>
        <v>874.38234000000011</v>
      </c>
      <c r="AU154" s="10">
        <f>INDEX([1]ratio_ins!AR:AR,MATCH('001_population_health_zone_zs'!$B$2,[1]ratio_ins!$B:$B,0))*$G154*INDEX([1]ratio_ins!$D:$D,MATCH('001_population_health_zone_zs'!$B154,[1]ratio_ins!$B:$B,0))</f>
        <v>524.62940400000002</v>
      </c>
      <c r="AV154" s="10">
        <f>INDEX([1]ratio_ins!AS:AS,MATCH('001_population_health_zone_zs'!$B$2,[1]ratio_ins!$B:$B,0))*$G154*INDEX([1]ratio_ins!$D:$D,MATCH('001_population_health_zone_zs'!$B154,[1]ratio_ins!$B:$B,0))</f>
        <v>262.31470200000001</v>
      </c>
      <c r="AW154" s="10">
        <f>INDEX([1]ratio_ins!AT:AT,MATCH('001_population_health_zone_zs'!$B$2,[1]ratio_ins!$B:$B,0))*$G154*INDEX([1]ratio_ins!$D:$D,MATCH('001_population_health_zone_zs'!$B154,[1]ratio_ins!$B:$B,0))</f>
        <v>174.87646800000002</v>
      </c>
      <c r="AX154" s="13">
        <f>INDEX([1]ratio_ins!AU:AU,MATCH('001_population_health_zone_zs'!$B$2,[1]ratio_ins!$B:$B,0))*$G154*INDEX([1]ratio_ins!$D:$D,MATCH('001_population_health_zone_zs'!$B154,[1]ratio_ins!$B:$B,0))</f>
        <v>1836.202914</v>
      </c>
      <c r="AY154" s="14">
        <f t="shared" si="13"/>
        <v>87438.233999999997</v>
      </c>
      <c r="AZ154" s="15">
        <f t="shared" si="14"/>
        <v>172462</v>
      </c>
      <c r="BA154" s="16">
        <v>166168.93609373076</v>
      </c>
      <c r="BB154" s="10">
        <f t="shared" si="15"/>
        <v>37161.24945000001</v>
      </c>
      <c r="BC154" s="17">
        <f t="shared" si="16"/>
        <v>0.21547500000000006</v>
      </c>
      <c r="BD154" s="10">
        <f t="shared" si="17"/>
        <v>35454.910422000001</v>
      </c>
    </row>
    <row r="155" spans="1:56" x14ac:dyDescent="0.25">
      <c r="A155" s="8" t="s">
        <v>379</v>
      </c>
      <c r="B155" s="8" t="s">
        <v>380</v>
      </c>
      <c r="C155" s="8" t="s">
        <v>384</v>
      </c>
      <c r="D155" s="8" t="s">
        <v>385</v>
      </c>
      <c r="E155" s="8" t="s">
        <v>386</v>
      </c>
      <c r="F155" s="8" t="s">
        <v>387</v>
      </c>
      <c r="G155" s="9">
        <v>133666</v>
      </c>
      <c r="H155" s="10">
        <f>INDEX([1]ratio_ins!F:F,MATCH('001_population_health_zone_zs'!$B$2,[1]ratio_ins!$B:$B,0))*$G155*INDEX([1]ratio_ins!$C:$C,MATCH('001_population_health_zone_zs'!$B155,[1]ratio_ins!$B:$B,0))</f>
        <v>13772.543641999999</v>
      </c>
      <c r="I155" s="10">
        <f>INDEX([1]ratio_ins!G:G,MATCH('001_population_health_zone_zs'!$B$2,[1]ratio_ins!$B:$B,0))*$G155*INDEX([1]ratio_ins!$C:$C,MATCH('001_population_health_zone_zs'!$B155,[1]ratio_ins!$B:$B,0))</f>
        <v>11268.444798</v>
      </c>
      <c r="J155" s="10">
        <f>INDEX([1]ratio_ins!H:H,MATCH('001_population_health_zone_zs'!$B$2,[1]ratio_ins!$B:$B,0))*$G155*INDEX([1]ratio_ins!$C:$C,MATCH('001_population_health_zone_zs'!$B155,[1]ratio_ins!$B:$B,0))</f>
        <v>8896.1406299999999</v>
      </c>
      <c r="K155" s="10">
        <f>INDEX([1]ratio_ins!I:I,MATCH('001_population_health_zone_zs'!$B$2,[1]ratio_ins!$B:$B,0))*$G155*INDEX([1]ratio_ins!$C:$C,MATCH('001_population_health_zone_zs'!$B155,[1]ratio_ins!$B:$B,0))</f>
        <v>5469.4790540000004</v>
      </c>
      <c r="L155" s="10">
        <f>INDEX([1]ratio_ins!J:J,MATCH('001_population_health_zone_zs'!$B$2,[1]ratio_ins!$B:$B,0))*$G155*INDEX([1]ratio_ins!$C:$C,MATCH('001_population_health_zone_zs'!$B155,[1]ratio_ins!$B:$B,0))</f>
        <v>3281.6874323999996</v>
      </c>
      <c r="M155" s="11">
        <f>INDEX([1]ratio_ins!K:K,MATCH('001_population_health_zone_zs'!$B$2,[1]ratio_ins!$B:$B,0))*$G155*INDEX([1]ratio_ins!$C:$C,MATCH('001_population_health_zone_zs'!$B155,[1]ratio_ins!$B:$B,0))</f>
        <v>37218.816502399997</v>
      </c>
      <c r="N155" s="10">
        <f>INDEX([1]ratio_ins!L:L,MATCH('001_population_health_zone_zs'!$B$2,[1]ratio_ins!$B:$B,0))*$G155*INDEX([1]ratio_ins!$C:$C,MATCH('001_population_health_zone_zs'!$B155,[1]ratio_ins!$B:$B,0))</f>
        <v>2187.7916215999999</v>
      </c>
      <c r="O155" s="10">
        <f>INDEX([1]ratio_ins!M:M,MATCH('001_population_health_zone_zs'!$B$2,[1]ratio_ins!$B:$B,0))*$G155*INDEX([1]ratio_ins!$C:$C,MATCH('001_population_health_zone_zs'!$B155,[1]ratio_ins!$B:$B,0))</f>
        <v>4744.6083360000002</v>
      </c>
      <c r="P155" s="10">
        <f>INDEX([1]ratio_ins!N:N,MATCH('001_population_health_zone_zs'!$B$2,[1]ratio_ins!$B:$B,0))*$G155*INDEX([1]ratio_ins!$C:$C,MATCH('001_population_health_zone_zs'!$B155,[1]ratio_ins!$B:$B,0))</f>
        <v>4283.3269700000001</v>
      </c>
      <c r="Q155" s="10">
        <f>INDEX([1]ratio_ins!O:O,MATCH('001_population_health_zone_zs'!$B$2,[1]ratio_ins!$B:$B,0))*$G155*INDEX([1]ratio_ins!$C:$C,MATCH('001_population_health_zone_zs'!$B155,[1]ratio_ins!$B:$B,0))</f>
        <v>3822.0456039999999</v>
      </c>
      <c r="R155" s="10">
        <f>INDEX([1]ratio_ins!P:P,MATCH('001_population_health_zone_zs'!$B$2,[1]ratio_ins!$B:$B,0))*$G155*INDEX([1]ratio_ins!$C:$C,MATCH('001_population_health_zone_zs'!$B155,[1]ratio_ins!$B:$B,0))</f>
        <v>3756.1482660000001</v>
      </c>
      <c r="S155" s="10">
        <f>INDEX([1]ratio_ins!Q:Q,MATCH('001_population_health_zone_zs'!$B$2,[1]ratio_ins!$B:$B,0))*$G155*INDEX([1]ratio_ins!$C:$C,MATCH('001_population_health_zone_zs'!$B155,[1]ratio_ins!$B:$B,0))</f>
        <v>3163.072224</v>
      </c>
      <c r="T155" s="10">
        <f>INDEX([1]ratio_ins!R:R,MATCH('001_population_health_zone_zs'!$B$2,[1]ratio_ins!$B:$B,0))*$G155*INDEX([1]ratio_ins!$C:$C,MATCH('001_population_health_zone_zs'!$B155,[1]ratio_ins!$B:$B,0))</f>
        <v>2240.5094920000001</v>
      </c>
      <c r="U155" s="10">
        <f>INDEX([1]ratio_ins!S:S,MATCH('001_population_health_zone_zs'!$B$2,[1]ratio_ins!$B:$B,0))*$G155*INDEX([1]ratio_ins!$C:$C,MATCH('001_population_health_zone_zs'!$B155,[1]ratio_ins!$B:$B,0))</f>
        <v>1779.2281260000002</v>
      </c>
      <c r="V155" s="10">
        <f>INDEX([1]ratio_ins!T:T,MATCH('001_population_health_zone_zs'!$B$2,[1]ratio_ins!$B:$B,0))*$G155*INDEX([1]ratio_ins!$C:$C,MATCH('001_population_health_zone_zs'!$B155,[1]ratio_ins!$B:$B,0))</f>
        <v>988.46006999999997</v>
      </c>
      <c r="W155" s="11">
        <f>INDEX([1]ratio_ins!U:U,MATCH('001_population_health_zone_zs'!$B$2,[1]ratio_ins!$B:$B,0))*$G155*INDEX([1]ratio_ins!$C:$C,MATCH('001_population_health_zone_zs'!$B155,[1]ratio_ins!$B:$B,0))</f>
        <v>26965.1907096</v>
      </c>
      <c r="X155" s="10">
        <f>INDEX([1]ratio_ins!V:V,MATCH('001_population_health_zone_zs'!$B$2,[1]ratio_ins!$B:$B,0))*$G155*INDEX([1]ratio_ins!$C:$C,MATCH('001_population_health_zone_zs'!$B155,[1]ratio_ins!$B:$B,0))</f>
        <v>790.768056</v>
      </c>
      <c r="Y155" s="10">
        <f>INDEX([1]ratio_ins!W:W,MATCH('001_population_health_zone_zs'!$B$2,[1]ratio_ins!$B:$B,0))*$G155*INDEX([1]ratio_ins!$C:$C,MATCH('001_population_health_zone_zs'!$B155,[1]ratio_ins!$B:$B,0))</f>
        <v>527.17870399999993</v>
      </c>
      <c r="Z155" s="10">
        <f>INDEX([1]ratio_ins!X:X,MATCH('001_population_health_zone_zs'!$B$2,[1]ratio_ins!$B:$B,0))*$G155*INDEX([1]ratio_ins!$C:$C,MATCH('001_population_health_zone_zs'!$B155,[1]ratio_ins!$B:$B,0))</f>
        <v>263.58935199999996</v>
      </c>
      <c r="AA155" s="10">
        <f>INDEX([1]ratio_ins!Y:Y,MATCH('001_population_health_zone_zs'!$B$2,[1]ratio_ins!$B:$B,0))*$G155*INDEX([1]ratio_ins!$C:$C,MATCH('001_population_health_zone_zs'!$B155,[1]ratio_ins!$B:$B,0))</f>
        <v>131.79467599999998</v>
      </c>
      <c r="AB155" s="11">
        <f>INDEX([1]ratio_ins!Z:Z,MATCH('001_population_health_zone_zs'!$B$2,[1]ratio_ins!$B:$B,0))*$G155*INDEX([1]ratio_ins!$C:$C,MATCH('001_population_health_zone_zs'!$B155,[1]ratio_ins!$B:$B,0))</f>
        <v>1713.3307880000002</v>
      </c>
      <c r="AC155" s="12">
        <f t="shared" si="12"/>
        <v>65897.338000000003</v>
      </c>
      <c r="AD155" s="10">
        <f>INDEX([1]ratio_ins!AA:AA,MATCH('001_population_health_zone_zs'!$B$2,[1]ratio_ins!$B:$B,0))*$G155*INDEX([1]ratio_ins!$D:$D,MATCH('001_population_health_zone_zs'!$B155,[1]ratio_ins!$B:$B,0))</f>
        <v>14231.419020000001</v>
      </c>
      <c r="AE155" s="10">
        <f>INDEX([1]ratio_ins!AB:AB,MATCH('001_population_health_zone_zs'!$B$2,[1]ratio_ins!$B:$B,0))*$G155*INDEX([1]ratio_ins!$D:$D,MATCH('001_population_health_zone_zs'!$B155,[1]ratio_ins!$B:$B,0))</f>
        <v>11723.978526000001</v>
      </c>
      <c r="AF155" s="10">
        <f>INDEX([1]ratio_ins!AC:AC,MATCH('001_population_health_zone_zs'!$B$2,[1]ratio_ins!$B:$B,0))*$G155*INDEX([1]ratio_ins!$D:$D,MATCH('001_population_health_zone_zs'!$B155,[1]ratio_ins!$B:$B,0))</f>
        <v>9284.306693999999</v>
      </c>
      <c r="AG155" s="10">
        <f>INDEX([1]ratio_ins!AD:AD,MATCH('001_population_health_zone_zs'!$B$2,[1]ratio_ins!$B:$B,0))*$G155*INDEX([1]ratio_ins!$D:$D,MATCH('001_population_health_zone_zs'!$B155,[1]ratio_ins!$B:$B,0))</f>
        <v>5624.7989459999999</v>
      </c>
      <c r="AH155" s="10">
        <f>INDEX([1]ratio_ins!AE:AE,MATCH('001_population_health_zone_zs'!$B$2,[1]ratio_ins!$B:$B,0))*$G155*INDEX([1]ratio_ins!$D:$D,MATCH('001_population_health_zone_zs'!$B155,[1]ratio_ins!$B:$B,0))</f>
        <v>3374.8793676</v>
      </c>
      <c r="AI155" s="13">
        <f>INDEX([1]ratio_ins!AF:AF,MATCH('001_population_health_zone_zs'!$B$2,[1]ratio_ins!$B:$B,0))*$G155*INDEX([1]ratio_ins!$D:$D,MATCH('001_population_health_zone_zs'!$B155,[1]ratio_ins!$B:$B,0))</f>
        <v>38614.583607599998</v>
      </c>
      <c r="AJ155" s="10">
        <f>INDEX([1]ratio_ins!AG:AG,MATCH('001_population_health_zone_zs'!$B$2,[1]ratio_ins!$B:$B,0))*$G155*INDEX([1]ratio_ins!$D:$D,MATCH('001_population_health_zone_zs'!$B155,[1]ratio_ins!$B:$B,0))</f>
        <v>2249.9195783999999</v>
      </c>
      <c r="AK155" s="10">
        <f>INDEX([1]ratio_ins!AH:AH,MATCH('001_population_health_zone_zs'!$B$2,[1]ratio_ins!$B:$B,0))*$G155*INDEX([1]ratio_ins!$D:$D,MATCH('001_population_health_zone_zs'!$B155,[1]ratio_ins!$B:$B,0))</f>
        <v>5014.8809880000008</v>
      </c>
      <c r="AL155" s="10">
        <f>INDEX([1]ratio_ins!AI:AI,MATCH('001_population_health_zone_zs'!$B$2,[1]ratio_ins!$B:$B,0))*$G155*INDEX([1]ratio_ins!$D:$D,MATCH('001_population_health_zone_zs'!$B155,[1]ratio_ins!$B:$B,0))</f>
        <v>4743.8063400000001</v>
      </c>
      <c r="AM155" s="10">
        <f>INDEX([1]ratio_ins!AJ:AJ,MATCH('001_population_health_zone_zs'!$B$2,[1]ratio_ins!$B:$B,0))*$G155*INDEX([1]ratio_ins!$D:$D,MATCH('001_population_health_zone_zs'!$B155,[1]ratio_ins!$B:$B,0))</f>
        <v>4337.1943680000004</v>
      </c>
      <c r="AN155" s="10">
        <f>INDEX([1]ratio_ins!AK:AK,MATCH('001_population_health_zone_zs'!$B$2,[1]ratio_ins!$B:$B,0))*$G155*INDEX([1]ratio_ins!$D:$D,MATCH('001_population_health_zone_zs'!$B155,[1]ratio_ins!$B:$B,0))</f>
        <v>4066.1197200000001</v>
      </c>
      <c r="AO155" s="10">
        <f>INDEX([1]ratio_ins!AL:AL,MATCH('001_population_health_zone_zs'!$B$2,[1]ratio_ins!$B:$B,0))*$G155*INDEX([1]ratio_ins!$D:$D,MATCH('001_population_health_zone_zs'!$B155,[1]ratio_ins!$B:$B,0))</f>
        <v>3049.5897899999995</v>
      </c>
      <c r="AP155" s="10">
        <f>INDEX([1]ratio_ins!AM:AM,MATCH('001_population_health_zone_zs'!$B$2,[1]ratio_ins!$B:$B,0))*$G155*INDEX([1]ratio_ins!$D:$D,MATCH('001_population_health_zone_zs'!$B155,[1]ratio_ins!$B:$B,0))</f>
        <v>1965.2911979999999</v>
      </c>
      <c r="AQ155" s="10">
        <f>INDEX([1]ratio_ins!AN:AN,MATCH('001_population_health_zone_zs'!$B$2,[1]ratio_ins!$B:$B,0))*$G155*INDEX([1]ratio_ins!$D:$D,MATCH('001_population_health_zone_zs'!$B155,[1]ratio_ins!$B:$B,0))</f>
        <v>1558.679226</v>
      </c>
      <c r="AR155" s="10">
        <f>INDEX([1]ratio_ins!AO:AO,MATCH('001_population_health_zone_zs'!$B$2,[1]ratio_ins!$B:$B,0))*$G155*INDEX([1]ratio_ins!$D:$D,MATCH('001_population_health_zone_zs'!$B155,[1]ratio_ins!$B:$B,0))</f>
        <v>745.45528200000012</v>
      </c>
      <c r="AS155" s="13">
        <f>INDEX([1]ratio_ins!AP:AP,MATCH('001_population_health_zone_zs'!$B$2,[1]ratio_ins!$B:$B,0))*$G155*INDEX([1]ratio_ins!$D:$D,MATCH('001_population_health_zone_zs'!$B155,[1]ratio_ins!$B:$B,0))</f>
        <v>27730.936490400003</v>
      </c>
      <c r="AT155" s="10">
        <f>INDEX([1]ratio_ins!AQ:AQ,MATCH('001_population_health_zone_zs'!$B$2,[1]ratio_ins!$B:$B,0))*$G155*INDEX([1]ratio_ins!$D:$D,MATCH('001_population_health_zone_zs'!$B155,[1]ratio_ins!$B:$B,0))</f>
        <v>677.68662000000006</v>
      </c>
      <c r="AU155" s="10">
        <f>INDEX([1]ratio_ins!AR:AR,MATCH('001_population_health_zone_zs'!$B$2,[1]ratio_ins!$B:$B,0))*$G155*INDEX([1]ratio_ins!$D:$D,MATCH('001_population_health_zone_zs'!$B155,[1]ratio_ins!$B:$B,0))</f>
        <v>406.61197199999998</v>
      </c>
      <c r="AV155" s="10">
        <f>INDEX([1]ratio_ins!AS:AS,MATCH('001_population_health_zone_zs'!$B$2,[1]ratio_ins!$B:$B,0))*$G155*INDEX([1]ratio_ins!$D:$D,MATCH('001_population_health_zone_zs'!$B155,[1]ratio_ins!$B:$B,0))</f>
        <v>203.30598599999999</v>
      </c>
      <c r="AW155" s="10">
        <f>INDEX([1]ratio_ins!AT:AT,MATCH('001_population_health_zone_zs'!$B$2,[1]ratio_ins!$B:$B,0))*$G155*INDEX([1]ratio_ins!$D:$D,MATCH('001_population_health_zone_zs'!$B155,[1]ratio_ins!$B:$B,0))</f>
        <v>135.53732400000001</v>
      </c>
      <c r="AX155" s="13">
        <f>INDEX([1]ratio_ins!AU:AU,MATCH('001_population_health_zone_zs'!$B$2,[1]ratio_ins!$B:$B,0))*$G155*INDEX([1]ratio_ins!$D:$D,MATCH('001_population_health_zone_zs'!$B155,[1]ratio_ins!$B:$B,0))</f>
        <v>1423.1419019999998</v>
      </c>
      <c r="AY155" s="14">
        <f t="shared" si="13"/>
        <v>67768.662000000011</v>
      </c>
      <c r="AZ155" s="15">
        <f t="shared" si="14"/>
        <v>133666</v>
      </c>
      <c r="BA155" s="16">
        <v>128788.05640298316</v>
      </c>
      <c r="BB155" s="10">
        <f t="shared" si="15"/>
        <v>28801.681349999995</v>
      </c>
      <c r="BC155" s="17">
        <f t="shared" si="16"/>
        <v>0.21547499999999997</v>
      </c>
      <c r="BD155" s="10">
        <f t="shared" si="17"/>
        <v>27479.189946000002</v>
      </c>
    </row>
    <row r="156" spans="1:56" x14ac:dyDescent="0.25">
      <c r="A156" s="8" t="s">
        <v>379</v>
      </c>
      <c r="B156" s="8" t="s">
        <v>380</v>
      </c>
      <c r="C156" s="8" t="s">
        <v>388</v>
      </c>
      <c r="D156" s="8" t="s">
        <v>389</v>
      </c>
      <c r="E156" s="8" t="s">
        <v>390</v>
      </c>
      <c r="F156" s="8" t="s">
        <v>391</v>
      </c>
      <c r="G156" s="9">
        <v>90620</v>
      </c>
      <c r="H156" s="10">
        <f>INDEX([1]ratio_ins!F:F,MATCH('001_population_health_zone_zs'!$B$2,[1]ratio_ins!$B:$B,0))*$G156*INDEX([1]ratio_ins!$C:$C,MATCH('001_population_health_zone_zs'!$B156,[1]ratio_ins!$B:$B,0))</f>
        <v>9337.2129399999994</v>
      </c>
      <c r="I156" s="10">
        <f>INDEX([1]ratio_ins!G:G,MATCH('001_population_health_zone_zs'!$B$2,[1]ratio_ins!$B:$B,0))*$G156*INDEX([1]ratio_ins!$C:$C,MATCH('001_population_health_zone_zs'!$B156,[1]ratio_ins!$B:$B,0))</f>
        <v>7639.5378600000004</v>
      </c>
      <c r="J156" s="10">
        <f>INDEX([1]ratio_ins!H:H,MATCH('001_population_health_zone_zs'!$B$2,[1]ratio_ins!$B:$B,0))*$G156*INDEX([1]ratio_ins!$C:$C,MATCH('001_population_health_zone_zs'!$B156,[1]ratio_ins!$B:$B,0))</f>
        <v>6031.2141000000001</v>
      </c>
      <c r="K156" s="10">
        <f>INDEX([1]ratio_ins!I:I,MATCH('001_population_health_zone_zs'!$B$2,[1]ratio_ins!$B:$B,0))*$G156*INDEX([1]ratio_ins!$C:$C,MATCH('001_population_health_zone_zs'!$B156,[1]ratio_ins!$B:$B,0))</f>
        <v>3708.07978</v>
      </c>
      <c r="L156" s="10">
        <f>INDEX([1]ratio_ins!J:J,MATCH('001_population_health_zone_zs'!$B$2,[1]ratio_ins!$B:$B,0))*$G156*INDEX([1]ratio_ins!$C:$C,MATCH('001_population_health_zone_zs'!$B156,[1]ratio_ins!$B:$B,0))</f>
        <v>2224.8478679999998</v>
      </c>
      <c r="M156" s="11">
        <f>INDEX([1]ratio_ins!K:K,MATCH('001_population_health_zone_zs'!$B$2,[1]ratio_ins!$B:$B,0))*$G156*INDEX([1]ratio_ins!$C:$C,MATCH('001_population_health_zone_zs'!$B156,[1]ratio_ins!$B:$B,0))</f>
        <v>25232.812768</v>
      </c>
      <c r="N156" s="10">
        <f>INDEX([1]ratio_ins!L:L,MATCH('001_population_health_zone_zs'!$B$2,[1]ratio_ins!$B:$B,0))*$G156*INDEX([1]ratio_ins!$C:$C,MATCH('001_population_health_zone_zs'!$B156,[1]ratio_ins!$B:$B,0))</f>
        <v>1483.231912</v>
      </c>
      <c r="O156" s="10">
        <f>INDEX([1]ratio_ins!M:M,MATCH('001_population_health_zone_zs'!$B$2,[1]ratio_ins!$B:$B,0))*$G156*INDEX([1]ratio_ins!$C:$C,MATCH('001_population_health_zone_zs'!$B156,[1]ratio_ins!$B:$B,0))</f>
        <v>3216.64752</v>
      </c>
      <c r="P156" s="10">
        <f>INDEX([1]ratio_ins!N:N,MATCH('001_population_health_zone_zs'!$B$2,[1]ratio_ins!$B:$B,0))*$G156*INDEX([1]ratio_ins!$C:$C,MATCH('001_population_health_zone_zs'!$B156,[1]ratio_ins!$B:$B,0))</f>
        <v>2903.9178999999999</v>
      </c>
      <c r="Q156" s="10">
        <f>INDEX([1]ratio_ins!O:O,MATCH('001_population_health_zone_zs'!$B$2,[1]ratio_ins!$B:$B,0))*$G156*INDEX([1]ratio_ins!$C:$C,MATCH('001_population_health_zone_zs'!$B156,[1]ratio_ins!$B:$B,0))</f>
        <v>2591.1882799999998</v>
      </c>
      <c r="R156" s="10">
        <f>INDEX([1]ratio_ins!P:P,MATCH('001_population_health_zone_zs'!$B$2,[1]ratio_ins!$B:$B,0))*$G156*INDEX([1]ratio_ins!$C:$C,MATCH('001_population_health_zone_zs'!$B156,[1]ratio_ins!$B:$B,0))</f>
        <v>2546.51262</v>
      </c>
      <c r="S156" s="10">
        <f>INDEX([1]ratio_ins!Q:Q,MATCH('001_population_health_zone_zs'!$B$2,[1]ratio_ins!$B:$B,0))*$G156*INDEX([1]ratio_ins!$C:$C,MATCH('001_population_health_zone_zs'!$B156,[1]ratio_ins!$B:$B,0))</f>
        <v>2144.4316800000001</v>
      </c>
      <c r="T156" s="10">
        <f>INDEX([1]ratio_ins!R:R,MATCH('001_population_health_zone_zs'!$B$2,[1]ratio_ins!$B:$B,0))*$G156*INDEX([1]ratio_ins!$C:$C,MATCH('001_population_health_zone_zs'!$B156,[1]ratio_ins!$B:$B,0))</f>
        <v>1518.9724400000002</v>
      </c>
      <c r="U156" s="10">
        <f>INDEX([1]ratio_ins!S:S,MATCH('001_population_health_zone_zs'!$B$2,[1]ratio_ins!$B:$B,0))*$G156*INDEX([1]ratio_ins!$C:$C,MATCH('001_population_health_zone_zs'!$B156,[1]ratio_ins!$B:$B,0))</f>
        <v>1206.2428200000002</v>
      </c>
      <c r="V156" s="10">
        <f>INDEX([1]ratio_ins!T:T,MATCH('001_population_health_zone_zs'!$B$2,[1]ratio_ins!$B:$B,0))*$G156*INDEX([1]ratio_ins!$C:$C,MATCH('001_population_health_zone_zs'!$B156,[1]ratio_ins!$B:$B,0))</f>
        <v>670.13490000000002</v>
      </c>
      <c r="W156" s="11">
        <f>INDEX([1]ratio_ins!U:U,MATCH('001_population_health_zone_zs'!$B$2,[1]ratio_ins!$B:$B,0))*$G156*INDEX([1]ratio_ins!$C:$C,MATCH('001_population_health_zone_zs'!$B156,[1]ratio_ins!$B:$B,0))</f>
        <v>18281.280071999998</v>
      </c>
      <c r="X156" s="10">
        <f>INDEX([1]ratio_ins!V:V,MATCH('001_population_health_zone_zs'!$B$2,[1]ratio_ins!$B:$B,0))*$G156*INDEX([1]ratio_ins!$C:$C,MATCH('001_population_health_zone_zs'!$B156,[1]ratio_ins!$B:$B,0))</f>
        <v>536.10792000000004</v>
      </c>
      <c r="Y156" s="10">
        <f>INDEX([1]ratio_ins!W:W,MATCH('001_population_health_zone_zs'!$B$2,[1]ratio_ins!$B:$B,0))*$G156*INDEX([1]ratio_ins!$C:$C,MATCH('001_population_health_zone_zs'!$B156,[1]ratio_ins!$B:$B,0))</f>
        <v>357.40528</v>
      </c>
      <c r="Z156" s="10">
        <f>INDEX([1]ratio_ins!X:X,MATCH('001_population_health_zone_zs'!$B$2,[1]ratio_ins!$B:$B,0))*$G156*INDEX([1]ratio_ins!$C:$C,MATCH('001_population_health_zone_zs'!$B156,[1]ratio_ins!$B:$B,0))</f>
        <v>178.70264</v>
      </c>
      <c r="AA156" s="10">
        <f>INDEX([1]ratio_ins!Y:Y,MATCH('001_population_health_zone_zs'!$B$2,[1]ratio_ins!$B:$B,0))*$G156*INDEX([1]ratio_ins!$C:$C,MATCH('001_population_health_zone_zs'!$B156,[1]ratio_ins!$B:$B,0))</f>
        <v>89.351320000000001</v>
      </c>
      <c r="AB156" s="11">
        <f>INDEX([1]ratio_ins!Z:Z,MATCH('001_population_health_zone_zs'!$B$2,[1]ratio_ins!$B:$B,0))*$G156*INDEX([1]ratio_ins!$C:$C,MATCH('001_population_health_zone_zs'!$B156,[1]ratio_ins!$B:$B,0))</f>
        <v>1161.5671600000001</v>
      </c>
      <c r="AC156" s="12">
        <f t="shared" si="12"/>
        <v>44675.659999999996</v>
      </c>
      <c r="AD156" s="10">
        <f>INDEX([1]ratio_ins!AA:AA,MATCH('001_population_health_zone_zs'!$B$2,[1]ratio_ins!$B:$B,0))*$G156*INDEX([1]ratio_ins!$D:$D,MATCH('001_population_health_zone_zs'!$B156,[1]ratio_ins!$B:$B,0))</f>
        <v>9648.3114000000005</v>
      </c>
      <c r="AE156" s="10">
        <f>INDEX([1]ratio_ins!AB:AB,MATCH('001_population_health_zone_zs'!$B$2,[1]ratio_ins!$B:$B,0))*$G156*INDEX([1]ratio_ins!$D:$D,MATCH('001_population_health_zone_zs'!$B156,[1]ratio_ins!$B:$B,0))</f>
        <v>7948.370820000001</v>
      </c>
      <c r="AF156" s="10">
        <f>INDEX([1]ratio_ins!AC:AC,MATCH('001_population_health_zone_zs'!$B$2,[1]ratio_ins!$B:$B,0))*$G156*INDEX([1]ratio_ins!$D:$D,MATCH('001_population_health_zone_zs'!$B156,[1]ratio_ins!$B:$B,0))</f>
        <v>6294.3745799999997</v>
      </c>
      <c r="AG156" s="10">
        <f>INDEX([1]ratio_ins!AD:AD,MATCH('001_population_health_zone_zs'!$B$2,[1]ratio_ins!$B:$B,0))*$G156*INDEX([1]ratio_ins!$D:$D,MATCH('001_population_health_zone_zs'!$B156,[1]ratio_ins!$B:$B,0))</f>
        <v>3813.38022</v>
      </c>
      <c r="AH156" s="10">
        <f>INDEX([1]ratio_ins!AE:AE,MATCH('001_population_health_zone_zs'!$B$2,[1]ratio_ins!$B:$B,0))*$G156*INDEX([1]ratio_ins!$D:$D,MATCH('001_population_health_zone_zs'!$B156,[1]ratio_ins!$B:$B,0))</f>
        <v>2288.0281319999995</v>
      </c>
      <c r="AI156" s="13">
        <f>INDEX([1]ratio_ins!AF:AF,MATCH('001_population_health_zone_zs'!$B$2,[1]ratio_ins!$B:$B,0))*$G156*INDEX([1]ratio_ins!$D:$D,MATCH('001_population_health_zone_zs'!$B156,[1]ratio_ins!$B:$B,0))</f>
        <v>26179.084931999998</v>
      </c>
      <c r="AJ156" s="10">
        <f>INDEX([1]ratio_ins!AG:AG,MATCH('001_population_health_zone_zs'!$B$2,[1]ratio_ins!$B:$B,0))*$G156*INDEX([1]ratio_ins!$D:$D,MATCH('001_population_health_zone_zs'!$B156,[1]ratio_ins!$B:$B,0))</f>
        <v>1525.3520879999999</v>
      </c>
      <c r="AK156" s="10">
        <f>INDEX([1]ratio_ins!AH:AH,MATCH('001_population_health_zone_zs'!$B$2,[1]ratio_ins!$B:$B,0))*$G156*INDEX([1]ratio_ins!$D:$D,MATCH('001_population_health_zone_zs'!$B156,[1]ratio_ins!$B:$B,0))</f>
        <v>3399.8811600000004</v>
      </c>
      <c r="AL156" s="10">
        <f>INDEX([1]ratio_ins!AI:AI,MATCH('001_population_health_zone_zs'!$B$2,[1]ratio_ins!$B:$B,0))*$G156*INDEX([1]ratio_ins!$D:$D,MATCH('001_population_health_zone_zs'!$B156,[1]ratio_ins!$B:$B,0))</f>
        <v>3216.1038000000003</v>
      </c>
      <c r="AM156" s="10">
        <f>INDEX([1]ratio_ins!AJ:AJ,MATCH('001_population_health_zone_zs'!$B$2,[1]ratio_ins!$B:$B,0))*$G156*INDEX([1]ratio_ins!$D:$D,MATCH('001_population_health_zone_zs'!$B156,[1]ratio_ins!$B:$B,0))</f>
        <v>2940.4377600000003</v>
      </c>
      <c r="AN156" s="10">
        <f>INDEX([1]ratio_ins!AK:AK,MATCH('001_population_health_zone_zs'!$B$2,[1]ratio_ins!$B:$B,0))*$G156*INDEX([1]ratio_ins!$D:$D,MATCH('001_population_health_zone_zs'!$B156,[1]ratio_ins!$B:$B,0))</f>
        <v>2756.6603999999998</v>
      </c>
      <c r="AO156" s="10">
        <f>INDEX([1]ratio_ins!AL:AL,MATCH('001_population_health_zone_zs'!$B$2,[1]ratio_ins!$B:$B,0))*$G156*INDEX([1]ratio_ins!$D:$D,MATCH('001_population_health_zone_zs'!$B156,[1]ratio_ins!$B:$B,0))</f>
        <v>2067.4953</v>
      </c>
      <c r="AP156" s="10">
        <f>INDEX([1]ratio_ins!AM:AM,MATCH('001_population_health_zone_zs'!$B$2,[1]ratio_ins!$B:$B,0))*$G156*INDEX([1]ratio_ins!$D:$D,MATCH('001_population_health_zone_zs'!$B156,[1]ratio_ins!$B:$B,0))</f>
        <v>1332.3858600000001</v>
      </c>
      <c r="AQ156" s="10">
        <f>INDEX([1]ratio_ins!AN:AN,MATCH('001_population_health_zone_zs'!$B$2,[1]ratio_ins!$B:$B,0))*$G156*INDEX([1]ratio_ins!$D:$D,MATCH('001_population_health_zone_zs'!$B156,[1]ratio_ins!$B:$B,0))</f>
        <v>1056.7198199999998</v>
      </c>
      <c r="AR156" s="10">
        <f>INDEX([1]ratio_ins!AO:AO,MATCH('001_population_health_zone_zs'!$B$2,[1]ratio_ins!$B:$B,0))*$G156*INDEX([1]ratio_ins!$D:$D,MATCH('001_population_health_zone_zs'!$B156,[1]ratio_ins!$B:$B,0))</f>
        <v>505.38774000000001</v>
      </c>
      <c r="AS156" s="13">
        <f>INDEX([1]ratio_ins!AP:AP,MATCH('001_population_health_zone_zs'!$B$2,[1]ratio_ins!$B:$B,0))*$G156*INDEX([1]ratio_ins!$D:$D,MATCH('001_population_health_zone_zs'!$B156,[1]ratio_ins!$B:$B,0))</f>
        <v>18800.423928</v>
      </c>
      <c r="AT156" s="10">
        <f>INDEX([1]ratio_ins!AQ:AQ,MATCH('001_population_health_zone_zs'!$B$2,[1]ratio_ins!$B:$B,0))*$G156*INDEX([1]ratio_ins!$D:$D,MATCH('001_population_health_zone_zs'!$B156,[1]ratio_ins!$B:$B,0))</f>
        <v>459.44340000000005</v>
      </c>
      <c r="AU156" s="10">
        <f>INDEX([1]ratio_ins!AR:AR,MATCH('001_population_health_zone_zs'!$B$2,[1]ratio_ins!$B:$B,0))*$G156*INDEX([1]ratio_ins!$D:$D,MATCH('001_population_health_zone_zs'!$B156,[1]ratio_ins!$B:$B,0))</f>
        <v>275.66604000000001</v>
      </c>
      <c r="AV156" s="10">
        <f>INDEX([1]ratio_ins!AS:AS,MATCH('001_population_health_zone_zs'!$B$2,[1]ratio_ins!$B:$B,0))*$G156*INDEX([1]ratio_ins!$D:$D,MATCH('001_population_health_zone_zs'!$B156,[1]ratio_ins!$B:$B,0))</f>
        <v>137.83302</v>
      </c>
      <c r="AW156" s="10">
        <f>INDEX([1]ratio_ins!AT:AT,MATCH('001_population_health_zone_zs'!$B$2,[1]ratio_ins!$B:$B,0))*$G156*INDEX([1]ratio_ins!$D:$D,MATCH('001_population_health_zone_zs'!$B156,[1]ratio_ins!$B:$B,0))</f>
        <v>91.888680000000008</v>
      </c>
      <c r="AX156" s="13">
        <f>INDEX([1]ratio_ins!AU:AU,MATCH('001_population_health_zone_zs'!$B$2,[1]ratio_ins!$B:$B,0))*$G156*INDEX([1]ratio_ins!$D:$D,MATCH('001_population_health_zone_zs'!$B156,[1]ratio_ins!$B:$B,0))</f>
        <v>964.83113999999989</v>
      </c>
      <c r="AY156" s="14">
        <f t="shared" si="13"/>
        <v>45944.340000000004</v>
      </c>
      <c r="AZ156" s="15">
        <f t="shared" si="14"/>
        <v>90620</v>
      </c>
      <c r="BA156" s="16">
        <v>87313.183763056135</v>
      </c>
      <c r="BB156" s="10">
        <f t="shared" si="15"/>
        <v>19526.344499999999</v>
      </c>
      <c r="BC156" s="17">
        <f t="shared" si="16"/>
        <v>0.215475</v>
      </c>
      <c r="BD156" s="10">
        <f t="shared" si="17"/>
        <v>18629.750220000002</v>
      </c>
    </row>
    <row r="157" spans="1:56" x14ac:dyDescent="0.25">
      <c r="A157" s="8" t="s">
        <v>379</v>
      </c>
      <c r="B157" s="8" t="s">
        <v>380</v>
      </c>
      <c r="C157" s="8" t="s">
        <v>388</v>
      </c>
      <c r="D157" s="8" t="s">
        <v>389</v>
      </c>
      <c r="E157" s="8" t="s">
        <v>392</v>
      </c>
      <c r="F157" s="8" t="s">
        <v>393</v>
      </c>
      <c r="G157" s="9">
        <v>93614</v>
      </c>
      <c r="H157" s="10">
        <f>INDEX([1]ratio_ins!F:F,MATCH('001_population_health_zone_zs'!$B$2,[1]ratio_ins!$B:$B,0))*$G157*INDEX([1]ratio_ins!$C:$C,MATCH('001_population_health_zone_zs'!$B157,[1]ratio_ins!$B:$B,0))</f>
        <v>9645.7057180000011</v>
      </c>
      <c r="I157" s="10">
        <f>INDEX([1]ratio_ins!G:G,MATCH('001_population_health_zone_zs'!$B$2,[1]ratio_ins!$B:$B,0))*$G157*INDEX([1]ratio_ins!$C:$C,MATCH('001_population_health_zone_zs'!$B157,[1]ratio_ins!$B:$B,0))</f>
        <v>7891.9410420000004</v>
      </c>
      <c r="J157" s="10">
        <f>INDEX([1]ratio_ins!H:H,MATCH('001_population_health_zone_zs'!$B$2,[1]ratio_ins!$B:$B,0))*$G157*INDEX([1]ratio_ins!$C:$C,MATCH('001_population_health_zone_zs'!$B157,[1]ratio_ins!$B:$B,0))</f>
        <v>6230.4797700000008</v>
      </c>
      <c r="K157" s="10">
        <f>INDEX([1]ratio_ins!I:I,MATCH('001_population_health_zone_zs'!$B$2,[1]ratio_ins!$B:$B,0))*$G157*INDEX([1]ratio_ins!$C:$C,MATCH('001_population_health_zone_zs'!$B157,[1]ratio_ins!$B:$B,0))</f>
        <v>3830.5912660000004</v>
      </c>
      <c r="L157" s="10">
        <f>INDEX([1]ratio_ins!J:J,MATCH('001_population_health_zone_zs'!$B$2,[1]ratio_ins!$B:$B,0))*$G157*INDEX([1]ratio_ins!$C:$C,MATCH('001_population_health_zone_zs'!$B157,[1]ratio_ins!$B:$B,0))</f>
        <v>2298.3547595999999</v>
      </c>
      <c r="M157" s="11">
        <f>INDEX([1]ratio_ins!K:K,MATCH('001_population_health_zone_zs'!$B$2,[1]ratio_ins!$B:$B,0))*$G157*INDEX([1]ratio_ins!$C:$C,MATCH('001_population_health_zone_zs'!$B157,[1]ratio_ins!$B:$B,0))</f>
        <v>26066.4812896</v>
      </c>
      <c r="N157" s="10">
        <f>INDEX([1]ratio_ins!L:L,MATCH('001_population_health_zone_zs'!$B$2,[1]ratio_ins!$B:$B,0))*$G157*INDEX([1]ratio_ins!$C:$C,MATCH('001_population_health_zone_zs'!$B157,[1]ratio_ins!$B:$B,0))</f>
        <v>1532.2365064000001</v>
      </c>
      <c r="O157" s="10">
        <f>INDEX([1]ratio_ins!M:M,MATCH('001_population_health_zone_zs'!$B$2,[1]ratio_ins!$B:$B,0))*$G157*INDEX([1]ratio_ins!$C:$C,MATCH('001_population_health_zone_zs'!$B157,[1]ratio_ins!$B:$B,0))</f>
        <v>3322.922544</v>
      </c>
      <c r="P157" s="10">
        <f>INDEX([1]ratio_ins!N:N,MATCH('001_population_health_zone_zs'!$B$2,[1]ratio_ins!$B:$B,0))*$G157*INDEX([1]ratio_ins!$C:$C,MATCH('001_population_health_zone_zs'!$B157,[1]ratio_ins!$B:$B,0))</f>
        <v>2999.8606299999997</v>
      </c>
      <c r="Q157" s="10">
        <f>INDEX([1]ratio_ins!O:O,MATCH('001_population_health_zone_zs'!$B$2,[1]ratio_ins!$B:$B,0))*$G157*INDEX([1]ratio_ins!$C:$C,MATCH('001_population_health_zone_zs'!$B157,[1]ratio_ins!$B:$B,0))</f>
        <v>2676.7987159999998</v>
      </c>
      <c r="R157" s="10">
        <f>INDEX([1]ratio_ins!P:P,MATCH('001_population_health_zone_zs'!$B$2,[1]ratio_ins!$B:$B,0))*$G157*INDEX([1]ratio_ins!$C:$C,MATCH('001_population_health_zone_zs'!$B157,[1]ratio_ins!$B:$B,0))</f>
        <v>2630.6470140000001</v>
      </c>
      <c r="S157" s="10">
        <f>INDEX([1]ratio_ins!Q:Q,MATCH('001_population_health_zone_zs'!$B$2,[1]ratio_ins!$B:$B,0))*$G157*INDEX([1]ratio_ins!$C:$C,MATCH('001_population_health_zone_zs'!$B157,[1]ratio_ins!$B:$B,0))</f>
        <v>2215.281696</v>
      </c>
      <c r="T157" s="10">
        <f>INDEX([1]ratio_ins!R:R,MATCH('001_population_health_zone_zs'!$B$2,[1]ratio_ins!$B:$B,0))*$G157*INDEX([1]ratio_ins!$C:$C,MATCH('001_population_health_zone_zs'!$B157,[1]ratio_ins!$B:$B,0))</f>
        <v>1569.157868</v>
      </c>
      <c r="U157" s="10">
        <f>INDEX([1]ratio_ins!S:S,MATCH('001_population_health_zone_zs'!$B$2,[1]ratio_ins!$B:$B,0))*$G157*INDEX([1]ratio_ins!$C:$C,MATCH('001_population_health_zone_zs'!$B157,[1]ratio_ins!$B:$B,0))</f>
        <v>1246.0959540000001</v>
      </c>
      <c r="V157" s="10">
        <f>INDEX([1]ratio_ins!T:T,MATCH('001_population_health_zone_zs'!$B$2,[1]ratio_ins!$B:$B,0))*$G157*INDEX([1]ratio_ins!$C:$C,MATCH('001_population_health_zone_zs'!$B157,[1]ratio_ins!$B:$B,0))</f>
        <v>692.27553</v>
      </c>
      <c r="W157" s="11">
        <f>INDEX([1]ratio_ins!U:U,MATCH('001_population_health_zone_zs'!$B$2,[1]ratio_ins!$B:$B,0))*$G157*INDEX([1]ratio_ins!$C:$C,MATCH('001_population_health_zone_zs'!$B157,[1]ratio_ins!$B:$B,0))</f>
        <v>18885.2764584</v>
      </c>
      <c r="X157" s="10">
        <f>INDEX([1]ratio_ins!V:V,MATCH('001_population_health_zone_zs'!$B$2,[1]ratio_ins!$B:$B,0))*$G157*INDEX([1]ratio_ins!$C:$C,MATCH('001_population_health_zone_zs'!$B157,[1]ratio_ins!$B:$B,0))</f>
        <v>553.820424</v>
      </c>
      <c r="Y157" s="10">
        <f>INDEX([1]ratio_ins!W:W,MATCH('001_population_health_zone_zs'!$B$2,[1]ratio_ins!$B:$B,0))*$G157*INDEX([1]ratio_ins!$C:$C,MATCH('001_population_health_zone_zs'!$B157,[1]ratio_ins!$B:$B,0))</f>
        <v>369.213616</v>
      </c>
      <c r="Z157" s="10">
        <f>INDEX([1]ratio_ins!X:X,MATCH('001_population_health_zone_zs'!$B$2,[1]ratio_ins!$B:$B,0))*$G157*INDEX([1]ratio_ins!$C:$C,MATCH('001_population_health_zone_zs'!$B157,[1]ratio_ins!$B:$B,0))</f>
        <v>184.606808</v>
      </c>
      <c r="AA157" s="10">
        <f>INDEX([1]ratio_ins!Y:Y,MATCH('001_population_health_zone_zs'!$B$2,[1]ratio_ins!$B:$B,0))*$G157*INDEX([1]ratio_ins!$C:$C,MATCH('001_population_health_zone_zs'!$B157,[1]ratio_ins!$B:$B,0))</f>
        <v>92.303404</v>
      </c>
      <c r="AB157" s="11">
        <f>INDEX([1]ratio_ins!Z:Z,MATCH('001_population_health_zone_zs'!$B$2,[1]ratio_ins!$B:$B,0))*$G157*INDEX([1]ratio_ins!$C:$C,MATCH('001_population_health_zone_zs'!$B157,[1]ratio_ins!$B:$B,0))</f>
        <v>1199.9442520000002</v>
      </c>
      <c r="AC157" s="12">
        <f t="shared" si="12"/>
        <v>46151.702000000005</v>
      </c>
      <c r="AD157" s="10">
        <f>INDEX([1]ratio_ins!AA:AA,MATCH('001_population_health_zone_zs'!$B$2,[1]ratio_ins!$B:$B,0))*$G157*INDEX([1]ratio_ins!$D:$D,MATCH('001_population_health_zone_zs'!$B157,[1]ratio_ins!$B:$B,0))</f>
        <v>9967.0825800000002</v>
      </c>
      <c r="AE157" s="10">
        <f>INDEX([1]ratio_ins!AB:AB,MATCH('001_population_health_zone_zs'!$B$2,[1]ratio_ins!$B:$B,0))*$G157*INDEX([1]ratio_ins!$D:$D,MATCH('001_population_health_zone_zs'!$B157,[1]ratio_ins!$B:$B,0))</f>
        <v>8210.977554000001</v>
      </c>
      <c r="AF157" s="10">
        <f>INDEX([1]ratio_ins!AC:AC,MATCH('001_population_health_zone_zs'!$B$2,[1]ratio_ins!$B:$B,0))*$G157*INDEX([1]ratio_ins!$D:$D,MATCH('001_population_health_zone_zs'!$B157,[1]ratio_ins!$B:$B,0))</f>
        <v>6502.3348259999993</v>
      </c>
      <c r="AG157" s="10">
        <f>INDEX([1]ratio_ins!AD:AD,MATCH('001_population_health_zone_zs'!$B$2,[1]ratio_ins!$B:$B,0))*$G157*INDEX([1]ratio_ins!$D:$D,MATCH('001_population_health_zone_zs'!$B157,[1]ratio_ins!$B:$B,0))</f>
        <v>3939.3707340000001</v>
      </c>
      <c r="AH157" s="10">
        <f>INDEX([1]ratio_ins!AE:AE,MATCH('001_population_health_zone_zs'!$B$2,[1]ratio_ins!$B:$B,0))*$G157*INDEX([1]ratio_ins!$D:$D,MATCH('001_population_health_zone_zs'!$B157,[1]ratio_ins!$B:$B,0))</f>
        <v>2363.6224403999995</v>
      </c>
      <c r="AI157" s="13">
        <f>INDEX([1]ratio_ins!AF:AF,MATCH('001_population_health_zone_zs'!$B$2,[1]ratio_ins!$B:$B,0))*$G157*INDEX([1]ratio_ins!$D:$D,MATCH('001_population_health_zone_zs'!$B157,[1]ratio_ins!$B:$B,0))</f>
        <v>27044.0174004</v>
      </c>
      <c r="AJ157" s="10">
        <f>INDEX([1]ratio_ins!AG:AG,MATCH('001_population_health_zone_zs'!$B$2,[1]ratio_ins!$B:$B,0))*$G157*INDEX([1]ratio_ins!$D:$D,MATCH('001_population_health_zone_zs'!$B157,[1]ratio_ins!$B:$B,0))</f>
        <v>1575.7482936000001</v>
      </c>
      <c r="AK157" s="10">
        <f>INDEX([1]ratio_ins!AH:AH,MATCH('001_population_health_zone_zs'!$B$2,[1]ratio_ins!$B:$B,0))*$G157*INDEX([1]ratio_ins!$D:$D,MATCH('001_population_health_zone_zs'!$B157,[1]ratio_ins!$B:$B,0))</f>
        <v>3512.2100520000004</v>
      </c>
      <c r="AL157" s="10">
        <f>INDEX([1]ratio_ins!AI:AI,MATCH('001_population_health_zone_zs'!$B$2,[1]ratio_ins!$B:$B,0))*$G157*INDEX([1]ratio_ins!$D:$D,MATCH('001_population_health_zone_zs'!$B157,[1]ratio_ins!$B:$B,0))</f>
        <v>3322.3608600000002</v>
      </c>
      <c r="AM157" s="10">
        <f>INDEX([1]ratio_ins!AJ:AJ,MATCH('001_population_health_zone_zs'!$B$2,[1]ratio_ins!$B:$B,0))*$G157*INDEX([1]ratio_ins!$D:$D,MATCH('001_population_health_zone_zs'!$B157,[1]ratio_ins!$B:$B,0))</f>
        <v>3037.5870720000003</v>
      </c>
      <c r="AN157" s="10">
        <f>INDEX([1]ratio_ins!AK:AK,MATCH('001_population_health_zone_zs'!$B$2,[1]ratio_ins!$B:$B,0))*$G157*INDEX([1]ratio_ins!$D:$D,MATCH('001_population_health_zone_zs'!$B157,[1]ratio_ins!$B:$B,0))</f>
        <v>2847.7378800000001</v>
      </c>
      <c r="AO157" s="10">
        <f>INDEX([1]ratio_ins!AL:AL,MATCH('001_population_health_zone_zs'!$B$2,[1]ratio_ins!$B:$B,0))*$G157*INDEX([1]ratio_ins!$D:$D,MATCH('001_population_health_zone_zs'!$B157,[1]ratio_ins!$B:$B,0))</f>
        <v>2135.80341</v>
      </c>
      <c r="AP157" s="10">
        <f>INDEX([1]ratio_ins!AM:AM,MATCH('001_population_health_zone_zs'!$B$2,[1]ratio_ins!$B:$B,0))*$G157*INDEX([1]ratio_ins!$D:$D,MATCH('001_population_health_zone_zs'!$B157,[1]ratio_ins!$B:$B,0))</f>
        <v>1376.4066420000001</v>
      </c>
      <c r="AQ157" s="10">
        <f>INDEX([1]ratio_ins!AN:AN,MATCH('001_population_health_zone_zs'!$B$2,[1]ratio_ins!$B:$B,0))*$G157*INDEX([1]ratio_ins!$D:$D,MATCH('001_population_health_zone_zs'!$B157,[1]ratio_ins!$B:$B,0))</f>
        <v>1091.632854</v>
      </c>
      <c r="AR157" s="10">
        <f>INDEX([1]ratio_ins!AO:AO,MATCH('001_population_health_zone_zs'!$B$2,[1]ratio_ins!$B:$B,0))*$G157*INDEX([1]ratio_ins!$D:$D,MATCH('001_population_health_zone_zs'!$B157,[1]ratio_ins!$B:$B,0))</f>
        <v>522.08527800000013</v>
      </c>
      <c r="AS157" s="13">
        <f>INDEX([1]ratio_ins!AP:AP,MATCH('001_population_health_zone_zs'!$B$2,[1]ratio_ins!$B:$B,0))*$G157*INDEX([1]ratio_ins!$D:$D,MATCH('001_population_health_zone_zs'!$B157,[1]ratio_ins!$B:$B,0))</f>
        <v>19421.5723416</v>
      </c>
      <c r="AT157" s="10">
        <f>INDEX([1]ratio_ins!AQ:AQ,MATCH('001_population_health_zone_zs'!$B$2,[1]ratio_ins!$B:$B,0))*$G157*INDEX([1]ratio_ins!$D:$D,MATCH('001_population_health_zone_zs'!$B157,[1]ratio_ins!$B:$B,0))</f>
        <v>474.62297999999998</v>
      </c>
      <c r="AU157" s="10">
        <f>INDEX([1]ratio_ins!AR:AR,MATCH('001_population_health_zone_zs'!$B$2,[1]ratio_ins!$B:$B,0))*$G157*INDEX([1]ratio_ins!$D:$D,MATCH('001_population_health_zone_zs'!$B157,[1]ratio_ins!$B:$B,0))</f>
        <v>284.77378799999997</v>
      </c>
      <c r="AV157" s="10">
        <f>INDEX([1]ratio_ins!AS:AS,MATCH('001_population_health_zone_zs'!$B$2,[1]ratio_ins!$B:$B,0))*$G157*INDEX([1]ratio_ins!$D:$D,MATCH('001_population_health_zone_zs'!$B157,[1]ratio_ins!$B:$B,0))</f>
        <v>142.38689399999998</v>
      </c>
      <c r="AW157" s="10">
        <f>INDEX([1]ratio_ins!AT:AT,MATCH('001_population_health_zone_zs'!$B$2,[1]ratio_ins!$B:$B,0))*$G157*INDEX([1]ratio_ins!$D:$D,MATCH('001_population_health_zone_zs'!$B157,[1]ratio_ins!$B:$B,0))</f>
        <v>94.924596000000008</v>
      </c>
      <c r="AX157" s="13">
        <f>INDEX([1]ratio_ins!AU:AU,MATCH('001_population_health_zone_zs'!$B$2,[1]ratio_ins!$B:$B,0))*$G157*INDEX([1]ratio_ins!$D:$D,MATCH('001_population_health_zone_zs'!$B157,[1]ratio_ins!$B:$B,0))</f>
        <v>996.70825799999989</v>
      </c>
      <c r="AY157" s="14">
        <f t="shared" si="13"/>
        <v>47462.297999999995</v>
      </c>
      <c r="AZ157" s="15">
        <f t="shared" si="14"/>
        <v>93614</v>
      </c>
      <c r="BA157" s="16">
        <v>90198.126239056961</v>
      </c>
      <c r="BB157" s="10">
        <f t="shared" si="15"/>
        <v>20171.476650000004</v>
      </c>
      <c r="BC157" s="17">
        <f t="shared" si="16"/>
        <v>0.21547500000000006</v>
      </c>
      <c r="BD157" s="10">
        <f t="shared" si="17"/>
        <v>19245.259733999996</v>
      </c>
    </row>
    <row r="158" spans="1:56" x14ac:dyDescent="0.25">
      <c r="A158" s="8" t="s">
        <v>379</v>
      </c>
      <c r="B158" s="8" t="s">
        <v>380</v>
      </c>
      <c r="C158" s="8" t="s">
        <v>388</v>
      </c>
      <c r="D158" s="8" t="s">
        <v>389</v>
      </c>
      <c r="E158" s="8" t="s">
        <v>394</v>
      </c>
      <c r="F158" s="8" t="s">
        <v>395</v>
      </c>
      <c r="G158" s="9">
        <v>87348</v>
      </c>
      <c r="H158" s="10">
        <f>INDEX([1]ratio_ins!F:F,MATCH('001_population_health_zone_zs'!$B$2,[1]ratio_ins!$B:$B,0))*$G158*INDEX([1]ratio_ins!$C:$C,MATCH('001_population_health_zone_zs'!$B158,[1]ratio_ins!$B:$B,0))</f>
        <v>9000.075875999999</v>
      </c>
      <c r="I158" s="10">
        <f>INDEX([1]ratio_ins!G:G,MATCH('001_population_health_zone_zs'!$B$2,[1]ratio_ins!$B:$B,0))*$G158*INDEX([1]ratio_ins!$C:$C,MATCH('001_population_health_zone_zs'!$B158,[1]ratio_ins!$B:$B,0))</f>
        <v>7363.6984440000006</v>
      </c>
      <c r="J158" s="10">
        <f>INDEX([1]ratio_ins!H:H,MATCH('001_population_health_zone_zs'!$B$2,[1]ratio_ins!$B:$B,0))*$G158*INDEX([1]ratio_ins!$C:$C,MATCH('001_population_health_zone_zs'!$B158,[1]ratio_ins!$B:$B,0))</f>
        <v>5813.4461400000009</v>
      </c>
      <c r="K158" s="10">
        <f>INDEX([1]ratio_ins!I:I,MATCH('001_population_health_zone_zs'!$B$2,[1]ratio_ins!$B:$B,0))*$G158*INDEX([1]ratio_ins!$C:$C,MATCH('001_population_health_zone_zs'!$B158,[1]ratio_ins!$B:$B,0))</f>
        <v>3574.1928119999998</v>
      </c>
      <c r="L158" s="10">
        <f>INDEX([1]ratio_ins!J:J,MATCH('001_population_health_zone_zs'!$B$2,[1]ratio_ins!$B:$B,0))*$G158*INDEX([1]ratio_ins!$C:$C,MATCH('001_population_health_zone_zs'!$B158,[1]ratio_ins!$B:$B,0))</f>
        <v>2144.5156872000002</v>
      </c>
      <c r="M158" s="11">
        <f>INDEX([1]ratio_ins!K:K,MATCH('001_population_health_zone_zs'!$B$2,[1]ratio_ins!$B:$B,0))*$G158*INDEX([1]ratio_ins!$C:$C,MATCH('001_population_health_zone_zs'!$B158,[1]ratio_ins!$B:$B,0))</f>
        <v>24321.736147199998</v>
      </c>
      <c r="N158" s="10">
        <f>INDEX([1]ratio_ins!L:L,MATCH('001_population_health_zone_zs'!$B$2,[1]ratio_ins!$B:$B,0))*$G158*INDEX([1]ratio_ins!$C:$C,MATCH('001_population_health_zone_zs'!$B158,[1]ratio_ins!$B:$B,0))</f>
        <v>1429.6771248</v>
      </c>
      <c r="O158" s="10">
        <f>INDEX([1]ratio_ins!M:M,MATCH('001_population_health_zone_zs'!$B$2,[1]ratio_ins!$B:$B,0))*$G158*INDEX([1]ratio_ins!$C:$C,MATCH('001_population_health_zone_zs'!$B158,[1]ratio_ins!$B:$B,0))</f>
        <v>3100.5046080000002</v>
      </c>
      <c r="P158" s="10">
        <f>INDEX([1]ratio_ins!N:N,MATCH('001_population_health_zone_zs'!$B$2,[1]ratio_ins!$B:$B,0))*$G158*INDEX([1]ratio_ins!$C:$C,MATCH('001_population_health_zone_zs'!$B158,[1]ratio_ins!$B:$B,0))</f>
        <v>2799.06666</v>
      </c>
      <c r="Q158" s="10">
        <f>INDEX([1]ratio_ins!O:O,MATCH('001_population_health_zone_zs'!$B$2,[1]ratio_ins!$B:$B,0))*$G158*INDEX([1]ratio_ins!$C:$C,MATCH('001_population_health_zone_zs'!$B158,[1]ratio_ins!$B:$B,0))</f>
        <v>2497.6287119999997</v>
      </c>
      <c r="R158" s="10">
        <f>INDEX([1]ratio_ins!P:P,MATCH('001_population_health_zone_zs'!$B$2,[1]ratio_ins!$B:$B,0))*$G158*INDEX([1]ratio_ins!$C:$C,MATCH('001_population_health_zone_zs'!$B158,[1]ratio_ins!$B:$B,0))</f>
        <v>2454.5661479999999</v>
      </c>
      <c r="S158" s="10">
        <f>INDEX([1]ratio_ins!Q:Q,MATCH('001_population_health_zone_zs'!$B$2,[1]ratio_ins!$B:$B,0))*$G158*INDEX([1]ratio_ins!$C:$C,MATCH('001_population_health_zone_zs'!$B158,[1]ratio_ins!$B:$B,0))</f>
        <v>2067.003072</v>
      </c>
      <c r="T158" s="10">
        <f>INDEX([1]ratio_ins!R:R,MATCH('001_population_health_zone_zs'!$B$2,[1]ratio_ins!$B:$B,0))*$G158*INDEX([1]ratio_ins!$C:$C,MATCH('001_population_health_zone_zs'!$B158,[1]ratio_ins!$B:$B,0))</f>
        <v>1464.1271760000002</v>
      </c>
      <c r="U158" s="10">
        <f>INDEX([1]ratio_ins!S:S,MATCH('001_population_health_zone_zs'!$B$2,[1]ratio_ins!$B:$B,0))*$G158*INDEX([1]ratio_ins!$C:$C,MATCH('001_population_health_zone_zs'!$B158,[1]ratio_ins!$B:$B,0))</f>
        <v>1162.6892280000002</v>
      </c>
      <c r="V158" s="10">
        <f>INDEX([1]ratio_ins!T:T,MATCH('001_population_health_zone_zs'!$B$2,[1]ratio_ins!$B:$B,0))*$G158*INDEX([1]ratio_ins!$C:$C,MATCH('001_population_health_zone_zs'!$B158,[1]ratio_ins!$B:$B,0))</f>
        <v>645.93845999999996</v>
      </c>
      <c r="W158" s="11">
        <f>INDEX([1]ratio_ins!U:U,MATCH('001_population_health_zone_zs'!$B$2,[1]ratio_ins!$B:$B,0))*$G158*INDEX([1]ratio_ins!$C:$C,MATCH('001_population_health_zone_zs'!$B158,[1]ratio_ins!$B:$B,0))</f>
        <v>17621.201188799998</v>
      </c>
      <c r="X158" s="10">
        <f>INDEX([1]ratio_ins!V:V,MATCH('001_population_health_zone_zs'!$B$2,[1]ratio_ins!$B:$B,0))*$G158*INDEX([1]ratio_ins!$C:$C,MATCH('001_population_health_zone_zs'!$B158,[1]ratio_ins!$B:$B,0))</f>
        <v>516.75076799999999</v>
      </c>
      <c r="Y158" s="10">
        <f>INDEX([1]ratio_ins!W:W,MATCH('001_population_health_zone_zs'!$B$2,[1]ratio_ins!$B:$B,0))*$G158*INDEX([1]ratio_ins!$C:$C,MATCH('001_population_health_zone_zs'!$B158,[1]ratio_ins!$B:$B,0))</f>
        <v>344.50051200000001</v>
      </c>
      <c r="Z158" s="10">
        <f>INDEX([1]ratio_ins!X:X,MATCH('001_population_health_zone_zs'!$B$2,[1]ratio_ins!$B:$B,0))*$G158*INDEX([1]ratio_ins!$C:$C,MATCH('001_population_health_zone_zs'!$B158,[1]ratio_ins!$B:$B,0))</f>
        <v>172.25025600000001</v>
      </c>
      <c r="AA158" s="10">
        <f>INDEX([1]ratio_ins!Y:Y,MATCH('001_population_health_zone_zs'!$B$2,[1]ratio_ins!$B:$B,0))*$G158*INDEX([1]ratio_ins!$C:$C,MATCH('001_population_health_zone_zs'!$B158,[1]ratio_ins!$B:$B,0))</f>
        <v>86.125128000000004</v>
      </c>
      <c r="AB158" s="11">
        <f>INDEX([1]ratio_ins!Z:Z,MATCH('001_population_health_zone_zs'!$B$2,[1]ratio_ins!$B:$B,0))*$G158*INDEX([1]ratio_ins!$C:$C,MATCH('001_population_health_zone_zs'!$B158,[1]ratio_ins!$B:$B,0))</f>
        <v>1119.6266640000001</v>
      </c>
      <c r="AC158" s="12">
        <f t="shared" si="12"/>
        <v>43062.563999999998</v>
      </c>
      <c r="AD158" s="10">
        <f>INDEX([1]ratio_ins!AA:AA,MATCH('001_population_health_zone_zs'!$B$2,[1]ratio_ins!$B:$B,0))*$G158*INDEX([1]ratio_ins!$D:$D,MATCH('001_population_health_zone_zs'!$B158,[1]ratio_ins!$B:$B,0))</f>
        <v>9299.9415599999993</v>
      </c>
      <c r="AE158" s="10">
        <f>INDEX([1]ratio_ins!AB:AB,MATCH('001_population_health_zone_zs'!$B$2,[1]ratio_ins!$B:$B,0))*$G158*INDEX([1]ratio_ins!$D:$D,MATCH('001_population_health_zone_zs'!$B158,[1]ratio_ins!$B:$B,0))</f>
        <v>7661.3804280000013</v>
      </c>
      <c r="AF158" s="10">
        <f>INDEX([1]ratio_ins!AC:AC,MATCH('001_population_health_zone_zs'!$B$2,[1]ratio_ins!$B:$B,0))*$G158*INDEX([1]ratio_ins!$D:$D,MATCH('001_population_health_zone_zs'!$B158,[1]ratio_ins!$B:$B,0))</f>
        <v>6067.1047319999989</v>
      </c>
      <c r="AG158" s="10">
        <f>INDEX([1]ratio_ins!AD:AD,MATCH('001_population_health_zone_zs'!$B$2,[1]ratio_ins!$B:$B,0))*$G158*INDEX([1]ratio_ins!$D:$D,MATCH('001_population_health_zone_zs'!$B158,[1]ratio_ins!$B:$B,0))</f>
        <v>3675.6911880000002</v>
      </c>
      <c r="AH158" s="10">
        <f>INDEX([1]ratio_ins!AE:AE,MATCH('001_population_health_zone_zs'!$B$2,[1]ratio_ins!$B:$B,0))*$G158*INDEX([1]ratio_ins!$D:$D,MATCH('001_population_health_zone_zs'!$B158,[1]ratio_ins!$B:$B,0))</f>
        <v>2205.4147128</v>
      </c>
      <c r="AI158" s="13">
        <f>INDEX([1]ratio_ins!AF:AF,MATCH('001_population_health_zone_zs'!$B$2,[1]ratio_ins!$B:$B,0))*$G158*INDEX([1]ratio_ins!$D:$D,MATCH('001_population_health_zone_zs'!$B158,[1]ratio_ins!$B:$B,0))</f>
        <v>25233.8414328</v>
      </c>
      <c r="AJ158" s="10">
        <f>INDEX([1]ratio_ins!AG:AG,MATCH('001_population_health_zone_zs'!$B$2,[1]ratio_ins!$B:$B,0))*$G158*INDEX([1]ratio_ins!$D:$D,MATCH('001_population_health_zone_zs'!$B158,[1]ratio_ins!$B:$B,0))</f>
        <v>1470.2764751999998</v>
      </c>
      <c r="AK158" s="10">
        <f>INDEX([1]ratio_ins!AH:AH,MATCH('001_population_health_zone_zs'!$B$2,[1]ratio_ins!$B:$B,0))*$G158*INDEX([1]ratio_ins!$D:$D,MATCH('001_population_health_zone_zs'!$B158,[1]ratio_ins!$B:$B,0))</f>
        <v>3277.1222640000005</v>
      </c>
      <c r="AL158" s="10">
        <f>INDEX([1]ratio_ins!AI:AI,MATCH('001_population_health_zone_zs'!$B$2,[1]ratio_ins!$B:$B,0))*$G158*INDEX([1]ratio_ins!$D:$D,MATCH('001_population_health_zone_zs'!$B158,[1]ratio_ins!$B:$B,0))</f>
        <v>3099.9805200000005</v>
      </c>
      <c r="AM158" s="10">
        <f>INDEX([1]ratio_ins!AJ:AJ,MATCH('001_population_health_zone_zs'!$B$2,[1]ratio_ins!$B:$B,0))*$G158*INDEX([1]ratio_ins!$D:$D,MATCH('001_population_health_zone_zs'!$B158,[1]ratio_ins!$B:$B,0))</f>
        <v>2834.2679039999998</v>
      </c>
      <c r="AN158" s="10">
        <f>INDEX([1]ratio_ins!AK:AK,MATCH('001_population_health_zone_zs'!$B$2,[1]ratio_ins!$B:$B,0))*$G158*INDEX([1]ratio_ins!$D:$D,MATCH('001_population_health_zone_zs'!$B158,[1]ratio_ins!$B:$B,0))</f>
        <v>2657.1261600000003</v>
      </c>
      <c r="AO158" s="10">
        <f>INDEX([1]ratio_ins!AL:AL,MATCH('001_population_health_zone_zs'!$B$2,[1]ratio_ins!$B:$B,0))*$G158*INDEX([1]ratio_ins!$D:$D,MATCH('001_population_health_zone_zs'!$B158,[1]ratio_ins!$B:$B,0))</f>
        <v>1992.8446199999998</v>
      </c>
      <c r="AP158" s="10">
        <f>INDEX([1]ratio_ins!AM:AM,MATCH('001_population_health_zone_zs'!$B$2,[1]ratio_ins!$B:$B,0))*$G158*INDEX([1]ratio_ins!$D:$D,MATCH('001_population_health_zone_zs'!$B158,[1]ratio_ins!$B:$B,0))</f>
        <v>1284.2776439999998</v>
      </c>
      <c r="AQ158" s="10">
        <f>INDEX([1]ratio_ins!AN:AN,MATCH('001_population_health_zone_zs'!$B$2,[1]ratio_ins!$B:$B,0))*$G158*INDEX([1]ratio_ins!$D:$D,MATCH('001_population_health_zone_zs'!$B158,[1]ratio_ins!$B:$B,0))</f>
        <v>1018.565028</v>
      </c>
      <c r="AR158" s="10">
        <f>INDEX([1]ratio_ins!AO:AO,MATCH('001_population_health_zone_zs'!$B$2,[1]ratio_ins!$B:$B,0))*$G158*INDEX([1]ratio_ins!$D:$D,MATCH('001_population_health_zone_zs'!$B158,[1]ratio_ins!$B:$B,0))</f>
        <v>487.13979600000005</v>
      </c>
      <c r="AS158" s="13">
        <f>INDEX([1]ratio_ins!AP:AP,MATCH('001_population_health_zone_zs'!$B$2,[1]ratio_ins!$B:$B,0))*$G158*INDEX([1]ratio_ins!$D:$D,MATCH('001_population_health_zone_zs'!$B158,[1]ratio_ins!$B:$B,0))</f>
        <v>18121.600411200001</v>
      </c>
      <c r="AT158" s="10">
        <f>INDEX([1]ratio_ins!AQ:AQ,MATCH('001_population_health_zone_zs'!$B$2,[1]ratio_ins!$B:$B,0))*$G158*INDEX([1]ratio_ins!$D:$D,MATCH('001_population_health_zone_zs'!$B158,[1]ratio_ins!$B:$B,0))</f>
        <v>442.85436000000004</v>
      </c>
      <c r="AU158" s="10">
        <f>INDEX([1]ratio_ins!AR:AR,MATCH('001_population_health_zone_zs'!$B$2,[1]ratio_ins!$B:$B,0))*$G158*INDEX([1]ratio_ins!$D:$D,MATCH('001_population_health_zone_zs'!$B158,[1]ratio_ins!$B:$B,0))</f>
        <v>265.71261599999997</v>
      </c>
      <c r="AV158" s="10">
        <f>INDEX([1]ratio_ins!AS:AS,MATCH('001_population_health_zone_zs'!$B$2,[1]ratio_ins!$B:$B,0))*$G158*INDEX([1]ratio_ins!$D:$D,MATCH('001_population_health_zone_zs'!$B158,[1]ratio_ins!$B:$B,0))</f>
        <v>132.85630799999998</v>
      </c>
      <c r="AW158" s="10">
        <f>INDEX([1]ratio_ins!AT:AT,MATCH('001_population_health_zone_zs'!$B$2,[1]ratio_ins!$B:$B,0))*$G158*INDEX([1]ratio_ins!$D:$D,MATCH('001_population_health_zone_zs'!$B158,[1]ratio_ins!$B:$B,0))</f>
        <v>88.570871999999994</v>
      </c>
      <c r="AX158" s="13">
        <f>INDEX([1]ratio_ins!AU:AU,MATCH('001_population_health_zone_zs'!$B$2,[1]ratio_ins!$B:$B,0))*$G158*INDEX([1]ratio_ins!$D:$D,MATCH('001_population_health_zone_zs'!$B158,[1]ratio_ins!$B:$B,0))</f>
        <v>929.99415599999986</v>
      </c>
      <c r="AY158" s="14">
        <f t="shared" si="13"/>
        <v>44285.436000000002</v>
      </c>
      <c r="AZ158" s="15">
        <f t="shared" si="14"/>
        <v>87348</v>
      </c>
      <c r="BA158" s="16">
        <v>84160.769712988869</v>
      </c>
      <c r="BB158" s="10">
        <f t="shared" si="15"/>
        <v>18821.310300000005</v>
      </c>
      <c r="BC158" s="17">
        <f t="shared" si="16"/>
        <v>0.21547500000000006</v>
      </c>
      <c r="BD158" s="10">
        <f t="shared" si="17"/>
        <v>17957.089188000002</v>
      </c>
    </row>
    <row r="159" spans="1:56" x14ac:dyDescent="0.25">
      <c r="A159" s="8" t="s">
        <v>379</v>
      </c>
      <c r="B159" s="8" t="s">
        <v>380</v>
      </c>
      <c r="C159" s="8" t="s">
        <v>388</v>
      </c>
      <c r="D159" s="8" t="s">
        <v>389</v>
      </c>
      <c r="E159" s="8" t="s">
        <v>388</v>
      </c>
      <c r="F159" s="8" t="s">
        <v>396</v>
      </c>
      <c r="G159" s="9">
        <v>120710</v>
      </c>
      <c r="H159" s="10">
        <f>INDEX([1]ratio_ins!F:F,MATCH('001_population_health_zone_zs'!$B$2,[1]ratio_ins!$B:$B,0))*$G159*INDEX([1]ratio_ins!$C:$C,MATCH('001_population_health_zone_zs'!$B159,[1]ratio_ins!$B:$B,0))</f>
        <v>12437.59627</v>
      </c>
      <c r="I159" s="10">
        <f>INDEX([1]ratio_ins!G:G,MATCH('001_population_health_zone_zs'!$B$2,[1]ratio_ins!$B:$B,0))*$G159*INDEX([1]ratio_ins!$C:$C,MATCH('001_population_health_zone_zs'!$B159,[1]ratio_ins!$B:$B,0))</f>
        <v>10176.21513</v>
      </c>
      <c r="J159" s="10">
        <f>INDEX([1]ratio_ins!H:H,MATCH('001_population_health_zone_zs'!$B$2,[1]ratio_ins!$B:$B,0))*$G159*INDEX([1]ratio_ins!$C:$C,MATCH('001_population_health_zone_zs'!$B159,[1]ratio_ins!$B:$B,0))</f>
        <v>8033.8540499999999</v>
      </c>
      <c r="K159" s="10">
        <f>INDEX([1]ratio_ins!I:I,MATCH('001_population_health_zone_zs'!$B$2,[1]ratio_ins!$B:$B,0))*$G159*INDEX([1]ratio_ins!$C:$C,MATCH('001_population_health_zone_zs'!$B159,[1]ratio_ins!$B:$B,0))</f>
        <v>4939.3324899999998</v>
      </c>
      <c r="L159" s="10">
        <f>INDEX([1]ratio_ins!J:J,MATCH('001_population_health_zone_zs'!$B$2,[1]ratio_ins!$B:$B,0))*$G159*INDEX([1]ratio_ins!$C:$C,MATCH('001_population_health_zone_zs'!$B159,[1]ratio_ins!$B:$B,0))</f>
        <v>2963.5994939999996</v>
      </c>
      <c r="M159" s="11">
        <f>INDEX([1]ratio_ins!K:K,MATCH('001_population_health_zone_zs'!$B$2,[1]ratio_ins!$B:$B,0))*$G159*INDEX([1]ratio_ins!$C:$C,MATCH('001_population_health_zone_zs'!$B159,[1]ratio_ins!$B:$B,0))</f>
        <v>33611.264944000002</v>
      </c>
      <c r="N159" s="10">
        <f>INDEX([1]ratio_ins!L:L,MATCH('001_population_health_zone_zs'!$B$2,[1]ratio_ins!$B:$B,0))*$G159*INDEX([1]ratio_ins!$C:$C,MATCH('001_population_health_zone_zs'!$B159,[1]ratio_ins!$B:$B,0))</f>
        <v>1975.732996</v>
      </c>
      <c r="O159" s="10">
        <f>INDEX([1]ratio_ins!M:M,MATCH('001_population_health_zone_zs'!$B$2,[1]ratio_ins!$B:$B,0))*$G159*INDEX([1]ratio_ins!$C:$C,MATCH('001_population_health_zone_zs'!$B159,[1]ratio_ins!$B:$B,0))</f>
        <v>4284.7221600000003</v>
      </c>
      <c r="P159" s="10">
        <f>INDEX([1]ratio_ins!N:N,MATCH('001_population_health_zone_zs'!$B$2,[1]ratio_ins!$B:$B,0))*$G159*INDEX([1]ratio_ins!$C:$C,MATCH('001_population_health_zone_zs'!$B159,[1]ratio_ins!$B:$B,0))</f>
        <v>3868.1519500000004</v>
      </c>
      <c r="Q159" s="10">
        <f>INDEX([1]ratio_ins!O:O,MATCH('001_population_health_zone_zs'!$B$2,[1]ratio_ins!$B:$B,0))*$G159*INDEX([1]ratio_ins!$C:$C,MATCH('001_population_health_zone_zs'!$B159,[1]ratio_ins!$B:$B,0))</f>
        <v>3451.5817399999996</v>
      </c>
      <c r="R159" s="10">
        <f>INDEX([1]ratio_ins!P:P,MATCH('001_population_health_zone_zs'!$B$2,[1]ratio_ins!$B:$B,0))*$G159*INDEX([1]ratio_ins!$C:$C,MATCH('001_population_health_zone_zs'!$B159,[1]ratio_ins!$B:$B,0))</f>
        <v>3392.0717100000002</v>
      </c>
      <c r="S159" s="10">
        <f>INDEX([1]ratio_ins!Q:Q,MATCH('001_population_health_zone_zs'!$B$2,[1]ratio_ins!$B:$B,0))*$G159*INDEX([1]ratio_ins!$C:$C,MATCH('001_population_health_zone_zs'!$B159,[1]ratio_ins!$B:$B,0))</f>
        <v>2856.48144</v>
      </c>
      <c r="T159" s="10">
        <f>INDEX([1]ratio_ins!R:R,MATCH('001_population_health_zone_zs'!$B$2,[1]ratio_ins!$B:$B,0))*$G159*INDEX([1]ratio_ins!$C:$C,MATCH('001_population_health_zone_zs'!$B159,[1]ratio_ins!$B:$B,0))</f>
        <v>2023.3410200000001</v>
      </c>
      <c r="U159" s="10">
        <f>INDEX([1]ratio_ins!S:S,MATCH('001_population_health_zone_zs'!$B$2,[1]ratio_ins!$B:$B,0))*$G159*INDEX([1]ratio_ins!$C:$C,MATCH('001_population_health_zone_zs'!$B159,[1]ratio_ins!$B:$B,0))</f>
        <v>1606.7708100000002</v>
      </c>
      <c r="V159" s="10">
        <f>INDEX([1]ratio_ins!T:T,MATCH('001_population_health_zone_zs'!$B$2,[1]ratio_ins!$B:$B,0))*$G159*INDEX([1]ratio_ins!$C:$C,MATCH('001_population_health_zone_zs'!$B159,[1]ratio_ins!$B:$B,0))</f>
        <v>892.65044999999998</v>
      </c>
      <c r="W159" s="11">
        <f>INDEX([1]ratio_ins!U:U,MATCH('001_population_health_zone_zs'!$B$2,[1]ratio_ins!$B:$B,0))*$G159*INDEX([1]ratio_ins!$C:$C,MATCH('001_population_health_zone_zs'!$B159,[1]ratio_ins!$B:$B,0))</f>
        <v>24351.504276</v>
      </c>
      <c r="X159" s="10">
        <f>INDEX([1]ratio_ins!V:V,MATCH('001_population_health_zone_zs'!$B$2,[1]ratio_ins!$B:$B,0))*$G159*INDEX([1]ratio_ins!$C:$C,MATCH('001_population_health_zone_zs'!$B159,[1]ratio_ins!$B:$B,0))</f>
        <v>714.12036000000001</v>
      </c>
      <c r="Y159" s="10">
        <f>INDEX([1]ratio_ins!W:W,MATCH('001_population_health_zone_zs'!$B$2,[1]ratio_ins!$B:$B,0))*$G159*INDEX([1]ratio_ins!$C:$C,MATCH('001_population_health_zone_zs'!$B159,[1]ratio_ins!$B:$B,0))</f>
        <v>476.08024</v>
      </c>
      <c r="Z159" s="10">
        <f>INDEX([1]ratio_ins!X:X,MATCH('001_population_health_zone_zs'!$B$2,[1]ratio_ins!$B:$B,0))*$G159*INDEX([1]ratio_ins!$C:$C,MATCH('001_population_health_zone_zs'!$B159,[1]ratio_ins!$B:$B,0))</f>
        <v>238.04012</v>
      </c>
      <c r="AA159" s="10">
        <f>INDEX([1]ratio_ins!Y:Y,MATCH('001_population_health_zone_zs'!$B$2,[1]ratio_ins!$B:$B,0))*$G159*INDEX([1]ratio_ins!$C:$C,MATCH('001_population_health_zone_zs'!$B159,[1]ratio_ins!$B:$B,0))</f>
        <v>119.02006</v>
      </c>
      <c r="AB159" s="11">
        <f>INDEX([1]ratio_ins!Z:Z,MATCH('001_population_health_zone_zs'!$B$2,[1]ratio_ins!$B:$B,0))*$G159*INDEX([1]ratio_ins!$C:$C,MATCH('001_population_health_zone_zs'!$B159,[1]ratio_ins!$B:$B,0))</f>
        <v>1547.2607800000003</v>
      </c>
      <c r="AC159" s="12">
        <f t="shared" si="12"/>
        <v>59510.03</v>
      </c>
      <c r="AD159" s="10">
        <f>INDEX([1]ratio_ins!AA:AA,MATCH('001_population_health_zone_zs'!$B$2,[1]ratio_ins!$B:$B,0))*$G159*INDEX([1]ratio_ins!$D:$D,MATCH('001_population_health_zone_zs'!$B159,[1]ratio_ins!$B:$B,0))</f>
        <v>12851.993699999999</v>
      </c>
      <c r="AE159" s="10">
        <f>INDEX([1]ratio_ins!AB:AB,MATCH('001_population_health_zone_zs'!$B$2,[1]ratio_ins!$B:$B,0))*$G159*INDEX([1]ratio_ins!$D:$D,MATCH('001_population_health_zone_zs'!$B159,[1]ratio_ins!$B:$B,0))</f>
        <v>10587.594810000001</v>
      </c>
      <c r="AF159" s="10">
        <f>INDEX([1]ratio_ins!AC:AC,MATCH('001_population_health_zone_zs'!$B$2,[1]ratio_ins!$B:$B,0))*$G159*INDEX([1]ratio_ins!$D:$D,MATCH('001_population_health_zone_zs'!$B159,[1]ratio_ins!$B:$B,0))</f>
        <v>8384.395889999998</v>
      </c>
      <c r="AG159" s="10">
        <f>INDEX([1]ratio_ins!AD:AD,MATCH('001_population_health_zone_zs'!$B$2,[1]ratio_ins!$B:$B,0))*$G159*INDEX([1]ratio_ins!$D:$D,MATCH('001_population_health_zone_zs'!$B159,[1]ratio_ins!$B:$B,0))</f>
        <v>5079.5975100000005</v>
      </c>
      <c r="AH159" s="10">
        <f>INDEX([1]ratio_ins!AE:AE,MATCH('001_population_health_zone_zs'!$B$2,[1]ratio_ins!$B:$B,0))*$G159*INDEX([1]ratio_ins!$D:$D,MATCH('001_population_health_zone_zs'!$B159,[1]ratio_ins!$B:$B,0))</f>
        <v>3047.7585059999997</v>
      </c>
      <c r="AI159" s="13">
        <f>INDEX([1]ratio_ins!AF:AF,MATCH('001_population_health_zone_zs'!$B$2,[1]ratio_ins!$B:$B,0))*$G159*INDEX([1]ratio_ins!$D:$D,MATCH('001_population_health_zone_zs'!$B159,[1]ratio_ins!$B:$B,0))</f>
        <v>34871.742905999992</v>
      </c>
      <c r="AJ159" s="10">
        <f>INDEX([1]ratio_ins!AG:AG,MATCH('001_population_health_zone_zs'!$B$2,[1]ratio_ins!$B:$B,0))*$G159*INDEX([1]ratio_ins!$D:$D,MATCH('001_population_health_zone_zs'!$B159,[1]ratio_ins!$B:$B,0))</f>
        <v>2031.8390040000002</v>
      </c>
      <c r="AK159" s="10">
        <f>INDEX([1]ratio_ins!AH:AH,MATCH('001_population_health_zone_zs'!$B$2,[1]ratio_ins!$B:$B,0))*$G159*INDEX([1]ratio_ins!$D:$D,MATCH('001_population_health_zone_zs'!$B159,[1]ratio_ins!$B:$B,0))</f>
        <v>4528.7977800000008</v>
      </c>
      <c r="AL159" s="10">
        <f>INDEX([1]ratio_ins!AI:AI,MATCH('001_population_health_zone_zs'!$B$2,[1]ratio_ins!$B:$B,0))*$G159*INDEX([1]ratio_ins!$D:$D,MATCH('001_population_health_zone_zs'!$B159,[1]ratio_ins!$B:$B,0))</f>
        <v>4283.9979000000003</v>
      </c>
      <c r="AM159" s="10">
        <f>INDEX([1]ratio_ins!AJ:AJ,MATCH('001_population_health_zone_zs'!$B$2,[1]ratio_ins!$B:$B,0))*$G159*INDEX([1]ratio_ins!$D:$D,MATCH('001_population_health_zone_zs'!$B159,[1]ratio_ins!$B:$B,0))</f>
        <v>3916.7980800000005</v>
      </c>
      <c r="AN159" s="10">
        <f>INDEX([1]ratio_ins!AK:AK,MATCH('001_population_health_zone_zs'!$B$2,[1]ratio_ins!$B:$B,0))*$G159*INDEX([1]ratio_ins!$D:$D,MATCH('001_population_health_zone_zs'!$B159,[1]ratio_ins!$B:$B,0))</f>
        <v>3671.9981999999995</v>
      </c>
      <c r="AO159" s="10">
        <f>INDEX([1]ratio_ins!AL:AL,MATCH('001_population_health_zone_zs'!$B$2,[1]ratio_ins!$B:$B,0))*$G159*INDEX([1]ratio_ins!$D:$D,MATCH('001_population_health_zone_zs'!$B159,[1]ratio_ins!$B:$B,0))</f>
        <v>2753.99865</v>
      </c>
      <c r="AP159" s="10">
        <f>INDEX([1]ratio_ins!AM:AM,MATCH('001_population_health_zone_zs'!$B$2,[1]ratio_ins!$B:$B,0))*$G159*INDEX([1]ratio_ins!$D:$D,MATCH('001_population_health_zone_zs'!$B159,[1]ratio_ins!$B:$B,0))</f>
        <v>1774.7991299999999</v>
      </c>
      <c r="AQ159" s="10">
        <f>INDEX([1]ratio_ins!AN:AN,MATCH('001_population_health_zone_zs'!$B$2,[1]ratio_ins!$B:$B,0))*$G159*INDEX([1]ratio_ins!$D:$D,MATCH('001_population_health_zone_zs'!$B159,[1]ratio_ins!$B:$B,0))</f>
        <v>1407.5993100000001</v>
      </c>
      <c r="AR159" s="10">
        <f>INDEX([1]ratio_ins!AO:AO,MATCH('001_population_health_zone_zs'!$B$2,[1]ratio_ins!$B:$B,0))*$G159*INDEX([1]ratio_ins!$D:$D,MATCH('001_population_health_zone_zs'!$B159,[1]ratio_ins!$B:$B,0))</f>
        <v>673.19967000000008</v>
      </c>
      <c r="AS159" s="13">
        <f>INDEX([1]ratio_ins!AP:AP,MATCH('001_population_health_zone_zs'!$B$2,[1]ratio_ins!$B:$B,0))*$G159*INDEX([1]ratio_ins!$D:$D,MATCH('001_population_health_zone_zs'!$B159,[1]ratio_ins!$B:$B,0))</f>
        <v>25043.027724</v>
      </c>
      <c r="AT159" s="10">
        <f>INDEX([1]ratio_ins!AQ:AQ,MATCH('001_population_health_zone_zs'!$B$2,[1]ratio_ins!$B:$B,0))*$G159*INDEX([1]ratio_ins!$D:$D,MATCH('001_population_health_zone_zs'!$B159,[1]ratio_ins!$B:$B,0))</f>
        <v>611.99970000000008</v>
      </c>
      <c r="AU159" s="10">
        <f>INDEX([1]ratio_ins!AR:AR,MATCH('001_population_health_zone_zs'!$B$2,[1]ratio_ins!$B:$B,0))*$G159*INDEX([1]ratio_ins!$D:$D,MATCH('001_population_health_zone_zs'!$B159,[1]ratio_ins!$B:$B,0))</f>
        <v>367.19981999999999</v>
      </c>
      <c r="AV159" s="10">
        <f>INDEX([1]ratio_ins!AS:AS,MATCH('001_population_health_zone_zs'!$B$2,[1]ratio_ins!$B:$B,0))*$G159*INDEX([1]ratio_ins!$D:$D,MATCH('001_population_health_zone_zs'!$B159,[1]ratio_ins!$B:$B,0))</f>
        <v>183.59990999999999</v>
      </c>
      <c r="AW159" s="10">
        <f>INDEX([1]ratio_ins!AT:AT,MATCH('001_population_health_zone_zs'!$B$2,[1]ratio_ins!$B:$B,0))*$G159*INDEX([1]ratio_ins!$D:$D,MATCH('001_population_health_zone_zs'!$B159,[1]ratio_ins!$B:$B,0))</f>
        <v>122.39994000000002</v>
      </c>
      <c r="AX159" s="13">
        <f>INDEX([1]ratio_ins!AU:AU,MATCH('001_population_health_zone_zs'!$B$2,[1]ratio_ins!$B:$B,0))*$G159*INDEX([1]ratio_ins!$D:$D,MATCH('001_population_health_zone_zs'!$B159,[1]ratio_ins!$B:$B,0))</f>
        <v>1285.19937</v>
      </c>
      <c r="AY159" s="14">
        <f t="shared" si="13"/>
        <v>61199.969999999994</v>
      </c>
      <c r="AZ159" s="15">
        <f t="shared" si="14"/>
        <v>120710</v>
      </c>
      <c r="BA159" s="16">
        <v>116304.73363991152</v>
      </c>
      <c r="BB159" s="10">
        <f t="shared" si="15"/>
        <v>26009.987250000002</v>
      </c>
      <c r="BC159" s="17">
        <f t="shared" si="16"/>
        <v>0.21547500000000003</v>
      </c>
      <c r="BD159" s="10">
        <f t="shared" si="17"/>
        <v>24815.682509999999</v>
      </c>
    </row>
    <row r="160" spans="1:56" x14ac:dyDescent="0.25">
      <c r="A160" s="8" t="s">
        <v>379</v>
      </c>
      <c r="B160" s="8" t="s">
        <v>380</v>
      </c>
      <c r="C160" s="8" t="s">
        <v>397</v>
      </c>
      <c r="D160" s="8" t="s">
        <v>398</v>
      </c>
      <c r="E160" s="8" t="s">
        <v>397</v>
      </c>
      <c r="F160" s="8" t="s">
        <v>399</v>
      </c>
      <c r="G160" s="9">
        <v>152278</v>
      </c>
      <c r="H160" s="10">
        <f>INDEX([1]ratio_ins!F:F,MATCH('001_population_health_zone_zs'!$B$2,[1]ratio_ins!$B:$B,0))*$G160*INDEX([1]ratio_ins!$C:$C,MATCH('001_population_health_zone_zs'!$B160,[1]ratio_ins!$B:$B,0))</f>
        <v>15690.268285999999</v>
      </c>
      <c r="I160" s="10">
        <f>INDEX([1]ratio_ins!G:G,MATCH('001_population_health_zone_zs'!$B$2,[1]ratio_ins!$B:$B,0))*$G160*INDEX([1]ratio_ins!$C:$C,MATCH('001_population_health_zone_zs'!$B160,[1]ratio_ins!$B:$B,0))</f>
        <v>12837.492233999999</v>
      </c>
      <c r="J160" s="10">
        <f>INDEX([1]ratio_ins!H:H,MATCH('001_population_health_zone_zs'!$B$2,[1]ratio_ins!$B:$B,0))*$G160*INDEX([1]ratio_ins!$C:$C,MATCH('001_population_health_zone_zs'!$B160,[1]ratio_ins!$B:$B,0))</f>
        <v>10134.862290000001</v>
      </c>
      <c r="K160" s="10">
        <f>INDEX([1]ratio_ins!I:I,MATCH('001_population_health_zone_zs'!$B$2,[1]ratio_ins!$B:$B,0))*$G160*INDEX([1]ratio_ins!$C:$C,MATCH('001_population_health_zone_zs'!$B160,[1]ratio_ins!$B:$B,0))</f>
        <v>6231.0634820000005</v>
      </c>
      <c r="L160" s="10">
        <f>INDEX([1]ratio_ins!J:J,MATCH('001_population_health_zone_zs'!$B$2,[1]ratio_ins!$B:$B,0))*$G160*INDEX([1]ratio_ins!$C:$C,MATCH('001_population_health_zone_zs'!$B160,[1]ratio_ins!$B:$B,0))</f>
        <v>3738.6380891999997</v>
      </c>
      <c r="M160" s="11">
        <f>INDEX([1]ratio_ins!K:K,MATCH('001_population_health_zone_zs'!$B$2,[1]ratio_ins!$B:$B,0))*$G160*INDEX([1]ratio_ins!$C:$C,MATCH('001_population_health_zone_zs'!$B160,[1]ratio_ins!$B:$B,0))</f>
        <v>42401.260899199995</v>
      </c>
      <c r="N160" s="10">
        <f>INDEX([1]ratio_ins!L:L,MATCH('001_population_health_zone_zs'!$B$2,[1]ratio_ins!$B:$B,0))*$G160*INDEX([1]ratio_ins!$C:$C,MATCH('001_population_health_zone_zs'!$B160,[1]ratio_ins!$B:$B,0))</f>
        <v>2492.4253928000003</v>
      </c>
      <c r="O160" s="10">
        <f>INDEX([1]ratio_ins!M:M,MATCH('001_population_health_zone_zs'!$B$2,[1]ratio_ins!$B:$B,0))*$G160*INDEX([1]ratio_ins!$C:$C,MATCH('001_population_health_zone_zs'!$B160,[1]ratio_ins!$B:$B,0))</f>
        <v>5405.2598880000005</v>
      </c>
      <c r="P160" s="10">
        <f>INDEX([1]ratio_ins!N:N,MATCH('001_population_health_zone_zs'!$B$2,[1]ratio_ins!$B:$B,0))*$G160*INDEX([1]ratio_ins!$C:$C,MATCH('001_population_health_zone_zs'!$B160,[1]ratio_ins!$B:$B,0))</f>
        <v>4879.7485099999994</v>
      </c>
      <c r="Q160" s="10">
        <f>INDEX([1]ratio_ins!O:O,MATCH('001_population_health_zone_zs'!$B$2,[1]ratio_ins!$B:$B,0))*$G160*INDEX([1]ratio_ins!$C:$C,MATCH('001_population_health_zone_zs'!$B160,[1]ratio_ins!$B:$B,0))</f>
        <v>4354.2371320000002</v>
      </c>
      <c r="R160" s="10">
        <f>INDEX([1]ratio_ins!P:P,MATCH('001_population_health_zone_zs'!$B$2,[1]ratio_ins!$B:$B,0))*$G160*INDEX([1]ratio_ins!$C:$C,MATCH('001_population_health_zone_zs'!$B160,[1]ratio_ins!$B:$B,0))</f>
        <v>4279.1640779999998</v>
      </c>
      <c r="S160" s="10">
        <f>INDEX([1]ratio_ins!Q:Q,MATCH('001_population_health_zone_zs'!$B$2,[1]ratio_ins!$B:$B,0))*$G160*INDEX([1]ratio_ins!$C:$C,MATCH('001_population_health_zone_zs'!$B160,[1]ratio_ins!$B:$B,0))</f>
        <v>3603.5065920000002</v>
      </c>
      <c r="T160" s="10">
        <f>INDEX([1]ratio_ins!R:R,MATCH('001_population_health_zone_zs'!$B$2,[1]ratio_ins!$B:$B,0))*$G160*INDEX([1]ratio_ins!$C:$C,MATCH('001_population_health_zone_zs'!$B160,[1]ratio_ins!$B:$B,0))</f>
        <v>2552.4838359999999</v>
      </c>
      <c r="U160" s="10">
        <f>INDEX([1]ratio_ins!S:S,MATCH('001_population_health_zone_zs'!$B$2,[1]ratio_ins!$B:$B,0))*$G160*INDEX([1]ratio_ins!$C:$C,MATCH('001_population_health_zone_zs'!$B160,[1]ratio_ins!$B:$B,0))</f>
        <v>2026.9724580000002</v>
      </c>
      <c r="V160" s="10">
        <f>INDEX([1]ratio_ins!T:T,MATCH('001_population_health_zone_zs'!$B$2,[1]ratio_ins!$B:$B,0))*$G160*INDEX([1]ratio_ins!$C:$C,MATCH('001_population_health_zone_zs'!$B160,[1]ratio_ins!$B:$B,0))</f>
        <v>1126.09581</v>
      </c>
      <c r="W160" s="11">
        <f>INDEX([1]ratio_ins!U:U,MATCH('001_population_health_zone_zs'!$B$2,[1]ratio_ins!$B:$B,0))*$G160*INDEX([1]ratio_ins!$C:$C,MATCH('001_population_health_zone_zs'!$B160,[1]ratio_ins!$B:$B,0))</f>
        <v>30719.893696799998</v>
      </c>
      <c r="X160" s="10">
        <f>INDEX([1]ratio_ins!V:V,MATCH('001_population_health_zone_zs'!$B$2,[1]ratio_ins!$B:$B,0))*$G160*INDEX([1]ratio_ins!$C:$C,MATCH('001_population_health_zone_zs'!$B160,[1]ratio_ins!$B:$B,0))</f>
        <v>900.87664800000005</v>
      </c>
      <c r="Y160" s="10">
        <f>INDEX([1]ratio_ins!W:W,MATCH('001_population_health_zone_zs'!$B$2,[1]ratio_ins!$B:$B,0))*$G160*INDEX([1]ratio_ins!$C:$C,MATCH('001_population_health_zone_zs'!$B160,[1]ratio_ins!$B:$B,0))</f>
        <v>600.58443199999999</v>
      </c>
      <c r="Z160" s="10">
        <f>INDEX([1]ratio_ins!X:X,MATCH('001_population_health_zone_zs'!$B$2,[1]ratio_ins!$B:$B,0))*$G160*INDEX([1]ratio_ins!$C:$C,MATCH('001_population_health_zone_zs'!$B160,[1]ratio_ins!$B:$B,0))</f>
        <v>300.292216</v>
      </c>
      <c r="AA160" s="10">
        <f>INDEX([1]ratio_ins!Y:Y,MATCH('001_population_health_zone_zs'!$B$2,[1]ratio_ins!$B:$B,0))*$G160*INDEX([1]ratio_ins!$C:$C,MATCH('001_population_health_zone_zs'!$B160,[1]ratio_ins!$B:$B,0))</f>
        <v>150.146108</v>
      </c>
      <c r="AB160" s="11">
        <f>INDEX([1]ratio_ins!Z:Z,MATCH('001_population_health_zone_zs'!$B$2,[1]ratio_ins!$B:$B,0))*$G160*INDEX([1]ratio_ins!$C:$C,MATCH('001_population_health_zone_zs'!$B160,[1]ratio_ins!$B:$B,0))</f>
        <v>1951.8994040000002</v>
      </c>
      <c r="AC160" s="12">
        <f t="shared" si="12"/>
        <v>75073.053999999989</v>
      </c>
      <c r="AD160" s="10">
        <f>INDEX([1]ratio_ins!AA:AA,MATCH('001_population_health_zone_zs'!$B$2,[1]ratio_ins!$B:$B,0))*$G160*INDEX([1]ratio_ins!$D:$D,MATCH('001_population_health_zone_zs'!$B160,[1]ratio_ins!$B:$B,0))</f>
        <v>16213.038659999998</v>
      </c>
      <c r="AE160" s="10">
        <f>INDEX([1]ratio_ins!AB:AB,MATCH('001_population_health_zone_zs'!$B$2,[1]ratio_ins!$B:$B,0))*$G160*INDEX([1]ratio_ins!$D:$D,MATCH('001_population_health_zone_zs'!$B160,[1]ratio_ins!$B:$B,0))</f>
        <v>13356.455658000001</v>
      </c>
      <c r="AF160" s="10">
        <f>INDEX([1]ratio_ins!AC:AC,MATCH('001_population_health_zone_zs'!$B$2,[1]ratio_ins!$B:$B,0))*$G160*INDEX([1]ratio_ins!$D:$D,MATCH('001_population_health_zone_zs'!$B160,[1]ratio_ins!$B:$B,0))</f>
        <v>10577.077601999998</v>
      </c>
      <c r="AG160" s="10">
        <f>INDEX([1]ratio_ins!AD:AD,MATCH('001_population_health_zone_zs'!$B$2,[1]ratio_ins!$B:$B,0))*$G160*INDEX([1]ratio_ins!$D:$D,MATCH('001_population_health_zone_zs'!$B160,[1]ratio_ins!$B:$B,0))</f>
        <v>6408.010518</v>
      </c>
      <c r="AH160" s="10">
        <f>INDEX([1]ratio_ins!AE:AE,MATCH('001_population_health_zone_zs'!$B$2,[1]ratio_ins!$B:$B,0))*$G160*INDEX([1]ratio_ins!$D:$D,MATCH('001_population_health_zone_zs'!$B160,[1]ratio_ins!$B:$B,0))</f>
        <v>3844.8063107999997</v>
      </c>
      <c r="AI160" s="13">
        <f>INDEX([1]ratio_ins!AF:AF,MATCH('001_population_health_zone_zs'!$B$2,[1]ratio_ins!$B:$B,0))*$G160*INDEX([1]ratio_ins!$D:$D,MATCH('001_population_health_zone_zs'!$B160,[1]ratio_ins!$B:$B,0))</f>
        <v>43991.378230799994</v>
      </c>
      <c r="AJ160" s="10">
        <f>INDEX([1]ratio_ins!AG:AG,MATCH('001_population_health_zone_zs'!$B$2,[1]ratio_ins!$B:$B,0))*$G160*INDEX([1]ratio_ins!$D:$D,MATCH('001_population_health_zone_zs'!$B160,[1]ratio_ins!$B:$B,0))</f>
        <v>2563.2042071999999</v>
      </c>
      <c r="AK160" s="10">
        <f>INDEX([1]ratio_ins!AH:AH,MATCH('001_population_health_zone_zs'!$B$2,[1]ratio_ins!$B:$B,0))*$G160*INDEX([1]ratio_ins!$D:$D,MATCH('001_population_health_zone_zs'!$B160,[1]ratio_ins!$B:$B,0))</f>
        <v>5713.1660040000006</v>
      </c>
      <c r="AL160" s="10">
        <f>INDEX([1]ratio_ins!AI:AI,MATCH('001_population_health_zone_zs'!$B$2,[1]ratio_ins!$B:$B,0))*$G160*INDEX([1]ratio_ins!$D:$D,MATCH('001_population_health_zone_zs'!$B160,[1]ratio_ins!$B:$B,0))</f>
        <v>5404.3462200000004</v>
      </c>
      <c r="AM160" s="10">
        <f>INDEX([1]ratio_ins!AJ:AJ,MATCH('001_population_health_zone_zs'!$B$2,[1]ratio_ins!$B:$B,0))*$G160*INDEX([1]ratio_ins!$D:$D,MATCH('001_population_health_zone_zs'!$B160,[1]ratio_ins!$B:$B,0))</f>
        <v>4941.1165439999995</v>
      </c>
      <c r="AN160" s="10">
        <f>INDEX([1]ratio_ins!AK:AK,MATCH('001_population_health_zone_zs'!$B$2,[1]ratio_ins!$B:$B,0))*$G160*INDEX([1]ratio_ins!$D:$D,MATCH('001_population_health_zone_zs'!$B160,[1]ratio_ins!$B:$B,0))</f>
        <v>4632.2967600000002</v>
      </c>
      <c r="AO160" s="10">
        <f>INDEX([1]ratio_ins!AL:AL,MATCH('001_population_health_zone_zs'!$B$2,[1]ratio_ins!$B:$B,0))*$G160*INDEX([1]ratio_ins!$D:$D,MATCH('001_population_health_zone_zs'!$B160,[1]ratio_ins!$B:$B,0))</f>
        <v>3474.2225699999999</v>
      </c>
      <c r="AP160" s="10">
        <f>INDEX([1]ratio_ins!AM:AM,MATCH('001_population_health_zone_zs'!$B$2,[1]ratio_ins!$B:$B,0))*$G160*INDEX([1]ratio_ins!$D:$D,MATCH('001_population_health_zone_zs'!$B160,[1]ratio_ins!$B:$B,0))</f>
        <v>2238.9434339999998</v>
      </c>
      <c r="AQ160" s="10">
        <f>INDEX([1]ratio_ins!AN:AN,MATCH('001_population_health_zone_zs'!$B$2,[1]ratio_ins!$B:$B,0))*$G160*INDEX([1]ratio_ins!$D:$D,MATCH('001_population_health_zone_zs'!$B160,[1]ratio_ins!$B:$B,0))</f>
        <v>1775.7137579999999</v>
      </c>
      <c r="AR160" s="10">
        <f>INDEX([1]ratio_ins!AO:AO,MATCH('001_population_health_zone_zs'!$B$2,[1]ratio_ins!$B:$B,0))*$G160*INDEX([1]ratio_ins!$D:$D,MATCH('001_population_health_zone_zs'!$B160,[1]ratio_ins!$B:$B,0))</f>
        <v>849.25440600000013</v>
      </c>
      <c r="AS160" s="13">
        <f>INDEX([1]ratio_ins!AP:AP,MATCH('001_population_health_zone_zs'!$B$2,[1]ratio_ins!$B:$B,0))*$G160*INDEX([1]ratio_ins!$D:$D,MATCH('001_population_health_zone_zs'!$B160,[1]ratio_ins!$B:$B,0))</f>
        <v>31592.263903200001</v>
      </c>
      <c r="AT160" s="10">
        <f>INDEX([1]ratio_ins!AQ:AQ,MATCH('001_population_health_zone_zs'!$B$2,[1]ratio_ins!$B:$B,0))*$G160*INDEX([1]ratio_ins!$D:$D,MATCH('001_population_health_zone_zs'!$B160,[1]ratio_ins!$B:$B,0))</f>
        <v>772.04945999999995</v>
      </c>
      <c r="AU160" s="10">
        <f>INDEX([1]ratio_ins!AR:AR,MATCH('001_population_health_zone_zs'!$B$2,[1]ratio_ins!$B:$B,0))*$G160*INDEX([1]ratio_ins!$D:$D,MATCH('001_population_health_zone_zs'!$B160,[1]ratio_ins!$B:$B,0))</f>
        <v>463.22967599999998</v>
      </c>
      <c r="AV160" s="10">
        <f>INDEX([1]ratio_ins!AS:AS,MATCH('001_population_health_zone_zs'!$B$2,[1]ratio_ins!$B:$B,0))*$G160*INDEX([1]ratio_ins!$D:$D,MATCH('001_population_health_zone_zs'!$B160,[1]ratio_ins!$B:$B,0))</f>
        <v>231.61483799999999</v>
      </c>
      <c r="AW160" s="10">
        <f>INDEX([1]ratio_ins!AT:AT,MATCH('001_population_health_zone_zs'!$B$2,[1]ratio_ins!$B:$B,0))*$G160*INDEX([1]ratio_ins!$D:$D,MATCH('001_population_health_zone_zs'!$B160,[1]ratio_ins!$B:$B,0))</f>
        <v>154.40989199999999</v>
      </c>
      <c r="AX160" s="13">
        <f>INDEX([1]ratio_ins!AU:AU,MATCH('001_population_health_zone_zs'!$B$2,[1]ratio_ins!$B:$B,0))*$G160*INDEX([1]ratio_ins!$D:$D,MATCH('001_population_health_zone_zs'!$B160,[1]ratio_ins!$B:$B,0))</f>
        <v>1621.303866</v>
      </c>
      <c r="AY160" s="14">
        <f t="shared" si="13"/>
        <v>77204.945999999996</v>
      </c>
      <c r="AZ160" s="15">
        <f t="shared" si="14"/>
        <v>152278</v>
      </c>
      <c r="BA160" s="16">
        <v>146721.48260515046</v>
      </c>
      <c r="BB160" s="10">
        <f t="shared" si="15"/>
        <v>32812.102050000001</v>
      </c>
      <c r="BC160" s="17">
        <f t="shared" si="16"/>
        <v>0.215475</v>
      </c>
      <c r="BD160" s="10">
        <f t="shared" si="17"/>
        <v>31305.463518</v>
      </c>
    </row>
    <row r="161" spans="1:56" x14ac:dyDescent="0.25">
      <c r="A161" s="8" t="s">
        <v>379</v>
      </c>
      <c r="B161" s="8" t="s">
        <v>380</v>
      </c>
      <c r="C161" s="8" t="s">
        <v>397</v>
      </c>
      <c r="D161" s="8" t="s">
        <v>398</v>
      </c>
      <c r="E161" s="8" t="s">
        <v>400</v>
      </c>
      <c r="F161" s="8" t="s">
        <v>401</v>
      </c>
      <c r="G161" s="9">
        <v>298921</v>
      </c>
      <c r="H161" s="10">
        <f>INDEX([1]ratio_ins!F:F,MATCH('001_population_health_zone_zs'!$B$2,[1]ratio_ins!$B:$B,0))*$G161*INDEX([1]ratio_ins!$C:$C,MATCH('001_population_health_zone_zs'!$B161,[1]ratio_ins!$B:$B,0))</f>
        <v>30799.923076999996</v>
      </c>
      <c r="I161" s="10">
        <f>INDEX([1]ratio_ins!G:G,MATCH('001_population_health_zone_zs'!$B$2,[1]ratio_ins!$B:$B,0))*$G161*INDEX([1]ratio_ins!$C:$C,MATCH('001_population_health_zone_zs'!$B161,[1]ratio_ins!$B:$B,0))</f>
        <v>25199.937063000001</v>
      </c>
      <c r="J161" s="10">
        <f>INDEX([1]ratio_ins!H:H,MATCH('001_population_health_zone_zs'!$B$2,[1]ratio_ins!$B:$B,0))*$G161*INDEX([1]ratio_ins!$C:$C,MATCH('001_population_health_zone_zs'!$B161,[1]ratio_ins!$B:$B,0))</f>
        <v>19894.687155</v>
      </c>
      <c r="K161" s="10">
        <f>INDEX([1]ratio_ins!I:I,MATCH('001_population_health_zone_zs'!$B$2,[1]ratio_ins!$B:$B,0))*$G161*INDEX([1]ratio_ins!$C:$C,MATCH('001_population_health_zone_zs'!$B161,[1]ratio_ins!$B:$B,0))</f>
        <v>12231.548399000001</v>
      </c>
      <c r="L161" s="10">
        <f>INDEX([1]ratio_ins!J:J,MATCH('001_population_health_zone_zs'!$B$2,[1]ratio_ins!$B:$B,0))*$G161*INDEX([1]ratio_ins!$C:$C,MATCH('001_population_health_zone_zs'!$B161,[1]ratio_ins!$B:$B,0))</f>
        <v>7338.9290394</v>
      </c>
      <c r="M161" s="11">
        <f>INDEX([1]ratio_ins!K:K,MATCH('001_population_health_zone_zs'!$B$2,[1]ratio_ins!$B:$B,0))*$G161*INDEX([1]ratio_ins!$C:$C,MATCH('001_population_health_zone_zs'!$B161,[1]ratio_ins!$B:$B,0))</f>
        <v>83233.476334399995</v>
      </c>
      <c r="N161" s="10">
        <f>INDEX([1]ratio_ins!L:L,MATCH('001_population_health_zone_zs'!$B$2,[1]ratio_ins!$B:$B,0))*$G161*INDEX([1]ratio_ins!$C:$C,MATCH('001_population_health_zone_zs'!$B161,[1]ratio_ins!$B:$B,0))</f>
        <v>4892.6193596000003</v>
      </c>
      <c r="O161" s="10">
        <f>INDEX([1]ratio_ins!M:M,MATCH('001_population_health_zone_zs'!$B$2,[1]ratio_ins!$B:$B,0))*$G161*INDEX([1]ratio_ins!$C:$C,MATCH('001_population_health_zone_zs'!$B161,[1]ratio_ins!$B:$B,0))</f>
        <v>10610.499816000001</v>
      </c>
      <c r="P161" s="10">
        <f>INDEX([1]ratio_ins!N:N,MATCH('001_population_health_zone_zs'!$B$2,[1]ratio_ins!$B:$B,0))*$G161*INDEX([1]ratio_ins!$C:$C,MATCH('001_population_health_zone_zs'!$B161,[1]ratio_ins!$B:$B,0))</f>
        <v>9578.9234450000004</v>
      </c>
      <c r="Q161" s="10">
        <f>INDEX([1]ratio_ins!O:O,MATCH('001_population_health_zone_zs'!$B$2,[1]ratio_ins!$B:$B,0))*$G161*INDEX([1]ratio_ins!$C:$C,MATCH('001_population_health_zone_zs'!$B161,[1]ratio_ins!$B:$B,0))</f>
        <v>8547.3470739999993</v>
      </c>
      <c r="R161" s="10">
        <f>INDEX([1]ratio_ins!P:P,MATCH('001_population_health_zone_zs'!$B$2,[1]ratio_ins!$B:$B,0))*$G161*INDEX([1]ratio_ins!$C:$C,MATCH('001_population_health_zone_zs'!$B161,[1]ratio_ins!$B:$B,0))</f>
        <v>8399.9790209999992</v>
      </c>
      <c r="S161" s="10">
        <f>INDEX([1]ratio_ins!Q:Q,MATCH('001_population_health_zone_zs'!$B$2,[1]ratio_ins!$B:$B,0))*$G161*INDEX([1]ratio_ins!$C:$C,MATCH('001_population_health_zone_zs'!$B161,[1]ratio_ins!$B:$B,0))</f>
        <v>7073.6665440000006</v>
      </c>
      <c r="T161" s="10">
        <f>INDEX([1]ratio_ins!R:R,MATCH('001_population_health_zone_zs'!$B$2,[1]ratio_ins!$B:$B,0))*$G161*INDEX([1]ratio_ins!$C:$C,MATCH('001_population_health_zone_zs'!$B161,[1]ratio_ins!$B:$B,0))</f>
        <v>5010.5138020000004</v>
      </c>
      <c r="U161" s="10">
        <f>INDEX([1]ratio_ins!S:S,MATCH('001_population_health_zone_zs'!$B$2,[1]ratio_ins!$B:$B,0))*$G161*INDEX([1]ratio_ins!$C:$C,MATCH('001_population_health_zone_zs'!$B161,[1]ratio_ins!$B:$B,0))</f>
        <v>3978.9374310000003</v>
      </c>
      <c r="V161" s="10">
        <f>INDEX([1]ratio_ins!T:T,MATCH('001_population_health_zone_zs'!$B$2,[1]ratio_ins!$B:$B,0))*$G161*INDEX([1]ratio_ins!$C:$C,MATCH('001_population_health_zone_zs'!$B161,[1]ratio_ins!$B:$B,0))</f>
        <v>2210.5207949999999</v>
      </c>
      <c r="W161" s="11">
        <f>INDEX([1]ratio_ins!U:U,MATCH('001_population_health_zone_zs'!$B$2,[1]ratio_ins!$B:$B,0))*$G161*INDEX([1]ratio_ins!$C:$C,MATCH('001_population_health_zone_zs'!$B161,[1]ratio_ins!$B:$B,0))</f>
        <v>60303.007287600005</v>
      </c>
      <c r="X161" s="10">
        <f>INDEX([1]ratio_ins!V:V,MATCH('001_population_health_zone_zs'!$B$2,[1]ratio_ins!$B:$B,0))*$G161*INDEX([1]ratio_ins!$C:$C,MATCH('001_population_health_zone_zs'!$B161,[1]ratio_ins!$B:$B,0))</f>
        <v>1768.4166360000002</v>
      </c>
      <c r="Y161" s="10">
        <f>INDEX([1]ratio_ins!W:W,MATCH('001_population_health_zone_zs'!$B$2,[1]ratio_ins!$B:$B,0))*$G161*INDEX([1]ratio_ins!$C:$C,MATCH('001_population_health_zone_zs'!$B161,[1]ratio_ins!$B:$B,0))</f>
        <v>1178.944424</v>
      </c>
      <c r="Z161" s="10">
        <f>INDEX([1]ratio_ins!X:X,MATCH('001_population_health_zone_zs'!$B$2,[1]ratio_ins!$B:$B,0))*$G161*INDEX([1]ratio_ins!$C:$C,MATCH('001_population_health_zone_zs'!$B161,[1]ratio_ins!$B:$B,0))</f>
        <v>589.47221200000001</v>
      </c>
      <c r="AA161" s="10">
        <f>INDEX([1]ratio_ins!Y:Y,MATCH('001_population_health_zone_zs'!$B$2,[1]ratio_ins!$B:$B,0))*$G161*INDEX([1]ratio_ins!$C:$C,MATCH('001_population_health_zone_zs'!$B161,[1]ratio_ins!$B:$B,0))</f>
        <v>294.73610600000001</v>
      </c>
      <c r="AB161" s="11">
        <f>INDEX([1]ratio_ins!Z:Z,MATCH('001_population_health_zone_zs'!$B$2,[1]ratio_ins!$B:$B,0))*$G161*INDEX([1]ratio_ins!$C:$C,MATCH('001_population_health_zone_zs'!$B161,[1]ratio_ins!$B:$B,0))</f>
        <v>3831.5693780000001</v>
      </c>
      <c r="AC161" s="12">
        <f t="shared" si="12"/>
        <v>147368.05300000001</v>
      </c>
      <c r="AD161" s="10">
        <f>INDEX([1]ratio_ins!AA:AA,MATCH('001_population_health_zone_zs'!$B$2,[1]ratio_ins!$B:$B,0))*$G161*INDEX([1]ratio_ins!$D:$D,MATCH('001_population_health_zone_zs'!$B161,[1]ratio_ins!$B:$B,0))</f>
        <v>31826.118869999998</v>
      </c>
      <c r="AE161" s="10">
        <f>INDEX([1]ratio_ins!AB:AB,MATCH('001_population_health_zone_zs'!$B$2,[1]ratio_ins!$B:$B,0))*$G161*INDEX([1]ratio_ins!$D:$D,MATCH('001_population_health_zone_zs'!$B161,[1]ratio_ins!$B:$B,0))</f>
        <v>26218.659831000004</v>
      </c>
      <c r="AF161" s="10">
        <f>INDEX([1]ratio_ins!AC:AC,MATCH('001_population_health_zone_zs'!$B$2,[1]ratio_ins!$B:$B,0))*$G161*INDEX([1]ratio_ins!$D:$D,MATCH('001_population_health_zone_zs'!$B161,[1]ratio_ins!$B:$B,0))</f>
        <v>20762.753739</v>
      </c>
      <c r="AG161" s="10">
        <f>INDEX([1]ratio_ins!AD:AD,MATCH('001_population_health_zone_zs'!$B$2,[1]ratio_ins!$B:$B,0))*$G161*INDEX([1]ratio_ins!$D:$D,MATCH('001_population_health_zone_zs'!$B161,[1]ratio_ins!$B:$B,0))</f>
        <v>12578.894601000002</v>
      </c>
      <c r="AH161" s="10">
        <f>INDEX([1]ratio_ins!AE:AE,MATCH('001_population_health_zone_zs'!$B$2,[1]ratio_ins!$B:$B,0))*$G161*INDEX([1]ratio_ins!$D:$D,MATCH('001_population_health_zone_zs'!$B161,[1]ratio_ins!$B:$B,0))</f>
        <v>7547.3367605999993</v>
      </c>
      <c r="AI161" s="13">
        <f>INDEX([1]ratio_ins!AF:AF,MATCH('001_population_health_zone_zs'!$B$2,[1]ratio_ins!$B:$B,0))*$G161*INDEX([1]ratio_ins!$D:$D,MATCH('001_population_health_zone_zs'!$B161,[1]ratio_ins!$B:$B,0))</f>
        <v>86354.869200599991</v>
      </c>
      <c r="AJ161" s="10">
        <f>INDEX([1]ratio_ins!AG:AG,MATCH('001_population_health_zone_zs'!$B$2,[1]ratio_ins!$B:$B,0))*$G161*INDEX([1]ratio_ins!$D:$D,MATCH('001_population_health_zone_zs'!$B161,[1]ratio_ins!$B:$B,0))</f>
        <v>5031.5578403999998</v>
      </c>
      <c r="AK161" s="10">
        <f>INDEX([1]ratio_ins!AH:AH,MATCH('001_population_health_zone_zs'!$B$2,[1]ratio_ins!$B:$B,0))*$G161*INDEX([1]ratio_ins!$D:$D,MATCH('001_population_health_zone_zs'!$B161,[1]ratio_ins!$B:$B,0))</f>
        <v>11214.918078000001</v>
      </c>
      <c r="AL161" s="10">
        <f>INDEX([1]ratio_ins!AI:AI,MATCH('001_population_health_zone_zs'!$B$2,[1]ratio_ins!$B:$B,0))*$G161*INDEX([1]ratio_ins!$D:$D,MATCH('001_population_health_zone_zs'!$B161,[1]ratio_ins!$B:$B,0))</f>
        <v>10608.70629</v>
      </c>
      <c r="AM161" s="10">
        <f>INDEX([1]ratio_ins!AJ:AJ,MATCH('001_population_health_zone_zs'!$B$2,[1]ratio_ins!$B:$B,0))*$G161*INDEX([1]ratio_ins!$D:$D,MATCH('001_population_health_zone_zs'!$B161,[1]ratio_ins!$B:$B,0))</f>
        <v>9699.3886079999993</v>
      </c>
      <c r="AN161" s="10">
        <f>INDEX([1]ratio_ins!AK:AK,MATCH('001_population_health_zone_zs'!$B$2,[1]ratio_ins!$B:$B,0))*$G161*INDEX([1]ratio_ins!$D:$D,MATCH('001_population_health_zone_zs'!$B161,[1]ratio_ins!$B:$B,0))</f>
        <v>9093.1768199999988</v>
      </c>
      <c r="AO161" s="10">
        <f>INDEX([1]ratio_ins!AL:AL,MATCH('001_population_health_zone_zs'!$B$2,[1]ratio_ins!$B:$B,0))*$G161*INDEX([1]ratio_ins!$D:$D,MATCH('001_population_health_zone_zs'!$B161,[1]ratio_ins!$B:$B,0))</f>
        <v>6819.8826149999995</v>
      </c>
      <c r="AP161" s="10">
        <f>INDEX([1]ratio_ins!AM:AM,MATCH('001_population_health_zone_zs'!$B$2,[1]ratio_ins!$B:$B,0))*$G161*INDEX([1]ratio_ins!$D:$D,MATCH('001_population_health_zone_zs'!$B161,[1]ratio_ins!$B:$B,0))</f>
        <v>4395.0354629999993</v>
      </c>
      <c r="AQ161" s="10">
        <f>INDEX([1]ratio_ins!AN:AN,MATCH('001_population_health_zone_zs'!$B$2,[1]ratio_ins!$B:$B,0))*$G161*INDEX([1]ratio_ins!$D:$D,MATCH('001_population_health_zone_zs'!$B161,[1]ratio_ins!$B:$B,0))</f>
        <v>3485.7177809999998</v>
      </c>
      <c r="AR161" s="10">
        <f>INDEX([1]ratio_ins!AO:AO,MATCH('001_population_health_zone_zs'!$B$2,[1]ratio_ins!$B:$B,0))*$G161*INDEX([1]ratio_ins!$D:$D,MATCH('001_population_health_zone_zs'!$B161,[1]ratio_ins!$B:$B,0))</f>
        <v>1667.0824170000001</v>
      </c>
      <c r="AS161" s="13">
        <f>INDEX([1]ratio_ins!AP:AP,MATCH('001_population_health_zone_zs'!$B$2,[1]ratio_ins!$B:$B,0))*$G161*INDEX([1]ratio_ins!$D:$D,MATCH('001_population_health_zone_zs'!$B161,[1]ratio_ins!$B:$B,0))</f>
        <v>62015.465912400003</v>
      </c>
      <c r="AT161" s="10">
        <f>INDEX([1]ratio_ins!AQ:AQ,MATCH('001_population_health_zone_zs'!$B$2,[1]ratio_ins!$B:$B,0))*$G161*INDEX([1]ratio_ins!$D:$D,MATCH('001_population_health_zone_zs'!$B161,[1]ratio_ins!$B:$B,0))</f>
        <v>1515.5294699999999</v>
      </c>
      <c r="AU161" s="10">
        <f>INDEX([1]ratio_ins!AR:AR,MATCH('001_population_health_zone_zs'!$B$2,[1]ratio_ins!$B:$B,0))*$G161*INDEX([1]ratio_ins!$D:$D,MATCH('001_population_health_zone_zs'!$B161,[1]ratio_ins!$B:$B,0))</f>
        <v>909.31768199999999</v>
      </c>
      <c r="AV161" s="10">
        <f>INDEX([1]ratio_ins!AS:AS,MATCH('001_population_health_zone_zs'!$B$2,[1]ratio_ins!$B:$B,0))*$G161*INDEX([1]ratio_ins!$D:$D,MATCH('001_population_health_zone_zs'!$B161,[1]ratio_ins!$B:$B,0))</f>
        <v>454.658841</v>
      </c>
      <c r="AW161" s="10">
        <f>INDEX([1]ratio_ins!AT:AT,MATCH('001_population_health_zone_zs'!$B$2,[1]ratio_ins!$B:$B,0))*$G161*INDEX([1]ratio_ins!$D:$D,MATCH('001_population_health_zone_zs'!$B161,[1]ratio_ins!$B:$B,0))</f>
        <v>303.10589399999998</v>
      </c>
      <c r="AX161" s="13">
        <f>INDEX([1]ratio_ins!AU:AU,MATCH('001_population_health_zone_zs'!$B$2,[1]ratio_ins!$B:$B,0))*$G161*INDEX([1]ratio_ins!$D:$D,MATCH('001_population_health_zone_zs'!$B161,[1]ratio_ins!$B:$B,0))</f>
        <v>3182.6118869999996</v>
      </c>
      <c r="AY161" s="14">
        <f t="shared" si="13"/>
        <v>151552.94700000001</v>
      </c>
      <c r="AZ161" s="15">
        <f t="shared" si="14"/>
        <v>298921</v>
      </c>
      <c r="BA161" s="16">
        <v>288012.6013707674</v>
      </c>
      <c r="BB161" s="10">
        <f t="shared" si="15"/>
        <v>64410.002475000008</v>
      </c>
      <c r="BC161" s="17">
        <f t="shared" si="16"/>
        <v>0.21547500000000003</v>
      </c>
      <c r="BD161" s="10">
        <f t="shared" si="17"/>
        <v>61452.478101000001</v>
      </c>
    </row>
    <row r="162" spans="1:56" x14ac:dyDescent="0.25">
      <c r="A162" s="8" t="s">
        <v>379</v>
      </c>
      <c r="B162" s="8" t="s">
        <v>380</v>
      </c>
      <c r="C162" s="8" t="s">
        <v>397</v>
      </c>
      <c r="D162" s="8" t="s">
        <v>398</v>
      </c>
      <c r="E162" s="8" t="s">
        <v>402</v>
      </c>
      <c r="F162" s="8" t="s">
        <v>403</v>
      </c>
      <c r="G162" s="9">
        <v>150068</v>
      </c>
      <c r="H162" s="10">
        <f>INDEX([1]ratio_ins!F:F,MATCH('001_population_health_zone_zs'!$B$2,[1]ratio_ins!$B:$B,0))*$G162*INDEX([1]ratio_ins!$C:$C,MATCH('001_population_health_zone_zs'!$B162,[1]ratio_ins!$B:$B,0))</f>
        <v>15462.556515999999</v>
      </c>
      <c r="I162" s="10">
        <f>INDEX([1]ratio_ins!G:G,MATCH('001_population_health_zone_zs'!$B$2,[1]ratio_ins!$B:$B,0))*$G162*INDEX([1]ratio_ins!$C:$C,MATCH('001_population_health_zone_zs'!$B162,[1]ratio_ins!$B:$B,0))</f>
        <v>12651.182604</v>
      </c>
      <c r="J162" s="10">
        <f>INDEX([1]ratio_ins!H:H,MATCH('001_population_health_zone_zs'!$B$2,[1]ratio_ins!$B:$B,0))*$G162*INDEX([1]ratio_ins!$C:$C,MATCH('001_population_health_zone_zs'!$B162,[1]ratio_ins!$B:$B,0))</f>
        <v>9987.7757399999991</v>
      </c>
      <c r="K162" s="10">
        <f>INDEX([1]ratio_ins!I:I,MATCH('001_population_health_zone_zs'!$B$2,[1]ratio_ins!$B:$B,0))*$G162*INDEX([1]ratio_ins!$C:$C,MATCH('001_population_health_zone_zs'!$B162,[1]ratio_ins!$B:$B,0))</f>
        <v>6140.6324919999997</v>
      </c>
      <c r="L162" s="10">
        <f>INDEX([1]ratio_ins!J:J,MATCH('001_population_health_zone_zs'!$B$2,[1]ratio_ins!$B:$B,0))*$G162*INDEX([1]ratio_ins!$C:$C,MATCH('001_population_health_zone_zs'!$B162,[1]ratio_ins!$B:$B,0))</f>
        <v>3684.3794951999998</v>
      </c>
      <c r="M162" s="11">
        <f>INDEX([1]ratio_ins!K:K,MATCH('001_population_health_zone_zs'!$B$2,[1]ratio_ins!$B:$B,0))*$G162*INDEX([1]ratio_ins!$C:$C,MATCH('001_population_health_zone_zs'!$B162,[1]ratio_ins!$B:$B,0))</f>
        <v>41785.894355199998</v>
      </c>
      <c r="N162" s="10">
        <f>INDEX([1]ratio_ins!L:L,MATCH('001_population_health_zone_zs'!$B$2,[1]ratio_ins!$B:$B,0))*$G162*INDEX([1]ratio_ins!$C:$C,MATCH('001_population_health_zone_zs'!$B162,[1]ratio_ins!$B:$B,0))</f>
        <v>2456.2529967999999</v>
      </c>
      <c r="O162" s="10">
        <f>INDEX([1]ratio_ins!M:M,MATCH('001_population_health_zone_zs'!$B$2,[1]ratio_ins!$B:$B,0))*$G162*INDEX([1]ratio_ins!$C:$C,MATCH('001_population_health_zone_zs'!$B162,[1]ratio_ins!$B:$B,0))</f>
        <v>5326.8137280000001</v>
      </c>
      <c r="P162" s="10">
        <f>INDEX([1]ratio_ins!N:N,MATCH('001_population_health_zone_zs'!$B$2,[1]ratio_ins!$B:$B,0))*$G162*INDEX([1]ratio_ins!$C:$C,MATCH('001_population_health_zone_zs'!$B162,[1]ratio_ins!$B:$B,0))</f>
        <v>4808.9290600000004</v>
      </c>
      <c r="Q162" s="10">
        <f>INDEX([1]ratio_ins!O:O,MATCH('001_population_health_zone_zs'!$B$2,[1]ratio_ins!$B:$B,0))*$G162*INDEX([1]ratio_ins!$C:$C,MATCH('001_population_health_zone_zs'!$B162,[1]ratio_ins!$B:$B,0))</f>
        <v>4291.0443919999998</v>
      </c>
      <c r="R162" s="10">
        <f>INDEX([1]ratio_ins!P:P,MATCH('001_population_health_zone_zs'!$B$2,[1]ratio_ins!$B:$B,0))*$G162*INDEX([1]ratio_ins!$C:$C,MATCH('001_population_health_zone_zs'!$B162,[1]ratio_ins!$B:$B,0))</f>
        <v>4217.0608680000005</v>
      </c>
      <c r="S162" s="10">
        <f>INDEX([1]ratio_ins!Q:Q,MATCH('001_population_health_zone_zs'!$B$2,[1]ratio_ins!$B:$B,0))*$G162*INDEX([1]ratio_ins!$C:$C,MATCH('001_population_health_zone_zs'!$B162,[1]ratio_ins!$B:$B,0))</f>
        <v>3551.2091519999999</v>
      </c>
      <c r="T162" s="10">
        <f>INDEX([1]ratio_ins!R:R,MATCH('001_population_health_zone_zs'!$B$2,[1]ratio_ins!$B:$B,0))*$G162*INDEX([1]ratio_ins!$C:$C,MATCH('001_population_health_zone_zs'!$B162,[1]ratio_ins!$B:$B,0))</f>
        <v>2515.4398160000005</v>
      </c>
      <c r="U162" s="10">
        <f>INDEX([1]ratio_ins!S:S,MATCH('001_population_health_zone_zs'!$B$2,[1]ratio_ins!$B:$B,0))*$G162*INDEX([1]ratio_ins!$C:$C,MATCH('001_population_health_zone_zs'!$B162,[1]ratio_ins!$B:$B,0))</f>
        <v>1997.5551480000004</v>
      </c>
      <c r="V162" s="10">
        <f>INDEX([1]ratio_ins!T:T,MATCH('001_population_health_zone_zs'!$B$2,[1]ratio_ins!$B:$B,0))*$G162*INDEX([1]ratio_ins!$C:$C,MATCH('001_population_health_zone_zs'!$B162,[1]ratio_ins!$B:$B,0))</f>
        <v>1109.7528600000001</v>
      </c>
      <c r="W162" s="11">
        <f>INDEX([1]ratio_ins!U:U,MATCH('001_population_health_zone_zs'!$B$2,[1]ratio_ins!$B:$B,0))*$G162*INDEX([1]ratio_ins!$C:$C,MATCH('001_population_health_zone_zs'!$B162,[1]ratio_ins!$B:$B,0))</f>
        <v>30274.058020800003</v>
      </c>
      <c r="X162" s="10">
        <f>INDEX([1]ratio_ins!V:V,MATCH('001_population_health_zone_zs'!$B$2,[1]ratio_ins!$B:$B,0))*$G162*INDEX([1]ratio_ins!$C:$C,MATCH('001_population_health_zone_zs'!$B162,[1]ratio_ins!$B:$B,0))</f>
        <v>887.80228799999998</v>
      </c>
      <c r="Y162" s="10">
        <f>INDEX([1]ratio_ins!W:W,MATCH('001_population_health_zone_zs'!$B$2,[1]ratio_ins!$B:$B,0))*$G162*INDEX([1]ratio_ins!$C:$C,MATCH('001_population_health_zone_zs'!$B162,[1]ratio_ins!$B:$B,0))</f>
        <v>591.86819200000002</v>
      </c>
      <c r="Z162" s="10">
        <f>INDEX([1]ratio_ins!X:X,MATCH('001_population_health_zone_zs'!$B$2,[1]ratio_ins!$B:$B,0))*$G162*INDEX([1]ratio_ins!$C:$C,MATCH('001_population_health_zone_zs'!$B162,[1]ratio_ins!$B:$B,0))</f>
        <v>295.93409600000001</v>
      </c>
      <c r="AA162" s="10">
        <f>INDEX([1]ratio_ins!Y:Y,MATCH('001_population_health_zone_zs'!$B$2,[1]ratio_ins!$B:$B,0))*$G162*INDEX([1]ratio_ins!$C:$C,MATCH('001_population_health_zone_zs'!$B162,[1]ratio_ins!$B:$B,0))</f>
        <v>147.96704800000001</v>
      </c>
      <c r="AB162" s="11">
        <f>INDEX([1]ratio_ins!Z:Z,MATCH('001_population_health_zone_zs'!$B$2,[1]ratio_ins!$B:$B,0))*$G162*INDEX([1]ratio_ins!$C:$C,MATCH('001_population_health_zone_zs'!$B162,[1]ratio_ins!$B:$B,0))</f>
        <v>1923.5716240000002</v>
      </c>
      <c r="AC162" s="12">
        <f t="shared" si="12"/>
        <v>73983.524000000005</v>
      </c>
      <c r="AD162" s="10">
        <f>INDEX([1]ratio_ins!AA:AA,MATCH('001_population_health_zone_zs'!$B$2,[1]ratio_ins!$B:$B,0))*$G162*INDEX([1]ratio_ins!$D:$D,MATCH('001_population_health_zone_zs'!$B162,[1]ratio_ins!$B:$B,0))</f>
        <v>15977.739959999999</v>
      </c>
      <c r="AE162" s="10">
        <f>INDEX([1]ratio_ins!AB:AB,MATCH('001_population_health_zone_zs'!$B$2,[1]ratio_ins!$B:$B,0))*$G162*INDEX([1]ratio_ins!$D:$D,MATCH('001_population_health_zone_zs'!$B162,[1]ratio_ins!$B:$B,0))</f>
        <v>13162.614348000001</v>
      </c>
      <c r="AF162" s="10">
        <f>INDEX([1]ratio_ins!AC:AC,MATCH('001_population_health_zone_zs'!$B$2,[1]ratio_ins!$B:$B,0))*$G162*INDEX([1]ratio_ins!$D:$D,MATCH('001_population_health_zone_zs'!$B162,[1]ratio_ins!$B:$B,0))</f>
        <v>10423.573211999999</v>
      </c>
      <c r="AG162" s="10">
        <f>INDEX([1]ratio_ins!AD:AD,MATCH('001_population_health_zone_zs'!$B$2,[1]ratio_ins!$B:$B,0))*$G162*INDEX([1]ratio_ins!$D:$D,MATCH('001_population_health_zone_zs'!$B162,[1]ratio_ins!$B:$B,0))</f>
        <v>6315.0115080000005</v>
      </c>
      <c r="AH162" s="10">
        <f>INDEX([1]ratio_ins!AE:AE,MATCH('001_population_health_zone_zs'!$B$2,[1]ratio_ins!$B:$B,0))*$G162*INDEX([1]ratio_ins!$D:$D,MATCH('001_population_health_zone_zs'!$B162,[1]ratio_ins!$B:$B,0))</f>
        <v>3789.0069047999996</v>
      </c>
      <c r="AI162" s="13">
        <f>INDEX([1]ratio_ins!AF:AF,MATCH('001_population_health_zone_zs'!$B$2,[1]ratio_ins!$B:$B,0))*$G162*INDEX([1]ratio_ins!$D:$D,MATCH('001_population_health_zone_zs'!$B162,[1]ratio_ins!$B:$B,0))</f>
        <v>43352.934424799998</v>
      </c>
      <c r="AJ162" s="10">
        <f>INDEX([1]ratio_ins!AG:AG,MATCH('001_population_health_zone_zs'!$B$2,[1]ratio_ins!$B:$B,0))*$G162*INDEX([1]ratio_ins!$D:$D,MATCH('001_population_health_zone_zs'!$B162,[1]ratio_ins!$B:$B,0))</f>
        <v>2526.0046032</v>
      </c>
      <c r="AK162" s="10">
        <f>INDEX([1]ratio_ins!AH:AH,MATCH('001_population_health_zone_zs'!$B$2,[1]ratio_ins!$B:$B,0))*$G162*INDEX([1]ratio_ins!$D:$D,MATCH('001_population_health_zone_zs'!$B162,[1]ratio_ins!$B:$B,0))</f>
        <v>5630.2512240000005</v>
      </c>
      <c r="AL162" s="10">
        <f>INDEX([1]ratio_ins!AI:AI,MATCH('001_population_health_zone_zs'!$B$2,[1]ratio_ins!$B:$B,0))*$G162*INDEX([1]ratio_ins!$D:$D,MATCH('001_population_health_zone_zs'!$B162,[1]ratio_ins!$B:$B,0))</f>
        <v>5325.9133200000006</v>
      </c>
      <c r="AM162" s="10">
        <f>INDEX([1]ratio_ins!AJ:AJ,MATCH('001_population_health_zone_zs'!$B$2,[1]ratio_ins!$B:$B,0))*$G162*INDEX([1]ratio_ins!$D:$D,MATCH('001_population_health_zone_zs'!$B162,[1]ratio_ins!$B:$B,0))</f>
        <v>4869.4064640000006</v>
      </c>
      <c r="AN162" s="10">
        <f>INDEX([1]ratio_ins!AK:AK,MATCH('001_population_health_zone_zs'!$B$2,[1]ratio_ins!$B:$B,0))*$G162*INDEX([1]ratio_ins!$D:$D,MATCH('001_population_health_zone_zs'!$B162,[1]ratio_ins!$B:$B,0))</f>
        <v>4565.0685599999997</v>
      </c>
      <c r="AO162" s="10">
        <f>INDEX([1]ratio_ins!AL:AL,MATCH('001_population_health_zone_zs'!$B$2,[1]ratio_ins!$B:$B,0))*$G162*INDEX([1]ratio_ins!$D:$D,MATCH('001_population_health_zone_zs'!$B162,[1]ratio_ins!$B:$B,0))</f>
        <v>3423.8014199999998</v>
      </c>
      <c r="AP162" s="10">
        <f>INDEX([1]ratio_ins!AM:AM,MATCH('001_population_health_zone_zs'!$B$2,[1]ratio_ins!$B:$B,0))*$G162*INDEX([1]ratio_ins!$D:$D,MATCH('001_population_health_zone_zs'!$B162,[1]ratio_ins!$B:$B,0))</f>
        <v>2206.4498039999999</v>
      </c>
      <c r="AQ162" s="10">
        <f>INDEX([1]ratio_ins!AN:AN,MATCH('001_population_health_zone_zs'!$B$2,[1]ratio_ins!$B:$B,0))*$G162*INDEX([1]ratio_ins!$D:$D,MATCH('001_population_health_zone_zs'!$B162,[1]ratio_ins!$B:$B,0))</f>
        <v>1749.9429479999999</v>
      </c>
      <c r="AR162" s="10">
        <f>INDEX([1]ratio_ins!AO:AO,MATCH('001_population_health_zone_zs'!$B$2,[1]ratio_ins!$B:$B,0))*$G162*INDEX([1]ratio_ins!$D:$D,MATCH('001_population_health_zone_zs'!$B162,[1]ratio_ins!$B:$B,0))</f>
        <v>836.92923600000017</v>
      </c>
      <c r="AS162" s="13">
        <f>INDEX([1]ratio_ins!AP:AP,MATCH('001_population_health_zone_zs'!$B$2,[1]ratio_ins!$B:$B,0))*$G162*INDEX([1]ratio_ins!$D:$D,MATCH('001_population_health_zone_zs'!$B162,[1]ratio_ins!$B:$B,0))</f>
        <v>31133.767579200001</v>
      </c>
      <c r="AT162" s="10">
        <f>INDEX([1]ratio_ins!AQ:AQ,MATCH('001_population_health_zone_zs'!$B$2,[1]ratio_ins!$B:$B,0))*$G162*INDEX([1]ratio_ins!$D:$D,MATCH('001_population_health_zone_zs'!$B162,[1]ratio_ins!$B:$B,0))</f>
        <v>760.84476000000006</v>
      </c>
      <c r="AU162" s="10">
        <f>INDEX([1]ratio_ins!AR:AR,MATCH('001_population_health_zone_zs'!$B$2,[1]ratio_ins!$B:$B,0))*$G162*INDEX([1]ratio_ins!$D:$D,MATCH('001_population_health_zone_zs'!$B162,[1]ratio_ins!$B:$B,0))</f>
        <v>456.50685600000003</v>
      </c>
      <c r="AV162" s="10">
        <f>INDEX([1]ratio_ins!AS:AS,MATCH('001_population_health_zone_zs'!$B$2,[1]ratio_ins!$B:$B,0))*$G162*INDEX([1]ratio_ins!$D:$D,MATCH('001_population_health_zone_zs'!$B162,[1]ratio_ins!$B:$B,0))</f>
        <v>228.25342800000001</v>
      </c>
      <c r="AW162" s="10">
        <f>INDEX([1]ratio_ins!AT:AT,MATCH('001_population_health_zone_zs'!$B$2,[1]ratio_ins!$B:$B,0))*$G162*INDEX([1]ratio_ins!$D:$D,MATCH('001_population_health_zone_zs'!$B162,[1]ratio_ins!$B:$B,0))</f>
        <v>152.16895200000002</v>
      </c>
      <c r="AX162" s="13">
        <f>INDEX([1]ratio_ins!AU:AU,MATCH('001_population_health_zone_zs'!$B$2,[1]ratio_ins!$B:$B,0))*$G162*INDEX([1]ratio_ins!$D:$D,MATCH('001_population_health_zone_zs'!$B162,[1]ratio_ins!$B:$B,0))</f>
        <v>1597.7739959999999</v>
      </c>
      <c r="AY162" s="14">
        <f t="shared" si="13"/>
        <v>76084.475999999995</v>
      </c>
      <c r="AZ162" s="15">
        <f t="shared" si="14"/>
        <v>150068</v>
      </c>
      <c r="BA162" s="16">
        <v>144591.57981239993</v>
      </c>
      <c r="BB162" s="10">
        <f t="shared" si="15"/>
        <v>32335.902299999998</v>
      </c>
      <c r="BC162" s="17">
        <f t="shared" si="16"/>
        <v>0.215475</v>
      </c>
      <c r="BD162" s="10">
        <f t="shared" si="17"/>
        <v>30851.129508000002</v>
      </c>
    </row>
    <row r="163" spans="1:56" x14ac:dyDescent="0.25">
      <c r="A163" s="8" t="s">
        <v>379</v>
      </c>
      <c r="B163" s="8" t="s">
        <v>380</v>
      </c>
      <c r="C163" s="8" t="s">
        <v>404</v>
      </c>
      <c r="D163" s="8" t="s">
        <v>405</v>
      </c>
      <c r="E163" s="8" t="s">
        <v>406</v>
      </c>
      <c r="F163" s="8" t="s">
        <v>407</v>
      </c>
      <c r="G163" s="9">
        <v>220141</v>
      </c>
      <c r="H163" s="10">
        <f>INDEX([1]ratio_ins!F:F,MATCH('001_population_health_zone_zs'!$B$2,[1]ratio_ins!$B:$B,0))*$G163*INDEX([1]ratio_ins!$C:$C,MATCH('001_population_health_zone_zs'!$B163,[1]ratio_ins!$B:$B,0))</f>
        <v>22682.668216999999</v>
      </c>
      <c r="I163" s="10">
        <f>INDEX([1]ratio_ins!G:G,MATCH('001_population_health_zone_zs'!$B$2,[1]ratio_ins!$B:$B,0))*$G163*INDEX([1]ratio_ins!$C:$C,MATCH('001_population_health_zone_zs'!$B163,[1]ratio_ins!$B:$B,0))</f>
        <v>18558.546723000003</v>
      </c>
      <c r="J163" s="10">
        <f>INDEX([1]ratio_ins!H:H,MATCH('001_population_health_zone_zs'!$B$2,[1]ratio_ins!$B:$B,0))*$G163*INDEX([1]ratio_ins!$C:$C,MATCH('001_population_health_zone_zs'!$B163,[1]ratio_ins!$B:$B,0))</f>
        <v>14651.484255000001</v>
      </c>
      <c r="K163" s="10">
        <f>INDEX([1]ratio_ins!I:I,MATCH('001_population_health_zone_zs'!$B$2,[1]ratio_ins!$B:$B,0))*$G163*INDEX([1]ratio_ins!$C:$C,MATCH('001_population_health_zone_zs'!$B163,[1]ratio_ins!$B:$B,0))</f>
        <v>9007.9495790000001</v>
      </c>
      <c r="L163" s="10">
        <f>INDEX([1]ratio_ins!J:J,MATCH('001_population_health_zone_zs'!$B$2,[1]ratio_ins!$B:$B,0))*$G163*INDEX([1]ratio_ins!$C:$C,MATCH('001_population_health_zone_zs'!$B163,[1]ratio_ins!$B:$B,0))</f>
        <v>5404.7697473999997</v>
      </c>
      <c r="M163" s="11">
        <f>INDEX([1]ratio_ins!K:K,MATCH('001_population_health_zone_zs'!$B$2,[1]ratio_ins!$B:$B,0))*$G163*INDEX([1]ratio_ins!$C:$C,MATCH('001_population_health_zone_zs'!$B163,[1]ratio_ins!$B:$B,0))</f>
        <v>61297.468942399995</v>
      </c>
      <c r="N163" s="10">
        <f>INDEX([1]ratio_ins!L:L,MATCH('001_population_health_zone_zs'!$B$2,[1]ratio_ins!$B:$B,0))*$G163*INDEX([1]ratio_ins!$C:$C,MATCH('001_population_health_zone_zs'!$B163,[1]ratio_ins!$B:$B,0))</f>
        <v>3603.1798315999999</v>
      </c>
      <c r="O163" s="10">
        <f>INDEX([1]ratio_ins!M:M,MATCH('001_population_health_zone_zs'!$B$2,[1]ratio_ins!$B:$B,0))*$G163*INDEX([1]ratio_ins!$C:$C,MATCH('001_population_health_zone_zs'!$B163,[1]ratio_ins!$B:$B,0))</f>
        <v>7814.1249360000011</v>
      </c>
      <c r="P163" s="10">
        <f>INDEX([1]ratio_ins!N:N,MATCH('001_population_health_zone_zs'!$B$2,[1]ratio_ins!$B:$B,0))*$G163*INDEX([1]ratio_ins!$C:$C,MATCH('001_population_health_zone_zs'!$B163,[1]ratio_ins!$B:$B,0))</f>
        <v>7054.418345</v>
      </c>
      <c r="Q163" s="10">
        <f>INDEX([1]ratio_ins!O:O,MATCH('001_population_health_zone_zs'!$B$2,[1]ratio_ins!$B:$B,0))*$G163*INDEX([1]ratio_ins!$C:$C,MATCH('001_population_health_zone_zs'!$B163,[1]ratio_ins!$B:$B,0))</f>
        <v>6294.7117539999999</v>
      </c>
      <c r="R163" s="10">
        <f>INDEX([1]ratio_ins!P:P,MATCH('001_population_health_zone_zs'!$B$2,[1]ratio_ins!$B:$B,0))*$G163*INDEX([1]ratio_ins!$C:$C,MATCH('001_population_health_zone_zs'!$B163,[1]ratio_ins!$B:$B,0))</f>
        <v>6186.1822410000004</v>
      </c>
      <c r="S163" s="10">
        <f>INDEX([1]ratio_ins!Q:Q,MATCH('001_population_health_zone_zs'!$B$2,[1]ratio_ins!$B:$B,0))*$G163*INDEX([1]ratio_ins!$C:$C,MATCH('001_population_health_zone_zs'!$B163,[1]ratio_ins!$B:$B,0))</f>
        <v>5209.4166239999995</v>
      </c>
      <c r="T163" s="10">
        <f>INDEX([1]ratio_ins!R:R,MATCH('001_population_health_zone_zs'!$B$2,[1]ratio_ins!$B:$B,0))*$G163*INDEX([1]ratio_ins!$C:$C,MATCH('001_population_health_zone_zs'!$B163,[1]ratio_ins!$B:$B,0))</f>
        <v>3690.0034420000002</v>
      </c>
      <c r="U163" s="10">
        <f>INDEX([1]ratio_ins!S:S,MATCH('001_population_health_zone_zs'!$B$2,[1]ratio_ins!$B:$B,0))*$G163*INDEX([1]ratio_ins!$C:$C,MATCH('001_population_health_zone_zs'!$B163,[1]ratio_ins!$B:$B,0))</f>
        <v>2930.2968510000005</v>
      </c>
      <c r="V163" s="10">
        <f>INDEX([1]ratio_ins!T:T,MATCH('001_population_health_zone_zs'!$B$2,[1]ratio_ins!$B:$B,0))*$G163*INDEX([1]ratio_ins!$C:$C,MATCH('001_population_health_zone_zs'!$B163,[1]ratio_ins!$B:$B,0))</f>
        <v>1627.942695</v>
      </c>
      <c r="W163" s="11">
        <f>INDEX([1]ratio_ins!U:U,MATCH('001_population_health_zone_zs'!$B$2,[1]ratio_ins!$B:$B,0))*$G163*INDEX([1]ratio_ins!$C:$C,MATCH('001_population_health_zone_zs'!$B163,[1]ratio_ins!$B:$B,0))</f>
        <v>44410.276719599999</v>
      </c>
      <c r="X163" s="10">
        <f>INDEX([1]ratio_ins!V:V,MATCH('001_population_health_zone_zs'!$B$2,[1]ratio_ins!$B:$B,0))*$G163*INDEX([1]ratio_ins!$C:$C,MATCH('001_population_health_zone_zs'!$B163,[1]ratio_ins!$B:$B,0))</f>
        <v>1302.3541559999999</v>
      </c>
      <c r="Y163" s="10">
        <f>INDEX([1]ratio_ins!W:W,MATCH('001_population_health_zone_zs'!$B$2,[1]ratio_ins!$B:$B,0))*$G163*INDEX([1]ratio_ins!$C:$C,MATCH('001_population_health_zone_zs'!$B163,[1]ratio_ins!$B:$B,0))</f>
        <v>868.23610399999995</v>
      </c>
      <c r="Z163" s="10">
        <f>INDEX([1]ratio_ins!X:X,MATCH('001_population_health_zone_zs'!$B$2,[1]ratio_ins!$B:$B,0))*$G163*INDEX([1]ratio_ins!$C:$C,MATCH('001_population_health_zone_zs'!$B163,[1]ratio_ins!$B:$B,0))</f>
        <v>434.11805199999998</v>
      </c>
      <c r="AA163" s="10">
        <f>INDEX([1]ratio_ins!Y:Y,MATCH('001_population_health_zone_zs'!$B$2,[1]ratio_ins!$B:$B,0))*$G163*INDEX([1]ratio_ins!$C:$C,MATCH('001_population_health_zone_zs'!$B163,[1]ratio_ins!$B:$B,0))</f>
        <v>217.05902599999999</v>
      </c>
      <c r="AB163" s="11">
        <f>INDEX([1]ratio_ins!Z:Z,MATCH('001_population_health_zone_zs'!$B$2,[1]ratio_ins!$B:$B,0))*$G163*INDEX([1]ratio_ins!$C:$C,MATCH('001_population_health_zone_zs'!$B163,[1]ratio_ins!$B:$B,0))</f>
        <v>2821.7673380000001</v>
      </c>
      <c r="AC163" s="12">
        <f t="shared" si="12"/>
        <v>108529.51300000001</v>
      </c>
      <c r="AD163" s="10">
        <f>INDEX([1]ratio_ins!AA:AA,MATCH('001_population_health_zone_zs'!$B$2,[1]ratio_ins!$B:$B,0))*$G163*INDEX([1]ratio_ins!$D:$D,MATCH('001_population_health_zone_zs'!$B163,[1]ratio_ins!$B:$B,0))</f>
        <v>23438.412270000001</v>
      </c>
      <c r="AE163" s="10">
        <f>INDEX([1]ratio_ins!AB:AB,MATCH('001_population_health_zone_zs'!$B$2,[1]ratio_ins!$B:$B,0))*$G163*INDEX([1]ratio_ins!$D:$D,MATCH('001_population_health_zone_zs'!$B163,[1]ratio_ins!$B:$B,0))</f>
        <v>19308.787251000002</v>
      </c>
      <c r="AF163" s="10">
        <f>INDEX([1]ratio_ins!AC:AC,MATCH('001_population_health_zone_zs'!$B$2,[1]ratio_ins!$B:$B,0))*$G163*INDEX([1]ratio_ins!$D:$D,MATCH('001_population_health_zone_zs'!$B163,[1]ratio_ins!$B:$B,0))</f>
        <v>15290.773718999997</v>
      </c>
      <c r="AG163" s="10">
        <f>INDEX([1]ratio_ins!AD:AD,MATCH('001_population_health_zone_zs'!$B$2,[1]ratio_ins!$B:$B,0))*$G163*INDEX([1]ratio_ins!$D:$D,MATCH('001_population_health_zone_zs'!$B163,[1]ratio_ins!$B:$B,0))</f>
        <v>9263.7534210000013</v>
      </c>
      <c r="AH163" s="10">
        <f>INDEX([1]ratio_ins!AE:AE,MATCH('001_population_health_zone_zs'!$B$2,[1]ratio_ins!$B:$B,0))*$G163*INDEX([1]ratio_ins!$D:$D,MATCH('001_population_health_zone_zs'!$B163,[1]ratio_ins!$B:$B,0))</f>
        <v>5558.2520525999989</v>
      </c>
      <c r="AI163" s="13">
        <f>INDEX([1]ratio_ins!AF:AF,MATCH('001_population_health_zone_zs'!$B$2,[1]ratio_ins!$B:$B,0))*$G163*INDEX([1]ratio_ins!$D:$D,MATCH('001_population_health_zone_zs'!$B163,[1]ratio_ins!$B:$B,0))</f>
        <v>63596.2252926</v>
      </c>
      <c r="AJ163" s="10">
        <f>INDEX([1]ratio_ins!AG:AG,MATCH('001_population_health_zone_zs'!$B$2,[1]ratio_ins!$B:$B,0))*$G163*INDEX([1]ratio_ins!$D:$D,MATCH('001_population_health_zone_zs'!$B163,[1]ratio_ins!$B:$B,0))</f>
        <v>3705.5013684</v>
      </c>
      <c r="AK163" s="10">
        <f>INDEX([1]ratio_ins!AH:AH,MATCH('001_population_health_zone_zs'!$B$2,[1]ratio_ins!$B:$B,0))*$G163*INDEX([1]ratio_ins!$D:$D,MATCH('001_population_health_zone_zs'!$B163,[1]ratio_ins!$B:$B,0))</f>
        <v>8259.250038000002</v>
      </c>
      <c r="AL163" s="10">
        <f>INDEX([1]ratio_ins!AI:AI,MATCH('001_population_health_zone_zs'!$B$2,[1]ratio_ins!$B:$B,0))*$G163*INDEX([1]ratio_ins!$D:$D,MATCH('001_population_health_zone_zs'!$B163,[1]ratio_ins!$B:$B,0))</f>
        <v>7812.8040900000005</v>
      </c>
      <c r="AM163" s="10">
        <f>INDEX([1]ratio_ins!AJ:AJ,MATCH('001_population_health_zone_zs'!$B$2,[1]ratio_ins!$B:$B,0))*$G163*INDEX([1]ratio_ins!$D:$D,MATCH('001_population_health_zone_zs'!$B163,[1]ratio_ins!$B:$B,0))</f>
        <v>7143.1351679999998</v>
      </c>
      <c r="AN163" s="10">
        <f>INDEX([1]ratio_ins!AK:AK,MATCH('001_population_health_zone_zs'!$B$2,[1]ratio_ins!$B:$B,0))*$G163*INDEX([1]ratio_ins!$D:$D,MATCH('001_population_health_zone_zs'!$B163,[1]ratio_ins!$B:$B,0))</f>
        <v>6696.6892199999993</v>
      </c>
      <c r="AO163" s="10">
        <f>INDEX([1]ratio_ins!AL:AL,MATCH('001_population_health_zone_zs'!$B$2,[1]ratio_ins!$B:$B,0))*$G163*INDEX([1]ratio_ins!$D:$D,MATCH('001_population_health_zone_zs'!$B163,[1]ratio_ins!$B:$B,0))</f>
        <v>5022.5169150000002</v>
      </c>
      <c r="AP163" s="10">
        <f>INDEX([1]ratio_ins!AM:AM,MATCH('001_population_health_zone_zs'!$B$2,[1]ratio_ins!$B:$B,0))*$G163*INDEX([1]ratio_ins!$D:$D,MATCH('001_population_health_zone_zs'!$B163,[1]ratio_ins!$B:$B,0))</f>
        <v>3236.733123</v>
      </c>
      <c r="AQ163" s="10">
        <f>INDEX([1]ratio_ins!AN:AN,MATCH('001_population_health_zone_zs'!$B$2,[1]ratio_ins!$B:$B,0))*$G163*INDEX([1]ratio_ins!$D:$D,MATCH('001_population_health_zone_zs'!$B163,[1]ratio_ins!$B:$B,0))</f>
        <v>2567.0642009999997</v>
      </c>
      <c r="AR163" s="10">
        <f>INDEX([1]ratio_ins!AO:AO,MATCH('001_population_health_zone_zs'!$B$2,[1]ratio_ins!$B:$B,0))*$G163*INDEX([1]ratio_ins!$D:$D,MATCH('001_population_health_zone_zs'!$B163,[1]ratio_ins!$B:$B,0))</f>
        <v>1227.7263570000002</v>
      </c>
      <c r="AS163" s="13">
        <f>INDEX([1]ratio_ins!AP:AP,MATCH('001_population_health_zone_zs'!$B$2,[1]ratio_ins!$B:$B,0))*$G163*INDEX([1]ratio_ins!$D:$D,MATCH('001_population_health_zone_zs'!$B163,[1]ratio_ins!$B:$B,0))</f>
        <v>45671.420480399996</v>
      </c>
      <c r="AT163" s="10">
        <f>INDEX([1]ratio_ins!AQ:AQ,MATCH('001_population_health_zone_zs'!$B$2,[1]ratio_ins!$B:$B,0))*$G163*INDEX([1]ratio_ins!$D:$D,MATCH('001_population_health_zone_zs'!$B163,[1]ratio_ins!$B:$B,0))</f>
        <v>1116.1148699999999</v>
      </c>
      <c r="AU163" s="10">
        <f>INDEX([1]ratio_ins!AR:AR,MATCH('001_population_health_zone_zs'!$B$2,[1]ratio_ins!$B:$B,0))*$G163*INDEX([1]ratio_ins!$D:$D,MATCH('001_population_health_zone_zs'!$B163,[1]ratio_ins!$B:$B,0))</f>
        <v>669.66892200000007</v>
      </c>
      <c r="AV163" s="10">
        <f>INDEX([1]ratio_ins!AS:AS,MATCH('001_population_health_zone_zs'!$B$2,[1]ratio_ins!$B:$B,0))*$G163*INDEX([1]ratio_ins!$D:$D,MATCH('001_population_health_zone_zs'!$B163,[1]ratio_ins!$B:$B,0))</f>
        <v>334.83446100000003</v>
      </c>
      <c r="AW163" s="10">
        <f>INDEX([1]ratio_ins!AT:AT,MATCH('001_population_health_zone_zs'!$B$2,[1]ratio_ins!$B:$B,0))*$G163*INDEX([1]ratio_ins!$D:$D,MATCH('001_population_health_zone_zs'!$B163,[1]ratio_ins!$B:$B,0))</f>
        <v>223.22297399999999</v>
      </c>
      <c r="AX163" s="13">
        <f>INDEX([1]ratio_ins!AU:AU,MATCH('001_population_health_zone_zs'!$B$2,[1]ratio_ins!$B:$B,0))*$G163*INDEX([1]ratio_ins!$D:$D,MATCH('001_population_health_zone_zs'!$B163,[1]ratio_ins!$B:$B,0))</f>
        <v>2343.8412269999999</v>
      </c>
      <c r="AY163" s="14">
        <f t="shared" si="13"/>
        <v>111611.48699999999</v>
      </c>
      <c r="AZ163" s="15">
        <f t="shared" si="14"/>
        <v>220141</v>
      </c>
      <c r="BA163" s="16">
        <v>212107.91917462659</v>
      </c>
      <c r="BB163" s="10">
        <f t="shared" si="15"/>
        <v>47434.881974999997</v>
      </c>
      <c r="BC163" s="17">
        <f t="shared" si="16"/>
        <v>0.21547499999999997</v>
      </c>
      <c r="BD163" s="10">
        <f t="shared" si="17"/>
        <v>45256.806920999996</v>
      </c>
    </row>
    <row r="164" spans="1:56" x14ac:dyDescent="0.25">
      <c r="A164" s="8" t="s">
        <v>379</v>
      </c>
      <c r="B164" s="8" t="s">
        <v>380</v>
      </c>
      <c r="C164" s="8" t="s">
        <v>404</v>
      </c>
      <c r="D164" s="8" t="s">
        <v>405</v>
      </c>
      <c r="E164" s="8" t="s">
        <v>404</v>
      </c>
      <c r="F164" s="8" t="s">
        <v>408</v>
      </c>
      <c r="G164" s="9">
        <v>196248</v>
      </c>
      <c r="H164" s="10">
        <f>INDEX([1]ratio_ins!F:F,MATCH('001_population_health_zone_zs'!$B$2,[1]ratio_ins!$B:$B,0))*$G164*INDEX([1]ratio_ins!$C:$C,MATCH('001_population_health_zone_zs'!$B164,[1]ratio_ins!$B:$B,0))</f>
        <v>20220.805175999998</v>
      </c>
      <c r="I164" s="10">
        <f>INDEX([1]ratio_ins!G:G,MATCH('001_population_health_zone_zs'!$B$2,[1]ratio_ins!$B:$B,0))*$G164*INDEX([1]ratio_ins!$C:$C,MATCH('001_population_health_zone_zs'!$B164,[1]ratio_ins!$B:$B,0))</f>
        <v>16544.295144</v>
      </c>
      <c r="J164" s="10">
        <f>INDEX([1]ratio_ins!H:H,MATCH('001_population_health_zone_zs'!$B$2,[1]ratio_ins!$B:$B,0))*$G164*INDEX([1]ratio_ins!$C:$C,MATCH('001_population_health_zone_zs'!$B164,[1]ratio_ins!$B:$B,0))</f>
        <v>13061.285640000002</v>
      </c>
      <c r="K164" s="10">
        <f>INDEX([1]ratio_ins!I:I,MATCH('001_population_health_zone_zs'!$B$2,[1]ratio_ins!$B:$B,0))*$G164*INDEX([1]ratio_ins!$C:$C,MATCH('001_population_health_zone_zs'!$B164,[1]ratio_ins!$B:$B,0))</f>
        <v>8030.2719120000002</v>
      </c>
      <c r="L164" s="10">
        <f>INDEX([1]ratio_ins!J:J,MATCH('001_population_health_zone_zs'!$B$2,[1]ratio_ins!$B:$B,0))*$G164*INDEX([1]ratio_ins!$C:$C,MATCH('001_population_health_zone_zs'!$B164,[1]ratio_ins!$B:$B,0))</f>
        <v>4818.163147199999</v>
      </c>
      <c r="M164" s="11">
        <f>INDEX([1]ratio_ins!K:K,MATCH('001_population_health_zone_zs'!$B$2,[1]ratio_ins!$B:$B,0))*$G164*INDEX([1]ratio_ins!$C:$C,MATCH('001_population_health_zone_zs'!$B164,[1]ratio_ins!$B:$B,0))</f>
        <v>54644.5491072</v>
      </c>
      <c r="N164" s="10">
        <f>INDEX([1]ratio_ins!L:L,MATCH('001_population_health_zone_zs'!$B$2,[1]ratio_ins!$B:$B,0))*$G164*INDEX([1]ratio_ins!$C:$C,MATCH('001_population_health_zone_zs'!$B164,[1]ratio_ins!$B:$B,0))</f>
        <v>3212.1087648000002</v>
      </c>
      <c r="O164" s="10">
        <f>INDEX([1]ratio_ins!M:M,MATCH('001_population_health_zone_zs'!$B$2,[1]ratio_ins!$B:$B,0))*$G164*INDEX([1]ratio_ins!$C:$C,MATCH('001_population_health_zone_zs'!$B164,[1]ratio_ins!$B:$B,0))</f>
        <v>6966.0190080000011</v>
      </c>
      <c r="P164" s="10">
        <f>INDEX([1]ratio_ins!N:N,MATCH('001_population_health_zone_zs'!$B$2,[1]ratio_ins!$B:$B,0))*$G164*INDEX([1]ratio_ins!$C:$C,MATCH('001_population_health_zone_zs'!$B164,[1]ratio_ins!$B:$B,0))</f>
        <v>6288.7671600000003</v>
      </c>
      <c r="Q164" s="10">
        <f>INDEX([1]ratio_ins!O:O,MATCH('001_population_health_zone_zs'!$B$2,[1]ratio_ins!$B:$B,0))*$G164*INDEX([1]ratio_ins!$C:$C,MATCH('001_population_health_zone_zs'!$B164,[1]ratio_ins!$B:$B,0))</f>
        <v>5611.5153119999995</v>
      </c>
      <c r="R164" s="10">
        <f>INDEX([1]ratio_ins!P:P,MATCH('001_population_health_zone_zs'!$B$2,[1]ratio_ins!$B:$B,0))*$G164*INDEX([1]ratio_ins!$C:$C,MATCH('001_population_health_zone_zs'!$B164,[1]ratio_ins!$B:$B,0))</f>
        <v>5514.7650480000002</v>
      </c>
      <c r="S164" s="10">
        <f>INDEX([1]ratio_ins!Q:Q,MATCH('001_population_health_zone_zs'!$B$2,[1]ratio_ins!$B:$B,0))*$G164*INDEX([1]ratio_ins!$C:$C,MATCH('001_population_health_zone_zs'!$B164,[1]ratio_ins!$B:$B,0))</f>
        <v>4644.0126719999998</v>
      </c>
      <c r="T164" s="10">
        <f>INDEX([1]ratio_ins!R:R,MATCH('001_population_health_zone_zs'!$B$2,[1]ratio_ins!$B:$B,0))*$G164*INDEX([1]ratio_ins!$C:$C,MATCH('001_population_health_zone_zs'!$B164,[1]ratio_ins!$B:$B,0))</f>
        <v>3289.5089760000005</v>
      </c>
      <c r="U164" s="10">
        <f>INDEX([1]ratio_ins!S:S,MATCH('001_population_health_zone_zs'!$B$2,[1]ratio_ins!$B:$B,0))*$G164*INDEX([1]ratio_ins!$C:$C,MATCH('001_population_health_zone_zs'!$B164,[1]ratio_ins!$B:$B,0))</f>
        <v>2612.2571280000002</v>
      </c>
      <c r="V164" s="10">
        <f>INDEX([1]ratio_ins!T:T,MATCH('001_population_health_zone_zs'!$B$2,[1]ratio_ins!$B:$B,0))*$G164*INDEX([1]ratio_ins!$C:$C,MATCH('001_population_health_zone_zs'!$B164,[1]ratio_ins!$B:$B,0))</f>
        <v>1451.2539599999998</v>
      </c>
      <c r="W164" s="11">
        <f>INDEX([1]ratio_ins!U:U,MATCH('001_population_health_zone_zs'!$B$2,[1]ratio_ins!$B:$B,0))*$G164*INDEX([1]ratio_ins!$C:$C,MATCH('001_population_health_zone_zs'!$B164,[1]ratio_ins!$B:$B,0))</f>
        <v>39590.2080288</v>
      </c>
      <c r="X164" s="10">
        <f>INDEX([1]ratio_ins!V:V,MATCH('001_population_health_zone_zs'!$B$2,[1]ratio_ins!$B:$B,0))*$G164*INDEX([1]ratio_ins!$C:$C,MATCH('001_population_health_zone_zs'!$B164,[1]ratio_ins!$B:$B,0))</f>
        <v>1161.003168</v>
      </c>
      <c r="Y164" s="10">
        <f>INDEX([1]ratio_ins!W:W,MATCH('001_population_health_zone_zs'!$B$2,[1]ratio_ins!$B:$B,0))*$G164*INDEX([1]ratio_ins!$C:$C,MATCH('001_population_health_zone_zs'!$B164,[1]ratio_ins!$B:$B,0))</f>
        <v>774.0021119999999</v>
      </c>
      <c r="Z164" s="10">
        <f>INDEX([1]ratio_ins!X:X,MATCH('001_population_health_zone_zs'!$B$2,[1]ratio_ins!$B:$B,0))*$G164*INDEX([1]ratio_ins!$C:$C,MATCH('001_population_health_zone_zs'!$B164,[1]ratio_ins!$B:$B,0))</f>
        <v>387.00105599999995</v>
      </c>
      <c r="AA164" s="10">
        <f>INDEX([1]ratio_ins!Y:Y,MATCH('001_population_health_zone_zs'!$B$2,[1]ratio_ins!$B:$B,0))*$G164*INDEX([1]ratio_ins!$C:$C,MATCH('001_population_health_zone_zs'!$B164,[1]ratio_ins!$B:$B,0))</f>
        <v>193.50052799999997</v>
      </c>
      <c r="AB164" s="11">
        <f>INDEX([1]ratio_ins!Z:Z,MATCH('001_population_health_zone_zs'!$B$2,[1]ratio_ins!$B:$B,0))*$G164*INDEX([1]ratio_ins!$C:$C,MATCH('001_population_health_zone_zs'!$B164,[1]ratio_ins!$B:$B,0))</f>
        <v>2515.506864</v>
      </c>
      <c r="AC164" s="12">
        <f t="shared" si="12"/>
        <v>96750.263999999996</v>
      </c>
      <c r="AD164" s="10">
        <f>INDEX([1]ratio_ins!AA:AA,MATCH('001_population_health_zone_zs'!$B$2,[1]ratio_ins!$B:$B,0))*$G164*INDEX([1]ratio_ins!$D:$D,MATCH('001_population_health_zone_zs'!$B164,[1]ratio_ins!$B:$B,0))</f>
        <v>20894.524560000002</v>
      </c>
      <c r="AE164" s="10">
        <f>INDEX([1]ratio_ins!AB:AB,MATCH('001_population_health_zone_zs'!$B$2,[1]ratio_ins!$B:$B,0))*$G164*INDEX([1]ratio_ins!$D:$D,MATCH('001_population_health_zone_zs'!$B164,[1]ratio_ins!$B:$B,0))</f>
        <v>17213.108328000002</v>
      </c>
      <c r="AF164" s="10">
        <f>INDEX([1]ratio_ins!AC:AC,MATCH('001_population_health_zone_zs'!$B$2,[1]ratio_ins!$B:$B,0))*$G164*INDEX([1]ratio_ins!$D:$D,MATCH('001_population_health_zone_zs'!$B164,[1]ratio_ins!$B:$B,0))</f>
        <v>13631.189831999998</v>
      </c>
      <c r="AG164" s="10">
        <f>INDEX([1]ratio_ins!AD:AD,MATCH('001_population_health_zone_zs'!$B$2,[1]ratio_ins!$B:$B,0))*$G164*INDEX([1]ratio_ins!$D:$D,MATCH('001_population_health_zone_zs'!$B164,[1]ratio_ins!$B:$B,0))</f>
        <v>8258.3120880000006</v>
      </c>
      <c r="AH164" s="10">
        <f>INDEX([1]ratio_ins!AE:AE,MATCH('001_population_health_zone_zs'!$B$2,[1]ratio_ins!$B:$B,0))*$G164*INDEX([1]ratio_ins!$D:$D,MATCH('001_population_health_zone_zs'!$B164,[1]ratio_ins!$B:$B,0))</f>
        <v>4954.9872527999996</v>
      </c>
      <c r="AI164" s="13">
        <f>INDEX([1]ratio_ins!AF:AF,MATCH('001_population_health_zone_zs'!$B$2,[1]ratio_ins!$B:$B,0))*$G164*INDEX([1]ratio_ins!$D:$D,MATCH('001_population_health_zone_zs'!$B164,[1]ratio_ins!$B:$B,0))</f>
        <v>56693.809972799994</v>
      </c>
      <c r="AJ164" s="10">
        <f>INDEX([1]ratio_ins!AG:AG,MATCH('001_population_health_zone_zs'!$B$2,[1]ratio_ins!$B:$B,0))*$G164*INDEX([1]ratio_ins!$D:$D,MATCH('001_population_health_zone_zs'!$B164,[1]ratio_ins!$B:$B,0))</f>
        <v>3303.3248352000001</v>
      </c>
      <c r="AK164" s="10">
        <f>INDEX([1]ratio_ins!AH:AH,MATCH('001_population_health_zone_zs'!$B$2,[1]ratio_ins!$B:$B,0))*$G164*INDEX([1]ratio_ins!$D:$D,MATCH('001_population_health_zone_zs'!$B164,[1]ratio_ins!$B:$B,0))</f>
        <v>7362.832464000001</v>
      </c>
      <c r="AL164" s="10">
        <f>INDEX([1]ratio_ins!AI:AI,MATCH('001_population_health_zone_zs'!$B$2,[1]ratio_ins!$B:$B,0))*$G164*INDEX([1]ratio_ins!$D:$D,MATCH('001_population_health_zone_zs'!$B164,[1]ratio_ins!$B:$B,0))</f>
        <v>6964.8415199999999</v>
      </c>
      <c r="AM164" s="10">
        <f>INDEX([1]ratio_ins!AJ:AJ,MATCH('001_population_health_zone_zs'!$B$2,[1]ratio_ins!$B:$B,0))*$G164*INDEX([1]ratio_ins!$D:$D,MATCH('001_population_health_zone_zs'!$B164,[1]ratio_ins!$B:$B,0))</f>
        <v>6367.8551040000002</v>
      </c>
      <c r="AN164" s="10">
        <f>INDEX([1]ratio_ins!AK:AK,MATCH('001_population_health_zone_zs'!$B$2,[1]ratio_ins!$B:$B,0))*$G164*INDEX([1]ratio_ins!$D:$D,MATCH('001_population_health_zone_zs'!$B164,[1]ratio_ins!$B:$B,0))</f>
        <v>5969.8641600000001</v>
      </c>
      <c r="AO164" s="10">
        <f>INDEX([1]ratio_ins!AL:AL,MATCH('001_population_health_zone_zs'!$B$2,[1]ratio_ins!$B:$B,0))*$G164*INDEX([1]ratio_ins!$D:$D,MATCH('001_population_health_zone_zs'!$B164,[1]ratio_ins!$B:$B,0))</f>
        <v>4477.3981199999998</v>
      </c>
      <c r="AP164" s="10">
        <f>INDEX([1]ratio_ins!AM:AM,MATCH('001_population_health_zone_zs'!$B$2,[1]ratio_ins!$B:$B,0))*$G164*INDEX([1]ratio_ins!$D:$D,MATCH('001_population_health_zone_zs'!$B164,[1]ratio_ins!$B:$B,0))</f>
        <v>2885.4343440000002</v>
      </c>
      <c r="AQ164" s="10">
        <f>INDEX([1]ratio_ins!AN:AN,MATCH('001_population_health_zone_zs'!$B$2,[1]ratio_ins!$B:$B,0))*$G164*INDEX([1]ratio_ins!$D:$D,MATCH('001_population_health_zone_zs'!$B164,[1]ratio_ins!$B:$B,0))</f>
        <v>2288.447928</v>
      </c>
      <c r="AR164" s="10">
        <f>INDEX([1]ratio_ins!AO:AO,MATCH('001_population_health_zone_zs'!$B$2,[1]ratio_ins!$B:$B,0))*$G164*INDEX([1]ratio_ins!$D:$D,MATCH('001_population_health_zone_zs'!$B164,[1]ratio_ins!$B:$B,0))</f>
        <v>1094.4750960000001</v>
      </c>
      <c r="AS164" s="13">
        <f>INDEX([1]ratio_ins!AP:AP,MATCH('001_population_health_zone_zs'!$B$2,[1]ratio_ins!$B:$B,0))*$G164*INDEX([1]ratio_ins!$D:$D,MATCH('001_population_health_zone_zs'!$B164,[1]ratio_ins!$B:$B,0))</f>
        <v>40714.473571199997</v>
      </c>
      <c r="AT164" s="10">
        <f>INDEX([1]ratio_ins!AQ:AQ,MATCH('001_population_health_zone_zs'!$B$2,[1]ratio_ins!$B:$B,0))*$G164*INDEX([1]ratio_ins!$D:$D,MATCH('001_population_health_zone_zs'!$B164,[1]ratio_ins!$B:$B,0))</f>
        <v>994.97735999999998</v>
      </c>
      <c r="AU164" s="10">
        <f>INDEX([1]ratio_ins!AR:AR,MATCH('001_population_health_zone_zs'!$B$2,[1]ratio_ins!$B:$B,0))*$G164*INDEX([1]ratio_ins!$D:$D,MATCH('001_population_health_zone_zs'!$B164,[1]ratio_ins!$B:$B,0))</f>
        <v>596.98641600000008</v>
      </c>
      <c r="AV164" s="10">
        <f>INDEX([1]ratio_ins!AS:AS,MATCH('001_population_health_zone_zs'!$B$2,[1]ratio_ins!$B:$B,0))*$G164*INDEX([1]ratio_ins!$D:$D,MATCH('001_population_health_zone_zs'!$B164,[1]ratio_ins!$B:$B,0))</f>
        <v>298.49320800000004</v>
      </c>
      <c r="AW164" s="10">
        <f>INDEX([1]ratio_ins!AT:AT,MATCH('001_population_health_zone_zs'!$B$2,[1]ratio_ins!$B:$B,0))*$G164*INDEX([1]ratio_ins!$D:$D,MATCH('001_population_health_zone_zs'!$B164,[1]ratio_ins!$B:$B,0))</f>
        <v>198.99547200000001</v>
      </c>
      <c r="AX164" s="13">
        <f>INDEX([1]ratio_ins!AU:AU,MATCH('001_population_health_zone_zs'!$B$2,[1]ratio_ins!$B:$B,0))*$G164*INDEX([1]ratio_ins!$D:$D,MATCH('001_population_health_zone_zs'!$B164,[1]ratio_ins!$B:$B,0))</f>
        <v>2089.452456</v>
      </c>
      <c r="AY164" s="14">
        <f t="shared" si="13"/>
        <v>99497.73599999999</v>
      </c>
      <c r="AZ164" s="15">
        <f t="shared" si="14"/>
        <v>196248</v>
      </c>
      <c r="BA164" s="16">
        <v>189086.61118532816</v>
      </c>
      <c r="BB164" s="10">
        <f t="shared" si="15"/>
        <v>42286.537799999998</v>
      </c>
      <c r="BC164" s="17">
        <f t="shared" si="16"/>
        <v>0.215475</v>
      </c>
      <c r="BD164" s="10">
        <f t="shared" si="17"/>
        <v>40344.860087999994</v>
      </c>
    </row>
    <row r="165" spans="1:56" x14ac:dyDescent="0.25">
      <c r="A165" s="8" t="s">
        <v>409</v>
      </c>
      <c r="B165" s="8" t="s">
        <v>410</v>
      </c>
      <c r="C165" s="8" t="s">
        <v>411</v>
      </c>
      <c r="D165" s="8" t="s">
        <v>412</v>
      </c>
      <c r="E165" s="8" t="s">
        <v>413</v>
      </c>
      <c r="F165" s="8" t="s">
        <v>414</v>
      </c>
      <c r="G165" s="9">
        <v>270235</v>
      </c>
      <c r="H165" s="10">
        <f>INDEX([1]ratio_ins!F:F,MATCH('001_population_health_zone_zs'!$B$2,[1]ratio_ins!$B:$B,0))*$G165*INDEX([1]ratio_ins!$C:$C,MATCH('001_population_health_zone_zs'!$B165,[1]ratio_ins!$B:$B,0))</f>
        <v>27787.724580000002</v>
      </c>
      <c r="I165" s="10">
        <f>INDEX([1]ratio_ins!G:G,MATCH('001_population_health_zone_zs'!$B$2,[1]ratio_ins!$B:$B,0))*$G165*INDEX([1]ratio_ins!$C:$C,MATCH('001_population_health_zone_zs'!$B165,[1]ratio_ins!$B:$B,0))</f>
        <v>22735.411020000003</v>
      </c>
      <c r="J165" s="10">
        <f>INDEX([1]ratio_ins!H:H,MATCH('001_population_health_zone_zs'!$B$2,[1]ratio_ins!$B:$B,0))*$G165*INDEX([1]ratio_ins!$C:$C,MATCH('001_population_health_zone_zs'!$B165,[1]ratio_ins!$B:$B,0))</f>
        <v>17949.008700000006</v>
      </c>
      <c r="K165" s="10">
        <f>INDEX([1]ratio_ins!I:I,MATCH('001_population_health_zone_zs'!$B$2,[1]ratio_ins!$B:$B,0))*$G165*INDEX([1]ratio_ins!$C:$C,MATCH('001_population_health_zone_zs'!$B165,[1]ratio_ins!$B:$B,0))</f>
        <v>11035.316460000002</v>
      </c>
      <c r="L165" s="10">
        <f>INDEX([1]ratio_ins!J:J,MATCH('001_population_health_zone_zs'!$B$2,[1]ratio_ins!$B:$B,0))*$G165*INDEX([1]ratio_ins!$C:$C,MATCH('001_population_health_zone_zs'!$B165,[1]ratio_ins!$B:$B,0))</f>
        <v>6621.1898760000004</v>
      </c>
      <c r="M165" s="11">
        <f>INDEX([1]ratio_ins!K:K,MATCH('001_population_health_zone_zs'!$B$2,[1]ratio_ins!$B:$B,0))*$G165*INDEX([1]ratio_ins!$C:$C,MATCH('001_population_health_zone_zs'!$B165,[1]ratio_ins!$B:$B,0))</f>
        <v>75093.334176000004</v>
      </c>
      <c r="N165" s="10">
        <f>INDEX([1]ratio_ins!L:L,MATCH('001_population_health_zone_zs'!$B$2,[1]ratio_ins!$B:$B,0))*$G165*INDEX([1]ratio_ins!$C:$C,MATCH('001_population_health_zone_zs'!$B165,[1]ratio_ins!$B:$B,0))</f>
        <v>4414.1265840000005</v>
      </c>
      <c r="O165" s="10">
        <f>INDEX([1]ratio_ins!M:M,MATCH('001_population_health_zone_zs'!$B$2,[1]ratio_ins!$B:$B,0))*$G165*INDEX([1]ratio_ins!$C:$C,MATCH('001_population_health_zone_zs'!$B165,[1]ratio_ins!$B:$B,0))</f>
        <v>9572.8046400000021</v>
      </c>
      <c r="P165" s="10">
        <f>INDEX([1]ratio_ins!N:N,MATCH('001_population_health_zone_zs'!$B$2,[1]ratio_ins!$B:$B,0))*$G165*INDEX([1]ratio_ins!$C:$C,MATCH('001_population_health_zone_zs'!$B165,[1]ratio_ins!$B:$B,0))</f>
        <v>8642.1153000000013</v>
      </c>
      <c r="Q165" s="10">
        <f>INDEX([1]ratio_ins!O:O,MATCH('001_population_health_zone_zs'!$B$2,[1]ratio_ins!$B:$B,0))*$G165*INDEX([1]ratio_ins!$C:$C,MATCH('001_population_health_zone_zs'!$B165,[1]ratio_ins!$B:$B,0))</f>
        <v>7711.4259600000005</v>
      </c>
      <c r="R165" s="10">
        <f>INDEX([1]ratio_ins!P:P,MATCH('001_population_health_zone_zs'!$B$2,[1]ratio_ins!$B:$B,0))*$G165*INDEX([1]ratio_ins!$C:$C,MATCH('001_population_health_zone_zs'!$B165,[1]ratio_ins!$B:$B,0))</f>
        <v>7578.4703400000008</v>
      </c>
      <c r="S165" s="10">
        <f>INDEX([1]ratio_ins!Q:Q,MATCH('001_population_health_zone_zs'!$B$2,[1]ratio_ins!$B:$B,0))*$G165*INDEX([1]ratio_ins!$C:$C,MATCH('001_population_health_zone_zs'!$B165,[1]ratio_ins!$B:$B,0))</f>
        <v>6381.8697600000005</v>
      </c>
      <c r="T165" s="10">
        <f>INDEX([1]ratio_ins!R:R,MATCH('001_population_health_zone_zs'!$B$2,[1]ratio_ins!$B:$B,0))*$G165*INDEX([1]ratio_ins!$C:$C,MATCH('001_population_health_zone_zs'!$B165,[1]ratio_ins!$B:$B,0))</f>
        <v>4520.4910800000007</v>
      </c>
      <c r="U165" s="10">
        <f>INDEX([1]ratio_ins!S:S,MATCH('001_population_health_zone_zs'!$B$2,[1]ratio_ins!$B:$B,0))*$G165*INDEX([1]ratio_ins!$C:$C,MATCH('001_population_health_zone_zs'!$B165,[1]ratio_ins!$B:$B,0))</f>
        <v>3589.8017400000008</v>
      </c>
      <c r="V165" s="10">
        <f>INDEX([1]ratio_ins!T:T,MATCH('001_population_health_zone_zs'!$B$2,[1]ratio_ins!$B:$B,0))*$G165*INDEX([1]ratio_ins!$C:$C,MATCH('001_population_health_zone_zs'!$B165,[1]ratio_ins!$B:$B,0))</f>
        <v>1994.3343</v>
      </c>
      <c r="W165" s="11">
        <f>INDEX([1]ratio_ins!U:U,MATCH('001_population_health_zone_zs'!$B$2,[1]ratio_ins!$B:$B,0))*$G165*INDEX([1]ratio_ins!$C:$C,MATCH('001_population_health_zone_zs'!$B165,[1]ratio_ins!$B:$B,0))</f>
        <v>54405.439704000004</v>
      </c>
      <c r="X165" s="10">
        <f>INDEX([1]ratio_ins!V:V,MATCH('001_population_health_zone_zs'!$B$2,[1]ratio_ins!$B:$B,0))*$G165*INDEX([1]ratio_ins!$C:$C,MATCH('001_population_health_zone_zs'!$B165,[1]ratio_ins!$B:$B,0))</f>
        <v>1595.4674400000001</v>
      </c>
      <c r="Y165" s="10">
        <f>INDEX([1]ratio_ins!W:W,MATCH('001_population_health_zone_zs'!$B$2,[1]ratio_ins!$B:$B,0))*$G165*INDEX([1]ratio_ins!$C:$C,MATCH('001_population_health_zone_zs'!$B165,[1]ratio_ins!$B:$B,0))</f>
        <v>1063.6449600000001</v>
      </c>
      <c r="Z165" s="10">
        <f>INDEX([1]ratio_ins!X:X,MATCH('001_population_health_zone_zs'!$B$2,[1]ratio_ins!$B:$B,0))*$G165*INDEX([1]ratio_ins!$C:$C,MATCH('001_population_health_zone_zs'!$B165,[1]ratio_ins!$B:$B,0))</f>
        <v>531.82248000000004</v>
      </c>
      <c r="AA165" s="10">
        <f>INDEX([1]ratio_ins!Y:Y,MATCH('001_population_health_zone_zs'!$B$2,[1]ratio_ins!$B:$B,0))*$G165*INDEX([1]ratio_ins!$C:$C,MATCH('001_population_health_zone_zs'!$B165,[1]ratio_ins!$B:$B,0))</f>
        <v>265.91124000000002</v>
      </c>
      <c r="AB165" s="11">
        <f>INDEX([1]ratio_ins!Z:Z,MATCH('001_population_health_zone_zs'!$B$2,[1]ratio_ins!$B:$B,0))*$G165*INDEX([1]ratio_ins!$C:$C,MATCH('001_population_health_zone_zs'!$B165,[1]ratio_ins!$B:$B,0))</f>
        <v>3456.8461200000006</v>
      </c>
      <c r="AC165" s="12">
        <f t="shared" si="12"/>
        <v>132955.62</v>
      </c>
      <c r="AD165" s="10">
        <f>INDEX([1]ratio_ins!AA:AA,MATCH('001_population_health_zone_zs'!$B$2,[1]ratio_ins!$B:$B,0))*$G165*INDEX([1]ratio_ins!$D:$D,MATCH('001_population_health_zone_zs'!$B165,[1]ratio_ins!$B:$B,0))</f>
        <v>28828.6698</v>
      </c>
      <c r="AE165" s="10">
        <f>INDEX([1]ratio_ins!AB:AB,MATCH('001_population_health_zone_zs'!$B$2,[1]ratio_ins!$B:$B,0))*$G165*INDEX([1]ratio_ins!$D:$D,MATCH('001_population_health_zone_zs'!$B165,[1]ratio_ins!$B:$B,0))</f>
        <v>23749.332740000002</v>
      </c>
      <c r="AF165" s="10">
        <f>INDEX([1]ratio_ins!AC:AC,MATCH('001_population_health_zone_zs'!$B$2,[1]ratio_ins!$B:$B,0))*$G165*INDEX([1]ratio_ins!$D:$D,MATCH('001_population_health_zone_zs'!$B165,[1]ratio_ins!$B:$B,0))</f>
        <v>18807.275059999996</v>
      </c>
      <c r="AG165" s="10">
        <f>INDEX([1]ratio_ins!AD:AD,MATCH('001_population_health_zone_zs'!$B$2,[1]ratio_ins!$B:$B,0))*$G165*INDEX([1]ratio_ins!$D:$D,MATCH('001_population_health_zone_zs'!$B165,[1]ratio_ins!$B:$B,0))</f>
        <v>11394.188540000001</v>
      </c>
      <c r="AH165" s="10">
        <f>INDEX([1]ratio_ins!AE:AE,MATCH('001_population_health_zone_zs'!$B$2,[1]ratio_ins!$B:$B,0))*$G165*INDEX([1]ratio_ins!$D:$D,MATCH('001_population_health_zone_zs'!$B165,[1]ratio_ins!$B:$B,0))</f>
        <v>6836.5131240000001</v>
      </c>
      <c r="AI165" s="13">
        <f>INDEX([1]ratio_ins!AF:AF,MATCH('001_population_health_zone_zs'!$B$2,[1]ratio_ins!$B:$B,0))*$G165*INDEX([1]ratio_ins!$D:$D,MATCH('001_population_health_zone_zs'!$B165,[1]ratio_ins!$B:$B,0))</f>
        <v>78221.790723999991</v>
      </c>
      <c r="AJ165" s="10">
        <f>INDEX([1]ratio_ins!AG:AG,MATCH('001_population_health_zone_zs'!$B$2,[1]ratio_ins!$B:$B,0))*$G165*INDEX([1]ratio_ins!$D:$D,MATCH('001_population_health_zone_zs'!$B165,[1]ratio_ins!$B:$B,0))</f>
        <v>4557.675416</v>
      </c>
      <c r="AK165" s="10">
        <f>INDEX([1]ratio_ins!AH:AH,MATCH('001_population_health_zone_zs'!$B$2,[1]ratio_ins!$B:$B,0))*$G165*INDEX([1]ratio_ins!$D:$D,MATCH('001_population_health_zone_zs'!$B165,[1]ratio_ins!$B:$B,0))</f>
        <v>10158.674120000001</v>
      </c>
      <c r="AL165" s="10">
        <f>INDEX([1]ratio_ins!AI:AI,MATCH('001_population_health_zone_zs'!$B$2,[1]ratio_ins!$B:$B,0))*$G165*INDEX([1]ratio_ins!$D:$D,MATCH('001_population_health_zone_zs'!$B165,[1]ratio_ins!$B:$B,0))</f>
        <v>9609.5565999999999</v>
      </c>
      <c r="AM165" s="10">
        <f>INDEX([1]ratio_ins!AJ:AJ,MATCH('001_population_health_zone_zs'!$B$2,[1]ratio_ins!$B:$B,0))*$G165*INDEX([1]ratio_ins!$D:$D,MATCH('001_population_health_zone_zs'!$B165,[1]ratio_ins!$B:$B,0))</f>
        <v>8785.8803200000002</v>
      </c>
      <c r="AN165" s="10">
        <f>INDEX([1]ratio_ins!AK:AK,MATCH('001_population_health_zone_zs'!$B$2,[1]ratio_ins!$B:$B,0))*$G165*INDEX([1]ratio_ins!$D:$D,MATCH('001_population_health_zone_zs'!$B165,[1]ratio_ins!$B:$B,0))</f>
        <v>8236.7627999999986</v>
      </c>
      <c r="AO165" s="10">
        <f>INDEX([1]ratio_ins!AL:AL,MATCH('001_population_health_zone_zs'!$B$2,[1]ratio_ins!$B:$B,0))*$G165*INDEX([1]ratio_ins!$D:$D,MATCH('001_population_health_zone_zs'!$B165,[1]ratio_ins!$B:$B,0))</f>
        <v>6177.5720999999994</v>
      </c>
      <c r="AP165" s="10">
        <f>INDEX([1]ratio_ins!AM:AM,MATCH('001_population_health_zone_zs'!$B$2,[1]ratio_ins!$B:$B,0))*$G165*INDEX([1]ratio_ins!$D:$D,MATCH('001_population_health_zone_zs'!$B165,[1]ratio_ins!$B:$B,0))</f>
        <v>3981.1020199999998</v>
      </c>
      <c r="AQ165" s="10">
        <f>INDEX([1]ratio_ins!AN:AN,MATCH('001_population_health_zone_zs'!$B$2,[1]ratio_ins!$B:$B,0))*$G165*INDEX([1]ratio_ins!$D:$D,MATCH('001_population_health_zone_zs'!$B165,[1]ratio_ins!$B:$B,0))</f>
        <v>3157.4257400000001</v>
      </c>
      <c r="AR165" s="10">
        <f>INDEX([1]ratio_ins!AO:AO,MATCH('001_population_health_zone_zs'!$B$2,[1]ratio_ins!$B:$B,0))*$G165*INDEX([1]ratio_ins!$D:$D,MATCH('001_population_health_zone_zs'!$B165,[1]ratio_ins!$B:$B,0))</f>
        <v>1510.0731800000003</v>
      </c>
      <c r="AS165" s="13">
        <f>INDEX([1]ratio_ins!AP:AP,MATCH('001_population_health_zone_zs'!$B$2,[1]ratio_ins!$B:$B,0))*$G165*INDEX([1]ratio_ins!$D:$D,MATCH('001_population_health_zone_zs'!$B165,[1]ratio_ins!$B:$B,0))</f>
        <v>56174.722296</v>
      </c>
      <c r="AT165" s="10">
        <f>INDEX([1]ratio_ins!AQ:AQ,MATCH('001_population_health_zone_zs'!$B$2,[1]ratio_ins!$B:$B,0))*$G165*INDEX([1]ratio_ins!$D:$D,MATCH('001_population_health_zone_zs'!$B165,[1]ratio_ins!$B:$B,0))</f>
        <v>1372.7937999999999</v>
      </c>
      <c r="AU165" s="10">
        <f>INDEX([1]ratio_ins!AR:AR,MATCH('001_population_health_zone_zs'!$B$2,[1]ratio_ins!$B:$B,0))*$G165*INDEX([1]ratio_ins!$D:$D,MATCH('001_population_health_zone_zs'!$B165,[1]ratio_ins!$B:$B,0))</f>
        <v>823.67628000000002</v>
      </c>
      <c r="AV165" s="10">
        <f>INDEX([1]ratio_ins!AS:AS,MATCH('001_population_health_zone_zs'!$B$2,[1]ratio_ins!$B:$B,0))*$G165*INDEX([1]ratio_ins!$D:$D,MATCH('001_population_health_zone_zs'!$B165,[1]ratio_ins!$B:$B,0))</f>
        <v>411.83814000000001</v>
      </c>
      <c r="AW165" s="10">
        <f>INDEX([1]ratio_ins!AT:AT,MATCH('001_population_health_zone_zs'!$B$2,[1]ratio_ins!$B:$B,0))*$G165*INDEX([1]ratio_ins!$D:$D,MATCH('001_population_health_zone_zs'!$B165,[1]ratio_ins!$B:$B,0))</f>
        <v>274.55876000000001</v>
      </c>
      <c r="AX165" s="13">
        <f>INDEX([1]ratio_ins!AU:AU,MATCH('001_population_health_zone_zs'!$B$2,[1]ratio_ins!$B:$B,0))*$G165*INDEX([1]ratio_ins!$D:$D,MATCH('001_population_health_zone_zs'!$B165,[1]ratio_ins!$B:$B,0))</f>
        <v>2882.8669799999998</v>
      </c>
      <c r="AY165" s="14">
        <f t="shared" si="13"/>
        <v>137279.37999999998</v>
      </c>
      <c r="AZ165" s="15">
        <f t="shared" si="14"/>
        <v>270235</v>
      </c>
      <c r="BA165" s="16">
        <v>260672.61192727028</v>
      </c>
      <c r="BB165" s="10">
        <f t="shared" si="15"/>
        <v>58343.736499999992</v>
      </c>
      <c r="BC165" s="17">
        <f t="shared" si="16"/>
        <v>0.21589999999999998</v>
      </c>
      <c r="BD165" s="10">
        <f t="shared" si="17"/>
        <v>55442.493540000003</v>
      </c>
    </row>
    <row r="166" spans="1:56" x14ac:dyDescent="0.25">
      <c r="A166" s="8" t="s">
        <v>409</v>
      </c>
      <c r="B166" s="8" t="s">
        <v>410</v>
      </c>
      <c r="C166" s="8" t="s">
        <v>411</v>
      </c>
      <c r="D166" s="8" t="s">
        <v>412</v>
      </c>
      <c r="E166" s="8" t="s">
        <v>415</v>
      </c>
      <c r="F166" s="8" t="s">
        <v>416</v>
      </c>
      <c r="G166" s="9">
        <v>121651</v>
      </c>
      <c r="H166" s="10">
        <f>INDEX([1]ratio_ins!F:F,MATCH('001_population_health_zone_zs'!$B$2,[1]ratio_ins!$B:$B,0))*$G166*INDEX([1]ratio_ins!$C:$C,MATCH('001_population_health_zone_zs'!$B166,[1]ratio_ins!$B:$B,0))</f>
        <v>12509.129027999999</v>
      </c>
      <c r="I166" s="10">
        <f>INDEX([1]ratio_ins!G:G,MATCH('001_population_health_zone_zs'!$B$2,[1]ratio_ins!$B:$B,0))*$G166*INDEX([1]ratio_ins!$C:$C,MATCH('001_population_health_zone_zs'!$B166,[1]ratio_ins!$B:$B,0))</f>
        <v>10234.741932000001</v>
      </c>
      <c r="J166" s="10">
        <f>INDEX([1]ratio_ins!H:H,MATCH('001_population_health_zone_zs'!$B$2,[1]ratio_ins!$B:$B,0))*$G166*INDEX([1]ratio_ins!$C:$C,MATCH('001_population_health_zone_zs'!$B166,[1]ratio_ins!$B:$B,0))</f>
        <v>8080.0594200000014</v>
      </c>
      <c r="K166" s="10">
        <f>INDEX([1]ratio_ins!I:I,MATCH('001_population_health_zone_zs'!$B$2,[1]ratio_ins!$B:$B,0))*$G166*INDEX([1]ratio_ins!$C:$C,MATCH('001_population_health_zone_zs'!$B166,[1]ratio_ins!$B:$B,0))</f>
        <v>4967.7402360000015</v>
      </c>
      <c r="L166" s="10">
        <f>INDEX([1]ratio_ins!J:J,MATCH('001_population_health_zone_zs'!$B$2,[1]ratio_ins!$B:$B,0))*$G166*INDEX([1]ratio_ins!$C:$C,MATCH('001_population_health_zone_zs'!$B166,[1]ratio_ins!$B:$B,0))</f>
        <v>2980.6441416000002</v>
      </c>
      <c r="M166" s="11">
        <f>INDEX([1]ratio_ins!K:K,MATCH('001_population_health_zone_zs'!$B$2,[1]ratio_ins!$B:$B,0))*$G166*INDEX([1]ratio_ins!$C:$C,MATCH('001_population_health_zone_zs'!$B166,[1]ratio_ins!$B:$B,0))</f>
        <v>33804.5745216</v>
      </c>
      <c r="N166" s="10">
        <f>INDEX([1]ratio_ins!L:L,MATCH('001_population_health_zone_zs'!$B$2,[1]ratio_ins!$B:$B,0))*$G166*INDEX([1]ratio_ins!$C:$C,MATCH('001_population_health_zone_zs'!$B166,[1]ratio_ins!$B:$B,0))</f>
        <v>1987.0960944000003</v>
      </c>
      <c r="O166" s="10">
        <f>INDEX([1]ratio_ins!M:M,MATCH('001_population_health_zone_zs'!$B$2,[1]ratio_ins!$B:$B,0))*$G166*INDEX([1]ratio_ins!$C:$C,MATCH('001_population_health_zone_zs'!$B166,[1]ratio_ins!$B:$B,0))</f>
        <v>4309.3650240000006</v>
      </c>
      <c r="P166" s="10">
        <f>INDEX([1]ratio_ins!N:N,MATCH('001_population_health_zone_zs'!$B$2,[1]ratio_ins!$B:$B,0))*$G166*INDEX([1]ratio_ins!$C:$C,MATCH('001_population_health_zone_zs'!$B166,[1]ratio_ins!$B:$B,0))</f>
        <v>3890.3989800000008</v>
      </c>
      <c r="Q166" s="10">
        <f>INDEX([1]ratio_ins!O:O,MATCH('001_population_health_zone_zs'!$B$2,[1]ratio_ins!$B:$B,0))*$G166*INDEX([1]ratio_ins!$C:$C,MATCH('001_population_health_zone_zs'!$B166,[1]ratio_ins!$B:$B,0))</f>
        <v>3471.4329360000002</v>
      </c>
      <c r="R166" s="10">
        <f>INDEX([1]ratio_ins!P:P,MATCH('001_population_health_zone_zs'!$B$2,[1]ratio_ins!$B:$B,0))*$G166*INDEX([1]ratio_ins!$C:$C,MATCH('001_population_health_zone_zs'!$B166,[1]ratio_ins!$B:$B,0))</f>
        <v>3411.5806440000001</v>
      </c>
      <c r="S166" s="10">
        <f>INDEX([1]ratio_ins!Q:Q,MATCH('001_population_health_zone_zs'!$B$2,[1]ratio_ins!$B:$B,0))*$G166*INDEX([1]ratio_ins!$C:$C,MATCH('001_population_health_zone_zs'!$B166,[1]ratio_ins!$B:$B,0))</f>
        <v>2872.9100160000007</v>
      </c>
      <c r="T166" s="10">
        <f>INDEX([1]ratio_ins!R:R,MATCH('001_population_health_zone_zs'!$B$2,[1]ratio_ins!$B:$B,0))*$G166*INDEX([1]ratio_ins!$C:$C,MATCH('001_population_health_zone_zs'!$B166,[1]ratio_ins!$B:$B,0))</f>
        <v>2034.9779280000002</v>
      </c>
      <c r="U166" s="10">
        <f>INDEX([1]ratio_ins!S:S,MATCH('001_population_health_zone_zs'!$B$2,[1]ratio_ins!$B:$B,0))*$G166*INDEX([1]ratio_ins!$C:$C,MATCH('001_population_health_zone_zs'!$B166,[1]ratio_ins!$B:$B,0))</f>
        <v>1616.0118840000002</v>
      </c>
      <c r="V166" s="10">
        <f>INDEX([1]ratio_ins!T:T,MATCH('001_population_health_zone_zs'!$B$2,[1]ratio_ins!$B:$B,0))*$G166*INDEX([1]ratio_ins!$C:$C,MATCH('001_population_health_zone_zs'!$B166,[1]ratio_ins!$B:$B,0))</f>
        <v>897.78438000000006</v>
      </c>
      <c r="W166" s="11">
        <f>INDEX([1]ratio_ins!U:U,MATCH('001_population_health_zone_zs'!$B$2,[1]ratio_ins!$B:$B,0))*$G166*INDEX([1]ratio_ins!$C:$C,MATCH('001_population_health_zone_zs'!$B166,[1]ratio_ins!$B:$B,0))</f>
        <v>24491.557886400002</v>
      </c>
      <c r="X166" s="10">
        <f>INDEX([1]ratio_ins!V:V,MATCH('001_population_health_zone_zs'!$B$2,[1]ratio_ins!$B:$B,0))*$G166*INDEX([1]ratio_ins!$C:$C,MATCH('001_population_health_zone_zs'!$B166,[1]ratio_ins!$B:$B,0))</f>
        <v>718.22750400000018</v>
      </c>
      <c r="Y166" s="10">
        <f>INDEX([1]ratio_ins!W:W,MATCH('001_population_health_zone_zs'!$B$2,[1]ratio_ins!$B:$B,0))*$G166*INDEX([1]ratio_ins!$C:$C,MATCH('001_population_health_zone_zs'!$B166,[1]ratio_ins!$B:$B,0))</f>
        <v>478.81833600000004</v>
      </c>
      <c r="Z166" s="10">
        <f>INDEX([1]ratio_ins!X:X,MATCH('001_population_health_zone_zs'!$B$2,[1]ratio_ins!$B:$B,0))*$G166*INDEX([1]ratio_ins!$C:$C,MATCH('001_population_health_zone_zs'!$B166,[1]ratio_ins!$B:$B,0))</f>
        <v>239.40916800000002</v>
      </c>
      <c r="AA166" s="10">
        <f>INDEX([1]ratio_ins!Y:Y,MATCH('001_population_health_zone_zs'!$B$2,[1]ratio_ins!$B:$B,0))*$G166*INDEX([1]ratio_ins!$C:$C,MATCH('001_population_health_zone_zs'!$B166,[1]ratio_ins!$B:$B,0))</f>
        <v>119.70458400000001</v>
      </c>
      <c r="AB166" s="11">
        <f>INDEX([1]ratio_ins!Z:Z,MATCH('001_population_health_zone_zs'!$B$2,[1]ratio_ins!$B:$B,0))*$G166*INDEX([1]ratio_ins!$C:$C,MATCH('001_population_health_zone_zs'!$B166,[1]ratio_ins!$B:$B,0))</f>
        <v>1556.1595920000004</v>
      </c>
      <c r="AC166" s="12">
        <f t="shared" si="12"/>
        <v>59852.292000000009</v>
      </c>
      <c r="AD166" s="10">
        <f>INDEX([1]ratio_ins!AA:AA,MATCH('001_population_health_zone_zs'!$B$2,[1]ratio_ins!$B:$B,0))*$G166*INDEX([1]ratio_ins!$D:$D,MATCH('001_population_health_zone_zs'!$B166,[1]ratio_ins!$B:$B,0))</f>
        <v>12977.72868</v>
      </c>
      <c r="AE166" s="10">
        <f>INDEX([1]ratio_ins!AB:AB,MATCH('001_population_health_zone_zs'!$B$2,[1]ratio_ins!$B:$B,0))*$G166*INDEX([1]ratio_ins!$D:$D,MATCH('001_population_health_zone_zs'!$B166,[1]ratio_ins!$B:$B,0))</f>
        <v>10691.176484000001</v>
      </c>
      <c r="AF166" s="10">
        <f>INDEX([1]ratio_ins!AC:AC,MATCH('001_population_health_zone_zs'!$B$2,[1]ratio_ins!$B:$B,0))*$G166*INDEX([1]ratio_ins!$D:$D,MATCH('001_population_health_zone_zs'!$B166,[1]ratio_ins!$B:$B,0))</f>
        <v>8466.4229959999993</v>
      </c>
      <c r="AG166" s="10">
        <f>INDEX([1]ratio_ins!AD:AD,MATCH('001_population_health_zone_zs'!$B$2,[1]ratio_ins!$B:$B,0))*$G166*INDEX([1]ratio_ins!$D:$D,MATCH('001_population_health_zone_zs'!$B166,[1]ratio_ins!$B:$B,0))</f>
        <v>5129.2927640000007</v>
      </c>
      <c r="AH166" s="10">
        <f>INDEX([1]ratio_ins!AE:AE,MATCH('001_population_health_zone_zs'!$B$2,[1]ratio_ins!$B:$B,0))*$G166*INDEX([1]ratio_ins!$D:$D,MATCH('001_population_health_zone_zs'!$B166,[1]ratio_ins!$B:$B,0))</f>
        <v>3077.5756584000001</v>
      </c>
      <c r="AI166" s="13">
        <f>INDEX([1]ratio_ins!AF:AF,MATCH('001_population_health_zone_zs'!$B$2,[1]ratio_ins!$B:$B,0))*$G166*INDEX([1]ratio_ins!$D:$D,MATCH('001_population_health_zone_zs'!$B166,[1]ratio_ins!$B:$B,0))</f>
        <v>35212.903818400002</v>
      </c>
      <c r="AJ166" s="10">
        <f>INDEX([1]ratio_ins!AG:AG,MATCH('001_population_health_zone_zs'!$B$2,[1]ratio_ins!$B:$B,0))*$G166*INDEX([1]ratio_ins!$D:$D,MATCH('001_population_health_zone_zs'!$B166,[1]ratio_ins!$B:$B,0))</f>
        <v>2051.7171056000002</v>
      </c>
      <c r="AK166" s="10">
        <f>INDEX([1]ratio_ins!AH:AH,MATCH('001_population_health_zone_zs'!$B$2,[1]ratio_ins!$B:$B,0))*$G166*INDEX([1]ratio_ins!$D:$D,MATCH('001_population_health_zone_zs'!$B166,[1]ratio_ins!$B:$B,0))</f>
        <v>4573.1043920000002</v>
      </c>
      <c r="AL166" s="10">
        <f>INDEX([1]ratio_ins!AI:AI,MATCH('001_population_health_zone_zs'!$B$2,[1]ratio_ins!$B:$B,0))*$G166*INDEX([1]ratio_ins!$D:$D,MATCH('001_population_health_zone_zs'!$B166,[1]ratio_ins!$B:$B,0))</f>
        <v>4325.909560000001</v>
      </c>
      <c r="AM166" s="10">
        <f>INDEX([1]ratio_ins!AJ:AJ,MATCH('001_population_health_zone_zs'!$B$2,[1]ratio_ins!$B:$B,0))*$G166*INDEX([1]ratio_ins!$D:$D,MATCH('001_population_health_zone_zs'!$B166,[1]ratio_ins!$B:$B,0))</f>
        <v>3955.1173119999999</v>
      </c>
      <c r="AN166" s="10">
        <f>INDEX([1]ratio_ins!AK:AK,MATCH('001_population_health_zone_zs'!$B$2,[1]ratio_ins!$B:$B,0))*$G166*INDEX([1]ratio_ins!$D:$D,MATCH('001_population_health_zone_zs'!$B166,[1]ratio_ins!$B:$B,0))</f>
        <v>3707.9224799999997</v>
      </c>
      <c r="AO166" s="10">
        <f>INDEX([1]ratio_ins!AL:AL,MATCH('001_population_health_zone_zs'!$B$2,[1]ratio_ins!$B:$B,0))*$G166*INDEX([1]ratio_ins!$D:$D,MATCH('001_population_health_zone_zs'!$B166,[1]ratio_ins!$B:$B,0))</f>
        <v>2780.9418599999999</v>
      </c>
      <c r="AP166" s="10">
        <f>INDEX([1]ratio_ins!AM:AM,MATCH('001_population_health_zone_zs'!$B$2,[1]ratio_ins!$B:$B,0))*$G166*INDEX([1]ratio_ins!$D:$D,MATCH('001_population_health_zone_zs'!$B166,[1]ratio_ins!$B:$B,0))</f>
        <v>1792.1625320000001</v>
      </c>
      <c r="AQ166" s="10">
        <f>INDEX([1]ratio_ins!AN:AN,MATCH('001_population_health_zone_zs'!$B$2,[1]ratio_ins!$B:$B,0))*$G166*INDEX([1]ratio_ins!$D:$D,MATCH('001_population_health_zone_zs'!$B166,[1]ratio_ins!$B:$B,0))</f>
        <v>1421.3702840000001</v>
      </c>
      <c r="AR166" s="10">
        <f>INDEX([1]ratio_ins!AO:AO,MATCH('001_population_health_zone_zs'!$B$2,[1]ratio_ins!$B:$B,0))*$G166*INDEX([1]ratio_ins!$D:$D,MATCH('001_population_health_zone_zs'!$B166,[1]ratio_ins!$B:$B,0))</f>
        <v>679.78578800000003</v>
      </c>
      <c r="AS166" s="13">
        <f>INDEX([1]ratio_ins!AP:AP,MATCH('001_population_health_zone_zs'!$B$2,[1]ratio_ins!$B:$B,0))*$G166*INDEX([1]ratio_ins!$D:$D,MATCH('001_population_health_zone_zs'!$B166,[1]ratio_ins!$B:$B,0))</f>
        <v>25288.0313136</v>
      </c>
      <c r="AT166" s="10">
        <f>INDEX([1]ratio_ins!AQ:AQ,MATCH('001_population_health_zone_zs'!$B$2,[1]ratio_ins!$B:$B,0))*$G166*INDEX([1]ratio_ins!$D:$D,MATCH('001_population_health_zone_zs'!$B166,[1]ratio_ins!$B:$B,0))</f>
        <v>617.98707999999999</v>
      </c>
      <c r="AU166" s="10">
        <f>INDEX([1]ratio_ins!AR:AR,MATCH('001_population_health_zone_zs'!$B$2,[1]ratio_ins!$B:$B,0))*$G166*INDEX([1]ratio_ins!$D:$D,MATCH('001_population_health_zone_zs'!$B166,[1]ratio_ins!$B:$B,0))</f>
        <v>370.79224800000003</v>
      </c>
      <c r="AV166" s="10">
        <f>INDEX([1]ratio_ins!AS:AS,MATCH('001_population_health_zone_zs'!$B$2,[1]ratio_ins!$B:$B,0))*$G166*INDEX([1]ratio_ins!$D:$D,MATCH('001_population_health_zone_zs'!$B166,[1]ratio_ins!$B:$B,0))</f>
        <v>185.39612400000001</v>
      </c>
      <c r="AW166" s="10">
        <f>INDEX([1]ratio_ins!AT:AT,MATCH('001_population_health_zone_zs'!$B$2,[1]ratio_ins!$B:$B,0))*$G166*INDEX([1]ratio_ins!$D:$D,MATCH('001_population_health_zone_zs'!$B166,[1]ratio_ins!$B:$B,0))</f>
        <v>123.597416</v>
      </c>
      <c r="AX166" s="13">
        <f>INDEX([1]ratio_ins!AU:AU,MATCH('001_population_health_zone_zs'!$B$2,[1]ratio_ins!$B:$B,0))*$G166*INDEX([1]ratio_ins!$D:$D,MATCH('001_population_health_zone_zs'!$B166,[1]ratio_ins!$B:$B,0))</f>
        <v>1297.772868</v>
      </c>
      <c r="AY166" s="14">
        <f t="shared" si="13"/>
        <v>61798.707999999999</v>
      </c>
      <c r="AZ166" s="15">
        <f t="shared" si="14"/>
        <v>121651</v>
      </c>
      <c r="BA166" s="16">
        <v>117346.19502215931</v>
      </c>
      <c r="BB166" s="10">
        <f t="shared" si="15"/>
        <v>26264.450899999996</v>
      </c>
      <c r="BC166" s="17">
        <f t="shared" si="16"/>
        <v>0.21589999999999998</v>
      </c>
      <c r="BD166" s="10">
        <f t="shared" si="17"/>
        <v>24958.405764000006</v>
      </c>
    </row>
    <row r="167" spans="1:56" x14ac:dyDescent="0.25">
      <c r="A167" s="8" t="s">
        <v>409</v>
      </c>
      <c r="B167" s="8" t="s">
        <v>410</v>
      </c>
      <c r="C167" s="8" t="s">
        <v>411</v>
      </c>
      <c r="D167" s="8" t="s">
        <v>412</v>
      </c>
      <c r="E167" s="8" t="s">
        <v>411</v>
      </c>
      <c r="F167" s="8" t="s">
        <v>417</v>
      </c>
      <c r="G167" s="9">
        <v>267694</v>
      </c>
      <c r="H167" s="10">
        <f>INDEX([1]ratio_ins!F:F,MATCH('001_population_health_zone_zs'!$B$2,[1]ratio_ins!$B:$B,0))*$G167*INDEX([1]ratio_ins!$C:$C,MATCH('001_population_health_zone_zs'!$B167,[1]ratio_ins!$B:$B,0))</f>
        <v>27526.438632000001</v>
      </c>
      <c r="I167" s="10">
        <f>INDEX([1]ratio_ins!G:G,MATCH('001_population_health_zone_zs'!$B$2,[1]ratio_ins!$B:$B,0))*$G167*INDEX([1]ratio_ins!$C:$C,MATCH('001_population_health_zone_zs'!$B167,[1]ratio_ins!$B:$B,0))</f>
        <v>22521.631608000007</v>
      </c>
      <c r="J167" s="10">
        <f>INDEX([1]ratio_ins!H:H,MATCH('001_population_health_zone_zs'!$B$2,[1]ratio_ins!$B:$B,0))*$G167*INDEX([1]ratio_ins!$C:$C,MATCH('001_population_health_zone_zs'!$B167,[1]ratio_ins!$B:$B,0))</f>
        <v>17780.235480000003</v>
      </c>
      <c r="K167" s="10">
        <f>INDEX([1]ratio_ins!I:I,MATCH('001_population_health_zone_zs'!$B$2,[1]ratio_ins!$B:$B,0))*$G167*INDEX([1]ratio_ins!$C:$C,MATCH('001_population_health_zone_zs'!$B167,[1]ratio_ins!$B:$B,0))</f>
        <v>10931.552184000002</v>
      </c>
      <c r="L167" s="10">
        <f>INDEX([1]ratio_ins!J:J,MATCH('001_population_health_zone_zs'!$B$2,[1]ratio_ins!$B:$B,0))*$G167*INDEX([1]ratio_ins!$C:$C,MATCH('001_population_health_zone_zs'!$B167,[1]ratio_ins!$B:$B,0))</f>
        <v>6558.9313104000003</v>
      </c>
      <c r="M167" s="11">
        <f>INDEX([1]ratio_ins!K:K,MATCH('001_population_health_zone_zs'!$B$2,[1]ratio_ins!$B:$B,0))*$G167*INDEX([1]ratio_ins!$C:$C,MATCH('001_population_health_zone_zs'!$B167,[1]ratio_ins!$B:$B,0))</f>
        <v>74387.237030400007</v>
      </c>
      <c r="N167" s="10">
        <f>INDEX([1]ratio_ins!L:L,MATCH('001_population_health_zone_zs'!$B$2,[1]ratio_ins!$B:$B,0))*$G167*INDEX([1]ratio_ins!$C:$C,MATCH('001_population_health_zone_zs'!$B167,[1]ratio_ins!$B:$B,0))</f>
        <v>4372.6208736000008</v>
      </c>
      <c r="O167" s="10">
        <f>INDEX([1]ratio_ins!M:M,MATCH('001_population_health_zone_zs'!$B$2,[1]ratio_ins!$B:$B,0))*$G167*INDEX([1]ratio_ins!$C:$C,MATCH('001_population_health_zone_zs'!$B167,[1]ratio_ins!$B:$B,0))</f>
        <v>9482.7922560000006</v>
      </c>
      <c r="P167" s="10">
        <f>INDEX([1]ratio_ins!N:N,MATCH('001_population_health_zone_zs'!$B$2,[1]ratio_ins!$B:$B,0))*$G167*INDEX([1]ratio_ins!$C:$C,MATCH('001_population_health_zone_zs'!$B167,[1]ratio_ins!$B:$B,0))</f>
        <v>8560.8541200000018</v>
      </c>
      <c r="Q167" s="10">
        <f>INDEX([1]ratio_ins!O:O,MATCH('001_population_health_zone_zs'!$B$2,[1]ratio_ins!$B:$B,0))*$G167*INDEX([1]ratio_ins!$C:$C,MATCH('001_population_health_zone_zs'!$B167,[1]ratio_ins!$B:$B,0))</f>
        <v>7638.9159840000002</v>
      </c>
      <c r="R167" s="10">
        <f>INDEX([1]ratio_ins!P:P,MATCH('001_population_health_zone_zs'!$B$2,[1]ratio_ins!$B:$B,0))*$G167*INDEX([1]ratio_ins!$C:$C,MATCH('001_population_health_zone_zs'!$B167,[1]ratio_ins!$B:$B,0))</f>
        <v>7507.2105360000014</v>
      </c>
      <c r="S167" s="10">
        <f>INDEX([1]ratio_ins!Q:Q,MATCH('001_population_health_zone_zs'!$B$2,[1]ratio_ins!$B:$B,0))*$G167*INDEX([1]ratio_ins!$C:$C,MATCH('001_population_health_zone_zs'!$B167,[1]ratio_ins!$B:$B,0))</f>
        <v>6321.8615040000004</v>
      </c>
      <c r="T167" s="10">
        <f>INDEX([1]ratio_ins!R:R,MATCH('001_population_health_zone_zs'!$B$2,[1]ratio_ins!$B:$B,0))*$G167*INDEX([1]ratio_ins!$C:$C,MATCH('001_population_health_zone_zs'!$B167,[1]ratio_ins!$B:$B,0))</f>
        <v>4477.9852320000009</v>
      </c>
      <c r="U167" s="10">
        <f>INDEX([1]ratio_ins!S:S,MATCH('001_population_health_zone_zs'!$B$2,[1]ratio_ins!$B:$B,0))*$G167*INDEX([1]ratio_ins!$C:$C,MATCH('001_population_health_zone_zs'!$B167,[1]ratio_ins!$B:$B,0))</f>
        <v>3556.0470960000011</v>
      </c>
      <c r="V167" s="10">
        <f>INDEX([1]ratio_ins!T:T,MATCH('001_population_health_zone_zs'!$B$2,[1]ratio_ins!$B:$B,0))*$G167*INDEX([1]ratio_ins!$C:$C,MATCH('001_population_health_zone_zs'!$B167,[1]ratio_ins!$B:$B,0))</f>
        <v>1975.5817200000001</v>
      </c>
      <c r="W167" s="11">
        <f>INDEX([1]ratio_ins!U:U,MATCH('001_population_health_zone_zs'!$B$2,[1]ratio_ins!$B:$B,0))*$G167*INDEX([1]ratio_ins!$C:$C,MATCH('001_population_health_zone_zs'!$B167,[1]ratio_ins!$B:$B,0))</f>
        <v>53893.869321600003</v>
      </c>
      <c r="X167" s="10">
        <f>INDEX([1]ratio_ins!V:V,MATCH('001_population_health_zone_zs'!$B$2,[1]ratio_ins!$B:$B,0))*$G167*INDEX([1]ratio_ins!$C:$C,MATCH('001_population_health_zone_zs'!$B167,[1]ratio_ins!$B:$B,0))</f>
        <v>1580.4653760000001</v>
      </c>
      <c r="Y167" s="10">
        <f>INDEX([1]ratio_ins!W:W,MATCH('001_population_health_zone_zs'!$B$2,[1]ratio_ins!$B:$B,0))*$G167*INDEX([1]ratio_ins!$C:$C,MATCH('001_population_health_zone_zs'!$B167,[1]ratio_ins!$B:$B,0))</f>
        <v>1053.6435840000001</v>
      </c>
      <c r="Z167" s="10">
        <f>INDEX([1]ratio_ins!X:X,MATCH('001_population_health_zone_zs'!$B$2,[1]ratio_ins!$B:$B,0))*$G167*INDEX([1]ratio_ins!$C:$C,MATCH('001_population_health_zone_zs'!$B167,[1]ratio_ins!$B:$B,0))</f>
        <v>526.82179200000007</v>
      </c>
      <c r="AA167" s="10">
        <f>INDEX([1]ratio_ins!Y:Y,MATCH('001_population_health_zone_zs'!$B$2,[1]ratio_ins!$B:$B,0))*$G167*INDEX([1]ratio_ins!$C:$C,MATCH('001_population_health_zone_zs'!$B167,[1]ratio_ins!$B:$B,0))</f>
        <v>263.41089600000004</v>
      </c>
      <c r="AB167" s="11">
        <f>INDEX([1]ratio_ins!Z:Z,MATCH('001_population_health_zone_zs'!$B$2,[1]ratio_ins!$B:$B,0))*$G167*INDEX([1]ratio_ins!$C:$C,MATCH('001_population_health_zone_zs'!$B167,[1]ratio_ins!$B:$B,0))</f>
        <v>3424.3416480000005</v>
      </c>
      <c r="AC167" s="12">
        <f t="shared" si="12"/>
        <v>131705.448</v>
      </c>
      <c r="AD167" s="10">
        <f>INDEX([1]ratio_ins!AA:AA,MATCH('001_population_health_zone_zs'!$B$2,[1]ratio_ins!$B:$B,0))*$G167*INDEX([1]ratio_ins!$D:$D,MATCH('001_population_health_zone_zs'!$B167,[1]ratio_ins!$B:$B,0))</f>
        <v>28557.59592</v>
      </c>
      <c r="AE167" s="10">
        <f>INDEX([1]ratio_ins!AB:AB,MATCH('001_population_health_zone_zs'!$B$2,[1]ratio_ins!$B:$B,0))*$G167*INDEX([1]ratio_ins!$D:$D,MATCH('001_population_health_zone_zs'!$B167,[1]ratio_ins!$B:$B,0))</f>
        <v>23526.019496000004</v>
      </c>
      <c r="AF167" s="10">
        <f>INDEX([1]ratio_ins!AC:AC,MATCH('001_population_health_zone_zs'!$B$2,[1]ratio_ins!$B:$B,0))*$G167*INDEX([1]ratio_ins!$D:$D,MATCH('001_population_health_zone_zs'!$B167,[1]ratio_ins!$B:$B,0))</f>
        <v>18630.431623999997</v>
      </c>
      <c r="AG167" s="10">
        <f>INDEX([1]ratio_ins!AD:AD,MATCH('001_population_health_zone_zs'!$B$2,[1]ratio_ins!$B:$B,0))*$G167*INDEX([1]ratio_ins!$D:$D,MATCH('001_population_health_zone_zs'!$B167,[1]ratio_ins!$B:$B,0))</f>
        <v>11287.049816000001</v>
      </c>
      <c r="AH167" s="10">
        <f>INDEX([1]ratio_ins!AE:AE,MATCH('001_population_health_zone_zs'!$B$2,[1]ratio_ins!$B:$B,0))*$G167*INDEX([1]ratio_ins!$D:$D,MATCH('001_population_health_zone_zs'!$B167,[1]ratio_ins!$B:$B,0))</f>
        <v>6772.2298895999993</v>
      </c>
      <c r="AI167" s="13">
        <f>INDEX([1]ratio_ins!AF:AF,MATCH('001_population_health_zone_zs'!$B$2,[1]ratio_ins!$B:$B,0))*$G167*INDEX([1]ratio_ins!$D:$D,MATCH('001_population_health_zone_zs'!$B167,[1]ratio_ins!$B:$B,0))</f>
        <v>77486.276929600004</v>
      </c>
      <c r="AJ167" s="10">
        <f>INDEX([1]ratio_ins!AG:AG,MATCH('001_population_health_zone_zs'!$B$2,[1]ratio_ins!$B:$B,0))*$G167*INDEX([1]ratio_ins!$D:$D,MATCH('001_population_health_zone_zs'!$B167,[1]ratio_ins!$B:$B,0))</f>
        <v>4514.8199264000004</v>
      </c>
      <c r="AK167" s="10">
        <f>INDEX([1]ratio_ins!AH:AH,MATCH('001_population_health_zone_zs'!$B$2,[1]ratio_ins!$B:$B,0))*$G167*INDEX([1]ratio_ins!$D:$D,MATCH('001_population_health_zone_zs'!$B167,[1]ratio_ins!$B:$B,0))</f>
        <v>10063.152848000002</v>
      </c>
      <c r="AL167" s="10">
        <f>INDEX([1]ratio_ins!AI:AI,MATCH('001_population_health_zone_zs'!$B$2,[1]ratio_ins!$B:$B,0))*$G167*INDEX([1]ratio_ins!$D:$D,MATCH('001_population_health_zone_zs'!$B167,[1]ratio_ins!$B:$B,0))</f>
        <v>9519.1986400000005</v>
      </c>
      <c r="AM167" s="10">
        <f>INDEX([1]ratio_ins!AJ:AJ,MATCH('001_population_health_zone_zs'!$B$2,[1]ratio_ins!$B:$B,0))*$G167*INDEX([1]ratio_ins!$D:$D,MATCH('001_population_health_zone_zs'!$B167,[1]ratio_ins!$B:$B,0))</f>
        <v>8703.2673279999999</v>
      </c>
      <c r="AN167" s="10">
        <f>INDEX([1]ratio_ins!AK:AK,MATCH('001_population_health_zone_zs'!$B$2,[1]ratio_ins!$B:$B,0))*$G167*INDEX([1]ratio_ins!$D:$D,MATCH('001_population_health_zone_zs'!$B167,[1]ratio_ins!$B:$B,0))</f>
        <v>8159.3131199999998</v>
      </c>
      <c r="AO167" s="10">
        <f>INDEX([1]ratio_ins!AL:AL,MATCH('001_population_health_zone_zs'!$B$2,[1]ratio_ins!$B:$B,0))*$G167*INDEX([1]ratio_ins!$D:$D,MATCH('001_population_health_zone_zs'!$B167,[1]ratio_ins!$B:$B,0))</f>
        <v>6119.4848400000001</v>
      </c>
      <c r="AP167" s="10">
        <f>INDEX([1]ratio_ins!AM:AM,MATCH('001_population_health_zone_zs'!$B$2,[1]ratio_ins!$B:$B,0))*$G167*INDEX([1]ratio_ins!$D:$D,MATCH('001_population_health_zone_zs'!$B167,[1]ratio_ins!$B:$B,0))</f>
        <v>3943.6680079999996</v>
      </c>
      <c r="AQ167" s="10">
        <f>INDEX([1]ratio_ins!AN:AN,MATCH('001_population_health_zone_zs'!$B$2,[1]ratio_ins!$B:$B,0))*$G167*INDEX([1]ratio_ins!$D:$D,MATCH('001_population_health_zone_zs'!$B167,[1]ratio_ins!$B:$B,0))</f>
        <v>3127.7366959999999</v>
      </c>
      <c r="AR167" s="10">
        <f>INDEX([1]ratio_ins!AO:AO,MATCH('001_population_health_zone_zs'!$B$2,[1]ratio_ins!$B:$B,0))*$G167*INDEX([1]ratio_ins!$D:$D,MATCH('001_population_health_zone_zs'!$B167,[1]ratio_ins!$B:$B,0))</f>
        <v>1495.8740720000003</v>
      </c>
      <c r="AS167" s="13">
        <f>INDEX([1]ratio_ins!AP:AP,MATCH('001_population_health_zone_zs'!$B$2,[1]ratio_ins!$B:$B,0))*$G167*INDEX([1]ratio_ins!$D:$D,MATCH('001_population_health_zone_zs'!$B167,[1]ratio_ins!$B:$B,0))</f>
        <v>55646.515478400004</v>
      </c>
      <c r="AT167" s="10">
        <f>INDEX([1]ratio_ins!AQ:AQ,MATCH('001_population_health_zone_zs'!$B$2,[1]ratio_ins!$B:$B,0))*$G167*INDEX([1]ratio_ins!$D:$D,MATCH('001_population_health_zone_zs'!$B167,[1]ratio_ins!$B:$B,0))</f>
        <v>1359.88552</v>
      </c>
      <c r="AU167" s="10">
        <f>INDEX([1]ratio_ins!AR:AR,MATCH('001_population_health_zone_zs'!$B$2,[1]ratio_ins!$B:$B,0))*$G167*INDEX([1]ratio_ins!$D:$D,MATCH('001_population_health_zone_zs'!$B167,[1]ratio_ins!$B:$B,0))</f>
        <v>815.93131200000005</v>
      </c>
      <c r="AV167" s="10">
        <f>INDEX([1]ratio_ins!AS:AS,MATCH('001_population_health_zone_zs'!$B$2,[1]ratio_ins!$B:$B,0))*$G167*INDEX([1]ratio_ins!$D:$D,MATCH('001_population_health_zone_zs'!$B167,[1]ratio_ins!$B:$B,0))</f>
        <v>407.96565600000002</v>
      </c>
      <c r="AW167" s="10">
        <f>INDEX([1]ratio_ins!AT:AT,MATCH('001_population_health_zone_zs'!$B$2,[1]ratio_ins!$B:$B,0))*$G167*INDEX([1]ratio_ins!$D:$D,MATCH('001_population_health_zone_zs'!$B167,[1]ratio_ins!$B:$B,0))</f>
        <v>271.977104</v>
      </c>
      <c r="AX167" s="13">
        <f>INDEX([1]ratio_ins!AU:AU,MATCH('001_population_health_zone_zs'!$B$2,[1]ratio_ins!$B:$B,0))*$G167*INDEX([1]ratio_ins!$D:$D,MATCH('001_population_health_zone_zs'!$B167,[1]ratio_ins!$B:$B,0))</f>
        <v>2855.7595919999999</v>
      </c>
      <c r="AY167" s="14">
        <f t="shared" si="13"/>
        <v>135988.552</v>
      </c>
      <c r="AZ167" s="15">
        <f t="shared" si="14"/>
        <v>267694</v>
      </c>
      <c r="BA167" s="16">
        <v>258221.67942526218</v>
      </c>
      <c r="BB167" s="10">
        <f t="shared" si="15"/>
        <v>57795.134599999998</v>
      </c>
      <c r="BC167" s="17">
        <f t="shared" si="16"/>
        <v>0.21589999999999998</v>
      </c>
      <c r="BD167" s="10">
        <f t="shared" si="17"/>
        <v>54921.171816000002</v>
      </c>
    </row>
    <row r="168" spans="1:56" x14ac:dyDescent="0.25">
      <c r="A168" s="8" t="s">
        <v>409</v>
      </c>
      <c r="B168" s="8" t="s">
        <v>410</v>
      </c>
      <c r="C168" s="8" t="s">
        <v>418</v>
      </c>
      <c r="D168" s="8" t="s">
        <v>419</v>
      </c>
      <c r="E168" s="8" t="s">
        <v>418</v>
      </c>
      <c r="F168" s="8" t="s">
        <v>420</v>
      </c>
      <c r="G168" s="9">
        <v>213657</v>
      </c>
      <c r="H168" s="10">
        <f>INDEX([1]ratio_ins!F:F,MATCH('001_population_health_zone_zs'!$B$2,[1]ratio_ins!$B:$B,0))*$G168*INDEX([1]ratio_ins!$C:$C,MATCH('001_population_health_zone_zs'!$B168,[1]ratio_ins!$B:$B,0))</f>
        <v>21969.921996000001</v>
      </c>
      <c r="I168" s="10">
        <f>INDEX([1]ratio_ins!G:G,MATCH('001_population_health_zone_zs'!$B$2,[1]ratio_ins!$B:$B,0))*$G168*INDEX([1]ratio_ins!$C:$C,MATCH('001_population_health_zone_zs'!$B168,[1]ratio_ins!$B:$B,0))</f>
        <v>17975.390724000001</v>
      </c>
      <c r="J168" s="10">
        <f>INDEX([1]ratio_ins!H:H,MATCH('001_population_health_zone_zs'!$B$2,[1]ratio_ins!$B:$B,0))*$G168*INDEX([1]ratio_ins!$C:$C,MATCH('001_population_health_zone_zs'!$B168,[1]ratio_ins!$B:$B,0))</f>
        <v>14191.097940000003</v>
      </c>
      <c r="K168" s="10">
        <f>INDEX([1]ratio_ins!I:I,MATCH('001_population_health_zone_zs'!$B$2,[1]ratio_ins!$B:$B,0))*$G168*INDEX([1]ratio_ins!$C:$C,MATCH('001_population_health_zone_zs'!$B168,[1]ratio_ins!$B:$B,0))</f>
        <v>8724.8972520000025</v>
      </c>
      <c r="L168" s="10">
        <f>INDEX([1]ratio_ins!J:J,MATCH('001_population_health_zone_zs'!$B$2,[1]ratio_ins!$B:$B,0))*$G168*INDEX([1]ratio_ins!$C:$C,MATCH('001_population_health_zone_zs'!$B168,[1]ratio_ins!$B:$B,0))</f>
        <v>5234.9383512000004</v>
      </c>
      <c r="M168" s="11">
        <f>INDEX([1]ratio_ins!K:K,MATCH('001_population_health_zone_zs'!$B$2,[1]ratio_ins!$B:$B,0))*$G168*INDEX([1]ratio_ins!$C:$C,MATCH('001_population_health_zone_zs'!$B168,[1]ratio_ins!$B:$B,0))</f>
        <v>59371.349011200007</v>
      </c>
      <c r="N168" s="10">
        <f>INDEX([1]ratio_ins!L:L,MATCH('001_population_health_zone_zs'!$B$2,[1]ratio_ins!$B:$B,0))*$G168*INDEX([1]ratio_ins!$C:$C,MATCH('001_population_health_zone_zs'!$B168,[1]ratio_ins!$B:$B,0))</f>
        <v>3489.9589008000003</v>
      </c>
      <c r="O168" s="10">
        <f>INDEX([1]ratio_ins!M:M,MATCH('001_population_health_zone_zs'!$B$2,[1]ratio_ins!$B:$B,0))*$G168*INDEX([1]ratio_ins!$C:$C,MATCH('001_population_health_zone_zs'!$B168,[1]ratio_ins!$B:$B,0))</f>
        <v>7568.5855680000013</v>
      </c>
      <c r="P168" s="10">
        <f>INDEX([1]ratio_ins!N:N,MATCH('001_population_health_zone_zs'!$B$2,[1]ratio_ins!$B:$B,0))*$G168*INDEX([1]ratio_ins!$C:$C,MATCH('001_population_health_zone_zs'!$B168,[1]ratio_ins!$B:$B,0))</f>
        <v>6832.750860000001</v>
      </c>
      <c r="Q168" s="10">
        <f>INDEX([1]ratio_ins!O:O,MATCH('001_population_health_zone_zs'!$B$2,[1]ratio_ins!$B:$B,0))*$G168*INDEX([1]ratio_ins!$C:$C,MATCH('001_population_health_zone_zs'!$B168,[1]ratio_ins!$B:$B,0))</f>
        <v>6096.9161520000007</v>
      </c>
      <c r="R168" s="10">
        <f>INDEX([1]ratio_ins!P:P,MATCH('001_population_health_zone_zs'!$B$2,[1]ratio_ins!$B:$B,0))*$G168*INDEX([1]ratio_ins!$C:$C,MATCH('001_population_health_zone_zs'!$B168,[1]ratio_ins!$B:$B,0))</f>
        <v>5991.7969080000012</v>
      </c>
      <c r="S168" s="10">
        <f>INDEX([1]ratio_ins!Q:Q,MATCH('001_population_health_zone_zs'!$B$2,[1]ratio_ins!$B:$B,0))*$G168*INDEX([1]ratio_ins!$C:$C,MATCH('001_population_health_zone_zs'!$B168,[1]ratio_ins!$B:$B,0))</f>
        <v>5045.7237120000009</v>
      </c>
      <c r="T168" s="10">
        <f>INDEX([1]ratio_ins!R:R,MATCH('001_population_health_zone_zs'!$B$2,[1]ratio_ins!$B:$B,0))*$G168*INDEX([1]ratio_ins!$C:$C,MATCH('001_population_health_zone_zs'!$B168,[1]ratio_ins!$B:$B,0))</f>
        <v>3574.0542960000007</v>
      </c>
      <c r="U168" s="10">
        <f>INDEX([1]ratio_ins!S:S,MATCH('001_population_health_zone_zs'!$B$2,[1]ratio_ins!$B:$B,0))*$G168*INDEX([1]ratio_ins!$C:$C,MATCH('001_population_health_zone_zs'!$B168,[1]ratio_ins!$B:$B,0))</f>
        <v>2838.2195880000004</v>
      </c>
      <c r="V168" s="10">
        <f>INDEX([1]ratio_ins!T:T,MATCH('001_population_health_zone_zs'!$B$2,[1]ratio_ins!$B:$B,0))*$G168*INDEX([1]ratio_ins!$C:$C,MATCH('001_population_health_zone_zs'!$B168,[1]ratio_ins!$B:$B,0))</f>
        <v>1576.7886600000002</v>
      </c>
      <c r="W168" s="11">
        <f>INDEX([1]ratio_ins!U:U,MATCH('001_population_health_zone_zs'!$B$2,[1]ratio_ins!$B:$B,0))*$G168*INDEX([1]ratio_ins!$C:$C,MATCH('001_population_health_zone_zs'!$B168,[1]ratio_ins!$B:$B,0))</f>
        <v>43014.794644800008</v>
      </c>
      <c r="X168" s="10">
        <f>INDEX([1]ratio_ins!V:V,MATCH('001_population_health_zone_zs'!$B$2,[1]ratio_ins!$B:$B,0))*$G168*INDEX([1]ratio_ins!$C:$C,MATCH('001_population_health_zone_zs'!$B168,[1]ratio_ins!$B:$B,0))</f>
        <v>1261.4309280000002</v>
      </c>
      <c r="Y168" s="10">
        <f>INDEX([1]ratio_ins!W:W,MATCH('001_population_health_zone_zs'!$B$2,[1]ratio_ins!$B:$B,0))*$G168*INDEX([1]ratio_ins!$C:$C,MATCH('001_population_health_zone_zs'!$B168,[1]ratio_ins!$B:$B,0))</f>
        <v>840.95395200000007</v>
      </c>
      <c r="Z168" s="10">
        <f>INDEX([1]ratio_ins!X:X,MATCH('001_population_health_zone_zs'!$B$2,[1]ratio_ins!$B:$B,0))*$G168*INDEX([1]ratio_ins!$C:$C,MATCH('001_population_health_zone_zs'!$B168,[1]ratio_ins!$B:$B,0))</f>
        <v>420.47697600000004</v>
      </c>
      <c r="AA168" s="10">
        <f>INDEX([1]ratio_ins!Y:Y,MATCH('001_population_health_zone_zs'!$B$2,[1]ratio_ins!$B:$B,0))*$G168*INDEX([1]ratio_ins!$C:$C,MATCH('001_population_health_zone_zs'!$B168,[1]ratio_ins!$B:$B,0))</f>
        <v>210.23848800000002</v>
      </c>
      <c r="AB168" s="11">
        <f>INDEX([1]ratio_ins!Z:Z,MATCH('001_population_health_zone_zs'!$B$2,[1]ratio_ins!$B:$B,0))*$G168*INDEX([1]ratio_ins!$C:$C,MATCH('001_population_health_zone_zs'!$B168,[1]ratio_ins!$B:$B,0))</f>
        <v>2733.1003440000004</v>
      </c>
      <c r="AC168" s="12">
        <f t="shared" si="12"/>
        <v>105119.24400000002</v>
      </c>
      <c r="AD168" s="10">
        <f>INDEX([1]ratio_ins!AA:AA,MATCH('001_population_health_zone_zs'!$B$2,[1]ratio_ins!$B:$B,0))*$G168*INDEX([1]ratio_ins!$D:$D,MATCH('001_population_health_zone_zs'!$B168,[1]ratio_ins!$B:$B,0))</f>
        <v>22792.928760000003</v>
      </c>
      <c r="AE168" s="10">
        <f>INDEX([1]ratio_ins!AB:AB,MATCH('001_population_health_zone_zs'!$B$2,[1]ratio_ins!$B:$B,0))*$G168*INDEX([1]ratio_ins!$D:$D,MATCH('001_population_health_zone_zs'!$B168,[1]ratio_ins!$B:$B,0))</f>
        <v>18777.031788</v>
      </c>
      <c r="AF168" s="10">
        <f>INDEX([1]ratio_ins!AC:AC,MATCH('001_population_health_zone_zs'!$B$2,[1]ratio_ins!$B:$B,0))*$G168*INDEX([1]ratio_ins!$D:$D,MATCH('001_population_health_zone_zs'!$B168,[1]ratio_ins!$B:$B,0))</f>
        <v>14869.672571999998</v>
      </c>
      <c r="AG168" s="10">
        <f>INDEX([1]ratio_ins!AD:AD,MATCH('001_population_health_zone_zs'!$B$2,[1]ratio_ins!$B:$B,0))*$G168*INDEX([1]ratio_ins!$D:$D,MATCH('001_population_health_zone_zs'!$B168,[1]ratio_ins!$B:$B,0))</f>
        <v>9008.633748000002</v>
      </c>
      <c r="AH168" s="10">
        <f>INDEX([1]ratio_ins!AE:AE,MATCH('001_population_health_zone_zs'!$B$2,[1]ratio_ins!$B:$B,0))*$G168*INDEX([1]ratio_ins!$D:$D,MATCH('001_population_health_zone_zs'!$B168,[1]ratio_ins!$B:$B,0))</f>
        <v>5405.1802488000003</v>
      </c>
      <c r="AI168" s="13">
        <f>INDEX([1]ratio_ins!AF:AF,MATCH('001_population_health_zone_zs'!$B$2,[1]ratio_ins!$B:$B,0))*$G168*INDEX([1]ratio_ins!$D:$D,MATCH('001_population_health_zone_zs'!$B168,[1]ratio_ins!$B:$B,0))</f>
        <v>61844.813368800002</v>
      </c>
      <c r="AJ168" s="10">
        <f>INDEX([1]ratio_ins!AG:AG,MATCH('001_population_health_zone_zs'!$B$2,[1]ratio_ins!$B:$B,0))*$G168*INDEX([1]ratio_ins!$D:$D,MATCH('001_population_health_zone_zs'!$B168,[1]ratio_ins!$B:$B,0))</f>
        <v>3603.4534992000004</v>
      </c>
      <c r="AK168" s="10">
        <f>INDEX([1]ratio_ins!AH:AH,MATCH('001_population_health_zone_zs'!$B$2,[1]ratio_ins!$B:$B,0))*$G168*INDEX([1]ratio_ins!$D:$D,MATCH('001_population_health_zone_zs'!$B168,[1]ratio_ins!$B:$B,0))</f>
        <v>8031.7939440000009</v>
      </c>
      <c r="AL168" s="10">
        <f>INDEX([1]ratio_ins!AI:AI,MATCH('001_population_health_zone_zs'!$B$2,[1]ratio_ins!$B:$B,0))*$G168*INDEX([1]ratio_ins!$D:$D,MATCH('001_population_health_zone_zs'!$B168,[1]ratio_ins!$B:$B,0))</f>
        <v>7597.6429200000011</v>
      </c>
      <c r="AM168" s="10">
        <f>INDEX([1]ratio_ins!AJ:AJ,MATCH('001_population_health_zone_zs'!$B$2,[1]ratio_ins!$B:$B,0))*$G168*INDEX([1]ratio_ins!$D:$D,MATCH('001_population_health_zone_zs'!$B168,[1]ratio_ins!$B:$B,0))</f>
        <v>6946.4163840000001</v>
      </c>
      <c r="AN168" s="10">
        <f>INDEX([1]ratio_ins!AK:AK,MATCH('001_population_health_zone_zs'!$B$2,[1]ratio_ins!$B:$B,0))*$G168*INDEX([1]ratio_ins!$D:$D,MATCH('001_population_health_zone_zs'!$B168,[1]ratio_ins!$B:$B,0))</f>
        <v>6512.2653600000003</v>
      </c>
      <c r="AO168" s="10">
        <f>INDEX([1]ratio_ins!AL:AL,MATCH('001_population_health_zone_zs'!$B$2,[1]ratio_ins!$B:$B,0))*$G168*INDEX([1]ratio_ins!$D:$D,MATCH('001_population_health_zone_zs'!$B168,[1]ratio_ins!$B:$B,0))</f>
        <v>4884.19902</v>
      </c>
      <c r="AP168" s="10">
        <f>INDEX([1]ratio_ins!AM:AM,MATCH('001_population_health_zone_zs'!$B$2,[1]ratio_ins!$B:$B,0))*$G168*INDEX([1]ratio_ins!$D:$D,MATCH('001_population_health_zone_zs'!$B168,[1]ratio_ins!$B:$B,0))</f>
        <v>3147.594924</v>
      </c>
      <c r="AQ168" s="10">
        <f>INDEX([1]ratio_ins!AN:AN,MATCH('001_population_health_zone_zs'!$B$2,[1]ratio_ins!$B:$B,0))*$G168*INDEX([1]ratio_ins!$D:$D,MATCH('001_population_health_zone_zs'!$B168,[1]ratio_ins!$B:$B,0))</f>
        <v>2496.3683879999999</v>
      </c>
      <c r="AR168" s="10">
        <f>INDEX([1]ratio_ins!AO:AO,MATCH('001_population_health_zone_zs'!$B$2,[1]ratio_ins!$B:$B,0))*$G168*INDEX([1]ratio_ins!$D:$D,MATCH('001_population_health_zone_zs'!$B168,[1]ratio_ins!$B:$B,0))</f>
        <v>1193.9153160000001</v>
      </c>
      <c r="AS168" s="13">
        <f>INDEX([1]ratio_ins!AP:AP,MATCH('001_population_health_zone_zs'!$B$2,[1]ratio_ins!$B:$B,0))*$G168*INDEX([1]ratio_ins!$D:$D,MATCH('001_population_health_zone_zs'!$B168,[1]ratio_ins!$B:$B,0))</f>
        <v>44413.649755200007</v>
      </c>
      <c r="AT168" s="10">
        <f>INDEX([1]ratio_ins!AQ:AQ,MATCH('001_population_health_zone_zs'!$B$2,[1]ratio_ins!$B:$B,0))*$G168*INDEX([1]ratio_ins!$D:$D,MATCH('001_population_health_zone_zs'!$B168,[1]ratio_ins!$B:$B,0))</f>
        <v>1085.3775600000001</v>
      </c>
      <c r="AU168" s="10">
        <f>INDEX([1]ratio_ins!AR:AR,MATCH('001_population_health_zone_zs'!$B$2,[1]ratio_ins!$B:$B,0))*$G168*INDEX([1]ratio_ins!$D:$D,MATCH('001_population_health_zone_zs'!$B168,[1]ratio_ins!$B:$B,0))</f>
        <v>651.22653600000001</v>
      </c>
      <c r="AV168" s="10">
        <f>INDEX([1]ratio_ins!AS:AS,MATCH('001_population_health_zone_zs'!$B$2,[1]ratio_ins!$B:$B,0))*$G168*INDEX([1]ratio_ins!$D:$D,MATCH('001_population_health_zone_zs'!$B168,[1]ratio_ins!$B:$B,0))</f>
        <v>325.61326800000001</v>
      </c>
      <c r="AW168" s="10">
        <f>INDEX([1]ratio_ins!AT:AT,MATCH('001_population_health_zone_zs'!$B$2,[1]ratio_ins!$B:$B,0))*$G168*INDEX([1]ratio_ins!$D:$D,MATCH('001_population_health_zone_zs'!$B168,[1]ratio_ins!$B:$B,0))</f>
        <v>217.075512</v>
      </c>
      <c r="AX168" s="13">
        <f>INDEX([1]ratio_ins!AU:AU,MATCH('001_population_health_zone_zs'!$B$2,[1]ratio_ins!$B:$B,0))*$G168*INDEX([1]ratio_ins!$D:$D,MATCH('001_population_health_zone_zs'!$B168,[1]ratio_ins!$B:$B,0))</f>
        <v>2279.292876</v>
      </c>
      <c r="AY168" s="14">
        <f t="shared" si="13"/>
        <v>108537.75600000001</v>
      </c>
      <c r="AZ168" s="15">
        <f t="shared" si="14"/>
        <v>213657.00000000003</v>
      </c>
      <c r="BA168" s="16">
        <v>206096.77184728332</v>
      </c>
      <c r="BB168" s="10">
        <f t="shared" si="15"/>
        <v>46128.546300000002</v>
      </c>
      <c r="BC168" s="17">
        <f t="shared" si="16"/>
        <v>0.21590000000000001</v>
      </c>
      <c r="BD168" s="10">
        <f t="shared" si="17"/>
        <v>43834.724748000008</v>
      </c>
    </row>
    <row r="169" spans="1:56" x14ac:dyDescent="0.25">
      <c r="A169" s="8" t="s">
        <v>409</v>
      </c>
      <c r="B169" s="8" t="s">
        <v>410</v>
      </c>
      <c r="C169" s="8" t="s">
        <v>418</v>
      </c>
      <c r="D169" s="8" t="s">
        <v>419</v>
      </c>
      <c r="E169" s="8" t="s">
        <v>421</v>
      </c>
      <c r="F169" s="8" t="s">
        <v>422</v>
      </c>
      <c r="G169" s="9">
        <v>148541</v>
      </c>
      <c r="H169" s="10">
        <f>INDEX([1]ratio_ins!F:F,MATCH('001_population_health_zone_zs'!$B$2,[1]ratio_ins!$B:$B,0))*$G169*INDEX([1]ratio_ins!$C:$C,MATCH('001_population_health_zone_zs'!$B169,[1]ratio_ins!$B:$B,0))</f>
        <v>15274.173948000001</v>
      </c>
      <c r="I169" s="10">
        <f>INDEX([1]ratio_ins!G:G,MATCH('001_population_health_zone_zs'!$B$2,[1]ratio_ins!$B:$B,0))*$G169*INDEX([1]ratio_ins!$C:$C,MATCH('001_population_health_zone_zs'!$B169,[1]ratio_ins!$B:$B,0))</f>
        <v>12497.051412000003</v>
      </c>
      <c r="J169" s="10">
        <f>INDEX([1]ratio_ins!H:H,MATCH('001_population_health_zone_zs'!$B$2,[1]ratio_ins!$B:$B,0))*$G169*INDEX([1]ratio_ins!$C:$C,MATCH('001_population_health_zone_zs'!$B169,[1]ratio_ins!$B:$B,0))</f>
        <v>9866.0932200000007</v>
      </c>
      <c r="K169" s="10">
        <f>INDEX([1]ratio_ins!I:I,MATCH('001_population_health_zone_zs'!$B$2,[1]ratio_ins!$B:$B,0))*$G169*INDEX([1]ratio_ins!$C:$C,MATCH('001_population_health_zone_zs'!$B169,[1]ratio_ins!$B:$B,0))</f>
        <v>6065.8202760000004</v>
      </c>
      <c r="L169" s="10">
        <f>INDEX([1]ratio_ins!J:J,MATCH('001_population_health_zone_zs'!$B$2,[1]ratio_ins!$B:$B,0))*$G169*INDEX([1]ratio_ins!$C:$C,MATCH('001_population_health_zone_zs'!$B169,[1]ratio_ins!$B:$B,0))</f>
        <v>3639.4921656000001</v>
      </c>
      <c r="M169" s="11">
        <f>INDEX([1]ratio_ins!K:K,MATCH('001_population_health_zone_zs'!$B$2,[1]ratio_ins!$B:$B,0))*$G169*INDEX([1]ratio_ins!$C:$C,MATCH('001_population_health_zone_zs'!$B169,[1]ratio_ins!$B:$B,0))</f>
        <v>41276.810745600007</v>
      </c>
      <c r="N169" s="10">
        <f>INDEX([1]ratio_ins!L:L,MATCH('001_population_health_zone_zs'!$B$2,[1]ratio_ins!$B:$B,0))*$G169*INDEX([1]ratio_ins!$C:$C,MATCH('001_population_health_zone_zs'!$B169,[1]ratio_ins!$B:$B,0))</f>
        <v>2426.3281104000002</v>
      </c>
      <c r="O169" s="10">
        <f>INDEX([1]ratio_ins!M:M,MATCH('001_population_health_zone_zs'!$B$2,[1]ratio_ins!$B:$B,0))*$G169*INDEX([1]ratio_ins!$C:$C,MATCH('001_population_health_zone_zs'!$B169,[1]ratio_ins!$B:$B,0))</f>
        <v>5261.916384000001</v>
      </c>
      <c r="P169" s="10">
        <f>INDEX([1]ratio_ins!N:N,MATCH('001_population_health_zone_zs'!$B$2,[1]ratio_ins!$B:$B,0))*$G169*INDEX([1]ratio_ins!$C:$C,MATCH('001_population_health_zone_zs'!$B169,[1]ratio_ins!$B:$B,0))</f>
        <v>4750.3411800000013</v>
      </c>
      <c r="Q169" s="10">
        <f>INDEX([1]ratio_ins!O:O,MATCH('001_population_health_zone_zs'!$B$2,[1]ratio_ins!$B:$B,0))*$G169*INDEX([1]ratio_ins!$C:$C,MATCH('001_population_health_zone_zs'!$B169,[1]ratio_ins!$B:$B,0))</f>
        <v>4238.7659759999997</v>
      </c>
      <c r="R169" s="10">
        <f>INDEX([1]ratio_ins!P:P,MATCH('001_population_health_zone_zs'!$B$2,[1]ratio_ins!$B:$B,0))*$G169*INDEX([1]ratio_ins!$C:$C,MATCH('001_population_health_zone_zs'!$B169,[1]ratio_ins!$B:$B,0))</f>
        <v>4165.6838040000002</v>
      </c>
      <c r="S169" s="10">
        <f>INDEX([1]ratio_ins!Q:Q,MATCH('001_population_health_zone_zs'!$B$2,[1]ratio_ins!$B:$B,0))*$G169*INDEX([1]ratio_ins!$C:$C,MATCH('001_population_health_zone_zs'!$B169,[1]ratio_ins!$B:$B,0))</f>
        <v>3507.9442560000002</v>
      </c>
      <c r="T169" s="10">
        <f>INDEX([1]ratio_ins!R:R,MATCH('001_population_health_zone_zs'!$B$2,[1]ratio_ins!$B:$B,0))*$G169*INDEX([1]ratio_ins!$C:$C,MATCH('001_population_health_zone_zs'!$B169,[1]ratio_ins!$B:$B,0))</f>
        <v>2484.7938480000003</v>
      </c>
      <c r="U169" s="10">
        <f>INDEX([1]ratio_ins!S:S,MATCH('001_population_health_zone_zs'!$B$2,[1]ratio_ins!$B:$B,0))*$G169*INDEX([1]ratio_ins!$C:$C,MATCH('001_population_health_zone_zs'!$B169,[1]ratio_ins!$B:$B,0))</f>
        <v>1973.2186440000005</v>
      </c>
      <c r="V169" s="10">
        <f>INDEX([1]ratio_ins!T:T,MATCH('001_population_health_zone_zs'!$B$2,[1]ratio_ins!$B:$B,0))*$G169*INDEX([1]ratio_ins!$C:$C,MATCH('001_population_health_zone_zs'!$B169,[1]ratio_ins!$B:$B,0))</f>
        <v>1096.2325800000001</v>
      </c>
      <c r="W169" s="11">
        <f>INDEX([1]ratio_ins!U:U,MATCH('001_population_health_zone_zs'!$B$2,[1]ratio_ins!$B:$B,0))*$G169*INDEX([1]ratio_ins!$C:$C,MATCH('001_population_health_zone_zs'!$B169,[1]ratio_ins!$B:$B,0))</f>
        <v>29905.224782400004</v>
      </c>
      <c r="X169" s="10">
        <f>INDEX([1]ratio_ins!V:V,MATCH('001_population_health_zone_zs'!$B$2,[1]ratio_ins!$B:$B,0))*$G169*INDEX([1]ratio_ins!$C:$C,MATCH('001_population_health_zone_zs'!$B169,[1]ratio_ins!$B:$B,0))</f>
        <v>876.98606400000006</v>
      </c>
      <c r="Y169" s="10">
        <f>INDEX([1]ratio_ins!W:W,MATCH('001_population_health_zone_zs'!$B$2,[1]ratio_ins!$B:$B,0))*$G169*INDEX([1]ratio_ins!$C:$C,MATCH('001_population_health_zone_zs'!$B169,[1]ratio_ins!$B:$B,0))</f>
        <v>584.657376</v>
      </c>
      <c r="Z169" s="10">
        <f>INDEX([1]ratio_ins!X:X,MATCH('001_population_health_zone_zs'!$B$2,[1]ratio_ins!$B:$B,0))*$G169*INDEX([1]ratio_ins!$C:$C,MATCH('001_population_health_zone_zs'!$B169,[1]ratio_ins!$B:$B,0))</f>
        <v>292.328688</v>
      </c>
      <c r="AA169" s="10">
        <f>INDEX([1]ratio_ins!Y:Y,MATCH('001_population_health_zone_zs'!$B$2,[1]ratio_ins!$B:$B,0))*$G169*INDEX([1]ratio_ins!$C:$C,MATCH('001_population_health_zone_zs'!$B169,[1]ratio_ins!$B:$B,0))</f>
        <v>146.164344</v>
      </c>
      <c r="AB169" s="11">
        <f>INDEX([1]ratio_ins!Z:Z,MATCH('001_population_health_zone_zs'!$B$2,[1]ratio_ins!$B:$B,0))*$G169*INDEX([1]ratio_ins!$C:$C,MATCH('001_population_health_zone_zs'!$B169,[1]ratio_ins!$B:$B,0))</f>
        <v>1900.1364720000004</v>
      </c>
      <c r="AC169" s="12">
        <f t="shared" si="12"/>
        <v>73082.172000000006</v>
      </c>
      <c r="AD169" s="10">
        <f>INDEX([1]ratio_ins!AA:AA,MATCH('001_population_health_zone_zs'!$B$2,[1]ratio_ins!$B:$B,0))*$G169*INDEX([1]ratio_ins!$D:$D,MATCH('001_population_health_zone_zs'!$B169,[1]ratio_ins!$B:$B,0))</f>
        <v>15846.353880000001</v>
      </c>
      <c r="AE169" s="10">
        <f>INDEX([1]ratio_ins!AB:AB,MATCH('001_population_health_zone_zs'!$B$2,[1]ratio_ins!$B:$B,0))*$G169*INDEX([1]ratio_ins!$D:$D,MATCH('001_population_health_zone_zs'!$B169,[1]ratio_ins!$B:$B,0))</f>
        <v>13054.377244000001</v>
      </c>
      <c r="AF169" s="10">
        <f>INDEX([1]ratio_ins!AC:AC,MATCH('001_population_health_zone_zs'!$B$2,[1]ratio_ins!$B:$B,0))*$G169*INDEX([1]ratio_ins!$D:$D,MATCH('001_population_health_zone_zs'!$B169,[1]ratio_ins!$B:$B,0))</f>
        <v>10337.859435999999</v>
      </c>
      <c r="AG169" s="10">
        <f>INDEX([1]ratio_ins!AD:AD,MATCH('001_population_health_zone_zs'!$B$2,[1]ratio_ins!$B:$B,0))*$G169*INDEX([1]ratio_ins!$D:$D,MATCH('001_population_health_zone_zs'!$B169,[1]ratio_ins!$B:$B,0))</f>
        <v>6263.0827239999999</v>
      </c>
      <c r="AH169" s="10">
        <f>INDEX([1]ratio_ins!AE:AE,MATCH('001_population_health_zone_zs'!$B$2,[1]ratio_ins!$B:$B,0))*$G169*INDEX([1]ratio_ins!$D:$D,MATCH('001_population_health_zone_zs'!$B169,[1]ratio_ins!$B:$B,0))</f>
        <v>3757.8496343999996</v>
      </c>
      <c r="AI169" s="13">
        <f>INDEX([1]ratio_ins!AF:AF,MATCH('001_population_health_zone_zs'!$B$2,[1]ratio_ins!$B:$B,0))*$G169*INDEX([1]ratio_ins!$D:$D,MATCH('001_population_health_zone_zs'!$B169,[1]ratio_ins!$B:$B,0))</f>
        <v>42996.440194399998</v>
      </c>
      <c r="AJ169" s="10">
        <f>INDEX([1]ratio_ins!AG:AG,MATCH('001_population_health_zone_zs'!$B$2,[1]ratio_ins!$B:$B,0))*$G169*INDEX([1]ratio_ins!$D:$D,MATCH('001_population_health_zone_zs'!$B169,[1]ratio_ins!$B:$B,0))</f>
        <v>2505.2330896000003</v>
      </c>
      <c r="AK169" s="10">
        <f>INDEX([1]ratio_ins!AH:AH,MATCH('001_population_health_zone_zs'!$B$2,[1]ratio_ins!$B:$B,0))*$G169*INDEX([1]ratio_ins!$D:$D,MATCH('001_population_health_zone_zs'!$B169,[1]ratio_ins!$B:$B,0))</f>
        <v>5583.9532720000007</v>
      </c>
      <c r="AL169" s="10">
        <f>INDEX([1]ratio_ins!AI:AI,MATCH('001_population_health_zone_zs'!$B$2,[1]ratio_ins!$B:$B,0))*$G169*INDEX([1]ratio_ins!$D:$D,MATCH('001_population_health_zone_zs'!$B169,[1]ratio_ins!$B:$B,0))</f>
        <v>5282.1179600000005</v>
      </c>
      <c r="AM169" s="10">
        <f>INDEX([1]ratio_ins!AJ:AJ,MATCH('001_population_health_zone_zs'!$B$2,[1]ratio_ins!$B:$B,0))*$G169*INDEX([1]ratio_ins!$D:$D,MATCH('001_population_health_zone_zs'!$B169,[1]ratio_ins!$B:$B,0))</f>
        <v>4829.3649919999998</v>
      </c>
      <c r="AN169" s="10">
        <f>INDEX([1]ratio_ins!AK:AK,MATCH('001_population_health_zone_zs'!$B$2,[1]ratio_ins!$B:$B,0))*$G169*INDEX([1]ratio_ins!$D:$D,MATCH('001_population_health_zone_zs'!$B169,[1]ratio_ins!$B:$B,0))</f>
        <v>4527.5296799999996</v>
      </c>
      <c r="AO169" s="10">
        <f>INDEX([1]ratio_ins!AL:AL,MATCH('001_population_health_zone_zs'!$B$2,[1]ratio_ins!$B:$B,0))*$G169*INDEX([1]ratio_ins!$D:$D,MATCH('001_population_health_zone_zs'!$B169,[1]ratio_ins!$B:$B,0))</f>
        <v>3395.6472599999997</v>
      </c>
      <c r="AP169" s="10">
        <f>INDEX([1]ratio_ins!AM:AM,MATCH('001_population_health_zone_zs'!$B$2,[1]ratio_ins!$B:$B,0))*$G169*INDEX([1]ratio_ins!$D:$D,MATCH('001_population_health_zone_zs'!$B169,[1]ratio_ins!$B:$B,0))</f>
        <v>2188.3060119999996</v>
      </c>
      <c r="AQ169" s="10">
        <f>INDEX([1]ratio_ins!AN:AN,MATCH('001_population_health_zone_zs'!$B$2,[1]ratio_ins!$B:$B,0))*$G169*INDEX([1]ratio_ins!$D:$D,MATCH('001_population_health_zone_zs'!$B169,[1]ratio_ins!$B:$B,0))</f>
        <v>1735.553044</v>
      </c>
      <c r="AR169" s="10">
        <f>INDEX([1]ratio_ins!AO:AO,MATCH('001_population_health_zone_zs'!$B$2,[1]ratio_ins!$B:$B,0))*$G169*INDEX([1]ratio_ins!$D:$D,MATCH('001_population_health_zone_zs'!$B169,[1]ratio_ins!$B:$B,0))</f>
        <v>830.04710800000009</v>
      </c>
      <c r="AS169" s="13">
        <f>INDEX([1]ratio_ins!AP:AP,MATCH('001_population_health_zone_zs'!$B$2,[1]ratio_ins!$B:$B,0))*$G169*INDEX([1]ratio_ins!$D:$D,MATCH('001_population_health_zone_zs'!$B169,[1]ratio_ins!$B:$B,0))</f>
        <v>30877.752417600001</v>
      </c>
      <c r="AT169" s="10">
        <f>INDEX([1]ratio_ins!AQ:AQ,MATCH('001_population_health_zone_zs'!$B$2,[1]ratio_ins!$B:$B,0))*$G169*INDEX([1]ratio_ins!$D:$D,MATCH('001_population_health_zone_zs'!$B169,[1]ratio_ins!$B:$B,0))</f>
        <v>754.58828000000005</v>
      </c>
      <c r="AU169" s="10">
        <f>INDEX([1]ratio_ins!AR:AR,MATCH('001_population_health_zone_zs'!$B$2,[1]ratio_ins!$B:$B,0))*$G169*INDEX([1]ratio_ins!$D:$D,MATCH('001_population_health_zone_zs'!$B169,[1]ratio_ins!$B:$B,0))</f>
        <v>452.75296800000001</v>
      </c>
      <c r="AV169" s="10">
        <f>INDEX([1]ratio_ins!AS:AS,MATCH('001_population_health_zone_zs'!$B$2,[1]ratio_ins!$B:$B,0))*$G169*INDEX([1]ratio_ins!$D:$D,MATCH('001_population_health_zone_zs'!$B169,[1]ratio_ins!$B:$B,0))</f>
        <v>226.376484</v>
      </c>
      <c r="AW169" s="10">
        <f>INDEX([1]ratio_ins!AT:AT,MATCH('001_population_health_zone_zs'!$B$2,[1]ratio_ins!$B:$B,0))*$G169*INDEX([1]ratio_ins!$D:$D,MATCH('001_population_health_zone_zs'!$B169,[1]ratio_ins!$B:$B,0))</f>
        <v>150.91765599999999</v>
      </c>
      <c r="AX169" s="13">
        <f>INDEX([1]ratio_ins!AU:AU,MATCH('001_population_health_zone_zs'!$B$2,[1]ratio_ins!$B:$B,0))*$G169*INDEX([1]ratio_ins!$D:$D,MATCH('001_population_health_zone_zs'!$B169,[1]ratio_ins!$B:$B,0))</f>
        <v>1584.6353879999999</v>
      </c>
      <c r="AY169" s="14">
        <f t="shared" si="13"/>
        <v>75458.827999999994</v>
      </c>
      <c r="AZ169" s="15">
        <f t="shared" si="14"/>
        <v>148541</v>
      </c>
      <c r="BA169" s="16">
        <v>143285.09010105097</v>
      </c>
      <c r="BB169" s="10">
        <f t="shared" si="15"/>
        <v>32070.001900000003</v>
      </c>
      <c r="BC169" s="17">
        <f t="shared" si="16"/>
        <v>0.21590000000000001</v>
      </c>
      <c r="BD169" s="10">
        <f t="shared" si="17"/>
        <v>30475.265724000004</v>
      </c>
    </row>
    <row r="170" spans="1:56" x14ac:dyDescent="0.25">
      <c r="A170" s="8" t="s">
        <v>409</v>
      </c>
      <c r="B170" s="8" t="s">
        <v>410</v>
      </c>
      <c r="C170" s="8" t="s">
        <v>418</v>
      </c>
      <c r="D170" s="8" t="s">
        <v>419</v>
      </c>
      <c r="E170" s="8" t="s">
        <v>423</v>
      </c>
      <c r="F170" s="8" t="s">
        <v>424</v>
      </c>
      <c r="G170" s="9">
        <v>141505</v>
      </c>
      <c r="H170" s="10">
        <f>INDEX([1]ratio_ins!F:F,MATCH('001_population_health_zone_zs'!$B$2,[1]ratio_ins!$B:$B,0))*$G170*INDEX([1]ratio_ins!$C:$C,MATCH('001_population_health_zone_zs'!$B170,[1]ratio_ins!$B:$B,0))</f>
        <v>14550.676140000001</v>
      </c>
      <c r="I170" s="10">
        <f>INDEX([1]ratio_ins!G:G,MATCH('001_population_health_zone_zs'!$B$2,[1]ratio_ins!$B:$B,0))*$G170*INDEX([1]ratio_ins!$C:$C,MATCH('001_population_health_zone_zs'!$B170,[1]ratio_ins!$B:$B,0))</f>
        <v>11905.098660000003</v>
      </c>
      <c r="J170" s="10">
        <f>INDEX([1]ratio_ins!H:H,MATCH('001_population_health_zone_zs'!$B$2,[1]ratio_ins!$B:$B,0))*$G170*INDEX([1]ratio_ins!$C:$C,MATCH('001_population_health_zone_zs'!$B170,[1]ratio_ins!$B:$B,0))</f>
        <v>9398.7621000000017</v>
      </c>
      <c r="K170" s="10">
        <f>INDEX([1]ratio_ins!I:I,MATCH('001_population_health_zone_zs'!$B$2,[1]ratio_ins!$B:$B,0))*$G170*INDEX([1]ratio_ins!$C:$C,MATCH('001_population_health_zone_zs'!$B170,[1]ratio_ins!$B:$B,0))</f>
        <v>5778.4981800000014</v>
      </c>
      <c r="L170" s="10">
        <f>INDEX([1]ratio_ins!J:J,MATCH('001_population_health_zone_zs'!$B$2,[1]ratio_ins!$B:$B,0))*$G170*INDEX([1]ratio_ins!$C:$C,MATCH('001_population_health_zone_zs'!$B170,[1]ratio_ins!$B:$B,0))</f>
        <v>3467.0989079999999</v>
      </c>
      <c r="M170" s="11">
        <f>INDEX([1]ratio_ins!K:K,MATCH('001_population_health_zone_zs'!$B$2,[1]ratio_ins!$B:$B,0))*$G170*INDEX([1]ratio_ins!$C:$C,MATCH('001_population_health_zone_zs'!$B170,[1]ratio_ins!$B:$B,0))</f>
        <v>39321.635807999999</v>
      </c>
      <c r="N170" s="10">
        <f>INDEX([1]ratio_ins!L:L,MATCH('001_population_health_zone_zs'!$B$2,[1]ratio_ins!$B:$B,0))*$G170*INDEX([1]ratio_ins!$C:$C,MATCH('001_population_health_zone_zs'!$B170,[1]ratio_ins!$B:$B,0))</f>
        <v>2311.3992720000006</v>
      </c>
      <c r="O170" s="10">
        <f>INDEX([1]ratio_ins!M:M,MATCH('001_population_health_zone_zs'!$B$2,[1]ratio_ins!$B:$B,0))*$G170*INDEX([1]ratio_ins!$C:$C,MATCH('001_population_health_zone_zs'!$B170,[1]ratio_ins!$B:$B,0))</f>
        <v>5012.6731200000004</v>
      </c>
      <c r="P170" s="10">
        <f>INDEX([1]ratio_ins!N:N,MATCH('001_population_health_zone_zs'!$B$2,[1]ratio_ins!$B:$B,0))*$G170*INDEX([1]ratio_ins!$C:$C,MATCH('001_population_health_zone_zs'!$B170,[1]ratio_ins!$B:$B,0))</f>
        <v>4525.3299000000006</v>
      </c>
      <c r="Q170" s="10">
        <f>INDEX([1]ratio_ins!O:O,MATCH('001_population_health_zone_zs'!$B$2,[1]ratio_ins!$B:$B,0))*$G170*INDEX([1]ratio_ins!$C:$C,MATCH('001_population_health_zone_zs'!$B170,[1]ratio_ins!$B:$B,0))</f>
        <v>4037.98668</v>
      </c>
      <c r="R170" s="10">
        <f>INDEX([1]ratio_ins!P:P,MATCH('001_population_health_zone_zs'!$B$2,[1]ratio_ins!$B:$B,0))*$G170*INDEX([1]ratio_ins!$C:$C,MATCH('001_population_health_zone_zs'!$B170,[1]ratio_ins!$B:$B,0))</f>
        <v>3968.3662200000003</v>
      </c>
      <c r="S170" s="10">
        <f>INDEX([1]ratio_ins!Q:Q,MATCH('001_population_health_zone_zs'!$B$2,[1]ratio_ins!$B:$B,0))*$G170*INDEX([1]ratio_ins!$C:$C,MATCH('001_population_health_zone_zs'!$B170,[1]ratio_ins!$B:$B,0))</f>
        <v>3341.7820800000004</v>
      </c>
      <c r="T170" s="10">
        <f>INDEX([1]ratio_ins!R:R,MATCH('001_population_health_zone_zs'!$B$2,[1]ratio_ins!$B:$B,0))*$G170*INDEX([1]ratio_ins!$C:$C,MATCH('001_population_health_zone_zs'!$B170,[1]ratio_ins!$B:$B,0))</f>
        <v>2367.0956400000005</v>
      </c>
      <c r="U170" s="10">
        <f>INDEX([1]ratio_ins!S:S,MATCH('001_population_health_zone_zs'!$B$2,[1]ratio_ins!$B:$B,0))*$G170*INDEX([1]ratio_ins!$C:$C,MATCH('001_population_health_zone_zs'!$B170,[1]ratio_ins!$B:$B,0))</f>
        <v>1879.7524200000005</v>
      </c>
      <c r="V170" s="10">
        <f>INDEX([1]ratio_ins!T:T,MATCH('001_population_health_zone_zs'!$B$2,[1]ratio_ins!$B:$B,0))*$G170*INDEX([1]ratio_ins!$C:$C,MATCH('001_population_health_zone_zs'!$B170,[1]ratio_ins!$B:$B,0))</f>
        <v>1044.3069</v>
      </c>
      <c r="W170" s="11">
        <f>INDEX([1]ratio_ins!U:U,MATCH('001_population_health_zone_zs'!$B$2,[1]ratio_ins!$B:$B,0))*$G170*INDEX([1]ratio_ins!$C:$C,MATCH('001_population_health_zone_zs'!$B170,[1]ratio_ins!$B:$B,0))</f>
        <v>28488.692232000001</v>
      </c>
      <c r="X170" s="10">
        <f>INDEX([1]ratio_ins!V:V,MATCH('001_population_health_zone_zs'!$B$2,[1]ratio_ins!$B:$B,0))*$G170*INDEX([1]ratio_ins!$C:$C,MATCH('001_population_health_zone_zs'!$B170,[1]ratio_ins!$B:$B,0))</f>
        <v>835.4455200000001</v>
      </c>
      <c r="Y170" s="10">
        <f>INDEX([1]ratio_ins!W:W,MATCH('001_population_health_zone_zs'!$B$2,[1]ratio_ins!$B:$B,0))*$G170*INDEX([1]ratio_ins!$C:$C,MATCH('001_population_health_zone_zs'!$B170,[1]ratio_ins!$B:$B,0))</f>
        <v>556.96368000000007</v>
      </c>
      <c r="Z170" s="10">
        <f>INDEX([1]ratio_ins!X:X,MATCH('001_population_health_zone_zs'!$B$2,[1]ratio_ins!$B:$B,0))*$G170*INDEX([1]ratio_ins!$C:$C,MATCH('001_population_health_zone_zs'!$B170,[1]ratio_ins!$B:$B,0))</f>
        <v>278.48184000000003</v>
      </c>
      <c r="AA170" s="10">
        <f>INDEX([1]ratio_ins!Y:Y,MATCH('001_population_health_zone_zs'!$B$2,[1]ratio_ins!$B:$B,0))*$G170*INDEX([1]ratio_ins!$C:$C,MATCH('001_population_health_zone_zs'!$B170,[1]ratio_ins!$B:$B,0))</f>
        <v>139.24092000000002</v>
      </c>
      <c r="AB170" s="11">
        <f>INDEX([1]ratio_ins!Z:Z,MATCH('001_population_health_zone_zs'!$B$2,[1]ratio_ins!$B:$B,0))*$G170*INDEX([1]ratio_ins!$C:$C,MATCH('001_population_health_zone_zs'!$B170,[1]ratio_ins!$B:$B,0))</f>
        <v>1810.1319600000002</v>
      </c>
      <c r="AC170" s="12">
        <f t="shared" si="12"/>
        <v>69620.459999999992</v>
      </c>
      <c r="AD170" s="10">
        <f>INDEX([1]ratio_ins!AA:AA,MATCH('001_population_health_zone_zs'!$B$2,[1]ratio_ins!$B:$B,0))*$G170*INDEX([1]ratio_ins!$D:$D,MATCH('001_population_health_zone_zs'!$B170,[1]ratio_ins!$B:$B,0))</f>
        <v>15095.7534</v>
      </c>
      <c r="AE170" s="10">
        <f>INDEX([1]ratio_ins!AB:AB,MATCH('001_population_health_zone_zs'!$B$2,[1]ratio_ins!$B:$B,0))*$G170*INDEX([1]ratio_ins!$D:$D,MATCH('001_population_health_zone_zs'!$B170,[1]ratio_ins!$B:$B,0))</f>
        <v>12436.025420000002</v>
      </c>
      <c r="AF170" s="10">
        <f>INDEX([1]ratio_ins!AC:AC,MATCH('001_population_health_zone_zs'!$B$2,[1]ratio_ins!$B:$B,0))*$G170*INDEX([1]ratio_ins!$D:$D,MATCH('001_population_health_zone_zs'!$B170,[1]ratio_ins!$B:$B,0))</f>
        <v>9848.1819799999994</v>
      </c>
      <c r="AG170" s="10">
        <f>INDEX([1]ratio_ins!AD:AD,MATCH('001_population_health_zone_zs'!$B$2,[1]ratio_ins!$B:$B,0))*$G170*INDEX([1]ratio_ins!$D:$D,MATCH('001_population_health_zone_zs'!$B170,[1]ratio_ins!$B:$B,0))</f>
        <v>5966.4168200000004</v>
      </c>
      <c r="AH170" s="10">
        <f>INDEX([1]ratio_ins!AE:AE,MATCH('001_population_health_zone_zs'!$B$2,[1]ratio_ins!$B:$B,0))*$G170*INDEX([1]ratio_ins!$D:$D,MATCH('001_population_health_zone_zs'!$B170,[1]ratio_ins!$B:$B,0))</f>
        <v>3579.8500919999997</v>
      </c>
      <c r="AI170" s="13">
        <f>INDEX([1]ratio_ins!AF:AF,MATCH('001_population_health_zone_zs'!$B$2,[1]ratio_ins!$B:$B,0))*$G170*INDEX([1]ratio_ins!$D:$D,MATCH('001_population_health_zone_zs'!$B170,[1]ratio_ins!$B:$B,0))</f>
        <v>40959.810892000001</v>
      </c>
      <c r="AJ170" s="10">
        <f>INDEX([1]ratio_ins!AG:AG,MATCH('001_population_health_zone_zs'!$B$2,[1]ratio_ins!$B:$B,0))*$G170*INDEX([1]ratio_ins!$D:$D,MATCH('001_population_health_zone_zs'!$B170,[1]ratio_ins!$B:$B,0))</f>
        <v>2386.5667280000002</v>
      </c>
      <c r="AK170" s="10">
        <f>INDEX([1]ratio_ins!AH:AH,MATCH('001_population_health_zone_zs'!$B$2,[1]ratio_ins!$B:$B,0))*$G170*INDEX([1]ratio_ins!$D:$D,MATCH('001_population_health_zone_zs'!$B170,[1]ratio_ins!$B:$B,0))</f>
        <v>5319.4559600000002</v>
      </c>
      <c r="AL170" s="10">
        <f>INDEX([1]ratio_ins!AI:AI,MATCH('001_population_health_zone_zs'!$B$2,[1]ratio_ins!$B:$B,0))*$G170*INDEX([1]ratio_ins!$D:$D,MATCH('001_population_health_zone_zs'!$B170,[1]ratio_ins!$B:$B,0))</f>
        <v>5031.9178000000002</v>
      </c>
      <c r="AM170" s="10">
        <f>INDEX([1]ratio_ins!AJ:AJ,MATCH('001_population_health_zone_zs'!$B$2,[1]ratio_ins!$B:$B,0))*$G170*INDEX([1]ratio_ins!$D:$D,MATCH('001_population_health_zone_zs'!$B170,[1]ratio_ins!$B:$B,0))</f>
        <v>4600.6105600000001</v>
      </c>
      <c r="AN170" s="10">
        <f>INDEX([1]ratio_ins!AK:AK,MATCH('001_population_health_zone_zs'!$B$2,[1]ratio_ins!$B:$B,0))*$G170*INDEX([1]ratio_ins!$D:$D,MATCH('001_population_health_zone_zs'!$B170,[1]ratio_ins!$B:$B,0))</f>
        <v>4313.0724</v>
      </c>
      <c r="AO170" s="10">
        <f>INDEX([1]ratio_ins!AL:AL,MATCH('001_population_health_zone_zs'!$B$2,[1]ratio_ins!$B:$B,0))*$G170*INDEX([1]ratio_ins!$D:$D,MATCH('001_population_health_zone_zs'!$B170,[1]ratio_ins!$B:$B,0))</f>
        <v>3234.8042999999998</v>
      </c>
      <c r="AP170" s="10">
        <f>INDEX([1]ratio_ins!AM:AM,MATCH('001_population_health_zone_zs'!$B$2,[1]ratio_ins!$B:$B,0))*$G170*INDEX([1]ratio_ins!$D:$D,MATCH('001_population_health_zone_zs'!$B170,[1]ratio_ins!$B:$B,0))</f>
        <v>2084.65166</v>
      </c>
      <c r="AQ170" s="10">
        <f>INDEX([1]ratio_ins!AN:AN,MATCH('001_population_health_zone_zs'!$B$2,[1]ratio_ins!$B:$B,0))*$G170*INDEX([1]ratio_ins!$D:$D,MATCH('001_population_health_zone_zs'!$B170,[1]ratio_ins!$B:$B,0))</f>
        <v>1653.3444199999999</v>
      </c>
      <c r="AR170" s="10">
        <f>INDEX([1]ratio_ins!AO:AO,MATCH('001_population_health_zone_zs'!$B$2,[1]ratio_ins!$B:$B,0))*$G170*INDEX([1]ratio_ins!$D:$D,MATCH('001_population_health_zone_zs'!$B170,[1]ratio_ins!$B:$B,0))</f>
        <v>790.72994000000006</v>
      </c>
      <c r="AS170" s="13">
        <f>INDEX([1]ratio_ins!AP:AP,MATCH('001_population_health_zone_zs'!$B$2,[1]ratio_ins!$B:$B,0))*$G170*INDEX([1]ratio_ins!$D:$D,MATCH('001_population_health_zone_zs'!$B170,[1]ratio_ins!$B:$B,0))</f>
        <v>29415.153768</v>
      </c>
      <c r="AT170" s="10">
        <f>INDEX([1]ratio_ins!AQ:AQ,MATCH('001_population_health_zone_zs'!$B$2,[1]ratio_ins!$B:$B,0))*$G170*INDEX([1]ratio_ins!$D:$D,MATCH('001_population_health_zone_zs'!$B170,[1]ratio_ins!$B:$B,0))</f>
        <v>718.84540000000004</v>
      </c>
      <c r="AU170" s="10">
        <f>INDEX([1]ratio_ins!AR:AR,MATCH('001_population_health_zone_zs'!$B$2,[1]ratio_ins!$B:$B,0))*$G170*INDEX([1]ratio_ins!$D:$D,MATCH('001_population_health_zone_zs'!$B170,[1]ratio_ins!$B:$B,0))</f>
        <v>431.30723999999998</v>
      </c>
      <c r="AV170" s="10">
        <f>INDEX([1]ratio_ins!AS:AS,MATCH('001_population_health_zone_zs'!$B$2,[1]ratio_ins!$B:$B,0))*$G170*INDEX([1]ratio_ins!$D:$D,MATCH('001_population_health_zone_zs'!$B170,[1]ratio_ins!$B:$B,0))</f>
        <v>215.65361999999999</v>
      </c>
      <c r="AW170" s="10">
        <f>INDEX([1]ratio_ins!AT:AT,MATCH('001_population_health_zone_zs'!$B$2,[1]ratio_ins!$B:$B,0))*$G170*INDEX([1]ratio_ins!$D:$D,MATCH('001_population_health_zone_zs'!$B170,[1]ratio_ins!$B:$B,0))</f>
        <v>143.76908</v>
      </c>
      <c r="AX170" s="13">
        <f>INDEX([1]ratio_ins!AU:AU,MATCH('001_population_health_zone_zs'!$B$2,[1]ratio_ins!$B:$B,0))*$G170*INDEX([1]ratio_ins!$D:$D,MATCH('001_population_health_zone_zs'!$B170,[1]ratio_ins!$B:$B,0))</f>
        <v>1509.5753399999999</v>
      </c>
      <c r="AY170" s="14">
        <f t="shared" si="13"/>
        <v>71884.539999999994</v>
      </c>
      <c r="AZ170" s="15">
        <f t="shared" si="14"/>
        <v>141505</v>
      </c>
      <c r="BA170" s="16">
        <v>136498.21678939948</v>
      </c>
      <c r="BB170" s="10">
        <f t="shared" si="15"/>
        <v>30550.929500000002</v>
      </c>
      <c r="BC170" s="17">
        <f t="shared" si="16"/>
        <v>0.21590000000000001</v>
      </c>
      <c r="BD170" s="10">
        <f t="shared" si="17"/>
        <v>29031.731820000001</v>
      </c>
    </row>
    <row r="171" spans="1:56" x14ac:dyDescent="0.25">
      <c r="A171" s="8" t="s">
        <v>409</v>
      </c>
      <c r="B171" s="8" t="s">
        <v>410</v>
      </c>
      <c r="C171" s="8" t="s">
        <v>418</v>
      </c>
      <c r="D171" s="8" t="s">
        <v>419</v>
      </c>
      <c r="E171" s="8" t="s">
        <v>425</v>
      </c>
      <c r="F171" s="8" t="s">
        <v>426</v>
      </c>
      <c r="G171" s="9">
        <v>290836</v>
      </c>
      <c r="H171" s="10">
        <f>INDEX([1]ratio_ins!F:F,MATCH('001_population_health_zone_zs'!$B$2,[1]ratio_ins!$B:$B,0))*$G171*INDEX([1]ratio_ins!$C:$C,MATCH('001_population_health_zone_zs'!$B171,[1]ratio_ins!$B:$B,0))</f>
        <v>29906.084208</v>
      </c>
      <c r="I171" s="10">
        <f>INDEX([1]ratio_ins!G:G,MATCH('001_population_health_zone_zs'!$B$2,[1]ratio_ins!$B:$B,0))*$G171*INDEX([1]ratio_ins!$C:$C,MATCH('001_population_health_zone_zs'!$B171,[1]ratio_ins!$B:$B,0))</f>
        <v>24468.614352000004</v>
      </c>
      <c r="J171" s="10">
        <f>INDEX([1]ratio_ins!H:H,MATCH('001_population_health_zone_zs'!$B$2,[1]ratio_ins!$B:$B,0))*$G171*INDEX([1]ratio_ins!$C:$C,MATCH('001_population_health_zone_zs'!$B171,[1]ratio_ins!$B:$B,0))</f>
        <v>19317.327120000002</v>
      </c>
      <c r="K171" s="10">
        <f>INDEX([1]ratio_ins!I:I,MATCH('001_population_health_zone_zs'!$B$2,[1]ratio_ins!$B:$B,0))*$G171*INDEX([1]ratio_ins!$C:$C,MATCH('001_population_health_zone_zs'!$B171,[1]ratio_ins!$B:$B,0))</f>
        <v>11876.578896000003</v>
      </c>
      <c r="L171" s="10">
        <f>INDEX([1]ratio_ins!J:J,MATCH('001_population_health_zone_zs'!$B$2,[1]ratio_ins!$B:$B,0))*$G171*INDEX([1]ratio_ins!$C:$C,MATCH('001_population_health_zone_zs'!$B171,[1]ratio_ins!$B:$B,0))</f>
        <v>7125.9473376000005</v>
      </c>
      <c r="M171" s="11">
        <f>INDEX([1]ratio_ins!K:K,MATCH('001_population_health_zone_zs'!$B$2,[1]ratio_ins!$B:$B,0))*$G171*INDEX([1]ratio_ins!$C:$C,MATCH('001_population_health_zone_zs'!$B171,[1]ratio_ins!$B:$B,0))</f>
        <v>80817.973017600001</v>
      </c>
      <c r="N171" s="10">
        <f>INDEX([1]ratio_ins!L:L,MATCH('001_population_health_zone_zs'!$B$2,[1]ratio_ins!$B:$B,0))*$G171*INDEX([1]ratio_ins!$C:$C,MATCH('001_population_health_zone_zs'!$B171,[1]ratio_ins!$B:$B,0))</f>
        <v>4750.6315584000004</v>
      </c>
      <c r="O171" s="10">
        <f>INDEX([1]ratio_ins!M:M,MATCH('001_population_health_zone_zs'!$B$2,[1]ratio_ins!$B:$B,0))*$G171*INDEX([1]ratio_ins!$C:$C,MATCH('001_population_health_zone_zs'!$B171,[1]ratio_ins!$B:$B,0))</f>
        <v>10302.574464000003</v>
      </c>
      <c r="P171" s="10">
        <f>INDEX([1]ratio_ins!N:N,MATCH('001_population_health_zone_zs'!$B$2,[1]ratio_ins!$B:$B,0))*$G171*INDEX([1]ratio_ins!$C:$C,MATCH('001_population_health_zone_zs'!$B171,[1]ratio_ins!$B:$B,0))</f>
        <v>9300.9352800000015</v>
      </c>
      <c r="Q171" s="10">
        <f>INDEX([1]ratio_ins!O:O,MATCH('001_population_health_zone_zs'!$B$2,[1]ratio_ins!$B:$B,0))*$G171*INDEX([1]ratio_ins!$C:$C,MATCH('001_population_health_zone_zs'!$B171,[1]ratio_ins!$B:$B,0))</f>
        <v>8299.296096</v>
      </c>
      <c r="R171" s="10">
        <f>INDEX([1]ratio_ins!P:P,MATCH('001_population_health_zone_zs'!$B$2,[1]ratio_ins!$B:$B,0))*$G171*INDEX([1]ratio_ins!$C:$C,MATCH('001_population_health_zone_zs'!$B171,[1]ratio_ins!$B:$B,0))</f>
        <v>8156.2047840000014</v>
      </c>
      <c r="S171" s="10">
        <f>INDEX([1]ratio_ins!Q:Q,MATCH('001_population_health_zone_zs'!$B$2,[1]ratio_ins!$B:$B,0))*$G171*INDEX([1]ratio_ins!$C:$C,MATCH('001_population_health_zone_zs'!$B171,[1]ratio_ins!$B:$B,0))</f>
        <v>6868.3829760000008</v>
      </c>
      <c r="T171" s="10">
        <f>INDEX([1]ratio_ins!R:R,MATCH('001_population_health_zone_zs'!$B$2,[1]ratio_ins!$B:$B,0))*$G171*INDEX([1]ratio_ins!$C:$C,MATCH('001_population_health_zone_zs'!$B171,[1]ratio_ins!$B:$B,0))</f>
        <v>4865.1046080000006</v>
      </c>
      <c r="U171" s="10">
        <f>INDEX([1]ratio_ins!S:S,MATCH('001_population_health_zone_zs'!$B$2,[1]ratio_ins!$B:$B,0))*$G171*INDEX([1]ratio_ins!$C:$C,MATCH('001_population_health_zone_zs'!$B171,[1]ratio_ins!$B:$B,0))</f>
        <v>3863.4654240000009</v>
      </c>
      <c r="V171" s="10">
        <f>INDEX([1]ratio_ins!T:T,MATCH('001_population_health_zone_zs'!$B$2,[1]ratio_ins!$B:$B,0))*$G171*INDEX([1]ratio_ins!$C:$C,MATCH('001_population_health_zone_zs'!$B171,[1]ratio_ins!$B:$B,0))</f>
        <v>2146.3696800000002</v>
      </c>
      <c r="W171" s="11">
        <f>INDEX([1]ratio_ins!U:U,MATCH('001_population_health_zone_zs'!$B$2,[1]ratio_ins!$B:$B,0))*$G171*INDEX([1]ratio_ins!$C:$C,MATCH('001_population_health_zone_zs'!$B171,[1]ratio_ins!$B:$B,0))</f>
        <v>58552.964870400006</v>
      </c>
      <c r="X171" s="10">
        <f>INDEX([1]ratio_ins!V:V,MATCH('001_population_health_zone_zs'!$B$2,[1]ratio_ins!$B:$B,0))*$G171*INDEX([1]ratio_ins!$C:$C,MATCH('001_population_health_zone_zs'!$B171,[1]ratio_ins!$B:$B,0))</f>
        <v>1717.0957440000002</v>
      </c>
      <c r="Y171" s="10">
        <f>INDEX([1]ratio_ins!W:W,MATCH('001_population_health_zone_zs'!$B$2,[1]ratio_ins!$B:$B,0))*$G171*INDEX([1]ratio_ins!$C:$C,MATCH('001_population_health_zone_zs'!$B171,[1]ratio_ins!$B:$B,0))</f>
        <v>1144.7304960000001</v>
      </c>
      <c r="Z171" s="10">
        <f>INDEX([1]ratio_ins!X:X,MATCH('001_population_health_zone_zs'!$B$2,[1]ratio_ins!$B:$B,0))*$G171*INDEX([1]ratio_ins!$C:$C,MATCH('001_population_health_zone_zs'!$B171,[1]ratio_ins!$B:$B,0))</f>
        <v>572.36524800000007</v>
      </c>
      <c r="AA171" s="10">
        <f>INDEX([1]ratio_ins!Y:Y,MATCH('001_population_health_zone_zs'!$B$2,[1]ratio_ins!$B:$B,0))*$G171*INDEX([1]ratio_ins!$C:$C,MATCH('001_population_health_zone_zs'!$B171,[1]ratio_ins!$B:$B,0))</f>
        <v>286.18262400000003</v>
      </c>
      <c r="AB171" s="11">
        <f>INDEX([1]ratio_ins!Z:Z,MATCH('001_population_health_zone_zs'!$B$2,[1]ratio_ins!$B:$B,0))*$G171*INDEX([1]ratio_ins!$C:$C,MATCH('001_population_health_zone_zs'!$B171,[1]ratio_ins!$B:$B,0))</f>
        <v>3720.3741120000009</v>
      </c>
      <c r="AC171" s="12">
        <f t="shared" si="12"/>
        <v>143091.31200000001</v>
      </c>
      <c r="AD171" s="10">
        <f>INDEX([1]ratio_ins!AA:AA,MATCH('001_population_health_zone_zs'!$B$2,[1]ratio_ins!$B:$B,0))*$G171*INDEX([1]ratio_ins!$D:$D,MATCH('001_population_health_zone_zs'!$B171,[1]ratio_ins!$B:$B,0))</f>
        <v>31026.384480000001</v>
      </c>
      <c r="AE171" s="10">
        <f>INDEX([1]ratio_ins!AB:AB,MATCH('001_population_health_zone_zs'!$B$2,[1]ratio_ins!$B:$B,0))*$G171*INDEX([1]ratio_ins!$D:$D,MATCH('001_population_health_zone_zs'!$B171,[1]ratio_ins!$B:$B,0))</f>
        <v>25559.831024000003</v>
      </c>
      <c r="AF171" s="10">
        <f>INDEX([1]ratio_ins!AC:AC,MATCH('001_population_health_zone_zs'!$B$2,[1]ratio_ins!$B:$B,0))*$G171*INDEX([1]ratio_ins!$D:$D,MATCH('001_population_health_zone_zs'!$B171,[1]ratio_ins!$B:$B,0))</f>
        <v>20241.022255999997</v>
      </c>
      <c r="AG171" s="10">
        <f>INDEX([1]ratio_ins!AD:AD,MATCH('001_population_health_zone_zs'!$B$2,[1]ratio_ins!$B:$B,0))*$G171*INDEX([1]ratio_ins!$D:$D,MATCH('001_population_health_zone_zs'!$B171,[1]ratio_ins!$B:$B,0))</f>
        <v>12262.809104000002</v>
      </c>
      <c r="AH171" s="10">
        <f>INDEX([1]ratio_ins!AE:AE,MATCH('001_population_health_zone_zs'!$B$2,[1]ratio_ins!$B:$B,0))*$G171*INDEX([1]ratio_ins!$D:$D,MATCH('001_population_health_zone_zs'!$B171,[1]ratio_ins!$B:$B,0))</f>
        <v>7357.6854623999998</v>
      </c>
      <c r="AI171" s="13">
        <f>INDEX([1]ratio_ins!AF:AF,MATCH('001_population_health_zone_zs'!$B$2,[1]ratio_ins!$B:$B,0))*$G171*INDEX([1]ratio_ins!$D:$D,MATCH('001_population_health_zone_zs'!$B171,[1]ratio_ins!$B:$B,0))</f>
        <v>84184.923222400001</v>
      </c>
      <c r="AJ171" s="10">
        <f>INDEX([1]ratio_ins!AG:AG,MATCH('001_population_health_zone_zs'!$B$2,[1]ratio_ins!$B:$B,0))*$G171*INDEX([1]ratio_ins!$D:$D,MATCH('001_population_health_zone_zs'!$B171,[1]ratio_ins!$B:$B,0))</f>
        <v>4905.1236416000002</v>
      </c>
      <c r="AK171" s="10">
        <f>INDEX([1]ratio_ins!AH:AH,MATCH('001_population_health_zone_zs'!$B$2,[1]ratio_ins!$B:$B,0))*$G171*INDEX([1]ratio_ins!$D:$D,MATCH('001_population_health_zone_zs'!$B171,[1]ratio_ins!$B:$B,0))</f>
        <v>10933.106912000001</v>
      </c>
      <c r="AL171" s="10">
        <f>INDEX([1]ratio_ins!AI:AI,MATCH('001_population_health_zone_zs'!$B$2,[1]ratio_ins!$B:$B,0))*$G171*INDEX([1]ratio_ins!$D:$D,MATCH('001_population_health_zone_zs'!$B171,[1]ratio_ins!$B:$B,0))</f>
        <v>10342.12816</v>
      </c>
      <c r="AM171" s="10">
        <f>INDEX([1]ratio_ins!AJ:AJ,MATCH('001_population_health_zone_zs'!$B$2,[1]ratio_ins!$B:$B,0))*$G171*INDEX([1]ratio_ins!$D:$D,MATCH('001_population_health_zone_zs'!$B171,[1]ratio_ins!$B:$B,0))</f>
        <v>9455.6600319999998</v>
      </c>
      <c r="AN171" s="10">
        <f>INDEX([1]ratio_ins!AK:AK,MATCH('001_population_health_zone_zs'!$B$2,[1]ratio_ins!$B:$B,0))*$G171*INDEX([1]ratio_ins!$D:$D,MATCH('001_population_health_zone_zs'!$B171,[1]ratio_ins!$B:$B,0))</f>
        <v>8864.6812800000007</v>
      </c>
      <c r="AO171" s="10">
        <f>INDEX([1]ratio_ins!AL:AL,MATCH('001_population_health_zone_zs'!$B$2,[1]ratio_ins!$B:$B,0))*$G171*INDEX([1]ratio_ins!$D:$D,MATCH('001_population_health_zone_zs'!$B171,[1]ratio_ins!$B:$B,0))</f>
        <v>6648.5109599999996</v>
      </c>
      <c r="AP171" s="10">
        <f>INDEX([1]ratio_ins!AM:AM,MATCH('001_population_health_zone_zs'!$B$2,[1]ratio_ins!$B:$B,0))*$G171*INDEX([1]ratio_ins!$D:$D,MATCH('001_population_health_zone_zs'!$B171,[1]ratio_ins!$B:$B,0))</f>
        <v>4284.5959519999997</v>
      </c>
      <c r="AQ171" s="10">
        <f>INDEX([1]ratio_ins!AN:AN,MATCH('001_population_health_zone_zs'!$B$2,[1]ratio_ins!$B:$B,0))*$G171*INDEX([1]ratio_ins!$D:$D,MATCH('001_population_health_zone_zs'!$B171,[1]ratio_ins!$B:$B,0))</f>
        <v>3398.1278240000001</v>
      </c>
      <c r="AR171" s="10">
        <f>INDEX([1]ratio_ins!AO:AO,MATCH('001_population_health_zone_zs'!$B$2,[1]ratio_ins!$B:$B,0))*$G171*INDEX([1]ratio_ins!$D:$D,MATCH('001_population_health_zone_zs'!$B171,[1]ratio_ins!$B:$B,0))</f>
        <v>1625.1915680000002</v>
      </c>
      <c r="AS171" s="13">
        <f>INDEX([1]ratio_ins!AP:AP,MATCH('001_population_health_zone_zs'!$B$2,[1]ratio_ins!$B:$B,0))*$G171*INDEX([1]ratio_ins!$D:$D,MATCH('001_population_health_zone_zs'!$B171,[1]ratio_ins!$B:$B,0))</f>
        <v>60457.126329599996</v>
      </c>
      <c r="AT171" s="10">
        <f>INDEX([1]ratio_ins!AQ:AQ,MATCH('001_population_health_zone_zs'!$B$2,[1]ratio_ins!$B:$B,0))*$G171*INDEX([1]ratio_ins!$D:$D,MATCH('001_population_health_zone_zs'!$B171,[1]ratio_ins!$B:$B,0))</f>
        <v>1477.4468800000002</v>
      </c>
      <c r="AU171" s="10">
        <f>INDEX([1]ratio_ins!AR:AR,MATCH('001_population_health_zone_zs'!$B$2,[1]ratio_ins!$B:$B,0))*$G171*INDEX([1]ratio_ins!$D:$D,MATCH('001_population_health_zone_zs'!$B171,[1]ratio_ins!$B:$B,0))</f>
        <v>886.46812800000009</v>
      </c>
      <c r="AV171" s="10">
        <f>INDEX([1]ratio_ins!AS:AS,MATCH('001_population_health_zone_zs'!$B$2,[1]ratio_ins!$B:$B,0))*$G171*INDEX([1]ratio_ins!$D:$D,MATCH('001_population_health_zone_zs'!$B171,[1]ratio_ins!$B:$B,0))</f>
        <v>443.23406400000005</v>
      </c>
      <c r="AW171" s="10">
        <f>INDEX([1]ratio_ins!AT:AT,MATCH('001_population_health_zone_zs'!$B$2,[1]ratio_ins!$B:$B,0))*$G171*INDEX([1]ratio_ins!$D:$D,MATCH('001_population_health_zone_zs'!$B171,[1]ratio_ins!$B:$B,0))</f>
        <v>295.48937599999999</v>
      </c>
      <c r="AX171" s="13">
        <f>INDEX([1]ratio_ins!AU:AU,MATCH('001_population_health_zone_zs'!$B$2,[1]ratio_ins!$B:$B,0))*$G171*INDEX([1]ratio_ins!$D:$D,MATCH('001_population_health_zone_zs'!$B171,[1]ratio_ins!$B:$B,0))</f>
        <v>3102.6384479999997</v>
      </c>
      <c r="AY171" s="14">
        <f t="shared" si="13"/>
        <v>147744.68800000002</v>
      </c>
      <c r="AZ171" s="15">
        <f t="shared" si="14"/>
        <v>290836</v>
      </c>
      <c r="BA171" s="16">
        <v>280544.90085098497</v>
      </c>
      <c r="BB171" s="10">
        <f t="shared" si="15"/>
        <v>62791.492400000003</v>
      </c>
      <c r="BC171" s="17">
        <f t="shared" si="16"/>
        <v>0.21590000000000001</v>
      </c>
      <c r="BD171" s="10">
        <f t="shared" si="17"/>
        <v>59669.077104000011</v>
      </c>
    </row>
    <row r="172" spans="1:56" x14ac:dyDescent="0.25">
      <c r="A172" s="8" t="s">
        <v>409</v>
      </c>
      <c r="B172" s="8" t="s">
        <v>410</v>
      </c>
      <c r="C172" s="8" t="s">
        <v>418</v>
      </c>
      <c r="D172" s="8" t="s">
        <v>419</v>
      </c>
      <c r="E172" s="8" t="s">
        <v>427</v>
      </c>
      <c r="F172" s="8" t="s">
        <v>428</v>
      </c>
      <c r="G172" s="9">
        <v>135141</v>
      </c>
      <c r="H172" s="10">
        <f>INDEX([1]ratio_ins!F:F,MATCH('001_population_health_zone_zs'!$B$2,[1]ratio_ins!$B:$B,0))*$G172*INDEX([1]ratio_ins!$C:$C,MATCH('001_population_health_zone_zs'!$B172,[1]ratio_ins!$B:$B,0))</f>
        <v>13896.278748000001</v>
      </c>
      <c r="I172" s="10">
        <f>INDEX([1]ratio_ins!G:G,MATCH('001_population_health_zone_zs'!$B$2,[1]ratio_ins!$B:$B,0))*$G172*INDEX([1]ratio_ins!$C:$C,MATCH('001_population_health_zone_zs'!$B172,[1]ratio_ins!$B:$B,0))</f>
        <v>11369.682612000002</v>
      </c>
      <c r="J172" s="10">
        <f>INDEX([1]ratio_ins!H:H,MATCH('001_population_health_zone_zs'!$B$2,[1]ratio_ins!$B:$B,0))*$G172*INDEX([1]ratio_ins!$C:$C,MATCH('001_population_health_zone_zs'!$B172,[1]ratio_ins!$B:$B,0))</f>
        <v>8976.0652200000004</v>
      </c>
      <c r="K172" s="10">
        <f>INDEX([1]ratio_ins!I:I,MATCH('001_population_health_zone_zs'!$B$2,[1]ratio_ins!$B:$B,0))*$G172*INDEX([1]ratio_ins!$C:$C,MATCH('001_population_health_zone_zs'!$B172,[1]ratio_ins!$B:$B,0))</f>
        <v>5518.6178760000012</v>
      </c>
      <c r="L172" s="10">
        <f>INDEX([1]ratio_ins!J:J,MATCH('001_population_health_zone_zs'!$B$2,[1]ratio_ins!$B:$B,0))*$G172*INDEX([1]ratio_ins!$C:$C,MATCH('001_population_health_zone_zs'!$B172,[1]ratio_ins!$B:$B,0))</f>
        <v>3311.1707256</v>
      </c>
      <c r="M172" s="11">
        <f>INDEX([1]ratio_ins!K:K,MATCH('001_population_health_zone_zs'!$B$2,[1]ratio_ins!$B:$B,0))*$G172*INDEX([1]ratio_ins!$C:$C,MATCH('001_population_health_zone_zs'!$B172,[1]ratio_ins!$B:$B,0))</f>
        <v>37553.197305599999</v>
      </c>
      <c r="N172" s="10">
        <f>INDEX([1]ratio_ins!L:L,MATCH('001_population_health_zone_zs'!$B$2,[1]ratio_ins!$B:$B,0))*$G172*INDEX([1]ratio_ins!$C:$C,MATCH('001_population_health_zone_zs'!$B172,[1]ratio_ins!$B:$B,0))</f>
        <v>2207.4471504000003</v>
      </c>
      <c r="O172" s="10">
        <f>INDEX([1]ratio_ins!M:M,MATCH('001_population_health_zone_zs'!$B$2,[1]ratio_ins!$B:$B,0))*$G172*INDEX([1]ratio_ins!$C:$C,MATCH('001_population_health_zone_zs'!$B172,[1]ratio_ins!$B:$B,0))</f>
        <v>4787.2347840000011</v>
      </c>
      <c r="P172" s="10">
        <f>INDEX([1]ratio_ins!N:N,MATCH('001_population_health_zone_zs'!$B$2,[1]ratio_ins!$B:$B,0))*$G172*INDEX([1]ratio_ins!$C:$C,MATCH('001_population_health_zone_zs'!$B172,[1]ratio_ins!$B:$B,0))</f>
        <v>4321.8091800000011</v>
      </c>
      <c r="Q172" s="10">
        <f>INDEX([1]ratio_ins!O:O,MATCH('001_population_health_zone_zs'!$B$2,[1]ratio_ins!$B:$B,0))*$G172*INDEX([1]ratio_ins!$C:$C,MATCH('001_population_health_zone_zs'!$B172,[1]ratio_ins!$B:$B,0))</f>
        <v>3856.3835760000002</v>
      </c>
      <c r="R172" s="10">
        <f>INDEX([1]ratio_ins!P:P,MATCH('001_population_health_zone_zs'!$B$2,[1]ratio_ins!$B:$B,0))*$G172*INDEX([1]ratio_ins!$C:$C,MATCH('001_population_health_zone_zs'!$B172,[1]ratio_ins!$B:$B,0))</f>
        <v>3789.8942040000006</v>
      </c>
      <c r="S172" s="10">
        <f>INDEX([1]ratio_ins!Q:Q,MATCH('001_population_health_zone_zs'!$B$2,[1]ratio_ins!$B:$B,0))*$G172*INDEX([1]ratio_ins!$C:$C,MATCH('001_population_health_zone_zs'!$B172,[1]ratio_ins!$B:$B,0))</f>
        <v>3191.4898560000001</v>
      </c>
      <c r="T172" s="10">
        <f>INDEX([1]ratio_ins!R:R,MATCH('001_population_health_zone_zs'!$B$2,[1]ratio_ins!$B:$B,0))*$G172*INDEX([1]ratio_ins!$C:$C,MATCH('001_population_health_zone_zs'!$B172,[1]ratio_ins!$B:$B,0))</f>
        <v>2260.6386480000006</v>
      </c>
      <c r="U172" s="10">
        <f>INDEX([1]ratio_ins!S:S,MATCH('001_population_health_zone_zs'!$B$2,[1]ratio_ins!$B:$B,0))*$G172*INDEX([1]ratio_ins!$C:$C,MATCH('001_population_health_zone_zs'!$B172,[1]ratio_ins!$B:$B,0))</f>
        <v>1795.2130440000003</v>
      </c>
      <c r="V172" s="10">
        <f>INDEX([1]ratio_ins!T:T,MATCH('001_population_health_zone_zs'!$B$2,[1]ratio_ins!$B:$B,0))*$G172*INDEX([1]ratio_ins!$C:$C,MATCH('001_population_health_zone_zs'!$B172,[1]ratio_ins!$B:$B,0))</f>
        <v>997.34058000000016</v>
      </c>
      <c r="W172" s="11">
        <f>INDEX([1]ratio_ins!U:U,MATCH('001_population_health_zone_zs'!$B$2,[1]ratio_ins!$B:$B,0))*$G172*INDEX([1]ratio_ins!$C:$C,MATCH('001_population_health_zone_zs'!$B172,[1]ratio_ins!$B:$B,0))</f>
        <v>27207.451022400004</v>
      </c>
      <c r="X172" s="10">
        <f>INDEX([1]ratio_ins!V:V,MATCH('001_population_health_zone_zs'!$B$2,[1]ratio_ins!$B:$B,0))*$G172*INDEX([1]ratio_ins!$C:$C,MATCH('001_population_health_zone_zs'!$B172,[1]ratio_ins!$B:$B,0))</f>
        <v>797.87246400000004</v>
      </c>
      <c r="Y172" s="10">
        <f>INDEX([1]ratio_ins!W:W,MATCH('001_population_health_zone_zs'!$B$2,[1]ratio_ins!$B:$B,0))*$G172*INDEX([1]ratio_ins!$C:$C,MATCH('001_population_health_zone_zs'!$B172,[1]ratio_ins!$B:$B,0))</f>
        <v>531.91497600000002</v>
      </c>
      <c r="Z172" s="10">
        <f>INDEX([1]ratio_ins!X:X,MATCH('001_population_health_zone_zs'!$B$2,[1]ratio_ins!$B:$B,0))*$G172*INDEX([1]ratio_ins!$C:$C,MATCH('001_population_health_zone_zs'!$B172,[1]ratio_ins!$B:$B,0))</f>
        <v>265.95748800000001</v>
      </c>
      <c r="AA172" s="10">
        <f>INDEX([1]ratio_ins!Y:Y,MATCH('001_population_health_zone_zs'!$B$2,[1]ratio_ins!$B:$B,0))*$G172*INDEX([1]ratio_ins!$C:$C,MATCH('001_population_health_zone_zs'!$B172,[1]ratio_ins!$B:$B,0))</f>
        <v>132.97874400000001</v>
      </c>
      <c r="AB172" s="11">
        <f>INDEX([1]ratio_ins!Z:Z,MATCH('001_population_health_zone_zs'!$B$2,[1]ratio_ins!$B:$B,0))*$G172*INDEX([1]ratio_ins!$C:$C,MATCH('001_population_health_zone_zs'!$B172,[1]ratio_ins!$B:$B,0))</f>
        <v>1728.7236720000003</v>
      </c>
      <c r="AC172" s="12">
        <f t="shared" si="12"/>
        <v>66489.372000000003</v>
      </c>
      <c r="AD172" s="10">
        <f>INDEX([1]ratio_ins!AA:AA,MATCH('001_population_health_zone_zs'!$B$2,[1]ratio_ins!$B:$B,0))*$G172*INDEX([1]ratio_ins!$D:$D,MATCH('001_population_health_zone_zs'!$B172,[1]ratio_ins!$B:$B,0))</f>
        <v>14416.84188</v>
      </c>
      <c r="AE172" s="10">
        <f>INDEX([1]ratio_ins!AB:AB,MATCH('001_population_health_zone_zs'!$B$2,[1]ratio_ins!$B:$B,0))*$G172*INDEX([1]ratio_ins!$D:$D,MATCH('001_population_health_zone_zs'!$B172,[1]ratio_ins!$B:$B,0))</f>
        <v>11876.731644000001</v>
      </c>
      <c r="AF172" s="10">
        <f>INDEX([1]ratio_ins!AC:AC,MATCH('001_population_health_zone_zs'!$B$2,[1]ratio_ins!$B:$B,0))*$G172*INDEX([1]ratio_ins!$D:$D,MATCH('001_population_health_zone_zs'!$B172,[1]ratio_ins!$B:$B,0))</f>
        <v>9405.2730360000005</v>
      </c>
      <c r="AG172" s="10">
        <f>INDEX([1]ratio_ins!AD:AD,MATCH('001_population_health_zone_zs'!$B$2,[1]ratio_ins!$B:$B,0))*$G172*INDEX([1]ratio_ins!$D:$D,MATCH('001_population_health_zone_zs'!$B172,[1]ratio_ins!$B:$B,0))</f>
        <v>5698.0851240000011</v>
      </c>
      <c r="AH172" s="10">
        <f>INDEX([1]ratio_ins!AE:AE,MATCH('001_population_health_zone_zs'!$B$2,[1]ratio_ins!$B:$B,0))*$G172*INDEX([1]ratio_ins!$D:$D,MATCH('001_population_health_zone_zs'!$B172,[1]ratio_ins!$B:$B,0))</f>
        <v>3418.8510744</v>
      </c>
      <c r="AI172" s="13">
        <f>INDEX([1]ratio_ins!AF:AF,MATCH('001_population_health_zone_zs'!$B$2,[1]ratio_ins!$B:$B,0))*$G172*INDEX([1]ratio_ins!$D:$D,MATCH('001_population_health_zone_zs'!$B172,[1]ratio_ins!$B:$B,0))</f>
        <v>39117.6976344</v>
      </c>
      <c r="AJ172" s="10">
        <f>INDEX([1]ratio_ins!AG:AG,MATCH('001_population_health_zone_zs'!$B$2,[1]ratio_ins!$B:$B,0))*$G172*INDEX([1]ratio_ins!$D:$D,MATCH('001_population_health_zone_zs'!$B172,[1]ratio_ins!$B:$B,0))</f>
        <v>2279.2340496000002</v>
      </c>
      <c r="AK172" s="10">
        <f>INDEX([1]ratio_ins!AH:AH,MATCH('001_population_health_zone_zs'!$B$2,[1]ratio_ins!$B:$B,0))*$G172*INDEX([1]ratio_ins!$D:$D,MATCH('001_population_health_zone_zs'!$B172,[1]ratio_ins!$B:$B,0))</f>
        <v>5080.2204720000009</v>
      </c>
      <c r="AL172" s="10">
        <f>INDEX([1]ratio_ins!AI:AI,MATCH('001_population_health_zone_zs'!$B$2,[1]ratio_ins!$B:$B,0))*$G172*INDEX([1]ratio_ins!$D:$D,MATCH('001_population_health_zone_zs'!$B172,[1]ratio_ins!$B:$B,0))</f>
        <v>4805.6139600000006</v>
      </c>
      <c r="AM172" s="10">
        <f>INDEX([1]ratio_ins!AJ:AJ,MATCH('001_population_health_zone_zs'!$B$2,[1]ratio_ins!$B:$B,0))*$G172*INDEX([1]ratio_ins!$D:$D,MATCH('001_population_health_zone_zs'!$B172,[1]ratio_ins!$B:$B,0))</f>
        <v>4393.7041920000001</v>
      </c>
      <c r="AN172" s="10">
        <f>INDEX([1]ratio_ins!AK:AK,MATCH('001_population_health_zone_zs'!$B$2,[1]ratio_ins!$B:$B,0))*$G172*INDEX([1]ratio_ins!$D:$D,MATCH('001_population_health_zone_zs'!$B172,[1]ratio_ins!$B:$B,0))</f>
        <v>4119.0976799999999</v>
      </c>
      <c r="AO172" s="10">
        <f>INDEX([1]ratio_ins!AL:AL,MATCH('001_population_health_zone_zs'!$B$2,[1]ratio_ins!$B:$B,0))*$G172*INDEX([1]ratio_ins!$D:$D,MATCH('001_population_health_zone_zs'!$B172,[1]ratio_ins!$B:$B,0))</f>
        <v>3089.3232599999997</v>
      </c>
      <c r="AP172" s="10">
        <f>INDEX([1]ratio_ins!AM:AM,MATCH('001_population_health_zone_zs'!$B$2,[1]ratio_ins!$B:$B,0))*$G172*INDEX([1]ratio_ins!$D:$D,MATCH('001_population_health_zone_zs'!$B172,[1]ratio_ins!$B:$B,0))</f>
        <v>1990.8972120000001</v>
      </c>
      <c r="AQ172" s="10">
        <f>INDEX([1]ratio_ins!AN:AN,MATCH('001_population_health_zone_zs'!$B$2,[1]ratio_ins!$B:$B,0))*$G172*INDEX([1]ratio_ins!$D:$D,MATCH('001_population_health_zone_zs'!$B172,[1]ratio_ins!$B:$B,0))</f>
        <v>1578.9874440000001</v>
      </c>
      <c r="AR172" s="10">
        <f>INDEX([1]ratio_ins!AO:AO,MATCH('001_population_health_zone_zs'!$B$2,[1]ratio_ins!$B:$B,0))*$G172*INDEX([1]ratio_ins!$D:$D,MATCH('001_population_health_zone_zs'!$B172,[1]ratio_ins!$B:$B,0))</f>
        <v>755.16790800000012</v>
      </c>
      <c r="AS172" s="13">
        <f>INDEX([1]ratio_ins!AP:AP,MATCH('001_population_health_zone_zs'!$B$2,[1]ratio_ins!$B:$B,0))*$G172*INDEX([1]ratio_ins!$D:$D,MATCH('001_population_health_zone_zs'!$B172,[1]ratio_ins!$B:$B,0))</f>
        <v>28092.246177600002</v>
      </c>
      <c r="AT172" s="10">
        <f>INDEX([1]ratio_ins!AQ:AQ,MATCH('001_population_health_zone_zs'!$B$2,[1]ratio_ins!$B:$B,0))*$G172*INDEX([1]ratio_ins!$D:$D,MATCH('001_population_health_zone_zs'!$B172,[1]ratio_ins!$B:$B,0))</f>
        <v>686.51628000000005</v>
      </c>
      <c r="AU172" s="10">
        <f>INDEX([1]ratio_ins!AR:AR,MATCH('001_population_health_zone_zs'!$B$2,[1]ratio_ins!$B:$B,0))*$G172*INDEX([1]ratio_ins!$D:$D,MATCH('001_population_health_zone_zs'!$B172,[1]ratio_ins!$B:$B,0))</f>
        <v>411.90976799999999</v>
      </c>
      <c r="AV172" s="10">
        <f>INDEX([1]ratio_ins!AS:AS,MATCH('001_population_health_zone_zs'!$B$2,[1]ratio_ins!$B:$B,0))*$G172*INDEX([1]ratio_ins!$D:$D,MATCH('001_population_health_zone_zs'!$B172,[1]ratio_ins!$B:$B,0))</f>
        <v>205.95488399999999</v>
      </c>
      <c r="AW172" s="10">
        <f>INDEX([1]ratio_ins!AT:AT,MATCH('001_population_health_zone_zs'!$B$2,[1]ratio_ins!$B:$B,0))*$G172*INDEX([1]ratio_ins!$D:$D,MATCH('001_population_health_zone_zs'!$B172,[1]ratio_ins!$B:$B,0))</f>
        <v>137.303256</v>
      </c>
      <c r="AX172" s="13">
        <f>INDEX([1]ratio_ins!AU:AU,MATCH('001_population_health_zone_zs'!$B$2,[1]ratio_ins!$B:$B,0))*$G172*INDEX([1]ratio_ins!$D:$D,MATCH('001_population_health_zone_zs'!$B172,[1]ratio_ins!$B:$B,0))</f>
        <v>1441.6841879999999</v>
      </c>
      <c r="AY172" s="14">
        <f t="shared" si="13"/>
        <v>68651.627999999997</v>
      </c>
      <c r="AZ172" s="15">
        <f t="shared" si="14"/>
        <v>135141</v>
      </c>
      <c r="BA172" s="16">
        <v>130359.07787607638</v>
      </c>
      <c r="BB172" s="10">
        <f t="shared" si="15"/>
        <v>29176.941900000002</v>
      </c>
      <c r="BC172" s="17">
        <f t="shared" si="16"/>
        <v>0.21590000000000001</v>
      </c>
      <c r="BD172" s="10">
        <f t="shared" si="17"/>
        <v>27726.068124000001</v>
      </c>
    </row>
    <row r="173" spans="1:56" x14ac:dyDescent="0.25">
      <c r="A173" s="8" t="s">
        <v>409</v>
      </c>
      <c r="B173" s="8" t="s">
        <v>410</v>
      </c>
      <c r="C173" s="8" t="s">
        <v>429</v>
      </c>
      <c r="D173" s="8" t="s">
        <v>430</v>
      </c>
      <c r="E173" s="8" t="s">
        <v>429</v>
      </c>
      <c r="F173" s="8" t="s">
        <v>431</v>
      </c>
      <c r="G173" s="9">
        <v>141594</v>
      </c>
      <c r="H173" s="10">
        <f>INDEX([1]ratio_ins!F:F,MATCH('001_population_health_zone_zs'!$B$2,[1]ratio_ins!$B:$B,0))*$G173*INDEX([1]ratio_ins!$C:$C,MATCH('001_population_health_zone_zs'!$B173,[1]ratio_ins!$B:$B,0))</f>
        <v>14559.827832000001</v>
      </c>
      <c r="I173" s="10">
        <f>INDEX([1]ratio_ins!G:G,MATCH('001_population_health_zone_zs'!$B$2,[1]ratio_ins!$B:$B,0))*$G173*INDEX([1]ratio_ins!$C:$C,MATCH('001_population_health_zone_zs'!$B173,[1]ratio_ins!$B:$B,0))</f>
        <v>11912.586408000001</v>
      </c>
      <c r="J173" s="10">
        <f>INDEX([1]ratio_ins!H:H,MATCH('001_population_health_zone_zs'!$B$2,[1]ratio_ins!$B:$B,0))*$G173*INDEX([1]ratio_ins!$C:$C,MATCH('001_population_health_zone_zs'!$B173,[1]ratio_ins!$B:$B,0))</f>
        <v>9404.6734800000013</v>
      </c>
      <c r="K173" s="10">
        <f>INDEX([1]ratio_ins!I:I,MATCH('001_population_health_zone_zs'!$B$2,[1]ratio_ins!$B:$B,0))*$G173*INDEX([1]ratio_ins!$C:$C,MATCH('001_population_health_zone_zs'!$B173,[1]ratio_ins!$B:$B,0))</f>
        <v>5782.1325840000009</v>
      </c>
      <c r="L173" s="10">
        <f>INDEX([1]ratio_ins!J:J,MATCH('001_population_health_zone_zs'!$B$2,[1]ratio_ins!$B:$B,0))*$G173*INDEX([1]ratio_ins!$C:$C,MATCH('001_population_health_zone_zs'!$B173,[1]ratio_ins!$B:$B,0))</f>
        <v>3469.2795504000001</v>
      </c>
      <c r="M173" s="11">
        <f>INDEX([1]ratio_ins!K:K,MATCH('001_population_health_zone_zs'!$B$2,[1]ratio_ins!$B:$B,0))*$G173*INDEX([1]ratio_ins!$C:$C,MATCH('001_population_health_zone_zs'!$B173,[1]ratio_ins!$B:$B,0))</f>
        <v>39346.367270399998</v>
      </c>
      <c r="N173" s="10">
        <f>INDEX([1]ratio_ins!L:L,MATCH('001_population_health_zone_zs'!$B$2,[1]ratio_ins!$B:$B,0))*$G173*INDEX([1]ratio_ins!$C:$C,MATCH('001_population_health_zone_zs'!$B173,[1]ratio_ins!$B:$B,0))</f>
        <v>2312.8530336000003</v>
      </c>
      <c r="O173" s="10">
        <f>INDEX([1]ratio_ins!M:M,MATCH('001_population_health_zone_zs'!$B$2,[1]ratio_ins!$B:$B,0))*$G173*INDEX([1]ratio_ins!$C:$C,MATCH('001_population_health_zone_zs'!$B173,[1]ratio_ins!$B:$B,0))</f>
        <v>5015.8258560000013</v>
      </c>
      <c r="P173" s="10">
        <f>INDEX([1]ratio_ins!N:N,MATCH('001_population_health_zone_zs'!$B$2,[1]ratio_ins!$B:$B,0))*$G173*INDEX([1]ratio_ins!$C:$C,MATCH('001_population_health_zone_zs'!$B173,[1]ratio_ins!$B:$B,0))</f>
        <v>4528.176120000001</v>
      </c>
      <c r="Q173" s="10">
        <f>INDEX([1]ratio_ins!O:O,MATCH('001_population_health_zone_zs'!$B$2,[1]ratio_ins!$B:$B,0))*$G173*INDEX([1]ratio_ins!$C:$C,MATCH('001_population_health_zone_zs'!$B173,[1]ratio_ins!$B:$B,0))</f>
        <v>4040.5263840000002</v>
      </c>
      <c r="R173" s="10">
        <f>INDEX([1]ratio_ins!P:P,MATCH('001_population_health_zone_zs'!$B$2,[1]ratio_ins!$B:$B,0))*$G173*INDEX([1]ratio_ins!$C:$C,MATCH('001_population_health_zone_zs'!$B173,[1]ratio_ins!$B:$B,0))</f>
        <v>3970.8621360000006</v>
      </c>
      <c r="S173" s="10">
        <f>INDEX([1]ratio_ins!Q:Q,MATCH('001_population_health_zone_zs'!$B$2,[1]ratio_ins!$B:$B,0))*$G173*INDEX([1]ratio_ins!$C:$C,MATCH('001_population_health_zone_zs'!$B173,[1]ratio_ins!$B:$B,0))</f>
        <v>3343.8839040000003</v>
      </c>
      <c r="T173" s="10">
        <f>INDEX([1]ratio_ins!R:R,MATCH('001_population_health_zone_zs'!$B$2,[1]ratio_ins!$B:$B,0))*$G173*INDEX([1]ratio_ins!$C:$C,MATCH('001_population_health_zone_zs'!$B173,[1]ratio_ins!$B:$B,0))</f>
        <v>2368.5844320000001</v>
      </c>
      <c r="U173" s="10">
        <f>INDEX([1]ratio_ins!S:S,MATCH('001_population_health_zone_zs'!$B$2,[1]ratio_ins!$B:$B,0))*$G173*INDEX([1]ratio_ins!$C:$C,MATCH('001_population_health_zone_zs'!$B173,[1]ratio_ins!$B:$B,0))</f>
        <v>1880.9346960000005</v>
      </c>
      <c r="V173" s="10">
        <f>INDEX([1]ratio_ins!T:T,MATCH('001_population_health_zone_zs'!$B$2,[1]ratio_ins!$B:$B,0))*$G173*INDEX([1]ratio_ins!$C:$C,MATCH('001_population_health_zone_zs'!$B173,[1]ratio_ins!$B:$B,0))</f>
        <v>1044.96372</v>
      </c>
      <c r="W173" s="11">
        <f>INDEX([1]ratio_ins!U:U,MATCH('001_population_health_zone_zs'!$B$2,[1]ratio_ins!$B:$B,0))*$G173*INDEX([1]ratio_ins!$C:$C,MATCH('001_population_health_zone_zs'!$B173,[1]ratio_ins!$B:$B,0))</f>
        <v>28506.610281600006</v>
      </c>
      <c r="X173" s="10">
        <f>INDEX([1]ratio_ins!V:V,MATCH('001_population_health_zone_zs'!$B$2,[1]ratio_ins!$B:$B,0))*$G173*INDEX([1]ratio_ins!$C:$C,MATCH('001_population_health_zone_zs'!$B173,[1]ratio_ins!$B:$B,0))</f>
        <v>835.97097600000006</v>
      </c>
      <c r="Y173" s="10">
        <f>INDEX([1]ratio_ins!W:W,MATCH('001_population_health_zone_zs'!$B$2,[1]ratio_ins!$B:$B,0))*$G173*INDEX([1]ratio_ins!$C:$C,MATCH('001_population_health_zone_zs'!$B173,[1]ratio_ins!$B:$B,0))</f>
        <v>557.313984</v>
      </c>
      <c r="Z173" s="10">
        <f>INDEX([1]ratio_ins!X:X,MATCH('001_population_health_zone_zs'!$B$2,[1]ratio_ins!$B:$B,0))*$G173*INDEX([1]ratio_ins!$C:$C,MATCH('001_population_health_zone_zs'!$B173,[1]ratio_ins!$B:$B,0))</f>
        <v>278.656992</v>
      </c>
      <c r="AA173" s="10">
        <f>INDEX([1]ratio_ins!Y:Y,MATCH('001_population_health_zone_zs'!$B$2,[1]ratio_ins!$B:$B,0))*$G173*INDEX([1]ratio_ins!$C:$C,MATCH('001_population_health_zone_zs'!$B173,[1]ratio_ins!$B:$B,0))</f>
        <v>139.328496</v>
      </c>
      <c r="AB173" s="11">
        <f>INDEX([1]ratio_ins!Z:Z,MATCH('001_population_health_zone_zs'!$B$2,[1]ratio_ins!$B:$B,0))*$G173*INDEX([1]ratio_ins!$C:$C,MATCH('001_population_health_zone_zs'!$B173,[1]ratio_ins!$B:$B,0))</f>
        <v>1811.2704480000004</v>
      </c>
      <c r="AC173" s="12">
        <f t="shared" si="12"/>
        <v>69664.247999999992</v>
      </c>
      <c r="AD173" s="10">
        <f>INDEX([1]ratio_ins!AA:AA,MATCH('001_population_health_zone_zs'!$B$2,[1]ratio_ins!$B:$B,0))*$G173*INDEX([1]ratio_ins!$D:$D,MATCH('001_population_health_zone_zs'!$B173,[1]ratio_ins!$B:$B,0))</f>
        <v>15105.24792</v>
      </c>
      <c r="AE173" s="10">
        <f>INDEX([1]ratio_ins!AB:AB,MATCH('001_population_health_zone_zs'!$B$2,[1]ratio_ins!$B:$B,0))*$G173*INDEX([1]ratio_ins!$D:$D,MATCH('001_population_health_zone_zs'!$B173,[1]ratio_ins!$B:$B,0))</f>
        <v>12443.847096000001</v>
      </c>
      <c r="AF173" s="10">
        <f>INDEX([1]ratio_ins!AC:AC,MATCH('001_population_health_zone_zs'!$B$2,[1]ratio_ins!$B:$B,0))*$G173*INDEX([1]ratio_ins!$D:$D,MATCH('001_population_health_zone_zs'!$B173,[1]ratio_ins!$B:$B,0))</f>
        <v>9854.3760239999992</v>
      </c>
      <c r="AG173" s="10">
        <f>INDEX([1]ratio_ins!AD:AD,MATCH('001_population_health_zone_zs'!$B$2,[1]ratio_ins!$B:$B,0))*$G173*INDEX([1]ratio_ins!$D:$D,MATCH('001_population_health_zone_zs'!$B173,[1]ratio_ins!$B:$B,0))</f>
        <v>5970.1694160000006</v>
      </c>
      <c r="AH173" s="10">
        <f>INDEX([1]ratio_ins!AE:AE,MATCH('001_population_health_zone_zs'!$B$2,[1]ratio_ins!$B:$B,0))*$G173*INDEX([1]ratio_ins!$D:$D,MATCH('001_population_health_zone_zs'!$B173,[1]ratio_ins!$B:$B,0))</f>
        <v>3582.1016495999997</v>
      </c>
      <c r="AI173" s="13">
        <f>INDEX([1]ratio_ins!AF:AF,MATCH('001_population_health_zone_zs'!$B$2,[1]ratio_ins!$B:$B,0))*$G173*INDEX([1]ratio_ins!$D:$D,MATCH('001_population_health_zone_zs'!$B173,[1]ratio_ins!$B:$B,0))</f>
        <v>40985.572689599998</v>
      </c>
      <c r="AJ173" s="10">
        <f>INDEX([1]ratio_ins!AG:AG,MATCH('001_population_health_zone_zs'!$B$2,[1]ratio_ins!$B:$B,0))*$G173*INDEX([1]ratio_ins!$D:$D,MATCH('001_population_health_zone_zs'!$B173,[1]ratio_ins!$B:$B,0))</f>
        <v>2388.0677664</v>
      </c>
      <c r="AK173" s="10">
        <f>INDEX([1]ratio_ins!AH:AH,MATCH('001_population_health_zone_zs'!$B$2,[1]ratio_ins!$B:$B,0))*$G173*INDEX([1]ratio_ins!$D:$D,MATCH('001_population_health_zone_zs'!$B173,[1]ratio_ins!$B:$B,0))</f>
        <v>5322.8016480000015</v>
      </c>
      <c r="AL173" s="10">
        <f>INDEX([1]ratio_ins!AI:AI,MATCH('001_population_health_zone_zs'!$B$2,[1]ratio_ins!$B:$B,0))*$G173*INDEX([1]ratio_ins!$D:$D,MATCH('001_population_health_zone_zs'!$B173,[1]ratio_ins!$B:$B,0))</f>
        <v>5035.0826400000005</v>
      </c>
      <c r="AM173" s="10">
        <f>INDEX([1]ratio_ins!AJ:AJ,MATCH('001_population_health_zone_zs'!$B$2,[1]ratio_ins!$B:$B,0))*$G173*INDEX([1]ratio_ins!$D:$D,MATCH('001_population_health_zone_zs'!$B173,[1]ratio_ins!$B:$B,0))</f>
        <v>4603.5041279999996</v>
      </c>
      <c r="AN173" s="10">
        <f>INDEX([1]ratio_ins!AK:AK,MATCH('001_population_health_zone_zs'!$B$2,[1]ratio_ins!$B:$B,0))*$G173*INDEX([1]ratio_ins!$D:$D,MATCH('001_population_health_zone_zs'!$B173,[1]ratio_ins!$B:$B,0))</f>
        <v>4315.7851199999996</v>
      </c>
      <c r="AO173" s="10">
        <f>INDEX([1]ratio_ins!AL:AL,MATCH('001_population_health_zone_zs'!$B$2,[1]ratio_ins!$B:$B,0))*$G173*INDEX([1]ratio_ins!$D:$D,MATCH('001_population_health_zone_zs'!$B173,[1]ratio_ins!$B:$B,0))</f>
        <v>3236.8388399999999</v>
      </c>
      <c r="AP173" s="10">
        <f>INDEX([1]ratio_ins!AM:AM,MATCH('001_population_health_zone_zs'!$B$2,[1]ratio_ins!$B:$B,0))*$G173*INDEX([1]ratio_ins!$D:$D,MATCH('001_population_health_zone_zs'!$B173,[1]ratio_ins!$B:$B,0))</f>
        <v>2085.9628079999998</v>
      </c>
      <c r="AQ173" s="10">
        <f>INDEX([1]ratio_ins!AN:AN,MATCH('001_population_health_zone_zs'!$B$2,[1]ratio_ins!$B:$B,0))*$G173*INDEX([1]ratio_ins!$D:$D,MATCH('001_population_health_zone_zs'!$B173,[1]ratio_ins!$B:$B,0))</f>
        <v>1654.3842959999999</v>
      </c>
      <c r="AR173" s="10">
        <f>INDEX([1]ratio_ins!AO:AO,MATCH('001_population_health_zone_zs'!$B$2,[1]ratio_ins!$B:$B,0))*$G173*INDEX([1]ratio_ins!$D:$D,MATCH('001_population_health_zone_zs'!$B173,[1]ratio_ins!$B:$B,0))</f>
        <v>791.22727200000008</v>
      </c>
      <c r="AS173" s="13">
        <f>INDEX([1]ratio_ins!AP:AP,MATCH('001_population_health_zone_zs'!$B$2,[1]ratio_ins!$B:$B,0))*$G173*INDEX([1]ratio_ins!$D:$D,MATCH('001_population_health_zone_zs'!$B173,[1]ratio_ins!$B:$B,0))</f>
        <v>29433.654518400002</v>
      </c>
      <c r="AT173" s="10">
        <f>INDEX([1]ratio_ins!AQ:AQ,MATCH('001_population_health_zone_zs'!$B$2,[1]ratio_ins!$B:$B,0))*$G173*INDEX([1]ratio_ins!$D:$D,MATCH('001_population_health_zone_zs'!$B173,[1]ratio_ins!$B:$B,0))</f>
        <v>719.29752000000008</v>
      </c>
      <c r="AU173" s="10">
        <f>INDEX([1]ratio_ins!AR:AR,MATCH('001_population_health_zone_zs'!$B$2,[1]ratio_ins!$B:$B,0))*$G173*INDEX([1]ratio_ins!$D:$D,MATCH('001_population_health_zone_zs'!$B173,[1]ratio_ins!$B:$B,0))</f>
        <v>431.57851199999999</v>
      </c>
      <c r="AV173" s="10">
        <f>INDEX([1]ratio_ins!AS:AS,MATCH('001_population_health_zone_zs'!$B$2,[1]ratio_ins!$B:$B,0))*$G173*INDEX([1]ratio_ins!$D:$D,MATCH('001_population_health_zone_zs'!$B173,[1]ratio_ins!$B:$B,0))</f>
        <v>215.78925599999999</v>
      </c>
      <c r="AW173" s="10">
        <f>INDEX([1]ratio_ins!AT:AT,MATCH('001_population_health_zone_zs'!$B$2,[1]ratio_ins!$B:$B,0))*$G173*INDEX([1]ratio_ins!$D:$D,MATCH('001_population_health_zone_zs'!$B173,[1]ratio_ins!$B:$B,0))</f>
        <v>143.85950399999999</v>
      </c>
      <c r="AX173" s="13">
        <f>INDEX([1]ratio_ins!AU:AU,MATCH('001_population_health_zone_zs'!$B$2,[1]ratio_ins!$B:$B,0))*$G173*INDEX([1]ratio_ins!$D:$D,MATCH('001_population_health_zone_zs'!$B173,[1]ratio_ins!$B:$B,0))</f>
        <v>1510.5247919999999</v>
      </c>
      <c r="AY173" s="14">
        <f t="shared" si="13"/>
        <v>71929.751999999993</v>
      </c>
      <c r="AZ173" s="15">
        <f t="shared" si="14"/>
        <v>141594</v>
      </c>
      <c r="BA173" s="16">
        <v>136583.40061001296</v>
      </c>
      <c r="BB173" s="10">
        <f t="shared" si="15"/>
        <v>30570.144600000003</v>
      </c>
      <c r="BC173" s="17">
        <f t="shared" si="16"/>
        <v>0.21590000000000004</v>
      </c>
      <c r="BD173" s="10">
        <f t="shared" si="17"/>
        <v>29049.991416000001</v>
      </c>
    </row>
    <row r="174" spans="1:56" x14ac:dyDescent="0.25">
      <c r="A174" s="8" t="s">
        <v>409</v>
      </c>
      <c r="B174" s="8" t="s">
        <v>410</v>
      </c>
      <c r="C174" s="8" t="s">
        <v>429</v>
      </c>
      <c r="D174" s="8" t="s">
        <v>430</v>
      </c>
      <c r="E174" s="8" t="s">
        <v>432</v>
      </c>
      <c r="F174" s="8" t="s">
        <v>433</v>
      </c>
      <c r="G174" s="9">
        <v>149224</v>
      </c>
      <c r="H174" s="10">
        <f>INDEX([1]ratio_ins!F:F,MATCH('001_population_health_zone_zs'!$B$2,[1]ratio_ins!$B:$B,0))*$G174*INDEX([1]ratio_ins!$C:$C,MATCH('001_population_health_zone_zs'!$B174,[1]ratio_ins!$B:$B,0))</f>
        <v>15344.405472</v>
      </c>
      <c r="I174" s="10">
        <f>INDEX([1]ratio_ins!G:G,MATCH('001_population_health_zone_zs'!$B$2,[1]ratio_ins!$B:$B,0))*$G174*INDEX([1]ratio_ins!$C:$C,MATCH('001_population_health_zone_zs'!$B174,[1]ratio_ins!$B:$B,0))</f>
        <v>12554.513568000004</v>
      </c>
      <c r="J174" s="10">
        <f>INDEX([1]ratio_ins!H:H,MATCH('001_population_health_zone_zs'!$B$2,[1]ratio_ins!$B:$B,0))*$G174*INDEX([1]ratio_ins!$C:$C,MATCH('001_population_health_zone_zs'!$B174,[1]ratio_ins!$B:$B,0))</f>
        <v>9911.4580800000022</v>
      </c>
      <c r="K174" s="10">
        <f>INDEX([1]ratio_ins!I:I,MATCH('001_population_health_zone_zs'!$B$2,[1]ratio_ins!$B:$B,0))*$G174*INDEX([1]ratio_ins!$C:$C,MATCH('001_population_health_zone_zs'!$B174,[1]ratio_ins!$B:$B,0))</f>
        <v>6093.7112640000005</v>
      </c>
      <c r="L174" s="10">
        <f>INDEX([1]ratio_ins!J:J,MATCH('001_population_health_zone_zs'!$B$2,[1]ratio_ins!$B:$B,0))*$G174*INDEX([1]ratio_ins!$C:$C,MATCH('001_population_health_zone_zs'!$B174,[1]ratio_ins!$B:$B,0))</f>
        <v>3656.2267584000006</v>
      </c>
      <c r="M174" s="11">
        <f>INDEX([1]ratio_ins!K:K,MATCH('001_population_health_zone_zs'!$B$2,[1]ratio_ins!$B:$B,0))*$G174*INDEX([1]ratio_ins!$C:$C,MATCH('001_population_health_zone_zs'!$B174,[1]ratio_ins!$B:$B,0))</f>
        <v>41466.603878399997</v>
      </c>
      <c r="N174" s="10">
        <f>INDEX([1]ratio_ins!L:L,MATCH('001_population_health_zone_zs'!$B$2,[1]ratio_ins!$B:$B,0))*$G174*INDEX([1]ratio_ins!$C:$C,MATCH('001_population_health_zone_zs'!$B174,[1]ratio_ins!$B:$B,0))</f>
        <v>2437.4845055999999</v>
      </c>
      <c r="O174" s="10">
        <f>INDEX([1]ratio_ins!M:M,MATCH('001_population_health_zone_zs'!$B$2,[1]ratio_ins!$B:$B,0))*$G174*INDEX([1]ratio_ins!$C:$C,MATCH('001_population_health_zone_zs'!$B174,[1]ratio_ins!$B:$B,0))</f>
        <v>5286.1109760000008</v>
      </c>
      <c r="P174" s="10">
        <f>INDEX([1]ratio_ins!N:N,MATCH('001_population_health_zone_zs'!$B$2,[1]ratio_ins!$B:$B,0))*$G174*INDEX([1]ratio_ins!$C:$C,MATCH('001_population_health_zone_zs'!$B174,[1]ratio_ins!$B:$B,0))</f>
        <v>4772.1835200000005</v>
      </c>
      <c r="Q174" s="10">
        <f>INDEX([1]ratio_ins!O:O,MATCH('001_population_health_zone_zs'!$B$2,[1]ratio_ins!$B:$B,0))*$G174*INDEX([1]ratio_ins!$C:$C,MATCH('001_population_health_zone_zs'!$B174,[1]ratio_ins!$B:$B,0))</f>
        <v>4258.2560640000002</v>
      </c>
      <c r="R174" s="10">
        <f>INDEX([1]ratio_ins!P:P,MATCH('001_population_health_zone_zs'!$B$2,[1]ratio_ins!$B:$B,0))*$G174*INDEX([1]ratio_ins!$C:$C,MATCH('001_population_health_zone_zs'!$B174,[1]ratio_ins!$B:$B,0))</f>
        <v>4184.8378560000001</v>
      </c>
      <c r="S174" s="10">
        <f>INDEX([1]ratio_ins!Q:Q,MATCH('001_population_health_zone_zs'!$B$2,[1]ratio_ins!$B:$B,0))*$G174*INDEX([1]ratio_ins!$C:$C,MATCH('001_population_health_zone_zs'!$B174,[1]ratio_ins!$B:$B,0))</f>
        <v>3524.0739840000006</v>
      </c>
      <c r="T174" s="10">
        <f>INDEX([1]ratio_ins!R:R,MATCH('001_population_health_zone_zs'!$B$2,[1]ratio_ins!$B:$B,0))*$G174*INDEX([1]ratio_ins!$C:$C,MATCH('001_population_health_zone_zs'!$B174,[1]ratio_ins!$B:$B,0))</f>
        <v>2496.2190720000003</v>
      </c>
      <c r="U174" s="10">
        <f>INDEX([1]ratio_ins!S:S,MATCH('001_population_health_zone_zs'!$B$2,[1]ratio_ins!$B:$B,0))*$G174*INDEX([1]ratio_ins!$C:$C,MATCH('001_population_health_zone_zs'!$B174,[1]ratio_ins!$B:$B,0))</f>
        <v>1982.2916160000004</v>
      </c>
      <c r="V174" s="10">
        <f>INDEX([1]ratio_ins!T:T,MATCH('001_population_health_zone_zs'!$B$2,[1]ratio_ins!$B:$B,0))*$G174*INDEX([1]ratio_ins!$C:$C,MATCH('001_population_health_zone_zs'!$B174,[1]ratio_ins!$B:$B,0))</f>
        <v>1101.2731200000001</v>
      </c>
      <c r="W174" s="11">
        <f>INDEX([1]ratio_ins!U:U,MATCH('001_population_health_zone_zs'!$B$2,[1]ratio_ins!$B:$B,0))*$G174*INDEX([1]ratio_ins!$C:$C,MATCH('001_population_health_zone_zs'!$B174,[1]ratio_ins!$B:$B,0))</f>
        <v>30042.730713600002</v>
      </c>
      <c r="X174" s="10">
        <f>INDEX([1]ratio_ins!V:V,MATCH('001_population_health_zone_zs'!$B$2,[1]ratio_ins!$B:$B,0))*$G174*INDEX([1]ratio_ins!$C:$C,MATCH('001_population_health_zone_zs'!$B174,[1]ratio_ins!$B:$B,0))</f>
        <v>881.01849600000014</v>
      </c>
      <c r="Y174" s="10">
        <f>INDEX([1]ratio_ins!W:W,MATCH('001_population_health_zone_zs'!$B$2,[1]ratio_ins!$B:$B,0))*$G174*INDEX([1]ratio_ins!$C:$C,MATCH('001_population_health_zone_zs'!$B174,[1]ratio_ins!$B:$B,0))</f>
        <v>587.34566400000006</v>
      </c>
      <c r="Z174" s="10">
        <f>INDEX([1]ratio_ins!X:X,MATCH('001_population_health_zone_zs'!$B$2,[1]ratio_ins!$B:$B,0))*$G174*INDEX([1]ratio_ins!$C:$C,MATCH('001_population_health_zone_zs'!$B174,[1]ratio_ins!$B:$B,0))</f>
        <v>293.67283200000003</v>
      </c>
      <c r="AA174" s="10">
        <f>INDEX([1]ratio_ins!Y:Y,MATCH('001_population_health_zone_zs'!$B$2,[1]ratio_ins!$B:$B,0))*$G174*INDEX([1]ratio_ins!$C:$C,MATCH('001_population_health_zone_zs'!$B174,[1]ratio_ins!$B:$B,0))</f>
        <v>146.83641600000001</v>
      </c>
      <c r="AB174" s="11">
        <f>INDEX([1]ratio_ins!Z:Z,MATCH('001_population_health_zone_zs'!$B$2,[1]ratio_ins!$B:$B,0))*$G174*INDEX([1]ratio_ins!$C:$C,MATCH('001_population_health_zone_zs'!$B174,[1]ratio_ins!$B:$B,0))</f>
        <v>1908.8734080000004</v>
      </c>
      <c r="AC174" s="12">
        <f t="shared" si="12"/>
        <v>73418.207999999999</v>
      </c>
      <c r="AD174" s="10">
        <f>INDEX([1]ratio_ins!AA:AA,MATCH('001_population_health_zone_zs'!$B$2,[1]ratio_ins!$B:$B,0))*$G174*INDEX([1]ratio_ins!$D:$D,MATCH('001_population_health_zone_zs'!$B174,[1]ratio_ins!$B:$B,0))</f>
        <v>15919.21632</v>
      </c>
      <c r="AE174" s="10">
        <f>INDEX([1]ratio_ins!AB:AB,MATCH('001_population_health_zone_zs'!$B$2,[1]ratio_ins!$B:$B,0))*$G174*INDEX([1]ratio_ins!$D:$D,MATCH('001_population_health_zone_zs'!$B174,[1]ratio_ins!$B:$B,0))</f>
        <v>13114.402016</v>
      </c>
      <c r="AF174" s="10">
        <f>INDEX([1]ratio_ins!AC:AC,MATCH('001_population_health_zone_zs'!$B$2,[1]ratio_ins!$B:$B,0))*$G174*INDEX([1]ratio_ins!$D:$D,MATCH('001_population_health_zone_zs'!$B174,[1]ratio_ins!$B:$B,0))</f>
        <v>10385.393504</v>
      </c>
      <c r="AG174" s="10">
        <f>INDEX([1]ratio_ins!AD:AD,MATCH('001_population_health_zone_zs'!$B$2,[1]ratio_ins!$B:$B,0))*$G174*INDEX([1]ratio_ins!$D:$D,MATCH('001_population_health_zone_zs'!$B174,[1]ratio_ins!$B:$B,0))</f>
        <v>6291.8807360000001</v>
      </c>
      <c r="AH174" s="10">
        <f>INDEX([1]ratio_ins!AE:AE,MATCH('001_population_health_zone_zs'!$B$2,[1]ratio_ins!$B:$B,0))*$G174*INDEX([1]ratio_ins!$D:$D,MATCH('001_population_health_zone_zs'!$B174,[1]ratio_ins!$B:$B,0))</f>
        <v>3775.1284415999999</v>
      </c>
      <c r="AI174" s="13">
        <f>INDEX([1]ratio_ins!AF:AF,MATCH('001_population_health_zone_zs'!$B$2,[1]ratio_ins!$B:$B,0))*$G174*INDEX([1]ratio_ins!$D:$D,MATCH('001_population_health_zone_zs'!$B174,[1]ratio_ins!$B:$B,0))</f>
        <v>43194.140281600005</v>
      </c>
      <c r="AJ174" s="10">
        <f>INDEX([1]ratio_ins!AG:AG,MATCH('001_population_health_zone_zs'!$B$2,[1]ratio_ins!$B:$B,0))*$G174*INDEX([1]ratio_ins!$D:$D,MATCH('001_population_health_zone_zs'!$B174,[1]ratio_ins!$B:$B,0))</f>
        <v>2516.7522943999998</v>
      </c>
      <c r="AK174" s="10">
        <f>INDEX([1]ratio_ins!AH:AH,MATCH('001_population_health_zone_zs'!$B$2,[1]ratio_ins!$B:$B,0))*$G174*INDEX([1]ratio_ins!$D:$D,MATCH('001_population_health_zone_zs'!$B174,[1]ratio_ins!$B:$B,0))</f>
        <v>5609.6286080000009</v>
      </c>
      <c r="AL174" s="10">
        <f>INDEX([1]ratio_ins!AI:AI,MATCH('001_population_health_zone_zs'!$B$2,[1]ratio_ins!$B:$B,0))*$G174*INDEX([1]ratio_ins!$D:$D,MATCH('001_population_health_zone_zs'!$B174,[1]ratio_ins!$B:$B,0))</f>
        <v>5306.4054400000005</v>
      </c>
      <c r="AM174" s="10">
        <f>INDEX([1]ratio_ins!AJ:AJ,MATCH('001_population_health_zone_zs'!$B$2,[1]ratio_ins!$B:$B,0))*$G174*INDEX([1]ratio_ins!$D:$D,MATCH('001_population_health_zone_zs'!$B174,[1]ratio_ins!$B:$B,0))</f>
        <v>4851.5706879999998</v>
      </c>
      <c r="AN174" s="10">
        <f>INDEX([1]ratio_ins!AK:AK,MATCH('001_population_health_zone_zs'!$B$2,[1]ratio_ins!$B:$B,0))*$G174*INDEX([1]ratio_ins!$D:$D,MATCH('001_population_health_zone_zs'!$B174,[1]ratio_ins!$B:$B,0))</f>
        <v>4548.3475200000003</v>
      </c>
      <c r="AO174" s="10">
        <f>INDEX([1]ratio_ins!AL:AL,MATCH('001_population_health_zone_zs'!$B$2,[1]ratio_ins!$B:$B,0))*$G174*INDEX([1]ratio_ins!$D:$D,MATCH('001_population_health_zone_zs'!$B174,[1]ratio_ins!$B:$B,0))</f>
        <v>3411.26064</v>
      </c>
      <c r="AP174" s="10">
        <f>INDEX([1]ratio_ins!AM:AM,MATCH('001_population_health_zone_zs'!$B$2,[1]ratio_ins!$B:$B,0))*$G174*INDEX([1]ratio_ins!$D:$D,MATCH('001_population_health_zone_zs'!$B174,[1]ratio_ins!$B:$B,0))</f>
        <v>2198.367968</v>
      </c>
      <c r="AQ174" s="10">
        <f>INDEX([1]ratio_ins!AN:AN,MATCH('001_population_health_zone_zs'!$B$2,[1]ratio_ins!$B:$B,0))*$G174*INDEX([1]ratio_ins!$D:$D,MATCH('001_population_health_zone_zs'!$B174,[1]ratio_ins!$B:$B,0))</f>
        <v>1743.533216</v>
      </c>
      <c r="AR174" s="10">
        <f>INDEX([1]ratio_ins!AO:AO,MATCH('001_population_health_zone_zs'!$B$2,[1]ratio_ins!$B:$B,0))*$G174*INDEX([1]ratio_ins!$D:$D,MATCH('001_population_health_zone_zs'!$B174,[1]ratio_ins!$B:$B,0))</f>
        <v>833.86371200000008</v>
      </c>
      <c r="AS174" s="13">
        <f>INDEX([1]ratio_ins!AP:AP,MATCH('001_population_health_zone_zs'!$B$2,[1]ratio_ins!$B:$B,0))*$G174*INDEX([1]ratio_ins!$D:$D,MATCH('001_population_health_zone_zs'!$B174,[1]ratio_ins!$B:$B,0))</f>
        <v>31019.730086400003</v>
      </c>
      <c r="AT174" s="10">
        <f>INDEX([1]ratio_ins!AQ:AQ,MATCH('001_population_health_zone_zs'!$B$2,[1]ratio_ins!$B:$B,0))*$G174*INDEX([1]ratio_ins!$D:$D,MATCH('001_population_health_zone_zs'!$B174,[1]ratio_ins!$B:$B,0))</f>
        <v>758.05791999999997</v>
      </c>
      <c r="AU174" s="10">
        <f>INDEX([1]ratio_ins!AR:AR,MATCH('001_population_health_zone_zs'!$B$2,[1]ratio_ins!$B:$B,0))*$G174*INDEX([1]ratio_ins!$D:$D,MATCH('001_population_health_zone_zs'!$B174,[1]ratio_ins!$B:$B,0))</f>
        <v>454.83475200000004</v>
      </c>
      <c r="AV174" s="10">
        <f>INDEX([1]ratio_ins!AS:AS,MATCH('001_population_health_zone_zs'!$B$2,[1]ratio_ins!$B:$B,0))*$G174*INDEX([1]ratio_ins!$D:$D,MATCH('001_population_health_zone_zs'!$B174,[1]ratio_ins!$B:$B,0))</f>
        <v>227.41737600000002</v>
      </c>
      <c r="AW174" s="10">
        <f>INDEX([1]ratio_ins!AT:AT,MATCH('001_population_health_zone_zs'!$B$2,[1]ratio_ins!$B:$B,0))*$G174*INDEX([1]ratio_ins!$D:$D,MATCH('001_population_health_zone_zs'!$B174,[1]ratio_ins!$B:$B,0))</f>
        <v>151.61158399999999</v>
      </c>
      <c r="AX174" s="13">
        <f>INDEX([1]ratio_ins!AU:AU,MATCH('001_population_health_zone_zs'!$B$2,[1]ratio_ins!$B:$B,0))*$G174*INDEX([1]ratio_ins!$D:$D,MATCH('001_population_health_zone_zs'!$B174,[1]ratio_ins!$B:$B,0))</f>
        <v>1591.9216319999998</v>
      </c>
      <c r="AY174" s="14">
        <f t="shared" si="13"/>
        <v>75805.792000000001</v>
      </c>
      <c r="AZ174" s="15">
        <f t="shared" si="14"/>
        <v>149224</v>
      </c>
      <c r="BA174" s="16">
        <v>143943.7887535177</v>
      </c>
      <c r="BB174" s="10">
        <f t="shared" si="15"/>
        <v>32217.461599999999</v>
      </c>
      <c r="BC174" s="17">
        <f t="shared" si="16"/>
        <v>0.21589999999999998</v>
      </c>
      <c r="BD174" s="10">
        <f t="shared" si="17"/>
        <v>30615.392736000002</v>
      </c>
    </row>
    <row r="175" spans="1:56" x14ac:dyDescent="0.25">
      <c r="A175" s="8" t="s">
        <v>409</v>
      </c>
      <c r="B175" s="8" t="s">
        <v>410</v>
      </c>
      <c r="C175" s="8" t="s">
        <v>429</v>
      </c>
      <c r="D175" s="8" t="s">
        <v>430</v>
      </c>
      <c r="E175" s="8" t="s">
        <v>434</v>
      </c>
      <c r="F175" s="8" t="s">
        <v>435</v>
      </c>
      <c r="G175" s="9">
        <v>206923</v>
      </c>
      <c r="H175" s="10">
        <f>INDEX([1]ratio_ins!F:F,MATCH('001_population_health_zone_zs'!$B$2,[1]ratio_ins!$B:$B,0))*$G175*INDEX([1]ratio_ins!$C:$C,MATCH('001_population_health_zone_zs'!$B175,[1]ratio_ins!$B:$B,0))</f>
        <v>21277.478244000002</v>
      </c>
      <c r="I175" s="10">
        <f>INDEX([1]ratio_ins!G:G,MATCH('001_population_health_zone_zs'!$B$2,[1]ratio_ins!$B:$B,0))*$G175*INDEX([1]ratio_ins!$C:$C,MATCH('001_population_health_zone_zs'!$B175,[1]ratio_ins!$B:$B,0))</f>
        <v>17408.845836000004</v>
      </c>
      <c r="J175" s="10">
        <f>INDEX([1]ratio_ins!H:H,MATCH('001_population_health_zone_zs'!$B$2,[1]ratio_ins!$B:$B,0))*$G175*INDEX([1]ratio_ins!$C:$C,MATCH('001_population_health_zone_zs'!$B175,[1]ratio_ins!$B:$B,0))</f>
        <v>13743.825660000002</v>
      </c>
      <c r="K175" s="10">
        <f>INDEX([1]ratio_ins!I:I,MATCH('001_population_health_zone_zs'!$B$2,[1]ratio_ins!$B:$B,0))*$G175*INDEX([1]ratio_ins!$C:$C,MATCH('001_population_health_zone_zs'!$B175,[1]ratio_ins!$B:$B,0))</f>
        <v>8449.9076280000008</v>
      </c>
      <c r="L175" s="10">
        <f>INDEX([1]ratio_ins!J:J,MATCH('001_population_health_zone_zs'!$B$2,[1]ratio_ins!$B:$B,0))*$G175*INDEX([1]ratio_ins!$C:$C,MATCH('001_population_health_zone_zs'!$B175,[1]ratio_ins!$B:$B,0))</f>
        <v>5069.9445768000005</v>
      </c>
      <c r="M175" s="11">
        <f>INDEX([1]ratio_ins!K:K,MATCH('001_population_health_zone_zs'!$B$2,[1]ratio_ins!$B:$B,0))*$G175*INDEX([1]ratio_ins!$C:$C,MATCH('001_population_health_zone_zs'!$B175,[1]ratio_ins!$B:$B,0))</f>
        <v>57500.094316800001</v>
      </c>
      <c r="N175" s="10">
        <f>INDEX([1]ratio_ins!L:L,MATCH('001_population_health_zone_zs'!$B$2,[1]ratio_ins!$B:$B,0))*$G175*INDEX([1]ratio_ins!$C:$C,MATCH('001_population_health_zone_zs'!$B175,[1]ratio_ins!$B:$B,0))</f>
        <v>3379.9630512000003</v>
      </c>
      <c r="O175" s="10">
        <f>INDEX([1]ratio_ins!M:M,MATCH('001_population_health_zone_zs'!$B$2,[1]ratio_ins!$B:$B,0))*$G175*INDEX([1]ratio_ins!$C:$C,MATCH('001_population_health_zone_zs'!$B175,[1]ratio_ins!$B:$B,0))</f>
        <v>7330.0403520000018</v>
      </c>
      <c r="P175" s="10">
        <f>INDEX([1]ratio_ins!N:N,MATCH('001_population_health_zone_zs'!$B$2,[1]ratio_ins!$B:$B,0))*$G175*INDEX([1]ratio_ins!$C:$C,MATCH('001_population_health_zone_zs'!$B175,[1]ratio_ins!$B:$B,0))</f>
        <v>6617.3975400000008</v>
      </c>
      <c r="Q175" s="10">
        <f>INDEX([1]ratio_ins!O:O,MATCH('001_population_health_zone_zs'!$B$2,[1]ratio_ins!$B:$B,0))*$G175*INDEX([1]ratio_ins!$C:$C,MATCH('001_population_health_zone_zs'!$B175,[1]ratio_ins!$B:$B,0))</f>
        <v>5904.7547280000008</v>
      </c>
      <c r="R175" s="10">
        <f>INDEX([1]ratio_ins!P:P,MATCH('001_population_health_zone_zs'!$B$2,[1]ratio_ins!$B:$B,0))*$G175*INDEX([1]ratio_ins!$C:$C,MATCH('001_population_health_zone_zs'!$B175,[1]ratio_ins!$B:$B,0))</f>
        <v>5802.948612000001</v>
      </c>
      <c r="S175" s="10">
        <f>INDEX([1]ratio_ins!Q:Q,MATCH('001_population_health_zone_zs'!$B$2,[1]ratio_ins!$B:$B,0))*$G175*INDEX([1]ratio_ins!$C:$C,MATCH('001_population_health_zone_zs'!$B175,[1]ratio_ins!$B:$B,0))</f>
        <v>4886.6935680000006</v>
      </c>
      <c r="T175" s="10">
        <f>INDEX([1]ratio_ins!R:R,MATCH('001_population_health_zone_zs'!$B$2,[1]ratio_ins!$B:$B,0))*$G175*INDEX([1]ratio_ins!$C:$C,MATCH('001_population_health_zone_zs'!$B175,[1]ratio_ins!$B:$B,0))</f>
        <v>3461.4079440000005</v>
      </c>
      <c r="U175" s="10">
        <f>INDEX([1]ratio_ins!S:S,MATCH('001_population_health_zone_zs'!$B$2,[1]ratio_ins!$B:$B,0))*$G175*INDEX([1]ratio_ins!$C:$C,MATCH('001_population_health_zone_zs'!$B175,[1]ratio_ins!$B:$B,0))</f>
        <v>2748.7651320000004</v>
      </c>
      <c r="V175" s="10">
        <f>INDEX([1]ratio_ins!T:T,MATCH('001_population_health_zone_zs'!$B$2,[1]ratio_ins!$B:$B,0))*$G175*INDEX([1]ratio_ins!$C:$C,MATCH('001_population_health_zone_zs'!$B175,[1]ratio_ins!$B:$B,0))</f>
        <v>1527.0917400000001</v>
      </c>
      <c r="W175" s="11">
        <f>INDEX([1]ratio_ins!U:U,MATCH('001_population_health_zone_zs'!$B$2,[1]ratio_ins!$B:$B,0))*$G175*INDEX([1]ratio_ins!$C:$C,MATCH('001_population_health_zone_zs'!$B175,[1]ratio_ins!$B:$B,0))</f>
        <v>41659.062667200007</v>
      </c>
      <c r="X175" s="10">
        <f>INDEX([1]ratio_ins!V:V,MATCH('001_population_health_zone_zs'!$B$2,[1]ratio_ins!$B:$B,0))*$G175*INDEX([1]ratio_ins!$C:$C,MATCH('001_population_health_zone_zs'!$B175,[1]ratio_ins!$B:$B,0))</f>
        <v>1221.6733920000001</v>
      </c>
      <c r="Y175" s="10">
        <f>INDEX([1]ratio_ins!W:W,MATCH('001_population_health_zone_zs'!$B$2,[1]ratio_ins!$B:$B,0))*$G175*INDEX([1]ratio_ins!$C:$C,MATCH('001_population_health_zone_zs'!$B175,[1]ratio_ins!$B:$B,0))</f>
        <v>814.44892800000014</v>
      </c>
      <c r="Z175" s="10">
        <f>INDEX([1]ratio_ins!X:X,MATCH('001_population_health_zone_zs'!$B$2,[1]ratio_ins!$B:$B,0))*$G175*INDEX([1]ratio_ins!$C:$C,MATCH('001_population_health_zone_zs'!$B175,[1]ratio_ins!$B:$B,0))</f>
        <v>407.22446400000007</v>
      </c>
      <c r="AA175" s="10">
        <f>INDEX([1]ratio_ins!Y:Y,MATCH('001_population_health_zone_zs'!$B$2,[1]ratio_ins!$B:$B,0))*$G175*INDEX([1]ratio_ins!$C:$C,MATCH('001_population_health_zone_zs'!$B175,[1]ratio_ins!$B:$B,0))</f>
        <v>203.61223200000003</v>
      </c>
      <c r="AB175" s="11">
        <f>INDEX([1]ratio_ins!Z:Z,MATCH('001_population_health_zone_zs'!$B$2,[1]ratio_ins!$B:$B,0))*$G175*INDEX([1]ratio_ins!$C:$C,MATCH('001_population_health_zone_zs'!$B175,[1]ratio_ins!$B:$B,0))</f>
        <v>2646.9590160000007</v>
      </c>
      <c r="AC175" s="12">
        <f t="shared" si="12"/>
        <v>101806.11600000001</v>
      </c>
      <c r="AD175" s="10">
        <f>INDEX([1]ratio_ins!AA:AA,MATCH('001_population_health_zone_zs'!$B$2,[1]ratio_ins!$B:$B,0))*$G175*INDEX([1]ratio_ins!$D:$D,MATCH('001_population_health_zone_zs'!$B175,[1]ratio_ins!$B:$B,0))</f>
        <v>22074.54564</v>
      </c>
      <c r="AE175" s="10">
        <f>INDEX([1]ratio_ins!AB:AB,MATCH('001_population_health_zone_zs'!$B$2,[1]ratio_ins!$B:$B,0))*$G175*INDEX([1]ratio_ins!$D:$D,MATCH('001_population_health_zone_zs'!$B175,[1]ratio_ins!$B:$B,0))</f>
        <v>18185.220932000004</v>
      </c>
      <c r="AF175" s="10">
        <f>INDEX([1]ratio_ins!AC:AC,MATCH('001_population_health_zone_zs'!$B$2,[1]ratio_ins!$B:$B,0))*$G175*INDEX([1]ratio_ins!$D:$D,MATCH('001_population_health_zone_zs'!$B175,[1]ratio_ins!$B:$B,0))</f>
        <v>14401.013107999999</v>
      </c>
      <c r="AG175" s="10">
        <f>INDEX([1]ratio_ins!AD:AD,MATCH('001_population_health_zone_zs'!$B$2,[1]ratio_ins!$B:$B,0))*$G175*INDEX([1]ratio_ins!$D:$D,MATCH('001_population_health_zone_zs'!$B175,[1]ratio_ins!$B:$B,0))</f>
        <v>8724.7013719999995</v>
      </c>
      <c r="AH175" s="10">
        <f>INDEX([1]ratio_ins!AE:AE,MATCH('001_population_health_zone_zs'!$B$2,[1]ratio_ins!$B:$B,0))*$G175*INDEX([1]ratio_ins!$D:$D,MATCH('001_population_health_zone_zs'!$B175,[1]ratio_ins!$B:$B,0))</f>
        <v>5234.8208232000006</v>
      </c>
      <c r="AI175" s="13">
        <f>INDEX([1]ratio_ins!AF:AF,MATCH('001_population_health_zone_zs'!$B$2,[1]ratio_ins!$B:$B,0))*$G175*INDEX([1]ratio_ins!$D:$D,MATCH('001_population_health_zone_zs'!$B175,[1]ratio_ins!$B:$B,0))</f>
        <v>59895.600503199996</v>
      </c>
      <c r="AJ175" s="10">
        <f>INDEX([1]ratio_ins!AG:AG,MATCH('001_population_health_zone_zs'!$B$2,[1]ratio_ins!$B:$B,0))*$G175*INDEX([1]ratio_ins!$D:$D,MATCH('001_population_health_zone_zs'!$B175,[1]ratio_ins!$B:$B,0))</f>
        <v>3489.8805488000003</v>
      </c>
      <c r="AK175" s="10">
        <f>INDEX([1]ratio_ins!AH:AH,MATCH('001_population_health_zone_zs'!$B$2,[1]ratio_ins!$B:$B,0))*$G175*INDEX([1]ratio_ins!$D:$D,MATCH('001_population_health_zone_zs'!$B175,[1]ratio_ins!$B:$B,0))</f>
        <v>7778.6494160000011</v>
      </c>
      <c r="AL175" s="10">
        <f>INDEX([1]ratio_ins!AI:AI,MATCH('001_population_health_zone_zs'!$B$2,[1]ratio_ins!$B:$B,0))*$G175*INDEX([1]ratio_ins!$D:$D,MATCH('001_population_health_zone_zs'!$B175,[1]ratio_ins!$B:$B,0))</f>
        <v>7358.1818800000001</v>
      </c>
      <c r="AM175" s="10">
        <f>INDEX([1]ratio_ins!AJ:AJ,MATCH('001_population_health_zone_zs'!$B$2,[1]ratio_ins!$B:$B,0))*$G175*INDEX([1]ratio_ins!$D:$D,MATCH('001_population_health_zone_zs'!$B175,[1]ratio_ins!$B:$B,0))</f>
        <v>6727.4805759999999</v>
      </c>
      <c r="AN175" s="10">
        <f>INDEX([1]ratio_ins!AK:AK,MATCH('001_population_health_zone_zs'!$B$2,[1]ratio_ins!$B:$B,0))*$G175*INDEX([1]ratio_ins!$D:$D,MATCH('001_population_health_zone_zs'!$B175,[1]ratio_ins!$B:$B,0))</f>
        <v>6307.0130399999998</v>
      </c>
      <c r="AO175" s="10">
        <f>INDEX([1]ratio_ins!AL:AL,MATCH('001_population_health_zone_zs'!$B$2,[1]ratio_ins!$B:$B,0))*$G175*INDEX([1]ratio_ins!$D:$D,MATCH('001_population_health_zone_zs'!$B175,[1]ratio_ins!$B:$B,0))</f>
        <v>4730.2597800000003</v>
      </c>
      <c r="AP175" s="10">
        <f>INDEX([1]ratio_ins!AM:AM,MATCH('001_population_health_zone_zs'!$B$2,[1]ratio_ins!$B:$B,0))*$G175*INDEX([1]ratio_ins!$D:$D,MATCH('001_population_health_zone_zs'!$B175,[1]ratio_ins!$B:$B,0))</f>
        <v>3048.3896359999999</v>
      </c>
      <c r="AQ175" s="10">
        <f>INDEX([1]ratio_ins!AN:AN,MATCH('001_population_health_zone_zs'!$B$2,[1]ratio_ins!$B:$B,0))*$G175*INDEX([1]ratio_ins!$D:$D,MATCH('001_population_health_zone_zs'!$B175,[1]ratio_ins!$B:$B,0))</f>
        <v>2417.6883320000002</v>
      </c>
      <c r="AR175" s="10">
        <f>INDEX([1]ratio_ins!AO:AO,MATCH('001_population_health_zone_zs'!$B$2,[1]ratio_ins!$B:$B,0))*$G175*INDEX([1]ratio_ins!$D:$D,MATCH('001_population_health_zone_zs'!$B175,[1]ratio_ins!$B:$B,0))</f>
        <v>1156.2857240000001</v>
      </c>
      <c r="AS175" s="13">
        <f>INDEX([1]ratio_ins!AP:AP,MATCH('001_population_health_zone_zs'!$B$2,[1]ratio_ins!$B:$B,0))*$G175*INDEX([1]ratio_ins!$D:$D,MATCH('001_population_health_zone_zs'!$B175,[1]ratio_ins!$B:$B,0))</f>
        <v>43013.828932800003</v>
      </c>
      <c r="AT175" s="10">
        <f>INDEX([1]ratio_ins!AQ:AQ,MATCH('001_population_health_zone_zs'!$B$2,[1]ratio_ins!$B:$B,0))*$G175*INDEX([1]ratio_ins!$D:$D,MATCH('001_population_health_zone_zs'!$B175,[1]ratio_ins!$B:$B,0))</f>
        <v>1051.16884</v>
      </c>
      <c r="AU175" s="10">
        <f>INDEX([1]ratio_ins!AR:AR,MATCH('001_population_health_zone_zs'!$B$2,[1]ratio_ins!$B:$B,0))*$G175*INDEX([1]ratio_ins!$D:$D,MATCH('001_population_health_zone_zs'!$B175,[1]ratio_ins!$B:$B,0))</f>
        <v>630.70130400000005</v>
      </c>
      <c r="AV175" s="10">
        <f>INDEX([1]ratio_ins!AS:AS,MATCH('001_population_health_zone_zs'!$B$2,[1]ratio_ins!$B:$B,0))*$G175*INDEX([1]ratio_ins!$D:$D,MATCH('001_population_health_zone_zs'!$B175,[1]ratio_ins!$B:$B,0))</f>
        <v>315.35065200000003</v>
      </c>
      <c r="AW175" s="10">
        <f>INDEX([1]ratio_ins!AT:AT,MATCH('001_population_health_zone_zs'!$B$2,[1]ratio_ins!$B:$B,0))*$G175*INDEX([1]ratio_ins!$D:$D,MATCH('001_population_health_zone_zs'!$B175,[1]ratio_ins!$B:$B,0))</f>
        <v>210.233768</v>
      </c>
      <c r="AX175" s="13">
        <f>INDEX([1]ratio_ins!AU:AU,MATCH('001_population_health_zone_zs'!$B$2,[1]ratio_ins!$B:$B,0))*$G175*INDEX([1]ratio_ins!$D:$D,MATCH('001_population_health_zone_zs'!$B175,[1]ratio_ins!$B:$B,0))</f>
        <v>2207.4545640000001</v>
      </c>
      <c r="AY175" s="14">
        <f t="shared" si="13"/>
        <v>105116.88400000001</v>
      </c>
      <c r="AZ175" s="15">
        <f t="shared" si="14"/>
        <v>206923</v>
      </c>
      <c r="BA175" s="16">
        <v>199600.87297238092</v>
      </c>
      <c r="BB175" s="10">
        <f t="shared" si="15"/>
        <v>44674.6757</v>
      </c>
      <c r="BC175" s="17">
        <f t="shared" si="16"/>
        <v>0.21590000000000001</v>
      </c>
      <c r="BD175" s="10">
        <f t="shared" si="17"/>
        <v>42453.150372000004</v>
      </c>
    </row>
    <row r="176" spans="1:56" x14ac:dyDescent="0.25">
      <c r="A176" s="8" t="s">
        <v>409</v>
      </c>
      <c r="B176" s="8" t="s">
        <v>410</v>
      </c>
      <c r="C176" s="8" t="s">
        <v>429</v>
      </c>
      <c r="D176" s="8" t="s">
        <v>430</v>
      </c>
      <c r="E176" s="8" t="s">
        <v>436</v>
      </c>
      <c r="F176" s="8" t="s">
        <v>437</v>
      </c>
      <c r="G176" s="9">
        <v>247874</v>
      </c>
      <c r="H176" s="10">
        <f>INDEX([1]ratio_ins!F:F,MATCH('001_population_health_zone_zs'!$B$2,[1]ratio_ins!$B:$B,0))*$G176*INDEX([1]ratio_ins!$C:$C,MATCH('001_population_health_zone_zs'!$B176,[1]ratio_ins!$B:$B,0))</f>
        <v>25488.387672000001</v>
      </c>
      <c r="I176" s="10">
        <f>INDEX([1]ratio_ins!G:G,MATCH('001_population_health_zone_zs'!$B$2,[1]ratio_ins!$B:$B,0))*$G176*INDEX([1]ratio_ins!$C:$C,MATCH('001_population_health_zone_zs'!$B176,[1]ratio_ins!$B:$B,0))</f>
        <v>20854.135368000003</v>
      </c>
      <c r="J176" s="10">
        <f>INDEX([1]ratio_ins!H:H,MATCH('001_population_health_zone_zs'!$B$2,[1]ratio_ins!$B:$B,0))*$G176*INDEX([1]ratio_ins!$C:$C,MATCH('001_population_health_zone_zs'!$B176,[1]ratio_ins!$B:$B,0))</f>
        <v>16463.791080000003</v>
      </c>
      <c r="K176" s="10">
        <f>INDEX([1]ratio_ins!I:I,MATCH('001_population_health_zone_zs'!$B$2,[1]ratio_ins!$B:$B,0))*$G176*INDEX([1]ratio_ins!$C:$C,MATCH('001_population_health_zone_zs'!$B176,[1]ratio_ins!$B:$B,0))</f>
        <v>10122.182664000002</v>
      </c>
      <c r="L176" s="10">
        <f>INDEX([1]ratio_ins!J:J,MATCH('001_population_health_zone_zs'!$B$2,[1]ratio_ins!$B:$B,0))*$G176*INDEX([1]ratio_ins!$C:$C,MATCH('001_population_health_zone_zs'!$B176,[1]ratio_ins!$B:$B,0))</f>
        <v>6073.3095984000001</v>
      </c>
      <c r="M176" s="11">
        <f>INDEX([1]ratio_ins!K:K,MATCH('001_population_health_zone_zs'!$B$2,[1]ratio_ins!$B:$B,0))*$G176*INDEX([1]ratio_ins!$C:$C,MATCH('001_population_health_zone_zs'!$B176,[1]ratio_ins!$B:$B,0))</f>
        <v>68879.623718400006</v>
      </c>
      <c r="N176" s="10">
        <f>INDEX([1]ratio_ins!L:L,MATCH('001_population_health_zone_zs'!$B$2,[1]ratio_ins!$B:$B,0))*$G176*INDEX([1]ratio_ins!$C:$C,MATCH('001_population_health_zone_zs'!$B176,[1]ratio_ins!$B:$B,0))</f>
        <v>4048.8730656000007</v>
      </c>
      <c r="O176" s="10">
        <f>INDEX([1]ratio_ins!M:M,MATCH('001_population_health_zone_zs'!$B$2,[1]ratio_ins!$B:$B,0))*$G176*INDEX([1]ratio_ins!$C:$C,MATCH('001_population_health_zone_zs'!$B176,[1]ratio_ins!$B:$B,0))</f>
        <v>8780.6885760000023</v>
      </c>
      <c r="P176" s="10">
        <f>INDEX([1]ratio_ins!N:N,MATCH('001_population_health_zone_zs'!$B$2,[1]ratio_ins!$B:$B,0))*$G176*INDEX([1]ratio_ins!$C:$C,MATCH('001_population_health_zone_zs'!$B176,[1]ratio_ins!$B:$B,0))</f>
        <v>7927.0105200000016</v>
      </c>
      <c r="Q176" s="10">
        <f>INDEX([1]ratio_ins!O:O,MATCH('001_population_health_zone_zs'!$B$2,[1]ratio_ins!$B:$B,0))*$G176*INDEX([1]ratio_ins!$C:$C,MATCH('001_population_health_zone_zs'!$B176,[1]ratio_ins!$B:$B,0))</f>
        <v>7073.3324640000001</v>
      </c>
      <c r="R176" s="10">
        <f>INDEX([1]ratio_ins!P:P,MATCH('001_population_health_zone_zs'!$B$2,[1]ratio_ins!$B:$B,0))*$G176*INDEX([1]ratio_ins!$C:$C,MATCH('001_population_health_zone_zs'!$B176,[1]ratio_ins!$B:$B,0))</f>
        <v>6951.3784560000013</v>
      </c>
      <c r="S176" s="10">
        <f>INDEX([1]ratio_ins!Q:Q,MATCH('001_population_health_zone_zs'!$B$2,[1]ratio_ins!$B:$B,0))*$G176*INDEX([1]ratio_ins!$C:$C,MATCH('001_population_health_zone_zs'!$B176,[1]ratio_ins!$B:$B,0))</f>
        <v>5853.7923840000012</v>
      </c>
      <c r="T176" s="10">
        <f>INDEX([1]ratio_ins!R:R,MATCH('001_population_health_zone_zs'!$B$2,[1]ratio_ins!$B:$B,0))*$G176*INDEX([1]ratio_ins!$C:$C,MATCH('001_population_health_zone_zs'!$B176,[1]ratio_ins!$B:$B,0))</f>
        <v>4146.4362720000008</v>
      </c>
      <c r="U176" s="10">
        <f>INDEX([1]ratio_ins!S:S,MATCH('001_population_health_zone_zs'!$B$2,[1]ratio_ins!$B:$B,0))*$G176*INDEX([1]ratio_ins!$C:$C,MATCH('001_population_health_zone_zs'!$B176,[1]ratio_ins!$B:$B,0))</f>
        <v>3292.7582160000006</v>
      </c>
      <c r="V176" s="10">
        <f>INDEX([1]ratio_ins!T:T,MATCH('001_population_health_zone_zs'!$B$2,[1]ratio_ins!$B:$B,0))*$G176*INDEX([1]ratio_ins!$C:$C,MATCH('001_population_health_zone_zs'!$B176,[1]ratio_ins!$B:$B,0))</f>
        <v>1829.3101200000001</v>
      </c>
      <c r="W176" s="11">
        <f>INDEX([1]ratio_ins!U:U,MATCH('001_population_health_zone_zs'!$B$2,[1]ratio_ins!$B:$B,0))*$G176*INDEX([1]ratio_ins!$C:$C,MATCH('001_population_health_zone_zs'!$B176,[1]ratio_ins!$B:$B,0))</f>
        <v>49903.580073600009</v>
      </c>
      <c r="X176" s="10">
        <f>INDEX([1]ratio_ins!V:V,MATCH('001_population_health_zone_zs'!$B$2,[1]ratio_ins!$B:$B,0))*$G176*INDEX([1]ratio_ins!$C:$C,MATCH('001_population_health_zone_zs'!$B176,[1]ratio_ins!$B:$B,0))</f>
        <v>1463.4480960000003</v>
      </c>
      <c r="Y176" s="10">
        <f>INDEX([1]ratio_ins!W:W,MATCH('001_population_health_zone_zs'!$B$2,[1]ratio_ins!$B:$B,0))*$G176*INDEX([1]ratio_ins!$C:$C,MATCH('001_population_health_zone_zs'!$B176,[1]ratio_ins!$B:$B,0))</f>
        <v>975.63206400000013</v>
      </c>
      <c r="Z176" s="10">
        <f>INDEX([1]ratio_ins!X:X,MATCH('001_population_health_zone_zs'!$B$2,[1]ratio_ins!$B:$B,0))*$G176*INDEX([1]ratio_ins!$C:$C,MATCH('001_population_health_zone_zs'!$B176,[1]ratio_ins!$B:$B,0))</f>
        <v>487.81603200000006</v>
      </c>
      <c r="AA176" s="10">
        <f>INDEX([1]ratio_ins!Y:Y,MATCH('001_population_health_zone_zs'!$B$2,[1]ratio_ins!$B:$B,0))*$G176*INDEX([1]ratio_ins!$C:$C,MATCH('001_population_health_zone_zs'!$B176,[1]ratio_ins!$B:$B,0))</f>
        <v>243.90801600000003</v>
      </c>
      <c r="AB176" s="11">
        <f>INDEX([1]ratio_ins!Z:Z,MATCH('001_population_health_zone_zs'!$B$2,[1]ratio_ins!$B:$B,0))*$G176*INDEX([1]ratio_ins!$C:$C,MATCH('001_population_health_zone_zs'!$B176,[1]ratio_ins!$B:$B,0))</f>
        <v>3170.8042080000005</v>
      </c>
      <c r="AC176" s="12">
        <f t="shared" si="12"/>
        <v>121954.00800000002</v>
      </c>
      <c r="AD176" s="10">
        <f>INDEX([1]ratio_ins!AA:AA,MATCH('001_population_health_zone_zs'!$B$2,[1]ratio_ins!$B:$B,0))*$G176*INDEX([1]ratio_ins!$D:$D,MATCH('001_population_health_zone_zs'!$B176,[1]ratio_ins!$B:$B,0))</f>
        <v>26443.19832</v>
      </c>
      <c r="AE176" s="10">
        <f>INDEX([1]ratio_ins!AB:AB,MATCH('001_population_health_zone_zs'!$B$2,[1]ratio_ins!$B:$B,0))*$G176*INDEX([1]ratio_ins!$D:$D,MATCH('001_population_health_zone_zs'!$B176,[1]ratio_ins!$B:$B,0))</f>
        <v>21784.158616000004</v>
      </c>
      <c r="AF176" s="10">
        <f>INDEX([1]ratio_ins!AC:AC,MATCH('001_population_health_zone_zs'!$B$2,[1]ratio_ins!$B:$B,0))*$G176*INDEX([1]ratio_ins!$D:$D,MATCH('001_population_health_zone_zs'!$B176,[1]ratio_ins!$B:$B,0))</f>
        <v>17251.038903999997</v>
      </c>
      <c r="AG176" s="10">
        <f>INDEX([1]ratio_ins!AD:AD,MATCH('001_population_health_zone_zs'!$B$2,[1]ratio_ins!$B:$B,0))*$G176*INDEX([1]ratio_ins!$D:$D,MATCH('001_population_health_zone_zs'!$B176,[1]ratio_ins!$B:$B,0))</f>
        <v>10451.359336000001</v>
      </c>
      <c r="AH176" s="10">
        <f>INDEX([1]ratio_ins!AE:AE,MATCH('001_population_health_zone_zs'!$B$2,[1]ratio_ins!$B:$B,0))*$G176*INDEX([1]ratio_ins!$D:$D,MATCH('001_population_health_zone_zs'!$B176,[1]ratio_ins!$B:$B,0))</f>
        <v>6270.8156015999994</v>
      </c>
      <c r="AI176" s="13">
        <f>INDEX([1]ratio_ins!AF:AF,MATCH('001_population_health_zone_zs'!$B$2,[1]ratio_ins!$B:$B,0))*$G176*INDEX([1]ratio_ins!$D:$D,MATCH('001_population_health_zone_zs'!$B176,[1]ratio_ins!$B:$B,0))</f>
        <v>71749.211441599997</v>
      </c>
      <c r="AJ176" s="10">
        <f>INDEX([1]ratio_ins!AG:AG,MATCH('001_population_health_zone_zs'!$B$2,[1]ratio_ins!$B:$B,0))*$G176*INDEX([1]ratio_ins!$D:$D,MATCH('001_population_health_zone_zs'!$B176,[1]ratio_ins!$B:$B,0))</f>
        <v>4180.5437344000002</v>
      </c>
      <c r="AK176" s="10">
        <f>INDEX([1]ratio_ins!AH:AH,MATCH('001_population_health_zone_zs'!$B$2,[1]ratio_ins!$B:$B,0))*$G176*INDEX([1]ratio_ins!$D:$D,MATCH('001_population_health_zone_zs'!$B176,[1]ratio_ins!$B:$B,0))</f>
        <v>9318.0794080000014</v>
      </c>
      <c r="AL176" s="10">
        <f>INDEX([1]ratio_ins!AI:AI,MATCH('001_population_health_zone_zs'!$B$2,[1]ratio_ins!$B:$B,0))*$G176*INDEX([1]ratio_ins!$D:$D,MATCH('001_population_health_zone_zs'!$B176,[1]ratio_ins!$B:$B,0))</f>
        <v>8814.3994400000011</v>
      </c>
      <c r="AM176" s="10">
        <f>INDEX([1]ratio_ins!AJ:AJ,MATCH('001_population_health_zone_zs'!$B$2,[1]ratio_ins!$B:$B,0))*$G176*INDEX([1]ratio_ins!$D:$D,MATCH('001_population_health_zone_zs'!$B176,[1]ratio_ins!$B:$B,0))</f>
        <v>8058.8794879999996</v>
      </c>
      <c r="AN176" s="10">
        <f>INDEX([1]ratio_ins!AK:AK,MATCH('001_population_health_zone_zs'!$B$2,[1]ratio_ins!$B:$B,0))*$G176*INDEX([1]ratio_ins!$D:$D,MATCH('001_population_health_zone_zs'!$B176,[1]ratio_ins!$B:$B,0))</f>
        <v>7555.1995199999992</v>
      </c>
      <c r="AO176" s="10">
        <f>INDEX([1]ratio_ins!AL:AL,MATCH('001_population_health_zone_zs'!$B$2,[1]ratio_ins!$B:$B,0))*$G176*INDEX([1]ratio_ins!$D:$D,MATCH('001_population_health_zone_zs'!$B176,[1]ratio_ins!$B:$B,0))</f>
        <v>5666.3996399999996</v>
      </c>
      <c r="AP176" s="10">
        <f>INDEX([1]ratio_ins!AM:AM,MATCH('001_population_health_zone_zs'!$B$2,[1]ratio_ins!$B:$B,0))*$G176*INDEX([1]ratio_ins!$D:$D,MATCH('001_population_health_zone_zs'!$B176,[1]ratio_ins!$B:$B,0))</f>
        <v>3651.679768</v>
      </c>
      <c r="AQ176" s="10">
        <f>INDEX([1]ratio_ins!AN:AN,MATCH('001_population_health_zone_zs'!$B$2,[1]ratio_ins!$B:$B,0))*$G176*INDEX([1]ratio_ins!$D:$D,MATCH('001_population_health_zone_zs'!$B176,[1]ratio_ins!$B:$B,0))</f>
        <v>2896.1598159999999</v>
      </c>
      <c r="AR176" s="10">
        <f>INDEX([1]ratio_ins!AO:AO,MATCH('001_population_health_zone_zs'!$B$2,[1]ratio_ins!$B:$B,0))*$G176*INDEX([1]ratio_ins!$D:$D,MATCH('001_population_health_zone_zs'!$B176,[1]ratio_ins!$B:$B,0))</f>
        <v>1385.1199120000003</v>
      </c>
      <c r="AS176" s="13">
        <f>INDEX([1]ratio_ins!AP:AP,MATCH('001_population_health_zone_zs'!$B$2,[1]ratio_ins!$B:$B,0))*$G176*INDEX([1]ratio_ins!$D:$D,MATCH('001_population_health_zone_zs'!$B176,[1]ratio_ins!$B:$B,0))</f>
        <v>51526.460726400001</v>
      </c>
      <c r="AT176" s="10">
        <f>INDEX([1]ratio_ins!AQ:AQ,MATCH('001_population_health_zone_zs'!$B$2,[1]ratio_ins!$B:$B,0))*$G176*INDEX([1]ratio_ins!$D:$D,MATCH('001_population_health_zone_zs'!$B176,[1]ratio_ins!$B:$B,0))</f>
        <v>1259.1999200000002</v>
      </c>
      <c r="AU176" s="10">
        <f>INDEX([1]ratio_ins!AR:AR,MATCH('001_population_health_zone_zs'!$B$2,[1]ratio_ins!$B:$B,0))*$G176*INDEX([1]ratio_ins!$D:$D,MATCH('001_population_health_zone_zs'!$B176,[1]ratio_ins!$B:$B,0))</f>
        <v>755.5199520000001</v>
      </c>
      <c r="AV176" s="10">
        <f>INDEX([1]ratio_ins!AS:AS,MATCH('001_population_health_zone_zs'!$B$2,[1]ratio_ins!$B:$B,0))*$G176*INDEX([1]ratio_ins!$D:$D,MATCH('001_population_health_zone_zs'!$B176,[1]ratio_ins!$B:$B,0))</f>
        <v>377.75997600000005</v>
      </c>
      <c r="AW176" s="10">
        <f>INDEX([1]ratio_ins!AT:AT,MATCH('001_population_health_zone_zs'!$B$2,[1]ratio_ins!$B:$B,0))*$G176*INDEX([1]ratio_ins!$D:$D,MATCH('001_population_health_zone_zs'!$B176,[1]ratio_ins!$B:$B,0))</f>
        <v>251.83998399999999</v>
      </c>
      <c r="AX176" s="13">
        <f>INDEX([1]ratio_ins!AU:AU,MATCH('001_population_health_zone_zs'!$B$2,[1]ratio_ins!$B:$B,0))*$G176*INDEX([1]ratio_ins!$D:$D,MATCH('001_population_health_zone_zs'!$B176,[1]ratio_ins!$B:$B,0))</f>
        <v>2644.3198319999997</v>
      </c>
      <c r="AY176" s="14">
        <f t="shared" si="13"/>
        <v>125919.99199999998</v>
      </c>
      <c r="AZ176" s="15">
        <f t="shared" si="14"/>
        <v>247874</v>
      </c>
      <c r="BA176" s="16">
        <v>239103.3938246016</v>
      </c>
      <c r="BB176" s="10">
        <f t="shared" si="15"/>
        <v>53515.996599999999</v>
      </c>
      <c r="BC176" s="17">
        <f t="shared" si="16"/>
        <v>0.21589999999999998</v>
      </c>
      <c r="BD176" s="10">
        <f t="shared" si="17"/>
        <v>50854.821336000001</v>
      </c>
    </row>
    <row r="177" spans="1:56" x14ac:dyDescent="0.25">
      <c r="A177" s="8" t="s">
        <v>438</v>
      </c>
      <c r="B177" s="8" t="s">
        <v>439</v>
      </c>
      <c r="C177" s="8" t="s">
        <v>440</v>
      </c>
      <c r="D177" s="8" t="s">
        <v>441</v>
      </c>
      <c r="E177" s="8" t="s">
        <v>440</v>
      </c>
      <c r="F177" s="8" t="s">
        <v>442</v>
      </c>
      <c r="G177" s="9">
        <v>279222</v>
      </c>
      <c r="H177" s="10">
        <f>INDEX([1]ratio_ins!F:F,MATCH('001_population_health_zone_zs'!$B$2,[1]ratio_ins!$B:$B,0))*$G177*INDEX([1]ratio_ins!$C:$C,MATCH('001_population_health_zone_zs'!$B177,[1]ratio_ins!$B:$B,0))</f>
        <v>28711.839816000003</v>
      </c>
      <c r="I177" s="10">
        <f>INDEX([1]ratio_ins!G:G,MATCH('001_population_health_zone_zs'!$B$2,[1]ratio_ins!$B:$B,0))*$G177*INDEX([1]ratio_ins!$C:$C,MATCH('001_population_health_zone_zs'!$B177,[1]ratio_ins!$B:$B,0))</f>
        <v>23491.505304000006</v>
      </c>
      <c r="J177" s="10">
        <f>INDEX([1]ratio_ins!H:H,MATCH('001_population_health_zone_zs'!$B$2,[1]ratio_ins!$B:$B,0))*$G177*INDEX([1]ratio_ins!$C:$C,MATCH('001_population_health_zone_zs'!$B177,[1]ratio_ins!$B:$B,0))</f>
        <v>18545.925240000004</v>
      </c>
      <c r="K177" s="10">
        <f>INDEX([1]ratio_ins!I:I,MATCH('001_population_health_zone_zs'!$B$2,[1]ratio_ins!$B:$B,0))*$G177*INDEX([1]ratio_ins!$C:$C,MATCH('001_population_health_zone_zs'!$B177,[1]ratio_ins!$B:$B,0))</f>
        <v>11402.309592000001</v>
      </c>
      <c r="L177" s="10">
        <f>INDEX([1]ratio_ins!J:J,MATCH('001_population_health_zone_zs'!$B$2,[1]ratio_ins!$B:$B,0))*$G177*INDEX([1]ratio_ins!$C:$C,MATCH('001_population_health_zone_zs'!$B177,[1]ratio_ins!$B:$B,0))</f>
        <v>6841.3857551999999</v>
      </c>
      <c r="M177" s="11">
        <f>INDEX([1]ratio_ins!K:K,MATCH('001_population_health_zone_zs'!$B$2,[1]ratio_ins!$B:$B,0))*$G177*INDEX([1]ratio_ins!$C:$C,MATCH('001_population_health_zone_zs'!$B177,[1]ratio_ins!$B:$B,0))</f>
        <v>77590.656115200007</v>
      </c>
      <c r="N177" s="10">
        <f>INDEX([1]ratio_ins!L:L,MATCH('001_population_health_zone_zs'!$B$2,[1]ratio_ins!$B:$B,0))*$G177*INDEX([1]ratio_ins!$C:$C,MATCH('001_population_health_zone_zs'!$B177,[1]ratio_ins!$B:$B,0))</f>
        <v>4560.9238368000006</v>
      </c>
      <c r="O177" s="10">
        <f>INDEX([1]ratio_ins!M:M,MATCH('001_population_health_zone_zs'!$B$2,[1]ratio_ins!$B:$B,0))*$G177*INDEX([1]ratio_ins!$C:$C,MATCH('001_population_health_zone_zs'!$B177,[1]ratio_ins!$B:$B,0))</f>
        <v>9891.1601280000032</v>
      </c>
      <c r="P177" s="10">
        <f>INDEX([1]ratio_ins!N:N,MATCH('001_population_health_zone_zs'!$B$2,[1]ratio_ins!$B:$B,0))*$G177*INDEX([1]ratio_ins!$C:$C,MATCH('001_population_health_zone_zs'!$B177,[1]ratio_ins!$B:$B,0))</f>
        <v>8929.5195600000006</v>
      </c>
      <c r="Q177" s="10">
        <f>INDEX([1]ratio_ins!O:O,MATCH('001_population_health_zone_zs'!$B$2,[1]ratio_ins!$B:$B,0))*$G177*INDEX([1]ratio_ins!$C:$C,MATCH('001_population_health_zone_zs'!$B177,[1]ratio_ins!$B:$B,0))</f>
        <v>7967.8789919999999</v>
      </c>
      <c r="R177" s="10">
        <f>INDEX([1]ratio_ins!P:P,MATCH('001_population_health_zone_zs'!$B$2,[1]ratio_ins!$B:$B,0))*$G177*INDEX([1]ratio_ins!$C:$C,MATCH('001_population_health_zone_zs'!$B177,[1]ratio_ins!$B:$B,0))</f>
        <v>7830.501768000001</v>
      </c>
      <c r="S177" s="10">
        <f>INDEX([1]ratio_ins!Q:Q,MATCH('001_population_health_zone_zs'!$B$2,[1]ratio_ins!$B:$B,0))*$G177*INDEX([1]ratio_ins!$C:$C,MATCH('001_population_health_zone_zs'!$B177,[1]ratio_ins!$B:$B,0))</f>
        <v>6594.1067520000015</v>
      </c>
      <c r="T177" s="10">
        <f>INDEX([1]ratio_ins!R:R,MATCH('001_population_health_zone_zs'!$B$2,[1]ratio_ins!$B:$B,0))*$G177*INDEX([1]ratio_ins!$C:$C,MATCH('001_population_health_zone_zs'!$B177,[1]ratio_ins!$B:$B,0))</f>
        <v>4670.825616000001</v>
      </c>
      <c r="U177" s="10">
        <f>INDEX([1]ratio_ins!S:S,MATCH('001_population_health_zone_zs'!$B$2,[1]ratio_ins!$B:$B,0))*$G177*INDEX([1]ratio_ins!$C:$C,MATCH('001_population_health_zone_zs'!$B177,[1]ratio_ins!$B:$B,0))</f>
        <v>3709.1850480000007</v>
      </c>
      <c r="V177" s="10">
        <f>INDEX([1]ratio_ins!T:T,MATCH('001_population_health_zone_zs'!$B$2,[1]ratio_ins!$B:$B,0))*$G177*INDEX([1]ratio_ins!$C:$C,MATCH('001_population_health_zone_zs'!$B177,[1]ratio_ins!$B:$B,0))</f>
        <v>2060.6583600000004</v>
      </c>
      <c r="W177" s="11">
        <f>INDEX([1]ratio_ins!U:U,MATCH('001_population_health_zone_zs'!$B$2,[1]ratio_ins!$B:$B,0))*$G177*INDEX([1]ratio_ins!$C:$C,MATCH('001_population_health_zone_zs'!$B177,[1]ratio_ins!$B:$B,0))</f>
        <v>56214.760060800007</v>
      </c>
      <c r="X177" s="10">
        <f>INDEX([1]ratio_ins!V:V,MATCH('001_population_health_zone_zs'!$B$2,[1]ratio_ins!$B:$B,0))*$G177*INDEX([1]ratio_ins!$C:$C,MATCH('001_population_health_zone_zs'!$B177,[1]ratio_ins!$B:$B,0))</f>
        <v>1648.5266880000004</v>
      </c>
      <c r="Y177" s="10">
        <f>INDEX([1]ratio_ins!W:W,MATCH('001_population_health_zone_zs'!$B$2,[1]ratio_ins!$B:$B,0))*$G177*INDEX([1]ratio_ins!$C:$C,MATCH('001_population_health_zone_zs'!$B177,[1]ratio_ins!$B:$B,0))</f>
        <v>1099.0177920000001</v>
      </c>
      <c r="Z177" s="10">
        <f>INDEX([1]ratio_ins!X:X,MATCH('001_population_health_zone_zs'!$B$2,[1]ratio_ins!$B:$B,0))*$G177*INDEX([1]ratio_ins!$C:$C,MATCH('001_population_health_zone_zs'!$B177,[1]ratio_ins!$B:$B,0))</f>
        <v>549.50889600000005</v>
      </c>
      <c r="AA177" s="10">
        <f>INDEX([1]ratio_ins!Y:Y,MATCH('001_population_health_zone_zs'!$B$2,[1]ratio_ins!$B:$B,0))*$G177*INDEX([1]ratio_ins!$C:$C,MATCH('001_population_health_zone_zs'!$B177,[1]ratio_ins!$B:$B,0))</f>
        <v>274.75444800000002</v>
      </c>
      <c r="AB177" s="11">
        <f>INDEX([1]ratio_ins!Z:Z,MATCH('001_population_health_zone_zs'!$B$2,[1]ratio_ins!$B:$B,0))*$G177*INDEX([1]ratio_ins!$C:$C,MATCH('001_population_health_zone_zs'!$B177,[1]ratio_ins!$B:$B,0))</f>
        <v>3571.8078240000009</v>
      </c>
      <c r="AC177" s="12">
        <f t="shared" si="12"/>
        <v>137377.22400000002</v>
      </c>
      <c r="AD177" s="10">
        <f>INDEX([1]ratio_ins!AA:AA,MATCH('001_population_health_zone_zs'!$B$2,[1]ratio_ins!$B:$B,0))*$G177*INDEX([1]ratio_ins!$D:$D,MATCH('001_population_health_zone_zs'!$B177,[1]ratio_ins!$B:$B,0))</f>
        <v>29787.402959999999</v>
      </c>
      <c r="AE177" s="10">
        <f>INDEX([1]ratio_ins!AB:AB,MATCH('001_population_health_zone_zs'!$B$2,[1]ratio_ins!$B:$B,0))*$G177*INDEX([1]ratio_ins!$D:$D,MATCH('001_population_health_zone_zs'!$B177,[1]ratio_ins!$B:$B,0))</f>
        <v>24539.146248000001</v>
      </c>
      <c r="AF177" s="10">
        <f>INDEX([1]ratio_ins!AC:AC,MATCH('001_population_health_zone_zs'!$B$2,[1]ratio_ins!$B:$B,0))*$G177*INDEX([1]ratio_ins!$D:$D,MATCH('001_population_health_zone_zs'!$B177,[1]ratio_ins!$B:$B,0))</f>
        <v>19432.734312000001</v>
      </c>
      <c r="AG177" s="10">
        <f>INDEX([1]ratio_ins!AD:AD,MATCH('001_population_health_zone_zs'!$B$2,[1]ratio_ins!$B:$B,0))*$G177*INDEX([1]ratio_ins!$D:$D,MATCH('001_population_health_zone_zs'!$B177,[1]ratio_ins!$B:$B,0))</f>
        <v>11773.116408</v>
      </c>
      <c r="AH177" s="10">
        <f>INDEX([1]ratio_ins!AE:AE,MATCH('001_population_health_zone_zs'!$B$2,[1]ratio_ins!$B:$B,0))*$G177*INDEX([1]ratio_ins!$D:$D,MATCH('001_population_health_zone_zs'!$B177,[1]ratio_ins!$B:$B,0))</f>
        <v>7063.8698447999996</v>
      </c>
      <c r="AI177" s="13">
        <f>INDEX([1]ratio_ins!AF:AF,MATCH('001_population_health_zone_zs'!$B$2,[1]ratio_ins!$B:$B,0))*$G177*INDEX([1]ratio_ins!$D:$D,MATCH('001_population_health_zone_zs'!$B177,[1]ratio_ins!$B:$B,0))</f>
        <v>80823.153364800004</v>
      </c>
      <c r="AJ177" s="10">
        <f>INDEX([1]ratio_ins!AG:AG,MATCH('001_population_health_zone_zs'!$B$2,[1]ratio_ins!$B:$B,0))*$G177*INDEX([1]ratio_ins!$D:$D,MATCH('001_population_health_zone_zs'!$B177,[1]ratio_ins!$B:$B,0))</f>
        <v>4709.2465632000003</v>
      </c>
      <c r="AK177" s="10">
        <f>INDEX([1]ratio_ins!AH:AH,MATCH('001_population_health_zone_zs'!$B$2,[1]ratio_ins!$B:$B,0))*$G177*INDEX([1]ratio_ins!$D:$D,MATCH('001_population_health_zone_zs'!$B177,[1]ratio_ins!$B:$B,0))</f>
        <v>10496.513424000002</v>
      </c>
      <c r="AL177" s="10">
        <f>INDEX([1]ratio_ins!AI:AI,MATCH('001_population_health_zone_zs'!$B$2,[1]ratio_ins!$B:$B,0))*$G177*INDEX([1]ratio_ins!$D:$D,MATCH('001_population_health_zone_zs'!$B177,[1]ratio_ins!$B:$B,0))</f>
        <v>9929.134320000001</v>
      </c>
      <c r="AM177" s="10">
        <f>INDEX([1]ratio_ins!AJ:AJ,MATCH('001_population_health_zone_zs'!$B$2,[1]ratio_ins!$B:$B,0))*$G177*INDEX([1]ratio_ins!$D:$D,MATCH('001_population_health_zone_zs'!$B177,[1]ratio_ins!$B:$B,0))</f>
        <v>9078.0656639999997</v>
      </c>
      <c r="AN177" s="10">
        <f>INDEX([1]ratio_ins!AK:AK,MATCH('001_population_health_zone_zs'!$B$2,[1]ratio_ins!$B:$B,0))*$G177*INDEX([1]ratio_ins!$D:$D,MATCH('001_population_health_zone_zs'!$B177,[1]ratio_ins!$B:$B,0))</f>
        <v>8510.6865600000001</v>
      </c>
      <c r="AO177" s="10">
        <f>INDEX([1]ratio_ins!AL:AL,MATCH('001_population_health_zone_zs'!$B$2,[1]ratio_ins!$B:$B,0))*$G177*INDEX([1]ratio_ins!$D:$D,MATCH('001_population_health_zone_zs'!$B177,[1]ratio_ins!$B:$B,0))</f>
        <v>6383.0149199999996</v>
      </c>
      <c r="AP177" s="10">
        <f>INDEX([1]ratio_ins!AM:AM,MATCH('001_population_health_zone_zs'!$B$2,[1]ratio_ins!$B:$B,0))*$G177*INDEX([1]ratio_ins!$D:$D,MATCH('001_population_health_zone_zs'!$B177,[1]ratio_ins!$B:$B,0))</f>
        <v>4113.4985039999992</v>
      </c>
      <c r="AQ177" s="10">
        <f>INDEX([1]ratio_ins!AN:AN,MATCH('001_population_health_zone_zs'!$B$2,[1]ratio_ins!$B:$B,0))*$G177*INDEX([1]ratio_ins!$D:$D,MATCH('001_population_health_zone_zs'!$B177,[1]ratio_ins!$B:$B,0))</f>
        <v>3262.4298479999998</v>
      </c>
      <c r="AR177" s="10">
        <f>INDEX([1]ratio_ins!AO:AO,MATCH('001_population_health_zone_zs'!$B$2,[1]ratio_ins!$B:$B,0))*$G177*INDEX([1]ratio_ins!$D:$D,MATCH('001_population_health_zone_zs'!$B177,[1]ratio_ins!$B:$B,0))</f>
        <v>1560.2925360000002</v>
      </c>
      <c r="AS177" s="13">
        <f>INDEX([1]ratio_ins!AP:AP,MATCH('001_population_health_zone_zs'!$B$2,[1]ratio_ins!$B:$B,0))*$G177*INDEX([1]ratio_ins!$D:$D,MATCH('001_population_health_zone_zs'!$B177,[1]ratio_ins!$B:$B,0))</f>
        <v>58042.882339199998</v>
      </c>
      <c r="AT177" s="10">
        <f>INDEX([1]ratio_ins!AQ:AQ,MATCH('001_population_health_zone_zs'!$B$2,[1]ratio_ins!$B:$B,0))*$G177*INDEX([1]ratio_ins!$D:$D,MATCH('001_population_health_zone_zs'!$B177,[1]ratio_ins!$B:$B,0))</f>
        <v>1418.4477600000002</v>
      </c>
      <c r="AU177" s="10">
        <f>INDEX([1]ratio_ins!AR:AR,MATCH('001_population_health_zone_zs'!$B$2,[1]ratio_ins!$B:$B,0))*$G177*INDEX([1]ratio_ins!$D:$D,MATCH('001_population_health_zone_zs'!$B177,[1]ratio_ins!$B:$B,0))</f>
        <v>851.06865600000003</v>
      </c>
      <c r="AV177" s="10">
        <f>INDEX([1]ratio_ins!AS:AS,MATCH('001_population_health_zone_zs'!$B$2,[1]ratio_ins!$B:$B,0))*$G177*INDEX([1]ratio_ins!$D:$D,MATCH('001_population_health_zone_zs'!$B177,[1]ratio_ins!$B:$B,0))</f>
        <v>425.53432800000002</v>
      </c>
      <c r="AW177" s="10">
        <f>INDEX([1]ratio_ins!AT:AT,MATCH('001_population_health_zone_zs'!$B$2,[1]ratio_ins!$B:$B,0))*$G177*INDEX([1]ratio_ins!$D:$D,MATCH('001_population_health_zone_zs'!$B177,[1]ratio_ins!$B:$B,0))</f>
        <v>283.68955199999999</v>
      </c>
      <c r="AX177" s="13">
        <f>INDEX([1]ratio_ins!AU:AU,MATCH('001_population_health_zone_zs'!$B$2,[1]ratio_ins!$B:$B,0))*$G177*INDEX([1]ratio_ins!$D:$D,MATCH('001_population_health_zone_zs'!$B177,[1]ratio_ins!$B:$B,0))</f>
        <v>2978.7402959999995</v>
      </c>
      <c r="AY177" s="14">
        <f t="shared" si="13"/>
        <v>141844.77600000001</v>
      </c>
      <c r="AZ177" s="15">
        <f t="shared" si="14"/>
        <v>279222</v>
      </c>
      <c r="BA177" s="16">
        <v>270013.58017739234</v>
      </c>
      <c r="BB177" s="10">
        <f t="shared" si="15"/>
        <v>60284.029800000004</v>
      </c>
      <c r="BC177" s="17">
        <f t="shared" si="16"/>
        <v>0.21590000000000001</v>
      </c>
      <c r="BD177" s="10">
        <f t="shared" si="17"/>
        <v>57286.30240800001</v>
      </c>
    </row>
    <row r="178" spans="1:56" x14ac:dyDescent="0.25">
      <c r="A178" s="8" t="s">
        <v>438</v>
      </c>
      <c r="B178" s="8" t="s">
        <v>439</v>
      </c>
      <c r="C178" s="8" t="s">
        <v>440</v>
      </c>
      <c r="D178" s="8" t="s">
        <v>441</v>
      </c>
      <c r="E178" s="8" t="s">
        <v>443</v>
      </c>
      <c r="F178" s="8" t="s">
        <v>444</v>
      </c>
      <c r="G178" s="9">
        <v>9796</v>
      </c>
      <c r="H178" s="10">
        <f>INDEX([1]ratio_ins!F:F,MATCH('001_population_health_zone_zs'!$B$2,[1]ratio_ins!$B:$B,0))*$G178*INDEX([1]ratio_ins!$C:$C,MATCH('001_population_health_zone_zs'!$B178,[1]ratio_ins!$B:$B,0))</f>
        <v>1007.303088</v>
      </c>
      <c r="I178" s="10">
        <f>INDEX([1]ratio_ins!G:G,MATCH('001_population_health_zone_zs'!$B$2,[1]ratio_ins!$B:$B,0))*$G178*INDEX([1]ratio_ins!$C:$C,MATCH('001_population_health_zone_zs'!$B178,[1]ratio_ins!$B:$B,0))</f>
        <v>824.1570720000002</v>
      </c>
      <c r="J178" s="10">
        <f>INDEX([1]ratio_ins!H:H,MATCH('001_population_health_zone_zs'!$B$2,[1]ratio_ins!$B:$B,0))*$G178*INDEX([1]ratio_ins!$C:$C,MATCH('001_population_health_zone_zs'!$B178,[1]ratio_ins!$B:$B,0))</f>
        <v>650.65032000000008</v>
      </c>
      <c r="K178" s="10">
        <f>INDEX([1]ratio_ins!I:I,MATCH('001_population_health_zone_zs'!$B$2,[1]ratio_ins!$B:$B,0))*$G178*INDEX([1]ratio_ins!$C:$C,MATCH('001_population_health_zone_zs'!$B178,[1]ratio_ins!$B:$B,0))</f>
        <v>400.0294560000001</v>
      </c>
      <c r="L178" s="10">
        <f>INDEX([1]ratio_ins!J:J,MATCH('001_population_health_zone_zs'!$B$2,[1]ratio_ins!$B:$B,0))*$G178*INDEX([1]ratio_ins!$C:$C,MATCH('001_population_health_zone_zs'!$B178,[1]ratio_ins!$B:$B,0))</f>
        <v>240.01767359999999</v>
      </c>
      <c r="M178" s="11">
        <f>INDEX([1]ratio_ins!K:K,MATCH('001_population_health_zone_zs'!$B$2,[1]ratio_ins!$B:$B,0))*$G178*INDEX([1]ratio_ins!$C:$C,MATCH('001_population_health_zone_zs'!$B178,[1]ratio_ins!$B:$B,0))</f>
        <v>2722.1281536000001</v>
      </c>
      <c r="N178" s="10">
        <f>INDEX([1]ratio_ins!L:L,MATCH('001_population_health_zone_zs'!$B$2,[1]ratio_ins!$B:$B,0))*$G178*INDEX([1]ratio_ins!$C:$C,MATCH('001_population_health_zone_zs'!$B178,[1]ratio_ins!$B:$B,0))</f>
        <v>160.01178240000002</v>
      </c>
      <c r="O178" s="10">
        <f>INDEX([1]ratio_ins!M:M,MATCH('001_population_health_zone_zs'!$B$2,[1]ratio_ins!$B:$B,0))*$G178*INDEX([1]ratio_ins!$C:$C,MATCH('001_population_health_zone_zs'!$B178,[1]ratio_ins!$B:$B,0))</f>
        <v>347.01350400000007</v>
      </c>
      <c r="P178" s="10">
        <f>INDEX([1]ratio_ins!N:N,MATCH('001_population_health_zone_zs'!$B$2,[1]ratio_ins!$B:$B,0))*$G178*INDEX([1]ratio_ins!$C:$C,MATCH('001_population_health_zone_zs'!$B178,[1]ratio_ins!$B:$B,0))</f>
        <v>313.27608000000004</v>
      </c>
      <c r="Q178" s="10">
        <f>INDEX([1]ratio_ins!O:O,MATCH('001_population_health_zone_zs'!$B$2,[1]ratio_ins!$B:$B,0))*$G178*INDEX([1]ratio_ins!$C:$C,MATCH('001_population_health_zone_zs'!$B178,[1]ratio_ins!$B:$B,0))</f>
        <v>279.538656</v>
      </c>
      <c r="R178" s="10">
        <f>INDEX([1]ratio_ins!P:P,MATCH('001_population_health_zone_zs'!$B$2,[1]ratio_ins!$B:$B,0))*$G178*INDEX([1]ratio_ins!$C:$C,MATCH('001_population_health_zone_zs'!$B178,[1]ratio_ins!$B:$B,0))</f>
        <v>274.71902400000005</v>
      </c>
      <c r="S178" s="10">
        <f>INDEX([1]ratio_ins!Q:Q,MATCH('001_population_health_zone_zs'!$B$2,[1]ratio_ins!$B:$B,0))*$G178*INDEX([1]ratio_ins!$C:$C,MATCH('001_population_health_zone_zs'!$B178,[1]ratio_ins!$B:$B,0))</f>
        <v>231.34233600000005</v>
      </c>
      <c r="T178" s="10">
        <f>INDEX([1]ratio_ins!R:R,MATCH('001_population_health_zone_zs'!$B$2,[1]ratio_ins!$B:$B,0))*$G178*INDEX([1]ratio_ins!$C:$C,MATCH('001_population_health_zone_zs'!$B178,[1]ratio_ins!$B:$B,0))</f>
        <v>163.86748800000004</v>
      </c>
      <c r="U178" s="10">
        <f>INDEX([1]ratio_ins!S:S,MATCH('001_population_health_zone_zs'!$B$2,[1]ratio_ins!$B:$B,0))*$G178*INDEX([1]ratio_ins!$C:$C,MATCH('001_population_health_zone_zs'!$B178,[1]ratio_ins!$B:$B,0))</f>
        <v>130.13006400000003</v>
      </c>
      <c r="V178" s="10">
        <f>INDEX([1]ratio_ins!T:T,MATCH('001_population_health_zone_zs'!$B$2,[1]ratio_ins!$B:$B,0))*$G178*INDEX([1]ratio_ins!$C:$C,MATCH('001_population_health_zone_zs'!$B178,[1]ratio_ins!$B:$B,0))</f>
        <v>72.294480000000007</v>
      </c>
      <c r="W178" s="11">
        <f>INDEX([1]ratio_ins!U:U,MATCH('001_population_health_zone_zs'!$B$2,[1]ratio_ins!$B:$B,0))*$G178*INDEX([1]ratio_ins!$C:$C,MATCH('001_population_health_zone_zs'!$B178,[1]ratio_ins!$B:$B,0))</f>
        <v>1972.1934144000002</v>
      </c>
      <c r="X178" s="10">
        <f>INDEX([1]ratio_ins!V:V,MATCH('001_population_health_zone_zs'!$B$2,[1]ratio_ins!$B:$B,0))*$G178*INDEX([1]ratio_ins!$C:$C,MATCH('001_population_health_zone_zs'!$B178,[1]ratio_ins!$B:$B,0))</f>
        <v>57.835584000000011</v>
      </c>
      <c r="Y178" s="10">
        <f>INDEX([1]ratio_ins!W:W,MATCH('001_population_health_zone_zs'!$B$2,[1]ratio_ins!$B:$B,0))*$G178*INDEX([1]ratio_ins!$C:$C,MATCH('001_population_health_zone_zs'!$B178,[1]ratio_ins!$B:$B,0))</f>
        <v>38.557056000000003</v>
      </c>
      <c r="Z178" s="10">
        <f>INDEX([1]ratio_ins!X:X,MATCH('001_population_health_zone_zs'!$B$2,[1]ratio_ins!$B:$B,0))*$G178*INDEX([1]ratio_ins!$C:$C,MATCH('001_population_health_zone_zs'!$B178,[1]ratio_ins!$B:$B,0))</f>
        <v>19.278528000000001</v>
      </c>
      <c r="AA178" s="10">
        <f>INDEX([1]ratio_ins!Y:Y,MATCH('001_population_health_zone_zs'!$B$2,[1]ratio_ins!$B:$B,0))*$G178*INDEX([1]ratio_ins!$C:$C,MATCH('001_population_health_zone_zs'!$B178,[1]ratio_ins!$B:$B,0))</f>
        <v>9.6392640000000007</v>
      </c>
      <c r="AB178" s="11">
        <f>INDEX([1]ratio_ins!Z:Z,MATCH('001_population_health_zone_zs'!$B$2,[1]ratio_ins!$B:$B,0))*$G178*INDEX([1]ratio_ins!$C:$C,MATCH('001_population_health_zone_zs'!$B178,[1]ratio_ins!$B:$B,0))</f>
        <v>125.31043200000002</v>
      </c>
      <c r="AC178" s="12">
        <f t="shared" si="12"/>
        <v>4819.6320000000005</v>
      </c>
      <c r="AD178" s="10">
        <f>INDEX([1]ratio_ins!AA:AA,MATCH('001_population_health_zone_zs'!$B$2,[1]ratio_ins!$B:$B,0))*$G178*INDEX([1]ratio_ins!$D:$D,MATCH('001_population_health_zone_zs'!$B178,[1]ratio_ins!$B:$B,0))</f>
        <v>1045.03728</v>
      </c>
      <c r="AE178" s="10">
        <f>INDEX([1]ratio_ins!AB:AB,MATCH('001_population_health_zone_zs'!$B$2,[1]ratio_ins!$B:$B,0))*$G178*INDEX([1]ratio_ins!$D:$D,MATCH('001_population_health_zone_zs'!$B178,[1]ratio_ins!$B:$B,0))</f>
        <v>860.91166400000009</v>
      </c>
      <c r="AF178" s="10">
        <f>INDEX([1]ratio_ins!AC:AC,MATCH('001_population_health_zone_zs'!$B$2,[1]ratio_ins!$B:$B,0))*$G178*INDEX([1]ratio_ins!$D:$D,MATCH('001_population_health_zone_zs'!$B178,[1]ratio_ins!$B:$B,0))</f>
        <v>681.76241599999992</v>
      </c>
      <c r="AG178" s="10">
        <f>INDEX([1]ratio_ins!AD:AD,MATCH('001_population_health_zone_zs'!$B$2,[1]ratio_ins!$B:$B,0))*$G178*INDEX([1]ratio_ins!$D:$D,MATCH('001_population_health_zone_zs'!$B178,[1]ratio_ins!$B:$B,0))</f>
        <v>413.03854400000006</v>
      </c>
      <c r="AH178" s="10">
        <f>INDEX([1]ratio_ins!AE:AE,MATCH('001_population_health_zone_zs'!$B$2,[1]ratio_ins!$B:$B,0))*$G178*INDEX([1]ratio_ins!$D:$D,MATCH('001_population_health_zone_zs'!$B178,[1]ratio_ins!$B:$B,0))</f>
        <v>247.82312639999998</v>
      </c>
      <c r="AI178" s="13">
        <f>INDEX([1]ratio_ins!AF:AF,MATCH('001_population_health_zone_zs'!$B$2,[1]ratio_ins!$B:$B,0))*$G178*INDEX([1]ratio_ins!$D:$D,MATCH('001_population_health_zone_zs'!$B178,[1]ratio_ins!$B:$B,0))</f>
        <v>2835.5344863999999</v>
      </c>
      <c r="AJ178" s="10">
        <f>INDEX([1]ratio_ins!AG:AG,MATCH('001_population_health_zone_zs'!$B$2,[1]ratio_ins!$B:$B,0))*$G178*INDEX([1]ratio_ins!$D:$D,MATCH('001_population_health_zone_zs'!$B178,[1]ratio_ins!$B:$B,0))</f>
        <v>165.21541759999999</v>
      </c>
      <c r="AK178" s="10">
        <f>INDEX([1]ratio_ins!AH:AH,MATCH('001_population_health_zone_zs'!$B$2,[1]ratio_ins!$B:$B,0))*$G178*INDEX([1]ratio_ins!$D:$D,MATCH('001_population_health_zone_zs'!$B178,[1]ratio_ins!$B:$B,0))</f>
        <v>368.25123200000007</v>
      </c>
      <c r="AL178" s="10">
        <f>INDEX([1]ratio_ins!AI:AI,MATCH('001_population_health_zone_zs'!$B$2,[1]ratio_ins!$B:$B,0))*$G178*INDEX([1]ratio_ins!$D:$D,MATCH('001_population_health_zone_zs'!$B178,[1]ratio_ins!$B:$B,0))</f>
        <v>348.34576000000004</v>
      </c>
      <c r="AM178" s="10">
        <f>INDEX([1]ratio_ins!AJ:AJ,MATCH('001_population_health_zone_zs'!$B$2,[1]ratio_ins!$B:$B,0))*$G178*INDEX([1]ratio_ins!$D:$D,MATCH('001_population_health_zone_zs'!$B178,[1]ratio_ins!$B:$B,0))</f>
        <v>318.48755199999999</v>
      </c>
      <c r="AN178" s="10">
        <f>INDEX([1]ratio_ins!AK:AK,MATCH('001_population_health_zone_zs'!$B$2,[1]ratio_ins!$B:$B,0))*$G178*INDEX([1]ratio_ins!$D:$D,MATCH('001_population_health_zone_zs'!$B178,[1]ratio_ins!$B:$B,0))</f>
        <v>298.58208000000002</v>
      </c>
      <c r="AO178" s="10">
        <f>INDEX([1]ratio_ins!AL:AL,MATCH('001_population_health_zone_zs'!$B$2,[1]ratio_ins!$B:$B,0))*$G178*INDEX([1]ratio_ins!$D:$D,MATCH('001_population_health_zone_zs'!$B178,[1]ratio_ins!$B:$B,0))</f>
        <v>223.93655999999999</v>
      </c>
      <c r="AP178" s="10">
        <f>INDEX([1]ratio_ins!AM:AM,MATCH('001_population_health_zone_zs'!$B$2,[1]ratio_ins!$B:$B,0))*$G178*INDEX([1]ratio_ins!$D:$D,MATCH('001_population_health_zone_zs'!$B178,[1]ratio_ins!$B:$B,0))</f>
        <v>144.314672</v>
      </c>
      <c r="AQ178" s="10">
        <f>INDEX([1]ratio_ins!AN:AN,MATCH('001_population_health_zone_zs'!$B$2,[1]ratio_ins!$B:$B,0))*$G178*INDEX([1]ratio_ins!$D:$D,MATCH('001_population_health_zone_zs'!$B178,[1]ratio_ins!$B:$B,0))</f>
        <v>114.456464</v>
      </c>
      <c r="AR178" s="10">
        <f>INDEX([1]ratio_ins!AO:AO,MATCH('001_population_health_zone_zs'!$B$2,[1]ratio_ins!$B:$B,0))*$G178*INDEX([1]ratio_ins!$D:$D,MATCH('001_population_health_zone_zs'!$B178,[1]ratio_ins!$B:$B,0))</f>
        <v>54.740048000000009</v>
      </c>
      <c r="AS178" s="13">
        <f>INDEX([1]ratio_ins!AP:AP,MATCH('001_population_health_zone_zs'!$B$2,[1]ratio_ins!$B:$B,0))*$G178*INDEX([1]ratio_ins!$D:$D,MATCH('001_population_health_zone_zs'!$B178,[1]ratio_ins!$B:$B,0))</f>
        <v>2036.3297856000002</v>
      </c>
      <c r="AT178" s="10">
        <f>INDEX([1]ratio_ins!AQ:AQ,MATCH('001_population_health_zone_zs'!$B$2,[1]ratio_ins!$B:$B,0))*$G178*INDEX([1]ratio_ins!$D:$D,MATCH('001_population_health_zone_zs'!$B178,[1]ratio_ins!$B:$B,0))</f>
        <v>49.763680000000008</v>
      </c>
      <c r="AU178" s="10">
        <f>INDEX([1]ratio_ins!AR:AR,MATCH('001_population_health_zone_zs'!$B$2,[1]ratio_ins!$B:$B,0))*$G178*INDEX([1]ratio_ins!$D:$D,MATCH('001_population_health_zone_zs'!$B178,[1]ratio_ins!$B:$B,0))</f>
        <v>29.858208000000001</v>
      </c>
      <c r="AV178" s="10">
        <f>INDEX([1]ratio_ins!AS:AS,MATCH('001_population_health_zone_zs'!$B$2,[1]ratio_ins!$B:$B,0))*$G178*INDEX([1]ratio_ins!$D:$D,MATCH('001_population_health_zone_zs'!$B178,[1]ratio_ins!$B:$B,0))</f>
        <v>14.929104000000001</v>
      </c>
      <c r="AW178" s="10">
        <f>INDEX([1]ratio_ins!AT:AT,MATCH('001_population_health_zone_zs'!$B$2,[1]ratio_ins!$B:$B,0))*$G178*INDEX([1]ratio_ins!$D:$D,MATCH('001_population_health_zone_zs'!$B178,[1]ratio_ins!$B:$B,0))</f>
        <v>9.9527359999999998</v>
      </c>
      <c r="AX178" s="13">
        <f>INDEX([1]ratio_ins!AU:AU,MATCH('001_population_health_zone_zs'!$B$2,[1]ratio_ins!$B:$B,0))*$G178*INDEX([1]ratio_ins!$D:$D,MATCH('001_population_health_zone_zs'!$B178,[1]ratio_ins!$B:$B,0))</f>
        <v>104.503728</v>
      </c>
      <c r="AY178" s="14">
        <f t="shared" si="13"/>
        <v>4976.3679999999995</v>
      </c>
      <c r="AZ178" s="15">
        <f t="shared" si="14"/>
        <v>9796</v>
      </c>
      <c r="BA178" s="16">
        <v>9472.48175979193</v>
      </c>
      <c r="BB178" s="10">
        <f t="shared" si="15"/>
        <v>2114.9564000000005</v>
      </c>
      <c r="BC178" s="17">
        <f t="shared" si="16"/>
        <v>0.21590000000000004</v>
      </c>
      <c r="BD178" s="10">
        <f t="shared" si="17"/>
        <v>2009.7865440000003</v>
      </c>
    </row>
    <row r="179" spans="1:56" x14ac:dyDescent="0.25">
      <c r="A179" s="8" t="s">
        <v>438</v>
      </c>
      <c r="B179" s="8" t="s">
        <v>439</v>
      </c>
      <c r="C179" s="8" t="s">
        <v>445</v>
      </c>
      <c r="D179" s="8" t="s">
        <v>446</v>
      </c>
      <c r="E179" s="8" t="s">
        <v>445</v>
      </c>
      <c r="F179" s="8" t="s">
        <v>447</v>
      </c>
      <c r="G179" s="9">
        <v>182120</v>
      </c>
      <c r="H179" s="10">
        <f>INDEX([1]ratio_ins!F:F,MATCH('001_population_health_zone_zs'!$B$2,[1]ratio_ins!$B:$B,0))*$G179*INDEX([1]ratio_ins!$C:$C,MATCH('001_population_health_zone_zs'!$B179,[1]ratio_ins!$B:$B,0))</f>
        <v>18727.035360000002</v>
      </c>
      <c r="I179" s="10">
        <f>INDEX([1]ratio_ins!G:G,MATCH('001_population_health_zone_zs'!$B$2,[1]ratio_ins!$B:$B,0))*$G179*INDEX([1]ratio_ins!$C:$C,MATCH('001_population_health_zone_zs'!$B179,[1]ratio_ins!$B:$B,0))</f>
        <v>15322.119840000003</v>
      </c>
      <c r="J179" s="10">
        <f>INDEX([1]ratio_ins!H:H,MATCH('001_population_health_zone_zs'!$B$2,[1]ratio_ins!$B:$B,0))*$G179*INDEX([1]ratio_ins!$C:$C,MATCH('001_population_health_zone_zs'!$B179,[1]ratio_ins!$B:$B,0))</f>
        <v>12096.410400000001</v>
      </c>
      <c r="K179" s="10">
        <f>INDEX([1]ratio_ins!I:I,MATCH('001_population_health_zone_zs'!$B$2,[1]ratio_ins!$B:$B,0))*$G179*INDEX([1]ratio_ins!$C:$C,MATCH('001_population_health_zone_zs'!$B179,[1]ratio_ins!$B:$B,0))</f>
        <v>7437.0523200000016</v>
      </c>
      <c r="L179" s="10">
        <f>INDEX([1]ratio_ins!J:J,MATCH('001_population_health_zone_zs'!$B$2,[1]ratio_ins!$B:$B,0))*$G179*INDEX([1]ratio_ins!$C:$C,MATCH('001_population_health_zone_zs'!$B179,[1]ratio_ins!$B:$B,0))</f>
        <v>4462.2313919999997</v>
      </c>
      <c r="M179" s="11">
        <f>INDEX([1]ratio_ins!K:K,MATCH('001_population_health_zone_zs'!$B$2,[1]ratio_ins!$B:$B,0))*$G179*INDEX([1]ratio_ins!$C:$C,MATCH('001_population_health_zone_zs'!$B179,[1]ratio_ins!$B:$B,0))</f>
        <v>50607.796992000003</v>
      </c>
      <c r="N179" s="10">
        <f>INDEX([1]ratio_ins!L:L,MATCH('001_population_health_zone_zs'!$B$2,[1]ratio_ins!$B:$B,0))*$G179*INDEX([1]ratio_ins!$C:$C,MATCH('001_population_health_zone_zs'!$B179,[1]ratio_ins!$B:$B,0))</f>
        <v>2974.8209280000001</v>
      </c>
      <c r="O179" s="10">
        <f>INDEX([1]ratio_ins!M:M,MATCH('001_population_health_zone_zs'!$B$2,[1]ratio_ins!$B:$B,0))*$G179*INDEX([1]ratio_ins!$C:$C,MATCH('001_population_health_zone_zs'!$B179,[1]ratio_ins!$B:$B,0))</f>
        <v>6451.4188800000011</v>
      </c>
      <c r="P179" s="10">
        <f>INDEX([1]ratio_ins!N:N,MATCH('001_population_health_zone_zs'!$B$2,[1]ratio_ins!$B:$B,0))*$G179*INDEX([1]ratio_ins!$C:$C,MATCH('001_population_health_zone_zs'!$B179,[1]ratio_ins!$B:$B,0))</f>
        <v>5824.1976000000013</v>
      </c>
      <c r="Q179" s="10">
        <f>INDEX([1]ratio_ins!O:O,MATCH('001_population_health_zone_zs'!$B$2,[1]ratio_ins!$B:$B,0))*$G179*INDEX([1]ratio_ins!$C:$C,MATCH('001_population_health_zone_zs'!$B179,[1]ratio_ins!$B:$B,0))</f>
        <v>5196.9763199999998</v>
      </c>
      <c r="R179" s="10">
        <f>INDEX([1]ratio_ins!P:P,MATCH('001_population_health_zone_zs'!$B$2,[1]ratio_ins!$B:$B,0))*$G179*INDEX([1]ratio_ins!$C:$C,MATCH('001_population_health_zone_zs'!$B179,[1]ratio_ins!$B:$B,0))</f>
        <v>5107.3732800000007</v>
      </c>
      <c r="S179" s="10">
        <f>INDEX([1]ratio_ins!Q:Q,MATCH('001_population_health_zone_zs'!$B$2,[1]ratio_ins!$B:$B,0))*$G179*INDEX([1]ratio_ins!$C:$C,MATCH('001_population_health_zone_zs'!$B179,[1]ratio_ins!$B:$B,0))</f>
        <v>4300.9459200000001</v>
      </c>
      <c r="T179" s="10">
        <f>INDEX([1]ratio_ins!R:R,MATCH('001_population_health_zone_zs'!$B$2,[1]ratio_ins!$B:$B,0))*$G179*INDEX([1]ratio_ins!$C:$C,MATCH('001_population_health_zone_zs'!$B179,[1]ratio_ins!$B:$B,0))</f>
        <v>3046.5033600000006</v>
      </c>
      <c r="U179" s="10">
        <f>INDEX([1]ratio_ins!S:S,MATCH('001_population_health_zone_zs'!$B$2,[1]ratio_ins!$B:$B,0))*$G179*INDEX([1]ratio_ins!$C:$C,MATCH('001_population_health_zone_zs'!$B179,[1]ratio_ins!$B:$B,0))</f>
        <v>2419.2820800000004</v>
      </c>
      <c r="V179" s="10">
        <f>INDEX([1]ratio_ins!T:T,MATCH('001_population_health_zone_zs'!$B$2,[1]ratio_ins!$B:$B,0))*$G179*INDEX([1]ratio_ins!$C:$C,MATCH('001_population_health_zone_zs'!$B179,[1]ratio_ins!$B:$B,0))</f>
        <v>1344.0455999999999</v>
      </c>
      <c r="W179" s="11">
        <f>INDEX([1]ratio_ins!U:U,MATCH('001_population_health_zone_zs'!$B$2,[1]ratio_ins!$B:$B,0))*$G179*INDEX([1]ratio_ins!$C:$C,MATCH('001_population_health_zone_zs'!$B179,[1]ratio_ins!$B:$B,0))</f>
        <v>36665.563968000002</v>
      </c>
      <c r="X179" s="10">
        <f>INDEX([1]ratio_ins!V:V,MATCH('001_population_health_zone_zs'!$B$2,[1]ratio_ins!$B:$B,0))*$G179*INDEX([1]ratio_ins!$C:$C,MATCH('001_population_health_zone_zs'!$B179,[1]ratio_ins!$B:$B,0))</f>
        <v>1075.23648</v>
      </c>
      <c r="Y179" s="10">
        <f>INDEX([1]ratio_ins!W:W,MATCH('001_population_health_zone_zs'!$B$2,[1]ratio_ins!$B:$B,0))*$G179*INDEX([1]ratio_ins!$C:$C,MATCH('001_population_health_zone_zs'!$B179,[1]ratio_ins!$B:$B,0))</f>
        <v>716.82432000000006</v>
      </c>
      <c r="Z179" s="10">
        <f>INDEX([1]ratio_ins!X:X,MATCH('001_population_health_zone_zs'!$B$2,[1]ratio_ins!$B:$B,0))*$G179*INDEX([1]ratio_ins!$C:$C,MATCH('001_population_health_zone_zs'!$B179,[1]ratio_ins!$B:$B,0))</f>
        <v>358.41216000000003</v>
      </c>
      <c r="AA179" s="10">
        <f>INDEX([1]ratio_ins!Y:Y,MATCH('001_population_health_zone_zs'!$B$2,[1]ratio_ins!$B:$B,0))*$G179*INDEX([1]ratio_ins!$C:$C,MATCH('001_population_health_zone_zs'!$B179,[1]ratio_ins!$B:$B,0))</f>
        <v>179.20608000000001</v>
      </c>
      <c r="AB179" s="11">
        <f>INDEX([1]ratio_ins!Z:Z,MATCH('001_population_health_zone_zs'!$B$2,[1]ratio_ins!$B:$B,0))*$G179*INDEX([1]ratio_ins!$C:$C,MATCH('001_population_health_zone_zs'!$B179,[1]ratio_ins!$B:$B,0))</f>
        <v>2329.6790400000004</v>
      </c>
      <c r="AC179" s="12">
        <f t="shared" si="12"/>
        <v>89603.040000000008</v>
      </c>
      <c r="AD179" s="10">
        <f>INDEX([1]ratio_ins!AA:AA,MATCH('001_population_health_zone_zs'!$B$2,[1]ratio_ins!$B:$B,0))*$G179*INDEX([1]ratio_ins!$D:$D,MATCH('001_population_health_zone_zs'!$B179,[1]ratio_ins!$B:$B,0))</f>
        <v>19428.561599999997</v>
      </c>
      <c r="AE179" s="10">
        <f>INDEX([1]ratio_ins!AB:AB,MATCH('001_population_health_zone_zs'!$B$2,[1]ratio_ins!$B:$B,0))*$G179*INDEX([1]ratio_ins!$D:$D,MATCH('001_population_health_zone_zs'!$B179,[1]ratio_ins!$B:$B,0))</f>
        <v>16005.434080000001</v>
      </c>
      <c r="AF179" s="10">
        <f>INDEX([1]ratio_ins!AC:AC,MATCH('001_population_health_zone_zs'!$B$2,[1]ratio_ins!$B:$B,0))*$G179*INDEX([1]ratio_ins!$D:$D,MATCH('001_population_health_zone_zs'!$B179,[1]ratio_ins!$B:$B,0))</f>
        <v>12674.82352</v>
      </c>
      <c r="AG179" s="10">
        <f>INDEX([1]ratio_ins!AD:AD,MATCH('001_population_health_zone_zs'!$B$2,[1]ratio_ins!$B:$B,0))*$G179*INDEX([1]ratio_ins!$D:$D,MATCH('001_population_health_zone_zs'!$B179,[1]ratio_ins!$B:$B,0))</f>
        <v>7678.9076800000003</v>
      </c>
      <c r="AH179" s="10">
        <f>INDEX([1]ratio_ins!AE:AE,MATCH('001_population_health_zone_zs'!$B$2,[1]ratio_ins!$B:$B,0))*$G179*INDEX([1]ratio_ins!$D:$D,MATCH('001_population_health_zone_zs'!$B179,[1]ratio_ins!$B:$B,0))</f>
        <v>4607.3446079999994</v>
      </c>
      <c r="AI179" s="13">
        <f>INDEX([1]ratio_ins!AF:AF,MATCH('001_population_health_zone_zs'!$B$2,[1]ratio_ins!$B:$B,0))*$G179*INDEX([1]ratio_ins!$D:$D,MATCH('001_population_health_zone_zs'!$B179,[1]ratio_ins!$B:$B,0))</f>
        <v>52716.163807999998</v>
      </c>
      <c r="AJ179" s="10">
        <f>INDEX([1]ratio_ins!AG:AG,MATCH('001_population_health_zone_zs'!$B$2,[1]ratio_ins!$B:$B,0))*$G179*INDEX([1]ratio_ins!$D:$D,MATCH('001_population_health_zone_zs'!$B179,[1]ratio_ins!$B:$B,0))</f>
        <v>3071.5630719999999</v>
      </c>
      <c r="AK179" s="10">
        <f>INDEX([1]ratio_ins!AH:AH,MATCH('001_population_health_zone_zs'!$B$2,[1]ratio_ins!$B:$B,0))*$G179*INDEX([1]ratio_ins!$D:$D,MATCH('001_population_health_zone_zs'!$B179,[1]ratio_ins!$B:$B,0))</f>
        <v>6846.2550400000009</v>
      </c>
      <c r="AL179" s="10">
        <f>INDEX([1]ratio_ins!AI:AI,MATCH('001_population_health_zone_zs'!$B$2,[1]ratio_ins!$B:$B,0))*$G179*INDEX([1]ratio_ins!$D:$D,MATCH('001_population_health_zone_zs'!$B179,[1]ratio_ins!$B:$B,0))</f>
        <v>6476.1872000000012</v>
      </c>
      <c r="AM179" s="10">
        <f>INDEX([1]ratio_ins!AJ:AJ,MATCH('001_population_health_zone_zs'!$B$2,[1]ratio_ins!$B:$B,0))*$G179*INDEX([1]ratio_ins!$D:$D,MATCH('001_population_health_zone_zs'!$B179,[1]ratio_ins!$B:$B,0))</f>
        <v>5921.0854399999998</v>
      </c>
      <c r="AN179" s="10">
        <f>INDEX([1]ratio_ins!AK:AK,MATCH('001_population_health_zone_zs'!$B$2,[1]ratio_ins!$B:$B,0))*$G179*INDEX([1]ratio_ins!$D:$D,MATCH('001_population_health_zone_zs'!$B179,[1]ratio_ins!$B:$B,0))</f>
        <v>5551.0175999999992</v>
      </c>
      <c r="AO179" s="10">
        <f>INDEX([1]ratio_ins!AL:AL,MATCH('001_population_health_zone_zs'!$B$2,[1]ratio_ins!$B:$B,0))*$G179*INDEX([1]ratio_ins!$D:$D,MATCH('001_population_health_zone_zs'!$B179,[1]ratio_ins!$B:$B,0))</f>
        <v>4163.2632000000003</v>
      </c>
      <c r="AP179" s="10">
        <f>INDEX([1]ratio_ins!AM:AM,MATCH('001_population_health_zone_zs'!$B$2,[1]ratio_ins!$B:$B,0))*$G179*INDEX([1]ratio_ins!$D:$D,MATCH('001_population_health_zone_zs'!$B179,[1]ratio_ins!$B:$B,0))</f>
        <v>2682.9918399999997</v>
      </c>
      <c r="AQ179" s="10">
        <f>INDEX([1]ratio_ins!AN:AN,MATCH('001_population_health_zone_zs'!$B$2,[1]ratio_ins!$B:$B,0))*$G179*INDEX([1]ratio_ins!$D:$D,MATCH('001_population_health_zone_zs'!$B179,[1]ratio_ins!$B:$B,0))</f>
        <v>2127.8900800000001</v>
      </c>
      <c r="AR179" s="10">
        <f>INDEX([1]ratio_ins!AO:AO,MATCH('001_population_health_zone_zs'!$B$2,[1]ratio_ins!$B:$B,0))*$G179*INDEX([1]ratio_ins!$D:$D,MATCH('001_population_health_zone_zs'!$B179,[1]ratio_ins!$B:$B,0))</f>
        <v>1017.6865600000001</v>
      </c>
      <c r="AS179" s="13">
        <f>INDEX([1]ratio_ins!AP:AP,MATCH('001_population_health_zone_zs'!$B$2,[1]ratio_ins!$B:$B,0))*$G179*INDEX([1]ratio_ins!$D:$D,MATCH('001_population_health_zone_zs'!$B179,[1]ratio_ins!$B:$B,0))</f>
        <v>37857.940031999999</v>
      </c>
      <c r="AT179" s="10">
        <f>INDEX([1]ratio_ins!AQ:AQ,MATCH('001_population_health_zone_zs'!$B$2,[1]ratio_ins!$B:$B,0))*$G179*INDEX([1]ratio_ins!$D:$D,MATCH('001_population_health_zone_zs'!$B179,[1]ratio_ins!$B:$B,0))</f>
        <v>925.16960000000006</v>
      </c>
      <c r="AU179" s="10">
        <f>INDEX([1]ratio_ins!AR:AR,MATCH('001_population_health_zone_zs'!$B$2,[1]ratio_ins!$B:$B,0))*$G179*INDEX([1]ratio_ins!$D:$D,MATCH('001_population_health_zone_zs'!$B179,[1]ratio_ins!$B:$B,0))</f>
        <v>555.10176000000001</v>
      </c>
      <c r="AV179" s="10">
        <f>INDEX([1]ratio_ins!AS:AS,MATCH('001_population_health_zone_zs'!$B$2,[1]ratio_ins!$B:$B,0))*$G179*INDEX([1]ratio_ins!$D:$D,MATCH('001_population_health_zone_zs'!$B179,[1]ratio_ins!$B:$B,0))</f>
        <v>277.55088000000001</v>
      </c>
      <c r="AW179" s="10">
        <f>INDEX([1]ratio_ins!AT:AT,MATCH('001_population_health_zone_zs'!$B$2,[1]ratio_ins!$B:$B,0))*$G179*INDEX([1]ratio_ins!$D:$D,MATCH('001_population_health_zone_zs'!$B179,[1]ratio_ins!$B:$B,0))</f>
        <v>185.03391999999999</v>
      </c>
      <c r="AX179" s="13">
        <f>INDEX([1]ratio_ins!AU:AU,MATCH('001_population_health_zone_zs'!$B$2,[1]ratio_ins!$B:$B,0))*$G179*INDEX([1]ratio_ins!$D:$D,MATCH('001_population_health_zone_zs'!$B179,[1]ratio_ins!$B:$B,0))</f>
        <v>1942.8561599999998</v>
      </c>
      <c r="AY179" s="14">
        <f t="shared" si="13"/>
        <v>92516.959999999992</v>
      </c>
      <c r="AZ179" s="15">
        <f t="shared" si="14"/>
        <v>182120</v>
      </c>
      <c r="BA179" s="16">
        <v>176113.6058386486</v>
      </c>
      <c r="BB179" s="10">
        <f t="shared" si="15"/>
        <v>39319.707999999999</v>
      </c>
      <c r="BC179" s="17">
        <f t="shared" si="16"/>
        <v>0.21589999999999998</v>
      </c>
      <c r="BD179" s="10">
        <f t="shared" si="17"/>
        <v>37364.467680000002</v>
      </c>
    </row>
    <row r="180" spans="1:56" x14ac:dyDescent="0.25">
      <c r="A180" s="8" t="s">
        <v>438</v>
      </c>
      <c r="B180" s="8" t="s">
        <v>439</v>
      </c>
      <c r="C180" s="8" t="s">
        <v>445</v>
      </c>
      <c r="D180" s="8" t="s">
        <v>446</v>
      </c>
      <c r="E180" s="8" t="s">
        <v>448</v>
      </c>
      <c r="F180" s="8" t="s">
        <v>449</v>
      </c>
      <c r="G180" s="9">
        <v>146377</v>
      </c>
      <c r="H180" s="10">
        <f>INDEX([1]ratio_ins!F:F,MATCH('001_population_health_zone_zs'!$B$2,[1]ratio_ins!$B:$B,0))*$G180*INDEX([1]ratio_ins!$C:$C,MATCH('001_population_health_zone_zs'!$B180,[1]ratio_ins!$B:$B,0))</f>
        <v>15051.654156000001</v>
      </c>
      <c r="I180" s="10">
        <f>INDEX([1]ratio_ins!G:G,MATCH('001_population_health_zone_zs'!$B$2,[1]ratio_ins!$B:$B,0))*$G180*INDEX([1]ratio_ins!$C:$C,MATCH('001_population_health_zone_zs'!$B180,[1]ratio_ins!$B:$B,0))</f>
        <v>12314.989764000002</v>
      </c>
      <c r="J180" s="10">
        <f>INDEX([1]ratio_ins!H:H,MATCH('001_population_health_zone_zs'!$B$2,[1]ratio_ins!$B:$B,0))*$G180*INDEX([1]ratio_ins!$C:$C,MATCH('001_population_health_zone_zs'!$B180,[1]ratio_ins!$B:$B,0))</f>
        <v>9722.3603400000011</v>
      </c>
      <c r="K180" s="10">
        <f>INDEX([1]ratio_ins!I:I,MATCH('001_population_health_zone_zs'!$B$2,[1]ratio_ins!$B:$B,0))*$G180*INDEX([1]ratio_ins!$C:$C,MATCH('001_population_health_zone_zs'!$B180,[1]ratio_ins!$B:$B,0))</f>
        <v>5977.451172000001</v>
      </c>
      <c r="L180" s="10">
        <f>INDEX([1]ratio_ins!J:J,MATCH('001_population_health_zone_zs'!$B$2,[1]ratio_ins!$B:$B,0))*$G180*INDEX([1]ratio_ins!$C:$C,MATCH('001_population_health_zone_zs'!$B180,[1]ratio_ins!$B:$B,0))</f>
        <v>3586.4707032000001</v>
      </c>
      <c r="M180" s="11">
        <f>INDEX([1]ratio_ins!K:K,MATCH('001_population_health_zone_zs'!$B$2,[1]ratio_ins!$B:$B,0))*$G180*INDEX([1]ratio_ins!$C:$C,MATCH('001_population_health_zone_zs'!$B180,[1]ratio_ins!$B:$B,0))</f>
        <v>40675.474963200002</v>
      </c>
      <c r="N180" s="10">
        <f>INDEX([1]ratio_ins!L:L,MATCH('001_population_health_zone_zs'!$B$2,[1]ratio_ins!$B:$B,0))*$G180*INDEX([1]ratio_ins!$C:$C,MATCH('001_population_health_zone_zs'!$B180,[1]ratio_ins!$B:$B,0))</f>
        <v>2390.9804688000004</v>
      </c>
      <c r="O180" s="10">
        <f>INDEX([1]ratio_ins!M:M,MATCH('001_population_health_zone_zs'!$B$2,[1]ratio_ins!$B:$B,0))*$G180*INDEX([1]ratio_ins!$C:$C,MATCH('001_population_health_zone_zs'!$B180,[1]ratio_ins!$B:$B,0))</f>
        <v>5185.2588480000013</v>
      </c>
      <c r="P180" s="10">
        <f>INDEX([1]ratio_ins!N:N,MATCH('001_population_health_zone_zs'!$B$2,[1]ratio_ins!$B:$B,0))*$G180*INDEX([1]ratio_ins!$C:$C,MATCH('001_population_health_zone_zs'!$B180,[1]ratio_ins!$B:$B,0))</f>
        <v>4681.1364600000006</v>
      </c>
      <c r="Q180" s="10">
        <f>INDEX([1]ratio_ins!O:O,MATCH('001_population_health_zone_zs'!$B$2,[1]ratio_ins!$B:$B,0))*$G180*INDEX([1]ratio_ins!$C:$C,MATCH('001_population_health_zone_zs'!$B180,[1]ratio_ins!$B:$B,0))</f>
        <v>4177.0140720000009</v>
      </c>
      <c r="R180" s="10">
        <f>INDEX([1]ratio_ins!P:P,MATCH('001_population_health_zone_zs'!$B$2,[1]ratio_ins!$B:$B,0))*$G180*INDEX([1]ratio_ins!$C:$C,MATCH('001_population_health_zone_zs'!$B180,[1]ratio_ins!$B:$B,0))</f>
        <v>4104.996588</v>
      </c>
      <c r="S180" s="10">
        <f>INDEX([1]ratio_ins!Q:Q,MATCH('001_population_health_zone_zs'!$B$2,[1]ratio_ins!$B:$B,0))*$G180*INDEX([1]ratio_ins!$C:$C,MATCH('001_population_health_zone_zs'!$B180,[1]ratio_ins!$B:$B,0))</f>
        <v>3456.8392320000007</v>
      </c>
      <c r="T180" s="10">
        <f>INDEX([1]ratio_ins!R:R,MATCH('001_population_health_zone_zs'!$B$2,[1]ratio_ins!$B:$B,0))*$G180*INDEX([1]ratio_ins!$C:$C,MATCH('001_population_health_zone_zs'!$B180,[1]ratio_ins!$B:$B,0))</f>
        <v>2448.5944560000003</v>
      </c>
      <c r="U180" s="10">
        <f>INDEX([1]ratio_ins!S:S,MATCH('001_population_health_zone_zs'!$B$2,[1]ratio_ins!$B:$B,0))*$G180*INDEX([1]ratio_ins!$C:$C,MATCH('001_population_health_zone_zs'!$B180,[1]ratio_ins!$B:$B,0))</f>
        <v>1944.4720680000005</v>
      </c>
      <c r="V180" s="10">
        <f>INDEX([1]ratio_ins!T:T,MATCH('001_population_health_zone_zs'!$B$2,[1]ratio_ins!$B:$B,0))*$G180*INDEX([1]ratio_ins!$C:$C,MATCH('001_population_health_zone_zs'!$B180,[1]ratio_ins!$B:$B,0))</f>
        <v>1080.26226</v>
      </c>
      <c r="W180" s="11">
        <f>INDEX([1]ratio_ins!U:U,MATCH('001_population_health_zone_zs'!$B$2,[1]ratio_ins!$B:$B,0))*$G180*INDEX([1]ratio_ins!$C:$C,MATCH('001_population_health_zone_zs'!$B180,[1]ratio_ins!$B:$B,0))</f>
        <v>29469.554452800003</v>
      </c>
      <c r="X180" s="10">
        <f>INDEX([1]ratio_ins!V:V,MATCH('001_population_health_zone_zs'!$B$2,[1]ratio_ins!$B:$B,0))*$G180*INDEX([1]ratio_ins!$C:$C,MATCH('001_population_health_zone_zs'!$B180,[1]ratio_ins!$B:$B,0))</f>
        <v>864.20980800000018</v>
      </c>
      <c r="Y180" s="10">
        <f>INDEX([1]ratio_ins!W:W,MATCH('001_population_health_zone_zs'!$B$2,[1]ratio_ins!$B:$B,0))*$G180*INDEX([1]ratio_ins!$C:$C,MATCH('001_population_health_zone_zs'!$B180,[1]ratio_ins!$B:$B,0))</f>
        <v>576.13987200000008</v>
      </c>
      <c r="Z180" s="10">
        <f>INDEX([1]ratio_ins!X:X,MATCH('001_population_health_zone_zs'!$B$2,[1]ratio_ins!$B:$B,0))*$G180*INDEX([1]ratio_ins!$C:$C,MATCH('001_population_health_zone_zs'!$B180,[1]ratio_ins!$B:$B,0))</f>
        <v>288.06993600000004</v>
      </c>
      <c r="AA180" s="10">
        <f>INDEX([1]ratio_ins!Y:Y,MATCH('001_population_health_zone_zs'!$B$2,[1]ratio_ins!$B:$B,0))*$G180*INDEX([1]ratio_ins!$C:$C,MATCH('001_population_health_zone_zs'!$B180,[1]ratio_ins!$B:$B,0))</f>
        <v>144.03496800000002</v>
      </c>
      <c r="AB180" s="11">
        <f>INDEX([1]ratio_ins!Z:Z,MATCH('001_population_health_zone_zs'!$B$2,[1]ratio_ins!$B:$B,0))*$G180*INDEX([1]ratio_ins!$C:$C,MATCH('001_population_health_zone_zs'!$B180,[1]ratio_ins!$B:$B,0))</f>
        <v>1872.4545840000003</v>
      </c>
      <c r="AC180" s="12">
        <f t="shared" si="12"/>
        <v>72017.484000000011</v>
      </c>
      <c r="AD180" s="10">
        <f>INDEX([1]ratio_ins!AA:AA,MATCH('001_population_health_zone_zs'!$B$2,[1]ratio_ins!$B:$B,0))*$G180*INDEX([1]ratio_ins!$D:$D,MATCH('001_population_health_zone_zs'!$B180,[1]ratio_ins!$B:$B,0))</f>
        <v>15615.49836</v>
      </c>
      <c r="AE180" s="10">
        <f>INDEX([1]ratio_ins!AB:AB,MATCH('001_population_health_zone_zs'!$B$2,[1]ratio_ins!$B:$B,0))*$G180*INDEX([1]ratio_ins!$D:$D,MATCH('001_population_health_zone_zs'!$B180,[1]ratio_ins!$B:$B,0))</f>
        <v>12864.196268000002</v>
      </c>
      <c r="AF180" s="10">
        <f>INDEX([1]ratio_ins!AC:AC,MATCH('001_population_health_zone_zs'!$B$2,[1]ratio_ins!$B:$B,0))*$G180*INDEX([1]ratio_ins!$D:$D,MATCH('001_population_health_zone_zs'!$B180,[1]ratio_ins!$B:$B,0))</f>
        <v>10187.253691999998</v>
      </c>
      <c r="AG180" s="10">
        <f>INDEX([1]ratio_ins!AD:AD,MATCH('001_population_health_zone_zs'!$B$2,[1]ratio_ins!$B:$B,0))*$G180*INDEX([1]ratio_ins!$D:$D,MATCH('001_population_health_zone_zs'!$B180,[1]ratio_ins!$B:$B,0))</f>
        <v>6171.839828000001</v>
      </c>
      <c r="AH180" s="10">
        <f>INDEX([1]ratio_ins!AE:AE,MATCH('001_population_health_zone_zs'!$B$2,[1]ratio_ins!$B:$B,0))*$G180*INDEX([1]ratio_ins!$D:$D,MATCH('001_population_health_zone_zs'!$B180,[1]ratio_ins!$B:$B,0))</f>
        <v>3703.1038967999998</v>
      </c>
      <c r="AI180" s="13">
        <f>INDEX([1]ratio_ins!AF:AF,MATCH('001_population_health_zone_zs'!$B$2,[1]ratio_ins!$B:$B,0))*$G180*INDEX([1]ratio_ins!$D:$D,MATCH('001_population_health_zone_zs'!$B180,[1]ratio_ins!$B:$B,0))</f>
        <v>42370.052216800002</v>
      </c>
      <c r="AJ180" s="10">
        <f>INDEX([1]ratio_ins!AG:AG,MATCH('001_population_health_zone_zs'!$B$2,[1]ratio_ins!$B:$B,0))*$G180*INDEX([1]ratio_ins!$D:$D,MATCH('001_population_health_zone_zs'!$B180,[1]ratio_ins!$B:$B,0))</f>
        <v>2468.7359312000003</v>
      </c>
      <c r="AK180" s="10">
        <f>INDEX([1]ratio_ins!AH:AH,MATCH('001_population_health_zone_zs'!$B$2,[1]ratio_ins!$B:$B,0))*$G180*INDEX([1]ratio_ins!$D:$D,MATCH('001_population_health_zone_zs'!$B180,[1]ratio_ins!$B:$B,0))</f>
        <v>5502.6041840000007</v>
      </c>
      <c r="AL180" s="10">
        <f>INDEX([1]ratio_ins!AI:AI,MATCH('001_population_health_zone_zs'!$B$2,[1]ratio_ins!$B:$B,0))*$G180*INDEX([1]ratio_ins!$D:$D,MATCH('001_population_health_zone_zs'!$B180,[1]ratio_ins!$B:$B,0))</f>
        <v>5205.1661200000008</v>
      </c>
      <c r="AM180" s="10">
        <f>INDEX([1]ratio_ins!AJ:AJ,MATCH('001_population_health_zone_zs'!$B$2,[1]ratio_ins!$B:$B,0))*$G180*INDEX([1]ratio_ins!$D:$D,MATCH('001_population_health_zone_zs'!$B180,[1]ratio_ins!$B:$B,0))</f>
        <v>4759.009024</v>
      </c>
      <c r="AN180" s="10">
        <f>INDEX([1]ratio_ins!AK:AK,MATCH('001_population_health_zone_zs'!$B$2,[1]ratio_ins!$B:$B,0))*$G180*INDEX([1]ratio_ins!$D:$D,MATCH('001_population_health_zone_zs'!$B180,[1]ratio_ins!$B:$B,0))</f>
        <v>4461.5709599999991</v>
      </c>
      <c r="AO180" s="10">
        <f>INDEX([1]ratio_ins!AL:AL,MATCH('001_population_health_zone_zs'!$B$2,[1]ratio_ins!$B:$B,0))*$G180*INDEX([1]ratio_ins!$D:$D,MATCH('001_population_health_zone_zs'!$B180,[1]ratio_ins!$B:$B,0))</f>
        <v>3346.1782200000002</v>
      </c>
      <c r="AP180" s="10">
        <f>INDEX([1]ratio_ins!AM:AM,MATCH('001_population_health_zone_zs'!$B$2,[1]ratio_ins!$B:$B,0))*$G180*INDEX([1]ratio_ins!$D:$D,MATCH('001_population_health_zone_zs'!$B180,[1]ratio_ins!$B:$B,0))</f>
        <v>2156.425964</v>
      </c>
      <c r="AQ180" s="10">
        <f>INDEX([1]ratio_ins!AN:AN,MATCH('001_population_health_zone_zs'!$B$2,[1]ratio_ins!$B:$B,0))*$G180*INDEX([1]ratio_ins!$D:$D,MATCH('001_population_health_zone_zs'!$B180,[1]ratio_ins!$B:$B,0))</f>
        <v>1710.2688679999999</v>
      </c>
      <c r="AR180" s="10">
        <f>INDEX([1]ratio_ins!AO:AO,MATCH('001_population_health_zone_zs'!$B$2,[1]ratio_ins!$B:$B,0))*$G180*INDEX([1]ratio_ins!$D:$D,MATCH('001_population_health_zone_zs'!$B180,[1]ratio_ins!$B:$B,0))</f>
        <v>817.95467600000006</v>
      </c>
      <c r="AS180" s="13">
        <f>INDEX([1]ratio_ins!AP:AP,MATCH('001_population_health_zone_zs'!$B$2,[1]ratio_ins!$B:$B,0))*$G180*INDEX([1]ratio_ins!$D:$D,MATCH('001_population_health_zone_zs'!$B180,[1]ratio_ins!$B:$B,0))</f>
        <v>30427.913947199999</v>
      </c>
      <c r="AT180" s="10">
        <f>INDEX([1]ratio_ins!AQ:AQ,MATCH('001_population_health_zone_zs'!$B$2,[1]ratio_ins!$B:$B,0))*$G180*INDEX([1]ratio_ins!$D:$D,MATCH('001_population_health_zone_zs'!$B180,[1]ratio_ins!$B:$B,0))</f>
        <v>743.59515999999996</v>
      </c>
      <c r="AU180" s="10">
        <f>INDEX([1]ratio_ins!AR:AR,MATCH('001_population_health_zone_zs'!$B$2,[1]ratio_ins!$B:$B,0))*$G180*INDEX([1]ratio_ins!$D:$D,MATCH('001_population_health_zone_zs'!$B180,[1]ratio_ins!$B:$B,0))</f>
        <v>446.15709600000002</v>
      </c>
      <c r="AV180" s="10">
        <f>INDEX([1]ratio_ins!AS:AS,MATCH('001_population_health_zone_zs'!$B$2,[1]ratio_ins!$B:$B,0))*$G180*INDEX([1]ratio_ins!$D:$D,MATCH('001_population_health_zone_zs'!$B180,[1]ratio_ins!$B:$B,0))</f>
        <v>223.07854800000001</v>
      </c>
      <c r="AW180" s="10">
        <f>INDEX([1]ratio_ins!AT:AT,MATCH('001_population_health_zone_zs'!$B$2,[1]ratio_ins!$B:$B,0))*$G180*INDEX([1]ratio_ins!$D:$D,MATCH('001_population_health_zone_zs'!$B180,[1]ratio_ins!$B:$B,0))</f>
        <v>148.719032</v>
      </c>
      <c r="AX180" s="13">
        <f>INDEX([1]ratio_ins!AU:AU,MATCH('001_population_health_zone_zs'!$B$2,[1]ratio_ins!$B:$B,0))*$G180*INDEX([1]ratio_ins!$D:$D,MATCH('001_population_health_zone_zs'!$B180,[1]ratio_ins!$B:$B,0))</f>
        <v>1561.5498359999997</v>
      </c>
      <c r="AY180" s="14">
        <f t="shared" si="13"/>
        <v>74359.516000000003</v>
      </c>
      <c r="AZ180" s="15">
        <f t="shared" si="14"/>
        <v>146377</v>
      </c>
      <c r="BA180" s="16">
        <v>141549.48327763742</v>
      </c>
      <c r="BB180" s="10">
        <f t="shared" si="15"/>
        <v>31602.794300000001</v>
      </c>
      <c r="BC180" s="17">
        <f t="shared" si="16"/>
        <v>0.21590000000000001</v>
      </c>
      <c r="BD180" s="10">
        <f t="shared" si="17"/>
        <v>30031.290828000008</v>
      </c>
    </row>
    <row r="181" spans="1:56" x14ac:dyDescent="0.25">
      <c r="A181" s="8" t="s">
        <v>438</v>
      </c>
      <c r="B181" s="8" t="s">
        <v>439</v>
      </c>
      <c r="C181" s="8" t="s">
        <v>450</v>
      </c>
      <c r="D181" s="8" t="s">
        <v>451</v>
      </c>
      <c r="E181" s="8" t="s">
        <v>450</v>
      </c>
      <c r="F181" s="8" t="s">
        <v>452</v>
      </c>
      <c r="G181" s="9">
        <v>241515</v>
      </c>
      <c r="H181" s="10">
        <f>INDEX([1]ratio_ins!F:F,MATCH('001_population_health_zone_zs'!$B$2,[1]ratio_ins!$B:$B,0))*$G181*INDEX([1]ratio_ins!$C:$C,MATCH('001_population_health_zone_zs'!$B181,[1]ratio_ins!$B:$B,0))</f>
        <v>24834.504420000001</v>
      </c>
      <c r="I181" s="10">
        <f>INDEX([1]ratio_ins!G:G,MATCH('001_population_health_zone_zs'!$B$2,[1]ratio_ins!$B:$B,0))*$G181*INDEX([1]ratio_ins!$C:$C,MATCH('001_population_health_zone_zs'!$B181,[1]ratio_ins!$B:$B,0))</f>
        <v>20319.139980000004</v>
      </c>
      <c r="J181" s="10">
        <f>INDEX([1]ratio_ins!H:H,MATCH('001_population_health_zone_zs'!$B$2,[1]ratio_ins!$B:$B,0))*$G181*INDEX([1]ratio_ins!$C:$C,MATCH('001_population_health_zone_zs'!$B181,[1]ratio_ins!$B:$B,0))</f>
        <v>16041.426300000003</v>
      </c>
      <c r="K181" s="10">
        <f>INDEX([1]ratio_ins!I:I,MATCH('001_population_health_zone_zs'!$B$2,[1]ratio_ins!$B:$B,0))*$G181*INDEX([1]ratio_ins!$C:$C,MATCH('001_population_health_zone_zs'!$B181,[1]ratio_ins!$B:$B,0))</f>
        <v>9862.5065400000021</v>
      </c>
      <c r="L181" s="10">
        <f>INDEX([1]ratio_ins!J:J,MATCH('001_population_health_zone_zs'!$B$2,[1]ratio_ins!$B:$B,0))*$G181*INDEX([1]ratio_ins!$C:$C,MATCH('001_population_health_zone_zs'!$B181,[1]ratio_ins!$B:$B,0))</f>
        <v>5917.5039240000006</v>
      </c>
      <c r="M181" s="11">
        <f>INDEX([1]ratio_ins!K:K,MATCH('001_population_health_zone_zs'!$B$2,[1]ratio_ins!$B:$B,0))*$G181*INDEX([1]ratio_ins!$C:$C,MATCH('001_population_health_zone_zs'!$B181,[1]ratio_ins!$B:$B,0))</f>
        <v>67112.574624000001</v>
      </c>
      <c r="N181" s="10">
        <f>INDEX([1]ratio_ins!L:L,MATCH('001_population_health_zone_zs'!$B$2,[1]ratio_ins!$B:$B,0))*$G181*INDEX([1]ratio_ins!$C:$C,MATCH('001_population_health_zone_zs'!$B181,[1]ratio_ins!$B:$B,0))</f>
        <v>3945.0026160000002</v>
      </c>
      <c r="O181" s="10">
        <f>INDEX([1]ratio_ins!M:M,MATCH('001_population_health_zone_zs'!$B$2,[1]ratio_ins!$B:$B,0))*$G181*INDEX([1]ratio_ins!$C:$C,MATCH('001_population_health_zone_zs'!$B181,[1]ratio_ins!$B:$B,0))</f>
        <v>8555.4273600000015</v>
      </c>
      <c r="P181" s="10">
        <f>INDEX([1]ratio_ins!N:N,MATCH('001_population_health_zone_zs'!$B$2,[1]ratio_ins!$B:$B,0))*$G181*INDEX([1]ratio_ins!$C:$C,MATCH('001_population_health_zone_zs'!$B181,[1]ratio_ins!$B:$B,0))</f>
        <v>7723.6497000000008</v>
      </c>
      <c r="Q181" s="10">
        <f>INDEX([1]ratio_ins!O:O,MATCH('001_population_health_zone_zs'!$B$2,[1]ratio_ins!$B:$B,0))*$G181*INDEX([1]ratio_ins!$C:$C,MATCH('001_population_health_zone_zs'!$B181,[1]ratio_ins!$B:$B,0))</f>
        <v>6891.8720400000002</v>
      </c>
      <c r="R181" s="10">
        <f>INDEX([1]ratio_ins!P:P,MATCH('001_population_health_zone_zs'!$B$2,[1]ratio_ins!$B:$B,0))*$G181*INDEX([1]ratio_ins!$C:$C,MATCH('001_population_health_zone_zs'!$B181,[1]ratio_ins!$B:$B,0))</f>
        <v>6773.0466600000018</v>
      </c>
      <c r="S181" s="10">
        <f>INDEX([1]ratio_ins!Q:Q,MATCH('001_population_health_zone_zs'!$B$2,[1]ratio_ins!$B:$B,0))*$G181*INDEX([1]ratio_ins!$C:$C,MATCH('001_population_health_zone_zs'!$B181,[1]ratio_ins!$B:$B,0))</f>
        <v>5703.6182399999998</v>
      </c>
      <c r="T181" s="10">
        <f>INDEX([1]ratio_ins!R:R,MATCH('001_population_health_zone_zs'!$B$2,[1]ratio_ins!$B:$B,0))*$G181*INDEX([1]ratio_ins!$C:$C,MATCH('001_population_health_zone_zs'!$B181,[1]ratio_ins!$B:$B,0))</f>
        <v>4040.0629200000003</v>
      </c>
      <c r="U181" s="10">
        <f>INDEX([1]ratio_ins!S:S,MATCH('001_population_health_zone_zs'!$B$2,[1]ratio_ins!$B:$B,0))*$G181*INDEX([1]ratio_ins!$C:$C,MATCH('001_population_health_zone_zs'!$B181,[1]ratio_ins!$B:$B,0))</f>
        <v>3208.2852600000006</v>
      </c>
      <c r="V181" s="10">
        <f>INDEX([1]ratio_ins!T:T,MATCH('001_population_health_zone_zs'!$B$2,[1]ratio_ins!$B:$B,0))*$G181*INDEX([1]ratio_ins!$C:$C,MATCH('001_population_health_zone_zs'!$B181,[1]ratio_ins!$B:$B,0))</f>
        <v>1782.3807000000002</v>
      </c>
      <c r="W181" s="11">
        <f>INDEX([1]ratio_ins!U:U,MATCH('001_population_health_zone_zs'!$B$2,[1]ratio_ins!$B:$B,0))*$G181*INDEX([1]ratio_ins!$C:$C,MATCH('001_population_health_zone_zs'!$B181,[1]ratio_ins!$B:$B,0))</f>
        <v>48623.345496000009</v>
      </c>
      <c r="X181" s="10">
        <f>INDEX([1]ratio_ins!V:V,MATCH('001_population_health_zone_zs'!$B$2,[1]ratio_ins!$B:$B,0))*$G181*INDEX([1]ratio_ins!$C:$C,MATCH('001_population_health_zone_zs'!$B181,[1]ratio_ins!$B:$B,0))</f>
        <v>1425.9045599999999</v>
      </c>
      <c r="Y181" s="10">
        <f>INDEX([1]ratio_ins!W:W,MATCH('001_population_health_zone_zs'!$B$2,[1]ratio_ins!$B:$B,0))*$G181*INDEX([1]ratio_ins!$C:$C,MATCH('001_population_health_zone_zs'!$B181,[1]ratio_ins!$B:$B,0))</f>
        <v>950.60304000000019</v>
      </c>
      <c r="Z181" s="10">
        <f>INDEX([1]ratio_ins!X:X,MATCH('001_population_health_zone_zs'!$B$2,[1]ratio_ins!$B:$B,0))*$G181*INDEX([1]ratio_ins!$C:$C,MATCH('001_population_health_zone_zs'!$B181,[1]ratio_ins!$B:$B,0))</f>
        <v>475.3015200000001</v>
      </c>
      <c r="AA181" s="10">
        <f>INDEX([1]ratio_ins!Y:Y,MATCH('001_population_health_zone_zs'!$B$2,[1]ratio_ins!$B:$B,0))*$G181*INDEX([1]ratio_ins!$C:$C,MATCH('001_population_health_zone_zs'!$B181,[1]ratio_ins!$B:$B,0))</f>
        <v>237.65076000000005</v>
      </c>
      <c r="AB181" s="11">
        <f>INDEX([1]ratio_ins!Z:Z,MATCH('001_population_health_zone_zs'!$B$2,[1]ratio_ins!$B:$B,0))*$G181*INDEX([1]ratio_ins!$C:$C,MATCH('001_population_health_zone_zs'!$B181,[1]ratio_ins!$B:$B,0))</f>
        <v>3089.4598800000003</v>
      </c>
      <c r="AC181" s="12">
        <f t="shared" si="12"/>
        <v>118825.38</v>
      </c>
      <c r="AD181" s="10">
        <f>INDEX([1]ratio_ins!AA:AA,MATCH('001_population_health_zone_zs'!$B$2,[1]ratio_ins!$B:$B,0))*$G181*INDEX([1]ratio_ins!$D:$D,MATCH('001_population_health_zone_zs'!$B181,[1]ratio_ins!$B:$B,0))</f>
        <v>25764.820200000002</v>
      </c>
      <c r="AE181" s="10">
        <f>INDEX([1]ratio_ins!AB:AB,MATCH('001_population_health_zone_zs'!$B$2,[1]ratio_ins!$B:$B,0))*$G181*INDEX([1]ratio_ins!$D:$D,MATCH('001_population_health_zone_zs'!$B181,[1]ratio_ins!$B:$B,0))</f>
        <v>21225.304260000001</v>
      </c>
      <c r="AF181" s="10">
        <f>INDEX([1]ratio_ins!AC:AC,MATCH('001_population_health_zone_zs'!$B$2,[1]ratio_ins!$B:$B,0))*$G181*INDEX([1]ratio_ins!$D:$D,MATCH('001_population_health_zone_zs'!$B181,[1]ratio_ins!$B:$B,0))</f>
        <v>16808.477939999997</v>
      </c>
      <c r="AG181" s="10">
        <f>INDEX([1]ratio_ins!AD:AD,MATCH('001_population_health_zone_zs'!$B$2,[1]ratio_ins!$B:$B,0))*$G181*INDEX([1]ratio_ins!$D:$D,MATCH('001_population_health_zone_zs'!$B181,[1]ratio_ins!$B:$B,0))</f>
        <v>10183.238460000002</v>
      </c>
      <c r="AH181" s="10">
        <f>INDEX([1]ratio_ins!AE:AE,MATCH('001_population_health_zone_zs'!$B$2,[1]ratio_ins!$B:$B,0))*$G181*INDEX([1]ratio_ins!$D:$D,MATCH('001_population_health_zone_zs'!$B181,[1]ratio_ins!$B:$B,0))</f>
        <v>6109.9430760000005</v>
      </c>
      <c r="AI181" s="13">
        <f>INDEX([1]ratio_ins!AF:AF,MATCH('001_population_health_zone_zs'!$B$2,[1]ratio_ins!$B:$B,0))*$G181*INDEX([1]ratio_ins!$D:$D,MATCH('001_population_health_zone_zs'!$B181,[1]ratio_ins!$B:$B,0))</f>
        <v>69908.545475999999</v>
      </c>
      <c r="AJ181" s="10">
        <f>INDEX([1]ratio_ins!AG:AG,MATCH('001_population_health_zone_zs'!$B$2,[1]ratio_ins!$B:$B,0))*$G181*INDEX([1]ratio_ins!$D:$D,MATCH('001_population_health_zone_zs'!$B181,[1]ratio_ins!$B:$B,0))</f>
        <v>4073.295384</v>
      </c>
      <c r="AK181" s="10">
        <f>INDEX([1]ratio_ins!AH:AH,MATCH('001_population_health_zone_zs'!$B$2,[1]ratio_ins!$B:$B,0))*$G181*INDEX([1]ratio_ins!$D:$D,MATCH('001_population_health_zone_zs'!$B181,[1]ratio_ins!$B:$B,0))</f>
        <v>9079.0318800000023</v>
      </c>
      <c r="AL181" s="10">
        <f>INDEX([1]ratio_ins!AI:AI,MATCH('001_population_health_zone_zs'!$B$2,[1]ratio_ins!$B:$B,0))*$G181*INDEX([1]ratio_ins!$D:$D,MATCH('001_population_health_zone_zs'!$B181,[1]ratio_ins!$B:$B,0))</f>
        <v>8588.2734000000019</v>
      </c>
      <c r="AM181" s="10">
        <f>INDEX([1]ratio_ins!AJ:AJ,MATCH('001_population_health_zone_zs'!$B$2,[1]ratio_ins!$B:$B,0))*$G181*INDEX([1]ratio_ins!$D:$D,MATCH('001_population_health_zone_zs'!$B181,[1]ratio_ins!$B:$B,0))</f>
        <v>7852.1356800000003</v>
      </c>
      <c r="AN181" s="10">
        <f>INDEX([1]ratio_ins!AK:AK,MATCH('001_population_health_zone_zs'!$B$2,[1]ratio_ins!$B:$B,0))*$G181*INDEX([1]ratio_ins!$D:$D,MATCH('001_population_health_zone_zs'!$B181,[1]ratio_ins!$B:$B,0))</f>
        <v>7361.3771999999999</v>
      </c>
      <c r="AO181" s="10">
        <f>INDEX([1]ratio_ins!AL:AL,MATCH('001_population_health_zone_zs'!$B$2,[1]ratio_ins!$B:$B,0))*$G181*INDEX([1]ratio_ins!$D:$D,MATCH('001_population_health_zone_zs'!$B181,[1]ratio_ins!$B:$B,0))</f>
        <v>5521.0329000000002</v>
      </c>
      <c r="AP181" s="10">
        <f>INDEX([1]ratio_ins!AM:AM,MATCH('001_population_health_zone_zs'!$B$2,[1]ratio_ins!$B:$B,0))*$G181*INDEX([1]ratio_ins!$D:$D,MATCH('001_population_health_zone_zs'!$B181,[1]ratio_ins!$B:$B,0))</f>
        <v>3557.9989799999998</v>
      </c>
      <c r="AQ181" s="10">
        <f>INDEX([1]ratio_ins!AN:AN,MATCH('001_population_health_zone_zs'!$B$2,[1]ratio_ins!$B:$B,0))*$G181*INDEX([1]ratio_ins!$D:$D,MATCH('001_population_health_zone_zs'!$B181,[1]ratio_ins!$B:$B,0))</f>
        <v>2821.8612600000001</v>
      </c>
      <c r="AR181" s="10">
        <f>INDEX([1]ratio_ins!AO:AO,MATCH('001_population_health_zone_zs'!$B$2,[1]ratio_ins!$B:$B,0))*$G181*INDEX([1]ratio_ins!$D:$D,MATCH('001_population_health_zone_zs'!$B181,[1]ratio_ins!$B:$B,0))</f>
        <v>1349.5858200000002</v>
      </c>
      <c r="AS181" s="13">
        <f>INDEX([1]ratio_ins!AP:AP,MATCH('001_population_health_zone_zs'!$B$2,[1]ratio_ins!$B:$B,0))*$G181*INDEX([1]ratio_ins!$D:$D,MATCH('001_population_health_zone_zs'!$B181,[1]ratio_ins!$B:$B,0))</f>
        <v>50204.592504000007</v>
      </c>
      <c r="AT181" s="10">
        <f>INDEX([1]ratio_ins!AQ:AQ,MATCH('001_population_health_zone_zs'!$B$2,[1]ratio_ins!$B:$B,0))*$G181*INDEX([1]ratio_ins!$D:$D,MATCH('001_population_health_zone_zs'!$B181,[1]ratio_ins!$B:$B,0))</f>
        <v>1226.8962000000001</v>
      </c>
      <c r="AU181" s="10">
        <f>INDEX([1]ratio_ins!AR:AR,MATCH('001_population_health_zone_zs'!$B$2,[1]ratio_ins!$B:$B,0))*$G181*INDEX([1]ratio_ins!$D:$D,MATCH('001_population_health_zone_zs'!$B181,[1]ratio_ins!$B:$B,0))</f>
        <v>736.13771999999994</v>
      </c>
      <c r="AV181" s="10">
        <f>INDEX([1]ratio_ins!AS:AS,MATCH('001_population_health_zone_zs'!$B$2,[1]ratio_ins!$B:$B,0))*$G181*INDEX([1]ratio_ins!$D:$D,MATCH('001_population_health_zone_zs'!$B181,[1]ratio_ins!$B:$B,0))</f>
        <v>368.06885999999997</v>
      </c>
      <c r="AW181" s="10">
        <f>INDEX([1]ratio_ins!AT:AT,MATCH('001_population_health_zone_zs'!$B$2,[1]ratio_ins!$B:$B,0))*$G181*INDEX([1]ratio_ins!$D:$D,MATCH('001_population_health_zone_zs'!$B181,[1]ratio_ins!$B:$B,0))</f>
        <v>245.37924000000001</v>
      </c>
      <c r="AX181" s="13">
        <f>INDEX([1]ratio_ins!AU:AU,MATCH('001_population_health_zone_zs'!$B$2,[1]ratio_ins!$B:$B,0))*$G181*INDEX([1]ratio_ins!$D:$D,MATCH('001_population_health_zone_zs'!$B181,[1]ratio_ins!$B:$B,0))</f>
        <v>2576.4820199999999</v>
      </c>
      <c r="AY181" s="14">
        <f t="shared" si="13"/>
        <v>122689.62</v>
      </c>
      <c r="AZ181" s="15">
        <f t="shared" si="14"/>
        <v>241515</v>
      </c>
      <c r="BA181" s="16">
        <v>233550.03954773815</v>
      </c>
      <c r="BB181" s="10">
        <f t="shared" si="15"/>
        <v>52143.088500000005</v>
      </c>
      <c r="BC181" s="17">
        <f t="shared" si="16"/>
        <v>0.21590000000000001</v>
      </c>
      <c r="BD181" s="10">
        <f t="shared" si="17"/>
        <v>49550.18346</v>
      </c>
    </row>
    <row r="182" spans="1:56" x14ac:dyDescent="0.25">
      <c r="A182" s="8" t="s">
        <v>438</v>
      </c>
      <c r="B182" s="8" t="s">
        <v>439</v>
      </c>
      <c r="C182" s="8" t="s">
        <v>450</v>
      </c>
      <c r="D182" s="8" t="s">
        <v>451</v>
      </c>
      <c r="E182" s="8" t="s">
        <v>453</v>
      </c>
      <c r="F182" s="8" t="s">
        <v>454</v>
      </c>
      <c r="G182" s="9">
        <v>138861</v>
      </c>
      <c r="H182" s="10">
        <f>INDEX([1]ratio_ins!F:F,MATCH('001_population_health_zone_zs'!$B$2,[1]ratio_ins!$B:$B,0))*$G182*INDEX([1]ratio_ins!$C:$C,MATCH('001_population_health_zone_zs'!$B182,[1]ratio_ins!$B:$B,0))</f>
        <v>14278.798908000002</v>
      </c>
      <c r="I182" s="10">
        <f>INDEX([1]ratio_ins!G:G,MATCH('001_population_health_zone_zs'!$B$2,[1]ratio_ins!$B:$B,0))*$G182*INDEX([1]ratio_ins!$C:$C,MATCH('001_population_health_zone_zs'!$B182,[1]ratio_ins!$B:$B,0))</f>
        <v>11682.653652000003</v>
      </c>
      <c r="J182" s="10">
        <f>INDEX([1]ratio_ins!H:H,MATCH('001_population_health_zone_zs'!$B$2,[1]ratio_ins!$B:$B,0))*$G182*INDEX([1]ratio_ins!$C:$C,MATCH('001_population_health_zone_zs'!$B182,[1]ratio_ins!$B:$B,0))</f>
        <v>9223.1476200000016</v>
      </c>
      <c r="K182" s="10">
        <f>INDEX([1]ratio_ins!I:I,MATCH('001_population_health_zone_zs'!$B$2,[1]ratio_ins!$B:$B,0))*$G182*INDEX([1]ratio_ins!$C:$C,MATCH('001_population_health_zone_zs'!$B182,[1]ratio_ins!$B:$B,0))</f>
        <v>5670.5277960000003</v>
      </c>
      <c r="L182" s="10">
        <f>INDEX([1]ratio_ins!J:J,MATCH('001_population_health_zone_zs'!$B$2,[1]ratio_ins!$B:$B,0))*$G182*INDEX([1]ratio_ins!$C:$C,MATCH('001_population_health_zone_zs'!$B182,[1]ratio_ins!$B:$B,0))</f>
        <v>3402.3166776000003</v>
      </c>
      <c r="M182" s="11">
        <f>INDEX([1]ratio_ins!K:K,MATCH('001_population_health_zone_zs'!$B$2,[1]ratio_ins!$B:$B,0))*$G182*INDEX([1]ratio_ins!$C:$C,MATCH('001_population_health_zone_zs'!$B182,[1]ratio_ins!$B:$B,0))</f>
        <v>38586.916857600001</v>
      </c>
      <c r="N182" s="10">
        <f>INDEX([1]ratio_ins!L:L,MATCH('001_population_health_zone_zs'!$B$2,[1]ratio_ins!$B:$B,0))*$G182*INDEX([1]ratio_ins!$C:$C,MATCH('001_population_health_zone_zs'!$B182,[1]ratio_ins!$B:$B,0))</f>
        <v>2268.2111184</v>
      </c>
      <c r="O182" s="10">
        <f>INDEX([1]ratio_ins!M:M,MATCH('001_population_health_zone_zs'!$B$2,[1]ratio_ins!$B:$B,0))*$G182*INDEX([1]ratio_ins!$C:$C,MATCH('001_population_health_zone_zs'!$B182,[1]ratio_ins!$B:$B,0))</f>
        <v>4919.0120640000014</v>
      </c>
      <c r="P182" s="10">
        <f>INDEX([1]ratio_ins!N:N,MATCH('001_population_health_zone_zs'!$B$2,[1]ratio_ins!$B:$B,0))*$G182*INDEX([1]ratio_ins!$C:$C,MATCH('001_population_health_zone_zs'!$B182,[1]ratio_ins!$B:$B,0))</f>
        <v>4440.7747800000006</v>
      </c>
      <c r="Q182" s="10">
        <f>INDEX([1]ratio_ins!O:O,MATCH('001_population_health_zone_zs'!$B$2,[1]ratio_ins!$B:$B,0))*$G182*INDEX([1]ratio_ins!$C:$C,MATCH('001_population_health_zone_zs'!$B182,[1]ratio_ins!$B:$B,0))</f>
        <v>3962.5374959999999</v>
      </c>
      <c r="R182" s="10">
        <f>INDEX([1]ratio_ins!P:P,MATCH('001_population_health_zone_zs'!$B$2,[1]ratio_ins!$B:$B,0))*$G182*INDEX([1]ratio_ins!$C:$C,MATCH('001_population_health_zone_zs'!$B182,[1]ratio_ins!$B:$B,0))</f>
        <v>3894.2178840000006</v>
      </c>
      <c r="S182" s="10">
        <f>INDEX([1]ratio_ins!Q:Q,MATCH('001_population_health_zone_zs'!$B$2,[1]ratio_ins!$B:$B,0))*$G182*INDEX([1]ratio_ins!$C:$C,MATCH('001_population_health_zone_zs'!$B182,[1]ratio_ins!$B:$B,0))</f>
        <v>3279.3413760000003</v>
      </c>
      <c r="T182" s="10">
        <f>INDEX([1]ratio_ins!R:R,MATCH('001_population_health_zone_zs'!$B$2,[1]ratio_ins!$B:$B,0))*$G182*INDEX([1]ratio_ins!$C:$C,MATCH('001_population_health_zone_zs'!$B182,[1]ratio_ins!$B:$B,0))</f>
        <v>2322.8668080000002</v>
      </c>
      <c r="U182" s="10">
        <f>INDEX([1]ratio_ins!S:S,MATCH('001_population_health_zone_zs'!$B$2,[1]ratio_ins!$B:$B,0))*$G182*INDEX([1]ratio_ins!$C:$C,MATCH('001_population_health_zone_zs'!$B182,[1]ratio_ins!$B:$B,0))</f>
        <v>1844.6295240000004</v>
      </c>
      <c r="V182" s="10">
        <f>INDEX([1]ratio_ins!T:T,MATCH('001_population_health_zone_zs'!$B$2,[1]ratio_ins!$B:$B,0))*$G182*INDEX([1]ratio_ins!$C:$C,MATCH('001_population_health_zone_zs'!$B182,[1]ratio_ins!$B:$B,0))</f>
        <v>1024.7941800000001</v>
      </c>
      <c r="W182" s="11">
        <f>INDEX([1]ratio_ins!U:U,MATCH('001_population_health_zone_zs'!$B$2,[1]ratio_ins!$B:$B,0))*$G182*INDEX([1]ratio_ins!$C:$C,MATCH('001_population_health_zone_zs'!$B182,[1]ratio_ins!$B:$B,0))</f>
        <v>27956.385230400007</v>
      </c>
      <c r="X182" s="10">
        <f>INDEX([1]ratio_ins!V:V,MATCH('001_population_health_zone_zs'!$B$2,[1]ratio_ins!$B:$B,0))*$G182*INDEX([1]ratio_ins!$C:$C,MATCH('001_population_health_zone_zs'!$B182,[1]ratio_ins!$B:$B,0))</f>
        <v>819.83534400000008</v>
      </c>
      <c r="Y182" s="10">
        <f>INDEX([1]ratio_ins!W:W,MATCH('001_population_health_zone_zs'!$B$2,[1]ratio_ins!$B:$B,0))*$G182*INDEX([1]ratio_ins!$C:$C,MATCH('001_population_health_zone_zs'!$B182,[1]ratio_ins!$B:$B,0))</f>
        <v>546.55689600000005</v>
      </c>
      <c r="Z182" s="10">
        <f>INDEX([1]ratio_ins!X:X,MATCH('001_population_health_zone_zs'!$B$2,[1]ratio_ins!$B:$B,0))*$G182*INDEX([1]ratio_ins!$C:$C,MATCH('001_population_health_zone_zs'!$B182,[1]ratio_ins!$B:$B,0))</f>
        <v>273.27844800000003</v>
      </c>
      <c r="AA182" s="10">
        <f>INDEX([1]ratio_ins!Y:Y,MATCH('001_population_health_zone_zs'!$B$2,[1]ratio_ins!$B:$B,0))*$G182*INDEX([1]ratio_ins!$C:$C,MATCH('001_population_health_zone_zs'!$B182,[1]ratio_ins!$B:$B,0))</f>
        <v>136.63922400000001</v>
      </c>
      <c r="AB182" s="11">
        <f>INDEX([1]ratio_ins!Z:Z,MATCH('001_population_health_zone_zs'!$B$2,[1]ratio_ins!$B:$B,0))*$G182*INDEX([1]ratio_ins!$C:$C,MATCH('001_population_health_zone_zs'!$B182,[1]ratio_ins!$B:$B,0))</f>
        <v>1776.3099120000004</v>
      </c>
      <c r="AC182" s="12">
        <f t="shared" si="12"/>
        <v>68319.612000000008</v>
      </c>
      <c r="AD182" s="10">
        <f>INDEX([1]ratio_ins!AA:AA,MATCH('001_population_health_zone_zs'!$B$2,[1]ratio_ins!$B:$B,0))*$G182*INDEX([1]ratio_ins!$D:$D,MATCH('001_population_health_zone_zs'!$B182,[1]ratio_ins!$B:$B,0))</f>
        <v>14813.69148</v>
      </c>
      <c r="AE182" s="10">
        <f>INDEX([1]ratio_ins!AB:AB,MATCH('001_population_health_zone_zs'!$B$2,[1]ratio_ins!$B:$B,0))*$G182*INDEX([1]ratio_ins!$D:$D,MATCH('001_population_health_zone_zs'!$B182,[1]ratio_ins!$B:$B,0))</f>
        <v>12203.660124</v>
      </c>
      <c r="AF182" s="10">
        <f>INDEX([1]ratio_ins!AC:AC,MATCH('001_population_health_zone_zs'!$B$2,[1]ratio_ins!$B:$B,0))*$G182*INDEX([1]ratio_ins!$D:$D,MATCH('001_population_health_zone_zs'!$B182,[1]ratio_ins!$B:$B,0))</f>
        <v>9664.1701560000001</v>
      </c>
      <c r="AG182" s="10">
        <f>INDEX([1]ratio_ins!AD:AD,MATCH('001_population_health_zone_zs'!$B$2,[1]ratio_ins!$B:$B,0))*$G182*INDEX([1]ratio_ins!$D:$D,MATCH('001_population_health_zone_zs'!$B182,[1]ratio_ins!$B:$B,0))</f>
        <v>5854.9352040000003</v>
      </c>
      <c r="AH182" s="10">
        <f>INDEX([1]ratio_ins!AE:AE,MATCH('001_population_health_zone_zs'!$B$2,[1]ratio_ins!$B:$B,0))*$G182*INDEX([1]ratio_ins!$D:$D,MATCH('001_population_health_zone_zs'!$B182,[1]ratio_ins!$B:$B,0))</f>
        <v>3512.9611224</v>
      </c>
      <c r="AI182" s="13">
        <f>INDEX([1]ratio_ins!AF:AF,MATCH('001_population_health_zone_zs'!$B$2,[1]ratio_ins!$B:$B,0))*$G182*INDEX([1]ratio_ins!$D:$D,MATCH('001_population_health_zone_zs'!$B182,[1]ratio_ins!$B:$B,0))</f>
        <v>40194.4828824</v>
      </c>
      <c r="AJ182" s="10">
        <f>INDEX([1]ratio_ins!AG:AG,MATCH('001_population_health_zone_zs'!$B$2,[1]ratio_ins!$B:$B,0))*$G182*INDEX([1]ratio_ins!$D:$D,MATCH('001_population_health_zone_zs'!$B182,[1]ratio_ins!$B:$B,0))</f>
        <v>2341.9740815999999</v>
      </c>
      <c r="AK182" s="10">
        <f>INDEX([1]ratio_ins!AH:AH,MATCH('001_population_health_zone_zs'!$B$2,[1]ratio_ins!$B:$B,0))*$G182*INDEX([1]ratio_ins!$D:$D,MATCH('001_population_health_zone_zs'!$B182,[1]ratio_ins!$B:$B,0))</f>
        <v>5220.0627120000008</v>
      </c>
      <c r="AL182" s="10">
        <f>INDEX([1]ratio_ins!AI:AI,MATCH('001_population_health_zone_zs'!$B$2,[1]ratio_ins!$B:$B,0))*$G182*INDEX([1]ratio_ins!$D:$D,MATCH('001_population_health_zone_zs'!$B182,[1]ratio_ins!$B:$B,0))</f>
        <v>4937.8971600000004</v>
      </c>
      <c r="AM182" s="10">
        <f>INDEX([1]ratio_ins!AJ:AJ,MATCH('001_population_health_zone_zs'!$B$2,[1]ratio_ins!$B:$B,0))*$G182*INDEX([1]ratio_ins!$D:$D,MATCH('001_population_health_zone_zs'!$B182,[1]ratio_ins!$B:$B,0))</f>
        <v>4514.6488319999999</v>
      </c>
      <c r="AN182" s="10">
        <f>INDEX([1]ratio_ins!AK:AK,MATCH('001_population_health_zone_zs'!$B$2,[1]ratio_ins!$B:$B,0))*$G182*INDEX([1]ratio_ins!$D:$D,MATCH('001_population_health_zone_zs'!$B182,[1]ratio_ins!$B:$B,0))</f>
        <v>4232.4832800000004</v>
      </c>
      <c r="AO182" s="10">
        <f>INDEX([1]ratio_ins!AL:AL,MATCH('001_population_health_zone_zs'!$B$2,[1]ratio_ins!$B:$B,0))*$G182*INDEX([1]ratio_ins!$D:$D,MATCH('001_population_health_zone_zs'!$B182,[1]ratio_ins!$B:$B,0))</f>
        <v>3174.3624599999998</v>
      </c>
      <c r="AP182" s="10">
        <f>INDEX([1]ratio_ins!AM:AM,MATCH('001_population_health_zone_zs'!$B$2,[1]ratio_ins!$B:$B,0))*$G182*INDEX([1]ratio_ins!$D:$D,MATCH('001_population_health_zone_zs'!$B182,[1]ratio_ins!$B:$B,0))</f>
        <v>2045.7002519999999</v>
      </c>
      <c r="AQ182" s="10">
        <f>INDEX([1]ratio_ins!AN:AN,MATCH('001_population_health_zone_zs'!$B$2,[1]ratio_ins!$B:$B,0))*$G182*INDEX([1]ratio_ins!$D:$D,MATCH('001_population_health_zone_zs'!$B182,[1]ratio_ins!$B:$B,0))</f>
        <v>1622.451924</v>
      </c>
      <c r="AR182" s="10">
        <f>INDEX([1]ratio_ins!AO:AO,MATCH('001_population_health_zone_zs'!$B$2,[1]ratio_ins!$B:$B,0))*$G182*INDEX([1]ratio_ins!$D:$D,MATCH('001_population_health_zone_zs'!$B182,[1]ratio_ins!$B:$B,0))</f>
        <v>775.95526800000016</v>
      </c>
      <c r="AS182" s="13">
        <f>INDEX([1]ratio_ins!AP:AP,MATCH('001_population_health_zone_zs'!$B$2,[1]ratio_ins!$B:$B,0))*$G182*INDEX([1]ratio_ins!$D:$D,MATCH('001_population_health_zone_zs'!$B182,[1]ratio_ins!$B:$B,0))</f>
        <v>28865.535969600001</v>
      </c>
      <c r="AT182" s="10">
        <f>INDEX([1]ratio_ins!AQ:AQ,MATCH('001_population_health_zone_zs'!$B$2,[1]ratio_ins!$B:$B,0))*$G182*INDEX([1]ratio_ins!$D:$D,MATCH('001_population_health_zone_zs'!$B182,[1]ratio_ins!$B:$B,0))</f>
        <v>705.41388000000006</v>
      </c>
      <c r="AU182" s="10">
        <f>INDEX([1]ratio_ins!AR:AR,MATCH('001_population_health_zone_zs'!$B$2,[1]ratio_ins!$B:$B,0))*$G182*INDEX([1]ratio_ins!$D:$D,MATCH('001_population_health_zone_zs'!$B182,[1]ratio_ins!$B:$B,0))</f>
        <v>423.24832800000001</v>
      </c>
      <c r="AV182" s="10">
        <f>INDEX([1]ratio_ins!AS:AS,MATCH('001_population_health_zone_zs'!$B$2,[1]ratio_ins!$B:$B,0))*$G182*INDEX([1]ratio_ins!$D:$D,MATCH('001_population_health_zone_zs'!$B182,[1]ratio_ins!$B:$B,0))</f>
        <v>211.62416400000001</v>
      </c>
      <c r="AW182" s="10">
        <f>INDEX([1]ratio_ins!AT:AT,MATCH('001_population_health_zone_zs'!$B$2,[1]ratio_ins!$B:$B,0))*$G182*INDEX([1]ratio_ins!$D:$D,MATCH('001_population_health_zone_zs'!$B182,[1]ratio_ins!$B:$B,0))</f>
        <v>141.082776</v>
      </c>
      <c r="AX182" s="13">
        <f>INDEX([1]ratio_ins!AU:AU,MATCH('001_population_health_zone_zs'!$B$2,[1]ratio_ins!$B:$B,0))*$G182*INDEX([1]ratio_ins!$D:$D,MATCH('001_population_health_zone_zs'!$B182,[1]ratio_ins!$B:$B,0))</f>
        <v>1481.3691479999998</v>
      </c>
      <c r="AY182" s="14">
        <f t="shared" si="13"/>
        <v>70541.388000000006</v>
      </c>
      <c r="AZ182" s="15">
        <f t="shared" si="14"/>
        <v>138861</v>
      </c>
      <c r="BA182" s="16">
        <v>134281.74830673577</v>
      </c>
      <c r="BB182" s="10">
        <f t="shared" si="15"/>
        <v>29980.089899999999</v>
      </c>
      <c r="BC182" s="17">
        <f t="shared" si="16"/>
        <v>0.21589999999999998</v>
      </c>
      <c r="BD182" s="10">
        <f t="shared" si="17"/>
        <v>28489.278204000002</v>
      </c>
    </row>
    <row r="183" spans="1:56" x14ac:dyDescent="0.25">
      <c r="A183" s="8" t="s">
        <v>438</v>
      </c>
      <c r="B183" s="8" t="s">
        <v>439</v>
      </c>
      <c r="C183" s="8" t="s">
        <v>455</v>
      </c>
      <c r="D183" s="8" t="s">
        <v>456</v>
      </c>
      <c r="E183" s="8" t="s">
        <v>455</v>
      </c>
      <c r="F183" s="8" t="s">
        <v>457</v>
      </c>
      <c r="G183" s="9">
        <v>174397</v>
      </c>
      <c r="H183" s="10">
        <f>INDEX([1]ratio_ins!F:F,MATCH('001_population_health_zone_zs'!$B$2,[1]ratio_ins!$B:$B,0))*$G183*INDEX([1]ratio_ins!$C:$C,MATCH('001_population_health_zone_zs'!$B183,[1]ratio_ins!$B:$B,0))</f>
        <v>17932.894716000003</v>
      </c>
      <c r="I183" s="10">
        <f>INDEX([1]ratio_ins!G:G,MATCH('001_population_health_zone_zs'!$B$2,[1]ratio_ins!$B:$B,0))*$G183*INDEX([1]ratio_ins!$C:$C,MATCH('001_population_health_zone_zs'!$B183,[1]ratio_ins!$B:$B,0))</f>
        <v>14672.368404000003</v>
      </c>
      <c r="J183" s="10">
        <f>INDEX([1]ratio_ins!H:H,MATCH('001_population_health_zone_zs'!$B$2,[1]ratio_ins!$B:$B,0))*$G183*INDEX([1]ratio_ins!$C:$C,MATCH('001_population_health_zone_zs'!$B183,[1]ratio_ins!$B:$B,0))</f>
        <v>11583.448740000002</v>
      </c>
      <c r="K183" s="10">
        <f>INDEX([1]ratio_ins!I:I,MATCH('001_population_health_zone_zs'!$B$2,[1]ratio_ins!$B:$B,0))*$G183*INDEX([1]ratio_ins!$C:$C,MATCH('001_population_health_zone_zs'!$B183,[1]ratio_ins!$B:$B,0))</f>
        <v>7121.6758920000011</v>
      </c>
      <c r="L183" s="10">
        <f>INDEX([1]ratio_ins!J:J,MATCH('001_population_health_zone_zs'!$B$2,[1]ratio_ins!$B:$B,0))*$G183*INDEX([1]ratio_ins!$C:$C,MATCH('001_population_health_zone_zs'!$B183,[1]ratio_ins!$B:$B,0))</f>
        <v>4273.0055351999999</v>
      </c>
      <c r="M183" s="11">
        <f>INDEX([1]ratio_ins!K:K,MATCH('001_population_health_zone_zs'!$B$2,[1]ratio_ins!$B:$B,0))*$G183*INDEX([1]ratio_ins!$C:$C,MATCH('001_population_health_zone_zs'!$B183,[1]ratio_ins!$B:$B,0))</f>
        <v>48461.717395200001</v>
      </c>
      <c r="N183" s="10">
        <f>INDEX([1]ratio_ins!L:L,MATCH('001_population_health_zone_zs'!$B$2,[1]ratio_ins!$B:$B,0))*$G183*INDEX([1]ratio_ins!$C:$C,MATCH('001_population_health_zone_zs'!$B183,[1]ratio_ins!$B:$B,0))</f>
        <v>2848.6703568000003</v>
      </c>
      <c r="O183" s="10">
        <f>INDEX([1]ratio_ins!M:M,MATCH('001_population_health_zone_zs'!$B$2,[1]ratio_ins!$B:$B,0))*$G183*INDEX([1]ratio_ins!$C:$C,MATCH('001_population_health_zone_zs'!$B183,[1]ratio_ins!$B:$B,0))</f>
        <v>6177.8393280000009</v>
      </c>
      <c r="P183" s="10">
        <f>INDEX([1]ratio_ins!N:N,MATCH('001_population_health_zone_zs'!$B$2,[1]ratio_ins!$B:$B,0))*$G183*INDEX([1]ratio_ins!$C:$C,MATCH('001_population_health_zone_zs'!$B183,[1]ratio_ins!$B:$B,0))</f>
        <v>5577.2160600000007</v>
      </c>
      <c r="Q183" s="10">
        <f>INDEX([1]ratio_ins!O:O,MATCH('001_population_health_zone_zs'!$B$2,[1]ratio_ins!$B:$B,0))*$G183*INDEX([1]ratio_ins!$C:$C,MATCH('001_population_health_zone_zs'!$B183,[1]ratio_ins!$B:$B,0))</f>
        <v>4976.5927920000004</v>
      </c>
      <c r="R183" s="10">
        <f>INDEX([1]ratio_ins!P:P,MATCH('001_population_health_zone_zs'!$B$2,[1]ratio_ins!$B:$B,0))*$G183*INDEX([1]ratio_ins!$C:$C,MATCH('001_population_health_zone_zs'!$B183,[1]ratio_ins!$B:$B,0))</f>
        <v>4890.7894680000009</v>
      </c>
      <c r="S183" s="10">
        <f>INDEX([1]ratio_ins!Q:Q,MATCH('001_population_health_zone_zs'!$B$2,[1]ratio_ins!$B:$B,0))*$G183*INDEX([1]ratio_ins!$C:$C,MATCH('001_population_health_zone_zs'!$B183,[1]ratio_ins!$B:$B,0))</f>
        <v>4118.5595520000006</v>
      </c>
      <c r="T183" s="10">
        <f>INDEX([1]ratio_ins!R:R,MATCH('001_population_health_zone_zs'!$B$2,[1]ratio_ins!$B:$B,0))*$G183*INDEX([1]ratio_ins!$C:$C,MATCH('001_population_health_zone_zs'!$B183,[1]ratio_ins!$B:$B,0))</f>
        <v>2917.3130160000005</v>
      </c>
      <c r="U183" s="10">
        <f>INDEX([1]ratio_ins!S:S,MATCH('001_population_health_zone_zs'!$B$2,[1]ratio_ins!$B:$B,0))*$G183*INDEX([1]ratio_ins!$C:$C,MATCH('001_population_health_zone_zs'!$B183,[1]ratio_ins!$B:$B,0))</f>
        <v>2316.6897480000007</v>
      </c>
      <c r="V183" s="10">
        <f>INDEX([1]ratio_ins!T:T,MATCH('001_population_health_zone_zs'!$B$2,[1]ratio_ins!$B:$B,0))*$G183*INDEX([1]ratio_ins!$C:$C,MATCH('001_population_health_zone_zs'!$B183,[1]ratio_ins!$B:$B,0))</f>
        <v>1287.0498600000001</v>
      </c>
      <c r="W183" s="11">
        <f>INDEX([1]ratio_ins!U:U,MATCH('001_population_health_zone_zs'!$B$2,[1]ratio_ins!$B:$B,0))*$G183*INDEX([1]ratio_ins!$C:$C,MATCH('001_population_health_zone_zs'!$B183,[1]ratio_ins!$B:$B,0))</f>
        <v>35110.720180800003</v>
      </c>
      <c r="X183" s="10">
        <f>INDEX([1]ratio_ins!V:V,MATCH('001_population_health_zone_zs'!$B$2,[1]ratio_ins!$B:$B,0))*$G183*INDEX([1]ratio_ins!$C:$C,MATCH('001_population_health_zone_zs'!$B183,[1]ratio_ins!$B:$B,0))</f>
        <v>1029.6398880000002</v>
      </c>
      <c r="Y183" s="10">
        <f>INDEX([1]ratio_ins!W:W,MATCH('001_population_health_zone_zs'!$B$2,[1]ratio_ins!$B:$B,0))*$G183*INDEX([1]ratio_ins!$C:$C,MATCH('001_population_health_zone_zs'!$B183,[1]ratio_ins!$B:$B,0))</f>
        <v>686.42659200000003</v>
      </c>
      <c r="Z183" s="10">
        <f>INDEX([1]ratio_ins!X:X,MATCH('001_population_health_zone_zs'!$B$2,[1]ratio_ins!$B:$B,0))*$G183*INDEX([1]ratio_ins!$C:$C,MATCH('001_population_health_zone_zs'!$B183,[1]ratio_ins!$B:$B,0))</f>
        <v>343.21329600000001</v>
      </c>
      <c r="AA183" s="10">
        <f>INDEX([1]ratio_ins!Y:Y,MATCH('001_population_health_zone_zs'!$B$2,[1]ratio_ins!$B:$B,0))*$G183*INDEX([1]ratio_ins!$C:$C,MATCH('001_population_health_zone_zs'!$B183,[1]ratio_ins!$B:$B,0))</f>
        <v>171.60664800000001</v>
      </c>
      <c r="AB183" s="11">
        <f>INDEX([1]ratio_ins!Z:Z,MATCH('001_population_health_zone_zs'!$B$2,[1]ratio_ins!$B:$B,0))*$G183*INDEX([1]ratio_ins!$C:$C,MATCH('001_population_health_zone_zs'!$B183,[1]ratio_ins!$B:$B,0))</f>
        <v>2230.8864240000003</v>
      </c>
      <c r="AC183" s="12">
        <f t="shared" si="12"/>
        <v>85803.323999999993</v>
      </c>
      <c r="AD183" s="10">
        <f>INDEX([1]ratio_ins!AA:AA,MATCH('001_population_health_zone_zs'!$B$2,[1]ratio_ins!$B:$B,0))*$G183*INDEX([1]ratio_ins!$D:$D,MATCH('001_population_health_zone_zs'!$B183,[1]ratio_ins!$B:$B,0))</f>
        <v>18604.67196</v>
      </c>
      <c r="AE183" s="10">
        <f>INDEX([1]ratio_ins!AB:AB,MATCH('001_population_health_zone_zs'!$B$2,[1]ratio_ins!$B:$B,0))*$G183*INDEX([1]ratio_ins!$D:$D,MATCH('001_population_health_zone_zs'!$B183,[1]ratio_ins!$B:$B,0))</f>
        <v>15326.705948000003</v>
      </c>
      <c r="AF183" s="10">
        <f>INDEX([1]ratio_ins!AC:AC,MATCH('001_population_health_zone_zs'!$B$2,[1]ratio_ins!$B:$B,0))*$G183*INDEX([1]ratio_ins!$D:$D,MATCH('001_population_health_zone_zs'!$B183,[1]ratio_ins!$B:$B,0))</f>
        <v>12137.333611999999</v>
      </c>
      <c r="AG183" s="10">
        <f>INDEX([1]ratio_ins!AD:AD,MATCH('001_population_health_zone_zs'!$B$2,[1]ratio_ins!$B:$B,0))*$G183*INDEX([1]ratio_ins!$D:$D,MATCH('001_population_health_zone_zs'!$B183,[1]ratio_ins!$B:$B,0))</f>
        <v>7353.2751080000007</v>
      </c>
      <c r="AH183" s="10">
        <f>INDEX([1]ratio_ins!AE:AE,MATCH('001_population_health_zone_zs'!$B$2,[1]ratio_ins!$B:$B,0))*$G183*INDEX([1]ratio_ins!$D:$D,MATCH('001_population_health_zone_zs'!$B183,[1]ratio_ins!$B:$B,0))</f>
        <v>4411.9650647999997</v>
      </c>
      <c r="AI183" s="13">
        <f>INDEX([1]ratio_ins!AF:AF,MATCH('001_population_health_zone_zs'!$B$2,[1]ratio_ins!$B:$B,0))*$G183*INDEX([1]ratio_ins!$D:$D,MATCH('001_population_health_zone_zs'!$B183,[1]ratio_ins!$B:$B,0))</f>
        <v>50480.676584799992</v>
      </c>
      <c r="AJ183" s="10">
        <f>INDEX([1]ratio_ins!AG:AG,MATCH('001_population_health_zone_zs'!$B$2,[1]ratio_ins!$B:$B,0))*$G183*INDEX([1]ratio_ins!$D:$D,MATCH('001_population_health_zone_zs'!$B183,[1]ratio_ins!$B:$B,0))</f>
        <v>2941.3100432000001</v>
      </c>
      <c r="AK183" s="10">
        <f>INDEX([1]ratio_ins!AH:AH,MATCH('001_population_health_zone_zs'!$B$2,[1]ratio_ins!$B:$B,0))*$G183*INDEX([1]ratio_ins!$D:$D,MATCH('001_population_health_zone_zs'!$B183,[1]ratio_ins!$B:$B,0))</f>
        <v>6555.9320240000015</v>
      </c>
      <c r="AL183" s="10">
        <f>INDEX([1]ratio_ins!AI:AI,MATCH('001_population_health_zone_zs'!$B$2,[1]ratio_ins!$B:$B,0))*$G183*INDEX([1]ratio_ins!$D:$D,MATCH('001_population_health_zone_zs'!$B183,[1]ratio_ins!$B:$B,0))</f>
        <v>6201.5573200000008</v>
      </c>
      <c r="AM183" s="10">
        <f>INDEX([1]ratio_ins!AJ:AJ,MATCH('001_population_health_zone_zs'!$B$2,[1]ratio_ins!$B:$B,0))*$G183*INDEX([1]ratio_ins!$D:$D,MATCH('001_population_health_zone_zs'!$B183,[1]ratio_ins!$B:$B,0))</f>
        <v>5669.9952640000001</v>
      </c>
      <c r="AN183" s="10">
        <f>INDEX([1]ratio_ins!AK:AK,MATCH('001_population_health_zone_zs'!$B$2,[1]ratio_ins!$B:$B,0))*$G183*INDEX([1]ratio_ins!$D:$D,MATCH('001_population_health_zone_zs'!$B183,[1]ratio_ins!$B:$B,0))</f>
        <v>5315.6205600000003</v>
      </c>
      <c r="AO183" s="10">
        <f>INDEX([1]ratio_ins!AL:AL,MATCH('001_population_health_zone_zs'!$B$2,[1]ratio_ins!$B:$B,0))*$G183*INDEX([1]ratio_ins!$D:$D,MATCH('001_population_health_zone_zs'!$B183,[1]ratio_ins!$B:$B,0))</f>
        <v>3986.71542</v>
      </c>
      <c r="AP183" s="10">
        <f>INDEX([1]ratio_ins!AM:AM,MATCH('001_population_health_zone_zs'!$B$2,[1]ratio_ins!$B:$B,0))*$G183*INDEX([1]ratio_ins!$D:$D,MATCH('001_population_health_zone_zs'!$B183,[1]ratio_ins!$B:$B,0))</f>
        <v>2569.2166040000002</v>
      </c>
      <c r="AQ183" s="10">
        <f>INDEX([1]ratio_ins!AN:AN,MATCH('001_population_health_zone_zs'!$B$2,[1]ratio_ins!$B:$B,0))*$G183*INDEX([1]ratio_ins!$D:$D,MATCH('001_population_health_zone_zs'!$B183,[1]ratio_ins!$B:$B,0))</f>
        <v>2037.654548</v>
      </c>
      <c r="AR183" s="10">
        <f>INDEX([1]ratio_ins!AO:AO,MATCH('001_population_health_zone_zs'!$B$2,[1]ratio_ins!$B:$B,0))*$G183*INDEX([1]ratio_ins!$D:$D,MATCH('001_population_health_zone_zs'!$B183,[1]ratio_ins!$B:$B,0))</f>
        <v>974.53043600000012</v>
      </c>
      <c r="AS183" s="13">
        <f>INDEX([1]ratio_ins!AP:AP,MATCH('001_population_health_zone_zs'!$B$2,[1]ratio_ins!$B:$B,0))*$G183*INDEX([1]ratio_ins!$D:$D,MATCH('001_population_health_zone_zs'!$B183,[1]ratio_ins!$B:$B,0))</f>
        <v>36252.532219200002</v>
      </c>
      <c r="AT183" s="10">
        <f>INDEX([1]ratio_ins!AQ:AQ,MATCH('001_population_health_zone_zs'!$B$2,[1]ratio_ins!$B:$B,0))*$G183*INDEX([1]ratio_ins!$D:$D,MATCH('001_population_health_zone_zs'!$B183,[1]ratio_ins!$B:$B,0))</f>
        <v>885.93676000000005</v>
      </c>
      <c r="AU183" s="10">
        <f>INDEX([1]ratio_ins!AR:AR,MATCH('001_population_health_zone_zs'!$B$2,[1]ratio_ins!$B:$B,0))*$G183*INDEX([1]ratio_ins!$D:$D,MATCH('001_population_health_zone_zs'!$B183,[1]ratio_ins!$B:$B,0))</f>
        <v>531.56205599999998</v>
      </c>
      <c r="AV183" s="10">
        <f>INDEX([1]ratio_ins!AS:AS,MATCH('001_population_health_zone_zs'!$B$2,[1]ratio_ins!$B:$B,0))*$G183*INDEX([1]ratio_ins!$D:$D,MATCH('001_population_health_zone_zs'!$B183,[1]ratio_ins!$B:$B,0))</f>
        <v>265.78102799999999</v>
      </c>
      <c r="AW183" s="10">
        <f>INDEX([1]ratio_ins!AT:AT,MATCH('001_population_health_zone_zs'!$B$2,[1]ratio_ins!$B:$B,0))*$G183*INDEX([1]ratio_ins!$D:$D,MATCH('001_population_health_zone_zs'!$B183,[1]ratio_ins!$B:$B,0))</f>
        <v>177.187352</v>
      </c>
      <c r="AX183" s="13">
        <f>INDEX([1]ratio_ins!AU:AU,MATCH('001_population_health_zone_zs'!$B$2,[1]ratio_ins!$B:$B,0))*$G183*INDEX([1]ratio_ins!$D:$D,MATCH('001_population_health_zone_zs'!$B183,[1]ratio_ins!$B:$B,0))</f>
        <v>1860.4671959999998</v>
      </c>
      <c r="AY183" s="14">
        <f t="shared" si="13"/>
        <v>88593.675999999992</v>
      </c>
      <c r="AZ183" s="15">
        <f t="shared" si="14"/>
        <v>174397</v>
      </c>
      <c r="BA183" s="16">
        <v>168645.35648430098</v>
      </c>
      <c r="BB183" s="10">
        <f t="shared" si="15"/>
        <v>37652.312300000005</v>
      </c>
      <c r="BC183" s="17">
        <f t="shared" si="16"/>
        <v>0.21590000000000004</v>
      </c>
      <c r="BD183" s="10">
        <f t="shared" si="17"/>
        <v>35779.986107999997</v>
      </c>
    </row>
    <row r="184" spans="1:56" x14ac:dyDescent="0.25">
      <c r="A184" s="8" t="s">
        <v>438</v>
      </c>
      <c r="B184" s="8" t="s">
        <v>439</v>
      </c>
      <c r="C184" s="8" t="s">
        <v>455</v>
      </c>
      <c r="D184" s="8" t="s">
        <v>456</v>
      </c>
      <c r="E184" s="8" t="s">
        <v>458</v>
      </c>
      <c r="F184" s="8" t="s">
        <v>459</v>
      </c>
      <c r="G184" s="9">
        <v>177784</v>
      </c>
      <c r="H184" s="10">
        <f>INDEX([1]ratio_ins!F:F,MATCH('001_population_health_zone_zs'!$B$2,[1]ratio_ins!$B:$B,0))*$G184*INDEX([1]ratio_ins!$C:$C,MATCH('001_population_health_zone_zs'!$B184,[1]ratio_ins!$B:$B,0))</f>
        <v>18281.173152000003</v>
      </c>
      <c r="I184" s="10">
        <f>INDEX([1]ratio_ins!G:G,MATCH('001_population_health_zone_zs'!$B$2,[1]ratio_ins!$B:$B,0))*$G184*INDEX([1]ratio_ins!$C:$C,MATCH('001_population_health_zone_zs'!$B184,[1]ratio_ins!$B:$B,0))</f>
        <v>14957.323488000002</v>
      </c>
      <c r="J184" s="10">
        <f>INDEX([1]ratio_ins!H:H,MATCH('001_population_health_zone_zs'!$B$2,[1]ratio_ins!$B:$B,0))*$G184*INDEX([1]ratio_ins!$C:$C,MATCH('001_population_health_zone_zs'!$B184,[1]ratio_ins!$B:$B,0))</f>
        <v>11808.413280000001</v>
      </c>
      <c r="K184" s="10">
        <f>INDEX([1]ratio_ins!I:I,MATCH('001_population_health_zone_zs'!$B$2,[1]ratio_ins!$B:$B,0))*$G184*INDEX([1]ratio_ins!$C:$C,MATCH('001_population_health_zone_zs'!$B184,[1]ratio_ins!$B:$B,0))</f>
        <v>7259.9874240000008</v>
      </c>
      <c r="L184" s="10">
        <f>INDEX([1]ratio_ins!J:J,MATCH('001_population_health_zone_zs'!$B$2,[1]ratio_ins!$B:$B,0))*$G184*INDEX([1]ratio_ins!$C:$C,MATCH('001_population_health_zone_zs'!$B184,[1]ratio_ins!$B:$B,0))</f>
        <v>4355.9924543999996</v>
      </c>
      <c r="M184" s="11">
        <f>INDEX([1]ratio_ins!K:K,MATCH('001_population_health_zone_zs'!$B$2,[1]ratio_ins!$B:$B,0))*$G184*INDEX([1]ratio_ins!$C:$C,MATCH('001_population_health_zone_zs'!$B184,[1]ratio_ins!$B:$B,0))</f>
        <v>49402.902374400008</v>
      </c>
      <c r="N184" s="10">
        <f>INDEX([1]ratio_ins!L:L,MATCH('001_population_health_zone_zs'!$B$2,[1]ratio_ins!$B:$B,0))*$G184*INDEX([1]ratio_ins!$C:$C,MATCH('001_population_health_zone_zs'!$B184,[1]ratio_ins!$B:$B,0))</f>
        <v>2903.9949696000003</v>
      </c>
      <c r="O184" s="10">
        <f>INDEX([1]ratio_ins!M:M,MATCH('001_population_health_zone_zs'!$B$2,[1]ratio_ins!$B:$B,0))*$G184*INDEX([1]ratio_ins!$C:$C,MATCH('001_population_health_zone_zs'!$B184,[1]ratio_ins!$B:$B,0))</f>
        <v>6297.8204160000014</v>
      </c>
      <c r="P184" s="10">
        <f>INDEX([1]ratio_ins!N:N,MATCH('001_population_health_zone_zs'!$B$2,[1]ratio_ins!$B:$B,0))*$G184*INDEX([1]ratio_ins!$C:$C,MATCH('001_population_health_zone_zs'!$B184,[1]ratio_ins!$B:$B,0))</f>
        <v>5685.5323200000012</v>
      </c>
      <c r="Q184" s="10">
        <f>INDEX([1]ratio_ins!O:O,MATCH('001_population_health_zone_zs'!$B$2,[1]ratio_ins!$B:$B,0))*$G184*INDEX([1]ratio_ins!$C:$C,MATCH('001_population_health_zone_zs'!$B184,[1]ratio_ins!$B:$B,0))</f>
        <v>5073.244224</v>
      </c>
      <c r="R184" s="10">
        <f>INDEX([1]ratio_ins!P:P,MATCH('001_population_health_zone_zs'!$B$2,[1]ratio_ins!$B:$B,0))*$G184*INDEX([1]ratio_ins!$C:$C,MATCH('001_population_health_zone_zs'!$B184,[1]ratio_ins!$B:$B,0))</f>
        <v>4985.7744960000009</v>
      </c>
      <c r="S184" s="10">
        <f>INDEX([1]ratio_ins!Q:Q,MATCH('001_population_health_zone_zs'!$B$2,[1]ratio_ins!$B:$B,0))*$G184*INDEX([1]ratio_ins!$C:$C,MATCH('001_population_health_zone_zs'!$B184,[1]ratio_ins!$B:$B,0))</f>
        <v>4198.5469440000006</v>
      </c>
      <c r="T184" s="10">
        <f>INDEX([1]ratio_ins!R:R,MATCH('001_population_health_zone_zs'!$B$2,[1]ratio_ins!$B:$B,0))*$G184*INDEX([1]ratio_ins!$C:$C,MATCH('001_population_health_zone_zs'!$B184,[1]ratio_ins!$B:$B,0))</f>
        <v>2973.9707520000006</v>
      </c>
      <c r="U184" s="10">
        <f>INDEX([1]ratio_ins!S:S,MATCH('001_population_health_zone_zs'!$B$2,[1]ratio_ins!$B:$B,0))*$G184*INDEX([1]ratio_ins!$C:$C,MATCH('001_population_health_zone_zs'!$B184,[1]ratio_ins!$B:$B,0))</f>
        <v>2361.6826560000004</v>
      </c>
      <c r="V184" s="10">
        <f>INDEX([1]ratio_ins!T:T,MATCH('001_population_health_zone_zs'!$B$2,[1]ratio_ins!$B:$B,0))*$G184*INDEX([1]ratio_ins!$C:$C,MATCH('001_population_health_zone_zs'!$B184,[1]ratio_ins!$B:$B,0))</f>
        <v>1312.04592</v>
      </c>
      <c r="W184" s="11">
        <f>INDEX([1]ratio_ins!U:U,MATCH('001_population_health_zone_zs'!$B$2,[1]ratio_ins!$B:$B,0))*$G184*INDEX([1]ratio_ins!$C:$C,MATCH('001_population_health_zone_zs'!$B184,[1]ratio_ins!$B:$B,0))</f>
        <v>35792.612697600009</v>
      </c>
      <c r="X184" s="10">
        <f>INDEX([1]ratio_ins!V:V,MATCH('001_population_health_zone_zs'!$B$2,[1]ratio_ins!$B:$B,0))*$G184*INDEX([1]ratio_ins!$C:$C,MATCH('001_population_health_zone_zs'!$B184,[1]ratio_ins!$B:$B,0))</f>
        <v>1049.6367360000002</v>
      </c>
      <c r="Y184" s="10">
        <f>INDEX([1]ratio_ins!W:W,MATCH('001_population_health_zone_zs'!$B$2,[1]ratio_ins!$B:$B,0))*$G184*INDEX([1]ratio_ins!$C:$C,MATCH('001_population_health_zone_zs'!$B184,[1]ratio_ins!$B:$B,0))</f>
        <v>699.75782400000003</v>
      </c>
      <c r="Z184" s="10">
        <f>INDEX([1]ratio_ins!X:X,MATCH('001_population_health_zone_zs'!$B$2,[1]ratio_ins!$B:$B,0))*$G184*INDEX([1]ratio_ins!$C:$C,MATCH('001_population_health_zone_zs'!$B184,[1]ratio_ins!$B:$B,0))</f>
        <v>349.87891200000001</v>
      </c>
      <c r="AA184" s="10">
        <f>INDEX([1]ratio_ins!Y:Y,MATCH('001_population_health_zone_zs'!$B$2,[1]ratio_ins!$B:$B,0))*$G184*INDEX([1]ratio_ins!$C:$C,MATCH('001_population_health_zone_zs'!$B184,[1]ratio_ins!$B:$B,0))</f>
        <v>174.93945600000001</v>
      </c>
      <c r="AB184" s="11">
        <f>INDEX([1]ratio_ins!Z:Z,MATCH('001_population_health_zone_zs'!$B$2,[1]ratio_ins!$B:$B,0))*$G184*INDEX([1]ratio_ins!$C:$C,MATCH('001_population_health_zone_zs'!$B184,[1]ratio_ins!$B:$B,0))</f>
        <v>2274.2129280000004</v>
      </c>
      <c r="AC184" s="12">
        <f t="shared" si="12"/>
        <v>87469.728000000003</v>
      </c>
      <c r="AD184" s="10">
        <f>INDEX([1]ratio_ins!AA:AA,MATCH('001_population_health_zone_zs'!$B$2,[1]ratio_ins!$B:$B,0))*$G184*INDEX([1]ratio_ins!$D:$D,MATCH('001_population_health_zone_zs'!$B184,[1]ratio_ins!$B:$B,0))</f>
        <v>18965.99712</v>
      </c>
      <c r="AE184" s="10">
        <f>INDEX([1]ratio_ins!AB:AB,MATCH('001_population_health_zone_zs'!$B$2,[1]ratio_ins!$B:$B,0))*$G184*INDEX([1]ratio_ins!$D:$D,MATCH('001_population_health_zone_zs'!$B184,[1]ratio_ins!$B:$B,0))</f>
        <v>15624.369056000001</v>
      </c>
      <c r="AF184" s="10">
        <f>INDEX([1]ratio_ins!AC:AC,MATCH('001_population_health_zone_zs'!$B$2,[1]ratio_ins!$B:$B,0))*$G184*INDEX([1]ratio_ins!$D:$D,MATCH('001_population_health_zone_zs'!$B184,[1]ratio_ins!$B:$B,0))</f>
        <v>12373.055263999999</v>
      </c>
      <c r="AG184" s="10">
        <f>INDEX([1]ratio_ins!AD:AD,MATCH('001_population_health_zone_zs'!$B$2,[1]ratio_ins!$B:$B,0))*$G184*INDEX([1]ratio_ins!$D:$D,MATCH('001_population_health_zone_zs'!$B184,[1]ratio_ins!$B:$B,0))</f>
        <v>7496.0845760000002</v>
      </c>
      <c r="AH184" s="10">
        <f>INDEX([1]ratio_ins!AE:AE,MATCH('001_population_health_zone_zs'!$B$2,[1]ratio_ins!$B:$B,0))*$G184*INDEX([1]ratio_ins!$D:$D,MATCH('001_population_health_zone_zs'!$B184,[1]ratio_ins!$B:$B,0))</f>
        <v>4497.650745599999</v>
      </c>
      <c r="AI184" s="13">
        <f>INDEX([1]ratio_ins!AF:AF,MATCH('001_population_health_zone_zs'!$B$2,[1]ratio_ins!$B:$B,0))*$G184*INDEX([1]ratio_ins!$D:$D,MATCH('001_population_health_zone_zs'!$B184,[1]ratio_ins!$B:$B,0))</f>
        <v>51461.072185600002</v>
      </c>
      <c r="AJ184" s="10">
        <f>INDEX([1]ratio_ins!AG:AG,MATCH('001_population_health_zone_zs'!$B$2,[1]ratio_ins!$B:$B,0))*$G184*INDEX([1]ratio_ins!$D:$D,MATCH('001_population_health_zone_zs'!$B184,[1]ratio_ins!$B:$B,0))</f>
        <v>2998.4338303999998</v>
      </c>
      <c r="AK184" s="10">
        <f>INDEX([1]ratio_ins!AH:AH,MATCH('001_population_health_zone_zs'!$B$2,[1]ratio_ins!$B:$B,0))*$G184*INDEX([1]ratio_ins!$D:$D,MATCH('001_population_health_zone_zs'!$B184,[1]ratio_ins!$B:$B,0))</f>
        <v>6683.2561280000009</v>
      </c>
      <c r="AL184" s="10">
        <f>INDEX([1]ratio_ins!AI:AI,MATCH('001_population_health_zone_zs'!$B$2,[1]ratio_ins!$B:$B,0))*$G184*INDEX([1]ratio_ins!$D:$D,MATCH('001_population_health_zone_zs'!$B184,[1]ratio_ins!$B:$B,0))</f>
        <v>6321.9990400000006</v>
      </c>
      <c r="AM184" s="10">
        <f>INDEX([1]ratio_ins!AJ:AJ,MATCH('001_population_health_zone_zs'!$B$2,[1]ratio_ins!$B:$B,0))*$G184*INDEX([1]ratio_ins!$D:$D,MATCH('001_population_health_zone_zs'!$B184,[1]ratio_ins!$B:$B,0))</f>
        <v>5780.1134080000002</v>
      </c>
      <c r="AN184" s="10">
        <f>INDEX([1]ratio_ins!AK:AK,MATCH('001_population_health_zone_zs'!$B$2,[1]ratio_ins!$B:$B,0))*$G184*INDEX([1]ratio_ins!$D:$D,MATCH('001_population_health_zone_zs'!$B184,[1]ratio_ins!$B:$B,0))</f>
        <v>5418.8563199999999</v>
      </c>
      <c r="AO184" s="10">
        <f>INDEX([1]ratio_ins!AL:AL,MATCH('001_population_health_zone_zs'!$B$2,[1]ratio_ins!$B:$B,0))*$G184*INDEX([1]ratio_ins!$D:$D,MATCH('001_population_health_zone_zs'!$B184,[1]ratio_ins!$B:$B,0))</f>
        <v>4064.1422400000001</v>
      </c>
      <c r="AP184" s="10">
        <f>INDEX([1]ratio_ins!AM:AM,MATCH('001_population_health_zone_zs'!$B$2,[1]ratio_ins!$B:$B,0))*$G184*INDEX([1]ratio_ins!$D:$D,MATCH('001_population_health_zone_zs'!$B184,[1]ratio_ins!$B:$B,0))</f>
        <v>2619.1138879999999</v>
      </c>
      <c r="AQ184" s="10">
        <f>INDEX([1]ratio_ins!AN:AN,MATCH('001_population_health_zone_zs'!$B$2,[1]ratio_ins!$B:$B,0))*$G184*INDEX([1]ratio_ins!$D:$D,MATCH('001_population_health_zone_zs'!$B184,[1]ratio_ins!$B:$B,0))</f>
        <v>2077.2282560000003</v>
      </c>
      <c r="AR184" s="10">
        <f>INDEX([1]ratio_ins!AO:AO,MATCH('001_population_health_zone_zs'!$B$2,[1]ratio_ins!$B:$B,0))*$G184*INDEX([1]ratio_ins!$D:$D,MATCH('001_population_health_zone_zs'!$B184,[1]ratio_ins!$B:$B,0))</f>
        <v>993.45699200000013</v>
      </c>
      <c r="AS184" s="13">
        <f>INDEX([1]ratio_ins!AP:AP,MATCH('001_population_health_zone_zs'!$B$2,[1]ratio_ins!$B:$B,0))*$G184*INDEX([1]ratio_ins!$D:$D,MATCH('001_population_health_zone_zs'!$B184,[1]ratio_ins!$B:$B,0))</f>
        <v>36956.600102400007</v>
      </c>
      <c r="AT184" s="10">
        <f>INDEX([1]ratio_ins!AQ:AQ,MATCH('001_population_health_zone_zs'!$B$2,[1]ratio_ins!$B:$B,0))*$G184*INDEX([1]ratio_ins!$D:$D,MATCH('001_population_health_zone_zs'!$B184,[1]ratio_ins!$B:$B,0))</f>
        <v>903.14272000000005</v>
      </c>
      <c r="AU184" s="10">
        <f>INDEX([1]ratio_ins!AR:AR,MATCH('001_population_health_zone_zs'!$B$2,[1]ratio_ins!$B:$B,0))*$G184*INDEX([1]ratio_ins!$D:$D,MATCH('001_population_health_zone_zs'!$B184,[1]ratio_ins!$B:$B,0))</f>
        <v>541.88563199999999</v>
      </c>
      <c r="AV184" s="10">
        <f>INDEX([1]ratio_ins!AS:AS,MATCH('001_population_health_zone_zs'!$B$2,[1]ratio_ins!$B:$B,0))*$G184*INDEX([1]ratio_ins!$D:$D,MATCH('001_population_health_zone_zs'!$B184,[1]ratio_ins!$B:$B,0))</f>
        <v>270.94281599999999</v>
      </c>
      <c r="AW184" s="10">
        <f>INDEX([1]ratio_ins!AT:AT,MATCH('001_population_health_zone_zs'!$B$2,[1]ratio_ins!$B:$B,0))*$G184*INDEX([1]ratio_ins!$D:$D,MATCH('001_population_health_zone_zs'!$B184,[1]ratio_ins!$B:$B,0))</f>
        <v>180.62854400000001</v>
      </c>
      <c r="AX184" s="13">
        <f>INDEX([1]ratio_ins!AU:AU,MATCH('001_population_health_zone_zs'!$B$2,[1]ratio_ins!$B:$B,0))*$G184*INDEX([1]ratio_ins!$D:$D,MATCH('001_population_health_zone_zs'!$B184,[1]ratio_ins!$B:$B,0))</f>
        <v>1896.5997119999997</v>
      </c>
      <c r="AY184" s="14">
        <f t="shared" si="13"/>
        <v>90314.271999999997</v>
      </c>
      <c r="AZ184" s="15">
        <f t="shared" si="14"/>
        <v>177784</v>
      </c>
      <c r="BA184" s="16">
        <v>171921.03236659599</v>
      </c>
      <c r="BB184" s="10">
        <f t="shared" si="15"/>
        <v>38383.565600000002</v>
      </c>
      <c r="BC184" s="17">
        <f t="shared" si="16"/>
        <v>0.21590000000000001</v>
      </c>
      <c r="BD184" s="10">
        <f t="shared" si="17"/>
        <v>36474.876576000002</v>
      </c>
    </row>
    <row r="185" spans="1:56" x14ac:dyDescent="0.25">
      <c r="A185" s="8" t="s">
        <v>438</v>
      </c>
      <c r="B185" s="8" t="s">
        <v>439</v>
      </c>
      <c r="C185" s="8" t="s">
        <v>460</v>
      </c>
      <c r="D185" s="8" t="s">
        <v>461</v>
      </c>
      <c r="E185" s="8" t="s">
        <v>460</v>
      </c>
      <c r="F185" s="8" t="s">
        <v>462</v>
      </c>
      <c r="G185" s="9">
        <v>206482</v>
      </c>
      <c r="H185" s="10">
        <f>INDEX([1]ratio_ins!F:F,MATCH('001_population_health_zone_zs'!$B$2,[1]ratio_ins!$B:$B,0))*$G185*INDEX([1]ratio_ins!$C:$C,MATCH('001_population_health_zone_zs'!$B185,[1]ratio_ins!$B:$B,0))</f>
        <v>21232.131096000001</v>
      </c>
      <c r="I185" s="10">
        <f>INDEX([1]ratio_ins!G:G,MATCH('001_population_health_zone_zs'!$B$2,[1]ratio_ins!$B:$B,0))*$G185*INDEX([1]ratio_ins!$C:$C,MATCH('001_population_health_zone_zs'!$B185,[1]ratio_ins!$B:$B,0))</f>
        <v>17371.743624000006</v>
      </c>
      <c r="J185" s="10">
        <f>INDEX([1]ratio_ins!H:H,MATCH('001_population_health_zone_zs'!$B$2,[1]ratio_ins!$B:$B,0))*$G185*INDEX([1]ratio_ins!$C:$C,MATCH('001_population_health_zone_zs'!$B185,[1]ratio_ins!$B:$B,0))</f>
        <v>13714.534440000003</v>
      </c>
      <c r="K185" s="10">
        <f>INDEX([1]ratio_ins!I:I,MATCH('001_population_health_zone_zs'!$B$2,[1]ratio_ins!$B:$B,0))*$G185*INDEX([1]ratio_ins!$C:$C,MATCH('001_population_health_zone_zs'!$B185,[1]ratio_ins!$B:$B,0))</f>
        <v>8431.8989520000014</v>
      </c>
      <c r="L185" s="10">
        <f>INDEX([1]ratio_ins!J:J,MATCH('001_population_health_zone_zs'!$B$2,[1]ratio_ins!$B:$B,0))*$G185*INDEX([1]ratio_ins!$C:$C,MATCH('001_population_health_zone_zs'!$B185,[1]ratio_ins!$B:$B,0))</f>
        <v>5059.1393711999999</v>
      </c>
      <c r="M185" s="11">
        <f>INDEX([1]ratio_ins!K:K,MATCH('001_population_health_zone_zs'!$B$2,[1]ratio_ins!$B:$B,0))*$G185*INDEX([1]ratio_ins!$C:$C,MATCH('001_population_health_zone_zs'!$B185,[1]ratio_ins!$B:$B,0))</f>
        <v>57377.548531200002</v>
      </c>
      <c r="N185" s="10">
        <f>INDEX([1]ratio_ins!L:L,MATCH('001_population_health_zone_zs'!$B$2,[1]ratio_ins!$B:$B,0))*$G185*INDEX([1]ratio_ins!$C:$C,MATCH('001_population_health_zone_zs'!$B185,[1]ratio_ins!$B:$B,0))</f>
        <v>3372.7595808000005</v>
      </c>
      <c r="O185" s="10">
        <f>INDEX([1]ratio_ins!M:M,MATCH('001_population_health_zone_zs'!$B$2,[1]ratio_ins!$B:$B,0))*$G185*INDEX([1]ratio_ins!$C:$C,MATCH('001_population_health_zone_zs'!$B185,[1]ratio_ins!$B:$B,0))</f>
        <v>7314.4183680000015</v>
      </c>
      <c r="P185" s="10">
        <f>INDEX([1]ratio_ins!N:N,MATCH('001_population_health_zone_zs'!$B$2,[1]ratio_ins!$B:$B,0))*$G185*INDEX([1]ratio_ins!$C:$C,MATCH('001_population_health_zone_zs'!$B185,[1]ratio_ins!$B:$B,0))</f>
        <v>6603.2943600000008</v>
      </c>
      <c r="Q185" s="10">
        <f>INDEX([1]ratio_ins!O:O,MATCH('001_population_health_zone_zs'!$B$2,[1]ratio_ins!$B:$B,0))*$G185*INDEX([1]ratio_ins!$C:$C,MATCH('001_population_health_zone_zs'!$B185,[1]ratio_ins!$B:$B,0))</f>
        <v>5892.1703520000001</v>
      </c>
      <c r="R185" s="10">
        <f>INDEX([1]ratio_ins!P:P,MATCH('001_population_health_zone_zs'!$B$2,[1]ratio_ins!$B:$B,0))*$G185*INDEX([1]ratio_ins!$C:$C,MATCH('001_population_health_zone_zs'!$B185,[1]ratio_ins!$B:$B,0))</f>
        <v>5790.5812080000005</v>
      </c>
      <c r="S185" s="10">
        <f>INDEX([1]ratio_ins!Q:Q,MATCH('001_population_health_zone_zs'!$B$2,[1]ratio_ins!$B:$B,0))*$G185*INDEX([1]ratio_ins!$C:$C,MATCH('001_population_health_zone_zs'!$B185,[1]ratio_ins!$B:$B,0))</f>
        <v>4876.2789120000007</v>
      </c>
      <c r="T185" s="10">
        <f>INDEX([1]ratio_ins!R:R,MATCH('001_population_health_zone_zs'!$B$2,[1]ratio_ins!$B:$B,0))*$G185*INDEX([1]ratio_ins!$C:$C,MATCH('001_population_health_zone_zs'!$B185,[1]ratio_ins!$B:$B,0))</f>
        <v>3454.0308960000007</v>
      </c>
      <c r="U185" s="10">
        <f>INDEX([1]ratio_ins!S:S,MATCH('001_population_health_zone_zs'!$B$2,[1]ratio_ins!$B:$B,0))*$G185*INDEX([1]ratio_ins!$C:$C,MATCH('001_population_health_zone_zs'!$B185,[1]ratio_ins!$B:$B,0))</f>
        <v>2742.9068880000009</v>
      </c>
      <c r="V185" s="10">
        <f>INDEX([1]ratio_ins!T:T,MATCH('001_population_health_zone_zs'!$B$2,[1]ratio_ins!$B:$B,0))*$G185*INDEX([1]ratio_ins!$C:$C,MATCH('001_population_health_zone_zs'!$B185,[1]ratio_ins!$B:$B,0))</f>
        <v>1523.8371600000003</v>
      </c>
      <c r="W185" s="11">
        <f>INDEX([1]ratio_ins!U:U,MATCH('001_population_health_zone_zs'!$B$2,[1]ratio_ins!$B:$B,0))*$G185*INDEX([1]ratio_ins!$C:$C,MATCH('001_population_health_zone_zs'!$B185,[1]ratio_ins!$B:$B,0))</f>
        <v>41570.277724800006</v>
      </c>
      <c r="X185" s="10">
        <f>INDEX([1]ratio_ins!V:V,MATCH('001_population_health_zone_zs'!$B$2,[1]ratio_ins!$B:$B,0))*$G185*INDEX([1]ratio_ins!$C:$C,MATCH('001_population_health_zone_zs'!$B185,[1]ratio_ins!$B:$B,0))</f>
        <v>1219.0697280000002</v>
      </c>
      <c r="Y185" s="10">
        <f>INDEX([1]ratio_ins!W:W,MATCH('001_population_health_zone_zs'!$B$2,[1]ratio_ins!$B:$B,0))*$G185*INDEX([1]ratio_ins!$C:$C,MATCH('001_population_health_zone_zs'!$B185,[1]ratio_ins!$B:$B,0))</f>
        <v>812.71315200000004</v>
      </c>
      <c r="Z185" s="10">
        <f>INDEX([1]ratio_ins!X:X,MATCH('001_population_health_zone_zs'!$B$2,[1]ratio_ins!$B:$B,0))*$G185*INDEX([1]ratio_ins!$C:$C,MATCH('001_population_health_zone_zs'!$B185,[1]ratio_ins!$B:$B,0))</f>
        <v>406.35657600000002</v>
      </c>
      <c r="AA185" s="10">
        <f>INDEX([1]ratio_ins!Y:Y,MATCH('001_population_health_zone_zs'!$B$2,[1]ratio_ins!$B:$B,0))*$G185*INDEX([1]ratio_ins!$C:$C,MATCH('001_population_health_zone_zs'!$B185,[1]ratio_ins!$B:$B,0))</f>
        <v>203.17828800000001</v>
      </c>
      <c r="AB185" s="11">
        <f>INDEX([1]ratio_ins!Z:Z,MATCH('001_population_health_zone_zs'!$B$2,[1]ratio_ins!$B:$B,0))*$G185*INDEX([1]ratio_ins!$C:$C,MATCH('001_population_health_zone_zs'!$B185,[1]ratio_ins!$B:$B,0))</f>
        <v>2641.3177440000004</v>
      </c>
      <c r="AC185" s="12">
        <f t="shared" si="12"/>
        <v>101589.144</v>
      </c>
      <c r="AD185" s="10">
        <f>INDEX([1]ratio_ins!AA:AA,MATCH('001_population_health_zone_zs'!$B$2,[1]ratio_ins!$B:$B,0))*$G185*INDEX([1]ratio_ins!$D:$D,MATCH('001_population_health_zone_zs'!$B185,[1]ratio_ins!$B:$B,0))</f>
        <v>22027.499760000002</v>
      </c>
      <c r="AE185" s="10">
        <f>INDEX([1]ratio_ins!AB:AB,MATCH('001_population_health_zone_zs'!$B$2,[1]ratio_ins!$B:$B,0))*$G185*INDEX([1]ratio_ins!$D:$D,MATCH('001_population_health_zone_zs'!$B185,[1]ratio_ins!$B:$B,0))</f>
        <v>18146.464088000004</v>
      </c>
      <c r="AF185" s="10">
        <f>INDEX([1]ratio_ins!AC:AC,MATCH('001_population_health_zone_zs'!$B$2,[1]ratio_ins!$B:$B,0))*$G185*INDEX([1]ratio_ins!$D:$D,MATCH('001_population_health_zone_zs'!$B185,[1]ratio_ins!$B:$B,0))</f>
        <v>14370.321271999997</v>
      </c>
      <c r="AG185" s="10">
        <f>INDEX([1]ratio_ins!AD:AD,MATCH('001_population_health_zone_zs'!$B$2,[1]ratio_ins!$B:$B,0))*$G185*INDEX([1]ratio_ins!$D:$D,MATCH('001_population_health_zone_zs'!$B185,[1]ratio_ins!$B:$B,0))</f>
        <v>8706.1070479999998</v>
      </c>
      <c r="AH185" s="10">
        <f>INDEX([1]ratio_ins!AE:AE,MATCH('001_population_health_zone_zs'!$B$2,[1]ratio_ins!$B:$B,0))*$G185*INDEX([1]ratio_ins!$D:$D,MATCH('001_population_health_zone_zs'!$B185,[1]ratio_ins!$B:$B,0))</f>
        <v>5223.6642287999994</v>
      </c>
      <c r="AI185" s="13">
        <f>INDEX([1]ratio_ins!AF:AF,MATCH('001_population_health_zone_zs'!$B$2,[1]ratio_ins!$B:$B,0))*$G185*INDEX([1]ratio_ins!$D:$D,MATCH('001_population_health_zone_zs'!$B185,[1]ratio_ins!$B:$B,0))</f>
        <v>59767.949348800001</v>
      </c>
      <c r="AJ185" s="10">
        <f>INDEX([1]ratio_ins!AG:AG,MATCH('001_population_health_zone_zs'!$B$2,[1]ratio_ins!$B:$B,0))*$G185*INDEX([1]ratio_ins!$D:$D,MATCH('001_population_health_zone_zs'!$B185,[1]ratio_ins!$B:$B,0))</f>
        <v>3482.4428192</v>
      </c>
      <c r="AK185" s="10">
        <f>INDEX([1]ratio_ins!AH:AH,MATCH('001_population_health_zone_zs'!$B$2,[1]ratio_ins!$B:$B,0))*$G185*INDEX([1]ratio_ins!$D:$D,MATCH('001_population_health_zone_zs'!$B185,[1]ratio_ins!$B:$B,0))</f>
        <v>7762.0713440000009</v>
      </c>
      <c r="AL185" s="10">
        <f>INDEX([1]ratio_ins!AI:AI,MATCH('001_population_health_zone_zs'!$B$2,[1]ratio_ins!$B:$B,0))*$G185*INDEX([1]ratio_ins!$D:$D,MATCH('001_population_health_zone_zs'!$B185,[1]ratio_ins!$B:$B,0))</f>
        <v>7342.4999200000011</v>
      </c>
      <c r="AM185" s="10">
        <f>INDEX([1]ratio_ins!AJ:AJ,MATCH('001_population_health_zone_zs'!$B$2,[1]ratio_ins!$B:$B,0))*$G185*INDEX([1]ratio_ins!$D:$D,MATCH('001_population_health_zone_zs'!$B185,[1]ratio_ins!$B:$B,0))</f>
        <v>6713.1427839999997</v>
      </c>
      <c r="AN185" s="10">
        <f>INDEX([1]ratio_ins!AK:AK,MATCH('001_population_health_zone_zs'!$B$2,[1]ratio_ins!$B:$B,0))*$G185*INDEX([1]ratio_ins!$D:$D,MATCH('001_population_health_zone_zs'!$B185,[1]ratio_ins!$B:$B,0))</f>
        <v>6293.5713599999999</v>
      </c>
      <c r="AO185" s="10">
        <f>INDEX([1]ratio_ins!AL:AL,MATCH('001_population_health_zone_zs'!$B$2,[1]ratio_ins!$B:$B,0))*$G185*INDEX([1]ratio_ins!$D:$D,MATCH('001_population_health_zone_zs'!$B185,[1]ratio_ins!$B:$B,0))</f>
        <v>4720.1785200000004</v>
      </c>
      <c r="AP185" s="10">
        <f>INDEX([1]ratio_ins!AM:AM,MATCH('001_population_health_zone_zs'!$B$2,[1]ratio_ins!$B:$B,0))*$G185*INDEX([1]ratio_ins!$D:$D,MATCH('001_population_health_zone_zs'!$B185,[1]ratio_ins!$B:$B,0))</f>
        <v>3041.8928239999996</v>
      </c>
      <c r="AQ185" s="10">
        <f>INDEX([1]ratio_ins!AN:AN,MATCH('001_population_health_zone_zs'!$B$2,[1]ratio_ins!$B:$B,0))*$G185*INDEX([1]ratio_ins!$D:$D,MATCH('001_population_health_zone_zs'!$B185,[1]ratio_ins!$B:$B,0))</f>
        <v>2412.5356879999999</v>
      </c>
      <c r="AR185" s="10">
        <f>INDEX([1]ratio_ins!AO:AO,MATCH('001_population_health_zone_zs'!$B$2,[1]ratio_ins!$B:$B,0))*$G185*INDEX([1]ratio_ins!$D:$D,MATCH('001_population_health_zone_zs'!$B185,[1]ratio_ins!$B:$B,0))</f>
        <v>1153.821416</v>
      </c>
      <c r="AS185" s="13">
        <f>INDEX([1]ratio_ins!AP:AP,MATCH('001_population_health_zone_zs'!$B$2,[1]ratio_ins!$B:$B,0))*$G185*INDEX([1]ratio_ins!$D:$D,MATCH('001_population_health_zone_zs'!$B185,[1]ratio_ins!$B:$B,0))</f>
        <v>42922.1566752</v>
      </c>
      <c r="AT185" s="10">
        <f>INDEX([1]ratio_ins!AQ:AQ,MATCH('001_population_health_zone_zs'!$B$2,[1]ratio_ins!$B:$B,0))*$G185*INDEX([1]ratio_ins!$D:$D,MATCH('001_population_health_zone_zs'!$B185,[1]ratio_ins!$B:$B,0))</f>
        <v>1048.9285600000001</v>
      </c>
      <c r="AU185" s="10">
        <f>INDEX([1]ratio_ins!AR:AR,MATCH('001_population_health_zone_zs'!$B$2,[1]ratio_ins!$B:$B,0))*$G185*INDEX([1]ratio_ins!$D:$D,MATCH('001_population_health_zone_zs'!$B185,[1]ratio_ins!$B:$B,0))</f>
        <v>629.35713600000008</v>
      </c>
      <c r="AV185" s="10">
        <f>INDEX([1]ratio_ins!AS:AS,MATCH('001_population_health_zone_zs'!$B$2,[1]ratio_ins!$B:$B,0))*$G185*INDEX([1]ratio_ins!$D:$D,MATCH('001_population_health_zone_zs'!$B185,[1]ratio_ins!$B:$B,0))</f>
        <v>314.67856800000004</v>
      </c>
      <c r="AW185" s="10">
        <f>INDEX([1]ratio_ins!AT:AT,MATCH('001_population_health_zone_zs'!$B$2,[1]ratio_ins!$B:$B,0))*$G185*INDEX([1]ratio_ins!$D:$D,MATCH('001_population_health_zone_zs'!$B185,[1]ratio_ins!$B:$B,0))</f>
        <v>209.78571199999999</v>
      </c>
      <c r="AX185" s="13">
        <f>INDEX([1]ratio_ins!AU:AU,MATCH('001_population_health_zone_zs'!$B$2,[1]ratio_ins!$B:$B,0))*$G185*INDEX([1]ratio_ins!$D:$D,MATCH('001_population_health_zone_zs'!$B185,[1]ratio_ins!$B:$B,0))</f>
        <v>2202.7499759999996</v>
      </c>
      <c r="AY185" s="14">
        <f t="shared" si="13"/>
        <v>104892.85600000001</v>
      </c>
      <c r="AZ185" s="15">
        <f t="shared" si="14"/>
        <v>206482</v>
      </c>
      <c r="BA185" s="16">
        <v>199672.22303552169</v>
      </c>
      <c r="BB185" s="10">
        <f t="shared" si="15"/>
        <v>44579.463800000005</v>
      </c>
      <c r="BC185" s="17">
        <f t="shared" si="16"/>
        <v>0.21590000000000004</v>
      </c>
      <c r="BD185" s="10">
        <f t="shared" si="17"/>
        <v>42362.673048000011</v>
      </c>
    </row>
    <row r="186" spans="1:56" x14ac:dyDescent="0.25">
      <c r="A186" s="8" t="s">
        <v>438</v>
      </c>
      <c r="B186" s="8" t="s">
        <v>439</v>
      </c>
      <c r="C186" s="8" t="s">
        <v>460</v>
      </c>
      <c r="D186" s="8" t="s">
        <v>461</v>
      </c>
      <c r="E186" s="8" t="s">
        <v>463</v>
      </c>
      <c r="F186" s="8" t="s">
        <v>464</v>
      </c>
      <c r="G186" s="9">
        <v>241515</v>
      </c>
      <c r="H186" s="10">
        <f>INDEX([1]ratio_ins!F:F,MATCH('001_population_health_zone_zs'!$B$2,[1]ratio_ins!$B:$B,0))*$G186*INDEX([1]ratio_ins!$C:$C,MATCH('001_population_health_zone_zs'!$B186,[1]ratio_ins!$B:$B,0))</f>
        <v>24834.504420000001</v>
      </c>
      <c r="I186" s="10">
        <f>INDEX([1]ratio_ins!G:G,MATCH('001_population_health_zone_zs'!$B$2,[1]ratio_ins!$B:$B,0))*$G186*INDEX([1]ratio_ins!$C:$C,MATCH('001_population_health_zone_zs'!$B186,[1]ratio_ins!$B:$B,0))</f>
        <v>20319.139980000004</v>
      </c>
      <c r="J186" s="10">
        <f>INDEX([1]ratio_ins!H:H,MATCH('001_population_health_zone_zs'!$B$2,[1]ratio_ins!$B:$B,0))*$G186*INDEX([1]ratio_ins!$C:$C,MATCH('001_population_health_zone_zs'!$B186,[1]ratio_ins!$B:$B,0))</f>
        <v>16041.426300000003</v>
      </c>
      <c r="K186" s="10">
        <f>INDEX([1]ratio_ins!I:I,MATCH('001_population_health_zone_zs'!$B$2,[1]ratio_ins!$B:$B,0))*$G186*INDEX([1]ratio_ins!$C:$C,MATCH('001_population_health_zone_zs'!$B186,[1]ratio_ins!$B:$B,0))</f>
        <v>9862.5065400000021</v>
      </c>
      <c r="L186" s="10">
        <f>INDEX([1]ratio_ins!J:J,MATCH('001_population_health_zone_zs'!$B$2,[1]ratio_ins!$B:$B,0))*$G186*INDEX([1]ratio_ins!$C:$C,MATCH('001_population_health_zone_zs'!$B186,[1]ratio_ins!$B:$B,0))</f>
        <v>5917.5039240000006</v>
      </c>
      <c r="M186" s="11">
        <f>INDEX([1]ratio_ins!K:K,MATCH('001_population_health_zone_zs'!$B$2,[1]ratio_ins!$B:$B,0))*$G186*INDEX([1]ratio_ins!$C:$C,MATCH('001_population_health_zone_zs'!$B186,[1]ratio_ins!$B:$B,0))</f>
        <v>67112.574624000001</v>
      </c>
      <c r="N186" s="10">
        <f>INDEX([1]ratio_ins!L:L,MATCH('001_population_health_zone_zs'!$B$2,[1]ratio_ins!$B:$B,0))*$G186*INDEX([1]ratio_ins!$C:$C,MATCH('001_population_health_zone_zs'!$B186,[1]ratio_ins!$B:$B,0))</f>
        <v>3945.0026160000002</v>
      </c>
      <c r="O186" s="10">
        <f>INDEX([1]ratio_ins!M:M,MATCH('001_population_health_zone_zs'!$B$2,[1]ratio_ins!$B:$B,0))*$G186*INDEX([1]ratio_ins!$C:$C,MATCH('001_population_health_zone_zs'!$B186,[1]ratio_ins!$B:$B,0))</f>
        <v>8555.4273600000015</v>
      </c>
      <c r="P186" s="10">
        <f>INDEX([1]ratio_ins!N:N,MATCH('001_population_health_zone_zs'!$B$2,[1]ratio_ins!$B:$B,0))*$G186*INDEX([1]ratio_ins!$C:$C,MATCH('001_population_health_zone_zs'!$B186,[1]ratio_ins!$B:$B,0))</f>
        <v>7723.6497000000008</v>
      </c>
      <c r="Q186" s="10">
        <f>INDEX([1]ratio_ins!O:O,MATCH('001_population_health_zone_zs'!$B$2,[1]ratio_ins!$B:$B,0))*$G186*INDEX([1]ratio_ins!$C:$C,MATCH('001_population_health_zone_zs'!$B186,[1]ratio_ins!$B:$B,0))</f>
        <v>6891.8720400000002</v>
      </c>
      <c r="R186" s="10">
        <f>INDEX([1]ratio_ins!P:P,MATCH('001_population_health_zone_zs'!$B$2,[1]ratio_ins!$B:$B,0))*$G186*INDEX([1]ratio_ins!$C:$C,MATCH('001_population_health_zone_zs'!$B186,[1]ratio_ins!$B:$B,0))</f>
        <v>6773.0466600000018</v>
      </c>
      <c r="S186" s="10">
        <f>INDEX([1]ratio_ins!Q:Q,MATCH('001_population_health_zone_zs'!$B$2,[1]ratio_ins!$B:$B,0))*$G186*INDEX([1]ratio_ins!$C:$C,MATCH('001_population_health_zone_zs'!$B186,[1]ratio_ins!$B:$B,0))</f>
        <v>5703.6182399999998</v>
      </c>
      <c r="T186" s="10">
        <f>INDEX([1]ratio_ins!R:R,MATCH('001_population_health_zone_zs'!$B$2,[1]ratio_ins!$B:$B,0))*$G186*INDEX([1]ratio_ins!$C:$C,MATCH('001_population_health_zone_zs'!$B186,[1]ratio_ins!$B:$B,0))</f>
        <v>4040.0629200000003</v>
      </c>
      <c r="U186" s="10">
        <f>INDEX([1]ratio_ins!S:S,MATCH('001_population_health_zone_zs'!$B$2,[1]ratio_ins!$B:$B,0))*$G186*INDEX([1]ratio_ins!$C:$C,MATCH('001_population_health_zone_zs'!$B186,[1]ratio_ins!$B:$B,0))</f>
        <v>3208.2852600000006</v>
      </c>
      <c r="V186" s="10">
        <f>INDEX([1]ratio_ins!T:T,MATCH('001_population_health_zone_zs'!$B$2,[1]ratio_ins!$B:$B,0))*$G186*INDEX([1]ratio_ins!$C:$C,MATCH('001_population_health_zone_zs'!$B186,[1]ratio_ins!$B:$B,0))</f>
        <v>1782.3807000000002</v>
      </c>
      <c r="W186" s="11">
        <f>INDEX([1]ratio_ins!U:U,MATCH('001_population_health_zone_zs'!$B$2,[1]ratio_ins!$B:$B,0))*$G186*INDEX([1]ratio_ins!$C:$C,MATCH('001_population_health_zone_zs'!$B186,[1]ratio_ins!$B:$B,0))</f>
        <v>48623.345496000009</v>
      </c>
      <c r="X186" s="10">
        <f>INDEX([1]ratio_ins!V:V,MATCH('001_population_health_zone_zs'!$B$2,[1]ratio_ins!$B:$B,0))*$G186*INDEX([1]ratio_ins!$C:$C,MATCH('001_population_health_zone_zs'!$B186,[1]ratio_ins!$B:$B,0))</f>
        <v>1425.9045599999999</v>
      </c>
      <c r="Y186" s="10">
        <f>INDEX([1]ratio_ins!W:W,MATCH('001_population_health_zone_zs'!$B$2,[1]ratio_ins!$B:$B,0))*$G186*INDEX([1]ratio_ins!$C:$C,MATCH('001_population_health_zone_zs'!$B186,[1]ratio_ins!$B:$B,0))</f>
        <v>950.60304000000019</v>
      </c>
      <c r="Z186" s="10">
        <f>INDEX([1]ratio_ins!X:X,MATCH('001_population_health_zone_zs'!$B$2,[1]ratio_ins!$B:$B,0))*$G186*INDEX([1]ratio_ins!$C:$C,MATCH('001_population_health_zone_zs'!$B186,[1]ratio_ins!$B:$B,0))</f>
        <v>475.3015200000001</v>
      </c>
      <c r="AA186" s="10">
        <f>INDEX([1]ratio_ins!Y:Y,MATCH('001_population_health_zone_zs'!$B$2,[1]ratio_ins!$B:$B,0))*$G186*INDEX([1]ratio_ins!$C:$C,MATCH('001_population_health_zone_zs'!$B186,[1]ratio_ins!$B:$B,0))</f>
        <v>237.65076000000005</v>
      </c>
      <c r="AB186" s="11">
        <f>INDEX([1]ratio_ins!Z:Z,MATCH('001_population_health_zone_zs'!$B$2,[1]ratio_ins!$B:$B,0))*$G186*INDEX([1]ratio_ins!$C:$C,MATCH('001_population_health_zone_zs'!$B186,[1]ratio_ins!$B:$B,0))</f>
        <v>3089.4598800000003</v>
      </c>
      <c r="AC186" s="12">
        <f t="shared" si="12"/>
        <v>118825.38</v>
      </c>
      <c r="AD186" s="10">
        <f>INDEX([1]ratio_ins!AA:AA,MATCH('001_population_health_zone_zs'!$B$2,[1]ratio_ins!$B:$B,0))*$G186*INDEX([1]ratio_ins!$D:$D,MATCH('001_population_health_zone_zs'!$B186,[1]ratio_ins!$B:$B,0))</f>
        <v>25764.820200000002</v>
      </c>
      <c r="AE186" s="10">
        <f>INDEX([1]ratio_ins!AB:AB,MATCH('001_population_health_zone_zs'!$B$2,[1]ratio_ins!$B:$B,0))*$G186*INDEX([1]ratio_ins!$D:$D,MATCH('001_population_health_zone_zs'!$B186,[1]ratio_ins!$B:$B,0))</f>
        <v>21225.304260000001</v>
      </c>
      <c r="AF186" s="10">
        <f>INDEX([1]ratio_ins!AC:AC,MATCH('001_population_health_zone_zs'!$B$2,[1]ratio_ins!$B:$B,0))*$G186*INDEX([1]ratio_ins!$D:$D,MATCH('001_population_health_zone_zs'!$B186,[1]ratio_ins!$B:$B,0))</f>
        <v>16808.477939999997</v>
      </c>
      <c r="AG186" s="10">
        <f>INDEX([1]ratio_ins!AD:AD,MATCH('001_population_health_zone_zs'!$B$2,[1]ratio_ins!$B:$B,0))*$G186*INDEX([1]ratio_ins!$D:$D,MATCH('001_population_health_zone_zs'!$B186,[1]ratio_ins!$B:$B,0))</f>
        <v>10183.238460000002</v>
      </c>
      <c r="AH186" s="10">
        <f>INDEX([1]ratio_ins!AE:AE,MATCH('001_population_health_zone_zs'!$B$2,[1]ratio_ins!$B:$B,0))*$G186*INDEX([1]ratio_ins!$D:$D,MATCH('001_population_health_zone_zs'!$B186,[1]ratio_ins!$B:$B,0))</f>
        <v>6109.9430760000005</v>
      </c>
      <c r="AI186" s="13">
        <f>INDEX([1]ratio_ins!AF:AF,MATCH('001_population_health_zone_zs'!$B$2,[1]ratio_ins!$B:$B,0))*$G186*INDEX([1]ratio_ins!$D:$D,MATCH('001_population_health_zone_zs'!$B186,[1]ratio_ins!$B:$B,0))</f>
        <v>69908.545475999999</v>
      </c>
      <c r="AJ186" s="10">
        <f>INDEX([1]ratio_ins!AG:AG,MATCH('001_population_health_zone_zs'!$B$2,[1]ratio_ins!$B:$B,0))*$G186*INDEX([1]ratio_ins!$D:$D,MATCH('001_population_health_zone_zs'!$B186,[1]ratio_ins!$B:$B,0))</f>
        <v>4073.295384</v>
      </c>
      <c r="AK186" s="10">
        <f>INDEX([1]ratio_ins!AH:AH,MATCH('001_population_health_zone_zs'!$B$2,[1]ratio_ins!$B:$B,0))*$G186*INDEX([1]ratio_ins!$D:$D,MATCH('001_population_health_zone_zs'!$B186,[1]ratio_ins!$B:$B,0))</f>
        <v>9079.0318800000023</v>
      </c>
      <c r="AL186" s="10">
        <f>INDEX([1]ratio_ins!AI:AI,MATCH('001_population_health_zone_zs'!$B$2,[1]ratio_ins!$B:$B,0))*$G186*INDEX([1]ratio_ins!$D:$D,MATCH('001_population_health_zone_zs'!$B186,[1]ratio_ins!$B:$B,0))</f>
        <v>8588.2734000000019</v>
      </c>
      <c r="AM186" s="10">
        <f>INDEX([1]ratio_ins!AJ:AJ,MATCH('001_population_health_zone_zs'!$B$2,[1]ratio_ins!$B:$B,0))*$G186*INDEX([1]ratio_ins!$D:$D,MATCH('001_population_health_zone_zs'!$B186,[1]ratio_ins!$B:$B,0))</f>
        <v>7852.1356800000003</v>
      </c>
      <c r="AN186" s="10">
        <f>INDEX([1]ratio_ins!AK:AK,MATCH('001_population_health_zone_zs'!$B$2,[1]ratio_ins!$B:$B,0))*$G186*INDEX([1]ratio_ins!$D:$D,MATCH('001_population_health_zone_zs'!$B186,[1]ratio_ins!$B:$B,0))</f>
        <v>7361.3771999999999</v>
      </c>
      <c r="AO186" s="10">
        <f>INDEX([1]ratio_ins!AL:AL,MATCH('001_population_health_zone_zs'!$B$2,[1]ratio_ins!$B:$B,0))*$G186*INDEX([1]ratio_ins!$D:$D,MATCH('001_population_health_zone_zs'!$B186,[1]ratio_ins!$B:$B,0))</f>
        <v>5521.0329000000002</v>
      </c>
      <c r="AP186" s="10">
        <f>INDEX([1]ratio_ins!AM:AM,MATCH('001_population_health_zone_zs'!$B$2,[1]ratio_ins!$B:$B,0))*$G186*INDEX([1]ratio_ins!$D:$D,MATCH('001_population_health_zone_zs'!$B186,[1]ratio_ins!$B:$B,0))</f>
        <v>3557.9989799999998</v>
      </c>
      <c r="AQ186" s="10">
        <f>INDEX([1]ratio_ins!AN:AN,MATCH('001_population_health_zone_zs'!$B$2,[1]ratio_ins!$B:$B,0))*$G186*INDEX([1]ratio_ins!$D:$D,MATCH('001_population_health_zone_zs'!$B186,[1]ratio_ins!$B:$B,0))</f>
        <v>2821.8612600000001</v>
      </c>
      <c r="AR186" s="10">
        <f>INDEX([1]ratio_ins!AO:AO,MATCH('001_population_health_zone_zs'!$B$2,[1]ratio_ins!$B:$B,0))*$G186*INDEX([1]ratio_ins!$D:$D,MATCH('001_population_health_zone_zs'!$B186,[1]ratio_ins!$B:$B,0))</f>
        <v>1349.5858200000002</v>
      </c>
      <c r="AS186" s="13">
        <f>INDEX([1]ratio_ins!AP:AP,MATCH('001_population_health_zone_zs'!$B$2,[1]ratio_ins!$B:$B,0))*$G186*INDEX([1]ratio_ins!$D:$D,MATCH('001_population_health_zone_zs'!$B186,[1]ratio_ins!$B:$B,0))</f>
        <v>50204.592504000007</v>
      </c>
      <c r="AT186" s="10">
        <f>INDEX([1]ratio_ins!AQ:AQ,MATCH('001_population_health_zone_zs'!$B$2,[1]ratio_ins!$B:$B,0))*$G186*INDEX([1]ratio_ins!$D:$D,MATCH('001_population_health_zone_zs'!$B186,[1]ratio_ins!$B:$B,0))</f>
        <v>1226.8962000000001</v>
      </c>
      <c r="AU186" s="10">
        <f>INDEX([1]ratio_ins!AR:AR,MATCH('001_population_health_zone_zs'!$B$2,[1]ratio_ins!$B:$B,0))*$G186*INDEX([1]ratio_ins!$D:$D,MATCH('001_population_health_zone_zs'!$B186,[1]ratio_ins!$B:$B,0))</f>
        <v>736.13771999999994</v>
      </c>
      <c r="AV186" s="10">
        <f>INDEX([1]ratio_ins!AS:AS,MATCH('001_population_health_zone_zs'!$B$2,[1]ratio_ins!$B:$B,0))*$G186*INDEX([1]ratio_ins!$D:$D,MATCH('001_population_health_zone_zs'!$B186,[1]ratio_ins!$B:$B,0))</f>
        <v>368.06885999999997</v>
      </c>
      <c r="AW186" s="10">
        <f>INDEX([1]ratio_ins!AT:AT,MATCH('001_population_health_zone_zs'!$B$2,[1]ratio_ins!$B:$B,0))*$G186*INDEX([1]ratio_ins!$D:$D,MATCH('001_population_health_zone_zs'!$B186,[1]ratio_ins!$B:$B,0))</f>
        <v>245.37924000000001</v>
      </c>
      <c r="AX186" s="13">
        <f>INDEX([1]ratio_ins!AU:AU,MATCH('001_population_health_zone_zs'!$B$2,[1]ratio_ins!$B:$B,0))*$G186*INDEX([1]ratio_ins!$D:$D,MATCH('001_population_health_zone_zs'!$B186,[1]ratio_ins!$B:$B,0))</f>
        <v>2576.4820199999999</v>
      </c>
      <c r="AY186" s="14">
        <f t="shared" si="13"/>
        <v>122689.62</v>
      </c>
      <c r="AZ186" s="15">
        <f t="shared" si="14"/>
        <v>241515</v>
      </c>
      <c r="BA186" s="16">
        <v>233550.03954773815</v>
      </c>
      <c r="BB186" s="10">
        <f t="shared" si="15"/>
        <v>52143.088500000005</v>
      </c>
      <c r="BC186" s="17">
        <f t="shared" si="16"/>
        <v>0.21590000000000001</v>
      </c>
      <c r="BD186" s="10">
        <f t="shared" si="17"/>
        <v>49550.18346</v>
      </c>
    </row>
    <row r="187" spans="1:56" x14ac:dyDescent="0.25">
      <c r="A187" s="8" t="s">
        <v>438</v>
      </c>
      <c r="B187" s="8" t="s">
        <v>439</v>
      </c>
      <c r="C187" s="8" t="s">
        <v>460</v>
      </c>
      <c r="D187" s="8" t="s">
        <v>461</v>
      </c>
      <c r="E187" s="8" t="s">
        <v>465</v>
      </c>
      <c r="F187" s="8" t="s">
        <v>466</v>
      </c>
      <c r="G187" s="9">
        <v>179157</v>
      </c>
      <c r="H187" s="10">
        <f>INDEX([1]ratio_ins!F:F,MATCH('001_population_health_zone_zs'!$B$2,[1]ratio_ins!$B:$B,0))*$G187*INDEX([1]ratio_ins!$C:$C,MATCH('001_population_health_zone_zs'!$B187,[1]ratio_ins!$B:$B,0))</f>
        <v>18422.355996000002</v>
      </c>
      <c r="I187" s="10">
        <f>INDEX([1]ratio_ins!G:G,MATCH('001_population_health_zone_zs'!$B$2,[1]ratio_ins!$B:$B,0))*$G187*INDEX([1]ratio_ins!$C:$C,MATCH('001_population_health_zone_zs'!$B187,[1]ratio_ins!$B:$B,0))</f>
        <v>15072.836724000003</v>
      </c>
      <c r="J187" s="10">
        <f>INDEX([1]ratio_ins!H:H,MATCH('001_population_health_zone_zs'!$B$2,[1]ratio_ins!$B:$B,0))*$G187*INDEX([1]ratio_ins!$C:$C,MATCH('001_population_health_zone_zs'!$B187,[1]ratio_ins!$B:$B,0))</f>
        <v>11899.607940000004</v>
      </c>
      <c r="K187" s="10">
        <f>INDEX([1]ratio_ins!I:I,MATCH('001_population_health_zone_zs'!$B$2,[1]ratio_ins!$B:$B,0))*$G187*INDEX([1]ratio_ins!$C:$C,MATCH('001_population_health_zone_zs'!$B187,[1]ratio_ins!$B:$B,0))</f>
        <v>7316.055252000001</v>
      </c>
      <c r="L187" s="10">
        <f>INDEX([1]ratio_ins!J:J,MATCH('001_population_health_zone_zs'!$B$2,[1]ratio_ins!$B:$B,0))*$G187*INDEX([1]ratio_ins!$C:$C,MATCH('001_population_health_zone_zs'!$B187,[1]ratio_ins!$B:$B,0))</f>
        <v>4389.6331511999997</v>
      </c>
      <c r="M187" s="11">
        <f>INDEX([1]ratio_ins!K:K,MATCH('001_population_health_zone_zs'!$B$2,[1]ratio_ins!$B:$B,0))*$G187*INDEX([1]ratio_ins!$C:$C,MATCH('001_population_health_zone_zs'!$B187,[1]ratio_ins!$B:$B,0))</f>
        <v>49784.433811200004</v>
      </c>
      <c r="N187" s="10">
        <f>INDEX([1]ratio_ins!L:L,MATCH('001_population_health_zone_zs'!$B$2,[1]ratio_ins!$B:$B,0))*$G187*INDEX([1]ratio_ins!$C:$C,MATCH('001_population_health_zone_zs'!$B187,[1]ratio_ins!$B:$B,0))</f>
        <v>2926.4221008</v>
      </c>
      <c r="O187" s="10">
        <f>INDEX([1]ratio_ins!M:M,MATCH('001_population_health_zone_zs'!$B$2,[1]ratio_ins!$B:$B,0))*$G187*INDEX([1]ratio_ins!$C:$C,MATCH('001_population_health_zone_zs'!$B187,[1]ratio_ins!$B:$B,0))</f>
        <v>6346.4575680000016</v>
      </c>
      <c r="P187" s="10">
        <f>INDEX([1]ratio_ins!N:N,MATCH('001_population_health_zone_zs'!$B$2,[1]ratio_ins!$B:$B,0))*$G187*INDEX([1]ratio_ins!$C:$C,MATCH('001_population_health_zone_zs'!$B187,[1]ratio_ins!$B:$B,0))</f>
        <v>5729.4408600000006</v>
      </c>
      <c r="Q187" s="10">
        <f>INDEX([1]ratio_ins!O:O,MATCH('001_population_health_zone_zs'!$B$2,[1]ratio_ins!$B:$B,0))*$G187*INDEX([1]ratio_ins!$C:$C,MATCH('001_population_health_zone_zs'!$B187,[1]ratio_ins!$B:$B,0))</f>
        <v>5112.4241520000005</v>
      </c>
      <c r="R187" s="10">
        <f>INDEX([1]ratio_ins!P:P,MATCH('001_population_health_zone_zs'!$B$2,[1]ratio_ins!$B:$B,0))*$G187*INDEX([1]ratio_ins!$C:$C,MATCH('001_population_health_zone_zs'!$B187,[1]ratio_ins!$B:$B,0))</f>
        <v>5024.2789080000011</v>
      </c>
      <c r="S187" s="10">
        <f>INDEX([1]ratio_ins!Q:Q,MATCH('001_population_health_zone_zs'!$B$2,[1]ratio_ins!$B:$B,0))*$G187*INDEX([1]ratio_ins!$C:$C,MATCH('001_population_health_zone_zs'!$B187,[1]ratio_ins!$B:$B,0))</f>
        <v>4230.9717120000005</v>
      </c>
      <c r="T187" s="10">
        <f>INDEX([1]ratio_ins!R:R,MATCH('001_population_health_zone_zs'!$B$2,[1]ratio_ins!$B:$B,0))*$G187*INDEX([1]ratio_ins!$C:$C,MATCH('001_population_health_zone_zs'!$B187,[1]ratio_ins!$B:$B,0))</f>
        <v>2996.9382960000007</v>
      </c>
      <c r="U187" s="10">
        <f>INDEX([1]ratio_ins!S:S,MATCH('001_population_health_zone_zs'!$B$2,[1]ratio_ins!$B:$B,0))*$G187*INDEX([1]ratio_ins!$C:$C,MATCH('001_population_health_zone_zs'!$B187,[1]ratio_ins!$B:$B,0))</f>
        <v>2379.9215880000006</v>
      </c>
      <c r="V187" s="10">
        <f>INDEX([1]ratio_ins!T:T,MATCH('001_population_health_zone_zs'!$B$2,[1]ratio_ins!$B:$B,0))*$G187*INDEX([1]ratio_ins!$C:$C,MATCH('001_population_health_zone_zs'!$B187,[1]ratio_ins!$B:$B,0))</f>
        <v>1322.17866</v>
      </c>
      <c r="W187" s="11">
        <f>INDEX([1]ratio_ins!U:U,MATCH('001_population_health_zone_zs'!$B$2,[1]ratio_ins!$B:$B,0))*$G187*INDEX([1]ratio_ins!$C:$C,MATCH('001_population_health_zone_zs'!$B187,[1]ratio_ins!$B:$B,0))</f>
        <v>36069.033844800004</v>
      </c>
      <c r="X187" s="10">
        <f>INDEX([1]ratio_ins!V:V,MATCH('001_population_health_zone_zs'!$B$2,[1]ratio_ins!$B:$B,0))*$G187*INDEX([1]ratio_ins!$C:$C,MATCH('001_population_health_zone_zs'!$B187,[1]ratio_ins!$B:$B,0))</f>
        <v>1057.7429280000001</v>
      </c>
      <c r="Y187" s="10">
        <f>INDEX([1]ratio_ins!W:W,MATCH('001_population_health_zone_zs'!$B$2,[1]ratio_ins!$B:$B,0))*$G187*INDEX([1]ratio_ins!$C:$C,MATCH('001_population_health_zone_zs'!$B187,[1]ratio_ins!$B:$B,0))</f>
        <v>705.16195200000016</v>
      </c>
      <c r="Z187" s="10">
        <f>INDEX([1]ratio_ins!X:X,MATCH('001_population_health_zone_zs'!$B$2,[1]ratio_ins!$B:$B,0))*$G187*INDEX([1]ratio_ins!$C:$C,MATCH('001_population_health_zone_zs'!$B187,[1]ratio_ins!$B:$B,0))</f>
        <v>352.58097600000008</v>
      </c>
      <c r="AA187" s="10">
        <f>INDEX([1]ratio_ins!Y:Y,MATCH('001_population_health_zone_zs'!$B$2,[1]ratio_ins!$B:$B,0))*$G187*INDEX([1]ratio_ins!$C:$C,MATCH('001_population_health_zone_zs'!$B187,[1]ratio_ins!$B:$B,0))</f>
        <v>176.29048800000004</v>
      </c>
      <c r="AB187" s="11">
        <f>INDEX([1]ratio_ins!Z:Z,MATCH('001_population_health_zone_zs'!$B$2,[1]ratio_ins!$B:$B,0))*$G187*INDEX([1]ratio_ins!$C:$C,MATCH('001_population_health_zone_zs'!$B187,[1]ratio_ins!$B:$B,0))</f>
        <v>2291.7763440000003</v>
      </c>
      <c r="AC187" s="12">
        <f t="shared" si="12"/>
        <v>88145.244000000006</v>
      </c>
      <c r="AD187" s="10">
        <f>INDEX([1]ratio_ins!AA:AA,MATCH('001_population_health_zone_zs'!$B$2,[1]ratio_ins!$B:$B,0))*$G187*INDEX([1]ratio_ins!$D:$D,MATCH('001_population_health_zone_zs'!$B187,[1]ratio_ins!$B:$B,0))</f>
        <v>19112.46876</v>
      </c>
      <c r="AE187" s="10">
        <f>INDEX([1]ratio_ins!AB:AB,MATCH('001_population_health_zone_zs'!$B$2,[1]ratio_ins!$B:$B,0))*$G187*INDEX([1]ratio_ins!$D:$D,MATCH('001_population_health_zone_zs'!$B187,[1]ratio_ins!$B:$B,0))</f>
        <v>15745.033788000002</v>
      </c>
      <c r="AF187" s="10">
        <f>INDEX([1]ratio_ins!AC:AC,MATCH('001_population_health_zone_zs'!$B$2,[1]ratio_ins!$B:$B,0))*$G187*INDEX([1]ratio_ins!$D:$D,MATCH('001_population_health_zone_zs'!$B187,[1]ratio_ins!$B:$B,0))</f>
        <v>12468.610572</v>
      </c>
      <c r="AG187" s="10">
        <f>INDEX([1]ratio_ins!AD:AD,MATCH('001_population_health_zone_zs'!$B$2,[1]ratio_ins!$B:$B,0))*$G187*INDEX([1]ratio_ins!$D:$D,MATCH('001_population_health_zone_zs'!$B187,[1]ratio_ins!$B:$B,0))</f>
        <v>7553.9757480000007</v>
      </c>
      <c r="AH187" s="10">
        <f>INDEX([1]ratio_ins!AE:AE,MATCH('001_population_health_zone_zs'!$B$2,[1]ratio_ins!$B:$B,0))*$G187*INDEX([1]ratio_ins!$D:$D,MATCH('001_population_health_zone_zs'!$B187,[1]ratio_ins!$B:$B,0))</f>
        <v>4532.3854487999997</v>
      </c>
      <c r="AI187" s="13">
        <f>INDEX([1]ratio_ins!AF:AF,MATCH('001_population_health_zone_zs'!$B$2,[1]ratio_ins!$B:$B,0))*$G187*INDEX([1]ratio_ins!$D:$D,MATCH('001_population_health_zone_zs'!$B187,[1]ratio_ins!$B:$B,0))</f>
        <v>51858.498568800002</v>
      </c>
      <c r="AJ187" s="10">
        <f>INDEX([1]ratio_ins!AG:AG,MATCH('001_population_health_zone_zs'!$B$2,[1]ratio_ins!$B:$B,0))*$G187*INDEX([1]ratio_ins!$D:$D,MATCH('001_population_health_zone_zs'!$B187,[1]ratio_ins!$B:$B,0))</f>
        <v>3021.5902991999997</v>
      </c>
      <c r="AK187" s="10">
        <f>INDEX([1]ratio_ins!AH:AH,MATCH('001_population_health_zone_zs'!$B$2,[1]ratio_ins!$B:$B,0))*$G187*INDEX([1]ratio_ins!$D:$D,MATCH('001_population_health_zone_zs'!$B187,[1]ratio_ins!$B:$B,0))</f>
        <v>6734.8699440000009</v>
      </c>
      <c r="AL187" s="10">
        <f>INDEX([1]ratio_ins!AI:AI,MATCH('001_population_health_zone_zs'!$B$2,[1]ratio_ins!$B:$B,0))*$G187*INDEX([1]ratio_ins!$D:$D,MATCH('001_population_health_zone_zs'!$B187,[1]ratio_ins!$B:$B,0))</f>
        <v>6370.8229200000005</v>
      </c>
      <c r="AM187" s="10">
        <f>INDEX([1]ratio_ins!AJ:AJ,MATCH('001_population_health_zone_zs'!$B$2,[1]ratio_ins!$B:$B,0))*$G187*INDEX([1]ratio_ins!$D:$D,MATCH('001_population_health_zone_zs'!$B187,[1]ratio_ins!$B:$B,0))</f>
        <v>5824.7523840000003</v>
      </c>
      <c r="AN187" s="10">
        <f>INDEX([1]ratio_ins!AK:AK,MATCH('001_population_health_zone_zs'!$B$2,[1]ratio_ins!$B:$B,0))*$G187*INDEX([1]ratio_ins!$D:$D,MATCH('001_population_health_zone_zs'!$B187,[1]ratio_ins!$B:$B,0))</f>
        <v>5460.7053599999999</v>
      </c>
      <c r="AO187" s="10">
        <f>INDEX([1]ratio_ins!AL:AL,MATCH('001_population_health_zone_zs'!$B$2,[1]ratio_ins!$B:$B,0))*$G187*INDEX([1]ratio_ins!$D:$D,MATCH('001_population_health_zone_zs'!$B187,[1]ratio_ins!$B:$B,0))</f>
        <v>4095.5290199999999</v>
      </c>
      <c r="AP187" s="10">
        <f>INDEX([1]ratio_ins!AM:AM,MATCH('001_population_health_zone_zs'!$B$2,[1]ratio_ins!$B:$B,0))*$G187*INDEX([1]ratio_ins!$D:$D,MATCH('001_population_health_zone_zs'!$B187,[1]ratio_ins!$B:$B,0))</f>
        <v>2639.3409240000001</v>
      </c>
      <c r="AQ187" s="10">
        <f>INDEX([1]ratio_ins!AN:AN,MATCH('001_population_health_zone_zs'!$B$2,[1]ratio_ins!$B:$B,0))*$G187*INDEX([1]ratio_ins!$D:$D,MATCH('001_population_health_zone_zs'!$B187,[1]ratio_ins!$B:$B,0))</f>
        <v>2093.2703879999999</v>
      </c>
      <c r="AR187" s="10">
        <f>INDEX([1]ratio_ins!AO:AO,MATCH('001_population_health_zone_zs'!$B$2,[1]ratio_ins!$B:$B,0))*$G187*INDEX([1]ratio_ins!$D:$D,MATCH('001_population_health_zone_zs'!$B187,[1]ratio_ins!$B:$B,0))</f>
        <v>1001.129316</v>
      </c>
      <c r="AS187" s="13">
        <f>INDEX([1]ratio_ins!AP:AP,MATCH('001_population_health_zone_zs'!$B$2,[1]ratio_ins!$B:$B,0))*$G187*INDEX([1]ratio_ins!$D:$D,MATCH('001_population_health_zone_zs'!$B187,[1]ratio_ins!$B:$B,0))</f>
        <v>37242.010555200002</v>
      </c>
      <c r="AT187" s="10">
        <f>INDEX([1]ratio_ins!AQ:AQ,MATCH('001_population_health_zone_zs'!$B$2,[1]ratio_ins!$B:$B,0))*$G187*INDEX([1]ratio_ins!$D:$D,MATCH('001_population_health_zone_zs'!$B187,[1]ratio_ins!$B:$B,0))</f>
        <v>910.11756000000003</v>
      </c>
      <c r="AU187" s="10">
        <f>INDEX([1]ratio_ins!AR:AR,MATCH('001_population_health_zone_zs'!$B$2,[1]ratio_ins!$B:$B,0))*$G187*INDEX([1]ratio_ins!$D:$D,MATCH('001_population_health_zone_zs'!$B187,[1]ratio_ins!$B:$B,0))</f>
        <v>546.07053600000006</v>
      </c>
      <c r="AV187" s="10">
        <f>INDEX([1]ratio_ins!AS:AS,MATCH('001_population_health_zone_zs'!$B$2,[1]ratio_ins!$B:$B,0))*$G187*INDEX([1]ratio_ins!$D:$D,MATCH('001_population_health_zone_zs'!$B187,[1]ratio_ins!$B:$B,0))</f>
        <v>273.03526800000003</v>
      </c>
      <c r="AW187" s="10">
        <f>INDEX([1]ratio_ins!AT:AT,MATCH('001_population_health_zone_zs'!$B$2,[1]ratio_ins!$B:$B,0))*$G187*INDEX([1]ratio_ins!$D:$D,MATCH('001_population_health_zone_zs'!$B187,[1]ratio_ins!$B:$B,0))</f>
        <v>182.02351200000001</v>
      </c>
      <c r="AX187" s="13">
        <f>INDEX([1]ratio_ins!AU:AU,MATCH('001_population_health_zone_zs'!$B$2,[1]ratio_ins!$B:$B,0))*$G187*INDEX([1]ratio_ins!$D:$D,MATCH('001_population_health_zone_zs'!$B187,[1]ratio_ins!$B:$B,0))</f>
        <v>1911.2468759999997</v>
      </c>
      <c r="AY187" s="14">
        <f t="shared" si="13"/>
        <v>91011.756000000008</v>
      </c>
      <c r="AZ187" s="15">
        <f t="shared" si="14"/>
        <v>179157</v>
      </c>
      <c r="BA187" s="16">
        <v>173248.98444241789</v>
      </c>
      <c r="BB187" s="10">
        <f t="shared" si="15"/>
        <v>38679.996299999999</v>
      </c>
      <c r="BC187" s="17">
        <f t="shared" si="16"/>
        <v>0.21589999999999998</v>
      </c>
      <c r="BD187" s="10">
        <f t="shared" si="17"/>
        <v>36756.566748000005</v>
      </c>
    </row>
    <row r="188" spans="1:56" x14ac:dyDescent="0.25">
      <c r="A188" s="8" t="s">
        <v>438</v>
      </c>
      <c r="B188" s="8" t="s">
        <v>439</v>
      </c>
      <c r="C188" s="8" t="s">
        <v>467</v>
      </c>
      <c r="D188" s="8" t="s">
        <v>468</v>
      </c>
      <c r="E188" s="8" t="s">
        <v>467</v>
      </c>
      <c r="F188" s="8" t="s">
        <v>469</v>
      </c>
      <c r="G188" s="9">
        <v>138365</v>
      </c>
      <c r="H188" s="10">
        <f>INDEX([1]ratio_ins!F:F,MATCH('001_population_health_zone_zs'!$B$2,[1]ratio_ins!$B:$B,0))*$G188*INDEX([1]ratio_ins!$C:$C,MATCH('001_population_health_zone_zs'!$B188,[1]ratio_ins!$B:$B,0))</f>
        <v>14227.796220000002</v>
      </c>
      <c r="I188" s="10">
        <f>INDEX([1]ratio_ins!G:G,MATCH('001_population_health_zone_zs'!$B$2,[1]ratio_ins!$B:$B,0))*$G188*INDEX([1]ratio_ins!$C:$C,MATCH('001_population_health_zone_zs'!$B188,[1]ratio_ins!$B:$B,0))</f>
        <v>11640.924180000002</v>
      </c>
      <c r="J188" s="10">
        <f>INDEX([1]ratio_ins!H:H,MATCH('001_population_health_zone_zs'!$B$2,[1]ratio_ins!$B:$B,0))*$G188*INDEX([1]ratio_ins!$C:$C,MATCH('001_population_health_zone_zs'!$B188,[1]ratio_ins!$B:$B,0))</f>
        <v>9190.203300000001</v>
      </c>
      <c r="K188" s="10">
        <f>INDEX([1]ratio_ins!I:I,MATCH('001_population_health_zone_zs'!$B$2,[1]ratio_ins!$B:$B,0))*$G188*INDEX([1]ratio_ins!$C:$C,MATCH('001_population_health_zone_zs'!$B188,[1]ratio_ins!$B:$B,0))</f>
        <v>5650.2731400000002</v>
      </c>
      <c r="L188" s="10">
        <f>INDEX([1]ratio_ins!J:J,MATCH('001_population_health_zone_zs'!$B$2,[1]ratio_ins!$B:$B,0))*$G188*INDEX([1]ratio_ins!$C:$C,MATCH('001_population_health_zone_zs'!$B188,[1]ratio_ins!$B:$B,0))</f>
        <v>3390.1638840000001</v>
      </c>
      <c r="M188" s="11">
        <f>INDEX([1]ratio_ins!K:K,MATCH('001_population_health_zone_zs'!$B$2,[1]ratio_ins!$B:$B,0))*$G188*INDEX([1]ratio_ins!$C:$C,MATCH('001_population_health_zone_zs'!$B188,[1]ratio_ins!$B:$B,0))</f>
        <v>38449.087584000001</v>
      </c>
      <c r="N188" s="10">
        <f>INDEX([1]ratio_ins!L:L,MATCH('001_population_health_zone_zs'!$B$2,[1]ratio_ins!$B:$B,0))*$G188*INDEX([1]ratio_ins!$C:$C,MATCH('001_population_health_zone_zs'!$B188,[1]ratio_ins!$B:$B,0))</f>
        <v>2260.1092560000002</v>
      </c>
      <c r="O188" s="10">
        <f>INDEX([1]ratio_ins!M:M,MATCH('001_population_health_zone_zs'!$B$2,[1]ratio_ins!$B:$B,0))*$G188*INDEX([1]ratio_ins!$C:$C,MATCH('001_population_health_zone_zs'!$B188,[1]ratio_ins!$B:$B,0))</f>
        <v>4901.4417600000006</v>
      </c>
      <c r="P188" s="10">
        <f>INDEX([1]ratio_ins!N:N,MATCH('001_population_health_zone_zs'!$B$2,[1]ratio_ins!$B:$B,0))*$G188*INDEX([1]ratio_ins!$C:$C,MATCH('001_population_health_zone_zs'!$B188,[1]ratio_ins!$B:$B,0))</f>
        <v>4424.9127000000008</v>
      </c>
      <c r="Q188" s="10">
        <f>INDEX([1]ratio_ins!O:O,MATCH('001_population_health_zone_zs'!$B$2,[1]ratio_ins!$B:$B,0))*$G188*INDEX([1]ratio_ins!$C:$C,MATCH('001_population_health_zone_zs'!$B188,[1]ratio_ins!$B:$B,0))</f>
        <v>3948.38364</v>
      </c>
      <c r="R188" s="10">
        <f>INDEX([1]ratio_ins!P:P,MATCH('001_population_health_zone_zs'!$B$2,[1]ratio_ins!$B:$B,0))*$G188*INDEX([1]ratio_ins!$C:$C,MATCH('001_population_health_zone_zs'!$B188,[1]ratio_ins!$B:$B,0))</f>
        <v>3880.3080600000008</v>
      </c>
      <c r="S188" s="10">
        <f>INDEX([1]ratio_ins!Q:Q,MATCH('001_population_health_zone_zs'!$B$2,[1]ratio_ins!$B:$B,0))*$G188*INDEX([1]ratio_ins!$C:$C,MATCH('001_population_health_zone_zs'!$B188,[1]ratio_ins!$B:$B,0))</f>
        <v>3267.6278400000006</v>
      </c>
      <c r="T188" s="10">
        <f>INDEX([1]ratio_ins!R:R,MATCH('001_population_health_zone_zs'!$B$2,[1]ratio_ins!$B:$B,0))*$G188*INDEX([1]ratio_ins!$C:$C,MATCH('001_population_health_zone_zs'!$B188,[1]ratio_ins!$B:$B,0))</f>
        <v>2314.5697200000004</v>
      </c>
      <c r="U188" s="10">
        <f>INDEX([1]ratio_ins!S:S,MATCH('001_population_health_zone_zs'!$B$2,[1]ratio_ins!$B:$B,0))*$G188*INDEX([1]ratio_ins!$C:$C,MATCH('001_population_health_zone_zs'!$B188,[1]ratio_ins!$B:$B,0))</f>
        <v>1838.0406600000003</v>
      </c>
      <c r="V188" s="10">
        <f>INDEX([1]ratio_ins!T:T,MATCH('001_population_health_zone_zs'!$B$2,[1]ratio_ins!$B:$B,0))*$G188*INDEX([1]ratio_ins!$C:$C,MATCH('001_population_health_zone_zs'!$B188,[1]ratio_ins!$B:$B,0))</f>
        <v>1021.1337000000001</v>
      </c>
      <c r="W188" s="11">
        <f>INDEX([1]ratio_ins!U:U,MATCH('001_population_health_zone_zs'!$B$2,[1]ratio_ins!$B:$B,0))*$G188*INDEX([1]ratio_ins!$C:$C,MATCH('001_population_health_zone_zs'!$B188,[1]ratio_ins!$B:$B,0))</f>
        <v>27856.527336000003</v>
      </c>
      <c r="X188" s="10">
        <f>INDEX([1]ratio_ins!V:V,MATCH('001_population_health_zone_zs'!$B$2,[1]ratio_ins!$B:$B,0))*$G188*INDEX([1]ratio_ins!$C:$C,MATCH('001_population_health_zone_zs'!$B188,[1]ratio_ins!$B:$B,0))</f>
        <v>816.90696000000014</v>
      </c>
      <c r="Y188" s="10">
        <f>INDEX([1]ratio_ins!W:W,MATCH('001_population_health_zone_zs'!$B$2,[1]ratio_ins!$B:$B,0))*$G188*INDEX([1]ratio_ins!$C:$C,MATCH('001_population_health_zone_zs'!$B188,[1]ratio_ins!$B:$B,0))</f>
        <v>544.60464000000013</v>
      </c>
      <c r="Z188" s="10">
        <f>INDEX([1]ratio_ins!X:X,MATCH('001_population_health_zone_zs'!$B$2,[1]ratio_ins!$B:$B,0))*$G188*INDEX([1]ratio_ins!$C:$C,MATCH('001_population_health_zone_zs'!$B188,[1]ratio_ins!$B:$B,0))</f>
        <v>272.30232000000007</v>
      </c>
      <c r="AA188" s="10">
        <f>INDEX([1]ratio_ins!Y:Y,MATCH('001_population_health_zone_zs'!$B$2,[1]ratio_ins!$B:$B,0))*$G188*INDEX([1]ratio_ins!$C:$C,MATCH('001_population_health_zone_zs'!$B188,[1]ratio_ins!$B:$B,0))</f>
        <v>136.15116000000003</v>
      </c>
      <c r="AB188" s="11">
        <f>INDEX([1]ratio_ins!Z:Z,MATCH('001_population_health_zone_zs'!$B$2,[1]ratio_ins!$B:$B,0))*$G188*INDEX([1]ratio_ins!$C:$C,MATCH('001_population_health_zone_zs'!$B188,[1]ratio_ins!$B:$B,0))</f>
        <v>1769.9650800000004</v>
      </c>
      <c r="AC188" s="12">
        <f t="shared" si="12"/>
        <v>68075.58</v>
      </c>
      <c r="AD188" s="10">
        <f>INDEX([1]ratio_ins!AA:AA,MATCH('001_population_health_zone_zs'!$B$2,[1]ratio_ins!$B:$B,0))*$G188*INDEX([1]ratio_ins!$D:$D,MATCH('001_population_health_zone_zs'!$B188,[1]ratio_ins!$B:$B,0))</f>
        <v>14760.778199999999</v>
      </c>
      <c r="AE188" s="10">
        <f>INDEX([1]ratio_ins!AB:AB,MATCH('001_population_health_zone_zs'!$B$2,[1]ratio_ins!$B:$B,0))*$G188*INDEX([1]ratio_ins!$D:$D,MATCH('001_population_health_zone_zs'!$B188,[1]ratio_ins!$B:$B,0))</f>
        <v>12160.069660000001</v>
      </c>
      <c r="AF188" s="10">
        <f>INDEX([1]ratio_ins!AC:AC,MATCH('001_population_health_zone_zs'!$B$2,[1]ratio_ins!$B:$B,0))*$G188*INDEX([1]ratio_ins!$D:$D,MATCH('001_population_health_zone_zs'!$B188,[1]ratio_ins!$B:$B,0))</f>
        <v>9629.6505399999987</v>
      </c>
      <c r="AG188" s="10">
        <f>INDEX([1]ratio_ins!AD:AD,MATCH('001_population_health_zone_zs'!$B$2,[1]ratio_ins!$B:$B,0))*$G188*INDEX([1]ratio_ins!$D:$D,MATCH('001_population_health_zone_zs'!$B188,[1]ratio_ins!$B:$B,0))</f>
        <v>5834.0218599999998</v>
      </c>
      <c r="AH188" s="10">
        <f>INDEX([1]ratio_ins!AE:AE,MATCH('001_population_health_zone_zs'!$B$2,[1]ratio_ins!$B:$B,0))*$G188*INDEX([1]ratio_ins!$D:$D,MATCH('001_population_health_zone_zs'!$B188,[1]ratio_ins!$B:$B,0))</f>
        <v>3500.4131159999997</v>
      </c>
      <c r="AI188" s="13">
        <f>INDEX([1]ratio_ins!AF:AF,MATCH('001_population_health_zone_zs'!$B$2,[1]ratio_ins!$B:$B,0))*$G188*INDEX([1]ratio_ins!$D:$D,MATCH('001_population_health_zone_zs'!$B188,[1]ratio_ins!$B:$B,0))</f>
        <v>40050.911516</v>
      </c>
      <c r="AJ188" s="10">
        <f>INDEX([1]ratio_ins!AG:AG,MATCH('001_population_health_zone_zs'!$B$2,[1]ratio_ins!$B:$B,0))*$G188*INDEX([1]ratio_ins!$D:$D,MATCH('001_population_health_zone_zs'!$B188,[1]ratio_ins!$B:$B,0))</f>
        <v>2333.6087440000001</v>
      </c>
      <c r="AK188" s="10">
        <f>INDEX([1]ratio_ins!AH:AH,MATCH('001_population_health_zone_zs'!$B$2,[1]ratio_ins!$B:$B,0))*$G188*INDEX([1]ratio_ins!$D:$D,MATCH('001_population_health_zone_zs'!$B188,[1]ratio_ins!$B:$B,0))</f>
        <v>5201.4170800000011</v>
      </c>
      <c r="AL188" s="10">
        <f>INDEX([1]ratio_ins!AI:AI,MATCH('001_population_health_zone_zs'!$B$2,[1]ratio_ins!$B:$B,0))*$G188*INDEX([1]ratio_ins!$D:$D,MATCH('001_population_health_zone_zs'!$B188,[1]ratio_ins!$B:$B,0))</f>
        <v>4920.2594000000008</v>
      </c>
      <c r="AM188" s="10">
        <f>INDEX([1]ratio_ins!AJ:AJ,MATCH('001_population_health_zone_zs'!$B$2,[1]ratio_ins!$B:$B,0))*$G188*INDEX([1]ratio_ins!$D:$D,MATCH('001_population_health_zone_zs'!$B188,[1]ratio_ins!$B:$B,0))</f>
        <v>4498.5228800000004</v>
      </c>
      <c r="AN188" s="10">
        <f>INDEX([1]ratio_ins!AK:AK,MATCH('001_population_health_zone_zs'!$B$2,[1]ratio_ins!$B:$B,0))*$G188*INDEX([1]ratio_ins!$D:$D,MATCH('001_population_health_zone_zs'!$B188,[1]ratio_ins!$B:$B,0))</f>
        <v>4217.3652000000002</v>
      </c>
      <c r="AO188" s="10">
        <f>INDEX([1]ratio_ins!AL:AL,MATCH('001_population_health_zone_zs'!$B$2,[1]ratio_ins!$B:$B,0))*$G188*INDEX([1]ratio_ins!$D:$D,MATCH('001_population_health_zone_zs'!$B188,[1]ratio_ins!$B:$B,0))</f>
        <v>3163.0239000000001</v>
      </c>
      <c r="AP188" s="10">
        <f>INDEX([1]ratio_ins!AM:AM,MATCH('001_population_health_zone_zs'!$B$2,[1]ratio_ins!$B:$B,0))*$G188*INDEX([1]ratio_ins!$D:$D,MATCH('001_population_health_zone_zs'!$B188,[1]ratio_ins!$B:$B,0))</f>
        <v>2038.3931799999998</v>
      </c>
      <c r="AQ188" s="10">
        <f>INDEX([1]ratio_ins!AN:AN,MATCH('001_population_health_zone_zs'!$B$2,[1]ratio_ins!$B:$B,0))*$G188*INDEX([1]ratio_ins!$D:$D,MATCH('001_population_health_zone_zs'!$B188,[1]ratio_ins!$B:$B,0))</f>
        <v>1616.6566600000001</v>
      </c>
      <c r="AR188" s="10">
        <f>INDEX([1]ratio_ins!AO:AO,MATCH('001_population_health_zone_zs'!$B$2,[1]ratio_ins!$B:$B,0))*$G188*INDEX([1]ratio_ins!$D:$D,MATCH('001_population_health_zone_zs'!$B188,[1]ratio_ins!$B:$B,0))</f>
        <v>773.18362000000002</v>
      </c>
      <c r="AS188" s="13">
        <f>INDEX([1]ratio_ins!AP:AP,MATCH('001_population_health_zone_zs'!$B$2,[1]ratio_ins!$B:$B,0))*$G188*INDEX([1]ratio_ins!$D:$D,MATCH('001_population_health_zone_zs'!$B188,[1]ratio_ins!$B:$B,0))</f>
        <v>28762.430664</v>
      </c>
      <c r="AT188" s="10">
        <f>INDEX([1]ratio_ins!AQ:AQ,MATCH('001_population_health_zone_zs'!$B$2,[1]ratio_ins!$B:$B,0))*$G188*INDEX([1]ratio_ins!$D:$D,MATCH('001_population_health_zone_zs'!$B188,[1]ratio_ins!$B:$B,0))</f>
        <v>702.89420000000007</v>
      </c>
      <c r="AU188" s="10">
        <f>INDEX([1]ratio_ins!AR:AR,MATCH('001_population_health_zone_zs'!$B$2,[1]ratio_ins!$B:$B,0))*$G188*INDEX([1]ratio_ins!$D:$D,MATCH('001_population_health_zone_zs'!$B188,[1]ratio_ins!$B:$B,0))</f>
        <v>421.73652000000004</v>
      </c>
      <c r="AV188" s="10">
        <f>INDEX([1]ratio_ins!AS:AS,MATCH('001_population_health_zone_zs'!$B$2,[1]ratio_ins!$B:$B,0))*$G188*INDEX([1]ratio_ins!$D:$D,MATCH('001_population_health_zone_zs'!$B188,[1]ratio_ins!$B:$B,0))</f>
        <v>210.86826000000002</v>
      </c>
      <c r="AW188" s="10">
        <f>INDEX([1]ratio_ins!AT:AT,MATCH('001_population_health_zone_zs'!$B$2,[1]ratio_ins!$B:$B,0))*$G188*INDEX([1]ratio_ins!$D:$D,MATCH('001_population_health_zone_zs'!$B188,[1]ratio_ins!$B:$B,0))</f>
        <v>140.57884000000001</v>
      </c>
      <c r="AX188" s="13">
        <f>INDEX([1]ratio_ins!AU:AU,MATCH('001_population_health_zone_zs'!$B$2,[1]ratio_ins!$B:$B,0))*$G188*INDEX([1]ratio_ins!$D:$D,MATCH('001_population_health_zone_zs'!$B188,[1]ratio_ins!$B:$B,0))</f>
        <v>1476.0778199999997</v>
      </c>
      <c r="AY188" s="14">
        <f t="shared" si="13"/>
        <v>70289.420000000013</v>
      </c>
      <c r="AZ188" s="15">
        <f t="shared" si="14"/>
        <v>138365</v>
      </c>
      <c r="BA188" s="16">
        <v>133801.42521548105</v>
      </c>
      <c r="BB188" s="10">
        <f t="shared" si="15"/>
        <v>29873.003499999999</v>
      </c>
      <c r="BC188" s="17">
        <f t="shared" si="16"/>
        <v>0.21589999999999998</v>
      </c>
      <c r="BD188" s="10">
        <f t="shared" si="17"/>
        <v>28387.51686</v>
      </c>
    </row>
    <row r="189" spans="1:56" x14ac:dyDescent="0.25">
      <c r="A189" s="8" t="s">
        <v>470</v>
      </c>
      <c r="B189" s="8" t="s">
        <v>471</v>
      </c>
      <c r="C189" s="8" t="s">
        <v>472</v>
      </c>
      <c r="D189" s="8" t="s">
        <v>473</v>
      </c>
      <c r="E189" s="8" t="s">
        <v>474</v>
      </c>
      <c r="F189" s="8" t="s">
        <v>475</v>
      </c>
      <c r="G189" s="9">
        <v>164132</v>
      </c>
      <c r="H189" s="10">
        <f>INDEX([1]ratio_ins!F:F,MATCH('001_population_health_zone_zs'!$B$2,[1]ratio_ins!$B:$B,0))*$G189*INDEX([1]ratio_ins!$C:$C,MATCH('001_population_health_zone_zs'!$B189,[1]ratio_ins!$B:$B,0))</f>
        <v>16843.061707999997</v>
      </c>
      <c r="I189" s="10">
        <f>INDEX([1]ratio_ins!G:G,MATCH('001_population_health_zone_zs'!$B$2,[1]ratio_ins!$B:$B,0))*$G189*INDEX([1]ratio_ins!$C:$C,MATCH('001_population_health_zone_zs'!$B189,[1]ratio_ins!$B:$B,0))</f>
        <v>13780.686852000001</v>
      </c>
      <c r="J189" s="10">
        <f>INDEX([1]ratio_ins!H:H,MATCH('001_population_health_zone_zs'!$B$2,[1]ratio_ins!$B:$B,0))*$G189*INDEX([1]ratio_ins!$C:$C,MATCH('001_population_health_zone_zs'!$B189,[1]ratio_ins!$B:$B,0))</f>
        <v>10879.48962</v>
      </c>
      <c r="K189" s="10">
        <f>INDEX([1]ratio_ins!I:I,MATCH('001_population_health_zone_zs'!$B$2,[1]ratio_ins!$B:$B,0))*$G189*INDEX([1]ratio_ins!$C:$C,MATCH('001_population_health_zone_zs'!$B189,[1]ratio_ins!$B:$B,0))</f>
        <v>6688.8713959999995</v>
      </c>
      <c r="L189" s="10">
        <f>INDEX([1]ratio_ins!J:J,MATCH('001_population_health_zone_zs'!$B$2,[1]ratio_ins!$B:$B,0))*$G189*INDEX([1]ratio_ins!$C:$C,MATCH('001_population_health_zone_zs'!$B189,[1]ratio_ins!$B:$B,0))</f>
        <v>4013.3228375999997</v>
      </c>
      <c r="M189" s="11">
        <f>INDEX([1]ratio_ins!K:K,MATCH('001_population_health_zone_zs'!$B$2,[1]ratio_ins!$B:$B,0))*$G189*INDEX([1]ratio_ins!$C:$C,MATCH('001_population_health_zone_zs'!$B189,[1]ratio_ins!$B:$B,0))</f>
        <v>45516.561017599997</v>
      </c>
      <c r="N189" s="10">
        <f>INDEX([1]ratio_ins!L:L,MATCH('001_population_health_zone_zs'!$B$2,[1]ratio_ins!$B:$B,0))*$G189*INDEX([1]ratio_ins!$C:$C,MATCH('001_population_health_zone_zs'!$B189,[1]ratio_ins!$B:$B,0))</f>
        <v>2675.5485583999998</v>
      </c>
      <c r="O189" s="10">
        <f>INDEX([1]ratio_ins!M:M,MATCH('001_population_health_zone_zs'!$B$2,[1]ratio_ins!$B:$B,0))*$G189*INDEX([1]ratio_ins!$C:$C,MATCH('001_population_health_zone_zs'!$B189,[1]ratio_ins!$B:$B,0))</f>
        <v>5802.394464</v>
      </c>
      <c r="P189" s="10">
        <f>INDEX([1]ratio_ins!N:N,MATCH('001_population_health_zone_zs'!$B$2,[1]ratio_ins!$B:$B,0))*$G189*INDEX([1]ratio_ins!$C:$C,MATCH('001_population_health_zone_zs'!$B189,[1]ratio_ins!$B:$B,0))</f>
        <v>5238.2727800000002</v>
      </c>
      <c r="Q189" s="10">
        <f>INDEX([1]ratio_ins!O:O,MATCH('001_population_health_zone_zs'!$B$2,[1]ratio_ins!$B:$B,0))*$G189*INDEX([1]ratio_ins!$C:$C,MATCH('001_population_health_zone_zs'!$B189,[1]ratio_ins!$B:$B,0))</f>
        <v>4674.1510959999996</v>
      </c>
      <c r="R189" s="10">
        <f>INDEX([1]ratio_ins!P:P,MATCH('001_population_health_zone_zs'!$B$2,[1]ratio_ins!$B:$B,0))*$G189*INDEX([1]ratio_ins!$C:$C,MATCH('001_population_health_zone_zs'!$B189,[1]ratio_ins!$B:$B,0))</f>
        <v>4593.5622839999996</v>
      </c>
      <c r="S189" s="10">
        <f>INDEX([1]ratio_ins!Q:Q,MATCH('001_population_health_zone_zs'!$B$2,[1]ratio_ins!$B:$B,0))*$G189*INDEX([1]ratio_ins!$C:$C,MATCH('001_population_health_zone_zs'!$B189,[1]ratio_ins!$B:$B,0))</f>
        <v>3868.262976</v>
      </c>
      <c r="T189" s="10">
        <f>INDEX([1]ratio_ins!R:R,MATCH('001_population_health_zone_zs'!$B$2,[1]ratio_ins!$B:$B,0))*$G189*INDEX([1]ratio_ins!$C:$C,MATCH('001_population_health_zone_zs'!$B189,[1]ratio_ins!$B:$B,0))</f>
        <v>2740.0196080000001</v>
      </c>
      <c r="U189" s="10">
        <f>INDEX([1]ratio_ins!S:S,MATCH('001_population_health_zone_zs'!$B$2,[1]ratio_ins!$B:$B,0))*$G189*INDEX([1]ratio_ins!$C:$C,MATCH('001_population_health_zone_zs'!$B189,[1]ratio_ins!$B:$B,0))</f>
        <v>2175.8979240000003</v>
      </c>
      <c r="V189" s="10">
        <f>INDEX([1]ratio_ins!T:T,MATCH('001_population_health_zone_zs'!$B$2,[1]ratio_ins!$B:$B,0))*$G189*INDEX([1]ratio_ins!$C:$C,MATCH('001_population_health_zone_zs'!$B189,[1]ratio_ins!$B:$B,0))</f>
        <v>1208.8321799999999</v>
      </c>
      <c r="W189" s="11">
        <f>INDEX([1]ratio_ins!U:U,MATCH('001_population_health_zone_zs'!$B$2,[1]ratio_ins!$B:$B,0))*$G189*INDEX([1]ratio_ins!$C:$C,MATCH('001_population_health_zone_zs'!$B189,[1]ratio_ins!$B:$B,0))</f>
        <v>32976.941870399998</v>
      </c>
      <c r="X189" s="10">
        <f>INDEX([1]ratio_ins!V:V,MATCH('001_population_health_zone_zs'!$B$2,[1]ratio_ins!$B:$B,0))*$G189*INDEX([1]ratio_ins!$C:$C,MATCH('001_population_health_zone_zs'!$B189,[1]ratio_ins!$B:$B,0))</f>
        <v>967.065744</v>
      </c>
      <c r="Y189" s="10">
        <f>INDEX([1]ratio_ins!W:W,MATCH('001_population_health_zone_zs'!$B$2,[1]ratio_ins!$B:$B,0))*$G189*INDEX([1]ratio_ins!$C:$C,MATCH('001_population_health_zone_zs'!$B189,[1]ratio_ins!$B:$B,0))</f>
        <v>644.71049600000003</v>
      </c>
      <c r="Z189" s="10">
        <f>INDEX([1]ratio_ins!X:X,MATCH('001_population_health_zone_zs'!$B$2,[1]ratio_ins!$B:$B,0))*$G189*INDEX([1]ratio_ins!$C:$C,MATCH('001_population_health_zone_zs'!$B189,[1]ratio_ins!$B:$B,0))</f>
        <v>322.35524800000002</v>
      </c>
      <c r="AA189" s="10">
        <f>INDEX([1]ratio_ins!Y:Y,MATCH('001_population_health_zone_zs'!$B$2,[1]ratio_ins!$B:$B,0))*$G189*INDEX([1]ratio_ins!$C:$C,MATCH('001_population_health_zone_zs'!$B189,[1]ratio_ins!$B:$B,0))</f>
        <v>161.17762400000001</v>
      </c>
      <c r="AB189" s="11">
        <f>INDEX([1]ratio_ins!Z:Z,MATCH('001_population_health_zone_zs'!$B$2,[1]ratio_ins!$B:$B,0))*$G189*INDEX([1]ratio_ins!$C:$C,MATCH('001_population_health_zone_zs'!$B189,[1]ratio_ins!$B:$B,0))</f>
        <v>2095.3091120000004</v>
      </c>
      <c r="AC189" s="12">
        <f t="shared" si="12"/>
        <v>80588.811999999991</v>
      </c>
      <c r="AD189" s="10">
        <f>INDEX([1]ratio_ins!AA:AA,MATCH('001_population_health_zone_zs'!$B$2,[1]ratio_ins!$B:$B,0))*$G189*INDEX([1]ratio_ins!$D:$D,MATCH('001_population_health_zone_zs'!$B189,[1]ratio_ins!$B:$B,0))</f>
        <v>17544.069480000002</v>
      </c>
      <c r="AE189" s="10">
        <f>INDEX([1]ratio_ins!AB:AB,MATCH('001_population_health_zone_zs'!$B$2,[1]ratio_ins!$B:$B,0))*$G189*INDEX([1]ratio_ins!$D:$D,MATCH('001_population_health_zone_zs'!$B189,[1]ratio_ins!$B:$B,0))</f>
        <v>14452.971524000002</v>
      </c>
      <c r="AF189" s="10">
        <f>INDEX([1]ratio_ins!AC:AC,MATCH('001_population_health_zone_zs'!$B$2,[1]ratio_ins!$B:$B,0))*$G189*INDEX([1]ratio_ins!$D:$D,MATCH('001_population_health_zone_zs'!$B189,[1]ratio_ins!$B:$B,0))</f>
        <v>11445.416756000001</v>
      </c>
      <c r="AG189" s="10">
        <f>INDEX([1]ratio_ins!AD:AD,MATCH('001_population_health_zone_zs'!$B$2,[1]ratio_ins!$B:$B,0))*$G189*INDEX([1]ratio_ins!$D:$D,MATCH('001_population_health_zone_zs'!$B189,[1]ratio_ins!$B:$B,0))</f>
        <v>6934.0846040000006</v>
      </c>
      <c r="AH189" s="10">
        <f>INDEX([1]ratio_ins!AE:AE,MATCH('001_population_health_zone_zs'!$B$2,[1]ratio_ins!$B:$B,0))*$G189*INDEX([1]ratio_ins!$D:$D,MATCH('001_population_health_zone_zs'!$B189,[1]ratio_ins!$B:$B,0))</f>
        <v>4160.4507623999998</v>
      </c>
      <c r="AI189" s="13">
        <f>INDEX([1]ratio_ins!AF:AF,MATCH('001_population_health_zone_zs'!$B$2,[1]ratio_ins!$B:$B,0))*$G189*INDEX([1]ratio_ins!$D:$D,MATCH('001_population_health_zone_zs'!$B189,[1]ratio_ins!$B:$B,0))</f>
        <v>47602.908522400001</v>
      </c>
      <c r="AJ189" s="10">
        <f>INDEX([1]ratio_ins!AG:AG,MATCH('001_population_health_zone_zs'!$B$2,[1]ratio_ins!$B:$B,0))*$G189*INDEX([1]ratio_ins!$D:$D,MATCH('001_population_health_zone_zs'!$B189,[1]ratio_ins!$B:$B,0))</f>
        <v>2773.6338415999999</v>
      </c>
      <c r="AK189" s="10">
        <f>INDEX([1]ratio_ins!AH:AH,MATCH('001_population_health_zone_zs'!$B$2,[1]ratio_ins!$B:$B,0))*$G189*INDEX([1]ratio_ins!$D:$D,MATCH('001_population_health_zone_zs'!$B189,[1]ratio_ins!$B:$B,0))</f>
        <v>6182.195912000001</v>
      </c>
      <c r="AL189" s="10">
        <f>INDEX([1]ratio_ins!AI:AI,MATCH('001_population_health_zone_zs'!$B$2,[1]ratio_ins!$B:$B,0))*$G189*INDEX([1]ratio_ins!$D:$D,MATCH('001_population_health_zone_zs'!$B189,[1]ratio_ins!$B:$B,0))</f>
        <v>5848.0231600000006</v>
      </c>
      <c r="AM189" s="10">
        <f>INDEX([1]ratio_ins!AJ:AJ,MATCH('001_population_health_zone_zs'!$B$2,[1]ratio_ins!$B:$B,0))*$G189*INDEX([1]ratio_ins!$D:$D,MATCH('001_population_health_zone_zs'!$B189,[1]ratio_ins!$B:$B,0))</f>
        <v>5346.764032</v>
      </c>
      <c r="AN189" s="10">
        <f>INDEX([1]ratio_ins!AK:AK,MATCH('001_population_health_zone_zs'!$B$2,[1]ratio_ins!$B:$B,0))*$G189*INDEX([1]ratio_ins!$D:$D,MATCH('001_population_health_zone_zs'!$B189,[1]ratio_ins!$B:$B,0))</f>
        <v>5012.5912800000006</v>
      </c>
      <c r="AO189" s="10">
        <f>INDEX([1]ratio_ins!AL:AL,MATCH('001_population_health_zone_zs'!$B$2,[1]ratio_ins!$B:$B,0))*$G189*INDEX([1]ratio_ins!$D:$D,MATCH('001_population_health_zone_zs'!$B189,[1]ratio_ins!$B:$B,0))</f>
        <v>3759.44346</v>
      </c>
      <c r="AP189" s="10">
        <f>INDEX([1]ratio_ins!AM:AM,MATCH('001_population_health_zone_zs'!$B$2,[1]ratio_ins!$B:$B,0))*$G189*INDEX([1]ratio_ins!$D:$D,MATCH('001_population_health_zone_zs'!$B189,[1]ratio_ins!$B:$B,0))</f>
        <v>2422.7524519999997</v>
      </c>
      <c r="AQ189" s="10">
        <f>INDEX([1]ratio_ins!AN:AN,MATCH('001_population_health_zone_zs'!$B$2,[1]ratio_ins!$B:$B,0))*$G189*INDEX([1]ratio_ins!$D:$D,MATCH('001_population_health_zone_zs'!$B189,[1]ratio_ins!$B:$B,0))</f>
        <v>1921.493324</v>
      </c>
      <c r="AR189" s="10">
        <f>INDEX([1]ratio_ins!AO:AO,MATCH('001_population_health_zone_zs'!$B$2,[1]ratio_ins!$B:$B,0))*$G189*INDEX([1]ratio_ins!$D:$D,MATCH('001_population_health_zone_zs'!$B189,[1]ratio_ins!$B:$B,0))</f>
        <v>918.97506800000008</v>
      </c>
      <c r="AS189" s="13">
        <f>INDEX([1]ratio_ins!AP:AP,MATCH('001_population_health_zone_zs'!$B$2,[1]ratio_ins!$B:$B,0))*$G189*INDEX([1]ratio_ins!$D:$D,MATCH('001_population_health_zone_zs'!$B189,[1]ratio_ins!$B:$B,0))</f>
        <v>34185.872529600005</v>
      </c>
      <c r="AT189" s="10">
        <f>INDEX([1]ratio_ins!AQ:AQ,MATCH('001_population_health_zone_zs'!$B$2,[1]ratio_ins!$B:$B,0))*$G189*INDEX([1]ratio_ins!$D:$D,MATCH('001_population_health_zone_zs'!$B189,[1]ratio_ins!$B:$B,0))</f>
        <v>835.43187999999998</v>
      </c>
      <c r="AU189" s="10">
        <f>INDEX([1]ratio_ins!AR:AR,MATCH('001_population_health_zone_zs'!$B$2,[1]ratio_ins!$B:$B,0))*$G189*INDEX([1]ratio_ins!$D:$D,MATCH('001_population_health_zone_zs'!$B189,[1]ratio_ins!$B:$B,0))</f>
        <v>501.25912800000003</v>
      </c>
      <c r="AV189" s="10">
        <f>INDEX([1]ratio_ins!AS:AS,MATCH('001_population_health_zone_zs'!$B$2,[1]ratio_ins!$B:$B,0))*$G189*INDEX([1]ratio_ins!$D:$D,MATCH('001_population_health_zone_zs'!$B189,[1]ratio_ins!$B:$B,0))</f>
        <v>250.62956400000002</v>
      </c>
      <c r="AW189" s="10">
        <f>INDEX([1]ratio_ins!AT:AT,MATCH('001_population_health_zone_zs'!$B$2,[1]ratio_ins!$B:$B,0))*$G189*INDEX([1]ratio_ins!$D:$D,MATCH('001_population_health_zone_zs'!$B189,[1]ratio_ins!$B:$B,0))</f>
        <v>167.086376</v>
      </c>
      <c r="AX189" s="13">
        <f>INDEX([1]ratio_ins!AU:AU,MATCH('001_population_health_zone_zs'!$B$2,[1]ratio_ins!$B:$B,0))*$G189*INDEX([1]ratio_ins!$D:$D,MATCH('001_population_health_zone_zs'!$B189,[1]ratio_ins!$B:$B,0))</f>
        <v>1754.4069479999998</v>
      </c>
      <c r="AY189" s="14">
        <f t="shared" si="13"/>
        <v>83543.188000000009</v>
      </c>
      <c r="AZ189" s="15">
        <f t="shared" si="14"/>
        <v>164132</v>
      </c>
      <c r="BA189" s="16">
        <v>159682.37388449392</v>
      </c>
      <c r="BB189" s="10">
        <f t="shared" si="15"/>
        <v>35505.854900000006</v>
      </c>
      <c r="BC189" s="17">
        <f t="shared" si="16"/>
        <v>0.21632500000000005</v>
      </c>
      <c r="BD189" s="10">
        <f t="shared" si="17"/>
        <v>33605.534604</v>
      </c>
    </row>
    <row r="190" spans="1:56" x14ac:dyDescent="0.25">
      <c r="A190" s="8" t="s">
        <v>470</v>
      </c>
      <c r="B190" s="8" t="s">
        <v>471</v>
      </c>
      <c r="C190" s="8" t="s">
        <v>472</v>
      </c>
      <c r="D190" s="8" t="s">
        <v>473</v>
      </c>
      <c r="E190" s="8" t="s">
        <v>476</v>
      </c>
      <c r="F190" s="8" t="s">
        <v>477</v>
      </c>
      <c r="G190" s="9">
        <v>149247</v>
      </c>
      <c r="H190" s="10">
        <f>INDEX([1]ratio_ins!F:F,MATCH('001_population_health_zone_zs'!$B$2,[1]ratio_ins!$B:$B,0))*$G190*INDEX([1]ratio_ins!$C:$C,MATCH('001_population_health_zone_zs'!$B190,[1]ratio_ins!$B:$B,0))</f>
        <v>15315.577893</v>
      </c>
      <c r="I190" s="10">
        <f>INDEX([1]ratio_ins!G:G,MATCH('001_population_health_zone_zs'!$B$2,[1]ratio_ins!$B:$B,0))*$G190*INDEX([1]ratio_ins!$C:$C,MATCH('001_population_health_zone_zs'!$B190,[1]ratio_ins!$B:$B,0))</f>
        <v>12530.927367</v>
      </c>
      <c r="J190" s="10">
        <f>INDEX([1]ratio_ins!H:H,MATCH('001_population_health_zone_zs'!$B$2,[1]ratio_ins!$B:$B,0))*$G190*INDEX([1]ratio_ins!$C:$C,MATCH('001_population_health_zone_zs'!$B190,[1]ratio_ins!$B:$B,0))</f>
        <v>9892.8373950000005</v>
      </c>
      <c r="K190" s="10">
        <f>INDEX([1]ratio_ins!I:I,MATCH('001_population_health_zone_zs'!$B$2,[1]ratio_ins!$B:$B,0))*$G190*INDEX([1]ratio_ins!$C:$C,MATCH('001_population_health_zone_zs'!$B190,[1]ratio_ins!$B:$B,0))</f>
        <v>6082.2629909999996</v>
      </c>
      <c r="L190" s="10">
        <f>INDEX([1]ratio_ins!J:J,MATCH('001_population_health_zone_zs'!$B$2,[1]ratio_ins!$B:$B,0))*$G190*INDEX([1]ratio_ins!$C:$C,MATCH('001_population_health_zone_zs'!$B190,[1]ratio_ins!$B:$B,0))</f>
        <v>3649.3577945999996</v>
      </c>
      <c r="M190" s="11">
        <f>INDEX([1]ratio_ins!K:K,MATCH('001_population_health_zone_zs'!$B$2,[1]ratio_ins!$B:$B,0))*$G190*INDEX([1]ratio_ins!$C:$C,MATCH('001_population_health_zone_zs'!$B190,[1]ratio_ins!$B:$B,0))</f>
        <v>41388.700449600001</v>
      </c>
      <c r="N190" s="10">
        <f>INDEX([1]ratio_ins!L:L,MATCH('001_population_health_zone_zs'!$B$2,[1]ratio_ins!$B:$B,0))*$G190*INDEX([1]ratio_ins!$C:$C,MATCH('001_population_health_zone_zs'!$B190,[1]ratio_ins!$B:$B,0))</f>
        <v>2432.9051964</v>
      </c>
      <c r="O190" s="10">
        <f>INDEX([1]ratio_ins!M:M,MATCH('001_population_health_zone_zs'!$B$2,[1]ratio_ins!$B:$B,0))*$G190*INDEX([1]ratio_ins!$C:$C,MATCH('001_population_health_zone_zs'!$B190,[1]ratio_ins!$B:$B,0))</f>
        <v>5276.1799440000004</v>
      </c>
      <c r="P190" s="10">
        <f>INDEX([1]ratio_ins!N:N,MATCH('001_population_health_zone_zs'!$B$2,[1]ratio_ins!$B:$B,0))*$G190*INDEX([1]ratio_ins!$C:$C,MATCH('001_population_health_zone_zs'!$B190,[1]ratio_ins!$B:$B,0))</f>
        <v>4763.2180049999997</v>
      </c>
      <c r="Q190" s="10">
        <f>INDEX([1]ratio_ins!O:O,MATCH('001_population_health_zone_zs'!$B$2,[1]ratio_ins!$B:$B,0))*$G190*INDEX([1]ratio_ins!$C:$C,MATCH('001_population_health_zone_zs'!$B190,[1]ratio_ins!$B:$B,0))</f>
        <v>4250.2560659999999</v>
      </c>
      <c r="R190" s="10">
        <f>INDEX([1]ratio_ins!P:P,MATCH('001_population_health_zone_zs'!$B$2,[1]ratio_ins!$B:$B,0))*$G190*INDEX([1]ratio_ins!$C:$C,MATCH('001_population_health_zone_zs'!$B190,[1]ratio_ins!$B:$B,0))</f>
        <v>4176.9757890000001</v>
      </c>
      <c r="S190" s="10">
        <f>INDEX([1]ratio_ins!Q:Q,MATCH('001_population_health_zone_zs'!$B$2,[1]ratio_ins!$B:$B,0))*$G190*INDEX([1]ratio_ins!$C:$C,MATCH('001_population_health_zone_zs'!$B190,[1]ratio_ins!$B:$B,0))</f>
        <v>3517.4532959999997</v>
      </c>
      <c r="T190" s="10">
        <f>INDEX([1]ratio_ins!R:R,MATCH('001_population_health_zone_zs'!$B$2,[1]ratio_ins!$B:$B,0))*$G190*INDEX([1]ratio_ins!$C:$C,MATCH('001_population_health_zone_zs'!$B190,[1]ratio_ins!$B:$B,0))</f>
        <v>2491.5294180000001</v>
      </c>
      <c r="U190" s="10">
        <f>INDEX([1]ratio_ins!S:S,MATCH('001_population_health_zone_zs'!$B$2,[1]ratio_ins!$B:$B,0))*$G190*INDEX([1]ratio_ins!$C:$C,MATCH('001_population_health_zone_zs'!$B190,[1]ratio_ins!$B:$B,0))</f>
        <v>1978.567479</v>
      </c>
      <c r="V190" s="10">
        <f>INDEX([1]ratio_ins!T:T,MATCH('001_population_health_zone_zs'!$B$2,[1]ratio_ins!$B:$B,0))*$G190*INDEX([1]ratio_ins!$C:$C,MATCH('001_population_health_zone_zs'!$B190,[1]ratio_ins!$B:$B,0))</f>
        <v>1099.2041549999999</v>
      </c>
      <c r="W190" s="11">
        <f>INDEX([1]ratio_ins!U:U,MATCH('001_population_health_zone_zs'!$B$2,[1]ratio_ins!$B:$B,0))*$G190*INDEX([1]ratio_ins!$C:$C,MATCH('001_population_health_zone_zs'!$B190,[1]ratio_ins!$B:$B,0))</f>
        <v>29986.289348399998</v>
      </c>
      <c r="X190" s="10">
        <f>INDEX([1]ratio_ins!V:V,MATCH('001_population_health_zone_zs'!$B$2,[1]ratio_ins!$B:$B,0))*$G190*INDEX([1]ratio_ins!$C:$C,MATCH('001_population_health_zone_zs'!$B190,[1]ratio_ins!$B:$B,0))</f>
        <v>879.36332399999992</v>
      </c>
      <c r="Y190" s="10">
        <f>INDEX([1]ratio_ins!W:W,MATCH('001_population_health_zone_zs'!$B$2,[1]ratio_ins!$B:$B,0))*$G190*INDEX([1]ratio_ins!$C:$C,MATCH('001_population_health_zone_zs'!$B190,[1]ratio_ins!$B:$B,0))</f>
        <v>586.2422160000001</v>
      </c>
      <c r="Z190" s="10">
        <f>INDEX([1]ratio_ins!X:X,MATCH('001_population_health_zone_zs'!$B$2,[1]ratio_ins!$B:$B,0))*$G190*INDEX([1]ratio_ins!$C:$C,MATCH('001_population_health_zone_zs'!$B190,[1]ratio_ins!$B:$B,0))</f>
        <v>293.12110800000005</v>
      </c>
      <c r="AA190" s="10">
        <f>INDEX([1]ratio_ins!Y:Y,MATCH('001_population_health_zone_zs'!$B$2,[1]ratio_ins!$B:$B,0))*$G190*INDEX([1]ratio_ins!$C:$C,MATCH('001_population_health_zone_zs'!$B190,[1]ratio_ins!$B:$B,0))</f>
        <v>146.56055400000002</v>
      </c>
      <c r="AB190" s="11">
        <f>INDEX([1]ratio_ins!Z:Z,MATCH('001_population_health_zone_zs'!$B$2,[1]ratio_ins!$B:$B,0))*$G190*INDEX([1]ratio_ins!$C:$C,MATCH('001_population_health_zone_zs'!$B190,[1]ratio_ins!$B:$B,0))</f>
        <v>1905.2872020000002</v>
      </c>
      <c r="AC190" s="12">
        <f t="shared" si="12"/>
        <v>73280.277000000002</v>
      </c>
      <c r="AD190" s="10">
        <f>INDEX([1]ratio_ins!AA:AA,MATCH('001_population_health_zone_zs'!$B$2,[1]ratio_ins!$B:$B,0))*$G190*INDEX([1]ratio_ins!$D:$D,MATCH('001_population_health_zone_zs'!$B190,[1]ratio_ins!$B:$B,0))</f>
        <v>15953.011829999999</v>
      </c>
      <c r="AE190" s="10">
        <f>INDEX([1]ratio_ins!AB:AB,MATCH('001_population_health_zone_zs'!$B$2,[1]ratio_ins!$B:$B,0))*$G190*INDEX([1]ratio_ins!$D:$D,MATCH('001_population_health_zone_zs'!$B190,[1]ratio_ins!$B:$B,0))</f>
        <v>13142.243079000002</v>
      </c>
      <c r="AF190" s="10">
        <f>INDEX([1]ratio_ins!AC:AC,MATCH('001_population_health_zone_zs'!$B$2,[1]ratio_ins!$B:$B,0))*$G190*INDEX([1]ratio_ins!$D:$D,MATCH('001_population_health_zone_zs'!$B190,[1]ratio_ins!$B:$B,0))</f>
        <v>10407.441050999998</v>
      </c>
      <c r="AG190" s="10">
        <f>INDEX([1]ratio_ins!AD:AD,MATCH('001_population_health_zone_zs'!$B$2,[1]ratio_ins!$B:$B,0))*$G190*INDEX([1]ratio_ins!$D:$D,MATCH('001_population_health_zone_zs'!$B190,[1]ratio_ins!$B:$B,0))</f>
        <v>6305.2380090000006</v>
      </c>
      <c r="AH190" s="10">
        <f>INDEX([1]ratio_ins!AE:AE,MATCH('001_population_health_zone_zs'!$B$2,[1]ratio_ins!$B:$B,0))*$G190*INDEX([1]ratio_ins!$D:$D,MATCH('001_population_health_zone_zs'!$B190,[1]ratio_ins!$B:$B,0))</f>
        <v>3783.1428053999998</v>
      </c>
      <c r="AI190" s="13">
        <f>INDEX([1]ratio_ins!AF:AF,MATCH('001_population_health_zone_zs'!$B$2,[1]ratio_ins!$B:$B,0))*$G190*INDEX([1]ratio_ins!$D:$D,MATCH('001_population_health_zone_zs'!$B190,[1]ratio_ins!$B:$B,0))</f>
        <v>43285.838765400003</v>
      </c>
      <c r="AJ190" s="10">
        <f>INDEX([1]ratio_ins!AG:AG,MATCH('001_population_health_zone_zs'!$B$2,[1]ratio_ins!$B:$B,0))*$G190*INDEX([1]ratio_ins!$D:$D,MATCH('001_population_health_zone_zs'!$B190,[1]ratio_ins!$B:$B,0))</f>
        <v>2522.0952035999999</v>
      </c>
      <c r="AK190" s="10">
        <f>INDEX([1]ratio_ins!AH:AH,MATCH('001_population_health_zone_zs'!$B$2,[1]ratio_ins!$B:$B,0))*$G190*INDEX([1]ratio_ins!$D:$D,MATCH('001_population_health_zone_zs'!$B190,[1]ratio_ins!$B:$B,0))</f>
        <v>5621.537502000001</v>
      </c>
      <c r="AL190" s="10">
        <f>INDEX([1]ratio_ins!AI:AI,MATCH('001_population_health_zone_zs'!$B$2,[1]ratio_ins!$B:$B,0))*$G190*INDEX([1]ratio_ins!$D:$D,MATCH('001_population_health_zone_zs'!$B190,[1]ratio_ins!$B:$B,0))</f>
        <v>5317.6706100000001</v>
      </c>
      <c r="AM190" s="10">
        <f>INDEX([1]ratio_ins!AJ:AJ,MATCH('001_population_health_zone_zs'!$B$2,[1]ratio_ins!$B:$B,0))*$G190*INDEX([1]ratio_ins!$D:$D,MATCH('001_population_health_zone_zs'!$B190,[1]ratio_ins!$B:$B,0))</f>
        <v>4861.8702720000001</v>
      </c>
      <c r="AN190" s="10">
        <f>INDEX([1]ratio_ins!AK:AK,MATCH('001_population_health_zone_zs'!$B$2,[1]ratio_ins!$B:$B,0))*$G190*INDEX([1]ratio_ins!$D:$D,MATCH('001_population_health_zone_zs'!$B190,[1]ratio_ins!$B:$B,0))</f>
        <v>4558.0033800000001</v>
      </c>
      <c r="AO190" s="10">
        <f>INDEX([1]ratio_ins!AL:AL,MATCH('001_population_health_zone_zs'!$B$2,[1]ratio_ins!$B:$B,0))*$G190*INDEX([1]ratio_ins!$D:$D,MATCH('001_population_health_zone_zs'!$B190,[1]ratio_ins!$B:$B,0))</f>
        <v>3418.5025350000001</v>
      </c>
      <c r="AP190" s="10">
        <f>INDEX([1]ratio_ins!AM:AM,MATCH('001_population_health_zone_zs'!$B$2,[1]ratio_ins!$B:$B,0))*$G190*INDEX([1]ratio_ins!$D:$D,MATCH('001_population_health_zone_zs'!$B190,[1]ratio_ins!$B:$B,0))</f>
        <v>2203.0349669999996</v>
      </c>
      <c r="AQ190" s="10">
        <f>INDEX([1]ratio_ins!AN:AN,MATCH('001_population_health_zone_zs'!$B$2,[1]ratio_ins!$B:$B,0))*$G190*INDEX([1]ratio_ins!$D:$D,MATCH('001_population_health_zone_zs'!$B190,[1]ratio_ins!$B:$B,0))</f>
        <v>1747.234629</v>
      </c>
      <c r="AR190" s="10">
        <f>INDEX([1]ratio_ins!AO:AO,MATCH('001_population_health_zone_zs'!$B$2,[1]ratio_ins!$B:$B,0))*$G190*INDEX([1]ratio_ins!$D:$D,MATCH('001_population_health_zone_zs'!$B190,[1]ratio_ins!$B:$B,0))</f>
        <v>835.63395300000002</v>
      </c>
      <c r="AS190" s="13">
        <f>INDEX([1]ratio_ins!AP:AP,MATCH('001_population_health_zone_zs'!$B$2,[1]ratio_ins!$B:$B,0))*$G190*INDEX([1]ratio_ins!$D:$D,MATCH('001_population_health_zone_zs'!$B190,[1]ratio_ins!$B:$B,0))</f>
        <v>31085.583051600002</v>
      </c>
      <c r="AT190" s="10">
        <f>INDEX([1]ratio_ins!AQ:AQ,MATCH('001_population_health_zone_zs'!$B$2,[1]ratio_ins!$B:$B,0))*$G190*INDEX([1]ratio_ins!$D:$D,MATCH('001_population_health_zone_zs'!$B190,[1]ratio_ins!$B:$B,0))</f>
        <v>759.66723000000002</v>
      </c>
      <c r="AU190" s="10">
        <f>INDEX([1]ratio_ins!AR:AR,MATCH('001_population_health_zone_zs'!$B$2,[1]ratio_ins!$B:$B,0))*$G190*INDEX([1]ratio_ins!$D:$D,MATCH('001_population_health_zone_zs'!$B190,[1]ratio_ins!$B:$B,0))</f>
        <v>455.80033800000001</v>
      </c>
      <c r="AV190" s="10">
        <f>INDEX([1]ratio_ins!AS:AS,MATCH('001_population_health_zone_zs'!$B$2,[1]ratio_ins!$B:$B,0))*$G190*INDEX([1]ratio_ins!$D:$D,MATCH('001_population_health_zone_zs'!$B190,[1]ratio_ins!$B:$B,0))</f>
        <v>227.90016900000001</v>
      </c>
      <c r="AW190" s="10">
        <f>INDEX([1]ratio_ins!AT:AT,MATCH('001_population_health_zone_zs'!$B$2,[1]ratio_ins!$B:$B,0))*$G190*INDEX([1]ratio_ins!$D:$D,MATCH('001_population_health_zone_zs'!$B190,[1]ratio_ins!$B:$B,0))</f>
        <v>151.933446</v>
      </c>
      <c r="AX190" s="13">
        <f>INDEX([1]ratio_ins!AU:AU,MATCH('001_population_health_zone_zs'!$B$2,[1]ratio_ins!$B:$B,0))*$G190*INDEX([1]ratio_ins!$D:$D,MATCH('001_population_health_zone_zs'!$B190,[1]ratio_ins!$B:$B,0))</f>
        <v>1595.301183</v>
      </c>
      <c r="AY190" s="14">
        <f t="shared" si="13"/>
        <v>75966.723000000013</v>
      </c>
      <c r="AZ190" s="15">
        <f t="shared" si="14"/>
        <v>149247</v>
      </c>
      <c r="BA190" s="16">
        <v>145200.83265974806</v>
      </c>
      <c r="BB190" s="10">
        <f t="shared" si="15"/>
        <v>32285.857275000002</v>
      </c>
      <c r="BC190" s="17">
        <f t="shared" si="16"/>
        <v>0.21632500000000002</v>
      </c>
      <c r="BD190" s="10">
        <f t="shared" si="17"/>
        <v>30557.875508999998</v>
      </c>
    </row>
    <row r="191" spans="1:56" x14ac:dyDescent="0.25">
      <c r="A191" s="8" t="s">
        <v>470</v>
      </c>
      <c r="B191" s="8" t="s">
        <v>471</v>
      </c>
      <c r="C191" s="8" t="s">
        <v>472</v>
      </c>
      <c r="D191" s="8" t="s">
        <v>473</v>
      </c>
      <c r="E191" s="8" t="s">
        <v>478</v>
      </c>
      <c r="F191" s="8" t="s">
        <v>479</v>
      </c>
      <c r="G191" s="9">
        <v>196107</v>
      </c>
      <c r="H191" s="10">
        <f>INDEX([1]ratio_ins!F:F,MATCH('001_population_health_zone_zs'!$B$2,[1]ratio_ins!$B:$B,0))*$G191*INDEX([1]ratio_ins!$C:$C,MATCH('001_population_health_zone_zs'!$B191,[1]ratio_ins!$B:$B,0))</f>
        <v>20124.304232999999</v>
      </c>
      <c r="I191" s="10">
        <f>INDEX([1]ratio_ins!G:G,MATCH('001_population_health_zone_zs'!$B$2,[1]ratio_ins!$B:$B,0))*$G191*INDEX([1]ratio_ins!$C:$C,MATCH('001_population_health_zone_zs'!$B191,[1]ratio_ins!$B:$B,0))</f>
        <v>16465.339827000003</v>
      </c>
      <c r="J191" s="10">
        <f>INDEX([1]ratio_ins!H:H,MATCH('001_population_health_zone_zs'!$B$2,[1]ratio_ins!$B:$B,0))*$G191*INDEX([1]ratio_ins!$C:$C,MATCH('001_population_health_zone_zs'!$B191,[1]ratio_ins!$B:$B,0))</f>
        <v>12998.952495000001</v>
      </c>
      <c r="K191" s="10">
        <f>INDEX([1]ratio_ins!I:I,MATCH('001_population_health_zone_zs'!$B$2,[1]ratio_ins!$B:$B,0))*$G191*INDEX([1]ratio_ins!$C:$C,MATCH('001_population_health_zone_zs'!$B191,[1]ratio_ins!$B:$B,0))</f>
        <v>7991.9485710000008</v>
      </c>
      <c r="L191" s="10">
        <f>INDEX([1]ratio_ins!J:J,MATCH('001_population_health_zone_zs'!$B$2,[1]ratio_ins!$B:$B,0))*$G191*INDEX([1]ratio_ins!$C:$C,MATCH('001_population_health_zone_zs'!$B191,[1]ratio_ins!$B:$B,0))</f>
        <v>4795.1691425999998</v>
      </c>
      <c r="M191" s="11">
        <f>INDEX([1]ratio_ins!K:K,MATCH('001_population_health_zone_zs'!$B$2,[1]ratio_ins!$B:$B,0))*$G191*INDEX([1]ratio_ins!$C:$C,MATCH('001_population_health_zone_zs'!$B191,[1]ratio_ins!$B:$B,0))</f>
        <v>54383.765697599993</v>
      </c>
      <c r="N191" s="10">
        <f>INDEX([1]ratio_ins!L:L,MATCH('001_population_health_zone_zs'!$B$2,[1]ratio_ins!$B:$B,0))*$G191*INDEX([1]ratio_ins!$C:$C,MATCH('001_population_health_zone_zs'!$B191,[1]ratio_ins!$B:$B,0))</f>
        <v>3196.7794284000001</v>
      </c>
      <c r="O191" s="10">
        <f>INDEX([1]ratio_ins!M:M,MATCH('001_population_health_zone_zs'!$B$2,[1]ratio_ins!$B:$B,0))*$G191*INDEX([1]ratio_ins!$C:$C,MATCH('001_population_health_zone_zs'!$B191,[1]ratio_ins!$B:$B,0))</f>
        <v>6932.7746640000005</v>
      </c>
      <c r="P191" s="10">
        <f>INDEX([1]ratio_ins!N:N,MATCH('001_population_health_zone_zs'!$B$2,[1]ratio_ins!$B:$B,0))*$G191*INDEX([1]ratio_ins!$C:$C,MATCH('001_population_health_zone_zs'!$B191,[1]ratio_ins!$B:$B,0))</f>
        <v>6258.7549049999998</v>
      </c>
      <c r="Q191" s="10">
        <f>INDEX([1]ratio_ins!O:O,MATCH('001_population_health_zone_zs'!$B$2,[1]ratio_ins!$B:$B,0))*$G191*INDEX([1]ratio_ins!$C:$C,MATCH('001_population_health_zone_zs'!$B191,[1]ratio_ins!$B:$B,0))</f>
        <v>5584.7351459999991</v>
      </c>
      <c r="R191" s="10">
        <f>INDEX([1]ratio_ins!P:P,MATCH('001_population_health_zone_zs'!$B$2,[1]ratio_ins!$B:$B,0))*$G191*INDEX([1]ratio_ins!$C:$C,MATCH('001_population_health_zone_zs'!$B191,[1]ratio_ins!$B:$B,0))</f>
        <v>5488.4466089999996</v>
      </c>
      <c r="S191" s="10">
        <f>INDEX([1]ratio_ins!Q:Q,MATCH('001_population_health_zone_zs'!$B$2,[1]ratio_ins!$B:$B,0))*$G191*INDEX([1]ratio_ins!$C:$C,MATCH('001_population_health_zone_zs'!$B191,[1]ratio_ins!$B:$B,0))</f>
        <v>4621.849776</v>
      </c>
      <c r="T191" s="10">
        <f>INDEX([1]ratio_ins!R:R,MATCH('001_population_health_zone_zs'!$B$2,[1]ratio_ins!$B:$B,0))*$G191*INDEX([1]ratio_ins!$C:$C,MATCH('001_population_health_zone_zs'!$B191,[1]ratio_ins!$B:$B,0))</f>
        <v>3273.8102580000004</v>
      </c>
      <c r="U191" s="10">
        <f>INDEX([1]ratio_ins!S:S,MATCH('001_population_health_zone_zs'!$B$2,[1]ratio_ins!$B:$B,0))*$G191*INDEX([1]ratio_ins!$C:$C,MATCH('001_population_health_zone_zs'!$B191,[1]ratio_ins!$B:$B,0))</f>
        <v>2599.7904990000006</v>
      </c>
      <c r="V191" s="10">
        <f>INDEX([1]ratio_ins!T:T,MATCH('001_population_health_zone_zs'!$B$2,[1]ratio_ins!$B:$B,0))*$G191*INDEX([1]ratio_ins!$C:$C,MATCH('001_population_health_zone_zs'!$B191,[1]ratio_ins!$B:$B,0))</f>
        <v>1444.3280549999999</v>
      </c>
      <c r="W191" s="11">
        <f>INDEX([1]ratio_ins!U:U,MATCH('001_population_health_zone_zs'!$B$2,[1]ratio_ins!$B:$B,0))*$G191*INDEX([1]ratio_ins!$C:$C,MATCH('001_population_health_zone_zs'!$B191,[1]ratio_ins!$B:$B,0))</f>
        <v>39401.269340400002</v>
      </c>
      <c r="X191" s="10">
        <f>INDEX([1]ratio_ins!V:V,MATCH('001_population_health_zone_zs'!$B$2,[1]ratio_ins!$B:$B,0))*$G191*INDEX([1]ratio_ins!$C:$C,MATCH('001_population_health_zone_zs'!$B191,[1]ratio_ins!$B:$B,0))</f>
        <v>1155.462444</v>
      </c>
      <c r="Y191" s="10">
        <f>INDEX([1]ratio_ins!W:W,MATCH('001_population_health_zone_zs'!$B$2,[1]ratio_ins!$B:$B,0))*$G191*INDEX([1]ratio_ins!$C:$C,MATCH('001_population_health_zone_zs'!$B191,[1]ratio_ins!$B:$B,0))</f>
        <v>770.30829600000004</v>
      </c>
      <c r="Z191" s="10">
        <f>INDEX([1]ratio_ins!X:X,MATCH('001_population_health_zone_zs'!$B$2,[1]ratio_ins!$B:$B,0))*$G191*INDEX([1]ratio_ins!$C:$C,MATCH('001_population_health_zone_zs'!$B191,[1]ratio_ins!$B:$B,0))</f>
        <v>385.15414800000002</v>
      </c>
      <c r="AA191" s="10">
        <f>INDEX([1]ratio_ins!Y:Y,MATCH('001_population_health_zone_zs'!$B$2,[1]ratio_ins!$B:$B,0))*$G191*INDEX([1]ratio_ins!$C:$C,MATCH('001_population_health_zone_zs'!$B191,[1]ratio_ins!$B:$B,0))</f>
        <v>192.57707400000001</v>
      </c>
      <c r="AB191" s="11">
        <f>INDEX([1]ratio_ins!Z:Z,MATCH('001_population_health_zone_zs'!$B$2,[1]ratio_ins!$B:$B,0))*$G191*INDEX([1]ratio_ins!$C:$C,MATCH('001_population_health_zone_zs'!$B191,[1]ratio_ins!$B:$B,0))</f>
        <v>2503.5019619999998</v>
      </c>
      <c r="AC191" s="12">
        <f t="shared" si="12"/>
        <v>96288.536999999997</v>
      </c>
      <c r="AD191" s="10">
        <f>INDEX([1]ratio_ins!AA:AA,MATCH('001_population_health_zone_zs'!$B$2,[1]ratio_ins!$B:$B,0))*$G191*INDEX([1]ratio_ins!$D:$D,MATCH('001_population_health_zone_zs'!$B191,[1]ratio_ins!$B:$B,0))</f>
        <v>20961.877230000002</v>
      </c>
      <c r="AE191" s="10">
        <f>INDEX([1]ratio_ins!AB:AB,MATCH('001_population_health_zone_zs'!$B$2,[1]ratio_ins!$B:$B,0))*$G191*INDEX([1]ratio_ins!$D:$D,MATCH('001_population_health_zone_zs'!$B191,[1]ratio_ins!$B:$B,0))</f>
        <v>17268.594099000002</v>
      </c>
      <c r="AF191" s="10">
        <f>INDEX([1]ratio_ins!AC:AC,MATCH('001_population_health_zone_zs'!$B$2,[1]ratio_ins!$B:$B,0))*$G191*INDEX([1]ratio_ins!$D:$D,MATCH('001_population_health_zone_zs'!$B191,[1]ratio_ins!$B:$B,0))</f>
        <v>13675.129430999998</v>
      </c>
      <c r="AG191" s="10">
        <f>INDEX([1]ratio_ins!AD:AD,MATCH('001_population_health_zone_zs'!$B$2,[1]ratio_ins!$B:$B,0))*$G191*INDEX([1]ratio_ins!$D:$D,MATCH('001_population_health_zone_zs'!$B191,[1]ratio_ins!$B:$B,0))</f>
        <v>8284.9324290000004</v>
      </c>
      <c r="AH191" s="10">
        <f>INDEX([1]ratio_ins!AE:AE,MATCH('001_population_health_zone_zs'!$B$2,[1]ratio_ins!$B:$B,0))*$G191*INDEX([1]ratio_ins!$D:$D,MATCH('001_population_health_zone_zs'!$B191,[1]ratio_ins!$B:$B,0))</f>
        <v>4970.9594574000002</v>
      </c>
      <c r="AI191" s="13">
        <f>INDEX([1]ratio_ins!AF:AF,MATCH('001_population_health_zone_zs'!$B$2,[1]ratio_ins!$B:$B,0))*$G191*INDEX([1]ratio_ins!$D:$D,MATCH('001_population_health_zone_zs'!$B191,[1]ratio_ins!$B:$B,0))</f>
        <v>56876.560217400001</v>
      </c>
      <c r="AJ191" s="10">
        <f>INDEX([1]ratio_ins!AG:AG,MATCH('001_population_health_zone_zs'!$B$2,[1]ratio_ins!$B:$B,0))*$G191*INDEX([1]ratio_ins!$D:$D,MATCH('001_population_health_zone_zs'!$B191,[1]ratio_ins!$B:$B,0))</f>
        <v>3313.9729716000002</v>
      </c>
      <c r="AK191" s="10">
        <f>INDEX([1]ratio_ins!AH:AH,MATCH('001_population_health_zone_zs'!$B$2,[1]ratio_ins!$B:$B,0))*$G191*INDEX([1]ratio_ins!$D:$D,MATCH('001_population_health_zone_zs'!$B191,[1]ratio_ins!$B:$B,0))</f>
        <v>7386.5662620000012</v>
      </c>
      <c r="AL191" s="10">
        <f>INDEX([1]ratio_ins!AI:AI,MATCH('001_population_health_zone_zs'!$B$2,[1]ratio_ins!$B:$B,0))*$G191*INDEX([1]ratio_ins!$D:$D,MATCH('001_population_health_zone_zs'!$B191,[1]ratio_ins!$B:$B,0))</f>
        <v>6987.2924100000009</v>
      </c>
      <c r="AM191" s="10">
        <f>INDEX([1]ratio_ins!AJ:AJ,MATCH('001_population_health_zone_zs'!$B$2,[1]ratio_ins!$B:$B,0))*$G191*INDEX([1]ratio_ins!$D:$D,MATCH('001_population_health_zone_zs'!$B191,[1]ratio_ins!$B:$B,0))</f>
        <v>6388.3816319999996</v>
      </c>
      <c r="AN191" s="10">
        <f>INDEX([1]ratio_ins!AK:AK,MATCH('001_population_health_zone_zs'!$B$2,[1]ratio_ins!$B:$B,0))*$G191*INDEX([1]ratio_ins!$D:$D,MATCH('001_population_health_zone_zs'!$B191,[1]ratio_ins!$B:$B,0))</f>
        <v>5989.1077800000003</v>
      </c>
      <c r="AO191" s="10">
        <f>INDEX([1]ratio_ins!AL:AL,MATCH('001_population_health_zone_zs'!$B$2,[1]ratio_ins!$B:$B,0))*$G191*INDEX([1]ratio_ins!$D:$D,MATCH('001_population_health_zone_zs'!$B191,[1]ratio_ins!$B:$B,0))</f>
        <v>4491.8308350000007</v>
      </c>
      <c r="AP191" s="10">
        <f>INDEX([1]ratio_ins!AM:AM,MATCH('001_population_health_zone_zs'!$B$2,[1]ratio_ins!$B:$B,0))*$G191*INDEX([1]ratio_ins!$D:$D,MATCH('001_population_health_zone_zs'!$B191,[1]ratio_ins!$B:$B,0))</f>
        <v>2894.7354269999996</v>
      </c>
      <c r="AQ191" s="10">
        <f>INDEX([1]ratio_ins!AN:AN,MATCH('001_population_health_zone_zs'!$B$2,[1]ratio_ins!$B:$B,0))*$G191*INDEX([1]ratio_ins!$D:$D,MATCH('001_population_health_zone_zs'!$B191,[1]ratio_ins!$B:$B,0))</f>
        <v>2295.8246490000001</v>
      </c>
      <c r="AR191" s="10">
        <f>INDEX([1]ratio_ins!AO:AO,MATCH('001_population_health_zone_zs'!$B$2,[1]ratio_ins!$B:$B,0))*$G191*INDEX([1]ratio_ins!$D:$D,MATCH('001_population_health_zone_zs'!$B191,[1]ratio_ins!$B:$B,0))</f>
        <v>1098.003093</v>
      </c>
      <c r="AS191" s="13">
        <f>INDEX([1]ratio_ins!AP:AP,MATCH('001_population_health_zone_zs'!$B$2,[1]ratio_ins!$B:$B,0))*$G191*INDEX([1]ratio_ins!$D:$D,MATCH('001_population_health_zone_zs'!$B191,[1]ratio_ins!$B:$B,0))</f>
        <v>40845.715059599999</v>
      </c>
      <c r="AT191" s="10">
        <f>INDEX([1]ratio_ins!AQ:AQ,MATCH('001_population_health_zone_zs'!$B$2,[1]ratio_ins!$B:$B,0))*$G191*INDEX([1]ratio_ins!$D:$D,MATCH('001_population_health_zone_zs'!$B191,[1]ratio_ins!$B:$B,0))</f>
        <v>998.18462999999997</v>
      </c>
      <c r="AU191" s="10">
        <f>INDEX([1]ratio_ins!AR:AR,MATCH('001_population_health_zone_zs'!$B$2,[1]ratio_ins!$B:$B,0))*$G191*INDEX([1]ratio_ins!$D:$D,MATCH('001_population_health_zone_zs'!$B191,[1]ratio_ins!$B:$B,0))</f>
        <v>598.91077800000005</v>
      </c>
      <c r="AV191" s="10">
        <f>INDEX([1]ratio_ins!AS:AS,MATCH('001_population_health_zone_zs'!$B$2,[1]ratio_ins!$B:$B,0))*$G191*INDEX([1]ratio_ins!$D:$D,MATCH('001_population_health_zone_zs'!$B191,[1]ratio_ins!$B:$B,0))</f>
        <v>299.45538900000003</v>
      </c>
      <c r="AW191" s="10">
        <f>INDEX([1]ratio_ins!AT:AT,MATCH('001_population_health_zone_zs'!$B$2,[1]ratio_ins!$B:$B,0))*$G191*INDEX([1]ratio_ins!$D:$D,MATCH('001_population_health_zone_zs'!$B191,[1]ratio_ins!$B:$B,0))</f>
        <v>199.63692599999999</v>
      </c>
      <c r="AX191" s="13">
        <f>INDEX([1]ratio_ins!AU:AU,MATCH('001_population_health_zone_zs'!$B$2,[1]ratio_ins!$B:$B,0))*$G191*INDEX([1]ratio_ins!$D:$D,MATCH('001_population_health_zone_zs'!$B191,[1]ratio_ins!$B:$B,0))</f>
        <v>2096.1877229999996</v>
      </c>
      <c r="AY191" s="14">
        <f t="shared" si="13"/>
        <v>99818.463000000003</v>
      </c>
      <c r="AZ191" s="15">
        <f t="shared" si="14"/>
        <v>196107</v>
      </c>
      <c r="BA191" s="16">
        <v>190790.06427144419</v>
      </c>
      <c r="BB191" s="10">
        <f t="shared" si="15"/>
        <v>42422.846775000005</v>
      </c>
      <c r="BC191" s="17">
        <f t="shared" si="16"/>
        <v>0.21632500000000002</v>
      </c>
      <c r="BD191" s="10">
        <f t="shared" si="17"/>
        <v>40152.319928999998</v>
      </c>
    </row>
    <row r="192" spans="1:56" x14ac:dyDescent="0.25">
      <c r="A192" s="8" t="s">
        <v>470</v>
      </c>
      <c r="B192" s="8" t="s">
        <v>471</v>
      </c>
      <c r="C192" s="8" t="s">
        <v>472</v>
      </c>
      <c r="D192" s="8" t="s">
        <v>473</v>
      </c>
      <c r="E192" s="8" t="s">
        <v>480</v>
      </c>
      <c r="F192" s="8" t="s">
        <v>481</v>
      </c>
      <c r="G192" s="9">
        <v>194436</v>
      </c>
      <c r="H192" s="10">
        <f>INDEX([1]ratio_ins!F:F,MATCH('001_population_health_zone_zs'!$B$2,[1]ratio_ins!$B:$B,0))*$G192*INDEX([1]ratio_ins!$C:$C,MATCH('001_population_health_zone_zs'!$B192,[1]ratio_ins!$B:$B,0))</f>
        <v>19952.827883999998</v>
      </c>
      <c r="I192" s="10">
        <f>INDEX([1]ratio_ins!G:G,MATCH('001_population_health_zone_zs'!$B$2,[1]ratio_ins!$B:$B,0))*$G192*INDEX([1]ratio_ins!$C:$C,MATCH('001_population_health_zone_zs'!$B192,[1]ratio_ins!$B:$B,0))</f>
        <v>16325.040996000002</v>
      </c>
      <c r="J192" s="10">
        <f>INDEX([1]ratio_ins!H:H,MATCH('001_population_health_zone_zs'!$B$2,[1]ratio_ins!$B:$B,0))*$G192*INDEX([1]ratio_ins!$C:$C,MATCH('001_population_health_zone_zs'!$B192,[1]ratio_ins!$B:$B,0))</f>
        <v>12888.190259999999</v>
      </c>
      <c r="K192" s="10">
        <f>INDEX([1]ratio_ins!I:I,MATCH('001_population_health_zone_zs'!$B$2,[1]ratio_ins!$B:$B,0))*$G192*INDEX([1]ratio_ins!$C:$C,MATCH('001_population_health_zone_zs'!$B192,[1]ratio_ins!$B:$B,0))</f>
        <v>7923.850308</v>
      </c>
      <c r="L192" s="10">
        <f>INDEX([1]ratio_ins!J:J,MATCH('001_population_health_zone_zs'!$B$2,[1]ratio_ins!$B:$B,0))*$G192*INDEX([1]ratio_ins!$C:$C,MATCH('001_population_health_zone_zs'!$B192,[1]ratio_ins!$B:$B,0))</f>
        <v>4754.3101847999997</v>
      </c>
      <c r="M192" s="11">
        <f>INDEX([1]ratio_ins!K:K,MATCH('001_population_health_zone_zs'!$B$2,[1]ratio_ins!$B:$B,0))*$G192*INDEX([1]ratio_ins!$C:$C,MATCH('001_population_health_zone_zs'!$B192,[1]ratio_ins!$B:$B,0))</f>
        <v>53920.369324799998</v>
      </c>
      <c r="N192" s="10">
        <f>INDEX([1]ratio_ins!L:L,MATCH('001_population_health_zone_zs'!$B$2,[1]ratio_ins!$B:$B,0))*$G192*INDEX([1]ratio_ins!$C:$C,MATCH('001_population_health_zone_zs'!$B192,[1]ratio_ins!$B:$B,0))</f>
        <v>3169.5401231999999</v>
      </c>
      <c r="O192" s="10">
        <f>INDEX([1]ratio_ins!M:M,MATCH('001_population_health_zone_zs'!$B$2,[1]ratio_ins!$B:$B,0))*$G192*INDEX([1]ratio_ins!$C:$C,MATCH('001_population_health_zone_zs'!$B192,[1]ratio_ins!$B:$B,0))</f>
        <v>6873.7014720000006</v>
      </c>
      <c r="P192" s="10">
        <f>INDEX([1]ratio_ins!N:N,MATCH('001_population_health_zone_zs'!$B$2,[1]ratio_ins!$B:$B,0))*$G192*INDEX([1]ratio_ins!$C:$C,MATCH('001_population_health_zone_zs'!$B192,[1]ratio_ins!$B:$B,0))</f>
        <v>6205.4249399999999</v>
      </c>
      <c r="Q192" s="10">
        <f>INDEX([1]ratio_ins!O:O,MATCH('001_population_health_zone_zs'!$B$2,[1]ratio_ins!$B:$B,0))*$G192*INDEX([1]ratio_ins!$C:$C,MATCH('001_population_health_zone_zs'!$B192,[1]ratio_ins!$B:$B,0))</f>
        <v>5537.1484079999991</v>
      </c>
      <c r="R192" s="10">
        <f>INDEX([1]ratio_ins!P:P,MATCH('001_population_health_zone_zs'!$B$2,[1]ratio_ins!$B:$B,0))*$G192*INDEX([1]ratio_ins!$C:$C,MATCH('001_population_health_zone_zs'!$B192,[1]ratio_ins!$B:$B,0))</f>
        <v>5441.6803319999999</v>
      </c>
      <c r="S192" s="10">
        <f>INDEX([1]ratio_ins!Q:Q,MATCH('001_population_health_zone_zs'!$B$2,[1]ratio_ins!$B:$B,0))*$G192*INDEX([1]ratio_ins!$C:$C,MATCH('001_population_health_zone_zs'!$B192,[1]ratio_ins!$B:$B,0))</f>
        <v>4582.4676479999998</v>
      </c>
      <c r="T192" s="10">
        <f>INDEX([1]ratio_ins!R:R,MATCH('001_population_health_zone_zs'!$B$2,[1]ratio_ins!$B:$B,0))*$G192*INDEX([1]ratio_ins!$C:$C,MATCH('001_population_health_zone_zs'!$B192,[1]ratio_ins!$B:$B,0))</f>
        <v>3245.9145840000001</v>
      </c>
      <c r="U192" s="10">
        <f>INDEX([1]ratio_ins!S:S,MATCH('001_population_health_zone_zs'!$B$2,[1]ratio_ins!$B:$B,0))*$G192*INDEX([1]ratio_ins!$C:$C,MATCH('001_population_health_zone_zs'!$B192,[1]ratio_ins!$B:$B,0))</f>
        <v>2577.6380520000002</v>
      </c>
      <c r="V192" s="10">
        <f>INDEX([1]ratio_ins!T:T,MATCH('001_population_health_zone_zs'!$B$2,[1]ratio_ins!$B:$B,0))*$G192*INDEX([1]ratio_ins!$C:$C,MATCH('001_population_health_zone_zs'!$B192,[1]ratio_ins!$B:$B,0))</f>
        <v>1432.0211400000001</v>
      </c>
      <c r="W192" s="11">
        <f>INDEX([1]ratio_ins!U:U,MATCH('001_population_health_zone_zs'!$B$2,[1]ratio_ins!$B:$B,0))*$G192*INDEX([1]ratio_ins!$C:$C,MATCH('001_population_health_zone_zs'!$B192,[1]ratio_ins!$B:$B,0))</f>
        <v>39065.536699200005</v>
      </c>
      <c r="X192" s="10">
        <f>INDEX([1]ratio_ins!V:V,MATCH('001_population_health_zone_zs'!$B$2,[1]ratio_ins!$B:$B,0))*$G192*INDEX([1]ratio_ins!$C:$C,MATCH('001_population_health_zone_zs'!$B192,[1]ratio_ins!$B:$B,0))</f>
        <v>1145.616912</v>
      </c>
      <c r="Y192" s="10">
        <f>INDEX([1]ratio_ins!W:W,MATCH('001_population_health_zone_zs'!$B$2,[1]ratio_ins!$B:$B,0))*$G192*INDEX([1]ratio_ins!$C:$C,MATCH('001_population_health_zone_zs'!$B192,[1]ratio_ins!$B:$B,0))</f>
        <v>763.74460799999997</v>
      </c>
      <c r="Z192" s="10">
        <f>INDEX([1]ratio_ins!X:X,MATCH('001_population_health_zone_zs'!$B$2,[1]ratio_ins!$B:$B,0))*$G192*INDEX([1]ratio_ins!$C:$C,MATCH('001_population_health_zone_zs'!$B192,[1]ratio_ins!$B:$B,0))</f>
        <v>381.87230399999999</v>
      </c>
      <c r="AA192" s="10">
        <f>INDEX([1]ratio_ins!Y:Y,MATCH('001_population_health_zone_zs'!$B$2,[1]ratio_ins!$B:$B,0))*$G192*INDEX([1]ratio_ins!$C:$C,MATCH('001_population_health_zone_zs'!$B192,[1]ratio_ins!$B:$B,0))</f>
        <v>190.93615199999999</v>
      </c>
      <c r="AB192" s="11">
        <f>INDEX([1]ratio_ins!Z:Z,MATCH('001_population_health_zone_zs'!$B$2,[1]ratio_ins!$B:$B,0))*$G192*INDEX([1]ratio_ins!$C:$C,MATCH('001_population_health_zone_zs'!$B192,[1]ratio_ins!$B:$B,0))</f>
        <v>2482.1699760000001</v>
      </c>
      <c r="AC192" s="12">
        <f t="shared" si="12"/>
        <v>95468.076000000001</v>
      </c>
      <c r="AD192" s="10">
        <f>INDEX([1]ratio_ins!AA:AA,MATCH('001_population_health_zone_zs'!$B$2,[1]ratio_ins!$B:$B,0))*$G192*INDEX([1]ratio_ins!$D:$D,MATCH('001_population_health_zone_zs'!$B192,[1]ratio_ins!$B:$B,0))</f>
        <v>20783.264039999998</v>
      </c>
      <c r="AE192" s="10">
        <f>INDEX([1]ratio_ins!AB:AB,MATCH('001_population_health_zone_zs'!$B$2,[1]ratio_ins!$B:$B,0))*$G192*INDEX([1]ratio_ins!$D:$D,MATCH('001_population_health_zone_zs'!$B192,[1]ratio_ins!$B:$B,0))</f>
        <v>17121.450852000002</v>
      </c>
      <c r="AF192" s="10">
        <f>INDEX([1]ratio_ins!AC:AC,MATCH('001_population_health_zone_zs'!$B$2,[1]ratio_ins!$B:$B,0))*$G192*INDEX([1]ratio_ins!$D:$D,MATCH('001_population_health_zone_zs'!$B192,[1]ratio_ins!$B:$B,0))</f>
        <v>13558.605587999999</v>
      </c>
      <c r="AG192" s="10">
        <f>INDEX([1]ratio_ins!AD:AD,MATCH('001_population_health_zone_zs'!$B$2,[1]ratio_ins!$B:$B,0))*$G192*INDEX([1]ratio_ins!$D:$D,MATCH('001_population_health_zone_zs'!$B192,[1]ratio_ins!$B:$B,0))</f>
        <v>8214.337692000001</v>
      </c>
      <c r="AH192" s="10">
        <f>INDEX([1]ratio_ins!AE:AE,MATCH('001_population_health_zone_zs'!$B$2,[1]ratio_ins!$B:$B,0))*$G192*INDEX([1]ratio_ins!$D:$D,MATCH('001_population_health_zone_zs'!$B192,[1]ratio_ins!$B:$B,0))</f>
        <v>4928.6026152000004</v>
      </c>
      <c r="AI192" s="13">
        <f>INDEX([1]ratio_ins!AF:AF,MATCH('001_population_health_zone_zs'!$B$2,[1]ratio_ins!$B:$B,0))*$G192*INDEX([1]ratio_ins!$D:$D,MATCH('001_population_health_zone_zs'!$B192,[1]ratio_ins!$B:$B,0))</f>
        <v>56391.9230952</v>
      </c>
      <c r="AJ192" s="10">
        <f>INDEX([1]ratio_ins!AG:AG,MATCH('001_population_health_zone_zs'!$B$2,[1]ratio_ins!$B:$B,0))*$G192*INDEX([1]ratio_ins!$D:$D,MATCH('001_population_health_zone_zs'!$B192,[1]ratio_ins!$B:$B,0))</f>
        <v>3285.7350768000001</v>
      </c>
      <c r="AK192" s="10">
        <f>INDEX([1]ratio_ins!AH:AH,MATCH('001_population_health_zone_zs'!$B$2,[1]ratio_ins!$B:$B,0))*$G192*INDEX([1]ratio_ins!$D:$D,MATCH('001_population_health_zone_zs'!$B192,[1]ratio_ins!$B:$B,0))</f>
        <v>7323.626376000002</v>
      </c>
      <c r="AL192" s="10">
        <f>INDEX([1]ratio_ins!AI:AI,MATCH('001_population_health_zone_zs'!$B$2,[1]ratio_ins!$B:$B,0))*$G192*INDEX([1]ratio_ins!$D:$D,MATCH('001_population_health_zone_zs'!$B192,[1]ratio_ins!$B:$B,0))</f>
        <v>6927.75468</v>
      </c>
      <c r="AM192" s="10">
        <f>INDEX([1]ratio_ins!AJ:AJ,MATCH('001_population_health_zone_zs'!$B$2,[1]ratio_ins!$B:$B,0))*$G192*INDEX([1]ratio_ins!$D:$D,MATCH('001_population_health_zone_zs'!$B192,[1]ratio_ins!$B:$B,0))</f>
        <v>6333.9471360000007</v>
      </c>
      <c r="AN192" s="10">
        <f>INDEX([1]ratio_ins!AK:AK,MATCH('001_population_health_zone_zs'!$B$2,[1]ratio_ins!$B:$B,0))*$G192*INDEX([1]ratio_ins!$D:$D,MATCH('001_population_health_zone_zs'!$B192,[1]ratio_ins!$B:$B,0))</f>
        <v>5938.0754399999996</v>
      </c>
      <c r="AO192" s="10">
        <f>INDEX([1]ratio_ins!AL:AL,MATCH('001_population_health_zone_zs'!$B$2,[1]ratio_ins!$B:$B,0))*$G192*INDEX([1]ratio_ins!$D:$D,MATCH('001_population_health_zone_zs'!$B192,[1]ratio_ins!$B:$B,0))</f>
        <v>4453.5565799999995</v>
      </c>
      <c r="AP192" s="10">
        <f>INDEX([1]ratio_ins!AM:AM,MATCH('001_population_health_zone_zs'!$B$2,[1]ratio_ins!$B:$B,0))*$G192*INDEX([1]ratio_ins!$D:$D,MATCH('001_population_health_zone_zs'!$B192,[1]ratio_ins!$B:$B,0))</f>
        <v>2870.0697959999998</v>
      </c>
      <c r="AQ192" s="10">
        <f>INDEX([1]ratio_ins!AN:AN,MATCH('001_population_health_zone_zs'!$B$2,[1]ratio_ins!$B:$B,0))*$G192*INDEX([1]ratio_ins!$D:$D,MATCH('001_population_health_zone_zs'!$B192,[1]ratio_ins!$B:$B,0))</f>
        <v>2276.262252</v>
      </c>
      <c r="AR192" s="10">
        <f>INDEX([1]ratio_ins!AO:AO,MATCH('001_population_health_zone_zs'!$B$2,[1]ratio_ins!$B:$B,0))*$G192*INDEX([1]ratio_ins!$D:$D,MATCH('001_population_health_zone_zs'!$B192,[1]ratio_ins!$B:$B,0))</f>
        <v>1088.6471640000002</v>
      </c>
      <c r="AS192" s="13">
        <f>INDEX([1]ratio_ins!AP:AP,MATCH('001_population_health_zone_zs'!$B$2,[1]ratio_ins!$B:$B,0))*$G192*INDEX([1]ratio_ins!$D:$D,MATCH('001_population_health_zone_zs'!$B192,[1]ratio_ins!$B:$B,0))</f>
        <v>40497.6745008</v>
      </c>
      <c r="AT192" s="10">
        <f>INDEX([1]ratio_ins!AQ:AQ,MATCH('001_population_health_zone_zs'!$B$2,[1]ratio_ins!$B:$B,0))*$G192*INDEX([1]ratio_ins!$D:$D,MATCH('001_population_health_zone_zs'!$B192,[1]ratio_ins!$B:$B,0))</f>
        <v>989.67924000000005</v>
      </c>
      <c r="AU192" s="10">
        <f>INDEX([1]ratio_ins!AR:AR,MATCH('001_population_health_zone_zs'!$B$2,[1]ratio_ins!$B:$B,0))*$G192*INDEX([1]ratio_ins!$D:$D,MATCH('001_population_health_zone_zs'!$B192,[1]ratio_ins!$B:$B,0))</f>
        <v>593.80754400000001</v>
      </c>
      <c r="AV192" s="10">
        <f>INDEX([1]ratio_ins!AS:AS,MATCH('001_population_health_zone_zs'!$B$2,[1]ratio_ins!$B:$B,0))*$G192*INDEX([1]ratio_ins!$D:$D,MATCH('001_population_health_zone_zs'!$B192,[1]ratio_ins!$B:$B,0))</f>
        <v>296.903772</v>
      </c>
      <c r="AW192" s="10">
        <f>INDEX([1]ratio_ins!AT:AT,MATCH('001_population_health_zone_zs'!$B$2,[1]ratio_ins!$B:$B,0))*$G192*INDEX([1]ratio_ins!$D:$D,MATCH('001_population_health_zone_zs'!$B192,[1]ratio_ins!$B:$B,0))</f>
        <v>197.93584800000002</v>
      </c>
      <c r="AX192" s="13">
        <f>INDEX([1]ratio_ins!AU:AU,MATCH('001_population_health_zone_zs'!$B$2,[1]ratio_ins!$B:$B,0))*$G192*INDEX([1]ratio_ins!$D:$D,MATCH('001_population_health_zone_zs'!$B192,[1]ratio_ins!$B:$B,0))</f>
        <v>2078.3264039999999</v>
      </c>
      <c r="AY192" s="14">
        <f t="shared" si="13"/>
        <v>98967.924000000014</v>
      </c>
      <c r="AZ192" s="15">
        <f t="shared" si="14"/>
        <v>194436</v>
      </c>
      <c r="BA192" s="16">
        <v>189164.86036589745</v>
      </c>
      <c r="BB192" s="10">
        <f t="shared" si="15"/>
        <v>42061.367700000003</v>
      </c>
      <c r="BC192" s="17">
        <f t="shared" si="16"/>
        <v>0.21632500000000002</v>
      </c>
      <c r="BD192" s="10">
        <f t="shared" si="17"/>
        <v>39810.187692</v>
      </c>
    </row>
    <row r="193" spans="1:56" x14ac:dyDescent="0.25">
      <c r="A193" s="8" t="s">
        <v>470</v>
      </c>
      <c r="B193" s="8" t="s">
        <v>471</v>
      </c>
      <c r="C193" s="8" t="s">
        <v>472</v>
      </c>
      <c r="D193" s="8" t="s">
        <v>473</v>
      </c>
      <c r="E193" s="8" t="s">
        <v>470</v>
      </c>
      <c r="F193" s="8" t="s">
        <v>482</v>
      </c>
      <c r="G193" s="9">
        <v>134026</v>
      </c>
      <c r="H193" s="10">
        <f>INDEX([1]ratio_ins!F:F,MATCH('001_population_health_zone_zs'!$B$2,[1]ratio_ins!$B:$B,0))*$G193*INDEX([1]ratio_ins!$C:$C,MATCH('001_population_health_zone_zs'!$B193,[1]ratio_ins!$B:$B,0))</f>
        <v>13753.614093999999</v>
      </c>
      <c r="I193" s="10">
        <f>INDEX([1]ratio_ins!G:G,MATCH('001_population_health_zone_zs'!$B$2,[1]ratio_ins!$B:$B,0))*$G193*INDEX([1]ratio_ins!$C:$C,MATCH('001_population_health_zone_zs'!$B193,[1]ratio_ins!$B:$B,0))</f>
        <v>11252.956986000001</v>
      </c>
      <c r="J193" s="10">
        <f>INDEX([1]ratio_ins!H:H,MATCH('001_population_health_zone_zs'!$B$2,[1]ratio_ins!$B:$B,0))*$G193*INDEX([1]ratio_ins!$C:$C,MATCH('001_population_health_zone_zs'!$B193,[1]ratio_ins!$B:$B,0))</f>
        <v>8883.913410000001</v>
      </c>
      <c r="K193" s="10">
        <f>INDEX([1]ratio_ins!I:I,MATCH('001_population_health_zone_zs'!$B$2,[1]ratio_ins!$B:$B,0))*$G193*INDEX([1]ratio_ins!$C:$C,MATCH('001_population_health_zone_zs'!$B193,[1]ratio_ins!$B:$B,0))</f>
        <v>5461.9615780000004</v>
      </c>
      <c r="L193" s="10">
        <f>INDEX([1]ratio_ins!J:J,MATCH('001_population_health_zone_zs'!$B$2,[1]ratio_ins!$B:$B,0))*$G193*INDEX([1]ratio_ins!$C:$C,MATCH('001_population_health_zone_zs'!$B193,[1]ratio_ins!$B:$B,0))</f>
        <v>3277.1769467999998</v>
      </c>
      <c r="M193" s="11">
        <f>INDEX([1]ratio_ins!K:K,MATCH('001_population_health_zone_zs'!$B$2,[1]ratio_ins!$B:$B,0))*$G193*INDEX([1]ratio_ins!$C:$C,MATCH('001_population_health_zone_zs'!$B193,[1]ratio_ins!$B:$B,0))</f>
        <v>37167.661436800001</v>
      </c>
      <c r="N193" s="10">
        <f>INDEX([1]ratio_ins!L:L,MATCH('001_population_health_zone_zs'!$B$2,[1]ratio_ins!$B:$B,0))*$G193*INDEX([1]ratio_ins!$C:$C,MATCH('001_population_health_zone_zs'!$B193,[1]ratio_ins!$B:$B,0))</f>
        <v>2184.7846312000001</v>
      </c>
      <c r="O193" s="10">
        <f>INDEX([1]ratio_ins!M:M,MATCH('001_population_health_zone_zs'!$B$2,[1]ratio_ins!$B:$B,0))*$G193*INDEX([1]ratio_ins!$C:$C,MATCH('001_population_health_zone_zs'!$B193,[1]ratio_ins!$B:$B,0))</f>
        <v>4738.087152000001</v>
      </c>
      <c r="P193" s="10">
        <f>INDEX([1]ratio_ins!N:N,MATCH('001_population_health_zone_zs'!$B$2,[1]ratio_ins!$B:$B,0))*$G193*INDEX([1]ratio_ins!$C:$C,MATCH('001_population_health_zone_zs'!$B193,[1]ratio_ins!$B:$B,0))</f>
        <v>4277.4397900000004</v>
      </c>
      <c r="Q193" s="10">
        <f>INDEX([1]ratio_ins!O:O,MATCH('001_population_health_zone_zs'!$B$2,[1]ratio_ins!$B:$B,0))*$G193*INDEX([1]ratio_ins!$C:$C,MATCH('001_population_health_zone_zs'!$B193,[1]ratio_ins!$B:$B,0))</f>
        <v>3816.7924279999997</v>
      </c>
      <c r="R193" s="10">
        <f>INDEX([1]ratio_ins!P:P,MATCH('001_population_health_zone_zs'!$B$2,[1]ratio_ins!$B:$B,0))*$G193*INDEX([1]ratio_ins!$C:$C,MATCH('001_population_health_zone_zs'!$B193,[1]ratio_ins!$B:$B,0))</f>
        <v>3750.985662</v>
      </c>
      <c r="S193" s="10">
        <f>INDEX([1]ratio_ins!Q:Q,MATCH('001_population_health_zone_zs'!$B$2,[1]ratio_ins!$B:$B,0))*$G193*INDEX([1]ratio_ins!$C:$C,MATCH('001_population_health_zone_zs'!$B193,[1]ratio_ins!$B:$B,0))</f>
        <v>3158.724768</v>
      </c>
      <c r="T193" s="10">
        <f>INDEX([1]ratio_ins!R:R,MATCH('001_population_health_zone_zs'!$B$2,[1]ratio_ins!$B:$B,0))*$G193*INDEX([1]ratio_ins!$C:$C,MATCH('001_population_health_zone_zs'!$B193,[1]ratio_ins!$B:$B,0))</f>
        <v>2237.4300440000002</v>
      </c>
      <c r="U193" s="10">
        <f>INDEX([1]ratio_ins!S:S,MATCH('001_population_health_zone_zs'!$B$2,[1]ratio_ins!$B:$B,0))*$G193*INDEX([1]ratio_ins!$C:$C,MATCH('001_population_health_zone_zs'!$B193,[1]ratio_ins!$B:$B,0))</f>
        <v>1776.782682</v>
      </c>
      <c r="V193" s="10">
        <f>INDEX([1]ratio_ins!T:T,MATCH('001_population_health_zone_zs'!$B$2,[1]ratio_ins!$B:$B,0))*$G193*INDEX([1]ratio_ins!$C:$C,MATCH('001_population_health_zone_zs'!$B193,[1]ratio_ins!$B:$B,0))</f>
        <v>987.1014899999999</v>
      </c>
      <c r="W193" s="11">
        <f>INDEX([1]ratio_ins!U:U,MATCH('001_population_health_zone_zs'!$B$2,[1]ratio_ins!$B:$B,0))*$G193*INDEX([1]ratio_ins!$C:$C,MATCH('001_population_health_zone_zs'!$B193,[1]ratio_ins!$B:$B,0))</f>
        <v>26928.128647199999</v>
      </c>
      <c r="X193" s="10">
        <f>INDEX([1]ratio_ins!V:V,MATCH('001_population_health_zone_zs'!$B$2,[1]ratio_ins!$B:$B,0))*$G193*INDEX([1]ratio_ins!$C:$C,MATCH('001_population_health_zone_zs'!$B193,[1]ratio_ins!$B:$B,0))</f>
        <v>789.68119200000001</v>
      </c>
      <c r="Y193" s="10">
        <f>INDEX([1]ratio_ins!W:W,MATCH('001_population_health_zone_zs'!$B$2,[1]ratio_ins!$B:$B,0))*$G193*INDEX([1]ratio_ins!$C:$C,MATCH('001_population_health_zone_zs'!$B193,[1]ratio_ins!$B:$B,0))</f>
        <v>526.45412800000008</v>
      </c>
      <c r="Z193" s="10">
        <f>INDEX([1]ratio_ins!X:X,MATCH('001_population_health_zone_zs'!$B$2,[1]ratio_ins!$B:$B,0))*$G193*INDEX([1]ratio_ins!$C:$C,MATCH('001_population_health_zone_zs'!$B193,[1]ratio_ins!$B:$B,0))</f>
        <v>263.22706400000004</v>
      </c>
      <c r="AA193" s="10">
        <f>INDEX([1]ratio_ins!Y:Y,MATCH('001_population_health_zone_zs'!$B$2,[1]ratio_ins!$B:$B,0))*$G193*INDEX([1]ratio_ins!$C:$C,MATCH('001_population_health_zone_zs'!$B193,[1]ratio_ins!$B:$B,0))</f>
        <v>131.61353200000002</v>
      </c>
      <c r="AB193" s="11">
        <f>INDEX([1]ratio_ins!Z:Z,MATCH('001_population_health_zone_zs'!$B$2,[1]ratio_ins!$B:$B,0))*$G193*INDEX([1]ratio_ins!$C:$C,MATCH('001_population_health_zone_zs'!$B193,[1]ratio_ins!$B:$B,0))</f>
        <v>1710.9759160000001</v>
      </c>
      <c r="AC193" s="12">
        <f t="shared" si="12"/>
        <v>65806.766000000003</v>
      </c>
      <c r="AD193" s="10">
        <f>INDEX([1]ratio_ins!AA:AA,MATCH('001_population_health_zone_zs'!$B$2,[1]ratio_ins!$B:$B,0))*$G193*INDEX([1]ratio_ins!$D:$D,MATCH('001_population_health_zone_zs'!$B193,[1]ratio_ins!$B:$B,0))</f>
        <v>14326.039139999999</v>
      </c>
      <c r="AE193" s="10">
        <f>INDEX([1]ratio_ins!AB:AB,MATCH('001_population_health_zone_zs'!$B$2,[1]ratio_ins!$B:$B,0))*$G193*INDEX([1]ratio_ins!$D:$D,MATCH('001_population_health_zone_zs'!$B193,[1]ratio_ins!$B:$B,0))</f>
        <v>11801.927482000001</v>
      </c>
      <c r="AF193" s="10">
        <f>INDEX([1]ratio_ins!AC:AC,MATCH('001_population_health_zone_zs'!$B$2,[1]ratio_ins!$B:$B,0))*$G193*INDEX([1]ratio_ins!$D:$D,MATCH('001_population_health_zone_zs'!$B193,[1]ratio_ins!$B:$B,0))</f>
        <v>9346.0350579999995</v>
      </c>
      <c r="AG193" s="10">
        <f>INDEX([1]ratio_ins!AD:AD,MATCH('001_population_health_zone_zs'!$B$2,[1]ratio_ins!$B:$B,0))*$G193*INDEX([1]ratio_ins!$D:$D,MATCH('001_population_health_zone_zs'!$B193,[1]ratio_ins!$B:$B,0))</f>
        <v>5662.1964220000009</v>
      </c>
      <c r="AH193" s="10">
        <f>INDEX([1]ratio_ins!AE:AE,MATCH('001_population_health_zone_zs'!$B$2,[1]ratio_ins!$B:$B,0))*$G193*INDEX([1]ratio_ins!$D:$D,MATCH('001_population_health_zone_zs'!$B193,[1]ratio_ins!$B:$B,0))</f>
        <v>3397.3178531999997</v>
      </c>
      <c r="AI193" s="13">
        <f>INDEX([1]ratio_ins!AF:AF,MATCH('001_population_health_zone_zs'!$B$2,[1]ratio_ins!$B:$B,0))*$G193*INDEX([1]ratio_ins!$D:$D,MATCH('001_population_health_zone_zs'!$B193,[1]ratio_ins!$B:$B,0))</f>
        <v>38871.319533199996</v>
      </c>
      <c r="AJ193" s="10">
        <f>INDEX([1]ratio_ins!AG:AG,MATCH('001_population_health_zone_zs'!$B$2,[1]ratio_ins!$B:$B,0))*$G193*INDEX([1]ratio_ins!$D:$D,MATCH('001_population_health_zone_zs'!$B193,[1]ratio_ins!$B:$B,0))</f>
        <v>2264.8785687999998</v>
      </c>
      <c r="AK193" s="10">
        <f>INDEX([1]ratio_ins!AH:AH,MATCH('001_population_health_zone_zs'!$B$2,[1]ratio_ins!$B:$B,0))*$G193*INDEX([1]ratio_ins!$D:$D,MATCH('001_population_health_zone_zs'!$B193,[1]ratio_ins!$B:$B,0))</f>
        <v>5048.2233160000005</v>
      </c>
      <c r="AL193" s="10">
        <f>INDEX([1]ratio_ins!AI:AI,MATCH('001_population_health_zone_zs'!$B$2,[1]ratio_ins!$B:$B,0))*$G193*INDEX([1]ratio_ins!$D:$D,MATCH('001_population_health_zone_zs'!$B193,[1]ratio_ins!$B:$B,0))</f>
        <v>4775.3463800000009</v>
      </c>
      <c r="AM193" s="10">
        <f>INDEX([1]ratio_ins!AJ:AJ,MATCH('001_population_health_zone_zs'!$B$2,[1]ratio_ins!$B:$B,0))*$G193*INDEX([1]ratio_ins!$D:$D,MATCH('001_population_health_zone_zs'!$B193,[1]ratio_ins!$B:$B,0))</f>
        <v>4366.030976</v>
      </c>
      <c r="AN193" s="10">
        <f>INDEX([1]ratio_ins!AK:AK,MATCH('001_population_health_zone_zs'!$B$2,[1]ratio_ins!$B:$B,0))*$G193*INDEX([1]ratio_ins!$D:$D,MATCH('001_population_health_zone_zs'!$B193,[1]ratio_ins!$B:$B,0))</f>
        <v>4093.1540399999999</v>
      </c>
      <c r="AO193" s="10">
        <f>INDEX([1]ratio_ins!AL:AL,MATCH('001_population_health_zone_zs'!$B$2,[1]ratio_ins!$B:$B,0))*$G193*INDEX([1]ratio_ins!$D:$D,MATCH('001_population_health_zone_zs'!$B193,[1]ratio_ins!$B:$B,0))</f>
        <v>3069.86553</v>
      </c>
      <c r="AP193" s="10">
        <f>INDEX([1]ratio_ins!AM:AM,MATCH('001_population_health_zone_zs'!$B$2,[1]ratio_ins!$B:$B,0))*$G193*INDEX([1]ratio_ins!$D:$D,MATCH('001_population_health_zone_zs'!$B193,[1]ratio_ins!$B:$B,0))</f>
        <v>1978.357786</v>
      </c>
      <c r="AQ193" s="10">
        <f>INDEX([1]ratio_ins!AN:AN,MATCH('001_population_health_zone_zs'!$B$2,[1]ratio_ins!$B:$B,0))*$G193*INDEX([1]ratio_ins!$D:$D,MATCH('001_population_health_zone_zs'!$B193,[1]ratio_ins!$B:$B,0))</f>
        <v>1569.0423820000001</v>
      </c>
      <c r="AR193" s="10">
        <f>INDEX([1]ratio_ins!AO:AO,MATCH('001_population_health_zone_zs'!$B$2,[1]ratio_ins!$B:$B,0))*$G193*INDEX([1]ratio_ins!$D:$D,MATCH('001_population_health_zone_zs'!$B193,[1]ratio_ins!$B:$B,0))</f>
        <v>750.41157400000009</v>
      </c>
      <c r="AS193" s="13">
        <f>INDEX([1]ratio_ins!AP:AP,MATCH('001_population_health_zone_zs'!$B$2,[1]ratio_ins!$B:$B,0))*$G193*INDEX([1]ratio_ins!$D:$D,MATCH('001_population_health_zone_zs'!$B193,[1]ratio_ins!$B:$B,0))</f>
        <v>27915.310552800001</v>
      </c>
      <c r="AT193" s="10">
        <f>INDEX([1]ratio_ins!AQ:AQ,MATCH('001_population_health_zone_zs'!$B$2,[1]ratio_ins!$B:$B,0))*$G193*INDEX([1]ratio_ins!$D:$D,MATCH('001_population_health_zone_zs'!$B193,[1]ratio_ins!$B:$B,0))</f>
        <v>682.19234000000006</v>
      </c>
      <c r="AU193" s="10">
        <f>INDEX([1]ratio_ins!AR:AR,MATCH('001_population_health_zone_zs'!$B$2,[1]ratio_ins!$B:$B,0))*$G193*INDEX([1]ratio_ins!$D:$D,MATCH('001_population_health_zone_zs'!$B193,[1]ratio_ins!$B:$B,0))</f>
        <v>409.31540400000006</v>
      </c>
      <c r="AV193" s="10">
        <f>INDEX([1]ratio_ins!AS:AS,MATCH('001_population_health_zone_zs'!$B$2,[1]ratio_ins!$B:$B,0))*$G193*INDEX([1]ratio_ins!$D:$D,MATCH('001_population_health_zone_zs'!$B193,[1]ratio_ins!$B:$B,0))</f>
        <v>204.65770200000003</v>
      </c>
      <c r="AW193" s="10">
        <f>INDEX([1]ratio_ins!AT:AT,MATCH('001_population_health_zone_zs'!$B$2,[1]ratio_ins!$B:$B,0))*$G193*INDEX([1]ratio_ins!$D:$D,MATCH('001_population_health_zone_zs'!$B193,[1]ratio_ins!$B:$B,0))</f>
        <v>136.438468</v>
      </c>
      <c r="AX193" s="13">
        <f>INDEX([1]ratio_ins!AU:AU,MATCH('001_population_health_zone_zs'!$B$2,[1]ratio_ins!$B:$B,0))*$G193*INDEX([1]ratio_ins!$D:$D,MATCH('001_population_health_zone_zs'!$B193,[1]ratio_ins!$B:$B,0))</f>
        <v>1432.603914</v>
      </c>
      <c r="AY193" s="14">
        <f t="shared" si="13"/>
        <v>68219.233999999997</v>
      </c>
      <c r="AZ193" s="15">
        <f t="shared" si="14"/>
        <v>134026</v>
      </c>
      <c r="BA193" s="16">
        <v>130392.16259748321</v>
      </c>
      <c r="BB193" s="10">
        <f t="shared" si="15"/>
        <v>28993.174450000002</v>
      </c>
      <c r="BC193" s="17">
        <f t="shared" si="16"/>
        <v>0.21632500000000002</v>
      </c>
      <c r="BD193" s="10">
        <f t="shared" si="17"/>
        <v>27441.421422000003</v>
      </c>
    </row>
    <row r="194" spans="1:56" x14ac:dyDescent="0.25">
      <c r="A194" s="8" t="s">
        <v>470</v>
      </c>
      <c r="B194" s="8" t="s">
        <v>471</v>
      </c>
      <c r="C194" s="8" t="s">
        <v>483</v>
      </c>
      <c r="D194" s="8" t="s">
        <v>484</v>
      </c>
      <c r="E194" s="8" t="s">
        <v>485</v>
      </c>
      <c r="F194" s="8" t="s">
        <v>486</v>
      </c>
      <c r="G194" s="9">
        <v>128483</v>
      </c>
      <c r="H194" s="10">
        <f>INDEX([1]ratio_ins!F:F,MATCH('001_population_health_zone_zs'!$B$2,[1]ratio_ins!$B:$B,0))*$G194*INDEX([1]ratio_ins!$C:$C,MATCH('001_population_health_zone_zs'!$B194,[1]ratio_ins!$B:$B,0))</f>
        <v>13184.796977</v>
      </c>
      <c r="I194" s="10">
        <f>INDEX([1]ratio_ins!G:G,MATCH('001_population_health_zone_zs'!$B$2,[1]ratio_ins!$B:$B,0))*$G194*INDEX([1]ratio_ins!$C:$C,MATCH('001_population_health_zone_zs'!$B194,[1]ratio_ins!$B:$B,0))</f>
        <v>10787.561163</v>
      </c>
      <c r="J194" s="10">
        <f>INDEX([1]ratio_ins!H:H,MATCH('001_population_health_zone_zs'!$B$2,[1]ratio_ins!$B:$B,0))*$G194*INDEX([1]ratio_ins!$C:$C,MATCH('001_population_health_zone_zs'!$B194,[1]ratio_ins!$B:$B,0))</f>
        <v>8516.4956550000006</v>
      </c>
      <c r="K194" s="10">
        <f>INDEX([1]ratio_ins!I:I,MATCH('001_population_health_zone_zs'!$B$2,[1]ratio_ins!$B:$B,0))*$G194*INDEX([1]ratio_ins!$C:$C,MATCH('001_population_health_zone_zs'!$B194,[1]ratio_ins!$B:$B,0))</f>
        <v>5236.0676990000002</v>
      </c>
      <c r="L194" s="10">
        <f>INDEX([1]ratio_ins!J:J,MATCH('001_population_health_zone_zs'!$B$2,[1]ratio_ins!$B:$B,0))*$G194*INDEX([1]ratio_ins!$C:$C,MATCH('001_population_health_zone_zs'!$B194,[1]ratio_ins!$B:$B,0))</f>
        <v>3141.6406193999997</v>
      </c>
      <c r="M194" s="11">
        <f>INDEX([1]ratio_ins!K:K,MATCH('001_population_health_zone_zs'!$B$2,[1]ratio_ins!$B:$B,0))*$G194*INDEX([1]ratio_ins!$C:$C,MATCH('001_population_health_zone_zs'!$B194,[1]ratio_ins!$B:$B,0))</f>
        <v>35630.494414399996</v>
      </c>
      <c r="N194" s="10">
        <f>INDEX([1]ratio_ins!L:L,MATCH('001_population_health_zone_zs'!$B$2,[1]ratio_ins!$B:$B,0))*$G194*INDEX([1]ratio_ins!$C:$C,MATCH('001_population_health_zone_zs'!$B194,[1]ratio_ins!$B:$B,0))</f>
        <v>2094.4270795999996</v>
      </c>
      <c r="O194" s="10">
        <f>INDEX([1]ratio_ins!M:M,MATCH('001_population_health_zone_zs'!$B$2,[1]ratio_ins!$B:$B,0))*$G194*INDEX([1]ratio_ins!$C:$C,MATCH('001_population_health_zone_zs'!$B194,[1]ratio_ins!$B:$B,0))</f>
        <v>4542.1310160000012</v>
      </c>
      <c r="P194" s="10">
        <f>INDEX([1]ratio_ins!N:N,MATCH('001_population_health_zone_zs'!$B$2,[1]ratio_ins!$B:$B,0))*$G194*INDEX([1]ratio_ins!$C:$C,MATCH('001_population_health_zone_zs'!$B194,[1]ratio_ins!$B:$B,0))</f>
        <v>4100.5349450000003</v>
      </c>
      <c r="Q194" s="10">
        <f>INDEX([1]ratio_ins!O:O,MATCH('001_population_health_zone_zs'!$B$2,[1]ratio_ins!$B:$B,0))*$G194*INDEX([1]ratio_ins!$C:$C,MATCH('001_population_health_zone_zs'!$B194,[1]ratio_ins!$B:$B,0))</f>
        <v>3658.9388739999995</v>
      </c>
      <c r="R194" s="10">
        <f>INDEX([1]ratio_ins!P:P,MATCH('001_population_health_zone_zs'!$B$2,[1]ratio_ins!$B:$B,0))*$G194*INDEX([1]ratio_ins!$C:$C,MATCH('001_population_health_zone_zs'!$B194,[1]ratio_ins!$B:$B,0))</f>
        <v>3595.853721</v>
      </c>
      <c r="S194" s="10">
        <f>INDEX([1]ratio_ins!Q:Q,MATCH('001_population_health_zone_zs'!$B$2,[1]ratio_ins!$B:$B,0))*$G194*INDEX([1]ratio_ins!$C:$C,MATCH('001_population_health_zone_zs'!$B194,[1]ratio_ins!$B:$B,0))</f>
        <v>3028.087344</v>
      </c>
      <c r="T194" s="10">
        <f>INDEX([1]ratio_ins!R:R,MATCH('001_population_health_zone_zs'!$B$2,[1]ratio_ins!$B:$B,0))*$G194*INDEX([1]ratio_ins!$C:$C,MATCH('001_population_health_zone_zs'!$B194,[1]ratio_ins!$B:$B,0))</f>
        <v>2144.8952020000002</v>
      </c>
      <c r="U194" s="10">
        <f>INDEX([1]ratio_ins!S:S,MATCH('001_population_health_zone_zs'!$B$2,[1]ratio_ins!$B:$B,0))*$G194*INDEX([1]ratio_ins!$C:$C,MATCH('001_population_health_zone_zs'!$B194,[1]ratio_ins!$B:$B,0))</f>
        <v>1703.2991310000002</v>
      </c>
      <c r="V194" s="10">
        <f>INDEX([1]ratio_ins!T:T,MATCH('001_population_health_zone_zs'!$B$2,[1]ratio_ins!$B:$B,0))*$G194*INDEX([1]ratio_ins!$C:$C,MATCH('001_population_health_zone_zs'!$B194,[1]ratio_ins!$B:$B,0))</f>
        <v>946.27729499999998</v>
      </c>
      <c r="W194" s="11">
        <f>INDEX([1]ratio_ins!U:U,MATCH('001_population_health_zone_zs'!$B$2,[1]ratio_ins!$B:$B,0))*$G194*INDEX([1]ratio_ins!$C:$C,MATCH('001_population_health_zone_zs'!$B194,[1]ratio_ins!$B:$B,0))</f>
        <v>25814.444607599999</v>
      </c>
      <c r="X194" s="10">
        <f>INDEX([1]ratio_ins!V:V,MATCH('001_population_health_zone_zs'!$B$2,[1]ratio_ins!$B:$B,0))*$G194*INDEX([1]ratio_ins!$C:$C,MATCH('001_population_health_zone_zs'!$B194,[1]ratio_ins!$B:$B,0))</f>
        <v>757.02183600000001</v>
      </c>
      <c r="Y194" s="10">
        <f>INDEX([1]ratio_ins!W:W,MATCH('001_population_health_zone_zs'!$B$2,[1]ratio_ins!$B:$B,0))*$G194*INDEX([1]ratio_ins!$C:$C,MATCH('001_population_health_zone_zs'!$B194,[1]ratio_ins!$B:$B,0))</f>
        <v>504.68122399999999</v>
      </c>
      <c r="Z194" s="10">
        <f>INDEX([1]ratio_ins!X:X,MATCH('001_population_health_zone_zs'!$B$2,[1]ratio_ins!$B:$B,0))*$G194*INDEX([1]ratio_ins!$C:$C,MATCH('001_population_health_zone_zs'!$B194,[1]ratio_ins!$B:$B,0))</f>
        <v>252.34061199999999</v>
      </c>
      <c r="AA194" s="10">
        <f>INDEX([1]ratio_ins!Y:Y,MATCH('001_population_health_zone_zs'!$B$2,[1]ratio_ins!$B:$B,0))*$G194*INDEX([1]ratio_ins!$C:$C,MATCH('001_population_health_zone_zs'!$B194,[1]ratio_ins!$B:$B,0))</f>
        <v>126.170306</v>
      </c>
      <c r="AB194" s="11">
        <f>INDEX([1]ratio_ins!Z:Z,MATCH('001_population_health_zone_zs'!$B$2,[1]ratio_ins!$B:$B,0))*$G194*INDEX([1]ratio_ins!$C:$C,MATCH('001_population_health_zone_zs'!$B194,[1]ratio_ins!$B:$B,0))</f>
        <v>1640.2139780000002</v>
      </c>
      <c r="AC194" s="12">
        <f t="shared" si="12"/>
        <v>63085.152999999991</v>
      </c>
      <c r="AD194" s="10">
        <f>INDEX([1]ratio_ins!AA:AA,MATCH('001_population_health_zone_zs'!$B$2,[1]ratio_ins!$B:$B,0))*$G194*INDEX([1]ratio_ins!$D:$D,MATCH('001_population_health_zone_zs'!$B194,[1]ratio_ins!$B:$B,0))</f>
        <v>13733.54787</v>
      </c>
      <c r="AE194" s="10">
        <f>INDEX([1]ratio_ins!AB:AB,MATCH('001_population_health_zone_zs'!$B$2,[1]ratio_ins!$B:$B,0))*$G194*INDEX([1]ratio_ins!$D:$D,MATCH('001_population_health_zone_zs'!$B194,[1]ratio_ins!$B:$B,0))</f>
        <v>11313.827531000001</v>
      </c>
      <c r="AF194" s="10">
        <f>INDEX([1]ratio_ins!AC:AC,MATCH('001_population_health_zone_zs'!$B$2,[1]ratio_ins!$B:$B,0))*$G194*INDEX([1]ratio_ins!$D:$D,MATCH('001_population_health_zone_zs'!$B194,[1]ratio_ins!$B:$B,0))</f>
        <v>8959.5050389999997</v>
      </c>
      <c r="AG194" s="10">
        <f>INDEX([1]ratio_ins!AD:AD,MATCH('001_population_health_zone_zs'!$B$2,[1]ratio_ins!$B:$B,0))*$G194*INDEX([1]ratio_ins!$D:$D,MATCH('001_population_health_zone_zs'!$B194,[1]ratio_ins!$B:$B,0))</f>
        <v>5428.0213009999998</v>
      </c>
      <c r="AH194" s="10">
        <f>INDEX([1]ratio_ins!AE:AE,MATCH('001_population_health_zone_zs'!$B$2,[1]ratio_ins!$B:$B,0))*$G194*INDEX([1]ratio_ins!$D:$D,MATCH('001_population_health_zone_zs'!$B194,[1]ratio_ins!$B:$B,0))</f>
        <v>3256.8127805999998</v>
      </c>
      <c r="AI194" s="13">
        <f>INDEX([1]ratio_ins!AF:AF,MATCH('001_population_health_zone_zs'!$B$2,[1]ratio_ins!$B:$B,0))*$G194*INDEX([1]ratio_ins!$D:$D,MATCH('001_population_health_zone_zs'!$B194,[1]ratio_ins!$B:$B,0))</f>
        <v>37263.693220599998</v>
      </c>
      <c r="AJ194" s="10">
        <f>INDEX([1]ratio_ins!AG:AG,MATCH('001_population_health_zone_zs'!$B$2,[1]ratio_ins!$B:$B,0))*$G194*INDEX([1]ratio_ins!$D:$D,MATCH('001_population_health_zone_zs'!$B194,[1]ratio_ins!$B:$B,0))</f>
        <v>2171.2085204</v>
      </c>
      <c r="AK194" s="10">
        <f>INDEX([1]ratio_ins!AH:AH,MATCH('001_population_health_zone_zs'!$B$2,[1]ratio_ins!$B:$B,0))*$G194*INDEX([1]ratio_ins!$D:$D,MATCH('001_population_health_zone_zs'!$B194,[1]ratio_ins!$B:$B,0))</f>
        <v>4839.4406780000008</v>
      </c>
      <c r="AL194" s="10">
        <f>INDEX([1]ratio_ins!AI:AI,MATCH('001_population_health_zone_zs'!$B$2,[1]ratio_ins!$B:$B,0))*$G194*INDEX([1]ratio_ins!$D:$D,MATCH('001_population_health_zone_zs'!$B194,[1]ratio_ins!$B:$B,0))</f>
        <v>4577.849290000001</v>
      </c>
      <c r="AM194" s="10">
        <f>INDEX([1]ratio_ins!AJ:AJ,MATCH('001_population_health_zone_zs'!$B$2,[1]ratio_ins!$B:$B,0))*$G194*INDEX([1]ratio_ins!$D:$D,MATCH('001_population_health_zone_zs'!$B194,[1]ratio_ins!$B:$B,0))</f>
        <v>4185.4622079999999</v>
      </c>
      <c r="AN194" s="10">
        <f>INDEX([1]ratio_ins!AK:AK,MATCH('001_population_health_zone_zs'!$B$2,[1]ratio_ins!$B:$B,0))*$G194*INDEX([1]ratio_ins!$D:$D,MATCH('001_population_health_zone_zs'!$B194,[1]ratio_ins!$B:$B,0))</f>
        <v>3923.8708199999996</v>
      </c>
      <c r="AO194" s="10">
        <f>INDEX([1]ratio_ins!AL:AL,MATCH('001_population_health_zone_zs'!$B$2,[1]ratio_ins!$B:$B,0))*$G194*INDEX([1]ratio_ins!$D:$D,MATCH('001_population_health_zone_zs'!$B194,[1]ratio_ins!$B:$B,0))</f>
        <v>2942.9031150000001</v>
      </c>
      <c r="AP194" s="10">
        <f>INDEX([1]ratio_ins!AM:AM,MATCH('001_population_health_zone_zs'!$B$2,[1]ratio_ins!$B:$B,0))*$G194*INDEX([1]ratio_ins!$D:$D,MATCH('001_population_health_zone_zs'!$B194,[1]ratio_ins!$B:$B,0))</f>
        <v>1896.5375629999999</v>
      </c>
      <c r="AQ194" s="10">
        <f>INDEX([1]ratio_ins!AN:AN,MATCH('001_population_health_zone_zs'!$B$2,[1]ratio_ins!$B:$B,0))*$G194*INDEX([1]ratio_ins!$D:$D,MATCH('001_population_health_zone_zs'!$B194,[1]ratio_ins!$B:$B,0))</f>
        <v>1504.1504809999999</v>
      </c>
      <c r="AR194" s="10">
        <f>INDEX([1]ratio_ins!AO:AO,MATCH('001_population_health_zone_zs'!$B$2,[1]ratio_ins!$B:$B,0))*$G194*INDEX([1]ratio_ins!$D:$D,MATCH('001_population_health_zone_zs'!$B194,[1]ratio_ins!$B:$B,0))</f>
        <v>719.37631700000009</v>
      </c>
      <c r="AS194" s="13">
        <f>INDEX([1]ratio_ins!AP:AP,MATCH('001_population_health_zone_zs'!$B$2,[1]ratio_ins!$B:$B,0))*$G194*INDEX([1]ratio_ins!$D:$D,MATCH('001_population_health_zone_zs'!$B194,[1]ratio_ins!$B:$B,0))</f>
        <v>26760.798992400003</v>
      </c>
      <c r="AT194" s="10">
        <f>INDEX([1]ratio_ins!AQ:AQ,MATCH('001_population_health_zone_zs'!$B$2,[1]ratio_ins!$B:$B,0))*$G194*INDEX([1]ratio_ins!$D:$D,MATCH('001_population_health_zone_zs'!$B194,[1]ratio_ins!$B:$B,0))</f>
        <v>653.97847000000002</v>
      </c>
      <c r="AU194" s="10">
        <f>INDEX([1]ratio_ins!AR:AR,MATCH('001_population_health_zone_zs'!$B$2,[1]ratio_ins!$B:$B,0))*$G194*INDEX([1]ratio_ins!$D:$D,MATCH('001_population_health_zone_zs'!$B194,[1]ratio_ins!$B:$B,0))</f>
        <v>392.38708200000002</v>
      </c>
      <c r="AV194" s="10">
        <f>INDEX([1]ratio_ins!AS:AS,MATCH('001_population_health_zone_zs'!$B$2,[1]ratio_ins!$B:$B,0))*$G194*INDEX([1]ratio_ins!$D:$D,MATCH('001_population_health_zone_zs'!$B194,[1]ratio_ins!$B:$B,0))</f>
        <v>196.19354100000001</v>
      </c>
      <c r="AW194" s="10">
        <f>INDEX([1]ratio_ins!AT:AT,MATCH('001_population_health_zone_zs'!$B$2,[1]ratio_ins!$B:$B,0))*$G194*INDEX([1]ratio_ins!$D:$D,MATCH('001_population_health_zone_zs'!$B194,[1]ratio_ins!$B:$B,0))</f>
        <v>130.795694</v>
      </c>
      <c r="AX194" s="13">
        <f>INDEX([1]ratio_ins!AU:AU,MATCH('001_population_health_zone_zs'!$B$2,[1]ratio_ins!$B:$B,0))*$G194*INDEX([1]ratio_ins!$D:$D,MATCH('001_population_health_zone_zs'!$B194,[1]ratio_ins!$B:$B,0))</f>
        <v>1373.3547869999998</v>
      </c>
      <c r="AY194" s="14">
        <f t="shared" si="13"/>
        <v>65397.847000000002</v>
      </c>
      <c r="AZ194" s="15">
        <f t="shared" si="14"/>
        <v>128483</v>
      </c>
      <c r="BA194" s="16">
        <v>124999.75691944327</v>
      </c>
      <c r="BB194" s="10">
        <f t="shared" si="15"/>
        <v>27794.084975000005</v>
      </c>
      <c r="BC194" s="17">
        <f t="shared" si="16"/>
        <v>0.21632500000000005</v>
      </c>
      <c r="BD194" s="10">
        <f t="shared" si="17"/>
        <v>26306.508801</v>
      </c>
    </row>
    <row r="195" spans="1:56" x14ac:dyDescent="0.25">
      <c r="A195" s="8" t="s">
        <v>470</v>
      </c>
      <c r="B195" s="8" t="s">
        <v>471</v>
      </c>
      <c r="C195" s="8" t="s">
        <v>483</v>
      </c>
      <c r="D195" s="8" t="s">
        <v>484</v>
      </c>
      <c r="E195" s="8" t="s">
        <v>483</v>
      </c>
      <c r="F195" s="8" t="s">
        <v>487</v>
      </c>
      <c r="G195" s="9">
        <v>98447</v>
      </c>
      <c r="H195" s="10">
        <f>INDEX([1]ratio_ins!F:F,MATCH('001_population_health_zone_zs'!$B$2,[1]ratio_ins!$B:$B,0))*$G195*INDEX([1]ratio_ins!$C:$C,MATCH('001_population_health_zone_zs'!$B195,[1]ratio_ins!$B:$B,0))</f>
        <v>10102.532692999999</v>
      </c>
      <c r="I195" s="10">
        <f>INDEX([1]ratio_ins!G:G,MATCH('001_population_health_zone_zs'!$B$2,[1]ratio_ins!$B:$B,0))*$G195*INDEX([1]ratio_ins!$C:$C,MATCH('001_population_health_zone_zs'!$B195,[1]ratio_ins!$B:$B,0))</f>
        <v>8265.7085670000015</v>
      </c>
      <c r="J195" s="10">
        <f>INDEX([1]ratio_ins!H:H,MATCH('001_population_health_zone_zs'!$B$2,[1]ratio_ins!$B:$B,0))*$G195*INDEX([1]ratio_ins!$C:$C,MATCH('001_population_health_zone_zs'!$B195,[1]ratio_ins!$B:$B,0))</f>
        <v>6525.5593950000002</v>
      </c>
      <c r="K195" s="10">
        <f>INDEX([1]ratio_ins!I:I,MATCH('001_population_health_zone_zs'!$B$2,[1]ratio_ins!$B:$B,0))*$G195*INDEX([1]ratio_ins!$C:$C,MATCH('001_population_health_zone_zs'!$B195,[1]ratio_ins!$B:$B,0))</f>
        <v>4012.0105910000002</v>
      </c>
      <c r="L195" s="10">
        <f>INDEX([1]ratio_ins!J:J,MATCH('001_population_health_zone_zs'!$B$2,[1]ratio_ins!$B:$B,0))*$G195*INDEX([1]ratio_ins!$C:$C,MATCH('001_population_health_zone_zs'!$B195,[1]ratio_ins!$B:$B,0))</f>
        <v>2407.2063545999999</v>
      </c>
      <c r="M195" s="11">
        <f>INDEX([1]ratio_ins!K:K,MATCH('001_population_health_zone_zs'!$B$2,[1]ratio_ins!$B:$B,0))*$G195*INDEX([1]ratio_ins!$C:$C,MATCH('001_population_health_zone_zs'!$B195,[1]ratio_ins!$B:$B,0))</f>
        <v>27301.007009599998</v>
      </c>
      <c r="N195" s="10">
        <f>INDEX([1]ratio_ins!L:L,MATCH('001_population_health_zone_zs'!$B$2,[1]ratio_ins!$B:$B,0))*$G195*INDEX([1]ratio_ins!$C:$C,MATCH('001_population_health_zone_zs'!$B195,[1]ratio_ins!$B:$B,0))</f>
        <v>1604.8042364</v>
      </c>
      <c r="O195" s="10">
        <f>INDEX([1]ratio_ins!M:M,MATCH('001_population_health_zone_zs'!$B$2,[1]ratio_ins!$B:$B,0))*$G195*INDEX([1]ratio_ins!$C:$C,MATCH('001_population_health_zone_zs'!$B195,[1]ratio_ins!$B:$B,0))</f>
        <v>3480.2983440000003</v>
      </c>
      <c r="P195" s="10">
        <f>INDEX([1]ratio_ins!N:N,MATCH('001_population_health_zone_zs'!$B$2,[1]ratio_ins!$B:$B,0))*$G195*INDEX([1]ratio_ins!$C:$C,MATCH('001_population_health_zone_zs'!$B195,[1]ratio_ins!$B:$B,0))</f>
        <v>3141.936005</v>
      </c>
      <c r="Q195" s="10">
        <f>INDEX([1]ratio_ins!O:O,MATCH('001_population_health_zone_zs'!$B$2,[1]ratio_ins!$B:$B,0))*$G195*INDEX([1]ratio_ins!$C:$C,MATCH('001_population_health_zone_zs'!$B195,[1]ratio_ins!$B:$B,0))</f>
        <v>2803.5736659999998</v>
      </c>
      <c r="R195" s="10">
        <f>INDEX([1]ratio_ins!P:P,MATCH('001_population_health_zone_zs'!$B$2,[1]ratio_ins!$B:$B,0))*$G195*INDEX([1]ratio_ins!$C:$C,MATCH('001_population_health_zone_zs'!$B195,[1]ratio_ins!$B:$B,0))</f>
        <v>2755.2361890000002</v>
      </c>
      <c r="S195" s="10">
        <f>INDEX([1]ratio_ins!Q:Q,MATCH('001_population_health_zone_zs'!$B$2,[1]ratio_ins!$B:$B,0))*$G195*INDEX([1]ratio_ins!$C:$C,MATCH('001_population_health_zone_zs'!$B195,[1]ratio_ins!$B:$B,0))</f>
        <v>2320.1988959999999</v>
      </c>
      <c r="T195" s="10">
        <f>INDEX([1]ratio_ins!R:R,MATCH('001_population_health_zone_zs'!$B$2,[1]ratio_ins!$B:$B,0))*$G195*INDEX([1]ratio_ins!$C:$C,MATCH('001_population_health_zone_zs'!$B195,[1]ratio_ins!$B:$B,0))</f>
        <v>1643.4742180000001</v>
      </c>
      <c r="U195" s="10">
        <f>INDEX([1]ratio_ins!S:S,MATCH('001_population_health_zone_zs'!$B$2,[1]ratio_ins!$B:$B,0))*$G195*INDEX([1]ratio_ins!$C:$C,MATCH('001_population_health_zone_zs'!$B195,[1]ratio_ins!$B:$B,0))</f>
        <v>1305.1118790000003</v>
      </c>
      <c r="V195" s="10">
        <f>INDEX([1]ratio_ins!T:T,MATCH('001_population_health_zone_zs'!$B$2,[1]ratio_ins!$B:$B,0))*$G195*INDEX([1]ratio_ins!$C:$C,MATCH('001_population_health_zone_zs'!$B195,[1]ratio_ins!$B:$B,0))</f>
        <v>725.06215499999996</v>
      </c>
      <c r="W195" s="11">
        <f>INDEX([1]ratio_ins!U:U,MATCH('001_population_health_zone_zs'!$B$2,[1]ratio_ins!$B:$B,0))*$G195*INDEX([1]ratio_ins!$C:$C,MATCH('001_population_health_zone_zs'!$B195,[1]ratio_ins!$B:$B,0))</f>
        <v>19779.695588399998</v>
      </c>
      <c r="X195" s="10">
        <f>INDEX([1]ratio_ins!V:V,MATCH('001_population_health_zone_zs'!$B$2,[1]ratio_ins!$B:$B,0))*$G195*INDEX([1]ratio_ins!$C:$C,MATCH('001_population_health_zone_zs'!$B195,[1]ratio_ins!$B:$B,0))</f>
        <v>580.04972399999997</v>
      </c>
      <c r="Y195" s="10">
        <f>INDEX([1]ratio_ins!W:W,MATCH('001_population_health_zone_zs'!$B$2,[1]ratio_ins!$B:$B,0))*$G195*INDEX([1]ratio_ins!$C:$C,MATCH('001_population_health_zone_zs'!$B195,[1]ratio_ins!$B:$B,0))</f>
        <v>386.699816</v>
      </c>
      <c r="Z195" s="10">
        <f>INDEX([1]ratio_ins!X:X,MATCH('001_population_health_zone_zs'!$B$2,[1]ratio_ins!$B:$B,0))*$G195*INDEX([1]ratio_ins!$C:$C,MATCH('001_population_health_zone_zs'!$B195,[1]ratio_ins!$B:$B,0))</f>
        <v>193.349908</v>
      </c>
      <c r="AA195" s="10">
        <f>INDEX([1]ratio_ins!Y:Y,MATCH('001_population_health_zone_zs'!$B$2,[1]ratio_ins!$B:$B,0))*$G195*INDEX([1]ratio_ins!$C:$C,MATCH('001_population_health_zone_zs'!$B195,[1]ratio_ins!$B:$B,0))</f>
        <v>96.674954</v>
      </c>
      <c r="AB195" s="11">
        <f>INDEX([1]ratio_ins!Z:Z,MATCH('001_population_health_zone_zs'!$B$2,[1]ratio_ins!$B:$B,0))*$G195*INDEX([1]ratio_ins!$C:$C,MATCH('001_population_health_zone_zs'!$B195,[1]ratio_ins!$B:$B,0))</f>
        <v>1256.7744020000002</v>
      </c>
      <c r="AC195" s="12">
        <f t="shared" ref="AC195:AC258" si="18">M195+W195+AB195</f>
        <v>48337.476999999999</v>
      </c>
      <c r="AD195" s="10">
        <f>INDEX([1]ratio_ins!AA:AA,MATCH('001_population_health_zone_zs'!$B$2,[1]ratio_ins!$B:$B,0))*$G195*INDEX([1]ratio_ins!$D:$D,MATCH('001_population_health_zone_zs'!$B195,[1]ratio_ins!$B:$B,0))</f>
        <v>10522.999829999999</v>
      </c>
      <c r="AE195" s="10">
        <f>INDEX([1]ratio_ins!AB:AB,MATCH('001_population_health_zone_zs'!$B$2,[1]ratio_ins!$B:$B,0))*$G195*INDEX([1]ratio_ins!$D:$D,MATCH('001_population_health_zone_zs'!$B195,[1]ratio_ins!$B:$B,0))</f>
        <v>8668.9474790000004</v>
      </c>
      <c r="AF195" s="10">
        <f>INDEX([1]ratio_ins!AC:AC,MATCH('001_population_health_zone_zs'!$B$2,[1]ratio_ins!$B:$B,0))*$G195*INDEX([1]ratio_ins!$D:$D,MATCH('001_population_health_zone_zs'!$B195,[1]ratio_ins!$B:$B,0))</f>
        <v>6865.0046509999993</v>
      </c>
      <c r="AG195" s="10">
        <f>INDEX([1]ratio_ins!AD:AD,MATCH('001_population_health_zone_zs'!$B$2,[1]ratio_ins!$B:$B,0))*$G195*INDEX([1]ratio_ins!$D:$D,MATCH('001_population_health_zone_zs'!$B195,[1]ratio_ins!$B:$B,0))</f>
        <v>4159.0904090000004</v>
      </c>
      <c r="AH195" s="10">
        <f>INDEX([1]ratio_ins!AE:AE,MATCH('001_population_health_zone_zs'!$B$2,[1]ratio_ins!$B:$B,0))*$G195*INDEX([1]ratio_ins!$D:$D,MATCH('001_population_health_zone_zs'!$B195,[1]ratio_ins!$B:$B,0))</f>
        <v>2495.4542454000002</v>
      </c>
      <c r="AI195" s="13">
        <f>INDEX([1]ratio_ins!AF:AF,MATCH('001_population_health_zone_zs'!$B$2,[1]ratio_ins!$B:$B,0))*$G195*INDEX([1]ratio_ins!$D:$D,MATCH('001_population_health_zone_zs'!$B195,[1]ratio_ins!$B:$B,0))</f>
        <v>28552.406205399999</v>
      </c>
      <c r="AJ195" s="10">
        <f>INDEX([1]ratio_ins!AG:AG,MATCH('001_population_health_zone_zs'!$B$2,[1]ratio_ins!$B:$B,0))*$G195*INDEX([1]ratio_ins!$D:$D,MATCH('001_population_health_zone_zs'!$B195,[1]ratio_ins!$B:$B,0))</f>
        <v>1663.6361635999999</v>
      </c>
      <c r="AK195" s="10">
        <f>INDEX([1]ratio_ins!AH:AH,MATCH('001_population_health_zone_zs'!$B$2,[1]ratio_ins!$B:$B,0))*$G195*INDEX([1]ratio_ins!$D:$D,MATCH('001_population_health_zone_zs'!$B195,[1]ratio_ins!$B:$B,0))</f>
        <v>3708.1047020000005</v>
      </c>
      <c r="AL195" s="10">
        <f>INDEX([1]ratio_ins!AI:AI,MATCH('001_population_health_zone_zs'!$B$2,[1]ratio_ins!$B:$B,0))*$G195*INDEX([1]ratio_ins!$D:$D,MATCH('001_population_health_zone_zs'!$B195,[1]ratio_ins!$B:$B,0))</f>
        <v>3507.6666100000007</v>
      </c>
      <c r="AM195" s="10">
        <f>INDEX([1]ratio_ins!AJ:AJ,MATCH('001_population_health_zone_zs'!$B$2,[1]ratio_ins!$B:$B,0))*$G195*INDEX([1]ratio_ins!$D:$D,MATCH('001_population_health_zone_zs'!$B195,[1]ratio_ins!$B:$B,0))</f>
        <v>3207.0094720000002</v>
      </c>
      <c r="AN195" s="10">
        <f>INDEX([1]ratio_ins!AK:AK,MATCH('001_population_health_zone_zs'!$B$2,[1]ratio_ins!$B:$B,0))*$G195*INDEX([1]ratio_ins!$D:$D,MATCH('001_population_health_zone_zs'!$B195,[1]ratio_ins!$B:$B,0))</f>
        <v>3006.5713799999999</v>
      </c>
      <c r="AO195" s="10">
        <f>INDEX([1]ratio_ins!AL:AL,MATCH('001_population_health_zone_zs'!$B$2,[1]ratio_ins!$B:$B,0))*$G195*INDEX([1]ratio_ins!$D:$D,MATCH('001_population_health_zone_zs'!$B195,[1]ratio_ins!$B:$B,0))</f>
        <v>2254.928535</v>
      </c>
      <c r="AP195" s="10">
        <f>INDEX([1]ratio_ins!AM:AM,MATCH('001_population_health_zone_zs'!$B$2,[1]ratio_ins!$B:$B,0))*$G195*INDEX([1]ratio_ins!$D:$D,MATCH('001_population_health_zone_zs'!$B195,[1]ratio_ins!$B:$B,0))</f>
        <v>1453.1761669999999</v>
      </c>
      <c r="AQ195" s="10">
        <f>INDEX([1]ratio_ins!AN:AN,MATCH('001_population_health_zone_zs'!$B$2,[1]ratio_ins!$B:$B,0))*$G195*INDEX([1]ratio_ins!$D:$D,MATCH('001_population_health_zone_zs'!$B195,[1]ratio_ins!$B:$B,0))</f>
        <v>1152.519029</v>
      </c>
      <c r="AR195" s="10">
        <f>INDEX([1]ratio_ins!AO:AO,MATCH('001_population_health_zone_zs'!$B$2,[1]ratio_ins!$B:$B,0))*$G195*INDEX([1]ratio_ins!$D:$D,MATCH('001_population_health_zone_zs'!$B195,[1]ratio_ins!$B:$B,0))</f>
        <v>551.2047530000001</v>
      </c>
      <c r="AS195" s="13">
        <f>INDEX([1]ratio_ins!AP:AP,MATCH('001_population_health_zone_zs'!$B$2,[1]ratio_ins!$B:$B,0))*$G195*INDEX([1]ratio_ins!$D:$D,MATCH('001_population_health_zone_zs'!$B195,[1]ratio_ins!$B:$B,0))</f>
        <v>20504.816811600002</v>
      </c>
      <c r="AT195" s="10">
        <f>INDEX([1]ratio_ins!AQ:AQ,MATCH('001_population_health_zone_zs'!$B$2,[1]ratio_ins!$B:$B,0))*$G195*INDEX([1]ratio_ins!$D:$D,MATCH('001_population_health_zone_zs'!$B195,[1]ratio_ins!$B:$B,0))</f>
        <v>501.09523000000002</v>
      </c>
      <c r="AU195" s="10">
        <f>INDEX([1]ratio_ins!AR:AR,MATCH('001_population_health_zone_zs'!$B$2,[1]ratio_ins!$B:$B,0))*$G195*INDEX([1]ratio_ins!$D:$D,MATCH('001_population_health_zone_zs'!$B195,[1]ratio_ins!$B:$B,0))</f>
        <v>300.65713800000003</v>
      </c>
      <c r="AV195" s="10">
        <f>INDEX([1]ratio_ins!AS:AS,MATCH('001_population_health_zone_zs'!$B$2,[1]ratio_ins!$B:$B,0))*$G195*INDEX([1]ratio_ins!$D:$D,MATCH('001_population_health_zone_zs'!$B195,[1]ratio_ins!$B:$B,0))</f>
        <v>150.32856900000002</v>
      </c>
      <c r="AW195" s="10">
        <f>INDEX([1]ratio_ins!AT:AT,MATCH('001_population_health_zone_zs'!$B$2,[1]ratio_ins!$B:$B,0))*$G195*INDEX([1]ratio_ins!$D:$D,MATCH('001_population_health_zone_zs'!$B195,[1]ratio_ins!$B:$B,0))</f>
        <v>100.21904600000001</v>
      </c>
      <c r="AX195" s="13">
        <f>INDEX([1]ratio_ins!AU:AU,MATCH('001_population_health_zone_zs'!$B$2,[1]ratio_ins!$B:$B,0))*$G195*INDEX([1]ratio_ins!$D:$D,MATCH('001_population_health_zone_zs'!$B195,[1]ratio_ins!$B:$B,0))</f>
        <v>1052.2999829999999</v>
      </c>
      <c r="AY195" s="14">
        <f t="shared" ref="AY195:AY258" si="19">AI195+AS195+AX195</f>
        <v>50109.522999999994</v>
      </c>
      <c r="AZ195" s="15">
        <f t="shared" ref="AZ195:AZ258" si="20">AC195+AY195</f>
        <v>98447</v>
      </c>
      <c r="BA195" s="16">
        <v>95778.277489251734</v>
      </c>
      <c r="BB195" s="10">
        <f t="shared" ref="BB195:BB258" si="21">SUM(AH195,AJ195,AK195:AP195)</f>
        <v>21296.547275000001</v>
      </c>
      <c r="BC195" s="17">
        <f t="shared" ref="BC195:BC258" si="22">BB195/G195</f>
        <v>0.21632500000000002</v>
      </c>
      <c r="BD195" s="10">
        <f t="shared" ref="BD195:BD258" si="23">SUM(L195,N195:T195)</f>
        <v>20156.727908999997</v>
      </c>
    </row>
    <row r="196" spans="1:56" x14ac:dyDescent="0.25">
      <c r="A196" s="8" t="s">
        <v>470</v>
      </c>
      <c r="B196" s="8" t="s">
        <v>471</v>
      </c>
      <c r="C196" s="8" t="s">
        <v>483</v>
      </c>
      <c r="D196" s="8" t="s">
        <v>484</v>
      </c>
      <c r="E196" s="8" t="s">
        <v>488</v>
      </c>
      <c r="F196" s="8" t="s">
        <v>489</v>
      </c>
      <c r="G196" s="9">
        <v>84094</v>
      </c>
      <c r="H196" s="10">
        <f>INDEX([1]ratio_ins!F:F,MATCH('001_population_health_zone_zs'!$B$2,[1]ratio_ins!$B:$B,0))*$G196*INDEX([1]ratio_ins!$C:$C,MATCH('001_population_health_zone_zs'!$B196,[1]ratio_ins!$B:$B,0))</f>
        <v>8629.6421860000009</v>
      </c>
      <c r="I196" s="10">
        <f>INDEX([1]ratio_ins!G:G,MATCH('001_population_health_zone_zs'!$B$2,[1]ratio_ins!$B:$B,0))*$G196*INDEX([1]ratio_ins!$C:$C,MATCH('001_population_health_zone_zs'!$B196,[1]ratio_ins!$B:$B,0))</f>
        <v>7060.6163340000003</v>
      </c>
      <c r="J196" s="10">
        <f>INDEX([1]ratio_ins!H:H,MATCH('001_population_health_zone_zs'!$B$2,[1]ratio_ins!$B:$B,0))*$G196*INDEX([1]ratio_ins!$C:$C,MATCH('001_population_health_zone_zs'!$B196,[1]ratio_ins!$B:$B,0))</f>
        <v>5574.1707900000001</v>
      </c>
      <c r="K196" s="10">
        <f>INDEX([1]ratio_ins!I:I,MATCH('001_population_health_zone_zs'!$B$2,[1]ratio_ins!$B:$B,0))*$G196*INDEX([1]ratio_ins!$C:$C,MATCH('001_population_health_zone_zs'!$B196,[1]ratio_ins!$B:$B,0))</f>
        <v>3427.0827820000004</v>
      </c>
      <c r="L196" s="10">
        <f>INDEX([1]ratio_ins!J:J,MATCH('001_population_health_zone_zs'!$B$2,[1]ratio_ins!$B:$B,0))*$G196*INDEX([1]ratio_ins!$C:$C,MATCH('001_population_health_zone_zs'!$B196,[1]ratio_ins!$B:$B,0))</f>
        <v>2056.2496692</v>
      </c>
      <c r="M196" s="11">
        <f>INDEX([1]ratio_ins!K:K,MATCH('001_population_health_zone_zs'!$B$2,[1]ratio_ins!$B:$B,0))*$G196*INDEX([1]ratio_ins!$C:$C,MATCH('001_population_health_zone_zs'!$B196,[1]ratio_ins!$B:$B,0))</f>
        <v>23320.678979199998</v>
      </c>
      <c r="N196" s="10">
        <f>INDEX([1]ratio_ins!L:L,MATCH('001_population_health_zone_zs'!$B$2,[1]ratio_ins!$B:$B,0))*$G196*INDEX([1]ratio_ins!$C:$C,MATCH('001_population_health_zone_zs'!$B196,[1]ratio_ins!$B:$B,0))</f>
        <v>1370.8331128</v>
      </c>
      <c r="O196" s="10">
        <f>INDEX([1]ratio_ins!M:M,MATCH('001_population_health_zone_zs'!$B$2,[1]ratio_ins!$B:$B,0))*$G196*INDEX([1]ratio_ins!$C:$C,MATCH('001_population_health_zone_zs'!$B196,[1]ratio_ins!$B:$B,0))</f>
        <v>2972.8910880000003</v>
      </c>
      <c r="P196" s="10">
        <f>INDEX([1]ratio_ins!N:N,MATCH('001_population_health_zone_zs'!$B$2,[1]ratio_ins!$B:$B,0))*$G196*INDEX([1]ratio_ins!$C:$C,MATCH('001_population_health_zone_zs'!$B196,[1]ratio_ins!$B:$B,0))</f>
        <v>2683.8600100000003</v>
      </c>
      <c r="Q196" s="10">
        <f>INDEX([1]ratio_ins!O:O,MATCH('001_population_health_zone_zs'!$B$2,[1]ratio_ins!$B:$B,0))*$G196*INDEX([1]ratio_ins!$C:$C,MATCH('001_population_health_zone_zs'!$B196,[1]ratio_ins!$B:$B,0))</f>
        <v>2394.8289319999994</v>
      </c>
      <c r="R196" s="10">
        <f>INDEX([1]ratio_ins!P:P,MATCH('001_population_health_zone_zs'!$B$2,[1]ratio_ins!$B:$B,0))*$G196*INDEX([1]ratio_ins!$C:$C,MATCH('001_population_health_zone_zs'!$B196,[1]ratio_ins!$B:$B,0))</f>
        <v>2353.5387780000001</v>
      </c>
      <c r="S196" s="10">
        <f>INDEX([1]ratio_ins!Q:Q,MATCH('001_population_health_zone_zs'!$B$2,[1]ratio_ins!$B:$B,0))*$G196*INDEX([1]ratio_ins!$C:$C,MATCH('001_population_health_zone_zs'!$B196,[1]ratio_ins!$B:$B,0))</f>
        <v>1981.9273920000001</v>
      </c>
      <c r="T196" s="10">
        <f>INDEX([1]ratio_ins!R:R,MATCH('001_population_health_zone_zs'!$B$2,[1]ratio_ins!$B:$B,0))*$G196*INDEX([1]ratio_ins!$C:$C,MATCH('001_population_health_zone_zs'!$B196,[1]ratio_ins!$B:$B,0))</f>
        <v>1403.8652360000001</v>
      </c>
      <c r="U196" s="10">
        <f>INDEX([1]ratio_ins!S:S,MATCH('001_population_health_zone_zs'!$B$2,[1]ratio_ins!$B:$B,0))*$G196*INDEX([1]ratio_ins!$C:$C,MATCH('001_population_health_zone_zs'!$B196,[1]ratio_ins!$B:$B,0))</f>
        <v>1114.8341580000001</v>
      </c>
      <c r="V196" s="10">
        <f>INDEX([1]ratio_ins!T:T,MATCH('001_population_health_zone_zs'!$B$2,[1]ratio_ins!$B:$B,0))*$G196*INDEX([1]ratio_ins!$C:$C,MATCH('001_population_health_zone_zs'!$B196,[1]ratio_ins!$B:$B,0))</f>
        <v>619.35230999999987</v>
      </c>
      <c r="W196" s="11">
        <f>INDEX([1]ratio_ins!U:U,MATCH('001_population_health_zone_zs'!$B$2,[1]ratio_ins!$B:$B,0))*$G196*INDEX([1]ratio_ins!$C:$C,MATCH('001_population_health_zone_zs'!$B196,[1]ratio_ins!$B:$B,0))</f>
        <v>16895.931016799997</v>
      </c>
      <c r="X196" s="10">
        <f>INDEX([1]ratio_ins!V:V,MATCH('001_population_health_zone_zs'!$B$2,[1]ratio_ins!$B:$B,0))*$G196*INDEX([1]ratio_ins!$C:$C,MATCH('001_population_health_zone_zs'!$B196,[1]ratio_ins!$B:$B,0))</f>
        <v>495.48184800000001</v>
      </c>
      <c r="Y196" s="10">
        <f>INDEX([1]ratio_ins!W:W,MATCH('001_population_health_zone_zs'!$B$2,[1]ratio_ins!$B:$B,0))*$G196*INDEX([1]ratio_ins!$C:$C,MATCH('001_population_health_zone_zs'!$B196,[1]ratio_ins!$B:$B,0))</f>
        <v>330.32123200000001</v>
      </c>
      <c r="Z196" s="10">
        <f>INDEX([1]ratio_ins!X:X,MATCH('001_population_health_zone_zs'!$B$2,[1]ratio_ins!$B:$B,0))*$G196*INDEX([1]ratio_ins!$C:$C,MATCH('001_population_health_zone_zs'!$B196,[1]ratio_ins!$B:$B,0))</f>
        <v>165.160616</v>
      </c>
      <c r="AA196" s="10">
        <f>INDEX([1]ratio_ins!Y:Y,MATCH('001_population_health_zone_zs'!$B$2,[1]ratio_ins!$B:$B,0))*$G196*INDEX([1]ratio_ins!$C:$C,MATCH('001_population_health_zone_zs'!$B196,[1]ratio_ins!$B:$B,0))</f>
        <v>82.580308000000002</v>
      </c>
      <c r="AB196" s="11">
        <f>INDEX([1]ratio_ins!Z:Z,MATCH('001_population_health_zone_zs'!$B$2,[1]ratio_ins!$B:$B,0))*$G196*INDEX([1]ratio_ins!$C:$C,MATCH('001_population_health_zone_zs'!$B196,[1]ratio_ins!$B:$B,0))</f>
        <v>1073.5440040000001</v>
      </c>
      <c r="AC196" s="12">
        <f t="shared" si="18"/>
        <v>41290.154000000002</v>
      </c>
      <c r="AD196" s="10">
        <f>INDEX([1]ratio_ins!AA:AA,MATCH('001_population_health_zone_zs'!$B$2,[1]ratio_ins!$B:$B,0))*$G196*INDEX([1]ratio_ins!$D:$D,MATCH('001_population_health_zone_zs'!$B196,[1]ratio_ins!$B:$B,0))</f>
        <v>8988.8076599999986</v>
      </c>
      <c r="AE196" s="10">
        <f>INDEX([1]ratio_ins!AB:AB,MATCH('001_population_health_zone_zs'!$B$2,[1]ratio_ins!$B:$B,0))*$G196*INDEX([1]ratio_ins!$D:$D,MATCH('001_population_health_zone_zs'!$B196,[1]ratio_ins!$B:$B,0))</f>
        <v>7405.0653580000007</v>
      </c>
      <c r="AF196" s="10">
        <f>INDEX([1]ratio_ins!AC:AC,MATCH('001_population_health_zone_zs'!$B$2,[1]ratio_ins!$B:$B,0))*$G196*INDEX([1]ratio_ins!$D:$D,MATCH('001_population_health_zone_zs'!$B196,[1]ratio_ins!$B:$B,0))</f>
        <v>5864.1269019999991</v>
      </c>
      <c r="AG196" s="10">
        <f>INDEX([1]ratio_ins!AD:AD,MATCH('001_population_health_zone_zs'!$B$2,[1]ratio_ins!$B:$B,0))*$G196*INDEX([1]ratio_ins!$D:$D,MATCH('001_population_health_zone_zs'!$B196,[1]ratio_ins!$B:$B,0))</f>
        <v>3552.7192180000002</v>
      </c>
      <c r="AH196" s="10">
        <f>INDEX([1]ratio_ins!AE:AE,MATCH('001_population_health_zone_zs'!$B$2,[1]ratio_ins!$B:$B,0))*$G196*INDEX([1]ratio_ins!$D:$D,MATCH('001_population_health_zone_zs'!$B196,[1]ratio_ins!$B:$B,0))</f>
        <v>2131.6315307999998</v>
      </c>
      <c r="AI196" s="13">
        <f>INDEX([1]ratio_ins!AF:AF,MATCH('001_population_health_zone_zs'!$B$2,[1]ratio_ins!$B:$B,0))*$G196*INDEX([1]ratio_ins!$D:$D,MATCH('001_population_health_zone_zs'!$B196,[1]ratio_ins!$B:$B,0))</f>
        <v>24389.6314508</v>
      </c>
      <c r="AJ196" s="10">
        <f>INDEX([1]ratio_ins!AG:AG,MATCH('001_population_health_zone_zs'!$B$2,[1]ratio_ins!$B:$B,0))*$G196*INDEX([1]ratio_ins!$D:$D,MATCH('001_population_health_zone_zs'!$B196,[1]ratio_ins!$B:$B,0))</f>
        <v>1421.0876871999999</v>
      </c>
      <c r="AK196" s="10">
        <f>INDEX([1]ratio_ins!AH:AH,MATCH('001_population_health_zone_zs'!$B$2,[1]ratio_ins!$B:$B,0))*$G196*INDEX([1]ratio_ins!$D:$D,MATCH('001_population_health_zone_zs'!$B196,[1]ratio_ins!$B:$B,0))</f>
        <v>3167.4846040000007</v>
      </c>
      <c r="AL196" s="10">
        <f>INDEX([1]ratio_ins!AI:AI,MATCH('001_population_health_zone_zs'!$B$2,[1]ratio_ins!$B:$B,0))*$G196*INDEX([1]ratio_ins!$D:$D,MATCH('001_population_health_zone_zs'!$B196,[1]ratio_ins!$B:$B,0))</f>
        <v>2996.2692200000006</v>
      </c>
      <c r="AM196" s="10">
        <f>INDEX([1]ratio_ins!AJ:AJ,MATCH('001_population_health_zone_zs'!$B$2,[1]ratio_ins!$B:$B,0))*$G196*INDEX([1]ratio_ins!$D:$D,MATCH('001_population_health_zone_zs'!$B196,[1]ratio_ins!$B:$B,0))</f>
        <v>2739.4461440000005</v>
      </c>
      <c r="AN196" s="10">
        <f>INDEX([1]ratio_ins!AK:AK,MATCH('001_population_health_zone_zs'!$B$2,[1]ratio_ins!$B:$B,0))*$G196*INDEX([1]ratio_ins!$D:$D,MATCH('001_population_health_zone_zs'!$B196,[1]ratio_ins!$B:$B,0))</f>
        <v>2568.2307599999999</v>
      </c>
      <c r="AO196" s="10">
        <f>INDEX([1]ratio_ins!AL:AL,MATCH('001_population_health_zone_zs'!$B$2,[1]ratio_ins!$B:$B,0))*$G196*INDEX([1]ratio_ins!$D:$D,MATCH('001_population_health_zone_zs'!$B196,[1]ratio_ins!$B:$B,0))</f>
        <v>1926.1730700000001</v>
      </c>
      <c r="AP196" s="10">
        <f>INDEX([1]ratio_ins!AM:AM,MATCH('001_population_health_zone_zs'!$B$2,[1]ratio_ins!$B:$B,0))*$G196*INDEX([1]ratio_ins!$D:$D,MATCH('001_population_health_zone_zs'!$B196,[1]ratio_ins!$B:$B,0))</f>
        <v>1241.3115339999999</v>
      </c>
      <c r="AQ196" s="10">
        <f>INDEX([1]ratio_ins!AN:AN,MATCH('001_population_health_zone_zs'!$B$2,[1]ratio_ins!$B:$B,0))*$G196*INDEX([1]ratio_ins!$D:$D,MATCH('001_population_health_zone_zs'!$B196,[1]ratio_ins!$B:$B,0))</f>
        <v>984.48845800000004</v>
      </c>
      <c r="AR196" s="10">
        <f>INDEX([1]ratio_ins!AO:AO,MATCH('001_population_health_zone_zs'!$B$2,[1]ratio_ins!$B:$B,0))*$G196*INDEX([1]ratio_ins!$D:$D,MATCH('001_population_health_zone_zs'!$B196,[1]ratio_ins!$B:$B,0))</f>
        <v>470.84230600000006</v>
      </c>
      <c r="AS196" s="13">
        <f>INDEX([1]ratio_ins!AP:AP,MATCH('001_population_health_zone_zs'!$B$2,[1]ratio_ins!$B:$B,0))*$G196*INDEX([1]ratio_ins!$D:$D,MATCH('001_population_health_zone_zs'!$B196,[1]ratio_ins!$B:$B,0))</f>
        <v>17515.3337832</v>
      </c>
      <c r="AT196" s="10">
        <f>INDEX([1]ratio_ins!AQ:AQ,MATCH('001_population_health_zone_zs'!$B$2,[1]ratio_ins!$B:$B,0))*$G196*INDEX([1]ratio_ins!$D:$D,MATCH('001_population_health_zone_zs'!$B196,[1]ratio_ins!$B:$B,0))</f>
        <v>428.03846000000004</v>
      </c>
      <c r="AU196" s="10">
        <f>INDEX([1]ratio_ins!AR:AR,MATCH('001_population_health_zone_zs'!$B$2,[1]ratio_ins!$B:$B,0))*$G196*INDEX([1]ratio_ins!$D:$D,MATCH('001_population_health_zone_zs'!$B196,[1]ratio_ins!$B:$B,0))</f>
        <v>256.82307600000001</v>
      </c>
      <c r="AV196" s="10">
        <f>INDEX([1]ratio_ins!AS:AS,MATCH('001_population_health_zone_zs'!$B$2,[1]ratio_ins!$B:$B,0))*$G196*INDEX([1]ratio_ins!$D:$D,MATCH('001_population_health_zone_zs'!$B196,[1]ratio_ins!$B:$B,0))</f>
        <v>128.41153800000001</v>
      </c>
      <c r="AW196" s="10">
        <f>INDEX([1]ratio_ins!AT:AT,MATCH('001_population_health_zone_zs'!$B$2,[1]ratio_ins!$B:$B,0))*$G196*INDEX([1]ratio_ins!$D:$D,MATCH('001_population_health_zone_zs'!$B196,[1]ratio_ins!$B:$B,0))</f>
        <v>85.607692000000014</v>
      </c>
      <c r="AX196" s="13">
        <f>INDEX([1]ratio_ins!AU:AU,MATCH('001_population_health_zone_zs'!$B$2,[1]ratio_ins!$B:$B,0))*$G196*INDEX([1]ratio_ins!$D:$D,MATCH('001_population_health_zone_zs'!$B196,[1]ratio_ins!$B:$B,0))</f>
        <v>898.88076599999988</v>
      </c>
      <c r="AY196" s="14">
        <f t="shared" si="19"/>
        <v>42803.846000000005</v>
      </c>
      <c r="AZ196" s="15">
        <f t="shared" si="20"/>
        <v>84094</v>
      </c>
      <c r="BA196" s="16">
        <v>81814.400249409693</v>
      </c>
      <c r="BB196" s="10">
        <f t="shared" si="21"/>
        <v>18191.634550000002</v>
      </c>
      <c r="BC196" s="17">
        <f t="shared" si="22"/>
        <v>0.21632500000000002</v>
      </c>
      <c r="BD196" s="10">
        <f t="shared" si="23"/>
        <v>17217.994218</v>
      </c>
    </row>
    <row r="197" spans="1:56" x14ac:dyDescent="0.25">
      <c r="A197" s="8" t="s">
        <v>470</v>
      </c>
      <c r="B197" s="8" t="s">
        <v>471</v>
      </c>
      <c r="C197" s="8" t="s">
        <v>490</v>
      </c>
      <c r="D197" s="8" t="s">
        <v>491</v>
      </c>
      <c r="E197" s="8" t="s">
        <v>490</v>
      </c>
      <c r="F197" s="8" t="s">
        <v>492</v>
      </c>
      <c r="G197" s="9">
        <v>124390</v>
      </c>
      <c r="H197" s="10">
        <f>INDEX([1]ratio_ins!F:F,MATCH('001_population_health_zone_zs'!$B$2,[1]ratio_ins!$B:$B,0))*$G197*INDEX([1]ratio_ins!$C:$C,MATCH('001_population_health_zone_zs'!$B197,[1]ratio_ins!$B:$B,0))</f>
        <v>12764.777409999999</v>
      </c>
      <c r="I197" s="10">
        <f>INDEX([1]ratio_ins!G:G,MATCH('001_population_health_zone_zs'!$B$2,[1]ratio_ins!$B:$B,0))*$G197*INDEX([1]ratio_ins!$C:$C,MATCH('001_population_health_zone_zs'!$B197,[1]ratio_ins!$B:$B,0))</f>
        <v>10443.908790000001</v>
      </c>
      <c r="J197" s="10">
        <f>INDEX([1]ratio_ins!H:H,MATCH('001_population_health_zone_zs'!$B$2,[1]ratio_ins!$B:$B,0))*$G197*INDEX([1]ratio_ins!$C:$C,MATCH('001_population_health_zone_zs'!$B197,[1]ratio_ins!$B:$B,0))</f>
        <v>8245.1911500000006</v>
      </c>
      <c r="K197" s="10">
        <f>INDEX([1]ratio_ins!I:I,MATCH('001_population_health_zone_zs'!$B$2,[1]ratio_ins!$B:$B,0))*$G197*INDEX([1]ratio_ins!$C:$C,MATCH('001_population_health_zone_zs'!$B197,[1]ratio_ins!$B:$B,0))</f>
        <v>5069.2656700000007</v>
      </c>
      <c r="L197" s="10">
        <f>INDEX([1]ratio_ins!J:J,MATCH('001_population_health_zone_zs'!$B$2,[1]ratio_ins!$B:$B,0))*$G197*INDEX([1]ratio_ins!$C:$C,MATCH('001_population_health_zone_zs'!$B197,[1]ratio_ins!$B:$B,0))</f>
        <v>3041.5594019999999</v>
      </c>
      <c r="M197" s="11">
        <f>INDEX([1]ratio_ins!K:K,MATCH('001_population_health_zone_zs'!$B$2,[1]ratio_ins!$B:$B,0))*$G197*INDEX([1]ratio_ins!$C:$C,MATCH('001_population_health_zone_zs'!$B197,[1]ratio_ins!$B:$B,0))</f>
        <v>34495.436751999994</v>
      </c>
      <c r="N197" s="10">
        <f>INDEX([1]ratio_ins!L:L,MATCH('001_population_health_zone_zs'!$B$2,[1]ratio_ins!$B:$B,0))*$G197*INDEX([1]ratio_ins!$C:$C,MATCH('001_population_health_zone_zs'!$B197,[1]ratio_ins!$B:$B,0))</f>
        <v>2027.7062679999997</v>
      </c>
      <c r="O197" s="10">
        <f>INDEX([1]ratio_ins!M:M,MATCH('001_population_health_zone_zs'!$B$2,[1]ratio_ins!$B:$B,0))*$G197*INDEX([1]ratio_ins!$C:$C,MATCH('001_population_health_zone_zs'!$B197,[1]ratio_ins!$B:$B,0))</f>
        <v>4397.4352800000006</v>
      </c>
      <c r="P197" s="10">
        <f>INDEX([1]ratio_ins!N:N,MATCH('001_population_health_zone_zs'!$B$2,[1]ratio_ins!$B:$B,0))*$G197*INDEX([1]ratio_ins!$C:$C,MATCH('001_population_health_zone_zs'!$B197,[1]ratio_ins!$B:$B,0))</f>
        <v>3969.9068500000003</v>
      </c>
      <c r="Q197" s="10">
        <f>INDEX([1]ratio_ins!O:O,MATCH('001_population_health_zone_zs'!$B$2,[1]ratio_ins!$B:$B,0))*$G197*INDEX([1]ratio_ins!$C:$C,MATCH('001_population_health_zone_zs'!$B197,[1]ratio_ins!$B:$B,0))</f>
        <v>3542.37842</v>
      </c>
      <c r="R197" s="10">
        <f>INDEX([1]ratio_ins!P:P,MATCH('001_population_health_zone_zs'!$B$2,[1]ratio_ins!$B:$B,0))*$G197*INDEX([1]ratio_ins!$C:$C,MATCH('001_population_health_zone_zs'!$B197,[1]ratio_ins!$B:$B,0))</f>
        <v>3481.3029300000003</v>
      </c>
      <c r="S197" s="10">
        <f>INDEX([1]ratio_ins!Q:Q,MATCH('001_population_health_zone_zs'!$B$2,[1]ratio_ins!$B:$B,0))*$G197*INDEX([1]ratio_ins!$C:$C,MATCH('001_population_health_zone_zs'!$B197,[1]ratio_ins!$B:$B,0))</f>
        <v>2931.6235200000001</v>
      </c>
      <c r="T197" s="10">
        <f>INDEX([1]ratio_ins!R:R,MATCH('001_population_health_zone_zs'!$B$2,[1]ratio_ins!$B:$B,0))*$G197*INDEX([1]ratio_ins!$C:$C,MATCH('001_population_health_zone_zs'!$B197,[1]ratio_ins!$B:$B,0))</f>
        <v>2076.56666</v>
      </c>
      <c r="U197" s="10">
        <f>INDEX([1]ratio_ins!S:S,MATCH('001_population_health_zone_zs'!$B$2,[1]ratio_ins!$B:$B,0))*$G197*INDEX([1]ratio_ins!$C:$C,MATCH('001_population_health_zone_zs'!$B197,[1]ratio_ins!$B:$B,0))</f>
        <v>1649.0382300000001</v>
      </c>
      <c r="V197" s="10">
        <f>INDEX([1]ratio_ins!T:T,MATCH('001_population_health_zone_zs'!$B$2,[1]ratio_ins!$B:$B,0))*$G197*INDEX([1]ratio_ins!$C:$C,MATCH('001_population_health_zone_zs'!$B197,[1]ratio_ins!$B:$B,0))</f>
        <v>916.13234999999997</v>
      </c>
      <c r="W197" s="11">
        <f>INDEX([1]ratio_ins!U:U,MATCH('001_population_health_zone_zs'!$B$2,[1]ratio_ins!$B:$B,0))*$G197*INDEX([1]ratio_ins!$C:$C,MATCH('001_population_health_zone_zs'!$B197,[1]ratio_ins!$B:$B,0))</f>
        <v>24992.090507999997</v>
      </c>
      <c r="X197" s="10">
        <f>INDEX([1]ratio_ins!V:V,MATCH('001_population_health_zone_zs'!$B$2,[1]ratio_ins!$B:$B,0))*$G197*INDEX([1]ratio_ins!$C:$C,MATCH('001_population_health_zone_zs'!$B197,[1]ratio_ins!$B:$B,0))</f>
        <v>732.90588000000002</v>
      </c>
      <c r="Y197" s="10">
        <f>INDEX([1]ratio_ins!W:W,MATCH('001_population_health_zone_zs'!$B$2,[1]ratio_ins!$B:$B,0))*$G197*INDEX([1]ratio_ins!$C:$C,MATCH('001_population_health_zone_zs'!$B197,[1]ratio_ins!$B:$B,0))</f>
        <v>488.60392000000002</v>
      </c>
      <c r="Z197" s="10">
        <f>INDEX([1]ratio_ins!X:X,MATCH('001_population_health_zone_zs'!$B$2,[1]ratio_ins!$B:$B,0))*$G197*INDEX([1]ratio_ins!$C:$C,MATCH('001_population_health_zone_zs'!$B197,[1]ratio_ins!$B:$B,0))</f>
        <v>244.30196000000001</v>
      </c>
      <c r="AA197" s="10">
        <f>INDEX([1]ratio_ins!Y:Y,MATCH('001_population_health_zone_zs'!$B$2,[1]ratio_ins!$B:$B,0))*$G197*INDEX([1]ratio_ins!$C:$C,MATCH('001_population_health_zone_zs'!$B197,[1]ratio_ins!$B:$B,0))</f>
        <v>122.15098</v>
      </c>
      <c r="AB197" s="11">
        <f>INDEX([1]ratio_ins!Z:Z,MATCH('001_population_health_zone_zs'!$B$2,[1]ratio_ins!$B:$B,0))*$G197*INDEX([1]ratio_ins!$C:$C,MATCH('001_population_health_zone_zs'!$B197,[1]ratio_ins!$B:$B,0))</f>
        <v>1587.9627400000002</v>
      </c>
      <c r="AC197" s="12">
        <f t="shared" si="18"/>
        <v>61075.489999999991</v>
      </c>
      <c r="AD197" s="10">
        <f>INDEX([1]ratio_ins!AA:AA,MATCH('001_population_health_zone_zs'!$B$2,[1]ratio_ins!$B:$B,0))*$G197*INDEX([1]ratio_ins!$D:$D,MATCH('001_population_health_zone_zs'!$B197,[1]ratio_ins!$B:$B,0))</f>
        <v>13296.0471</v>
      </c>
      <c r="AE197" s="10">
        <f>INDEX([1]ratio_ins!AB:AB,MATCH('001_population_health_zone_zs'!$B$2,[1]ratio_ins!$B:$B,0))*$G197*INDEX([1]ratio_ins!$D:$D,MATCH('001_population_health_zone_zs'!$B197,[1]ratio_ins!$B:$B,0))</f>
        <v>10953.410230000001</v>
      </c>
      <c r="AF197" s="10">
        <f>INDEX([1]ratio_ins!AC:AC,MATCH('001_population_health_zone_zs'!$B$2,[1]ratio_ins!$B:$B,0))*$G197*INDEX([1]ratio_ins!$D:$D,MATCH('001_population_health_zone_zs'!$B197,[1]ratio_ins!$B:$B,0))</f>
        <v>8674.0878699999976</v>
      </c>
      <c r="AG197" s="10">
        <f>INDEX([1]ratio_ins!AD:AD,MATCH('001_population_health_zone_zs'!$B$2,[1]ratio_ins!$B:$B,0))*$G197*INDEX([1]ratio_ins!$D:$D,MATCH('001_population_health_zone_zs'!$B197,[1]ratio_ins!$B:$B,0))</f>
        <v>5255.1043300000001</v>
      </c>
      <c r="AH197" s="10">
        <f>INDEX([1]ratio_ins!AE:AE,MATCH('001_population_health_zone_zs'!$B$2,[1]ratio_ins!$B:$B,0))*$G197*INDEX([1]ratio_ins!$D:$D,MATCH('001_population_health_zone_zs'!$B197,[1]ratio_ins!$B:$B,0))</f>
        <v>3153.0625979999995</v>
      </c>
      <c r="AI197" s="13">
        <f>INDEX([1]ratio_ins!AF:AF,MATCH('001_population_health_zone_zs'!$B$2,[1]ratio_ins!$B:$B,0))*$G197*INDEX([1]ratio_ins!$D:$D,MATCH('001_population_health_zone_zs'!$B197,[1]ratio_ins!$B:$B,0))</f>
        <v>36076.607797999997</v>
      </c>
      <c r="AJ197" s="10">
        <f>INDEX([1]ratio_ins!AG:AG,MATCH('001_population_health_zone_zs'!$B$2,[1]ratio_ins!$B:$B,0))*$G197*INDEX([1]ratio_ins!$D:$D,MATCH('001_population_health_zone_zs'!$B197,[1]ratio_ins!$B:$B,0))</f>
        <v>2102.0417319999997</v>
      </c>
      <c r="AK197" s="10">
        <f>INDEX([1]ratio_ins!AH:AH,MATCH('001_population_health_zone_zs'!$B$2,[1]ratio_ins!$B:$B,0))*$G197*INDEX([1]ratio_ins!$D:$D,MATCH('001_population_health_zone_zs'!$B197,[1]ratio_ins!$B:$B,0))</f>
        <v>4685.2737400000005</v>
      </c>
      <c r="AL197" s="10">
        <f>INDEX([1]ratio_ins!AI:AI,MATCH('001_population_health_zone_zs'!$B$2,[1]ratio_ins!$B:$B,0))*$G197*INDEX([1]ratio_ins!$D:$D,MATCH('001_population_health_zone_zs'!$B197,[1]ratio_ins!$B:$B,0))</f>
        <v>4432.0157000000008</v>
      </c>
      <c r="AM197" s="10">
        <f>INDEX([1]ratio_ins!AJ:AJ,MATCH('001_population_health_zone_zs'!$B$2,[1]ratio_ins!$B:$B,0))*$G197*INDEX([1]ratio_ins!$D:$D,MATCH('001_population_health_zone_zs'!$B197,[1]ratio_ins!$B:$B,0))</f>
        <v>4052.1286399999999</v>
      </c>
      <c r="AN197" s="10">
        <f>INDEX([1]ratio_ins!AK:AK,MATCH('001_population_health_zone_zs'!$B$2,[1]ratio_ins!$B:$B,0))*$G197*INDEX([1]ratio_ins!$D:$D,MATCH('001_population_health_zone_zs'!$B197,[1]ratio_ins!$B:$B,0))</f>
        <v>3798.8705999999997</v>
      </c>
      <c r="AO197" s="10">
        <f>INDEX([1]ratio_ins!AL:AL,MATCH('001_population_health_zone_zs'!$B$2,[1]ratio_ins!$B:$B,0))*$G197*INDEX([1]ratio_ins!$D:$D,MATCH('001_population_health_zone_zs'!$B197,[1]ratio_ins!$B:$B,0))</f>
        <v>2849.1529500000001</v>
      </c>
      <c r="AP197" s="10">
        <f>INDEX([1]ratio_ins!AM:AM,MATCH('001_population_health_zone_zs'!$B$2,[1]ratio_ins!$B:$B,0))*$G197*INDEX([1]ratio_ins!$D:$D,MATCH('001_population_health_zone_zs'!$B197,[1]ratio_ins!$B:$B,0))</f>
        <v>1836.1207899999999</v>
      </c>
      <c r="AQ197" s="10">
        <f>INDEX([1]ratio_ins!AN:AN,MATCH('001_population_health_zone_zs'!$B$2,[1]ratio_ins!$B:$B,0))*$G197*INDEX([1]ratio_ins!$D:$D,MATCH('001_population_health_zone_zs'!$B197,[1]ratio_ins!$B:$B,0))</f>
        <v>1456.2337299999999</v>
      </c>
      <c r="AR197" s="10">
        <f>INDEX([1]ratio_ins!AO:AO,MATCH('001_population_health_zone_zs'!$B$2,[1]ratio_ins!$B:$B,0))*$G197*INDEX([1]ratio_ins!$D:$D,MATCH('001_population_health_zone_zs'!$B197,[1]ratio_ins!$B:$B,0))</f>
        <v>696.45961000000011</v>
      </c>
      <c r="AS197" s="13">
        <f>INDEX([1]ratio_ins!AP:AP,MATCH('001_population_health_zone_zs'!$B$2,[1]ratio_ins!$B:$B,0))*$G197*INDEX([1]ratio_ins!$D:$D,MATCH('001_population_health_zone_zs'!$B197,[1]ratio_ins!$B:$B,0))</f>
        <v>25908.297492000002</v>
      </c>
      <c r="AT197" s="10">
        <f>INDEX([1]ratio_ins!AQ:AQ,MATCH('001_population_health_zone_zs'!$B$2,[1]ratio_ins!$B:$B,0))*$G197*INDEX([1]ratio_ins!$D:$D,MATCH('001_population_health_zone_zs'!$B197,[1]ratio_ins!$B:$B,0))</f>
        <v>633.14510000000007</v>
      </c>
      <c r="AU197" s="10">
        <f>INDEX([1]ratio_ins!AR:AR,MATCH('001_population_health_zone_zs'!$B$2,[1]ratio_ins!$B:$B,0))*$G197*INDEX([1]ratio_ins!$D:$D,MATCH('001_population_health_zone_zs'!$B197,[1]ratio_ins!$B:$B,0))</f>
        <v>379.88706000000002</v>
      </c>
      <c r="AV197" s="10">
        <f>INDEX([1]ratio_ins!AS:AS,MATCH('001_population_health_zone_zs'!$B$2,[1]ratio_ins!$B:$B,0))*$G197*INDEX([1]ratio_ins!$D:$D,MATCH('001_population_health_zone_zs'!$B197,[1]ratio_ins!$B:$B,0))</f>
        <v>189.94353000000001</v>
      </c>
      <c r="AW197" s="10">
        <f>INDEX([1]ratio_ins!AT:AT,MATCH('001_population_health_zone_zs'!$B$2,[1]ratio_ins!$B:$B,0))*$G197*INDEX([1]ratio_ins!$D:$D,MATCH('001_population_health_zone_zs'!$B197,[1]ratio_ins!$B:$B,0))</f>
        <v>126.62902</v>
      </c>
      <c r="AX197" s="13">
        <f>INDEX([1]ratio_ins!AU:AU,MATCH('001_population_health_zone_zs'!$B$2,[1]ratio_ins!$B:$B,0))*$G197*INDEX([1]ratio_ins!$D:$D,MATCH('001_population_health_zone_zs'!$B197,[1]ratio_ins!$B:$B,0))</f>
        <v>1329.6047099999998</v>
      </c>
      <c r="AY197" s="14">
        <f t="shared" si="19"/>
        <v>63314.509999999995</v>
      </c>
      <c r="AZ197" s="15">
        <f t="shared" si="20"/>
        <v>124389.99999999999</v>
      </c>
      <c r="BA197" s="16">
        <v>121017.65934145219</v>
      </c>
      <c r="BB197" s="10">
        <f t="shared" si="21"/>
        <v>26908.666749999997</v>
      </c>
      <c r="BC197" s="17">
        <f t="shared" si="22"/>
        <v>0.21632499999999996</v>
      </c>
      <c r="BD197" s="10">
        <f t="shared" si="23"/>
        <v>25468.479330000006</v>
      </c>
    </row>
    <row r="198" spans="1:56" x14ac:dyDescent="0.25">
      <c r="A198" s="8" t="s">
        <v>470</v>
      </c>
      <c r="B198" s="8" t="s">
        <v>471</v>
      </c>
      <c r="C198" s="8" t="s">
        <v>490</v>
      </c>
      <c r="D198" s="8" t="s">
        <v>491</v>
      </c>
      <c r="E198" s="8" t="s">
        <v>493</v>
      </c>
      <c r="F198" s="8" t="s">
        <v>494</v>
      </c>
      <c r="G198" s="9">
        <v>138306</v>
      </c>
      <c r="H198" s="10">
        <f>INDEX([1]ratio_ins!F:F,MATCH('001_population_health_zone_zs'!$B$2,[1]ratio_ins!$B:$B,0))*$G198*INDEX([1]ratio_ins!$C:$C,MATCH('001_population_health_zone_zs'!$B198,[1]ratio_ins!$B:$B,0))</f>
        <v>14192.823413999999</v>
      </c>
      <c r="I198" s="10">
        <f>INDEX([1]ratio_ins!G:G,MATCH('001_population_health_zone_zs'!$B$2,[1]ratio_ins!$B:$B,0))*$G198*INDEX([1]ratio_ins!$C:$C,MATCH('001_population_health_zone_zs'!$B198,[1]ratio_ins!$B:$B,0))</f>
        <v>11612.310066</v>
      </c>
      <c r="J198" s="10">
        <f>INDEX([1]ratio_ins!H:H,MATCH('001_population_health_zone_zs'!$B$2,[1]ratio_ins!$B:$B,0))*$G198*INDEX([1]ratio_ins!$C:$C,MATCH('001_population_health_zone_zs'!$B198,[1]ratio_ins!$B:$B,0))</f>
        <v>9167.6132100000013</v>
      </c>
      <c r="K198" s="10">
        <f>INDEX([1]ratio_ins!I:I,MATCH('001_population_health_zone_zs'!$B$2,[1]ratio_ins!$B:$B,0))*$G198*INDEX([1]ratio_ins!$C:$C,MATCH('001_population_health_zone_zs'!$B198,[1]ratio_ins!$B:$B,0))</f>
        <v>5636.3844180000006</v>
      </c>
      <c r="L198" s="10">
        <f>INDEX([1]ratio_ins!J:J,MATCH('001_population_health_zone_zs'!$B$2,[1]ratio_ins!$B:$B,0))*$G198*INDEX([1]ratio_ins!$C:$C,MATCH('001_population_health_zone_zs'!$B198,[1]ratio_ins!$B:$B,0))</f>
        <v>3381.8306507999996</v>
      </c>
      <c r="M198" s="11">
        <f>INDEX([1]ratio_ins!K:K,MATCH('001_population_health_zone_zs'!$B$2,[1]ratio_ins!$B:$B,0))*$G198*INDEX([1]ratio_ins!$C:$C,MATCH('001_population_health_zone_zs'!$B198,[1]ratio_ins!$B:$B,0))</f>
        <v>38354.577340799995</v>
      </c>
      <c r="N198" s="10">
        <f>INDEX([1]ratio_ins!L:L,MATCH('001_population_health_zone_zs'!$B$2,[1]ratio_ins!$B:$B,0))*$G198*INDEX([1]ratio_ins!$C:$C,MATCH('001_population_health_zone_zs'!$B198,[1]ratio_ins!$B:$B,0))</f>
        <v>2254.5537672</v>
      </c>
      <c r="O198" s="10">
        <f>INDEX([1]ratio_ins!M:M,MATCH('001_population_health_zone_zs'!$B$2,[1]ratio_ins!$B:$B,0))*$G198*INDEX([1]ratio_ins!$C:$C,MATCH('001_population_health_zone_zs'!$B198,[1]ratio_ins!$B:$B,0))</f>
        <v>4889.3937120000001</v>
      </c>
      <c r="P198" s="10">
        <f>INDEX([1]ratio_ins!N:N,MATCH('001_population_health_zone_zs'!$B$2,[1]ratio_ins!$B:$B,0))*$G198*INDEX([1]ratio_ins!$C:$C,MATCH('001_population_health_zone_zs'!$B198,[1]ratio_ins!$B:$B,0))</f>
        <v>4414.0359899999994</v>
      </c>
      <c r="Q198" s="10">
        <f>INDEX([1]ratio_ins!O:O,MATCH('001_population_health_zone_zs'!$B$2,[1]ratio_ins!$B:$B,0))*$G198*INDEX([1]ratio_ins!$C:$C,MATCH('001_population_health_zone_zs'!$B198,[1]ratio_ins!$B:$B,0))</f>
        <v>3938.6782679999997</v>
      </c>
      <c r="R198" s="10">
        <f>INDEX([1]ratio_ins!P:P,MATCH('001_population_health_zone_zs'!$B$2,[1]ratio_ins!$B:$B,0))*$G198*INDEX([1]ratio_ins!$C:$C,MATCH('001_population_health_zone_zs'!$B198,[1]ratio_ins!$B:$B,0))</f>
        <v>3870.7700220000002</v>
      </c>
      <c r="S198" s="10">
        <f>INDEX([1]ratio_ins!Q:Q,MATCH('001_population_health_zone_zs'!$B$2,[1]ratio_ins!$B:$B,0))*$G198*INDEX([1]ratio_ins!$C:$C,MATCH('001_population_health_zone_zs'!$B198,[1]ratio_ins!$B:$B,0))</f>
        <v>3259.595808</v>
      </c>
      <c r="T198" s="10">
        <f>INDEX([1]ratio_ins!R:R,MATCH('001_population_health_zone_zs'!$B$2,[1]ratio_ins!$B:$B,0))*$G198*INDEX([1]ratio_ins!$C:$C,MATCH('001_population_health_zone_zs'!$B198,[1]ratio_ins!$B:$B,0))</f>
        <v>2308.8803640000001</v>
      </c>
      <c r="U198" s="10">
        <f>INDEX([1]ratio_ins!S:S,MATCH('001_population_health_zone_zs'!$B$2,[1]ratio_ins!$B:$B,0))*$G198*INDEX([1]ratio_ins!$C:$C,MATCH('001_population_health_zone_zs'!$B198,[1]ratio_ins!$B:$B,0))</f>
        <v>1833.5226420000004</v>
      </c>
      <c r="V198" s="10">
        <f>INDEX([1]ratio_ins!T:T,MATCH('001_population_health_zone_zs'!$B$2,[1]ratio_ins!$B:$B,0))*$G198*INDEX([1]ratio_ins!$C:$C,MATCH('001_population_health_zone_zs'!$B198,[1]ratio_ins!$B:$B,0))</f>
        <v>1018.62369</v>
      </c>
      <c r="W198" s="11">
        <f>INDEX([1]ratio_ins!U:U,MATCH('001_population_health_zone_zs'!$B$2,[1]ratio_ins!$B:$B,0))*$G198*INDEX([1]ratio_ins!$C:$C,MATCH('001_population_health_zone_zs'!$B198,[1]ratio_ins!$B:$B,0))</f>
        <v>27788.054263200003</v>
      </c>
      <c r="X198" s="10">
        <f>INDEX([1]ratio_ins!V:V,MATCH('001_population_health_zone_zs'!$B$2,[1]ratio_ins!$B:$B,0))*$G198*INDEX([1]ratio_ins!$C:$C,MATCH('001_population_health_zone_zs'!$B198,[1]ratio_ins!$B:$B,0))</f>
        <v>814.89895200000001</v>
      </c>
      <c r="Y198" s="10">
        <f>INDEX([1]ratio_ins!W:W,MATCH('001_population_health_zone_zs'!$B$2,[1]ratio_ins!$B:$B,0))*$G198*INDEX([1]ratio_ins!$C:$C,MATCH('001_population_health_zone_zs'!$B198,[1]ratio_ins!$B:$B,0))</f>
        <v>543.26596800000004</v>
      </c>
      <c r="Z198" s="10">
        <f>INDEX([1]ratio_ins!X:X,MATCH('001_population_health_zone_zs'!$B$2,[1]ratio_ins!$B:$B,0))*$G198*INDEX([1]ratio_ins!$C:$C,MATCH('001_population_health_zone_zs'!$B198,[1]ratio_ins!$B:$B,0))</f>
        <v>271.63298400000002</v>
      </c>
      <c r="AA198" s="10">
        <f>INDEX([1]ratio_ins!Y:Y,MATCH('001_population_health_zone_zs'!$B$2,[1]ratio_ins!$B:$B,0))*$G198*INDEX([1]ratio_ins!$C:$C,MATCH('001_population_health_zone_zs'!$B198,[1]ratio_ins!$B:$B,0))</f>
        <v>135.81649200000001</v>
      </c>
      <c r="AB198" s="11">
        <f>INDEX([1]ratio_ins!Z:Z,MATCH('001_population_health_zone_zs'!$B$2,[1]ratio_ins!$B:$B,0))*$G198*INDEX([1]ratio_ins!$C:$C,MATCH('001_population_health_zone_zs'!$B198,[1]ratio_ins!$B:$B,0))</f>
        <v>1765.6143959999999</v>
      </c>
      <c r="AC198" s="12">
        <f t="shared" si="18"/>
        <v>67908.245999999999</v>
      </c>
      <c r="AD198" s="10">
        <f>INDEX([1]ratio_ins!AA:AA,MATCH('001_population_health_zone_zs'!$B$2,[1]ratio_ins!$B:$B,0))*$G198*INDEX([1]ratio_ins!$D:$D,MATCH('001_population_health_zone_zs'!$B198,[1]ratio_ins!$B:$B,0))</f>
        <v>14783.528339999999</v>
      </c>
      <c r="AE198" s="10">
        <f>INDEX([1]ratio_ins!AB:AB,MATCH('001_population_health_zone_zs'!$B$2,[1]ratio_ins!$B:$B,0))*$G198*INDEX([1]ratio_ins!$D:$D,MATCH('001_population_health_zone_zs'!$B198,[1]ratio_ins!$B:$B,0))</f>
        <v>12178.811442000002</v>
      </c>
      <c r="AF198" s="10">
        <f>INDEX([1]ratio_ins!AC:AC,MATCH('001_population_health_zone_zs'!$B$2,[1]ratio_ins!$B:$B,0))*$G198*INDEX([1]ratio_ins!$D:$D,MATCH('001_population_health_zone_zs'!$B198,[1]ratio_ins!$B:$B,0))</f>
        <v>9644.4922979999992</v>
      </c>
      <c r="AG198" s="10">
        <f>INDEX([1]ratio_ins!AD:AD,MATCH('001_population_health_zone_zs'!$B$2,[1]ratio_ins!$B:$B,0))*$G198*INDEX([1]ratio_ins!$D:$D,MATCH('001_population_health_zone_zs'!$B198,[1]ratio_ins!$B:$B,0))</f>
        <v>5843.0135820000005</v>
      </c>
      <c r="AH198" s="10">
        <f>INDEX([1]ratio_ins!AE:AE,MATCH('001_population_health_zone_zs'!$B$2,[1]ratio_ins!$B:$B,0))*$G198*INDEX([1]ratio_ins!$D:$D,MATCH('001_population_health_zone_zs'!$B198,[1]ratio_ins!$B:$B,0))</f>
        <v>3505.8081492000001</v>
      </c>
      <c r="AI198" s="13">
        <f>INDEX([1]ratio_ins!AF:AF,MATCH('001_population_health_zone_zs'!$B$2,[1]ratio_ins!$B:$B,0))*$G198*INDEX([1]ratio_ins!$D:$D,MATCH('001_population_health_zone_zs'!$B198,[1]ratio_ins!$B:$B,0))</f>
        <v>40112.640229199998</v>
      </c>
      <c r="AJ198" s="10">
        <f>INDEX([1]ratio_ins!AG:AG,MATCH('001_population_health_zone_zs'!$B$2,[1]ratio_ins!$B:$B,0))*$G198*INDEX([1]ratio_ins!$D:$D,MATCH('001_population_health_zone_zs'!$B198,[1]ratio_ins!$B:$B,0))</f>
        <v>2337.2054328000004</v>
      </c>
      <c r="AK198" s="10">
        <f>INDEX([1]ratio_ins!AH:AH,MATCH('001_population_health_zone_zs'!$B$2,[1]ratio_ins!$B:$B,0))*$G198*INDEX([1]ratio_ins!$D:$D,MATCH('001_population_health_zone_zs'!$B198,[1]ratio_ins!$B:$B,0))</f>
        <v>5209.4337960000012</v>
      </c>
      <c r="AL198" s="10">
        <f>INDEX([1]ratio_ins!AI:AI,MATCH('001_population_health_zone_zs'!$B$2,[1]ratio_ins!$B:$B,0))*$G198*INDEX([1]ratio_ins!$D:$D,MATCH('001_population_health_zone_zs'!$B198,[1]ratio_ins!$B:$B,0))</f>
        <v>4927.8427799999999</v>
      </c>
      <c r="AM198" s="10">
        <f>INDEX([1]ratio_ins!AJ:AJ,MATCH('001_population_health_zone_zs'!$B$2,[1]ratio_ins!$B:$B,0))*$G198*INDEX([1]ratio_ins!$D:$D,MATCH('001_population_health_zone_zs'!$B198,[1]ratio_ins!$B:$B,0))</f>
        <v>4505.4562560000004</v>
      </c>
      <c r="AN198" s="10">
        <f>INDEX([1]ratio_ins!AK:AK,MATCH('001_population_health_zone_zs'!$B$2,[1]ratio_ins!$B:$B,0))*$G198*INDEX([1]ratio_ins!$D:$D,MATCH('001_population_health_zone_zs'!$B198,[1]ratio_ins!$B:$B,0))</f>
        <v>4223.8652400000001</v>
      </c>
      <c r="AO198" s="10">
        <f>INDEX([1]ratio_ins!AL:AL,MATCH('001_population_health_zone_zs'!$B$2,[1]ratio_ins!$B:$B,0))*$G198*INDEX([1]ratio_ins!$D:$D,MATCH('001_population_health_zone_zs'!$B198,[1]ratio_ins!$B:$B,0))</f>
        <v>3167.8989299999998</v>
      </c>
      <c r="AP198" s="10">
        <f>INDEX([1]ratio_ins!AM:AM,MATCH('001_population_health_zone_zs'!$B$2,[1]ratio_ins!$B:$B,0))*$G198*INDEX([1]ratio_ins!$D:$D,MATCH('001_population_health_zone_zs'!$B198,[1]ratio_ins!$B:$B,0))</f>
        <v>2041.534866</v>
      </c>
      <c r="AQ198" s="10">
        <f>INDEX([1]ratio_ins!AN:AN,MATCH('001_population_health_zone_zs'!$B$2,[1]ratio_ins!$B:$B,0))*$G198*INDEX([1]ratio_ins!$D:$D,MATCH('001_population_health_zone_zs'!$B198,[1]ratio_ins!$B:$B,0))</f>
        <v>1619.148342</v>
      </c>
      <c r="AR198" s="10">
        <f>INDEX([1]ratio_ins!AO:AO,MATCH('001_population_health_zone_zs'!$B$2,[1]ratio_ins!$B:$B,0))*$G198*INDEX([1]ratio_ins!$D:$D,MATCH('001_population_health_zone_zs'!$B198,[1]ratio_ins!$B:$B,0))</f>
        <v>774.37529400000017</v>
      </c>
      <c r="AS198" s="13">
        <f>INDEX([1]ratio_ins!AP:AP,MATCH('001_population_health_zone_zs'!$B$2,[1]ratio_ins!$B:$B,0))*$G198*INDEX([1]ratio_ins!$D:$D,MATCH('001_population_health_zone_zs'!$B198,[1]ratio_ins!$B:$B,0))</f>
        <v>28806.760936800001</v>
      </c>
      <c r="AT198" s="10">
        <f>INDEX([1]ratio_ins!AQ:AQ,MATCH('001_population_health_zone_zs'!$B$2,[1]ratio_ins!$B:$B,0))*$G198*INDEX([1]ratio_ins!$D:$D,MATCH('001_population_health_zone_zs'!$B198,[1]ratio_ins!$B:$B,0))</f>
        <v>703.97753999999998</v>
      </c>
      <c r="AU198" s="10">
        <f>INDEX([1]ratio_ins!AR:AR,MATCH('001_population_health_zone_zs'!$B$2,[1]ratio_ins!$B:$B,0))*$G198*INDEX([1]ratio_ins!$D:$D,MATCH('001_population_health_zone_zs'!$B198,[1]ratio_ins!$B:$B,0))</f>
        <v>422.38652400000001</v>
      </c>
      <c r="AV198" s="10">
        <f>INDEX([1]ratio_ins!AS:AS,MATCH('001_population_health_zone_zs'!$B$2,[1]ratio_ins!$B:$B,0))*$G198*INDEX([1]ratio_ins!$D:$D,MATCH('001_population_health_zone_zs'!$B198,[1]ratio_ins!$B:$B,0))</f>
        <v>211.193262</v>
      </c>
      <c r="AW198" s="10">
        <f>INDEX([1]ratio_ins!AT:AT,MATCH('001_population_health_zone_zs'!$B$2,[1]ratio_ins!$B:$B,0))*$G198*INDEX([1]ratio_ins!$D:$D,MATCH('001_population_health_zone_zs'!$B198,[1]ratio_ins!$B:$B,0))</f>
        <v>140.79550800000001</v>
      </c>
      <c r="AX198" s="13">
        <f>INDEX([1]ratio_ins!AU:AU,MATCH('001_population_health_zone_zs'!$B$2,[1]ratio_ins!$B:$B,0))*$G198*INDEX([1]ratio_ins!$D:$D,MATCH('001_population_health_zone_zs'!$B198,[1]ratio_ins!$B:$B,0))</f>
        <v>1478.3528339999998</v>
      </c>
      <c r="AY198" s="14">
        <f t="shared" si="19"/>
        <v>70397.754000000001</v>
      </c>
      <c r="AZ198" s="15">
        <f t="shared" si="20"/>
        <v>138306</v>
      </c>
      <c r="BA198" s="16">
        <v>134556.09508781866</v>
      </c>
      <c r="BB198" s="10">
        <f t="shared" si="21"/>
        <v>29919.045449999998</v>
      </c>
      <c r="BC198" s="17">
        <f t="shared" si="22"/>
        <v>0.21632499999999999</v>
      </c>
      <c r="BD198" s="10">
        <f t="shared" si="23"/>
        <v>28317.738582000002</v>
      </c>
    </row>
    <row r="199" spans="1:56" x14ac:dyDescent="0.25">
      <c r="A199" s="8" t="s">
        <v>470</v>
      </c>
      <c r="B199" s="8" t="s">
        <v>471</v>
      </c>
      <c r="C199" s="8" t="s">
        <v>495</v>
      </c>
      <c r="D199" s="8" t="s">
        <v>496</v>
      </c>
      <c r="E199" s="8" t="s">
        <v>495</v>
      </c>
      <c r="F199" s="8" t="s">
        <v>497</v>
      </c>
      <c r="G199" s="9">
        <v>156928</v>
      </c>
      <c r="H199" s="10">
        <f>INDEX([1]ratio_ins!F:F,MATCH('001_population_health_zone_zs'!$B$2,[1]ratio_ins!$B:$B,0))*$G199*INDEX([1]ratio_ins!$C:$C,MATCH('001_population_health_zone_zs'!$B199,[1]ratio_ins!$B:$B,0))</f>
        <v>16103.794431999999</v>
      </c>
      <c r="I199" s="10">
        <f>INDEX([1]ratio_ins!G:G,MATCH('001_population_health_zone_zs'!$B$2,[1]ratio_ins!$B:$B,0))*$G199*INDEX([1]ratio_ins!$C:$C,MATCH('001_population_health_zone_zs'!$B199,[1]ratio_ins!$B:$B,0))</f>
        <v>13175.831808000001</v>
      </c>
      <c r="J199" s="10">
        <f>INDEX([1]ratio_ins!H:H,MATCH('001_population_health_zone_zs'!$B$2,[1]ratio_ins!$B:$B,0))*$G199*INDEX([1]ratio_ins!$C:$C,MATCH('001_population_health_zone_zs'!$B199,[1]ratio_ins!$B:$B,0))</f>
        <v>10401.97248</v>
      </c>
      <c r="K199" s="10">
        <f>INDEX([1]ratio_ins!I:I,MATCH('001_population_health_zone_zs'!$B$2,[1]ratio_ins!$B:$B,0))*$G199*INDEX([1]ratio_ins!$C:$C,MATCH('001_population_health_zone_zs'!$B199,[1]ratio_ins!$B:$B,0))</f>
        <v>6395.2867840000008</v>
      </c>
      <c r="L199" s="10">
        <f>INDEX([1]ratio_ins!J:J,MATCH('001_population_health_zone_zs'!$B$2,[1]ratio_ins!$B:$B,0))*$G199*INDEX([1]ratio_ins!$C:$C,MATCH('001_population_health_zone_zs'!$B199,[1]ratio_ins!$B:$B,0))</f>
        <v>3837.1720703999995</v>
      </c>
      <c r="M199" s="11">
        <f>INDEX([1]ratio_ins!K:K,MATCH('001_population_health_zone_zs'!$B$2,[1]ratio_ins!$B:$B,0))*$G199*INDEX([1]ratio_ins!$C:$C,MATCH('001_population_health_zone_zs'!$B199,[1]ratio_ins!$B:$B,0))</f>
        <v>43518.770790399998</v>
      </c>
      <c r="N199" s="10">
        <f>INDEX([1]ratio_ins!L:L,MATCH('001_population_health_zone_zs'!$B$2,[1]ratio_ins!$B:$B,0))*$G199*INDEX([1]ratio_ins!$C:$C,MATCH('001_population_health_zone_zs'!$B199,[1]ratio_ins!$B:$B,0))</f>
        <v>2558.1147136</v>
      </c>
      <c r="O199" s="10">
        <f>INDEX([1]ratio_ins!M:M,MATCH('001_population_health_zone_zs'!$B$2,[1]ratio_ins!$B:$B,0))*$G199*INDEX([1]ratio_ins!$C:$C,MATCH('001_population_health_zone_zs'!$B199,[1]ratio_ins!$B:$B,0))</f>
        <v>5547.718656</v>
      </c>
      <c r="P199" s="10">
        <f>INDEX([1]ratio_ins!N:N,MATCH('001_population_health_zone_zs'!$B$2,[1]ratio_ins!$B:$B,0))*$G199*INDEX([1]ratio_ins!$C:$C,MATCH('001_population_health_zone_zs'!$B199,[1]ratio_ins!$B:$B,0))</f>
        <v>5008.3571199999997</v>
      </c>
      <c r="Q199" s="10">
        <f>INDEX([1]ratio_ins!O:O,MATCH('001_population_health_zone_zs'!$B$2,[1]ratio_ins!$B:$B,0))*$G199*INDEX([1]ratio_ins!$C:$C,MATCH('001_population_health_zone_zs'!$B199,[1]ratio_ins!$B:$B,0))</f>
        <v>4468.9955839999993</v>
      </c>
      <c r="R199" s="10">
        <f>INDEX([1]ratio_ins!P:P,MATCH('001_population_health_zone_zs'!$B$2,[1]ratio_ins!$B:$B,0))*$G199*INDEX([1]ratio_ins!$C:$C,MATCH('001_population_health_zone_zs'!$B199,[1]ratio_ins!$B:$B,0))</f>
        <v>4391.9439360000006</v>
      </c>
      <c r="S199" s="10">
        <f>INDEX([1]ratio_ins!Q:Q,MATCH('001_population_health_zone_zs'!$B$2,[1]ratio_ins!$B:$B,0))*$G199*INDEX([1]ratio_ins!$C:$C,MATCH('001_population_health_zone_zs'!$B199,[1]ratio_ins!$B:$B,0))</f>
        <v>3698.479104</v>
      </c>
      <c r="T199" s="10">
        <f>INDEX([1]ratio_ins!R:R,MATCH('001_population_health_zone_zs'!$B$2,[1]ratio_ins!$B:$B,0))*$G199*INDEX([1]ratio_ins!$C:$C,MATCH('001_population_health_zone_zs'!$B199,[1]ratio_ins!$B:$B,0))</f>
        <v>2619.7560320000002</v>
      </c>
      <c r="U199" s="10">
        <f>INDEX([1]ratio_ins!S:S,MATCH('001_population_health_zone_zs'!$B$2,[1]ratio_ins!$B:$B,0))*$G199*INDEX([1]ratio_ins!$C:$C,MATCH('001_population_health_zone_zs'!$B199,[1]ratio_ins!$B:$B,0))</f>
        <v>2080.3944960000003</v>
      </c>
      <c r="V199" s="10">
        <f>INDEX([1]ratio_ins!T:T,MATCH('001_population_health_zone_zs'!$B$2,[1]ratio_ins!$B:$B,0))*$G199*INDEX([1]ratio_ins!$C:$C,MATCH('001_population_health_zone_zs'!$B199,[1]ratio_ins!$B:$B,0))</f>
        <v>1155.7747200000001</v>
      </c>
      <c r="W199" s="11">
        <f>INDEX([1]ratio_ins!U:U,MATCH('001_population_health_zone_zs'!$B$2,[1]ratio_ins!$B:$B,0))*$G199*INDEX([1]ratio_ins!$C:$C,MATCH('001_population_health_zone_zs'!$B199,[1]ratio_ins!$B:$B,0))</f>
        <v>31529.534361600003</v>
      </c>
      <c r="X199" s="10">
        <f>INDEX([1]ratio_ins!V:V,MATCH('001_population_health_zone_zs'!$B$2,[1]ratio_ins!$B:$B,0))*$G199*INDEX([1]ratio_ins!$C:$C,MATCH('001_population_health_zone_zs'!$B199,[1]ratio_ins!$B:$B,0))</f>
        <v>924.619776</v>
      </c>
      <c r="Y199" s="10">
        <f>INDEX([1]ratio_ins!W:W,MATCH('001_population_health_zone_zs'!$B$2,[1]ratio_ins!$B:$B,0))*$G199*INDEX([1]ratio_ins!$C:$C,MATCH('001_population_health_zone_zs'!$B199,[1]ratio_ins!$B:$B,0))</f>
        <v>616.413184</v>
      </c>
      <c r="Z199" s="10">
        <f>INDEX([1]ratio_ins!X:X,MATCH('001_population_health_zone_zs'!$B$2,[1]ratio_ins!$B:$B,0))*$G199*INDEX([1]ratio_ins!$C:$C,MATCH('001_population_health_zone_zs'!$B199,[1]ratio_ins!$B:$B,0))</f>
        <v>308.206592</v>
      </c>
      <c r="AA199" s="10">
        <f>INDEX([1]ratio_ins!Y:Y,MATCH('001_population_health_zone_zs'!$B$2,[1]ratio_ins!$B:$B,0))*$G199*INDEX([1]ratio_ins!$C:$C,MATCH('001_population_health_zone_zs'!$B199,[1]ratio_ins!$B:$B,0))</f>
        <v>154.103296</v>
      </c>
      <c r="AB199" s="11">
        <f>INDEX([1]ratio_ins!Z:Z,MATCH('001_population_health_zone_zs'!$B$2,[1]ratio_ins!$B:$B,0))*$G199*INDEX([1]ratio_ins!$C:$C,MATCH('001_population_health_zone_zs'!$B199,[1]ratio_ins!$B:$B,0))</f>
        <v>2003.342848</v>
      </c>
      <c r="AC199" s="12">
        <f t="shared" si="18"/>
        <v>77051.648000000001</v>
      </c>
      <c r="AD199" s="10">
        <f>INDEX([1]ratio_ins!AA:AA,MATCH('001_population_health_zone_zs'!$B$2,[1]ratio_ins!$B:$B,0))*$G199*INDEX([1]ratio_ins!$D:$D,MATCH('001_population_health_zone_zs'!$B199,[1]ratio_ins!$B:$B,0))</f>
        <v>16774.033919999998</v>
      </c>
      <c r="AE199" s="10">
        <f>INDEX([1]ratio_ins!AB:AB,MATCH('001_population_health_zone_zs'!$B$2,[1]ratio_ins!$B:$B,0))*$G199*INDEX([1]ratio_ins!$D:$D,MATCH('001_population_health_zone_zs'!$B199,[1]ratio_ins!$B:$B,0))</f>
        <v>13818.608896000002</v>
      </c>
      <c r="AF199" s="10">
        <f>INDEX([1]ratio_ins!AC:AC,MATCH('001_population_health_zone_zs'!$B$2,[1]ratio_ins!$B:$B,0))*$G199*INDEX([1]ratio_ins!$D:$D,MATCH('001_population_health_zone_zs'!$B199,[1]ratio_ins!$B:$B,0))</f>
        <v>10943.060223999999</v>
      </c>
      <c r="AG199" s="10">
        <f>INDEX([1]ratio_ins!AD:AD,MATCH('001_population_health_zone_zs'!$B$2,[1]ratio_ins!$B:$B,0))*$G199*INDEX([1]ratio_ins!$D:$D,MATCH('001_population_health_zone_zs'!$B199,[1]ratio_ins!$B:$B,0))</f>
        <v>6629.7372160000004</v>
      </c>
      <c r="AH199" s="10">
        <f>INDEX([1]ratio_ins!AE:AE,MATCH('001_population_health_zone_zs'!$B$2,[1]ratio_ins!$B:$B,0))*$G199*INDEX([1]ratio_ins!$D:$D,MATCH('001_population_health_zone_zs'!$B199,[1]ratio_ins!$B:$B,0))</f>
        <v>3977.8423295999996</v>
      </c>
      <c r="AI199" s="13">
        <f>INDEX([1]ratio_ins!AF:AF,MATCH('001_population_health_zone_zs'!$B$2,[1]ratio_ins!$B:$B,0))*$G199*INDEX([1]ratio_ins!$D:$D,MATCH('001_population_health_zone_zs'!$B199,[1]ratio_ins!$B:$B,0))</f>
        <v>45513.545369599997</v>
      </c>
      <c r="AJ199" s="10">
        <f>INDEX([1]ratio_ins!AG:AG,MATCH('001_population_health_zone_zs'!$B$2,[1]ratio_ins!$B:$B,0))*$G199*INDEX([1]ratio_ins!$D:$D,MATCH('001_population_health_zone_zs'!$B199,[1]ratio_ins!$B:$B,0))</f>
        <v>2651.8948864000004</v>
      </c>
      <c r="AK199" s="10">
        <f>INDEX([1]ratio_ins!AH:AH,MATCH('001_population_health_zone_zs'!$B$2,[1]ratio_ins!$B:$B,0))*$G199*INDEX([1]ratio_ins!$D:$D,MATCH('001_population_health_zone_zs'!$B199,[1]ratio_ins!$B:$B,0))</f>
        <v>5910.8500480000012</v>
      </c>
      <c r="AL199" s="10">
        <f>INDEX([1]ratio_ins!AI:AI,MATCH('001_population_health_zone_zs'!$B$2,[1]ratio_ins!$B:$B,0))*$G199*INDEX([1]ratio_ins!$D:$D,MATCH('001_population_health_zone_zs'!$B199,[1]ratio_ins!$B:$B,0))</f>
        <v>5591.3446400000003</v>
      </c>
      <c r="AM199" s="10">
        <f>INDEX([1]ratio_ins!AJ:AJ,MATCH('001_population_health_zone_zs'!$B$2,[1]ratio_ins!$B:$B,0))*$G199*INDEX([1]ratio_ins!$D:$D,MATCH('001_population_health_zone_zs'!$B199,[1]ratio_ins!$B:$B,0))</f>
        <v>5112.0865279999998</v>
      </c>
      <c r="AN199" s="10">
        <f>INDEX([1]ratio_ins!AK:AK,MATCH('001_population_health_zone_zs'!$B$2,[1]ratio_ins!$B:$B,0))*$G199*INDEX([1]ratio_ins!$D:$D,MATCH('001_population_health_zone_zs'!$B199,[1]ratio_ins!$B:$B,0))</f>
        <v>4792.5811199999998</v>
      </c>
      <c r="AO199" s="10">
        <f>INDEX([1]ratio_ins!AL:AL,MATCH('001_population_health_zone_zs'!$B$2,[1]ratio_ins!$B:$B,0))*$G199*INDEX([1]ratio_ins!$D:$D,MATCH('001_population_health_zone_zs'!$B199,[1]ratio_ins!$B:$B,0))</f>
        <v>3594.4358399999996</v>
      </c>
      <c r="AP199" s="10">
        <f>INDEX([1]ratio_ins!AM:AM,MATCH('001_population_health_zone_zs'!$B$2,[1]ratio_ins!$B:$B,0))*$G199*INDEX([1]ratio_ins!$D:$D,MATCH('001_population_health_zone_zs'!$B199,[1]ratio_ins!$B:$B,0))</f>
        <v>2316.4142079999997</v>
      </c>
      <c r="AQ199" s="10">
        <f>INDEX([1]ratio_ins!AN:AN,MATCH('001_population_health_zone_zs'!$B$2,[1]ratio_ins!$B:$B,0))*$G199*INDEX([1]ratio_ins!$D:$D,MATCH('001_population_health_zone_zs'!$B199,[1]ratio_ins!$B:$B,0))</f>
        <v>1837.1560960000002</v>
      </c>
      <c r="AR199" s="10">
        <f>INDEX([1]ratio_ins!AO:AO,MATCH('001_population_health_zone_zs'!$B$2,[1]ratio_ins!$B:$B,0))*$G199*INDEX([1]ratio_ins!$D:$D,MATCH('001_population_health_zone_zs'!$B199,[1]ratio_ins!$B:$B,0))</f>
        <v>878.63987200000008</v>
      </c>
      <c r="AS199" s="13">
        <f>INDEX([1]ratio_ins!AP:AP,MATCH('001_population_health_zone_zs'!$B$2,[1]ratio_ins!$B:$B,0))*$G199*INDEX([1]ratio_ins!$D:$D,MATCH('001_population_health_zone_zs'!$B199,[1]ratio_ins!$B:$B,0))</f>
        <v>32685.403238400002</v>
      </c>
      <c r="AT199" s="10">
        <f>INDEX([1]ratio_ins!AQ:AQ,MATCH('001_population_health_zone_zs'!$B$2,[1]ratio_ins!$B:$B,0))*$G199*INDEX([1]ratio_ins!$D:$D,MATCH('001_population_health_zone_zs'!$B199,[1]ratio_ins!$B:$B,0))</f>
        <v>798.76351999999997</v>
      </c>
      <c r="AU199" s="10">
        <f>INDEX([1]ratio_ins!AR:AR,MATCH('001_population_health_zone_zs'!$B$2,[1]ratio_ins!$B:$B,0))*$G199*INDEX([1]ratio_ins!$D:$D,MATCH('001_population_health_zone_zs'!$B199,[1]ratio_ins!$B:$B,0))</f>
        <v>479.25811199999998</v>
      </c>
      <c r="AV199" s="10">
        <f>INDEX([1]ratio_ins!AS:AS,MATCH('001_population_health_zone_zs'!$B$2,[1]ratio_ins!$B:$B,0))*$G199*INDEX([1]ratio_ins!$D:$D,MATCH('001_population_health_zone_zs'!$B199,[1]ratio_ins!$B:$B,0))</f>
        <v>239.62905599999999</v>
      </c>
      <c r="AW199" s="10">
        <f>INDEX([1]ratio_ins!AT:AT,MATCH('001_population_health_zone_zs'!$B$2,[1]ratio_ins!$B:$B,0))*$G199*INDEX([1]ratio_ins!$D:$D,MATCH('001_population_health_zone_zs'!$B199,[1]ratio_ins!$B:$B,0))</f>
        <v>159.75270399999999</v>
      </c>
      <c r="AX199" s="13">
        <f>INDEX([1]ratio_ins!AU:AU,MATCH('001_population_health_zone_zs'!$B$2,[1]ratio_ins!$B:$B,0))*$G199*INDEX([1]ratio_ins!$D:$D,MATCH('001_population_health_zone_zs'!$B199,[1]ratio_ins!$B:$B,0))</f>
        <v>1677.4033919999999</v>
      </c>
      <c r="AY199" s="14">
        <f t="shared" si="19"/>
        <v>79876.351999999999</v>
      </c>
      <c r="AZ199" s="15">
        <f t="shared" si="20"/>
        <v>156928</v>
      </c>
      <c r="BA199" s="16">
        <v>152673.46453594766</v>
      </c>
      <c r="BB199" s="10">
        <f t="shared" si="21"/>
        <v>33947.4496</v>
      </c>
      <c r="BC199" s="17">
        <f t="shared" si="22"/>
        <v>0.21632499999999999</v>
      </c>
      <c r="BD199" s="10">
        <f t="shared" si="23"/>
        <v>32130.537216000001</v>
      </c>
    </row>
    <row r="200" spans="1:56" x14ac:dyDescent="0.25">
      <c r="A200" s="8" t="s">
        <v>470</v>
      </c>
      <c r="B200" s="8" t="s">
        <v>471</v>
      </c>
      <c r="C200" s="8" t="s">
        <v>495</v>
      </c>
      <c r="D200" s="8" t="s">
        <v>496</v>
      </c>
      <c r="E200" s="8" t="s">
        <v>498</v>
      </c>
      <c r="F200" s="8" t="s">
        <v>499</v>
      </c>
      <c r="G200" s="9">
        <v>164712</v>
      </c>
      <c r="H200" s="10">
        <f>INDEX([1]ratio_ins!F:F,MATCH('001_population_health_zone_zs'!$B$2,[1]ratio_ins!$B:$B,0))*$G200*INDEX([1]ratio_ins!$C:$C,MATCH('001_population_health_zone_zs'!$B200,[1]ratio_ins!$B:$B,0))</f>
        <v>16902.580727999997</v>
      </c>
      <c r="I200" s="10">
        <f>INDEX([1]ratio_ins!G:G,MATCH('001_population_health_zone_zs'!$B$2,[1]ratio_ins!$B:$B,0))*$G200*INDEX([1]ratio_ins!$C:$C,MATCH('001_population_health_zone_zs'!$B200,[1]ratio_ins!$B:$B,0))</f>
        <v>13829.384232</v>
      </c>
      <c r="J200" s="10">
        <f>INDEX([1]ratio_ins!H:H,MATCH('001_population_health_zone_zs'!$B$2,[1]ratio_ins!$B:$B,0))*$G200*INDEX([1]ratio_ins!$C:$C,MATCH('001_population_health_zone_zs'!$B200,[1]ratio_ins!$B:$B,0))</f>
        <v>10917.934920000002</v>
      </c>
      <c r="K200" s="10">
        <f>INDEX([1]ratio_ins!I:I,MATCH('001_population_health_zone_zs'!$B$2,[1]ratio_ins!$B:$B,0))*$G200*INDEX([1]ratio_ins!$C:$C,MATCH('001_population_health_zone_zs'!$B200,[1]ratio_ins!$B:$B,0))</f>
        <v>6712.5081360000004</v>
      </c>
      <c r="L200" s="10">
        <f>INDEX([1]ratio_ins!J:J,MATCH('001_population_health_zone_zs'!$B$2,[1]ratio_ins!$B:$B,0))*$G200*INDEX([1]ratio_ins!$C:$C,MATCH('001_population_health_zone_zs'!$B200,[1]ratio_ins!$B:$B,0))</f>
        <v>4027.5048815999994</v>
      </c>
      <c r="M200" s="11">
        <f>INDEX([1]ratio_ins!K:K,MATCH('001_population_health_zone_zs'!$B$2,[1]ratio_ins!$B:$B,0))*$G200*INDEX([1]ratio_ins!$C:$C,MATCH('001_population_health_zone_zs'!$B200,[1]ratio_ins!$B:$B,0))</f>
        <v>45677.404761599995</v>
      </c>
      <c r="N200" s="10">
        <f>INDEX([1]ratio_ins!L:L,MATCH('001_population_health_zone_zs'!$B$2,[1]ratio_ins!$B:$B,0))*$G200*INDEX([1]ratio_ins!$C:$C,MATCH('001_population_health_zone_zs'!$B200,[1]ratio_ins!$B:$B,0))</f>
        <v>2685.0032544000001</v>
      </c>
      <c r="O200" s="10">
        <f>INDEX([1]ratio_ins!M:M,MATCH('001_population_health_zone_zs'!$B$2,[1]ratio_ins!$B:$B,0))*$G200*INDEX([1]ratio_ins!$C:$C,MATCH('001_population_health_zone_zs'!$B200,[1]ratio_ins!$B:$B,0))</f>
        <v>5822.8986240000004</v>
      </c>
      <c r="P200" s="10">
        <f>INDEX([1]ratio_ins!N:N,MATCH('001_population_health_zone_zs'!$B$2,[1]ratio_ins!$B:$B,0))*$G200*INDEX([1]ratio_ins!$C:$C,MATCH('001_population_health_zone_zs'!$B200,[1]ratio_ins!$B:$B,0))</f>
        <v>5256.7834800000001</v>
      </c>
      <c r="Q200" s="10">
        <f>INDEX([1]ratio_ins!O:O,MATCH('001_population_health_zone_zs'!$B$2,[1]ratio_ins!$B:$B,0))*$G200*INDEX([1]ratio_ins!$C:$C,MATCH('001_population_health_zone_zs'!$B200,[1]ratio_ins!$B:$B,0))</f>
        <v>4690.6683359999988</v>
      </c>
      <c r="R200" s="10">
        <f>INDEX([1]ratio_ins!P:P,MATCH('001_population_health_zone_zs'!$B$2,[1]ratio_ins!$B:$B,0))*$G200*INDEX([1]ratio_ins!$C:$C,MATCH('001_population_health_zone_zs'!$B200,[1]ratio_ins!$B:$B,0))</f>
        <v>4609.7947440000007</v>
      </c>
      <c r="S200" s="10">
        <f>INDEX([1]ratio_ins!Q:Q,MATCH('001_population_health_zone_zs'!$B$2,[1]ratio_ins!$B:$B,0))*$G200*INDEX([1]ratio_ins!$C:$C,MATCH('001_population_health_zone_zs'!$B200,[1]ratio_ins!$B:$B,0))</f>
        <v>3881.9324160000001</v>
      </c>
      <c r="T200" s="10">
        <f>INDEX([1]ratio_ins!R:R,MATCH('001_population_health_zone_zs'!$B$2,[1]ratio_ins!$B:$B,0))*$G200*INDEX([1]ratio_ins!$C:$C,MATCH('001_population_health_zone_zs'!$B200,[1]ratio_ins!$B:$B,0))</f>
        <v>2749.7021280000004</v>
      </c>
      <c r="U200" s="10">
        <f>INDEX([1]ratio_ins!S:S,MATCH('001_population_health_zone_zs'!$B$2,[1]ratio_ins!$B:$B,0))*$G200*INDEX([1]ratio_ins!$C:$C,MATCH('001_population_health_zone_zs'!$B200,[1]ratio_ins!$B:$B,0))</f>
        <v>2183.586984</v>
      </c>
      <c r="V200" s="10">
        <f>INDEX([1]ratio_ins!T:T,MATCH('001_population_health_zone_zs'!$B$2,[1]ratio_ins!$B:$B,0))*$G200*INDEX([1]ratio_ins!$C:$C,MATCH('001_population_health_zone_zs'!$B200,[1]ratio_ins!$B:$B,0))</f>
        <v>1213.1038799999999</v>
      </c>
      <c r="W200" s="11">
        <f>INDEX([1]ratio_ins!U:U,MATCH('001_population_health_zone_zs'!$B$2,[1]ratio_ins!$B:$B,0))*$G200*INDEX([1]ratio_ins!$C:$C,MATCH('001_population_health_zone_zs'!$B200,[1]ratio_ins!$B:$B,0))</f>
        <v>33093.473846399997</v>
      </c>
      <c r="X200" s="10">
        <f>INDEX([1]ratio_ins!V:V,MATCH('001_population_health_zone_zs'!$B$2,[1]ratio_ins!$B:$B,0))*$G200*INDEX([1]ratio_ins!$C:$C,MATCH('001_population_health_zone_zs'!$B200,[1]ratio_ins!$B:$B,0))</f>
        <v>970.48310400000003</v>
      </c>
      <c r="Y200" s="10">
        <f>INDEX([1]ratio_ins!W:W,MATCH('001_population_health_zone_zs'!$B$2,[1]ratio_ins!$B:$B,0))*$G200*INDEX([1]ratio_ins!$C:$C,MATCH('001_population_health_zone_zs'!$B200,[1]ratio_ins!$B:$B,0))</f>
        <v>646.98873600000002</v>
      </c>
      <c r="Z200" s="10">
        <f>INDEX([1]ratio_ins!X:X,MATCH('001_population_health_zone_zs'!$B$2,[1]ratio_ins!$B:$B,0))*$G200*INDEX([1]ratio_ins!$C:$C,MATCH('001_population_health_zone_zs'!$B200,[1]ratio_ins!$B:$B,0))</f>
        <v>323.49436800000001</v>
      </c>
      <c r="AA200" s="10">
        <f>INDEX([1]ratio_ins!Y:Y,MATCH('001_population_health_zone_zs'!$B$2,[1]ratio_ins!$B:$B,0))*$G200*INDEX([1]ratio_ins!$C:$C,MATCH('001_population_health_zone_zs'!$B200,[1]ratio_ins!$B:$B,0))</f>
        <v>161.747184</v>
      </c>
      <c r="AB200" s="11">
        <f>INDEX([1]ratio_ins!Z:Z,MATCH('001_population_health_zone_zs'!$B$2,[1]ratio_ins!$B:$B,0))*$G200*INDEX([1]ratio_ins!$C:$C,MATCH('001_population_health_zone_zs'!$B200,[1]ratio_ins!$B:$B,0))</f>
        <v>2102.7133920000001</v>
      </c>
      <c r="AC200" s="12">
        <f t="shared" si="18"/>
        <v>80873.592000000004</v>
      </c>
      <c r="AD200" s="10">
        <f>INDEX([1]ratio_ins!AA:AA,MATCH('001_population_health_zone_zs'!$B$2,[1]ratio_ins!$B:$B,0))*$G200*INDEX([1]ratio_ins!$D:$D,MATCH('001_population_health_zone_zs'!$B200,[1]ratio_ins!$B:$B,0))</f>
        <v>17606.06568</v>
      </c>
      <c r="AE200" s="10">
        <f>INDEX([1]ratio_ins!AB:AB,MATCH('001_population_health_zone_zs'!$B$2,[1]ratio_ins!$B:$B,0))*$G200*INDEX([1]ratio_ins!$D:$D,MATCH('001_population_health_zone_zs'!$B200,[1]ratio_ins!$B:$B,0))</f>
        <v>14504.044584000001</v>
      </c>
      <c r="AF200" s="10">
        <f>INDEX([1]ratio_ins!AC:AC,MATCH('001_population_health_zone_zs'!$B$2,[1]ratio_ins!$B:$B,0))*$G200*INDEX([1]ratio_ins!$D:$D,MATCH('001_population_health_zone_zs'!$B200,[1]ratio_ins!$B:$B,0))</f>
        <v>11485.861895999999</v>
      </c>
      <c r="AG200" s="10">
        <f>INDEX([1]ratio_ins!AD:AD,MATCH('001_population_health_zone_zs'!$B$2,[1]ratio_ins!$B:$B,0))*$G200*INDEX([1]ratio_ins!$D:$D,MATCH('001_population_health_zone_zs'!$B200,[1]ratio_ins!$B:$B,0))</f>
        <v>6958.587864000001</v>
      </c>
      <c r="AH200" s="10">
        <f>INDEX([1]ratio_ins!AE:AE,MATCH('001_population_health_zone_zs'!$B$2,[1]ratio_ins!$B:$B,0))*$G200*INDEX([1]ratio_ins!$D:$D,MATCH('001_population_health_zone_zs'!$B200,[1]ratio_ins!$B:$B,0))</f>
        <v>4175.1527183999997</v>
      </c>
      <c r="AI200" s="13">
        <f>INDEX([1]ratio_ins!AF:AF,MATCH('001_population_health_zone_zs'!$B$2,[1]ratio_ins!$B:$B,0))*$G200*INDEX([1]ratio_ins!$D:$D,MATCH('001_population_health_zone_zs'!$B200,[1]ratio_ins!$B:$B,0))</f>
        <v>47771.124878399998</v>
      </c>
      <c r="AJ200" s="10">
        <f>INDEX([1]ratio_ins!AG:AG,MATCH('001_population_health_zone_zs'!$B$2,[1]ratio_ins!$B:$B,0))*$G200*INDEX([1]ratio_ins!$D:$D,MATCH('001_population_health_zone_zs'!$B200,[1]ratio_ins!$B:$B,0))</f>
        <v>2783.4351455999999</v>
      </c>
      <c r="AK200" s="10">
        <f>INDEX([1]ratio_ins!AH:AH,MATCH('001_population_health_zone_zs'!$B$2,[1]ratio_ins!$B:$B,0))*$G200*INDEX([1]ratio_ins!$D:$D,MATCH('001_population_health_zone_zs'!$B200,[1]ratio_ins!$B:$B,0))</f>
        <v>6204.0421920000008</v>
      </c>
      <c r="AL200" s="10">
        <f>INDEX([1]ratio_ins!AI:AI,MATCH('001_population_health_zone_zs'!$B$2,[1]ratio_ins!$B:$B,0))*$G200*INDEX([1]ratio_ins!$D:$D,MATCH('001_population_health_zone_zs'!$B200,[1]ratio_ins!$B:$B,0))</f>
        <v>5868.6885600000014</v>
      </c>
      <c r="AM200" s="10">
        <f>INDEX([1]ratio_ins!AJ:AJ,MATCH('001_population_health_zone_zs'!$B$2,[1]ratio_ins!$B:$B,0))*$G200*INDEX([1]ratio_ins!$D:$D,MATCH('001_population_health_zone_zs'!$B200,[1]ratio_ins!$B:$B,0))</f>
        <v>5365.658112000001</v>
      </c>
      <c r="AN200" s="10">
        <f>INDEX([1]ratio_ins!AK:AK,MATCH('001_population_health_zone_zs'!$B$2,[1]ratio_ins!$B:$B,0))*$G200*INDEX([1]ratio_ins!$D:$D,MATCH('001_population_health_zone_zs'!$B200,[1]ratio_ins!$B:$B,0))</f>
        <v>5030.3044799999998</v>
      </c>
      <c r="AO200" s="10">
        <f>INDEX([1]ratio_ins!AL:AL,MATCH('001_population_health_zone_zs'!$B$2,[1]ratio_ins!$B:$B,0))*$G200*INDEX([1]ratio_ins!$D:$D,MATCH('001_population_health_zone_zs'!$B200,[1]ratio_ins!$B:$B,0))</f>
        <v>3772.7283600000001</v>
      </c>
      <c r="AP200" s="10">
        <f>INDEX([1]ratio_ins!AM:AM,MATCH('001_population_health_zone_zs'!$B$2,[1]ratio_ins!$B:$B,0))*$G200*INDEX([1]ratio_ins!$D:$D,MATCH('001_population_health_zone_zs'!$B200,[1]ratio_ins!$B:$B,0))</f>
        <v>2431.3138319999998</v>
      </c>
      <c r="AQ200" s="10">
        <f>INDEX([1]ratio_ins!AN:AN,MATCH('001_population_health_zone_zs'!$B$2,[1]ratio_ins!$B:$B,0))*$G200*INDEX([1]ratio_ins!$D:$D,MATCH('001_population_health_zone_zs'!$B200,[1]ratio_ins!$B:$B,0))</f>
        <v>1928.2833839999998</v>
      </c>
      <c r="AR200" s="10">
        <f>INDEX([1]ratio_ins!AO:AO,MATCH('001_population_health_zone_zs'!$B$2,[1]ratio_ins!$B:$B,0))*$G200*INDEX([1]ratio_ins!$D:$D,MATCH('001_population_health_zone_zs'!$B200,[1]ratio_ins!$B:$B,0))</f>
        <v>922.22248800000011</v>
      </c>
      <c r="AS200" s="13">
        <f>INDEX([1]ratio_ins!AP:AP,MATCH('001_population_health_zone_zs'!$B$2,[1]ratio_ins!$B:$B,0))*$G200*INDEX([1]ratio_ins!$D:$D,MATCH('001_population_health_zone_zs'!$B200,[1]ratio_ins!$B:$B,0))</f>
        <v>34306.676553600002</v>
      </c>
      <c r="AT200" s="10">
        <f>INDEX([1]ratio_ins!AQ:AQ,MATCH('001_population_health_zone_zs'!$B$2,[1]ratio_ins!$B:$B,0))*$G200*INDEX([1]ratio_ins!$D:$D,MATCH('001_population_health_zone_zs'!$B200,[1]ratio_ins!$B:$B,0))</f>
        <v>838.38408000000004</v>
      </c>
      <c r="AU200" s="10">
        <f>INDEX([1]ratio_ins!AR:AR,MATCH('001_population_health_zone_zs'!$B$2,[1]ratio_ins!$B:$B,0))*$G200*INDEX([1]ratio_ins!$D:$D,MATCH('001_population_health_zone_zs'!$B200,[1]ratio_ins!$B:$B,0))</f>
        <v>503.03044800000004</v>
      </c>
      <c r="AV200" s="10">
        <f>INDEX([1]ratio_ins!AS:AS,MATCH('001_population_health_zone_zs'!$B$2,[1]ratio_ins!$B:$B,0))*$G200*INDEX([1]ratio_ins!$D:$D,MATCH('001_population_health_zone_zs'!$B200,[1]ratio_ins!$B:$B,0))</f>
        <v>251.51522400000002</v>
      </c>
      <c r="AW200" s="10">
        <f>INDEX([1]ratio_ins!AT:AT,MATCH('001_population_health_zone_zs'!$B$2,[1]ratio_ins!$B:$B,0))*$G200*INDEX([1]ratio_ins!$D:$D,MATCH('001_population_health_zone_zs'!$B200,[1]ratio_ins!$B:$B,0))</f>
        <v>167.67681600000003</v>
      </c>
      <c r="AX200" s="13">
        <f>INDEX([1]ratio_ins!AU:AU,MATCH('001_population_health_zone_zs'!$B$2,[1]ratio_ins!$B:$B,0))*$G200*INDEX([1]ratio_ins!$D:$D,MATCH('001_population_health_zone_zs'!$B200,[1]ratio_ins!$B:$B,0))</f>
        <v>1760.6065679999999</v>
      </c>
      <c r="AY200" s="14">
        <f t="shared" si="19"/>
        <v>83838.40800000001</v>
      </c>
      <c r="AZ200" s="15">
        <f t="shared" si="20"/>
        <v>164712</v>
      </c>
      <c r="BA200" s="16">
        <v>160247.01913861587</v>
      </c>
      <c r="BB200" s="10">
        <f t="shared" si="21"/>
        <v>35631.323400000001</v>
      </c>
      <c r="BC200" s="17">
        <f t="shared" si="22"/>
        <v>0.21632500000000002</v>
      </c>
      <c r="BD200" s="10">
        <f t="shared" si="23"/>
        <v>33724.287863999998</v>
      </c>
    </row>
    <row r="201" spans="1:56" x14ac:dyDescent="0.25">
      <c r="A201" s="8" t="s">
        <v>470</v>
      </c>
      <c r="B201" s="8" t="s">
        <v>471</v>
      </c>
      <c r="C201" s="8" t="s">
        <v>495</v>
      </c>
      <c r="D201" s="8" t="s">
        <v>496</v>
      </c>
      <c r="E201" s="8" t="s">
        <v>500</v>
      </c>
      <c r="F201" s="8" t="s">
        <v>501</v>
      </c>
      <c r="G201" s="9">
        <v>84092</v>
      </c>
      <c r="H201" s="10">
        <f>INDEX([1]ratio_ins!F:F,MATCH('001_population_health_zone_zs'!$B$2,[1]ratio_ins!$B:$B,0))*$G201*INDEX([1]ratio_ins!$C:$C,MATCH('001_population_health_zone_zs'!$B201,[1]ratio_ins!$B:$B,0))</f>
        <v>8629.4369479999987</v>
      </c>
      <c r="I201" s="10">
        <f>INDEX([1]ratio_ins!G:G,MATCH('001_population_health_zone_zs'!$B$2,[1]ratio_ins!$B:$B,0))*$G201*INDEX([1]ratio_ins!$C:$C,MATCH('001_population_health_zone_zs'!$B201,[1]ratio_ins!$B:$B,0))</f>
        <v>7060.4484120000006</v>
      </c>
      <c r="J201" s="10">
        <f>INDEX([1]ratio_ins!H:H,MATCH('001_population_health_zone_zs'!$B$2,[1]ratio_ins!$B:$B,0))*$G201*INDEX([1]ratio_ins!$C:$C,MATCH('001_population_health_zone_zs'!$B201,[1]ratio_ins!$B:$B,0))</f>
        <v>5574.0382200000004</v>
      </c>
      <c r="K201" s="10">
        <f>INDEX([1]ratio_ins!I:I,MATCH('001_population_health_zone_zs'!$B$2,[1]ratio_ins!$B:$B,0))*$G201*INDEX([1]ratio_ins!$C:$C,MATCH('001_population_health_zone_zs'!$B201,[1]ratio_ins!$B:$B,0))</f>
        <v>3427.001276</v>
      </c>
      <c r="L201" s="10">
        <f>INDEX([1]ratio_ins!J:J,MATCH('001_population_health_zone_zs'!$B$2,[1]ratio_ins!$B:$B,0))*$G201*INDEX([1]ratio_ins!$C:$C,MATCH('001_population_health_zone_zs'!$B201,[1]ratio_ins!$B:$B,0))</f>
        <v>2056.2007655999996</v>
      </c>
      <c r="M201" s="11">
        <f>INDEX([1]ratio_ins!K:K,MATCH('001_population_health_zone_zs'!$B$2,[1]ratio_ins!$B:$B,0))*$G201*INDEX([1]ratio_ins!$C:$C,MATCH('001_population_health_zone_zs'!$B201,[1]ratio_ins!$B:$B,0))</f>
        <v>23320.124345600001</v>
      </c>
      <c r="N201" s="10">
        <f>INDEX([1]ratio_ins!L:L,MATCH('001_population_health_zone_zs'!$B$2,[1]ratio_ins!$B:$B,0))*$G201*INDEX([1]ratio_ins!$C:$C,MATCH('001_population_health_zone_zs'!$B201,[1]ratio_ins!$B:$B,0))</f>
        <v>1370.8005104000001</v>
      </c>
      <c r="O201" s="10">
        <f>INDEX([1]ratio_ins!M:M,MATCH('001_population_health_zone_zs'!$B$2,[1]ratio_ins!$B:$B,0))*$G201*INDEX([1]ratio_ins!$C:$C,MATCH('001_population_health_zone_zs'!$B201,[1]ratio_ins!$B:$B,0))</f>
        <v>2972.8203840000001</v>
      </c>
      <c r="P201" s="10">
        <f>INDEX([1]ratio_ins!N:N,MATCH('001_population_health_zone_zs'!$B$2,[1]ratio_ins!$B:$B,0))*$G201*INDEX([1]ratio_ins!$C:$C,MATCH('001_population_health_zone_zs'!$B201,[1]ratio_ins!$B:$B,0))</f>
        <v>2683.7961800000003</v>
      </c>
      <c r="Q201" s="10">
        <f>INDEX([1]ratio_ins!O:O,MATCH('001_population_health_zone_zs'!$B$2,[1]ratio_ins!$B:$B,0))*$G201*INDEX([1]ratio_ins!$C:$C,MATCH('001_population_health_zone_zs'!$B201,[1]ratio_ins!$B:$B,0))</f>
        <v>2394.7719759999995</v>
      </c>
      <c r="R201" s="10">
        <f>INDEX([1]ratio_ins!P:P,MATCH('001_population_health_zone_zs'!$B$2,[1]ratio_ins!$B:$B,0))*$G201*INDEX([1]ratio_ins!$C:$C,MATCH('001_population_health_zone_zs'!$B201,[1]ratio_ins!$B:$B,0))</f>
        <v>2353.4828040000002</v>
      </c>
      <c r="S201" s="10">
        <f>INDEX([1]ratio_ins!Q:Q,MATCH('001_population_health_zone_zs'!$B$2,[1]ratio_ins!$B:$B,0))*$G201*INDEX([1]ratio_ins!$C:$C,MATCH('001_population_health_zone_zs'!$B201,[1]ratio_ins!$B:$B,0))</f>
        <v>1981.8802560000001</v>
      </c>
      <c r="T201" s="10">
        <f>INDEX([1]ratio_ins!R:R,MATCH('001_population_health_zone_zs'!$B$2,[1]ratio_ins!$B:$B,0))*$G201*INDEX([1]ratio_ins!$C:$C,MATCH('001_population_health_zone_zs'!$B201,[1]ratio_ins!$B:$B,0))</f>
        <v>1403.831848</v>
      </c>
      <c r="U201" s="10">
        <f>INDEX([1]ratio_ins!S:S,MATCH('001_population_health_zone_zs'!$B$2,[1]ratio_ins!$B:$B,0))*$G201*INDEX([1]ratio_ins!$C:$C,MATCH('001_population_health_zone_zs'!$B201,[1]ratio_ins!$B:$B,0))</f>
        <v>1114.8076440000002</v>
      </c>
      <c r="V201" s="10">
        <f>INDEX([1]ratio_ins!T:T,MATCH('001_population_health_zone_zs'!$B$2,[1]ratio_ins!$B:$B,0))*$G201*INDEX([1]ratio_ins!$C:$C,MATCH('001_population_health_zone_zs'!$B201,[1]ratio_ins!$B:$B,0))</f>
        <v>619.33757999999989</v>
      </c>
      <c r="W201" s="11">
        <f>INDEX([1]ratio_ins!U:U,MATCH('001_population_health_zone_zs'!$B$2,[1]ratio_ins!$B:$B,0))*$G201*INDEX([1]ratio_ins!$C:$C,MATCH('001_population_health_zone_zs'!$B201,[1]ratio_ins!$B:$B,0))</f>
        <v>16895.529182400001</v>
      </c>
      <c r="X201" s="10">
        <f>INDEX([1]ratio_ins!V:V,MATCH('001_population_health_zone_zs'!$B$2,[1]ratio_ins!$B:$B,0))*$G201*INDEX([1]ratio_ins!$C:$C,MATCH('001_population_health_zone_zs'!$B201,[1]ratio_ins!$B:$B,0))</f>
        <v>495.47006400000004</v>
      </c>
      <c r="Y201" s="10">
        <f>INDEX([1]ratio_ins!W:W,MATCH('001_population_health_zone_zs'!$B$2,[1]ratio_ins!$B:$B,0))*$G201*INDEX([1]ratio_ins!$C:$C,MATCH('001_population_health_zone_zs'!$B201,[1]ratio_ins!$B:$B,0))</f>
        <v>330.31337600000001</v>
      </c>
      <c r="Z201" s="10">
        <f>INDEX([1]ratio_ins!X:X,MATCH('001_population_health_zone_zs'!$B$2,[1]ratio_ins!$B:$B,0))*$G201*INDEX([1]ratio_ins!$C:$C,MATCH('001_population_health_zone_zs'!$B201,[1]ratio_ins!$B:$B,0))</f>
        <v>165.156688</v>
      </c>
      <c r="AA201" s="10">
        <f>INDEX([1]ratio_ins!Y:Y,MATCH('001_population_health_zone_zs'!$B$2,[1]ratio_ins!$B:$B,0))*$G201*INDEX([1]ratio_ins!$C:$C,MATCH('001_population_health_zone_zs'!$B201,[1]ratio_ins!$B:$B,0))</f>
        <v>82.578344000000001</v>
      </c>
      <c r="AB201" s="11">
        <f>INDEX([1]ratio_ins!Z:Z,MATCH('001_population_health_zone_zs'!$B$2,[1]ratio_ins!$B:$B,0))*$G201*INDEX([1]ratio_ins!$C:$C,MATCH('001_population_health_zone_zs'!$B201,[1]ratio_ins!$B:$B,0))</f>
        <v>1073.5184720000002</v>
      </c>
      <c r="AC201" s="12">
        <f t="shared" si="18"/>
        <v>41289.172000000006</v>
      </c>
      <c r="AD201" s="10">
        <f>INDEX([1]ratio_ins!AA:AA,MATCH('001_population_health_zone_zs'!$B$2,[1]ratio_ins!$B:$B,0))*$G201*INDEX([1]ratio_ins!$D:$D,MATCH('001_population_health_zone_zs'!$B201,[1]ratio_ins!$B:$B,0))</f>
        <v>8988.5938800000004</v>
      </c>
      <c r="AE201" s="10">
        <f>INDEX([1]ratio_ins!AB:AB,MATCH('001_population_health_zone_zs'!$B$2,[1]ratio_ins!$B:$B,0))*$G201*INDEX([1]ratio_ins!$D:$D,MATCH('001_population_health_zone_zs'!$B201,[1]ratio_ins!$B:$B,0))</f>
        <v>7404.8892440000009</v>
      </c>
      <c r="AF201" s="10">
        <f>INDEX([1]ratio_ins!AC:AC,MATCH('001_population_health_zone_zs'!$B$2,[1]ratio_ins!$B:$B,0))*$G201*INDEX([1]ratio_ins!$D:$D,MATCH('001_population_health_zone_zs'!$B201,[1]ratio_ins!$B:$B,0))</f>
        <v>5863.9874359999994</v>
      </c>
      <c r="AG201" s="10">
        <f>INDEX([1]ratio_ins!AD:AD,MATCH('001_population_health_zone_zs'!$B$2,[1]ratio_ins!$B:$B,0))*$G201*INDEX([1]ratio_ins!$D:$D,MATCH('001_population_health_zone_zs'!$B201,[1]ratio_ins!$B:$B,0))</f>
        <v>3552.6347240000005</v>
      </c>
      <c r="AH201" s="10">
        <f>INDEX([1]ratio_ins!AE:AE,MATCH('001_population_health_zone_zs'!$B$2,[1]ratio_ins!$B:$B,0))*$G201*INDEX([1]ratio_ins!$D:$D,MATCH('001_population_health_zone_zs'!$B201,[1]ratio_ins!$B:$B,0))</f>
        <v>2131.5808343999997</v>
      </c>
      <c r="AI201" s="13">
        <f>INDEX([1]ratio_ins!AF:AF,MATCH('001_population_health_zone_zs'!$B$2,[1]ratio_ins!$B:$B,0))*$G201*INDEX([1]ratio_ins!$D:$D,MATCH('001_population_health_zone_zs'!$B201,[1]ratio_ins!$B:$B,0))</f>
        <v>24389.051394400001</v>
      </c>
      <c r="AJ201" s="10">
        <f>INDEX([1]ratio_ins!AG:AG,MATCH('001_population_health_zone_zs'!$B$2,[1]ratio_ins!$B:$B,0))*$G201*INDEX([1]ratio_ins!$D:$D,MATCH('001_population_health_zone_zs'!$B201,[1]ratio_ins!$B:$B,0))</f>
        <v>1421.0538896</v>
      </c>
      <c r="AK201" s="10">
        <f>INDEX([1]ratio_ins!AH:AH,MATCH('001_population_health_zone_zs'!$B$2,[1]ratio_ins!$B:$B,0))*$G201*INDEX([1]ratio_ins!$D:$D,MATCH('001_population_health_zone_zs'!$B201,[1]ratio_ins!$B:$B,0))</f>
        <v>3167.4092720000003</v>
      </c>
      <c r="AL201" s="10">
        <f>INDEX([1]ratio_ins!AI:AI,MATCH('001_population_health_zone_zs'!$B$2,[1]ratio_ins!$B:$B,0))*$G201*INDEX([1]ratio_ins!$D:$D,MATCH('001_population_health_zone_zs'!$B201,[1]ratio_ins!$B:$B,0))</f>
        <v>2996.1979600000004</v>
      </c>
      <c r="AM201" s="10">
        <f>INDEX([1]ratio_ins!AJ:AJ,MATCH('001_population_health_zone_zs'!$B$2,[1]ratio_ins!$B:$B,0))*$G201*INDEX([1]ratio_ins!$D:$D,MATCH('001_population_health_zone_zs'!$B201,[1]ratio_ins!$B:$B,0))</f>
        <v>2739.3809919999999</v>
      </c>
      <c r="AN201" s="10">
        <f>INDEX([1]ratio_ins!AK:AK,MATCH('001_population_health_zone_zs'!$B$2,[1]ratio_ins!$B:$B,0))*$G201*INDEX([1]ratio_ins!$D:$D,MATCH('001_population_health_zone_zs'!$B201,[1]ratio_ins!$B:$B,0))</f>
        <v>2568.16968</v>
      </c>
      <c r="AO201" s="10">
        <f>INDEX([1]ratio_ins!AL:AL,MATCH('001_population_health_zone_zs'!$B$2,[1]ratio_ins!$B:$B,0))*$G201*INDEX([1]ratio_ins!$D:$D,MATCH('001_population_health_zone_zs'!$B201,[1]ratio_ins!$B:$B,0))</f>
        <v>1926.12726</v>
      </c>
      <c r="AP201" s="10">
        <f>INDEX([1]ratio_ins!AM:AM,MATCH('001_population_health_zone_zs'!$B$2,[1]ratio_ins!$B:$B,0))*$G201*INDEX([1]ratio_ins!$D:$D,MATCH('001_population_health_zone_zs'!$B201,[1]ratio_ins!$B:$B,0))</f>
        <v>1241.2820119999999</v>
      </c>
      <c r="AQ201" s="10">
        <f>INDEX([1]ratio_ins!AN:AN,MATCH('001_population_health_zone_zs'!$B$2,[1]ratio_ins!$B:$B,0))*$G201*INDEX([1]ratio_ins!$D:$D,MATCH('001_population_health_zone_zs'!$B201,[1]ratio_ins!$B:$B,0))</f>
        <v>984.46504400000003</v>
      </c>
      <c r="AR201" s="10">
        <f>INDEX([1]ratio_ins!AO:AO,MATCH('001_population_health_zone_zs'!$B$2,[1]ratio_ins!$B:$B,0))*$G201*INDEX([1]ratio_ins!$D:$D,MATCH('001_population_health_zone_zs'!$B201,[1]ratio_ins!$B:$B,0))</f>
        <v>470.83110800000003</v>
      </c>
      <c r="AS201" s="13">
        <f>INDEX([1]ratio_ins!AP:AP,MATCH('001_population_health_zone_zs'!$B$2,[1]ratio_ins!$B:$B,0))*$G201*INDEX([1]ratio_ins!$D:$D,MATCH('001_population_health_zone_zs'!$B201,[1]ratio_ins!$B:$B,0))</f>
        <v>17514.917217599999</v>
      </c>
      <c r="AT201" s="10">
        <f>INDEX([1]ratio_ins!AQ:AQ,MATCH('001_population_health_zone_zs'!$B$2,[1]ratio_ins!$B:$B,0))*$G201*INDEX([1]ratio_ins!$D:$D,MATCH('001_population_health_zone_zs'!$B201,[1]ratio_ins!$B:$B,0))</f>
        <v>428.02828000000005</v>
      </c>
      <c r="AU201" s="10">
        <f>INDEX([1]ratio_ins!AR:AR,MATCH('001_population_health_zone_zs'!$B$2,[1]ratio_ins!$B:$B,0))*$G201*INDEX([1]ratio_ins!$D:$D,MATCH('001_population_health_zone_zs'!$B201,[1]ratio_ins!$B:$B,0))</f>
        <v>256.81696800000003</v>
      </c>
      <c r="AV201" s="10">
        <f>INDEX([1]ratio_ins!AS:AS,MATCH('001_population_health_zone_zs'!$B$2,[1]ratio_ins!$B:$B,0))*$G201*INDEX([1]ratio_ins!$D:$D,MATCH('001_population_health_zone_zs'!$B201,[1]ratio_ins!$B:$B,0))</f>
        <v>128.40848400000002</v>
      </c>
      <c r="AW201" s="10">
        <f>INDEX([1]ratio_ins!AT:AT,MATCH('001_population_health_zone_zs'!$B$2,[1]ratio_ins!$B:$B,0))*$G201*INDEX([1]ratio_ins!$D:$D,MATCH('001_population_health_zone_zs'!$B201,[1]ratio_ins!$B:$B,0))</f>
        <v>85.605655999999996</v>
      </c>
      <c r="AX201" s="13">
        <f>INDEX([1]ratio_ins!AU:AU,MATCH('001_population_health_zone_zs'!$B$2,[1]ratio_ins!$B:$B,0))*$G201*INDEX([1]ratio_ins!$D:$D,MATCH('001_population_health_zone_zs'!$B201,[1]ratio_ins!$B:$B,0))</f>
        <v>898.85938799999985</v>
      </c>
      <c r="AY201" s="14">
        <f t="shared" si="19"/>
        <v>42802.827999999994</v>
      </c>
      <c r="AZ201" s="15">
        <f t="shared" si="20"/>
        <v>84092</v>
      </c>
      <c r="BA201" s="16">
        <v>81812.660202401603</v>
      </c>
      <c r="BB201" s="10">
        <f t="shared" si="21"/>
        <v>18191.201900000004</v>
      </c>
      <c r="BC201" s="17">
        <f t="shared" si="22"/>
        <v>0.21632500000000005</v>
      </c>
      <c r="BD201" s="10">
        <f t="shared" si="23"/>
        <v>17217.584724</v>
      </c>
    </row>
    <row r="202" spans="1:56" x14ac:dyDescent="0.25">
      <c r="A202" s="8" t="s">
        <v>470</v>
      </c>
      <c r="B202" s="8" t="s">
        <v>471</v>
      </c>
      <c r="C202" s="8" t="s">
        <v>495</v>
      </c>
      <c r="D202" s="8" t="s">
        <v>496</v>
      </c>
      <c r="E202" s="8" t="s">
        <v>502</v>
      </c>
      <c r="F202" s="8" t="s">
        <v>503</v>
      </c>
      <c r="G202" s="9">
        <v>156622</v>
      </c>
      <c r="H202" s="10">
        <f>INDEX([1]ratio_ins!F:F,MATCH('001_population_health_zone_zs'!$B$2,[1]ratio_ins!$B:$B,0))*$G202*INDEX([1]ratio_ins!$C:$C,MATCH('001_population_health_zone_zs'!$B202,[1]ratio_ins!$B:$B,0))</f>
        <v>16072.393017999999</v>
      </c>
      <c r="I202" s="10">
        <f>INDEX([1]ratio_ins!G:G,MATCH('001_population_health_zone_zs'!$B$2,[1]ratio_ins!$B:$B,0))*$G202*INDEX([1]ratio_ins!$C:$C,MATCH('001_population_health_zone_zs'!$B202,[1]ratio_ins!$B:$B,0))</f>
        <v>13150.139741999999</v>
      </c>
      <c r="J202" s="10">
        <f>INDEX([1]ratio_ins!H:H,MATCH('001_population_health_zone_zs'!$B$2,[1]ratio_ins!$B:$B,0))*$G202*INDEX([1]ratio_ins!$C:$C,MATCH('001_population_health_zone_zs'!$B202,[1]ratio_ins!$B:$B,0))</f>
        <v>10381.689270000001</v>
      </c>
      <c r="K202" s="10">
        <f>INDEX([1]ratio_ins!I:I,MATCH('001_population_health_zone_zs'!$B$2,[1]ratio_ins!$B:$B,0))*$G202*INDEX([1]ratio_ins!$C:$C,MATCH('001_population_health_zone_zs'!$B202,[1]ratio_ins!$B:$B,0))</f>
        <v>6382.816366</v>
      </c>
      <c r="L202" s="10">
        <f>INDEX([1]ratio_ins!J:J,MATCH('001_population_health_zone_zs'!$B$2,[1]ratio_ins!$B:$B,0))*$G202*INDEX([1]ratio_ins!$C:$C,MATCH('001_population_health_zone_zs'!$B202,[1]ratio_ins!$B:$B,0))</f>
        <v>3829.6898195999997</v>
      </c>
      <c r="M202" s="11">
        <f>INDEX([1]ratio_ins!K:K,MATCH('001_population_health_zone_zs'!$B$2,[1]ratio_ins!$B:$B,0))*$G202*INDEX([1]ratio_ins!$C:$C,MATCH('001_population_health_zone_zs'!$B202,[1]ratio_ins!$B:$B,0))</f>
        <v>43433.911849599994</v>
      </c>
      <c r="N202" s="10">
        <f>INDEX([1]ratio_ins!L:L,MATCH('001_population_health_zone_zs'!$B$2,[1]ratio_ins!$B:$B,0))*$G202*INDEX([1]ratio_ins!$C:$C,MATCH('001_population_health_zone_zs'!$B202,[1]ratio_ins!$B:$B,0))</f>
        <v>2553.1265464000003</v>
      </c>
      <c r="O202" s="10">
        <f>INDEX([1]ratio_ins!M:M,MATCH('001_population_health_zone_zs'!$B$2,[1]ratio_ins!$B:$B,0))*$G202*INDEX([1]ratio_ins!$C:$C,MATCH('001_population_health_zone_zs'!$B202,[1]ratio_ins!$B:$B,0))</f>
        <v>5536.9009440000009</v>
      </c>
      <c r="P202" s="10">
        <f>INDEX([1]ratio_ins!N:N,MATCH('001_population_health_zone_zs'!$B$2,[1]ratio_ins!$B:$B,0))*$G202*INDEX([1]ratio_ins!$C:$C,MATCH('001_population_health_zone_zs'!$B202,[1]ratio_ins!$B:$B,0))</f>
        <v>4998.5911299999998</v>
      </c>
      <c r="Q202" s="10">
        <f>INDEX([1]ratio_ins!O:O,MATCH('001_population_health_zone_zs'!$B$2,[1]ratio_ins!$B:$B,0))*$G202*INDEX([1]ratio_ins!$C:$C,MATCH('001_population_health_zone_zs'!$B202,[1]ratio_ins!$B:$B,0))</f>
        <v>4460.2813159999996</v>
      </c>
      <c r="R202" s="10">
        <f>INDEX([1]ratio_ins!P:P,MATCH('001_population_health_zone_zs'!$B$2,[1]ratio_ins!$B:$B,0))*$G202*INDEX([1]ratio_ins!$C:$C,MATCH('001_population_health_zone_zs'!$B202,[1]ratio_ins!$B:$B,0))</f>
        <v>4383.3799140000001</v>
      </c>
      <c r="S202" s="10">
        <f>INDEX([1]ratio_ins!Q:Q,MATCH('001_population_health_zone_zs'!$B$2,[1]ratio_ins!$B:$B,0))*$G202*INDEX([1]ratio_ins!$C:$C,MATCH('001_population_health_zone_zs'!$B202,[1]ratio_ins!$B:$B,0))</f>
        <v>3691.267296</v>
      </c>
      <c r="T202" s="10">
        <f>INDEX([1]ratio_ins!R:R,MATCH('001_population_health_zone_zs'!$B$2,[1]ratio_ins!$B:$B,0))*$G202*INDEX([1]ratio_ins!$C:$C,MATCH('001_population_health_zone_zs'!$B202,[1]ratio_ins!$B:$B,0))</f>
        <v>2614.6476680000001</v>
      </c>
      <c r="U202" s="10">
        <f>INDEX([1]ratio_ins!S:S,MATCH('001_population_health_zone_zs'!$B$2,[1]ratio_ins!$B:$B,0))*$G202*INDEX([1]ratio_ins!$C:$C,MATCH('001_population_health_zone_zs'!$B202,[1]ratio_ins!$B:$B,0))</f>
        <v>2076.3378540000003</v>
      </c>
      <c r="V202" s="10">
        <f>INDEX([1]ratio_ins!T:T,MATCH('001_population_health_zone_zs'!$B$2,[1]ratio_ins!$B:$B,0))*$G202*INDEX([1]ratio_ins!$C:$C,MATCH('001_population_health_zone_zs'!$B202,[1]ratio_ins!$B:$B,0))</f>
        <v>1153.5210299999999</v>
      </c>
      <c r="W202" s="11">
        <f>INDEX([1]ratio_ins!U:U,MATCH('001_population_health_zone_zs'!$B$2,[1]ratio_ins!$B:$B,0))*$G202*INDEX([1]ratio_ins!$C:$C,MATCH('001_population_health_zone_zs'!$B202,[1]ratio_ins!$B:$B,0))</f>
        <v>31468.053698399999</v>
      </c>
      <c r="X202" s="10">
        <f>INDEX([1]ratio_ins!V:V,MATCH('001_population_health_zone_zs'!$B$2,[1]ratio_ins!$B:$B,0))*$G202*INDEX([1]ratio_ins!$C:$C,MATCH('001_population_health_zone_zs'!$B202,[1]ratio_ins!$B:$B,0))</f>
        <v>922.816824</v>
      </c>
      <c r="Y202" s="10">
        <f>INDEX([1]ratio_ins!W:W,MATCH('001_population_health_zone_zs'!$B$2,[1]ratio_ins!$B:$B,0))*$G202*INDEX([1]ratio_ins!$C:$C,MATCH('001_population_health_zone_zs'!$B202,[1]ratio_ins!$B:$B,0))</f>
        <v>615.21121600000004</v>
      </c>
      <c r="Z202" s="10">
        <f>INDEX([1]ratio_ins!X:X,MATCH('001_population_health_zone_zs'!$B$2,[1]ratio_ins!$B:$B,0))*$G202*INDEX([1]ratio_ins!$C:$C,MATCH('001_population_health_zone_zs'!$B202,[1]ratio_ins!$B:$B,0))</f>
        <v>307.60560800000002</v>
      </c>
      <c r="AA202" s="10">
        <f>INDEX([1]ratio_ins!Y:Y,MATCH('001_population_health_zone_zs'!$B$2,[1]ratio_ins!$B:$B,0))*$G202*INDEX([1]ratio_ins!$C:$C,MATCH('001_population_health_zone_zs'!$B202,[1]ratio_ins!$B:$B,0))</f>
        <v>153.80280400000001</v>
      </c>
      <c r="AB202" s="11">
        <f>INDEX([1]ratio_ins!Z:Z,MATCH('001_population_health_zone_zs'!$B$2,[1]ratio_ins!$B:$B,0))*$G202*INDEX([1]ratio_ins!$C:$C,MATCH('001_population_health_zone_zs'!$B202,[1]ratio_ins!$B:$B,0))</f>
        <v>1999.4364520000001</v>
      </c>
      <c r="AC202" s="12">
        <f t="shared" si="18"/>
        <v>76901.401999999987</v>
      </c>
      <c r="AD202" s="10">
        <f>INDEX([1]ratio_ins!AA:AA,MATCH('001_population_health_zone_zs'!$B$2,[1]ratio_ins!$B:$B,0))*$G202*INDEX([1]ratio_ins!$D:$D,MATCH('001_population_health_zone_zs'!$B202,[1]ratio_ins!$B:$B,0))</f>
        <v>16741.325579999997</v>
      </c>
      <c r="AE202" s="10">
        <f>INDEX([1]ratio_ins!AB:AB,MATCH('001_population_health_zone_zs'!$B$2,[1]ratio_ins!$B:$B,0))*$G202*INDEX([1]ratio_ins!$D:$D,MATCH('001_population_health_zone_zs'!$B202,[1]ratio_ins!$B:$B,0))</f>
        <v>13791.663454000001</v>
      </c>
      <c r="AF202" s="10">
        <f>INDEX([1]ratio_ins!AC:AC,MATCH('001_population_health_zone_zs'!$B$2,[1]ratio_ins!$B:$B,0))*$G202*INDEX([1]ratio_ins!$D:$D,MATCH('001_population_health_zone_zs'!$B202,[1]ratio_ins!$B:$B,0))</f>
        <v>10921.721925999998</v>
      </c>
      <c r="AG202" s="10">
        <f>INDEX([1]ratio_ins!AD:AD,MATCH('001_population_health_zone_zs'!$B$2,[1]ratio_ins!$B:$B,0))*$G202*INDEX([1]ratio_ins!$D:$D,MATCH('001_population_health_zone_zs'!$B202,[1]ratio_ins!$B:$B,0))</f>
        <v>6616.8096340000002</v>
      </c>
      <c r="AH202" s="10">
        <f>INDEX([1]ratio_ins!AE:AE,MATCH('001_population_health_zone_zs'!$B$2,[1]ratio_ins!$B:$B,0))*$G202*INDEX([1]ratio_ins!$D:$D,MATCH('001_population_health_zone_zs'!$B202,[1]ratio_ins!$B:$B,0))</f>
        <v>3970.0857804000002</v>
      </c>
      <c r="AI202" s="13">
        <f>INDEX([1]ratio_ins!AF:AF,MATCH('001_population_health_zone_zs'!$B$2,[1]ratio_ins!$B:$B,0))*$G202*INDEX([1]ratio_ins!$D:$D,MATCH('001_population_health_zone_zs'!$B202,[1]ratio_ins!$B:$B,0))</f>
        <v>45424.796740400001</v>
      </c>
      <c r="AJ202" s="10">
        <f>INDEX([1]ratio_ins!AG:AG,MATCH('001_population_health_zone_zs'!$B$2,[1]ratio_ins!$B:$B,0))*$G202*INDEX([1]ratio_ins!$D:$D,MATCH('001_population_health_zone_zs'!$B202,[1]ratio_ins!$B:$B,0))</f>
        <v>2646.7238536</v>
      </c>
      <c r="AK202" s="10">
        <f>INDEX([1]ratio_ins!AH:AH,MATCH('001_population_health_zone_zs'!$B$2,[1]ratio_ins!$B:$B,0))*$G202*INDEX([1]ratio_ins!$D:$D,MATCH('001_population_health_zone_zs'!$B202,[1]ratio_ins!$B:$B,0))</f>
        <v>5899.3242520000013</v>
      </c>
      <c r="AL202" s="10">
        <f>INDEX([1]ratio_ins!AI:AI,MATCH('001_population_health_zone_zs'!$B$2,[1]ratio_ins!$B:$B,0))*$G202*INDEX([1]ratio_ins!$D:$D,MATCH('001_population_health_zone_zs'!$B202,[1]ratio_ins!$B:$B,0))</f>
        <v>5580.4418600000008</v>
      </c>
      <c r="AM202" s="10">
        <f>INDEX([1]ratio_ins!AJ:AJ,MATCH('001_population_health_zone_zs'!$B$2,[1]ratio_ins!$B:$B,0))*$G202*INDEX([1]ratio_ins!$D:$D,MATCH('001_population_health_zone_zs'!$B202,[1]ratio_ins!$B:$B,0))</f>
        <v>5102.1182720000006</v>
      </c>
      <c r="AN202" s="10">
        <f>INDEX([1]ratio_ins!AK:AK,MATCH('001_population_health_zone_zs'!$B$2,[1]ratio_ins!$B:$B,0))*$G202*INDEX([1]ratio_ins!$D:$D,MATCH('001_population_health_zone_zs'!$B202,[1]ratio_ins!$B:$B,0))</f>
        <v>4783.2358800000002</v>
      </c>
      <c r="AO202" s="10">
        <f>INDEX([1]ratio_ins!AL:AL,MATCH('001_population_health_zone_zs'!$B$2,[1]ratio_ins!$B:$B,0))*$G202*INDEX([1]ratio_ins!$D:$D,MATCH('001_population_health_zone_zs'!$B202,[1]ratio_ins!$B:$B,0))</f>
        <v>3587.4269100000001</v>
      </c>
      <c r="AP202" s="10">
        <f>INDEX([1]ratio_ins!AM:AM,MATCH('001_population_health_zone_zs'!$B$2,[1]ratio_ins!$B:$B,0))*$G202*INDEX([1]ratio_ins!$D:$D,MATCH('001_population_health_zone_zs'!$B202,[1]ratio_ins!$B:$B,0))</f>
        <v>2311.8973419999998</v>
      </c>
      <c r="AQ202" s="10">
        <f>INDEX([1]ratio_ins!AN:AN,MATCH('001_population_health_zone_zs'!$B$2,[1]ratio_ins!$B:$B,0))*$G202*INDEX([1]ratio_ins!$D:$D,MATCH('001_population_health_zone_zs'!$B202,[1]ratio_ins!$B:$B,0))</f>
        <v>1833.573754</v>
      </c>
      <c r="AR202" s="10">
        <f>INDEX([1]ratio_ins!AO:AO,MATCH('001_population_health_zone_zs'!$B$2,[1]ratio_ins!$B:$B,0))*$G202*INDEX([1]ratio_ins!$D:$D,MATCH('001_population_health_zone_zs'!$B202,[1]ratio_ins!$B:$B,0))</f>
        <v>876.92657800000006</v>
      </c>
      <c r="AS202" s="13">
        <f>INDEX([1]ratio_ins!AP:AP,MATCH('001_population_health_zone_zs'!$B$2,[1]ratio_ins!$B:$B,0))*$G202*INDEX([1]ratio_ins!$D:$D,MATCH('001_population_health_zone_zs'!$B202,[1]ratio_ins!$B:$B,0))</f>
        <v>32621.6687016</v>
      </c>
      <c r="AT202" s="10">
        <f>INDEX([1]ratio_ins!AQ:AQ,MATCH('001_population_health_zone_zs'!$B$2,[1]ratio_ins!$B:$B,0))*$G202*INDEX([1]ratio_ins!$D:$D,MATCH('001_population_health_zone_zs'!$B202,[1]ratio_ins!$B:$B,0))</f>
        <v>797.20598000000007</v>
      </c>
      <c r="AU202" s="10">
        <f>INDEX([1]ratio_ins!AR:AR,MATCH('001_population_health_zone_zs'!$B$2,[1]ratio_ins!$B:$B,0))*$G202*INDEX([1]ratio_ins!$D:$D,MATCH('001_population_health_zone_zs'!$B202,[1]ratio_ins!$B:$B,0))</f>
        <v>478.32358799999997</v>
      </c>
      <c r="AV202" s="10">
        <f>INDEX([1]ratio_ins!AS:AS,MATCH('001_population_health_zone_zs'!$B$2,[1]ratio_ins!$B:$B,0))*$G202*INDEX([1]ratio_ins!$D:$D,MATCH('001_population_health_zone_zs'!$B202,[1]ratio_ins!$B:$B,0))</f>
        <v>239.16179399999999</v>
      </c>
      <c r="AW202" s="10">
        <f>INDEX([1]ratio_ins!AT:AT,MATCH('001_population_health_zone_zs'!$B$2,[1]ratio_ins!$B:$B,0))*$G202*INDEX([1]ratio_ins!$D:$D,MATCH('001_population_health_zone_zs'!$B202,[1]ratio_ins!$B:$B,0))</f>
        <v>159.44119600000002</v>
      </c>
      <c r="AX202" s="13">
        <f>INDEX([1]ratio_ins!AU:AU,MATCH('001_population_health_zone_zs'!$B$2,[1]ratio_ins!$B:$B,0))*$G202*INDEX([1]ratio_ins!$D:$D,MATCH('001_population_health_zone_zs'!$B202,[1]ratio_ins!$B:$B,0))</f>
        <v>1674.1325579999998</v>
      </c>
      <c r="AY202" s="14">
        <f t="shared" si="19"/>
        <v>79720.597999999998</v>
      </c>
      <c r="AZ202" s="15">
        <f t="shared" si="20"/>
        <v>156622</v>
      </c>
      <c r="BA202" s="16">
        <v>152375.91649756598</v>
      </c>
      <c r="BB202" s="10">
        <f t="shared" si="21"/>
        <v>33881.254150000001</v>
      </c>
      <c r="BC202" s="17">
        <f t="shared" si="22"/>
        <v>0.21632500000000002</v>
      </c>
      <c r="BD202" s="10">
        <f t="shared" si="23"/>
        <v>32067.884634000005</v>
      </c>
    </row>
    <row r="203" spans="1:56" x14ac:dyDescent="0.25">
      <c r="A203" s="8" t="s">
        <v>470</v>
      </c>
      <c r="B203" s="8" t="s">
        <v>471</v>
      </c>
      <c r="C203" s="8" t="s">
        <v>504</v>
      </c>
      <c r="D203" s="8" t="s">
        <v>505</v>
      </c>
      <c r="E203" s="8" t="s">
        <v>504</v>
      </c>
      <c r="F203" s="8" t="s">
        <v>506</v>
      </c>
      <c r="G203" s="9">
        <v>181881</v>
      </c>
      <c r="H203" s="10">
        <f>INDEX([1]ratio_ins!F:F,MATCH('001_population_health_zone_zs'!$B$2,[1]ratio_ins!$B:$B,0))*$G203*INDEX([1]ratio_ins!$C:$C,MATCH('001_population_health_zone_zs'!$B203,[1]ratio_ins!$B:$B,0))</f>
        <v>18664.446339000002</v>
      </c>
      <c r="I203" s="10">
        <f>INDEX([1]ratio_ins!G:G,MATCH('001_population_health_zone_zs'!$B$2,[1]ratio_ins!$B:$B,0))*$G203*INDEX([1]ratio_ins!$C:$C,MATCH('001_population_health_zone_zs'!$B203,[1]ratio_ins!$B:$B,0))</f>
        <v>15270.910641</v>
      </c>
      <c r="J203" s="10">
        <f>INDEX([1]ratio_ins!H:H,MATCH('001_population_health_zone_zs'!$B$2,[1]ratio_ins!$B:$B,0))*$G203*INDEX([1]ratio_ins!$C:$C,MATCH('001_population_health_zone_zs'!$B203,[1]ratio_ins!$B:$B,0))</f>
        <v>12055.982085</v>
      </c>
      <c r="K203" s="10">
        <f>INDEX([1]ratio_ins!I:I,MATCH('001_population_health_zone_zs'!$B$2,[1]ratio_ins!$B:$B,0))*$G203*INDEX([1]ratio_ins!$C:$C,MATCH('001_population_health_zone_zs'!$B203,[1]ratio_ins!$B:$B,0))</f>
        <v>7412.1963930000002</v>
      </c>
      <c r="L203" s="10">
        <f>INDEX([1]ratio_ins!J:J,MATCH('001_population_health_zone_zs'!$B$2,[1]ratio_ins!$B:$B,0))*$G203*INDEX([1]ratio_ins!$C:$C,MATCH('001_population_health_zone_zs'!$B203,[1]ratio_ins!$B:$B,0))</f>
        <v>4447.3178357999996</v>
      </c>
      <c r="M203" s="11">
        <f>INDEX([1]ratio_ins!K:K,MATCH('001_population_health_zone_zs'!$B$2,[1]ratio_ins!$B:$B,0))*$G203*INDEX([1]ratio_ins!$C:$C,MATCH('001_population_health_zone_zs'!$B203,[1]ratio_ins!$B:$B,0))</f>
        <v>50438.656900800001</v>
      </c>
      <c r="N203" s="10">
        <f>INDEX([1]ratio_ins!L:L,MATCH('001_population_health_zone_zs'!$B$2,[1]ratio_ins!$B:$B,0))*$G203*INDEX([1]ratio_ins!$C:$C,MATCH('001_population_health_zone_zs'!$B203,[1]ratio_ins!$B:$B,0))</f>
        <v>2964.8785572000002</v>
      </c>
      <c r="O203" s="10">
        <f>INDEX([1]ratio_ins!M:M,MATCH('001_population_health_zone_zs'!$B$2,[1]ratio_ins!$B:$B,0))*$G203*INDEX([1]ratio_ins!$C:$C,MATCH('001_population_health_zone_zs'!$B203,[1]ratio_ins!$B:$B,0))</f>
        <v>6429.8571120000006</v>
      </c>
      <c r="P203" s="10">
        <f>INDEX([1]ratio_ins!N:N,MATCH('001_population_health_zone_zs'!$B$2,[1]ratio_ins!$B:$B,0))*$G203*INDEX([1]ratio_ins!$C:$C,MATCH('001_population_health_zone_zs'!$B203,[1]ratio_ins!$B:$B,0))</f>
        <v>5804.7321150000007</v>
      </c>
      <c r="Q203" s="10">
        <f>INDEX([1]ratio_ins!O:O,MATCH('001_population_health_zone_zs'!$B$2,[1]ratio_ins!$B:$B,0))*$G203*INDEX([1]ratio_ins!$C:$C,MATCH('001_population_health_zone_zs'!$B203,[1]ratio_ins!$B:$B,0))</f>
        <v>5179.6071179999999</v>
      </c>
      <c r="R203" s="10">
        <f>INDEX([1]ratio_ins!P:P,MATCH('001_population_health_zone_zs'!$B$2,[1]ratio_ins!$B:$B,0))*$G203*INDEX([1]ratio_ins!$C:$C,MATCH('001_population_health_zone_zs'!$B203,[1]ratio_ins!$B:$B,0))</f>
        <v>5090.3035470000004</v>
      </c>
      <c r="S203" s="10">
        <f>INDEX([1]ratio_ins!Q:Q,MATCH('001_population_health_zone_zs'!$B$2,[1]ratio_ins!$B:$B,0))*$G203*INDEX([1]ratio_ins!$C:$C,MATCH('001_population_health_zone_zs'!$B203,[1]ratio_ins!$B:$B,0))</f>
        <v>4286.5714079999998</v>
      </c>
      <c r="T203" s="10">
        <f>INDEX([1]ratio_ins!R:R,MATCH('001_population_health_zone_zs'!$B$2,[1]ratio_ins!$B:$B,0))*$G203*INDEX([1]ratio_ins!$C:$C,MATCH('001_population_health_zone_zs'!$B203,[1]ratio_ins!$B:$B,0))</f>
        <v>3036.3214140000005</v>
      </c>
      <c r="U203" s="10">
        <f>INDEX([1]ratio_ins!S:S,MATCH('001_population_health_zone_zs'!$B$2,[1]ratio_ins!$B:$B,0))*$G203*INDEX([1]ratio_ins!$C:$C,MATCH('001_population_health_zone_zs'!$B203,[1]ratio_ins!$B:$B,0))</f>
        <v>2411.1964170000001</v>
      </c>
      <c r="V203" s="10">
        <f>INDEX([1]ratio_ins!T:T,MATCH('001_population_health_zone_zs'!$B$2,[1]ratio_ins!$B:$B,0))*$G203*INDEX([1]ratio_ins!$C:$C,MATCH('001_population_health_zone_zs'!$B203,[1]ratio_ins!$B:$B,0))</f>
        <v>1339.5535649999999</v>
      </c>
      <c r="W203" s="11">
        <f>INDEX([1]ratio_ins!U:U,MATCH('001_population_health_zone_zs'!$B$2,[1]ratio_ins!$B:$B,0))*$G203*INDEX([1]ratio_ins!$C:$C,MATCH('001_population_health_zone_zs'!$B203,[1]ratio_ins!$B:$B,0))</f>
        <v>36543.021253200001</v>
      </c>
      <c r="X203" s="10">
        <f>INDEX([1]ratio_ins!V:V,MATCH('001_population_health_zone_zs'!$B$2,[1]ratio_ins!$B:$B,0))*$G203*INDEX([1]ratio_ins!$C:$C,MATCH('001_population_health_zone_zs'!$B203,[1]ratio_ins!$B:$B,0))</f>
        <v>1071.6428519999999</v>
      </c>
      <c r="Y203" s="10">
        <f>INDEX([1]ratio_ins!W:W,MATCH('001_population_health_zone_zs'!$B$2,[1]ratio_ins!$B:$B,0))*$G203*INDEX([1]ratio_ins!$C:$C,MATCH('001_population_health_zone_zs'!$B203,[1]ratio_ins!$B:$B,0))</f>
        <v>714.42856800000004</v>
      </c>
      <c r="Z203" s="10">
        <f>INDEX([1]ratio_ins!X:X,MATCH('001_population_health_zone_zs'!$B$2,[1]ratio_ins!$B:$B,0))*$G203*INDEX([1]ratio_ins!$C:$C,MATCH('001_population_health_zone_zs'!$B203,[1]ratio_ins!$B:$B,0))</f>
        <v>357.21428400000002</v>
      </c>
      <c r="AA203" s="10">
        <f>INDEX([1]ratio_ins!Y:Y,MATCH('001_population_health_zone_zs'!$B$2,[1]ratio_ins!$B:$B,0))*$G203*INDEX([1]ratio_ins!$C:$C,MATCH('001_population_health_zone_zs'!$B203,[1]ratio_ins!$B:$B,0))</f>
        <v>178.60714200000001</v>
      </c>
      <c r="AB203" s="11">
        <f>INDEX([1]ratio_ins!Z:Z,MATCH('001_population_health_zone_zs'!$B$2,[1]ratio_ins!$B:$B,0))*$G203*INDEX([1]ratio_ins!$C:$C,MATCH('001_population_health_zone_zs'!$B203,[1]ratio_ins!$B:$B,0))</f>
        <v>2321.8928460000002</v>
      </c>
      <c r="AC203" s="12">
        <f t="shared" si="18"/>
        <v>89303.570999999996</v>
      </c>
      <c r="AD203" s="10">
        <f>INDEX([1]ratio_ins!AA:AA,MATCH('001_population_health_zone_zs'!$B$2,[1]ratio_ins!$B:$B,0))*$G203*INDEX([1]ratio_ins!$D:$D,MATCH('001_population_health_zone_zs'!$B203,[1]ratio_ins!$B:$B,0))</f>
        <v>19441.26009</v>
      </c>
      <c r="AE203" s="10">
        <f>INDEX([1]ratio_ins!AB:AB,MATCH('001_population_health_zone_zs'!$B$2,[1]ratio_ins!$B:$B,0))*$G203*INDEX([1]ratio_ins!$D:$D,MATCH('001_population_health_zone_zs'!$B203,[1]ratio_ins!$B:$B,0))</f>
        <v>16015.895217000003</v>
      </c>
      <c r="AF203" s="10">
        <f>INDEX([1]ratio_ins!AC:AC,MATCH('001_population_health_zone_zs'!$B$2,[1]ratio_ins!$B:$B,0))*$G203*INDEX([1]ratio_ins!$D:$D,MATCH('001_population_health_zone_zs'!$B203,[1]ratio_ins!$B:$B,0))</f>
        <v>12683.107772999998</v>
      </c>
      <c r="AG203" s="10">
        <f>INDEX([1]ratio_ins!AD:AD,MATCH('001_population_health_zone_zs'!$B$2,[1]ratio_ins!$B:$B,0))*$G203*INDEX([1]ratio_ins!$D:$D,MATCH('001_population_health_zone_zs'!$B203,[1]ratio_ins!$B:$B,0))</f>
        <v>7683.9266070000012</v>
      </c>
      <c r="AH203" s="10">
        <f>INDEX([1]ratio_ins!AE:AE,MATCH('001_population_health_zone_zs'!$B$2,[1]ratio_ins!$B:$B,0))*$G203*INDEX([1]ratio_ins!$D:$D,MATCH('001_population_health_zone_zs'!$B203,[1]ratio_ins!$B:$B,0))</f>
        <v>4610.3559641999991</v>
      </c>
      <c r="AI203" s="13">
        <f>INDEX([1]ratio_ins!AF:AF,MATCH('001_population_health_zone_zs'!$B$2,[1]ratio_ins!$B:$B,0))*$G203*INDEX([1]ratio_ins!$D:$D,MATCH('001_population_health_zone_zs'!$B203,[1]ratio_ins!$B:$B,0))</f>
        <v>52750.619044200001</v>
      </c>
      <c r="AJ203" s="10">
        <f>INDEX([1]ratio_ins!AG:AG,MATCH('001_population_health_zone_zs'!$B$2,[1]ratio_ins!$B:$B,0))*$G203*INDEX([1]ratio_ins!$D:$D,MATCH('001_population_health_zone_zs'!$B203,[1]ratio_ins!$B:$B,0))</f>
        <v>3073.5706427999999</v>
      </c>
      <c r="AK203" s="10">
        <f>INDEX([1]ratio_ins!AH:AH,MATCH('001_population_health_zone_zs'!$B$2,[1]ratio_ins!$B:$B,0))*$G203*INDEX([1]ratio_ins!$D:$D,MATCH('001_population_health_zone_zs'!$B203,[1]ratio_ins!$B:$B,0))</f>
        <v>6850.7297460000009</v>
      </c>
      <c r="AL203" s="10">
        <f>INDEX([1]ratio_ins!AI:AI,MATCH('001_population_health_zone_zs'!$B$2,[1]ratio_ins!$B:$B,0))*$G203*INDEX([1]ratio_ins!$D:$D,MATCH('001_population_health_zone_zs'!$B203,[1]ratio_ins!$B:$B,0))</f>
        <v>6480.4200300000011</v>
      </c>
      <c r="AM203" s="10">
        <f>INDEX([1]ratio_ins!AJ:AJ,MATCH('001_population_health_zone_zs'!$B$2,[1]ratio_ins!$B:$B,0))*$G203*INDEX([1]ratio_ins!$D:$D,MATCH('001_population_health_zone_zs'!$B203,[1]ratio_ins!$B:$B,0))</f>
        <v>5924.9554559999997</v>
      </c>
      <c r="AN203" s="10">
        <f>INDEX([1]ratio_ins!AK:AK,MATCH('001_population_health_zone_zs'!$B$2,[1]ratio_ins!$B:$B,0))*$G203*INDEX([1]ratio_ins!$D:$D,MATCH('001_population_health_zone_zs'!$B203,[1]ratio_ins!$B:$B,0))</f>
        <v>5554.645739999999</v>
      </c>
      <c r="AO203" s="10">
        <f>INDEX([1]ratio_ins!AL:AL,MATCH('001_population_health_zone_zs'!$B$2,[1]ratio_ins!$B:$B,0))*$G203*INDEX([1]ratio_ins!$D:$D,MATCH('001_population_health_zone_zs'!$B203,[1]ratio_ins!$B:$B,0))</f>
        <v>4165.9843049999999</v>
      </c>
      <c r="AP203" s="10">
        <f>INDEX([1]ratio_ins!AM:AM,MATCH('001_population_health_zone_zs'!$B$2,[1]ratio_ins!$B:$B,0))*$G203*INDEX([1]ratio_ins!$D:$D,MATCH('001_population_health_zone_zs'!$B203,[1]ratio_ins!$B:$B,0))</f>
        <v>2684.745441</v>
      </c>
      <c r="AQ203" s="10">
        <f>INDEX([1]ratio_ins!AN:AN,MATCH('001_population_health_zone_zs'!$B$2,[1]ratio_ins!$B:$B,0))*$G203*INDEX([1]ratio_ins!$D:$D,MATCH('001_population_health_zone_zs'!$B203,[1]ratio_ins!$B:$B,0))</f>
        <v>2129.2808669999999</v>
      </c>
      <c r="AR203" s="10">
        <f>INDEX([1]ratio_ins!AO:AO,MATCH('001_population_health_zone_zs'!$B$2,[1]ratio_ins!$B:$B,0))*$G203*INDEX([1]ratio_ins!$D:$D,MATCH('001_population_health_zone_zs'!$B203,[1]ratio_ins!$B:$B,0))</f>
        <v>1018.3517190000001</v>
      </c>
      <c r="AS203" s="13">
        <f>INDEX([1]ratio_ins!AP:AP,MATCH('001_population_health_zone_zs'!$B$2,[1]ratio_ins!$B:$B,0))*$G203*INDEX([1]ratio_ins!$D:$D,MATCH('001_population_health_zone_zs'!$B203,[1]ratio_ins!$B:$B,0))</f>
        <v>37882.683946799996</v>
      </c>
      <c r="AT203" s="10">
        <f>INDEX([1]ratio_ins!AQ:AQ,MATCH('001_population_health_zone_zs'!$B$2,[1]ratio_ins!$B:$B,0))*$G203*INDEX([1]ratio_ins!$D:$D,MATCH('001_population_health_zone_zs'!$B203,[1]ratio_ins!$B:$B,0))</f>
        <v>925.77428999999995</v>
      </c>
      <c r="AU203" s="10">
        <f>INDEX([1]ratio_ins!AR:AR,MATCH('001_population_health_zone_zs'!$B$2,[1]ratio_ins!$B:$B,0))*$G203*INDEX([1]ratio_ins!$D:$D,MATCH('001_population_health_zone_zs'!$B203,[1]ratio_ins!$B:$B,0))</f>
        <v>555.46457400000008</v>
      </c>
      <c r="AV203" s="10">
        <f>INDEX([1]ratio_ins!AS:AS,MATCH('001_population_health_zone_zs'!$B$2,[1]ratio_ins!$B:$B,0))*$G203*INDEX([1]ratio_ins!$D:$D,MATCH('001_population_health_zone_zs'!$B203,[1]ratio_ins!$B:$B,0))</f>
        <v>277.73228700000004</v>
      </c>
      <c r="AW203" s="10">
        <f>INDEX([1]ratio_ins!AT:AT,MATCH('001_population_health_zone_zs'!$B$2,[1]ratio_ins!$B:$B,0))*$G203*INDEX([1]ratio_ins!$D:$D,MATCH('001_population_health_zone_zs'!$B203,[1]ratio_ins!$B:$B,0))</f>
        <v>185.15485799999999</v>
      </c>
      <c r="AX203" s="13">
        <f>INDEX([1]ratio_ins!AU:AU,MATCH('001_population_health_zone_zs'!$B$2,[1]ratio_ins!$B:$B,0))*$G203*INDEX([1]ratio_ins!$D:$D,MATCH('001_population_health_zone_zs'!$B203,[1]ratio_ins!$B:$B,0))</f>
        <v>1944.1260089999998</v>
      </c>
      <c r="AY203" s="14">
        <f t="shared" si="19"/>
        <v>92577.429000000004</v>
      </c>
      <c r="AZ203" s="15">
        <f t="shared" si="20"/>
        <v>181881</v>
      </c>
      <c r="BA203" s="16">
        <v>176949.73036917584</v>
      </c>
      <c r="BB203" s="10">
        <f t="shared" si="21"/>
        <v>39345.407325</v>
      </c>
      <c r="BC203" s="17">
        <f t="shared" si="22"/>
        <v>0.21632499999999999</v>
      </c>
      <c r="BD203" s="10">
        <f t="shared" si="23"/>
        <v>37239.589107</v>
      </c>
    </row>
    <row r="204" spans="1:56" x14ac:dyDescent="0.25">
      <c r="A204" s="8" t="s">
        <v>470</v>
      </c>
      <c r="B204" s="8" t="s">
        <v>471</v>
      </c>
      <c r="C204" s="8" t="s">
        <v>507</v>
      </c>
      <c r="D204" s="8" t="s">
        <v>508</v>
      </c>
      <c r="E204" s="8" t="s">
        <v>509</v>
      </c>
      <c r="F204" s="8" t="s">
        <v>510</v>
      </c>
      <c r="G204" s="9">
        <v>84813</v>
      </c>
      <c r="H204" s="10">
        <f>INDEX([1]ratio_ins!F:F,MATCH('001_population_health_zone_zs'!$B$2,[1]ratio_ins!$B:$B,0))*$G204*INDEX([1]ratio_ins!$C:$C,MATCH('001_population_health_zone_zs'!$B204,[1]ratio_ins!$B:$B,0))</f>
        <v>8703.4252469999992</v>
      </c>
      <c r="I204" s="10">
        <f>INDEX([1]ratio_ins!G:G,MATCH('001_population_health_zone_zs'!$B$2,[1]ratio_ins!$B:$B,0))*$G204*INDEX([1]ratio_ins!$C:$C,MATCH('001_population_health_zone_zs'!$B204,[1]ratio_ins!$B:$B,0))</f>
        <v>7120.9842930000004</v>
      </c>
      <c r="J204" s="10">
        <f>INDEX([1]ratio_ins!H:H,MATCH('001_population_health_zone_zs'!$B$2,[1]ratio_ins!$B:$B,0))*$G204*INDEX([1]ratio_ins!$C:$C,MATCH('001_population_health_zone_zs'!$B204,[1]ratio_ins!$B:$B,0))</f>
        <v>5621.8297050000001</v>
      </c>
      <c r="K204" s="10">
        <f>INDEX([1]ratio_ins!I:I,MATCH('001_population_health_zone_zs'!$B$2,[1]ratio_ins!$B:$B,0))*$G204*INDEX([1]ratio_ins!$C:$C,MATCH('001_population_health_zone_zs'!$B204,[1]ratio_ins!$B:$B,0))</f>
        <v>3456.3841889999999</v>
      </c>
      <c r="L204" s="10">
        <f>INDEX([1]ratio_ins!J:J,MATCH('001_population_health_zone_zs'!$B$2,[1]ratio_ins!$B:$B,0))*$G204*INDEX([1]ratio_ins!$C:$C,MATCH('001_population_health_zone_zs'!$B204,[1]ratio_ins!$B:$B,0))</f>
        <v>2073.8305133999997</v>
      </c>
      <c r="M204" s="11">
        <f>INDEX([1]ratio_ins!K:K,MATCH('001_population_health_zone_zs'!$B$2,[1]ratio_ins!$B:$B,0))*$G204*INDEX([1]ratio_ins!$C:$C,MATCH('001_population_health_zone_zs'!$B204,[1]ratio_ins!$B:$B,0))</f>
        <v>23520.069758399997</v>
      </c>
      <c r="N204" s="10">
        <f>INDEX([1]ratio_ins!L:L,MATCH('001_population_health_zone_zs'!$B$2,[1]ratio_ins!$B:$B,0))*$G204*INDEX([1]ratio_ins!$C:$C,MATCH('001_population_health_zone_zs'!$B204,[1]ratio_ins!$B:$B,0))</f>
        <v>1382.5536755999999</v>
      </c>
      <c r="O204" s="10">
        <f>INDEX([1]ratio_ins!M:M,MATCH('001_population_health_zone_zs'!$B$2,[1]ratio_ins!$B:$B,0))*$G204*INDEX([1]ratio_ins!$C:$C,MATCH('001_population_health_zone_zs'!$B204,[1]ratio_ins!$B:$B,0))</f>
        <v>2998.3091760000002</v>
      </c>
      <c r="P204" s="10">
        <f>INDEX([1]ratio_ins!N:N,MATCH('001_population_health_zone_zs'!$B$2,[1]ratio_ins!$B:$B,0))*$G204*INDEX([1]ratio_ins!$C:$C,MATCH('001_population_health_zone_zs'!$B204,[1]ratio_ins!$B:$B,0))</f>
        <v>2706.8068950000002</v>
      </c>
      <c r="Q204" s="10">
        <f>INDEX([1]ratio_ins!O:O,MATCH('001_population_health_zone_zs'!$B$2,[1]ratio_ins!$B:$B,0))*$G204*INDEX([1]ratio_ins!$C:$C,MATCH('001_population_health_zone_zs'!$B204,[1]ratio_ins!$B:$B,0))</f>
        <v>2415.3046139999997</v>
      </c>
      <c r="R204" s="10">
        <f>INDEX([1]ratio_ins!P:P,MATCH('001_population_health_zone_zs'!$B$2,[1]ratio_ins!$B:$B,0))*$G204*INDEX([1]ratio_ins!$C:$C,MATCH('001_population_health_zone_zs'!$B204,[1]ratio_ins!$B:$B,0))</f>
        <v>2373.661431</v>
      </c>
      <c r="S204" s="10">
        <f>INDEX([1]ratio_ins!Q:Q,MATCH('001_population_health_zone_zs'!$B$2,[1]ratio_ins!$B:$B,0))*$G204*INDEX([1]ratio_ins!$C:$C,MATCH('001_population_health_zone_zs'!$B204,[1]ratio_ins!$B:$B,0))</f>
        <v>1998.8727839999999</v>
      </c>
      <c r="T204" s="10">
        <f>INDEX([1]ratio_ins!R:R,MATCH('001_population_health_zone_zs'!$B$2,[1]ratio_ins!$B:$B,0))*$G204*INDEX([1]ratio_ins!$C:$C,MATCH('001_population_health_zone_zs'!$B204,[1]ratio_ins!$B:$B,0))</f>
        <v>1415.8682220000001</v>
      </c>
      <c r="U204" s="10">
        <f>INDEX([1]ratio_ins!S:S,MATCH('001_population_health_zone_zs'!$B$2,[1]ratio_ins!$B:$B,0))*$G204*INDEX([1]ratio_ins!$C:$C,MATCH('001_population_health_zone_zs'!$B204,[1]ratio_ins!$B:$B,0))</f>
        <v>1124.3659410000002</v>
      </c>
      <c r="V204" s="10">
        <f>INDEX([1]ratio_ins!T:T,MATCH('001_population_health_zone_zs'!$B$2,[1]ratio_ins!$B:$B,0))*$G204*INDEX([1]ratio_ins!$C:$C,MATCH('001_population_health_zone_zs'!$B204,[1]ratio_ins!$B:$B,0))</f>
        <v>624.64774499999999</v>
      </c>
      <c r="W204" s="11">
        <f>INDEX([1]ratio_ins!U:U,MATCH('001_population_health_zone_zs'!$B$2,[1]ratio_ins!$B:$B,0))*$G204*INDEX([1]ratio_ins!$C:$C,MATCH('001_population_health_zone_zs'!$B204,[1]ratio_ins!$B:$B,0))</f>
        <v>17040.3904836</v>
      </c>
      <c r="X204" s="10">
        <f>INDEX([1]ratio_ins!V:V,MATCH('001_population_health_zone_zs'!$B$2,[1]ratio_ins!$B:$B,0))*$G204*INDEX([1]ratio_ins!$C:$C,MATCH('001_population_health_zone_zs'!$B204,[1]ratio_ins!$B:$B,0))</f>
        <v>499.71819599999998</v>
      </c>
      <c r="Y204" s="10">
        <f>INDEX([1]ratio_ins!W:W,MATCH('001_population_health_zone_zs'!$B$2,[1]ratio_ins!$B:$B,0))*$G204*INDEX([1]ratio_ins!$C:$C,MATCH('001_population_health_zone_zs'!$B204,[1]ratio_ins!$B:$B,0))</f>
        <v>333.145464</v>
      </c>
      <c r="Z204" s="10">
        <f>INDEX([1]ratio_ins!X:X,MATCH('001_population_health_zone_zs'!$B$2,[1]ratio_ins!$B:$B,0))*$G204*INDEX([1]ratio_ins!$C:$C,MATCH('001_population_health_zone_zs'!$B204,[1]ratio_ins!$B:$B,0))</f>
        <v>166.572732</v>
      </c>
      <c r="AA204" s="10">
        <f>INDEX([1]ratio_ins!Y:Y,MATCH('001_population_health_zone_zs'!$B$2,[1]ratio_ins!$B:$B,0))*$G204*INDEX([1]ratio_ins!$C:$C,MATCH('001_population_health_zone_zs'!$B204,[1]ratio_ins!$B:$B,0))</f>
        <v>83.286366000000001</v>
      </c>
      <c r="AB204" s="11">
        <f>INDEX([1]ratio_ins!Z:Z,MATCH('001_population_health_zone_zs'!$B$2,[1]ratio_ins!$B:$B,0))*$G204*INDEX([1]ratio_ins!$C:$C,MATCH('001_population_health_zone_zs'!$B204,[1]ratio_ins!$B:$B,0))</f>
        <v>1082.7227580000001</v>
      </c>
      <c r="AC204" s="12">
        <f t="shared" si="18"/>
        <v>41643.183000000005</v>
      </c>
      <c r="AD204" s="10">
        <f>INDEX([1]ratio_ins!AA:AA,MATCH('001_population_health_zone_zs'!$B$2,[1]ratio_ins!$B:$B,0))*$G204*INDEX([1]ratio_ins!$D:$D,MATCH('001_population_health_zone_zs'!$B204,[1]ratio_ins!$B:$B,0))</f>
        <v>9065.6615700000002</v>
      </c>
      <c r="AE204" s="10">
        <f>INDEX([1]ratio_ins!AB:AB,MATCH('001_population_health_zone_zs'!$B$2,[1]ratio_ins!$B:$B,0))*$G204*INDEX([1]ratio_ins!$D:$D,MATCH('001_population_health_zone_zs'!$B204,[1]ratio_ins!$B:$B,0))</f>
        <v>7468.3783410000005</v>
      </c>
      <c r="AF204" s="10">
        <f>INDEX([1]ratio_ins!AC:AC,MATCH('001_population_health_zone_zs'!$B$2,[1]ratio_ins!$B:$B,0))*$G204*INDEX([1]ratio_ins!$D:$D,MATCH('001_population_health_zone_zs'!$B204,[1]ratio_ins!$B:$B,0))</f>
        <v>5914.2649289999999</v>
      </c>
      <c r="AG204" s="10">
        <f>INDEX([1]ratio_ins!AD:AD,MATCH('001_population_health_zone_zs'!$B$2,[1]ratio_ins!$B:$B,0))*$G204*INDEX([1]ratio_ins!$D:$D,MATCH('001_population_health_zone_zs'!$B204,[1]ratio_ins!$B:$B,0))</f>
        <v>3583.0948110000004</v>
      </c>
      <c r="AH204" s="10">
        <f>INDEX([1]ratio_ins!AE:AE,MATCH('001_population_health_zone_zs'!$B$2,[1]ratio_ins!$B:$B,0))*$G204*INDEX([1]ratio_ins!$D:$D,MATCH('001_population_health_zone_zs'!$B204,[1]ratio_ins!$B:$B,0))</f>
        <v>2149.8568866000001</v>
      </c>
      <c r="AI204" s="13">
        <f>INDEX([1]ratio_ins!AF:AF,MATCH('001_population_health_zone_zs'!$B$2,[1]ratio_ins!$B:$B,0))*$G204*INDEX([1]ratio_ins!$D:$D,MATCH('001_population_health_zone_zs'!$B204,[1]ratio_ins!$B:$B,0))</f>
        <v>24598.161726599999</v>
      </c>
      <c r="AJ204" s="10">
        <f>INDEX([1]ratio_ins!AG:AG,MATCH('001_population_health_zone_zs'!$B$2,[1]ratio_ins!$B:$B,0))*$G204*INDEX([1]ratio_ins!$D:$D,MATCH('001_population_health_zone_zs'!$B204,[1]ratio_ins!$B:$B,0))</f>
        <v>1433.2379244000001</v>
      </c>
      <c r="AK204" s="10">
        <f>INDEX([1]ratio_ins!AH:AH,MATCH('001_population_health_zone_zs'!$B$2,[1]ratio_ins!$B:$B,0))*$G204*INDEX([1]ratio_ins!$D:$D,MATCH('001_population_health_zone_zs'!$B204,[1]ratio_ins!$B:$B,0))</f>
        <v>3194.5664580000007</v>
      </c>
      <c r="AL204" s="10">
        <f>INDEX([1]ratio_ins!AI:AI,MATCH('001_population_health_zone_zs'!$B$2,[1]ratio_ins!$B:$B,0))*$G204*INDEX([1]ratio_ins!$D:$D,MATCH('001_population_health_zone_zs'!$B204,[1]ratio_ins!$B:$B,0))</f>
        <v>3021.8871900000004</v>
      </c>
      <c r="AM204" s="10">
        <f>INDEX([1]ratio_ins!AJ:AJ,MATCH('001_population_health_zone_zs'!$B$2,[1]ratio_ins!$B:$B,0))*$G204*INDEX([1]ratio_ins!$D:$D,MATCH('001_population_health_zone_zs'!$B204,[1]ratio_ins!$B:$B,0))</f>
        <v>2762.8682880000001</v>
      </c>
      <c r="AN204" s="10">
        <f>INDEX([1]ratio_ins!AK:AK,MATCH('001_population_health_zone_zs'!$B$2,[1]ratio_ins!$B:$B,0))*$G204*INDEX([1]ratio_ins!$D:$D,MATCH('001_population_health_zone_zs'!$B204,[1]ratio_ins!$B:$B,0))</f>
        <v>2590.1890199999998</v>
      </c>
      <c r="AO204" s="10">
        <f>INDEX([1]ratio_ins!AL:AL,MATCH('001_population_health_zone_zs'!$B$2,[1]ratio_ins!$B:$B,0))*$G204*INDEX([1]ratio_ins!$D:$D,MATCH('001_population_health_zone_zs'!$B204,[1]ratio_ins!$B:$B,0))</f>
        <v>1942.6417650000001</v>
      </c>
      <c r="AP204" s="10">
        <f>INDEX([1]ratio_ins!AM:AM,MATCH('001_population_health_zone_zs'!$B$2,[1]ratio_ins!$B:$B,0))*$G204*INDEX([1]ratio_ins!$D:$D,MATCH('001_population_health_zone_zs'!$B204,[1]ratio_ins!$B:$B,0))</f>
        <v>1251.9246929999999</v>
      </c>
      <c r="AQ204" s="10">
        <f>INDEX([1]ratio_ins!AN:AN,MATCH('001_population_health_zone_zs'!$B$2,[1]ratio_ins!$B:$B,0))*$G204*INDEX([1]ratio_ins!$D:$D,MATCH('001_population_health_zone_zs'!$B204,[1]ratio_ins!$B:$B,0))</f>
        <v>992.90579100000002</v>
      </c>
      <c r="AR204" s="10">
        <f>INDEX([1]ratio_ins!AO:AO,MATCH('001_population_health_zone_zs'!$B$2,[1]ratio_ins!$B:$B,0))*$G204*INDEX([1]ratio_ins!$D:$D,MATCH('001_population_health_zone_zs'!$B204,[1]ratio_ins!$B:$B,0))</f>
        <v>474.86798700000008</v>
      </c>
      <c r="AS204" s="13">
        <f>INDEX([1]ratio_ins!AP:AP,MATCH('001_population_health_zone_zs'!$B$2,[1]ratio_ins!$B:$B,0))*$G204*INDEX([1]ratio_ins!$D:$D,MATCH('001_population_health_zone_zs'!$B204,[1]ratio_ins!$B:$B,0))</f>
        <v>17665.089116399999</v>
      </c>
      <c r="AT204" s="10">
        <f>INDEX([1]ratio_ins!AQ:AQ,MATCH('001_population_health_zone_zs'!$B$2,[1]ratio_ins!$B:$B,0))*$G204*INDEX([1]ratio_ins!$D:$D,MATCH('001_population_health_zone_zs'!$B204,[1]ratio_ins!$B:$B,0))</f>
        <v>431.69817</v>
      </c>
      <c r="AU204" s="10">
        <f>INDEX([1]ratio_ins!AR:AR,MATCH('001_population_health_zone_zs'!$B$2,[1]ratio_ins!$B:$B,0))*$G204*INDEX([1]ratio_ins!$D:$D,MATCH('001_population_health_zone_zs'!$B204,[1]ratio_ins!$B:$B,0))</f>
        <v>259.01890199999997</v>
      </c>
      <c r="AV204" s="10">
        <f>INDEX([1]ratio_ins!AS:AS,MATCH('001_population_health_zone_zs'!$B$2,[1]ratio_ins!$B:$B,0))*$G204*INDEX([1]ratio_ins!$D:$D,MATCH('001_population_health_zone_zs'!$B204,[1]ratio_ins!$B:$B,0))</f>
        <v>129.50945099999998</v>
      </c>
      <c r="AW204" s="10">
        <f>INDEX([1]ratio_ins!AT:AT,MATCH('001_population_health_zone_zs'!$B$2,[1]ratio_ins!$B:$B,0))*$G204*INDEX([1]ratio_ins!$D:$D,MATCH('001_population_health_zone_zs'!$B204,[1]ratio_ins!$B:$B,0))</f>
        <v>86.339634000000004</v>
      </c>
      <c r="AX204" s="13">
        <f>INDEX([1]ratio_ins!AU:AU,MATCH('001_population_health_zone_zs'!$B$2,[1]ratio_ins!$B:$B,0))*$G204*INDEX([1]ratio_ins!$D:$D,MATCH('001_population_health_zone_zs'!$B204,[1]ratio_ins!$B:$B,0))</f>
        <v>906.56615699999998</v>
      </c>
      <c r="AY204" s="14">
        <f t="shared" si="19"/>
        <v>43169.817000000003</v>
      </c>
      <c r="AZ204" s="15">
        <f t="shared" si="20"/>
        <v>84813</v>
      </c>
      <c r="BA204" s="16">
        <v>82513.899146657845</v>
      </c>
      <c r="BB204" s="10">
        <f t="shared" si="21"/>
        <v>18347.172225000002</v>
      </c>
      <c r="BC204" s="17">
        <f t="shared" si="22"/>
        <v>0.21632500000000002</v>
      </c>
      <c r="BD204" s="10">
        <f t="shared" si="23"/>
        <v>17365.207310999998</v>
      </c>
    </row>
    <row r="205" spans="1:56" x14ac:dyDescent="0.25">
      <c r="A205" s="8" t="s">
        <v>470</v>
      </c>
      <c r="B205" s="8" t="s">
        <v>471</v>
      </c>
      <c r="C205" s="8" t="s">
        <v>507</v>
      </c>
      <c r="D205" s="8" t="s">
        <v>508</v>
      </c>
      <c r="E205" s="8" t="s">
        <v>507</v>
      </c>
      <c r="F205" s="8" t="s">
        <v>511</v>
      </c>
      <c r="G205" s="9">
        <v>156601</v>
      </c>
      <c r="H205" s="10">
        <f>INDEX([1]ratio_ins!F:F,MATCH('001_population_health_zone_zs'!$B$2,[1]ratio_ins!$B:$B,0))*$G205*INDEX([1]ratio_ins!$C:$C,MATCH('001_population_health_zone_zs'!$B205,[1]ratio_ins!$B:$B,0))</f>
        <v>16070.238019</v>
      </c>
      <c r="I205" s="10">
        <f>INDEX([1]ratio_ins!G:G,MATCH('001_population_health_zone_zs'!$B$2,[1]ratio_ins!$B:$B,0))*$G205*INDEX([1]ratio_ins!$C:$C,MATCH('001_population_health_zone_zs'!$B205,[1]ratio_ins!$B:$B,0))</f>
        <v>13148.376561000001</v>
      </c>
      <c r="J205" s="10">
        <f>INDEX([1]ratio_ins!H:H,MATCH('001_population_health_zone_zs'!$B$2,[1]ratio_ins!$B:$B,0))*$G205*INDEX([1]ratio_ins!$C:$C,MATCH('001_population_health_zone_zs'!$B205,[1]ratio_ins!$B:$B,0))</f>
        <v>10380.297285000001</v>
      </c>
      <c r="K205" s="10">
        <f>INDEX([1]ratio_ins!I:I,MATCH('001_population_health_zone_zs'!$B$2,[1]ratio_ins!$B:$B,0))*$G205*INDEX([1]ratio_ins!$C:$C,MATCH('001_population_health_zone_zs'!$B205,[1]ratio_ins!$B:$B,0))</f>
        <v>6381.9605529999999</v>
      </c>
      <c r="L205" s="10">
        <f>INDEX([1]ratio_ins!J:J,MATCH('001_population_health_zone_zs'!$B$2,[1]ratio_ins!$B:$B,0))*$G205*INDEX([1]ratio_ins!$C:$C,MATCH('001_population_health_zone_zs'!$B205,[1]ratio_ins!$B:$B,0))</f>
        <v>3829.1763317999994</v>
      </c>
      <c r="M205" s="11">
        <f>INDEX([1]ratio_ins!K:K,MATCH('001_population_health_zone_zs'!$B$2,[1]ratio_ins!$B:$B,0))*$G205*INDEX([1]ratio_ins!$C:$C,MATCH('001_population_health_zone_zs'!$B205,[1]ratio_ins!$B:$B,0))</f>
        <v>43428.088196800003</v>
      </c>
      <c r="N205" s="10">
        <f>INDEX([1]ratio_ins!L:L,MATCH('001_population_health_zone_zs'!$B$2,[1]ratio_ins!$B:$B,0))*$G205*INDEX([1]ratio_ins!$C:$C,MATCH('001_population_health_zone_zs'!$B205,[1]ratio_ins!$B:$B,0))</f>
        <v>2552.7842212</v>
      </c>
      <c r="O205" s="10">
        <f>INDEX([1]ratio_ins!M:M,MATCH('001_population_health_zone_zs'!$B$2,[1]ratio_ins!$B:$B,0))*$G205*INDEX([1]ratio_ins!$C:$C,MATCH('001_population_health_zone_zs'!$B205,[1]ratio_ins!$B:$B,0))</f>
        <v>5536.1585519999999</v>
      </c>
      <c r="P205" s="10">
        <f>INDEX([1]ratio_ins!N:N,MATCH('001_population_health_zone_zs'!$B$2,[1]ratio_ins!$B:$B,0))*$G205*INDEX([1]ratio_ins!$C:$C,MATCH('001_population_health_zone_zs'!$B205,[1]ratio_ins!$B:$B,0))</f>
        <v>4997.9209150000006</v>
      </c>
      <c r="Q205" s="10">
        <f>INDEX([1]ratio_ins!O:O,MATCH('001_population_health_zone_zs'!$B$2,[1]ratio_ins!$B:$B,0))*$G205*INDEX([1]ratio_ins!$C:$C,MATCH('001_population_health_zone_zs'!$B205,[1]ratio_ins!$B:$B,0))</f>
        <v>4459.6832780000004</v>
      </c>
      <c r="R205" s="10">
        <f>INDEX([1]ratio_ins!P:P,MATCH('001_population_health_zone_zs'!$B$2,[1]ratio_ins!$B:$B,0))*$G205*INDEX([1]ratio_ins!$C:$C,MATCH('001_population_health_zone_zs'!$B205,[1]ratio_ins!$B:$B,0))</f>
        <v>4382.792187</v>
      </c>
      <c r="S205" s="10">
        <f>INDEX([1]ratio_ins!Q:Q,MATCH('001_population_health_zone_zs'!$B$2,[1]ratio_ins!$B:$B,0))*$G205*INDEX([1]ratio_ins!$C:$C,MATCH('001_population_health_zone_zs'!$B205,[1]ratio_ins!$B:$B,0))</f>
        <v>3690.7723679999999</v>
      </c>
      <c r="T205" s="10">
        <f>INDEX([1]ratio_ins!R:R,MATCH('001_population_health_zone_zs'!$B$2,[1]ratio_ins!$B:$B,0))*$G205*INDEX([1]ratio_ins!$C:$C,MATCH('001_population_health_zone_zs'!$B205,[1]ratio_ins!$B:$B,0))</f>
        <v>2614.297094</v>
      </c>
      <c r="U205" s="10">
        <f>INDEX([1]ratio_ins!S:S,MATCH('001_population_health_zone_zs'!$B$2,[1]ratio_ins!$B:$B,0))*$G205*INDEX([1]ratio_ins!$C:$C,MATCH('001_population_health_zone_zs'!$B205,[1]ratio_ins!$B:$B,0))</f>
        <v>2076.0594570000003</v>
      </c>
      <c r="V205" s="10">
        <f>INDEX([1]ratio_ins!T:T,MATCH('001_population_health_zone_zs'!$B$2,[1]ratio_ins!$B:$B,0))*$G205*INDEX([1]ratio_ins!$C:$C,MATCH('001_population_health_zone_zs'!$B205,[1]ratio_ins!$B:$B,0))</f>
        <v>1153.3663649999999</v>
      </c>
      <c r="W205" s="11">
        <f>INDEX([1]ratio_ins!U:U,MATCH('001_population_health_zone_zs'!$B$2,[1]ratio_ins!$B:$B,0))*$G205*INDEX([1]ratio_ins!$C:$C,MATCH('001_population_health_zone_zs'!$B205,[1]ratio_ins!$B:$B,0))</f>
        <v>31463.834437199999</v>
      </c>
      <c r="X205" s="10">
        <f>INDEX([1]ratio_ins!V:V,MATCH('001_population_health_zone_zs'!$B$2,[1]ratio_ins!$B:$B,0))*$G205*INDEX([1]ratio_ins!$C:$C,MATCH('001_population_health_zone_zs'!$B205,[1]ratio_ins!$B:$B,0))</f>
        <v>922.69309199999998</v>
      </c>
      <c r="Y205" s="10">
        <f>INDEX([1]ratio_ins!W:W,MATCH('001_population_health_zone_zs'!$B$2,[1]ratio_ins!$B:$B,0))*$G205*INDEX([1]ratio_ins!$C:$C,MATCH('001_population_health_zone_zs'!$B205,[1]ratio_ins!$B:$B,0))</f>
        <v>615.12872800000002</v>
      </c>
      <c r="Z205" s="10">
        <f>INDEX([1]ratio_ins!X:X,MATCH('001_population_health_zone_zs'!$B$2,[1]ratio_ins!$B:$B,0))*$G205*INDEX([1]ratio_ins!$C:$C,MATCH('001_population_health_zone_zs'!$B205,[1]ratio_ins!$B:$B,0))</f>
        <v>307.56436400000001</v>
      </c>
      <c r="AA205" s="10">
        <f>INDEX([1]ratio_ins!Y:Y,MATCH('001_population_health_zone_zs'!$B$2,[1]ratio_ins!$B:$B,0))*$G205*INDEX([1]ratio_ins!$C:$C,MATCH('001_population_health_zone_zs'!$B205,[1]ratio_ins!$B:$B,0))</f>
        <v>153.78218200000001</v>
      </c>
      <c r="AB205" s="11">
        <f>INDEX([1]ratio_ins!Z:Z,MATCH('001_population_health_zone_zs'!$B$2,[1]ratio_ins!$B:$B,0))*$G205*INDEX([1]ratio_ins!$C:$C,MATCH('001_population_health_zone_zs'!$B205,[1]ratio_ins!$B:$B,0))</f>
        <v>1999.1683660000001</v>
      </c>
      <c r="AC205" s="12">
        <f t="shared" si="18"/>
        <v>76891.091</v>
      </c>
      <c r="AD205" s="10">
        <f>INDEX([1]ratio_ins!AA:AA,MATCH('001_population_health_zone_zs'!$B$2,[1]ratio_ins!$B:$B,0))*$G205*INDEX([1]ratio_ins!$D:$D,MATCH('001_population_health_zone_zs'!$B205,[1]ratio_ins!$B:$B,0))</f>
        <v>16739.080890000001</v>
      </c>
      <c r="AE205" s="10">
        <f>INDEX([1]ratio_ins!AB:AB,MATCH('001_population_health_zone_zs'!$B$2,[1]ratio_ins!$B:$B,0))*$G205*INDEX([1]ratio_ins!$D:$D,MATCH('001_population_health_zone_zs'!$B205,[1]ratio_ins!$B:$B,0))</f>
        <v>13789.814257000002</v>
      </c>
      <c r="AF205" s="10">
        <f>INDEX([1]ratio_ins!AC:AC,MATCH('001_population_health_zone_zs'!$B$2,[1]ratio_ins!$B:$B,0))*$G205*INDEX([1]ratio_ins!$D:$D,MATCH('001_population_health_zone_zs'!$B205,[1]ratio_ins!$B:$B,0))</f>
        <v>10920.257532999998</v>
      </c>
      <c r="AG205" s="10">
        <f>INDEX([1]ratio_ins!AD:AD,MATCH('001_population_health_zone_zs'!$B$2,[1]ratio_ins!$B:$B,0))*$G205*INDEX([1]ratio_ins!$D:$D,MATCH('001_population_health_zone_zs'!$B205,[1]ratio_ins!$B:$B,0))</f>
        <v>6615.9224469999999</v>
      </c>
      <c r="AH205" s="10">
        <f>INDEX([1]ratio_ins!AE:AE,MATCH('001_population_health_zone_zs'!$B$2,[1]ratio_ins!$B:$B,0))*$G205*INDEX([1]ratio_ins!$D:$D,MATCH('001_population_health_zone_zs'!$B205,[1]ratio_ins!$B:$B,0))</f>
        <v>3969.5534681999998</v>
      </c>
      <c r="AI205" s="13">
        <f>INDEX([1]ratio_ins!AF:AF,MATCH('001_population_health_zone_zs'!$B$2,[1]ratio_ins!$B:$B,0))*$G205*INDEX([1]ratio_ins!$D:$D,MATCH('001_population_health_zone_zs'!$B205,[1]ratio_ins!$B:$B,0))</f>
        <v>45418.706148199999</v>
      </c>
      <c r="AJ205" s="10">
        <f>INDEX([1]ratio_ins!AG:AG,MATCH('001_population_health_zone_zs'!$B$2,[1]ratio_ins!$B:$B,0))*$G205*INDEX([1]ratio_ins!$D:$D,MATCH('001_population_health_zone_zs'!$B205,[1]ratio_ins!$B:$B,0))</f>
        <v>2646.3689787999997</v>
      </c>
      <c r="AK205" s="10">
        <f>INDEX([1]ratio_ins!AH:AH,MATCH('001_population_health_zone_zs'!$B$2,[1]ratio_ins!$B:$B,0))*$G205*INDEX([1]ratio_ins!$D:$D,MATCH('001_population_health_zone_zs'!$B205,[1]ratio_ins!$B:$B,0))</f>
        <v>5898.5332660000013</v>
      </c>
      <c r="AL205" s="10">
        <f>INDEX([1]ratio_ins!AI:AI,MATCH('001_population_health_zone_zs'!$B$2,[1]ratio_ins!$B:$B,0))*$G205*INDEX([1]ratio_ins!$D:$D,MATCH('001_population_health_zone_zs'!$B205,[1]ratio_ins!$B:$B,0))</f>
        <v>5579.6936300000007</v>
      </c>
      <c r="AM205" s="10">
        <f>INDEX([1]ratio_ins!AJ:AJ,MATCH('001_population_health_zone_zs'!$B$2,[1]ratio_ins!$B:$B,0))*$G205*INDEX([1]ratio_ins!$D:$D,MATCH('001_population_health_zone_zs'!$B205,[1]ratio_ins!$B:$B,0))</f>
        <v>5101.4341759999998</v>
      </c>
      <c r="AN205" s="10">
        <f>INDEX([1]ratio_ins!AK:AK,MATCH('001_population_health_zone_zs'!$B$2,[1]ratio_ins!$B:$B,0))*$G205*INDEX([1]ratio_ins!$D:$D,MATCH('001_population_health_zone_zs'!$B205,[1]ratio_ins!$B:$B,0))</f>
        <v>4782.5945400000001</v>
      </c>
      <c r="AO205" s="10">
        <f>INDEX([1]ratio_ins!AL:AL,MATCH('001_population_health_zone_zs'!$B$2,[1]ratio_ins!$B:$B,0))*$G205*INDEX([1]ratio_ins!$D:$D,MATCH('001_population_health_zone_zs'!$B205,[1]ratio_ins!$B:$B,0))</f>
        <v>3586.945905</v>
      </c>
      <c r="AP205" s="10">
        <f>INDEX([1]ratio_ins!AM:AM,MATCH('001_population_health_zone_zs'!$B$2,[1]ratio_ins!$B:$B,0))*$G205*INDEX([1]ratio_ins!$D:$D,MATCH('001_population_health_zone_zs'!$B205,[1]ratio_ins!$B:$B,0))</f>
        <v>2311.5873609999999</v>
      </c>
      <c r="AQ205" s="10">
        <f>INDEX([1]ratio_ins!AN:AN,MATCH('001_population_health_zone_zs'!$B$2,[1]ratio_ins!$B:$B,0))*$G205*INDEX([1]ratio_ins!$D:$D,MATCH('001_population_health_zone_zs'!$B205,[1]ratio_ins!$B:$B,0))</f>
        <v>1833.3279069999999</v>
      </c>
      <c r="AR205" s="10">
        <f>INDEX([1]ratio_ins!AO:AO,MATCH('001_population_health_zone_zs'!$B$2,[1]ratio_ins!$B:$B,0))*$G205*INDEX([1]ratio_ins!$D:$D,MATCH('001_population_health_zone_zs'!$B205,[1]ratio_ins!$B:$B,0))</f>
        <v>876.80899900000009</v>
      </c>
      <c r="AS205" s="13">
        <f>INDEX([1]ratio_ins!AP:AP,MATCH('001_population_health_zone_zs'!$B$2,[1]ratio_ins!$B:$B,0))*$G205*INDEX([1]ratio_ins!$D:$D,MATCH('001_population_health_zone_zs'!$B205,[1]ratio_ins!$B:$B,0))</f>
        <v>32617.294762800004</v>
      </c>
      <c r="AT205" s="10">
        <f>INDEX([1]ratio_ins!AQ:AQ,MATCH('001_population_health_zone_zs'!$B$2,[1]ratio_ins!$B:$B,0))*$G205*INDEX([1]ratio_ins!$D:$D,MATCH('001_population_health_zone_zs'!$B205,[1]ratio_ins!$B:$B,0))</f>
        <v>797.09909000000005</v>
      </c>
      <c r="AU205" s="10">
        <f>INDEX([1]ratio_ins!AR:AR,MATCH('001_population_health_zone_zs'!$B$2,[1]ratio_ins!$B:$B,0))*$G205*INDEX([1]ratio_ins!$D:$D,MATCH('001_population_health_zone_zs'!$B205,[1]ratio_ins!$B:$B,0))</f>
        <v>478.25945400000001</v>
      </c>
      <c r="AV205" s="10">
        <f>INDEX([1]ratio_ins!AS:AS,MATCH('001_population_health_zone_zs'!$B$2,[1]ratio_ins!$B:$B,0))*$G205*INDEX([1]ratio_ins!$D:$D,MATCH('001_population_health_zone_zs'!$B205,[1]ratio_ins!$B:$B,0))</f>
        <v>239.129727</v>
      </c>
      <c r="AW205" s="10">
        <f>INDEX([1]ratio_ins!AT:AT,MATCH('001_population_health_zone_zs'!$B$2,[1]ratio_ins!$B:$B,0))*$G205*INDEX([1]ratio_ins!$D:$D,MATCH('001_population_health_zone_zs'!$B205,[1]ratio_ins!$B:$B,0))</f>
        <v>159.41981799999999</v>
      </c>
      <c r="AX205" s="13">
        <f>INDEX([1]ratio_ins!AU:AU,MATCH('001_population_health_zone_zs'!$B$2,[1]ratio_ins!$B:$B,0))*$G205*INDEX([1]ratio_ins!$D:$D,MATCH('001_population_health_zone_zs'!$B205,[1]ratio_ins!$B:$B,0))</f>
        <v>1673.9080889999998</v>
      </c>
      <c r="AY205" s="14">
        <f t="shared" si="19"/>
        <v>79709.909000000014</v>
      </c>
      <c r="AZ205" s="15">
        <f t="shared" si="20"/>
        <v>156601</v>
      </c>
      <c r="BA205" s="16">
        <v>152355.03593346901</v>
      </c>
      <c r="BB205" s="10">
        <f t="shared" si="21"/>
        <v>33876.711324999997</v>
      </c>
      <c r="BC205" s="17">
        <f t="shared" si="22"/>
        <v>0.21632499999999999</v>
      </c>
      <c r="BD205" s="10">
        <f t="shared" si="23"/>
        <v>32063.584947000003</v>
      </c>
    </row>
    <row r="206" spans="1:56" x14ac:dyDescent="0.25">
      <c r="A206" s="8" t="s">
        <v>470</v>
      </c>
      <c r="B206" s="8" t="s">
        <v>471</v>
      </c>
      <c r="C206" s="8" t="s">
        <v>507</v>
      </c>
      <c r="D206" s="8" t="s">
        <v>508</v>
      </c>
      <c r="E206" s="8" t="s">
        <v>512</v>
      </c>
      <c r="F206" s="8" t="s">
        <v>513</v>
      </c>
      <c r="G206" s="9">
        <v>99189</v>
      </c>
      <c r="H206" s="10">
        <f>INDEX([1]ratio_ins!F:F,MATCH('001_population_health_zone_zs'!$B$2,[1]ratio_ins!$B:$B,0))*$G206*INDEX([1]ratio_ins!$C:$C,MATCH('001_population_health_zone_zs'!$B206,[1]ratio_ins!$B:$B,0))</f>
        <v>10178.675991</v>
      </c>
      <c r="I206" s="10">
        <f>INDEX([1]ratio_ins!G:G,MATCH('001_population_health_zone_zs'!$B$2,[1]ratio_ins!$B:$B,0))*$G206*INDEX([1]ratio_ins!$C:$C,MATCH('001_population_health_zone_zs'!$B206,[1]ratio_ins!$B:$B,0))</f>
        <v>8328.0076289999997</v>
      </c>
      <c r="J206" s="10">
        <f>INDEX([1]ratio_ins!H:H,MATCH('001_population_health_zone_zs'!$B$2,[1]ratio_ins!$B:$B,0))*$G206*INDEX([1]ratio_ins!$C:$C,MATCH('001_population_health_zone_zs'!$B206,[1]ratio_ins!$B:$B,0))</f>
        <v>6574.7428650000002</v>
      </c>
      <c r="K206" s="10">
        <f>INDEX([1]ratio_ins!I:I,MATCH('001_population_health_zone_zs'!$B$2,[1]ratio_ins!$B:$B,0))*$G206*INDEX([1]ratio_ins!$C:$C,MATCH('001_population_health_zone_zs'!$B206,[1]ratio_ins!$B:$B,0))</f>
        <v>4042.2493169999998</v>
      </c>
      <c r="L206" s="10">
        <f>INDEX([1]ratio_ins!J:J,MATCH('001_population_health_zone_zs'!$B$2,[1]ratio_ins!$B:$B,0))*$G206*INDEX([1]ratio_ins!$C:$C,MATCH('001_population_health_zone_zs'!$B206,[1]ratio_ins!$B:$B,0))</f>
        <v>2425.3495902</v>
      </c>
      <c r="M206" s="11">
        <f>INDEX([1]ratio_ins!K:K,MATCH('001_population_health_zone_zs'!$B$2,[1]ratio_ins!$B:$B,0))*$G206*INDEX([1]ratio_ins!$C:$C,MATCH('001_population_health_zone_zs'!$B206,[1]ratio_ins!$B:$B,0))</f>
        <v>27506.776075199996</v>
      </c>
      <c r="N206" s="10">
        <f>INDEX([1]ratio_ins!L:L,MATCH('001_population_health_zone_zs'!$B$2,[1]ratio_ins!$B:$B,0))*$G206*INDEX([1]ratio_ins!$C:$C,MATCH('001_population_health_zone_zs'!$B206,[1]ratio_ins!$B:$B,0))</f>
        <v>1616.8997267999998</v>
      </c>
      <c r="O206" s="10">
        <f>INDEX([1]ratio_ins!M:M,MATCH('001_population_health_zone_zs'!$B$2,[1]ratio_ins!$B:$B,0))*$G206*INDEX([1]ratio_ins!$C:$C,MATCH('001_population_health_zone_zs'!$B206,[1]ratio_ins!$B:$B,0))</f>
        <v>3506.5295280000005</v>
      </c>
      <c r="P206" s="10">
        <f>INDEX([1]ratio_ins!N:N,MATCH('001_population_health_zone_zs'!$B$2,[1]ratio_ins!$B:$B,0))*$G206*INDEX([1]ratio_ins!$C:$C,MATCH('001_population_health_zone_zs'!$B206,[1]ratio_ins!$B:$B,0))</f>
        <v>3165.616935</v>
      </c>
      <c r="Q206" s="10">
        <f>INDEX([1]ratio_ins!O:O,MATCH('001_population_health_zone_zs'!$B$2,[1]ratio_ins!$B:$B,0))*$G206*INDEX([1]ratio_ins!$C:$C,MATCH('001_population_health_zone_zs'!$B206,[1]ratio_ins!$B:$B,0))</f>
        <v>2824.7043419999995</v>
      </c>
      <c r="R206" s="10">
        <f>INDEX([1]ratio_ins!P:P,MATCH('001_population_health_zone_zs'!$B$2,[1]ratio_ins!$B:$B,0))*$G206*INDEX([1]ratio_ins!$C:$C,MATCH('001_population_health_zone_zs'!$B206,[1]ratio_ins!$B:$B,0))</f>
        <v>2776.0025430000001</v>
      </c>
      <c r="S206" s="10">
        <f>INDEX([1]ratio_ins!Q:Q,MATCH('001_population_health_zone_zs'!$B$2,[1]ratio_ins!$B:$B,0))*$G206*INDEX([1]ratio_ins!$C:$C,MATCH('001_population_health_zone_zs'!$B206,[1]ratio_ins!$B:$B,0))</f>
        <v>2337.6863520000002</v>
      </c>
      <c r="T206" s="10">
        <f>INDEX([1]ratio_ins!R:R,MATCH('001_population_health_zone_zs'!$B$2,[1]ratio_ins!$B:$B,0))*$G206*INDEX([1]ratio_ins!$C:$C,MATCH('001_population_health_zone_zs'!$B206,[1]ratio_ins!$B:$B,0))</f>
        <v>1655.8611660000001</v>
      </c>
      <c r="U206" s="10">
        <f>INDEX([1]ratio_ins!S:S,MATCH('001_population_health_zone_zs'!$B$2,[1]ratio_ins!$B:$B,0))*$G206*INDEX([1]ratio_ins!$C:$C,MATCH('001_population_health_zone_zs'!$B206,[1]ratio_ins!$B:$B,0))</f>
        <v>1314.9485730000001</v>
      </c>
      <c r="V206" s="10">
        <f>INDEX([1]ratio_ins!T:T,MATCH('001_population_health_zone_zs'!$B$2,[1]ratio_ins!$B:$B,0))*$G206*INDEX([1]ratio_ins!$C:$C,MATCH('001_population_health_zone_zs'!$B206,[1]ratio_ins!$B:$B,0))</f>
        <v>730.52698499999997</v>
      </c>
      <c r="W206" s="11">
        <f>INDEX([1]ratio_ins!U:U,MATCH('001_population_health_zone_zs'!$B$2,[1]ratio_ins!$B:$B,0))*$G206*INDEX([1]ratio_ins!$C:$C,MATCH('001_population_health_zone_zs'!$B206,[1]ratio_ins!$B:$B,0))</f>
        <v>19928.7761508</v>
      </c>
      <c r="X206" s="10">
        <f>INDEX([1]ratio_ins!V:V,MATCH('001_population_health_zone_zs'!$B$2,[1]ratio_ins!$B:$B,0))*$G206*INDEX([1]ratio_ins!$C:$C,MATCH('001_population_health_zone_zs'!$B206,[1]ratio_ins!$B:$B,0))</f>
        <v>584.42158800000004</v>
      </c>
      <c r="Y206" s="10">
        <f>INDEX([1]ratio_ins!W:W,MATCH('001_population_health_zone_zs'!$B$2,[1]ratio_ins!$B:$B,0))*$G206*INDEX([1]ratio_ins!$C:$C,MATCH('001_population_health_zone_zs'!$B206,[1]ratio_ins!$B:$B,0))</f>
        <v>389.61439200000001</v>
      </c>
      <c r="Z206" s="10">
        <f>INDEX([1]ratio_ins!X:X,MATCH('001_population_health_zone_zs'!$B$2,[1]ratio_ins!$B:$B,0))*$G206*INDEX([1]ratio_ins!$C:$C,MATCH('001_population_health_zone_zs'!$B206,[1]ratio_ins!$B:$B,0))</f>
        <v>194.807196</v>
      </c>
      <c r="AA206" s="10">
        <f>INDEX([1]ratio_ins!Y:Y,MATCH('001_population_health_zone_zs'!$B$2,[1]ratio_ins!$B:$B,0))*$G206*INDEX([1]ratio_ins!$C:$C,MATCH('001_population_health_zone_zs'!$B206,[1]ratio_ins!$B:$B,0))</f>
        <v>97.403598000000002</v>
      </c>
      <c r="AB206" s="11">
        <f>INDEX([1]ratio_ins!Z:Z,MATCH('001_population_health_zone_zs'!$B$2,[1]ratio_ins!$B:$B,0))*$G206*INDEX([1]ratio_ins!$C:$C,MATCH('001_population_health_zone_zs'!$B206,[1]ratio_ins!$B:$B,0))</f>
        <v>1266.2467740000002</v>
      </c>
      <c r="AC206" s="12">
        <f t="shared" si="18"/>
        <v>48701.798999999999</v>
      </c>
      <c r="AD206" s="10">
        <f>INDEX([1]ratio_ins!AA:AA,MATCH('001_population_health_zone_zs'!$B$2,[1]ratio_ins!$B:$B,0))*$G206*INDEX([1]ratio_ins!$D:$D,MATCH('001_population_health_zone_zs'!$B206,[1]ratio_ins!$B:$B,0))</f>
        <v>10602.31221</v>
      </c>
      <c r="AE206" s="10">
        <f>INDEX([1]ratio_ins!AB:AB,MATCH('001_population_health_zone_zs'!$B$2,[1]ratio_ins!$B:$B,0))*$G206*INDEX([1]ratio_ins!$D:$D,MATCH('001_population_health_zone_zs'!$B206,[1]ratio_ins!$B:$B,0))</f>
        <v>8734.2857729999996</v>
      </c>
      <c r="AF206" s="10">
        <f>INDEX([1]ratio_ins!AC:AC,MATCH('001_population_health_zone_zs'!$B$2,[1]ratio_ins!$B:$B,0))*$G206*INDEX([1]ratio_ins!$D:$D,MATCH('001_population_health_zone_zs'!$B206,[1]ratio_ins!$B:$B,0))</f>
        <v>6916.7465369999991</v>
      </c>
      <c r="AG206" s="10">
        <f>INDEX([1]ratio_ins!AD:AD,MATCH('001_population_health_zone_zs'!$B$2,[1]ratio_ins!$B:$B,0))*$G206*INDEX([1]ratio_ins!$D:$D,MATCH('001_population_health_zone_zs'!$B206,[1]ratio_ins!$B:$B,0))</f>
        <v>4190.4376830000001</v>
      </c>
      <c r="AH206" s="10">
        <f>INDEX([1]ratio_ins!AE:AE,MATCH('001_population_health_zone_zs'!$B$2,[1]ratio_ins!$B:$B,0))*$G206*INDEX([1]ratio_ins!$D:$D,MATCH('001_population_health_zone_zs'!$B206,[1]ratio_ins!$B:$B,0))</f>
        <v>2514.2626097999996</v>
      </c>
      <c r="AI206" s="13">
        <f>INDEX([1]ratio_ins!AF:AF,MATCH('001_population_health_zone_zs'!$B$2,[1]ratio_ins!$B:$B,0))*$G206*INDEX([1]ratio_ins!$D:$D,MATCH('001_population_health_zone_zs'!$B206,[1]ratio_ins!$B:$B,0))</f>
        <v>28767.607129799999</v>
      </c>
      <c r="AJ206" s="10">
        <f>INDEX([1]ratio_ins!AG:AG,MATCH('001_population_health_zone_zs'!$B$2,[1]ratio_ins!$B:$B,0))*$G206*INDEX([1]ratio_ins!$D:$D,MATCH('001_population_health_zone_zs'!$B206,[1]ratio_ins!$B:$B,0))</f>
        <v>1676.1750732</v>
      </c>
      <c r="AK206" s="10">
        <f>INDEX([1]ratio_ins!AH:AH,MATCH('001_population_health_zone_zs'!$B$2,[1]ratio_ins!$B:$B,0))*$G206*INDEX([1]ratio_ins!$D:$D,MATCH('001_population_health_zone_zs'!$B206,[1]ratio_ins!$B:$B,0))</f>
        <v>3736.0528740000004</v>
      </c>
      <c r="AL206" s="10">
        <f>INDEX([1]ratio_ins!AI:AI,MATCH('001_population_health_zone_zs'!$B$2,[1]ratio_ins!$B:$B,0))*$G206*INDEX([1]ratio_ins!$D:$D,MATCH('001_population_health_zone_zs'!$B206,[1]ratio_ins!$B:$B,0))</f>
        <v>3534.1040700000003</v>
      </c>
      <c r="AM206" s="10">
        <f>INDEX([1]ratio_ins!AJ:AJ,MATCH('001_population_health_zone_zs'!$B$2,[1]ratio_ins!$B:$B,0))*$G206*INDEX([1]ratio_ins!$D:$D,MATCH('001_population_health_zone_zs'!$B206,[1]ratio_ins!$B:$B,0))</f>
        <v>3231.1808640000004</v>
      </c>
      <c r="AN206" s="10">
        <f>INDEX([1]ratio_ins!AK:AK,MATCH('001_population_health_zone_zs'!$B$2,[1]ratio_ins!$B:$B,0))*$G206*INDEX([1]ratio_ins!$D:$D,MATCH('001_population_health_zone_zs'!$B206,[1]ratio_ins!$B:$B,0))</f>
        <v>3029.2320600000003</v>
      </c>
      <c r="AO206" s="10">
        <f>INDEX([1]ratio_ins!AL:AL,MATCH('001_population_health_zone_zs'!$B$2,[1]ratio_ins!$B:$B,0))*$G206*INDEX([1]ratio_ins!$D:$D,MATCH('001_population_health_zone_zs'!$B206,[1]ratio_ins!$B:$B,0))</f>
        <v>2271.9240450000002</v>
      </c>
      <c r="AP206" s="10">
        <f>INDEX([1]ratio_ins!AM:AM,MATCH('001_population_health_zone_zs'!$B$2,[1]ratio_ins!$B:$B,0))*$G206*INDEX([1]ratio_ins!$D:$D,MATCH('001_population_health_zone_zs'!$B206,[1]ratio_ins!$B:$B,0))</f>
        <v>1464.128829</v>
      </c>
      <c r="AQ206" s="10">
        <f>INDEX([1]ratio_ins!AN:AN,MATCH('001_population_health_zone_zs'!$B$2,[1]ratio_ins!$B:$B,0))*$G206*INDEX([1]ratio_ins!$D:$D,MATCH('001_population_health_zone_zs'!$B206,[1]ratio_ins!$B:$B,0))</f>
        <v>1161.2056229999998</v>
      </c>
      <c r="AR206" s="10">
        <f>INDEX([1]ratio_ins!AO:AO,MATCH('001_population_health_zone_zs'!$B$2,[1]ratio_ins!$B:$B,0))*$G206*INDEX([1]ratio_ins!$D:$D,MATCH('001_population_health_zone_zs'!$B206,[1]ratio_ins!$B:$B,0))</f>
        <v>555.35921100000007</v>
      </c>
      <c r="AS206" s="13">
        <f>INDEX([1]ratio_ins!AP:AP,MATCH('001_population_health_zone_zs'!$B$2,[1]ratio_ins!$B:$B,0))*$G206*INDEX([1]ratio_ins!$D:$D,MATCH('001_population_health_zone_zs'!$B206,[1]ratio_ins!$B:$B,0))</f>
        <v>20659.3626492</v>
      </c>
      <c r="AT206" s="10">
        <f>INDEX([1]ratio_ins!AQ:AQ,MATCH('001_population_health_zone_zs'!$B$2,[1]ratio_ins!$B:$B,0))*$G206*INDEX([1]ratio_ins!$D:$D,MATCH('001_population_health_zone_zs'!$B206,[1]ratio_ins!$B:$B,0))</f>
        <v>504.87200999999999</v>
      </c>
      <c r="AU206" s="10">
        <f>INDEX([1]ratio_ins!AR:AR,MATCH('001_population_health_zone_zs'!$B$2,[1]ratio_ins!$B:$B,0))*$G206*INDEX([1]ratio_ins!$D:$D,MATCH('001_population_health_zone_zs'!$B206,[1]ratio_ins!$B:$B,0))</f>
        <v>302.92320599999999</v>
      </c>
      <c r="AV206" s="10">
        <f>INDEX([1]ratio_ins!AS:AS,MATCH('001_population_health_zone_zs'!$B$2,[1]ratio_ins!$B:$B,0))*$G206*INDEX([1]ratio_ins!$D:$D,MATCH('001_population_health_zone_zs'!$B206,[1]ratio_ins!$B:$B,0))</f>
        <v>151.461603</v>
      </c>
      <c r="AW206" s="10">
        <f>INDEX([1]ratio_ins!AT:AT,MATCH('001_population_health_zone_zs'!$B$2,[1]ratio_ins!$B:$B,0))*$G206*INDEX([1]ratio_ins!$D:$D,MATCH('001_population_health_zone_zs'!$B206,[1]ratio_ins!$B:$B,0))</f>
        <v>100.97440200000001</v>
      </c>
      <c r="AX206" s="13">
        <f>INDEX([1]ratio_ins!AU:AU,MATCH('001_population_health_zone_zs'!$B$2,[1]ratio_ins!$B:$B,0))*$G206*INDEX([1]ratio_ins!$D:$D,MATCH('001_population_health_zone_zs'!$B206,[1]ratio_ins!$B:$B,0))</f>
        <v>1060.2312209999998</v>
      </c>
      <c r="AY206" s="14">
        <f t="shared" si="19"/>
        <v>50487.201000000001</v>
      </c>
      <c r="AZ206" s="15">
        <f t="shared" si="20"/>
        <v>99189</v>
      </c>
      <c r="BA206" s="16">
        <v>96499.526974100867</v>
      </c>
      <c r="BB206" s="10">
        <f t="shared" si="21"/>
        <v>21457.060425000003</v>
      </c>
      <c r="BC206" s="17">
        <f t="shared" si="22"/>
        <v>0.21632500000000005</v>
      </c>
      <c r="BD206" s="10">
        <f t="shared" si="23"/>
        <v>20308.650182999998</v>
      </c>
    </row>
    <row r="207" spans="1:56" x14ac:dyDescent="0.25">
      <c r="A207" s="8" t="s">
        <v>470</v>
      </c>
      <c r="B207" s="8" t="s">
        <v>471</v>
      </c>
      <c r="C207" s="8" t="s">
        <v>514</v>
      </c>
      <c r="D207" s="8" t="s">
        <v>515</v>
      </c>
      <c r="E207" s="8" t="s">
        <v>514</v>
      </c>
      <c r="F207" s="8" t="s">
        <v>516</v>
      </c>
      <c r="G207" s="9">
        <v>140506</v>
      </c>
      <c r="H207" s="10">
        <f>INDEX([1]ratio_ins!F:F,MATCH('001_population_health_zone_zs'!$B$2,[1]ratio_ins!$B:$B,0))*$G207*INDEX([1]ratio_ins!$C:$C,MATCH('001_population_health_zone_zs'!$B207,[1]ratio_ins!$B:$B,0))</f>
        <v>14418.585213999999</v>
      </c>
      <c r="I207" s="10">
        <f>INDEX([1]ratio_ins!G:G,MATCH('001_population_health_zone_zs'!$B$2,[1]ratio_ins!$B:$B,0))*$G207*INDEX([1]ratio_ins!$C:$C,MATCH('001_population_health_zone_zs'!$B207,[1]ratio_ins!$B:$B,0))</f>
        <v>11797.024266</v>
      </c>
      <c r="J207" s="10">
        <f>INDEX([1]ratio_ins!H:H,MATCH('001_population_health_zone_zs'!$B$2,[1]ratio_ins!$B:$B,0))*$G207*INDEX([1]ratio_ins!$C:$C,MATCH('001_population_health_zone_zs'!$B207,[1]ratio_ins!$B:$B,0))</f>
        <v>9313.4402100000007</v>
      </c>
      <c r="K207" s="10">
        <f>INDEX([1]ratio_ins!I:I,MATCH('001_population_health_zone_zs'!$B$2,[1]ratio_ins!$B:$B,0))*$G207*INDEX([1]ratio_ins!$C:$C,MATCH('001_population_health_zone_zs'!$B207,[1]ratio_ins!$B:$B,0))</f>
        <v>5726.0410180000008</v>
      </c>
      <c r="L207" s="10">
        <f>INDEX([1]ratio_ins!J:J,MATCH('001_population_health_zone_zs'!$B$2,[1]ratio_ins!$B:$B,0))*$G207*INDEX([1]ratio_ins!$C:$C,MATCH('001_population_health_zone_zs'!$B207,[1]ratio_ins!$B:$B,0))</f>
        <v>3435.6246107999996</v>
      </c>
      <c r="M207" s="11">
        <f>INDEX([1]ratio_ins!K:K,MATCH('001_population_health_zone_zs'!$B$2,[1]ratio_ins!$B:$B,0))*$G207*INDEX([1]ratio_ins!$C:$C,MATCH('001_population_health_zone_zs'!$B207,[1]ratio_ins!$B:$B,0))</f>
        <v>38964.674300799998</v>
      </c>
      <c r="N207" s="10">
        <f>INDEX([1]ratio_ins!L:L,MATCH('001_population_health_zone_zs'!$B$2,[1]ratio_ins!$B:$B,0))*$G207*INDEX([1]ratio_ins!$C:$C,MATCH('001_population_health_zone_zs'!$B207,[1]ratio_ins!$B:$B,0))</f>
        <v>2290.4164072000003</v>
      </c>
      <c r="O207" s="10">
        <f>INDEX([1]ratio_ins!M:M,MATCH('001_population_health_zone_zs'!$B$2,[1]ratio_ins!$B:$B,0))*$G207*INDEX([1]ratio_ins!$C:$C,MATCH('001_population_health_zone_zs'!$B207,[1]ratio_ins!$B:$B,0))</f>
        <v>4967.1681120000003</v>
      </c>
      <c r="P207" s="10">
        <f>INDEX([1]ratio_ins!N:N,MATCH('001_population_health_zone_zs'!$B$2,[1]ratio_ins!$B:$B,0))*$G207*INDEX([1]ratio_ins!$C:$C,MATCH('001_population_health_zone_zs'!$B207,[1]ratio_ins!$B:$B,0))</f>
        <v>4484.24899</v>
      </c>
      <c r="Q207" s="10">
        <f>INDEX([1]ratio_ins!O:O,MATCH('001_population_health_zone_zs'!$B$2,[1]ratio_ins!$B:$B,0))*$G207*INDEX([1]ratio_ins!$C:$C,MATCH('001_population_health_zone_zs'!$B207,[1]ratio_ins!$B:$B,0))</f>
        <v>4001.3298679999994</v>
      </c>
      <c r="R207" s="10">
        <f>INDEX([1]ratio_ins!P:P,MATCH('001_population_health_zone_zs'!$B$2,[1]ratio_ins!$B:$B,0))*$G207*INDEX([1]ratio_ins!$C:$C,MATCH('001_population_health_zone_zs'!$B207,[1]ratio_ins!$B:$B,0))</f>
        <v>3932.3414220000004</v>
      </c>
      <c r="S207" s="10">
        <f>INDEX([1]ratio_ins!Q:Q,MATCH('001_population_health_zone_zs'!$B$2,[1]ratio_ins!$B:$B,0))*$G207*INDEX([1]ratio_ins!$C:$C,MATCH('001_population_health_zone_zs'!$B207,[1]ratio_ins!$B:$B,0))</f>
        <v>3311.445408</v>
      </c>
      <c r="T207" s="10">
        <f>INDEX([1]ratio_ins!R:R,MATCH('001_population_health_zone_zs'!$B$2,[1]ratio_ins!$B:$B,0))*$G207*INDEX([1]ratio_ins!$C:$C,MATCH('001_population_health_zone_zs'!$B207,[1]ratio_ins!$B:$B,0))</f>
        <v>2345.6071640000005</v>
      </c>
      <c r="U207" s="10">
        <f>INDEX([1]ratio_ins!S:S,MATCH('001_population_health_zone_zs'!$B$2,[1]ratio_ins!$B:$B,0))*$G207*INDEX([1]ratio_ins!$C:$C,MATCH('001_population_health_zone_zs'!$B207,[1]ratio_ins!$B:$B,0))</f>
        <v>1862.688042</v>
      </c>
      <c r="V207" s="10">
        <f>INDEX([1]ratio_ins!T:T,MATCH('001_population_health_zone_zs'!$B$2,[1]ratio_ins!$B:$B,0))*$G207*INDEX([1]ratio_ins!$C:$C,MATCH('001_population_health_zone_zs'!$B207,[1]ratio_ins!$B:$B,0))</f>
        <v>1034.8266900000001</v>
      </c>
      <c r="W207" s="11">
        <f>INDEX([1]ratio_ins!U:U,MATCH('001_population_health_zone_zs'!$B$2,[1]ratio_ins!$B:$B,0))*$G207*INDEX([1]ratio_ins!$C:$C,MATCH('001_population_health_zone_zs'!$B207,[1]ratio_ins!$B:$B,0))</f>
        <v>28230.0721032</v>
      </c>
      <c r="X207" s="10">
        <f>INDEX([1]ratio_ins!V:V,MATCH('001_population_health_zone_zs'!$B$2,[1]ratio_ins!$B:$B,0))*$G207*INDEX([1]ratio_ins!$C:$C,MATCH('001_population_health_zone_zs'!$B207,[1]ratio_ins!$B:$B,0))</f>
        <v>827.86135200000001</v>
      </c>
      <c r="Y207" s="10">
        <f>INDEX([1]ratio_ins!W:W,MATCH('001_population_health_zone_zs'!$B$2,[1]ratio_ins!$B:$B,0))*$G207*INDEX([1]ratio_ins!$C:$C,MATCH('001_population_health_zone_zs'!$B207,[1]ratio_ins!$B:$B,0))</f>
        <v>551.90756799999997</v>
      </c>
      <c r="Z207" s="10">
        <f>INDEX([1]ratio_ins!X:X,MATCH('001_population_health_zone_zs'!$B$2,[1]ratio_ins!$B:$B,0))*$G207*INDEX([1]ratio_ins!$C:$C,MATCH('001_population_health_zone_zs'!$B207,[1]ratio_ins!$B:$B,0))</f>
        <v>275.95378399999998</v>
      </c>
      <c r="AA207" s="10">
        <f>INDEX([1]ratio_ins!Y:Y,MATCH('001_population_health_zone_zs'!$B$2,[1]ratio_ins!$B:$B,0))*$G207*INDEX([1]ratio_ins!$C:$C,MATCH('001_population_health_zone_zs'!$B207,[1]ratio_ins!$B:$B,0))</f>
        <v>137.97689199999999</v>
      </c>
      <c r="AB207" s="11">
        <f>INDEX([1]ratio_ins!Z:Z,MATCH('001_population_health_zone_zs'!$B$2,[1]ratio_ins!$B:$B,0))*$G207*INDEX([1]ratio_ins!$C:$C,MATCH('001_population_health_zone_zs'!$B207,[1]ratio_ins!$B:$B,0))</f>
        <v>1793.6995960000002</v>
      </c>
      <c r="AC207" s="12">
        <f t="shared" si="18"/>
        <v>68988.446000000011</v>
      </c>
      <c r="AD207" s="10">
        <f>INDEX([1]ratio_ins!AA:AA,MATCH('001_population_health_zone_zs'!$B$2,[1]ratio_ins!$B:$B,0))*$G207*INDEX([1]ratio_ins!$D:$D,MATCH('001_population_health_zone_zs'!$B207,[1]ratio_ins!$B:$B,0))</f>
        <v>15018.68634</v>
      </c>
      <c r="AE207" s="10">
        <f>INDEX([1]ratio_ins!AB:AB,MATCH('001_population_health_zone_zs'!$B$2,[1]ratio_ins!$B:$B,0))*$G207*INDEX([1]ratio_ins!$D:$D,MATCH('001_population_health_zone_zs'!$B207,[1]ratio_ins!$B:$B,0))</f>
        <v>12372.536842</v>
      </c>
      <c r="AF207" s="10">
        <f>INDEX([1]ratio_ins!AC:AC,MATCH('001_population_health_zone_zs'!$B$2,[1]ratio_ins!$B:$B,0))*$G207*INDEX([1]ratio_ins!$D:$D,MATCH('001_population_health_zone_zs'!$B207,[1]ratio_ins!$B:$B,0))</f>
        <v>9797.9048979999989</v>
      </c>
      <c r="AG207" s="10">
        <f>INDEX([1]ratio_ins!AD:AD,MATCH('001_population_health_zone_zs'!$B$2,[1]ratio_ins!$B:$B,0))*$G207*INDEX([1]ratio_ins!$D:$D,MATCH('001_population_health_zone_zs'!$B207,[1]ratio_ins!$B:$B,0))</f>
        <v>5935.9569820000006</v>
      </c>
      <c r="AH207" s="10">
        <f>INDEX([1]ratio_ins!AE:AE,MATCH('001_population_health_zone_zs'!$B$2,[1]ratio_ins!$B:$B,0))*$G207*INDEX([1]ratio_ins!$D:$D,MATCH('001_population_health_zone_zs'!$B207,[1]ratio_ins!$B:$B,0))</f>
        <v>3561.5741891999996</v>
      </c>
      <c r="AI207" s="13">
        <f>INDEX([1]ratio_ins!AF:AF,MATCH('001_population_health_zone_zs'!$B$2,[1]ratio_ins!$B:$B,0))*$G207*INDEX([1]ratio_ins!$D:$D,MATCH('001_population_health_zone_zs'!$B207,[1]ratio_ins!$B:$B,0))</f>
        <v>40750.702269199995</v>
      </c>
      <c r="AJ207" s="10">
        <f>INDEX([1]ratio_ins!AG:AG,MATCH('001_population_health_zone_zs'!$B$2,[1]ratio_ins!$B:$B,0))*$G207*INDEX([1]ratio_ins!$D:$D,MATCH('001_population_health_zone_zs'!$B207,[1]ratio_ins!$B:$B,0))</f>
        <v>2374.3827928000001</v>
      </c>
      <c r="AK207" s="10">
        <f>INDEX([1]ratio_ins!AH:AH,MATCH('001_population_health_zone_zs'!$B$2,[1]ratio_ins!$B:$B,0))*$G207*INDEX([1]ratio_ins!$D:$D,MATCH('001_population_health_zone_zs'!$B207,[1]ratio_ins!$B:$B,0))</f>
        <v>5292.2989960000004</v>
      </c>
      <c r="AL207" s="10">
        <f>INDEX([1]ratio_ins!AI:AI,MATCH('001_population_health_zone_zs'!$B$2,[1]ratio_ins!$B:$B,0))*$G207*INDEX([1]ratio_ins!$D:$D,MATCH('001_population_health_zone_zs'!$B207,[1]ratio_ins!$B:$B,0))</f>
        <v>5006.2287800000004</v>
      </c>
      <c r="AM207" s="10">
        <f>INDEX([1]ratio_ins!AJ:AJ,MATCH('001_population_health_zone_zs'!$B$2,[1]ratio_ins!$B:$B,0))*$G207*INDEX([1]ratio_ins!$D:$D,MATCH('001_population_health_zone_zs'!$B207,[1]ratio_ins!$B:$B,0))</f>
        <v>4577.1234560000003</v>
      </c>
      <c r="AN207" s="10">
        <f>INDEX([1]ratio_ins!AK:AK,MATCH('001_population_health_zone_zs'!$B$2,[1]ratio_ins!$B:$B,0))*$G207*INDEX([1]ratio_ins!$D:$D,MATCH('001_population_health_zone_zs'!$B207,[1]ratio_ins!$B:$B,0))</f>
        <v>4291.0532400000002</v>
      </c>
      <c r="AO207" s="10">
        <f>INDEX([1]ratio_ins!AL:AL,MATCH('001_population_health_zone_zs'!$B$2,[1]ratio_ins!$B:$B,0))*$G207*INDEX([1]ratio_ins!$D:$D,MATCH('001_population_health_zone_zs'!$B207,[1]ratio_ins!$B:$B,0))</f>
        <v>3218.2899299999999</v>
      </c>
      <c r="AP207" s="10">
        <f>INDEX([1]ratio_ins!AM:AM,MATCH('001_population_health_zone_zs'!$B$2,[1]ratio_ins!$B:$B,0))*$G207*INDEX([1]ratio_ins!$D:$D,MATCH('001_population_health_zone_zs'!$B207,[1]ratio_ins!$B:$B,0))</f>
        <v>2074.0090659999996</v>
      </c>
      <c r="AQ207" s="10">
        <f>INDEX([1]ratio_ins!AN:AN,MATCH('001_population_health_zone_zs'!$B$2,[1]ratio_ins!$B:$B,0))*$G207*INDEX([1]ratio_ins!$D:$D,MATCH('001_population_health_zone_zs'!$B207,[1]ratio_ins!$B:$B,0))</f>
        <v>1644.903742</v>
      </c>
      <c r="AR207" s="10">
        <f>INDEX([1]ratio_ins!AO:AO,MATCH('001_population_health_zone_zs'!$B$2,[1]ratio_ins!$B:$B,0))*$G207*INDEX([1]ratio_ins!$D:$D,MATCH('001_population_health_zone_zs'!$B207,[1]ratio_ins!$B:$B,0))</f>
        <v>786.69309400000009</v>
      </c>
      <c r="AS207" s="13">
        <f>INDEX([1]ratio_ins!AP:AP,MATCH('001_population_health_zone_zs'!$B$2,[1]ratio_ins!$B:$B,0))*$G207*INDEX([1]ratio_ins!$D:$D,MATCH('001_population_health_zone_zs'!$B207,[1]ratio_ins!$B:$B,0))</f>
        <v>29264.983096800002</v>
      </c>
      <c r="AT207" s="10">
        <f>INDEX([1]ratio_ins!AQ:AQ,MATCH('001_population_health_zone_zs'!$B$2,[1]ratio_ins!$B:$B,0))*$G207*INDEX([1]ratio_ins!$D:$D,MATCH('001_population_health_zone_zs'!$B207,[1]ratio_ins!$B:$B,0))</f>
        <v>715.17553999999996</v>
      </c>
      <c r="AU207" s="10">
        <f>INDEX([1]ratio_ins!AR:AR,MATCH('001_population_health_zone_zs'!$B$2,[1]ratio_ins!$B:$B,0))*$G207*INDEX([1]ratio_ins!$D:$D,MATCH('001_population_health_zone_zs'!$B207,[1]ratio_ins!$B:$B,0))</f>
        <v>429.10532400000005</v>
      </c>
      <c r="AV207" s="10">
        <f>INDEX([1]ratio_ins!AS:AS,MATCH('001_population_health_zone_zs'!$B$2,[1]ratio_ins!$B:$B,0))*$G207*INDEX([1]ratio_ins!$D:$D,MATCH('001_population_health_zone_zs'!$B207,[1]ratio_ins!$B:$B,0))</f>
        <v>214.55266200000003</v>
      </c>
      <c r="AW207" s="10">
        <f>INDEX([1]ratio_ins!AT:AT,MATCH('001_population_health_zone_zs'!$B$2,[1]ratio_ins!$B:$B,0))*$G207*INDEX([1]ratio_ins!$D:$D,MATCH('001_population_health_zone_zs'!$B207,[1]ratio_ins!$B:$B,0))</f>
        <v>143.03510800000001</v>
      </c>
      <c r="AX207" s="13">
        <f>INDEX([1]ratio_ins!AU:AU,MATCH('001_population_health_zone_zs'!$B$2,[1]ratio_ins!$B:$B,0))*$G207*INDEX([1]ratio_ins!$D:$D,MATCH('001_population_health_zone_zs'!$B207,[1]ratio_ins!$B:$B,0))</f>
        <v>1501.8686339999999</v>
      </c>
      <c r="AY207" s="14">
        <f t="shared" si="19"/>
        <v>71517.553999999989</v>
      </c>
      <c r="AZ207" s="15">
        <f t="shared" si="20"/>
        <v>140506</v>
      </c>
      <c r="BA207" s="16">
        <v>136696.35290775704</v>
      </c>
      <c r="BB207" s="10">
        <f t="shared" si="21"/>
        <v>30394.960450000002</v>
      </c>
      <c r="BC207" s="17">
        <f t="shared" si="22"/>
        <v>0.21632500000000002</v>
      </c>
      <c r="BD207" s="10">
        <f t="shared" si="23"/>
        <v>28768.181982000002</v>
      </c>
    </row>
    <row r="208" spans="1:56" x14ac:dyDescent="0.25">
      <c r="A208" s="8" t="s">
        <v>470</v>
      </c>
      <c r="B208" s="8" t="s">
        <v>471</v>
      </c>
      <c r="C208" s="8" t="s">
        <v>514</v>
      </c>
      <c r="D208" s="8" t="s">
        <v>515</v>
      </c>
      <c r="E208" s="8" t="s">
        <v>517</v>
      </c>
      <c r="F208" s="8" t="s">
        <v>518</v>
      </c>
      <c r="G208" s="9">
        <v>115685</v>
      </c>
      <c r="H208" s="10">
        <f>INDEX([1]ratio_ins!F:F,MATCH('001_population_health_zone_zs'!$B$2,[1]ratio_ins!$B:$B,0))*$G208*INDEX([1]ratio_ins!$C:$C,MATCH('001_population_health_zone_zs'!$B208,[1]ratio_ins!$B:$B,0))</f>
        <v>11871.479014999999</v>
      </c>
      <c r="I208" s="10">
        <f>INDEX([1]ratio_ins!G:G,MATCH('001_population_health_zone_zs'!$B$2,[1]ratio_ins!$B:$B,0))*$G208*INDEX([1]ratio_ins!$C:$C,MATCH('001_population_health_zone_zs'!$B208,[1]ratio_ins!$B:$B,0))</f>
        <v>9713.0282850000003</v>
      </c>
      <c r="J208" s="10">
        <f>INDEX([1]ratio_ins!H:H,MATCH('001_population_health_zone_zs'!$B$2,[1]ratio_ins!$B:$B,0))*$G208*INDEX([1]ratio_ins!$C:$C,MATCH('001_population_health_zone_zs'!$B208,[1]ratio_ins!$B:$B,0))</f>
        <v>7668.1802250000001</v>
      </c>
      <c r="K208" s="10">
        <f>INDEX([1]ratio_ins!I:I,MATCH('001_population_health_zone_zs'!$B$2,[1]ratio_ins!$B:$B,0))*$G208*INDEX([1]ratio_ins!$C:$C,MATCH('001_population_health_zone_zs'!$B208,[1]ratio_ins!$B:$B,0))</f>
        <v>4714.5108050000008</v>
      </c>
      <c r="L208" s="10">
        <f>INDEX([1]ratio_ins!J:J,MATCH('001_population_health_zone_zs'!$B$2,[1]ratio_ins!$B:$B,0))*$G208*INDEX([1]ratio_ins!$C:$C,MATCH('001_population_health_zone_zs'!$B208,[1]ratio_ins!$B:$B,0))</f>
        <v>2828.7064829999995</v>
      </c>
      <c r="M208" s="11">
        <f>INDEX([1]ratio_ins!K:K,MATCH('001_population_health_zone_zs'!$B$2,[1]ratio_ins!$B:$B,0))*$G208*INDEX([1]ratio_ins!$C:$C,MATCH('001_population_health_zone_zs'!$B208,[1]ratio_ins!$B:$B,0))</f>
        <v>32081.394007999999</v>
      </c>
      <c r="N208" s="10">
        <f>INDEX([1]ratio_ins!L:L,MATCH('001_population_health_zone_zs'!$B$2,[1]ratio_ins!$B:$B,0))*$G208*INDEX([1]ratio_ins!$C:$C,MATCH('001_population_health_zone_zs'!$B208,[1]ratio_ins!$B:$B,0))</f>
        <v>1885.804322</v>
      </c>
      <c r="O208" s="10">
        <f>INDEX([1]ratio_ins!M:M,MATCH('001_population_health_zone_zs'!$B$2,[1]ratio_ins!$B:$B,0))*$G208*INDEX([1]ratio_ins!$C:$C,MATCH('001_population_health_zone_zs'!$B208,[1]ratio_ins!$B:$B,0))</f>
        <v>4089.6961200000005</v>
      </c>
      <c r="P208" s="10">
        <f>INDEX([1]ratio_ins!N:N,MATCH('001_population_health_zone_zs'!$B$2,[1]ratio_ins!$B:$B,0))*$G208*INDEX([1]ratio_ins!$C:$C,MATCH('001_population_health_zone_zs'!$B208,[1]ratio_ins!$B:$B,0))</f>
        <v>3692.0867750000002</v>
      </c>
      <c r="Q208" s="10">
        <f>INDEX([1]ratio_ins!O:O,MATCH('001_population_health_zone_zs'!$B$2,[1]ratio_ins!$B:$B,0))*$G208*INDEX([1]ratio_ins!$C:$C,MATCH('001_population_health_zone_zs'!$B208,[1]ratio_ins!$B:$B,0))</f>
        <v>3294.4774299999999</v>
      </c>
      <c r="R208" s="10">
        <f>INDEX([1]ratio_ins!P:P,MATCH('001_population_health_zone_zs'!$B$2,[1]ratio_ins!$B:$B,0))*$G208*INDEX([1]ratio_ins!$C:$C,MATCH('001_population_health_zone_zs'!$B208,[1]ratio_ins!$B:$B,0))</f>
        <v>3237.6760949999998</v>
      </c>
      <c r="S208" s="10">
        <f>INDEX([1]ratio_ins!Q:Q,MATCH('001_population_health_zone_zs'!$B$2,[1]ratio_ins!$B:$B,0))*$G208*INDEX([1]ratio_ins!$C:$C,MATCH('001_population_health_zone_zs'!$B208,[1]ratio_ins!$B:$B,0))</f>
        <v>2726.4640800000002</v>
      </c>
      <c r="T208" s="10">
        <f>INDEX([1]ratio_ins!R:R,MATCH('001_population_health_zone_zs'!$B$2,[1]ratio_ins!$B:$B,0))*$G208*INDEX([1]ratio_ins!$C:$C,MATCH('001_population_health_zone_zs'!$B208,[1]ratio_ins!$B:$B,0))</f>
        <v>1931.2453900000003</v>
      </c>
      <c r="U208" s="10">
        <f>INDEX([1]ratio_ins!S:S,MATCH('001_population_health_zone_zs'!$B$2,[1]ratio_ins!$B:$B,0))*$G208*INDEX([1]ratio_ins!$C:$C,MATCH('001_population_health_zone_zs'!$B208,[1]ratio_ins!$B:$B,0))</f>
        <v>1533.6360450000002</v>
      </c>
      <c r="V208" s="10">
        <f>INDEX([1]ratio_ins!T:T,MATCH('001_population_health_zone_zs'!$B$2,[1]ratio_ins!$B:$B,0))*$G208*INDEX([1]ratio_ins!$C:$C,MATCH('001_population_health_zone_zs'!$B208,[1]ratio_ins!$B:$B,0))</f>
        <v>852.02002499999992</v>
      </c>
      <c r="W208" s="11">
        <f>INDEX([1]ratio_ins!U:U,MATCH('001_population_health_zone_zs'!$B$2,[1]ratio_ins!$B:$B,0))*$G208*INDEX([1]ratio_ins!$C:$C,MATCH('001_population_health_zone_zs'!$B208,[1]ratio_ins!$B:$B,0))</f>
        <v>23243.106282000001</v>
      </c>
      <c r="X208" s="10">
        <f>INDEX([1]ratio_ins!V:V,MATCH('001_population_health_zone_zs'!$B$2,[1]ratio_ins!$B:$B,0))*$G208*INDEX([1]ratio_ins!$C:$C,MATCH('001_population_health_zone_zs'!$B208,[1]ratio_ins!$B:$B,0))</f>
        <v>681.61602000000005</v>
      </c>
      <c r="Y208" s="10">
        <f>INDEX([1]ratio_ins!W:W,MATCH('001_population_health_zone_zs'!$B$2,[1]ratio_ins!$B:$B,0))*$G208*INDEX([1]ratio_ins!$C:$C,MATCH('001_population_health_zone_zs'!$B208,[1]ratio_ins!$B:$B,0))</f>
        <v>454.41068000000001</v>
      </c>
      <c r="Z208" s="10">
        <f>INDEX([1]ratio_ins!X:X,MATCH('001_population_health_zone_zs'!$B$2,[1]ratio_ins!$B:$B,0))*$G208*INDEX([1]ratio_ins!$C:$C,MATCH('001_population_health_zone_zs'!$B208,[1]ratio_ins!$B:$B,0))</f>
        <v>227.20534000000001</v>
      </c>
      <c r="AA208" s="10">
        <f>INDEX([1]ratio_ins!Y:Y,MATCH('001_population_health_zone_zs'!$B$2,[1]ratio_ins!$B:$B,0))*$G208*INDEX([1]ratio_ins!$C:$C,MATCH('001_population_health_zone_zs'!$B208,[1]ratio_ins!$B:$B,0))</f>
        <v>113.60267</v>
      </c>
      <c r="AB208" s="11">
        <f>INDEX([1]ratio_ins!Z:Z,MATCH('001_population_health_zone_zs'!$B$2,[1]ratio_ins!$B:$B,0))*$G208*INDEX([1]ratio_ins!$C:$C,MATCH('001_population_health_zone_zs'!$B208,[1]ratio_ins!$B:$B,0))</f>
        <v>1476.8347100000001</v>
      </c>
      <c r="AC208" s="12">
        <f t="shared" si="18"/>
        <v>56801.334999999999</v>
      </c>
      <c r="AD208" s="10">
        <f>INDEX([1]ratio_ins!AA:AA,MATCH('001_population_health_zone_zs'!$B$2,[1]ratio_ins!$B:$B,0))*$G208*INDEX([1]ratio_ins!$D:$D,MATCH('001_population_health_zone_zs'!$B208,[1]ratio_ins!$B:$B,0))</f>
        <v>12365.569649999999</v>
      </c>
      <c r="AE208" s="10">
        <f>INDEX([1]ratio_ins!AB:AB,MATCH('001_population_health_zone_zs'!$B$2,[1]ratio_ins!$B:$B,0))*$G208*INDEX([1]ratio_ins!$D:$D,MATCH('001_population_health_zone_zs'!$B208,[1]ratio_ins!$B:$B,0))</f>
        <v>10186.874045</v>
      </c>
      <c r="AF208" s="10">
        <f>INDEX([1]ratio_ins!AC:AC,MATCH('001_population_health_zone_zs'!$B$2,[1]ratio_ins!$B:$B,0))*$G208*INDEX([1]ratio_ins!$D:$D,MATCH('001_population_health_zone_zs'!$B208,[1]ratio_ins!$B:$B,0))</f>
        <v>8067.0621049999991</v>
      </c>
      <c r="AG208" s="10">
        <f>INDEX([1]ratio_ins!AD:AD,MATCH('001_population_health_zone_zs'!$B$2,[1]ratio_ins!$B:$B,0))*$G208*INDEX([1]ratio_ins!$D:$D,MATCH('001_population_health_zone_zs'!$B208,[1]ratio_ins!$B:$B,0))</f>
        <v>4887.3441950000006</v>
      </c>
      <c r="AH208" s="10">
        <f>INDEX([1]ratio_ins!AE:AE,MATCH('001_population_health_zone_zs'!$B$2,[1]ratio_ins!$B:$B,0))*$G208*INDEX([1]ratio_ins!$D:$D,MATCH('001_population_health_zone_zs'!$B208,[1]ratio_ins!$B:$B,0))</f>
        <v>2932.4065169999999</v>
      </c>
      <c r="AI208" s="13">
        <f>INDEX([1]ratio_ins!AF:AF,MATCH('001_population_health_zone_zs'!$B$2,[1]ratio_ins!$B:$B,0))*$G208*INDEX([1]ratio_ins!$D:$D,MATCH('001_population_health_zone_zs'!$B208,[1]ratio_ins!$B:$B,0))</f>
        <v>33551.912316999995</v>
      </c>
      <c r="AJ208" s="10">
        <f>INDEX([1]ratio_ins!AG:AG,MATCH('001_population_health_zone_zs'!$B$2,[1]ratio_ins!$B:$B,0))*$G208*INDEX([1]ratio_ins!$D:$D,MATCH('001_population_health_zone_zs'!$B208,[1]ratio_ins!$B:$B,0))</f>
        <v>1954.9376780000002</v>
      </c>
      <c r="AK208" s="10">
        <f>INDEX([1]ratio_ins!AH:AH,MATCH('001_population_health_zone_zs'!$B$2,[1]ratio_ins!$B:$B,0))*$G208*INDEX([1]ratio_ins!$D:$D,MATCH('001_population_health_zone_zs'!$B208,[1]ratio_ins!$B:$B,0))</f>
        <v>4357.3912100000007</v>
      </c>
      <c r="AL208" s="10">
        <f>INDEX([1]ratio_ins!AI:AI,MATCH('001_population_health_zone_zs'!$B$2,[1]ratio_ins!$B:$B,0))*$G208*INDEX([1]ratio_ins!$D:$D,MATCH('001_population_health_zone_zs'!$B208,[1]ratio_ins!$B:$B,0))</f>
        <v>4121.8565500000004</v>
      </c>
      <c r="AM208" s="10">
        <f>INDEX([1]ratio_ins!AJ:AJ,MATCH('001_population_health_zone_zs'!$B$2,[1]ratio_ins!$B:$B,0))*$G208*INDEX([1]ratio_ins!$D:$D,MATCH('001_population_health_zone_zs'!$B208,[1]ratio_ins!$B:$B,0))</f>
        <v>3768.55456</v>
      </c>
      <c r="AN208" s="10">
        <f>INDEX([1]ratio_ins!AK:AK,MATCH('001_population_health_zone_zs'!$B$2,[1]ratio_ins!$B:$B,0))*$G208*INDEX([1]ratio_ins!$D:$D,MATCH('001_population_health_zone_zs'!$B208,[1]ratio_ins!$B:$B,0))</f>
        <v>3533.0198999999998</v>
      </c>
      <c r="AO208" s="10">
        <f>INDEX([1]ratio_ins!AL:AL,MATCH('001_population_health_zone_zs'!$B$2,[1]ratio_ins!$B:$B,0))*$G208*INDEX([1]ratio_ins!$D:$D,MATCH('001_population_health_zone_zs'!$B208,[1]ratio_ins!$B:$B,0))</f>
        <v>2649.7649249999999</v>
      </c>
      <c r="AP208" s="10">
        <f>INDEX([1]ratio_ins!AM:AM,MATCH('001_population_health_zone_zs'!$B$2,[1]ratio_ins!$B:$B,0))*$G208*INDEX([1]ratio_ins!$D:$D,MATCH('001_population_health_zone_zs'!$B208,[1]ratio_ins!$B:$B,0))</f>
        <v>1707.6262849999998</v>
      </c>
      <c r="AQ208" s="10">
        <f>INDEX([1]ratio_ins!AN:AN,MATCH('001_population_health_zone_zs'!$B$2,[1]ratio_ins!$B:$B,0))*$G208*INDEX([1]ratio_ins!$D:$D,MATCH('001_population_health_zone_zs'!$B208,[1]ratio_ins!$B:$B,0))</f>
        <v>1354.3242950000001</v>
      </c>
      <c r="AR208" s="10">
        <f>INDEX([1]ratio_ins!AO:AO,MATCH('001_population_health_zone_zs'!$B$2,[1]ratio_ins!$B:$B,0))*$G208*INDEX([1]ratio_ins!$D:$D,MATCH('001_population_health_zone_zs'!$B208,[1]ratio_ins!$B:$B,0))</f>
        <v>647.72031500000003</v>
      </c>
      <c r="AS208" s="13">
        <f>INDEX([1]ratio_ins!AP:AP,MATCH('001_population_health_zone_zs'!$B$2,[1]ratio_ins!$B:$B,0))*$G208*INDEX([1]ratio_ins!$D:$D,MATCH('001_population_health_zone_zs'!$B208,[1]ratio_ins!$B:$B,0))</f>
        <v>24095.195718000003</v>
      </c>
      <c r="AT208" s="10">
        <f>INDEX([1]ratio_ins!AQ:AQ,MATCH('001_population_health_zone_zs'!$B$2,[1]ratio_ins!$B:$B,0))*$G208*INDEX([1]ratio_ins!$D:$D,MATCH('001_population_health_zone_zs'!$B208,[1]ratio_ins!$B:$B,0))</f>
        <v>588.83665000000008</v>
      </c>
      <c r="AU208" s="10">
        <f>INDEX([1]ratio_ins!AR:AR,MATCH('001_population_health_zone_zs'!$B$2,[1]ratio_ins!$B:$B,0))*$G208*INDEX([1]ratio_ins!$D:$D,MATCH('001_population_health_zone_zs'!$B208,[1]ratio_ins!$B:$B,0))</f>
        <v>353.30198999999999</v>
      </c>
      <c r="AV208" s="10">
        <f>INDEX([1]ratio_ins!AS:AS,MATCH('001_population_health_zone_zs'!$B$2,[1]ratio_ins!$B:$B,0))*$G208*INDEX([1]ratio_ins!$D:$D,MATCH('001_population_health_zone_zs'!$B208,[1]ratio_ins!$B:$B,0))</f>
        <v>176.65099499999999</v>
      </c>
      <c r="AW208" s="10">
        <f>INDEX([1]ratio_ins!AT:AT,MATCH('001_population_health_zone_zs'!$B$2,[1]ratio_ins!$B:$B,0))*$G208*INDEX([1]ratio_ins!$D:$D,MATCH('001_population_health_zone_zs'!$B208,[1]ratio_ins!$B:$B,0))</f>
        <v>117.76733</v>
      </c>
      <c r="AX208" s="13">
        <f>INDEX([1]ratio_ins!AU:AU,MATCH('001_population_health_zone_zs'!$B$2,[1]ratio_ins!$B:$B,0))*$G208*INDEX([1]ratio_ins!$D:$D,MATCH('001_population_health_zone_zs'!$B208,[1]ratio_ins!$B:$B,0))</f>
        <v>1236.556965</v>
      </c>
      <c r="AY208" s="14">
        <f t="shared" si="19"/>
        <v>58883.665000000001</v>
      </c>
      <c r="AZ208" s="15">
        <f t="shared" si="20"/>
        <v>115685</v>
      </c>
      <c r="BA208" s="16">
        <v>112548.8505531268</v>
      </c>
      <c r="BB208" s="10">
        <f t="shared" si="21"/>
        <v>25025.557624999998</v>
      </c>
      <c r="BC208" s="17">
        <f t="shared" si="22"/>
        <v>0.21632499999999999</v>
      </c>
      <c r="BD208" s="10">
        <f t="shared" si="23"/>
        <v>23686.156695000001</v>
      </c>
    </row>
    <row r="209" spans="1:56" x14ac:dyDescent="0.25">
      <c r="A209" s="8" t="s">
        <v>470</v>
      </c>
      <c r="B209" s="8" t="s">
        <v>471</v>
      </c>
      <c r="C209" s="8" t="s">
        <v>519</v>
      </c>
      <c r="D209" s="8" t="s">
        <v>520</v>
      </c>
      <c r="E209" s="8" t="s">
        <v>521</v>
      </c>
      <c r="F209" s="8" t="s">
        <v>522</v>
      </c>
      <c r="G209" s="9">
        <v>69370</v>
      </c>
      <c r="H209" s="10">
        <f>INDEX([1]ratio_ins!F:F,MATCH('001_population_health_zone_zs'!$B$2,[1]ratio_ins!$B:$B,0))*$G209*INDEX([1]ratio_ins!$C:$C,MATCH('001_population_health_zone_zs'!$B209,[1]ratio_ins!$B:$B,0))</f>
        <v>7118.6800299999995</v>
      </c>
      <c r="I209" s="10">
        <f>INDEX([1]ratio_ins!G:G,MATCH('001_population_health_zone_zs'!$B$2,[1]ratio_ins!$B:$B,0))*$G209*INDEX([1]ratio_ins!$C:$C,MATCH('001_population_health_zone_zs'!$B209,[1]ratio_ins!$B:$B,0))</f>
        <v>5824.3745699999999</v>
      </c>
      <c r="J209" s="10">
        <f>INDEX([1]ratio_ins!H:H,MATCH('001_population_health_zone_zs'!$B$2,[1]ratio_ins!$B:$B,0))*$G209*INDEX([1]ratio_ins!$C:$C,MATCH('001_population_health_zone_zs'!$B209,[1]ratio_ins!$B:$B,0))</f>
        <v>4598.1904500000001</v>
      </c>
      <c r="K209" s="10">
        <f>INDEX([1]ratio_ins!I:I,MATCH('001_population_health_zone_zs'!$B$2,[1]ratio_ins!$B:$B,0))*$G209*INDEX([1]ratio_ins!$C:$C,MATCH('001_population_health_zone_zs'!$B209,[1]ratio_ins!$B:$B,0))</f>
        <v>2827.0356099999999</v>
      </c>
      <c r="L209" s="10">
        <f>INDEX([1]ratio_ins!J:J,MATCH('001_population_health_zone_zs'!$B$2,[1]ratio_ins!$B:$B,0))*$G209*INDEX([1]ratio_ins!$C:$C,MATCH('001_population_health_zone_zs'!$B209,[1]ratio_ins!$B:$B,0))</f>
        <v>1696.2213659999998</v>
      </c>
      <c r="M209" s="11">
        <f>INDEX([1]ratio_ins!K:K,MATCH('001_population_health_zone_zs'!$B$2,[1]ratio_ins!$B:$B,0))*$G209*INDEX([1]ratio_ins!$C:$C,MATCH('001_population_health_zone_zs'!$B209,[1]ratio_ins!$B:$B,0))</f>
        <v>19237.466415999999</v>
      </c>
      <c r="N209" s="10">
        <f>INDEX([1]ratio_ins!L:L,MATCH('001_population_health_zone_zs'!$B$2,[1]ratio_ins!$B:$B,0))*$G209*INDEX([1]ratio_ins!$C:$C,MATCH('001_population_health_zone_zs'!$B209,[1]ratio_ins!$B:$B,0))</f>
        <v>1130.8142439999999</v>
      </c>
      <c r="O209" s="10">
        <f>INDEX([1]ratio_ins!M:M,MATCH('001_population_health_zone_zs'!$B$2,[1]ratio_ins!$B:$B,0))*$G209*INDEX([1]ratio_ins!$C:$C,MATCH('001_population_health_zone_zs'!$B209,[1]ratio_ins!$B:$B,0))</f>
        <v>2452.3682400000002</v>
      </c>
      <c r="P209" s="10">
        <f>INDEX([1]ratio_ins!N:N,MATCH('001_population_health_zone_zs'!$B$2,[1]ratio_ins!$B:$B,0))*$G209*INDEX([1]ratio_ins!$C:$C,MATCH('001_population_health_zone_zs'!$B209,[1]ratio_ins!$B:$B,0))</f>
        <v>2213.94355</v>
      </c>
      <c r="Q209" s="10">
        <f>INDEX([1]ratio_ins!O:O,MATCH('001_population_health_zone_zs'!$B$2,[1]ratio_ins!$B:$B,0))*$G209*INDEX([1]ratio_ins!$C:$C,MATCH('001_population_health_zone_zs'!$B209,[1]ratio_ins!$B:$B,0))</f>
        <v>1975.5188599999997</v>
      </c>
      <c r="R209" s="10">
        <f>INDEX([1]ratio_ins!P:P,MATCH('001_population_health_zone_zs'!$B$2,[1]ratio_ins!$B:$B,0))*$G209*INDEX([1]ratio_ins!$C:$C,MATCH('001_population_health_zone_zs'!$B209,[1]ratio_ins!$B:$B,0))</f>
        <v>1941.4581900000001</v>
      </c>
      <c r="S209" s="10">
        <f>INDEX([1]ratio_ins!Q:Q,MATCH('001_population_health_zone_zs'!$B$2,[1]ratio_ins!$B:$B,0))*$G209*INDEX([1]ratio_ins!$C:$C,MATCH('001_population_health_zone_zs'!$B209,[1]ratio_ins!$B:$B,0))</f>
        <v>1634.9121600000001</v>
      </c>
      <c r="T209" s="10">
        <f>INDEX([1]ratio_ins!R:R,MATCH('001_population_health_zone_zs'!$B$2,[1]ratio_ins!$B:$B,0))*$G209*INDEX([1]ratio_ins!$C:$C,MATCH('001_population_health_zone_zs'!$B209,[1]ratio_ins!$B:$B,0))</f>
        <v>1158.0627800000002</v>
      </c>
      <c r="U209" s="10">
        <f>INDEX([1]ratio_ins!S:S,MATCH('001_population_health_zone_zs'!$B$2,[1]ratio_ins!$B:$B,0))*$G209*INDEX([1]ratio_ins!$C:$C,MATCH('001_population_health_zone_zs'!$B209,[1]ratio_ins!$B:$B,0))</f>
        <v>919.63809000000015</v>
      </c>
      <c r="V209" s="10">
        <f>INDEX([1]ratio_ins!T:T,MATCH('001_population_health_zone_zs'!$B$2,[1]ratio_ins!$B:$B,0))*$G209*INDEX([1]ratio_ins!$C:$C,MATCH('001_population_health_zone_zs'!$B209,[1]ratio_ins!$B:$B,0))</f>
        <v>510.91004999999996</v>
      </c>
      <c r="W209" s="11">
        <f>INDEX([1]ratio_ins!U:U,MATCH('001_population_health_zone_zs'!$B$2,[1]ratio_ins!$B:$B,0))*$G209*INDEX([1]ratio_ins!$C:$C,MATCH('001_population_health_zone_zs'!$B209,[1]ratio_ins!$B:$B,0))</f>
        <v>13937.626164000001</v>
      </c>
      <c r="X209" s="10">
        <f>INDEX([1]ratio_ins!V:V,MATCH('001_population_health_zone_zs'!$B$2,[1]ratio_ins!$B:$B,0))*$G209*INDEX([1]ratio_ins!$C:$C,MATCH('001_population_health_zone_zs'!$B209,[1]ratio_ins!$B:$B,0))</f>
        <v>408.72804000000002</v>
      </c>
      <c r="Y209" s="10">
        <f>INDEX([1]ratio_ins!W:W,MATCH('001_population_health_zone_zs'!$B$2,[1]ratio_ins!$B:$B,0))*$G209*INDEX([1]ratio_ins!$C:$C,MATCH('001_population_health_zone_zs'!$B209,[1]ratio_ins!$B:$B,0))</f>
        <v>272.48536000000001</v>
      </c>
      <c r="Z209" s="10">
        <f>INDEX([1]ratio_ins!X:X,MATCH('001_population_health_zone_zs'!$B$2,[1]ratio_ins!$B:$B,0))*$G209*INDEX([1]ratio_ins!$C:$C,MATCH('001_population_health_zone_zs'!$B209,[1]ratio_ins!$B:$B,0))</f>
        <v>136.24268000000001</v>
      </c>
      <c r="AA209" s="10">
        <f>INDEX([1]ratio_ins!Y:Y,MATCH('001_population_health_zone_zs'!$B$2,[1]ratio_ins!$B:$B,0))*$G209*INDEX([1]ratio_ins!$C:$C,MATCH('001_population_health_zone_zs'!$B209,[1]ratio_ins!$B:$B,0))</f>
        <v>68.121340000000004</v>
      </c>
      <c r="AB209" s="11">
        <f>INDEX([1]ratio_ins!Z:Z,MATCH('001_population_health_zone_zs'!$B$2,[1]ratio_ins!$B:$B,0))*$G209*INDEX([1]ratio_ins!$C:$C,MATCH('001_population_health_zone_zs'!$B209,[1]ratio_ins!$B:$B,0))</f>
        <v>885.57742000000007</v>
      </c>
      <c r="AC209" s="12">
        <f t="shared" si="18"/>
        <v>34060.67</v>
      </c>
      <c r="AD209" s="10">
        <f>INDEX([1]ratio_ins!AA:AA,MATCH('001_population_health_zone_zs'!$B$2,[1]ratio_ins!$B:$B,0))*$G209*INDEX([1]ratio_ins!$D:$D,MATCH('001_population_health_zone_zs'!$B209,[1]ratio_ins!$B:$B,0))</f>
        <v>7414.9592999999995</v>
      </c>
      <c r="AE209" s="10">
        <f>INDEX([1]ratio_ins!AB:AB,MATCH('001_population_health_zone_zs'!$B$2,[1]ratio_ins!$B:$B,0))*$G209*INDEX([1]ratio_ins!$D:$D,MATCH('001_population_health_zone_zs'!$B209,[1]ratio_ins!$B:$B,0))</f>
        <v>6108.5140900000006</v>
      </c>
      <c r="AF209" s="10">
        <f>INDEX([1]ratio_ins!AC:AC,MATCH('001_population_health_zone_zs'!$B$2,[1]ratio_ins!$B:$B,0))*$G209*INDEX([1]ratio_ins!$D:$D,MATCH('001_population_health_zone_zs'!$B209,[1]ratio_ins!$B:$B,0))</f>
        <v>4837.3782099999999</v>
      </c>
      <c r="AG209" s="10">
        <f>INDEX([1]ratio_ins!AD:AD,MATCH('001_population_health_zone_zs'!$B$2,[1]ratio_ins!$B:$B,0))*$G209*INDEX([1]ratio_ins!$D:$D,MATCH('001_population_health_zone_zs'!$B209,[1]ratio_ins!$B:$B,0))</f>
        <v>2930.6743900000001</v>
      </c>
      <c r="AH209" s="10">
        <f>INDEX([1]ratio_ins!AE:AE,MATCH('001_population_health_zone_zs'!$B$2,[1]ratio_ins!$B:$B,0))*$G209*INDEX([1]ratio_ins!$D:$D,MATCH('001_population_health_zone_zs'!$B209,[1]ratio_ins!$B:$B,0))</f>
        <v>1758.404634</v>
      </c>
      <c r="AI209" s="13">
        <f>INDEX([1]ratio_ins!AF:AF,MATCH('001_population_health_zone_zs'!$B$2,[1]ratio_ins!$B:$B,0))*$G209*INDEX([1]ratio_ins!$D:$D,MATCH('001_population_health_zone_zs'!$B209,[1]ratio_ins!$B:$B,0))</f>
        <v>20119.256234</v>
      </c>
      <c r="AJ209" s="10">
        <f>INDEX([1]ratio_ins!AG:AG,MATCH('001_population_health_zone_zs'!$B$2,[1]ratio_ins!$B:$B,0))*$G209*INDEX([1]ratio_ins!$D:$D,MATCH('001_population_health_zone_zs'!$B209,[1]ratio_ins!$B:$B,0))</f>
        <v>1172.2697559999999</v>
      </c>
      <c r="AK209" s="10">
        <f>INDEX([1]ratio_ins!AH:AH,MATCH('001_population_health_zone_zs'!$B$2,[1]ratio_ins!$B:$B,0))*$G209*INDEX([1]ratio_ins!$D:$D,MATCH('001_population_health_zone_zs'!$B209,[1]ratio_ins!$B:$B,0))</f>
        <v>2612.8904200000006</v>
      </c>
      <c r="AL209" s="10">
        <f>INDEX([1]ratio_ins!AI:AI,MATCH('001_population_health_zone_zs'!$B$2,[1]ratio_ins!$B:$B,0))*$G209*INDEX([1]ratio_ins!$D:$D,MATCH('001_population_health_zone_zs'!$B209,[1]ratio_ins!$B:$B,0))</f>
        <v>2471.6531000000004</v>
      </c>
      <c r="AM209" s="10">
        <f>INDEX([1]ratio_ins!AJ:AJ,MATCH('001_population_health_zone_zs'!$B$2,[1]ratio_ins!$B:$B,0))*$G209*INDEX([1]ratio_ins!$D:$D,MATCH('001_population_health_zone_zs'!$B209,[1]ratio_ins!$B:$B,0))</f>
        <v>2259.7971200000002</v>
      </c>
      <c r="AN209" s="10">
        <f>INDEX([1]ratio_ins!AK:AK,MATCH('001_population_health_zone_zs'!$B$2,[1]ratio_ins!$B:$B,0))*$G209*INDEX([1]ratio_ins!$D:$D,MATCH('001_population_health_zone_zs'!$B209,[1]ratio_ins!$B:$B,0))</f>
        <v>2118.5598</v>
      </c>
      <c r="AO209" s="10">
        <f>INDEX([1]ratio_ins!AL:AL,MATCH('001_population_health_zone_zs'!$B$2,[1]ratio_ins!$B:$B,0))*$G209*INDEX([1]ratio_ins!$D:$D,MATCH('001_population_health_zone_zs'!$B209,[1]ratio_ins!$B:$B,0))</f>
        <v>1588.91985</v>
      </c>
      <c r="AP209" s="10">
        <f>INDEX([1]ratio_ins!AM:AM,MATCH('001_population_health_zone_zs'!$B$2,[1]ratio_ins!$B:$B,0))*$G209*INDEX([1]ratio_ins!$D:$D,MATCH('001_population_health_zone_zs'!$B209,[1]ratio_ins!$B:$B,0))</f>
        <v>1023.97057</v>
      </c>
      <c r="AQ209" s="10">
        <f>INDEX([1]ratio_ins!AN:AN,MATCH('001_population_health_zone_zs'!$B$2,[1]ratio_ins!$B:$B,0))*$G209*INDEX([1]ratio_ins!$D:$D,MATCH('001_population_health_zone_zs'!$B209,[1]ratio_ins!$B:$B,0))</f>
        <v>812.11459000000002</v>
      </c>
      <c r="AR209" s="10">
        <f>INDEX([1]ratio_ins!AO:AO,MATCH('001_population_health_zone_zs'!$B$2,[1]ratio_ins!$B:$B,0))*$G209*INDEX([1]ratio_ins!$D:$D,MATCH('001_population_health_zone_zs'!$B209,[1]ratio_ins!$B:$B,0))</f>
        <v>388.40263000000004</v>
      </c>
      <c r="AS209" s="13">
        <f>INDEX([1]ratio_ins!AP:AP,MATCH('001_population_health_zone_zs'!$B$2,[1]ratio_ins!$B:$B,0))*$G209*INDEX([1]ratio_ins!$D:$D,MATCH('001_population_health_zone_zs'!$B209,[1]ratio_ins!$B:$B,0))</f>
        <v>14448.577836</v>
      </c>
      <c r="AT209" s="10">
        <f>INDEX([1]ratio_ins!AQ:AQ,MATCH('001_population_health_zone_zs'!$B$2,[1]ratio_ins!$B:$B,0))*$G209*INDEX([1]ratio_ins!$D:$D,MATCH('001_population_health_zone_zs'!$B209,[1]ratio_ins!$B:$B,0))</f>
        <v>353.09330000000006</v>
      </c>
      <c r="AU209" s="10">
        <f>INDEX([1]ratio_ins!AR:AR,MATCH('001_population_health_zone_zs'!$B$2,[1]ratio_ins!$B:$B,0))*$G209*INDEX([1]ratio_ins!$D:$D,MATCH('001_population_health_zone_zs'!$B209,[1]ratio_ins!$B:$B,0))</f>
        <v>211.85598000000002</v>
      </c>
      <c r="AV209" s="10">
        <f>INDEX([1]ratio_ins!AS:AS,MATCH('001_population_health_zone_zs'!$B$2,[1]ratio_ins!$B:$B,0))*$G209*INDEX([1]ratio_ins!$D:$D,MATCH('001_population_health_zone_zs'!$B209,[1]ratio_ins!$B:$B,0))</f>
        <v>105.92799000000001</v>
      </c>
      <c r="AW209" s="10">
        <f>INDEX([1]ratio_ins!AT:AT,MATCH('001_population_health_zone_zs'!$B$2,[1]ratio_ins!$B:$B,0))*$G209*INDEX([1]ratio_ins!$D:$D,MATCH('001_population_health_zone_zs'!$B209,[1]ratio_ins!$B:$B,0))</f>
        <v>70.618660000000006</v>
      </c>
      <c r="AX209" s="13">
        <f>INDEX([1]ratio_ins!AU:AU,MATCH('001_population_health_zone_zs'!$B$2,[1]ratio_ins!$B:$B,0))*$G209*INDEX([1]ratio_ins!$D:$D,MATCH('001_population_health_zone_zs'!$B209,[1]ratio_ins!$B:$B,0))</f>
        <v>741.49592999999993</v>
      </c>
      <c r="AY209" s="14">
        <f t="shared" si="19"/>
        <v>35309.329999999994</v>
      </c>
      <c r="AZ209" s="15">
        <f t="shared" si="20"/>
        <v>69370</v>
      </c>
      <c r="BA209" s="16">
        <v>67489.463255391049</v>
      </c>
      <c r="BB209" s="10">
        <f t="shared" si="21"/>
        <v>15006.465250000001</v>
      </c>
      <c r="BC209" s="17">
        <f t="shared" si="22"/>
        <v>0.21632500000000002</v>
      </c>
      <c r="BD209" s="10">
        <f t="shared" si="23"/>
        <v>14203.29939</v>
      </c>
    </row>
    <row r="210" spans="1:56" x14ac:dyDescent="0.25">
      <c r="A210" s="8" t="s">
        <v>470</v>
      </c>
      <c r="B210" s="8" t="s">
        <v>471</v>
      </c>
      <c r="C210" s="8" t="s">
        <v>519</v>
      </c>
      <c r="D210" s="8" t="s">
        <v>520</v>
      </c>
      <c r="E210" s="8" t="s">
        <v>519</v>
      </c>
      <c r="F210" s="8" t="s">
        <v>523</v>
      </c>
      <c r="G210" s="9">
        <v>79502</v>
      </c>
      <c r="H210" s="10">
        <f>INDEX([1]ratio_ins!F:F,MATCH('001_population_health_zone_zs'!$B$2,[1]ratio_ins!$B:$B,0))*$G210*INDEX([1]ratio_ins!$C:$C,MATCH('001_population_health_zone_zs'!$B210,[1]ratio_ins!$B:$B,0))</f>
        <v>8158.4157379999988</v>
      </c>
      <c r="I210" s="10">
        <f>INDEX([1]ratio_ins!G:G,MATCH('001_population_health_zone_zs'!$B$2,[1]ratio_ins!$B:$B,0))*$G210*INDEX([1]ratio_ins!$C:$C,MATCH('001_population_health_zone_zs'!$B210,[1]ratio_ins!$B:$B,0))</f>
        <v>6675.0674220000001</v>
      </c>
      <c r="J210" s="10">
        <f>INDEX([1]ratio_ins!H:H,MATCH('001_population_health_zone_zs'!$B$2,[1]ratio_ins!$B:$B,0))*$G210*INDEX([1]ratio_ins!$C:$C,MATCH('001_population_health_zone_zs'!$B210,[1]ratio_ins!$B:$B,0))</f>
        <v>5269.79007</v>
      </c>
      <c r="K210" s="10">
        <f>INDEX([1]ratio_ins!I:I,MATCH('001_population_health_zone_zs'!$B$2,[1]ratio_ins!$B:$B,0))*$G210*INDEX([1]ratio_ins!$C:$C,MATCH('001_population_health_zone_zs'!$B210,[1]ratio_ins!$B:$B,0))</f>
        <v>3239.9450059999999</v>
      </c>
      <c r="L210" s="10">
        <f>INDEX([1]ratio_ins!J:J,MATCH('001_population_health_zone_zs'!$B$2,[1]ratio_ins!$B:$B,0))*$G210*INDEX([1]ratio_ins!$C:$C,MATCH('001_population_health_zone_zs'!$B210,[1]ratio_ins!$B:$B,0))</f>
        <v>1943.9670036</v>
      </c>
      <c r="M210" s="11">
        <f>INDEX([1]ratio_ins!K:K,MATCH('001_population_health_zone_zs'!$B$2,[1]ratio_ins!$B:$B,0))*$G210*INDEX([1]ratio_ins!$C:$C,MATCH('001_population_health_zone_zs'!$B210,[1]ratio_ins!$B:$B,0))</f>
        <v>22047.240233599998</v>
      </c>
      <c r="N210" s="10">
        <f>INDEX([1]ratio_ins!L:L,MATCH('001_population_health_zone_zs'!$B$2,[1]ratio_ins!$B:$B,0))*$G210*INDEX([1]ratio_ins!$C:$C,MATCH('001_population_health_zone_zs'!$B210,[1]ratio_ins!$B:$B,0))</f>
        <v>1295.9780024000002</v>
      </c>
      <c r="O210" s="10">
        <f>INDEX([1]ratio_ins!M:M,MATCH('001_population_health_zone_zs'!$B$2,[1]ratio_ins!$B:$B,0))*$G210*INDEX([1]ratio_ins!$C:$C,MATCH('001_population_health_zone_zs'!$B210,[1]ratio_ins!$B:$B,0))</f>
        <v>2810.5547040000001</v>
      </c>
      <c r="P210" s="10">
        <f>INDEX([1]ratio_ins!N:N,MATCH('001_population_health_zone_zs'!$B$2,[1]ratio_ins!$B:$B,0))*$G210*INDEX([1]ratio_ins!$C:$C,MATCH('001_population_health_zone_zs'!$B210,[1]ratio_ins!$B:$B,0))</f>
        <v>2537.3063299999999</v>
      </c>
      <c r="Q210" s="10">
        <f>INDEX([1]ratio_ins!O:O,MATCH('001_population_health_zone_zs'!$B$2,[1]ratio_ins!$B:$B,0))*$G210*INDEX([1]ratio_ins!$C:$C,MATCH('001_population_health_zone_zs'!$B210,[1]ratio_ins!$B:$B,0))</f>
        <v>2264.0579560000001</v>
      </c>
      <c r="R210" s="10">
        <f>INDEX([1]ratio_ins!P:P,MATCH('001_population_health_zone_zs'!$B$2,[1]ratio_ins!$B:$B,0))*$G210*INDEX([1]ratio_ins!$C:$C,MATCH('001_population_health_zone_zs'!$B210,[1]ratio_ins!$B:$B,0))</f>
        <v>2225.0224740000003</v>
      </c>
      <c r="S210" s="10">
        <f>INDEX([1]ratio_ins!Q:Q,MATCH('001_population_health_zone_zs'!$B$2,[1]ratio_ins!$B:$B,0))*$G210*INDEX([1]ratio_ins!$C:$C,MATCH('001_population_health_zone_zs'!$B210,[1]ratio_ins!$B:$B,0))</f>
        <v>1873.7031359999999</v>
      </c>
      <c r="T210" s="10">
        <f>INDEX([1]ratio_ins!R:R,MATCH('001_population_health_zone_zs'!$B$2,[1]ratio_ins!$B:$B,0))*$G210*INDEX([1]ratio_ins!$C:$C,MATCH('001_population_health_zone_zs'!$B210,[1]ratio_ins!$B:$B,0))</f>
        <v>1327.2063880000001</v>
      </c>
      <c r="U210" s="10">
        <f>INDEX([1]ratio_ins!S:S,MATCH('001_population_health_zone_zs'!$B$2,[1]ratio_ins!$B:$B,0))*$G210*INDEX([1]ratio_ins!$C:$C,MATCH('001_population_health_zone_zs'!$B210,[1]ratio_ins!$B:$B,0))</f>
        <v>1053.958014</v>
      </c>
      <c r="V210" s="10">
        <f>INDEX([1]ratio_ins!T:T,MATCH('001_population_health_zone_zs'!$B$2,[1]ratio_ins!$B:$B,0))*$G210*INDEX([1]ratio_ins!$C:$C,MATCH('001_population_health_zone_zs'!$B210,[1]ratio_ins!$B:$B,0))</f>
        <v>585.53223000000003</v>
      </c>
      <c r="W210" s="11">
        <f>INDEX([1]ratio_ins!U:U,MATCH('001_population_health_zone_zs'!$B$2,[1]ratio_ins!$B:$B,0))*$G210*INDEX([1]ratio_ins!$C:$C,MATCH('001_population_health_zone_zs'!$B210,[1]ratio_ins!$B:$B,0))</f>
        <v>15973.3192344</v>
      </c>
      <c r="X210" s="10">
        <f>INDEX([1]ratio_ins!V:V,MATCH('001_population_health_zone_zs'!$B$2,[1]ratio_ins!$B:$B,0))*$G210*INDEX([1]ratio_ins!$C:$C,MATCH('001_population_health_zone_zs'!$B210,[1]ratio_ins!$B:$B,0))</f>
        <v>468.42578399999996</v>
      </c>
      <c r="Y210" s="10">
        <f>INDEX([1]ratio_ins!W:W,MATCH('001_population_health_zone_zs'!$B$2,[1]ratio_ins!$B:$B,0))*$G210*INDEX([1]ratio_ins!$C:$C,MATCH('001_population_health_zone_zs'!$B210,[1]ratio_ins!$B:$B,0))</f>
        <v>312.28385599999996</v>
      </c>
      <c r="Z210" s="10">
        <f>INDEX([1]ratio_ins!X:X,MATCH('001_population_health_zone_zs'!$B$2,[1]ratio_ins!$B:$B,0))*$G210*INDEX([1]ratio_ins!$C:$C,MATCH('001_population_health_zone_zs'!$B210,[1]ratio_ins!$B:$B,0))</f>
        <v>156.14192799999998</v>
      </c>
      <c r="AA210" s="10">
        <f>INDEX([1]ratio_ins!Y:Y,MATCH('001_population_health_zone_zs'!$B$2,[1]ratio_ins!$B:$B,0))*$G210*INDEX([1]ratio_ins!$C:$C,MATCH('001_population_health_zone_zs'!$B210,[1]ratio_ins!$B:$B,0))</f>
        <v>78.070963999999989</v>
      </c>
      <c r="AB210" s="11">
        <f>INDEX([1]ratio_ins!Z:Z,MATCH('001_population_health_zone_zs'!$B$2,[1]ratio_ins!$B:$B,0))*$G210*INDEX([1]ratio_ins!$C:$C,MATCH('001_population_health_zone_zs'!$B210,[1]ratio_ins!$B:$B,0))</f>
        <v>1014.922532</v>
      </c>
      <c r="AC210" s="12">
        <f t="shared" si="18"/>
        <v>39035.481999999996</v>
      </c>
      <c r="AD210" s="10">
        <f>INDEX([1]ratio_ins!AA:AA,MATCH('001_population_health_zone_zs'!$B$2,[1]ratio_ins!$B:$B,0))*$G210*INDEX([1]ratio_ins!$D:$D,MATCH('001_population_health_zone_zs'!$B210,[1]ratio_ins!$B:$B,0))</f>
        <v>8497.9687799999992</v>
      </c>
      <c r="AE210" s="10">
        <f>INDEX([1]ratio_ins!AB:AB,MATCH('001_population_health_zone_zs'!$B$2,[1]ratio_ins!$B:$B,0))*$G210*INDEX([1]ratio_ins!$D:$D,MATCH('001_population_health_zone_zs'!$B210,[1]ratio_ins!$B:$B,0))</f>
        <v>7000.7076140000008</v>
      </c>
      <c r="AF210" s="10">
        <f>INDEX([1]ratio_ins!AC:AC,MATCH('001_population_health_zone_zs'!$B$2,[1]ratio_ins!$B:$B,0))*$G210*INDEX([1]ratio_ins!$D:$D,MATCH('001_population_health_zone_zs'!$B210,[1]ratio_ins!$B:$B,0))</f>
        <v>5543.9129659999999</v>
      </c>
      <c r="AG210" s="10">
        <f>INDEX([1]ratio_ins!AD:AD,MATCH('001_population_health_zone_zs'!$B$2,[1]ratio_ins!$B:$B,0))*$G210*INDEX([1]ratio_ins!$D:$D,MATCH('001_population_health_zone_zs'!$B210,[1]ratio_ins!$B:$B,0))</f>
        <v>3358.7209940000002</v>
      </c>
      <c r="AH210" s="10">
        <f>INDEX([1]ratio_ins!AE:AE,MATCH('001_population_health_zone_zs'!$B$2,[1]ratio_ins!$B:$B,0))*$G210*INDEX([1]ratio_ins!$D:$D,MATCH('001_population_health_zone_zs'!$B210,[1]ratio_ins!$B:$B,0))</f>
        <v>2015.2325963999999</v>
      </c>
      <c r="AI210" s="13">
        <f>INDEX([1]ratio_ins!AF:AF,MATCH('001_population_health_zone_zs'!$B$2,[1]ratio_ins!$B:$B,0))*$G210*INDEX([1]ratio_ins!$D:$D,MATCH('001_population_health_zone_zs'!$B210,[1]ratio_ins!$B:$B,0))</f>
        <v>23057.821956399999</v>
      </c>
      <c r="AJ210" s="10">
        <f>INDEX([1]ratio_ins!AG:AG,MATCH('001_population_health_zone_zs'!$B$2,[1]ratio_ins!$B:$B,0))*$G210*INDEX([1]ratio_ins!$D:$D,MATCH('001_population_health_zone_zs'!$B210,[1]ratio_ins!$B:$B,0))</f>
        <v>1343.4883976000001</v>
      </c>
      <c r="AK210" s="10">
        <f>INDEX([1]ratio_ins!AH:AH,MATCH('001_population_health_zone_zs'!$B$2,[1]ratio_ins!$B:$B,0))*$G210*INDEX([1]ratio_ins!$D:$D,MATCH('001_population_health_zone_zs'!$B210,[1]ratio_ins!$B:$B,0))</f>
        <v>2994.5223320000005</v>
      </c>
      <c r="AL210" s="10">
        <f>INDEX([1]ratio_ins!AI:AI,MATCH('001_population_health_zone_zs'!$B$2,[1]ratio_ins!$B:$B,0))*$G210*INDEX([1]ratio_ins!$D:$D,MATCH('001_population_health_zone_zs'!$B210,[1]ratio_ins!$B:$B,0))</f>
        <v>2832.6562600000002</v>
      </c>
      <c r="AM210" s="10">
        <f>INDEX([1]ratio_ins!AJ:AJ,MATCH('001_population_health_zone_zs'!$B$2,[1]ratio_ins!$B:$B,0))*$G210*INDEX([1]ratio_ins!$D:$D,MATCH('001_population_health_zone_zs'!$B210,[1]ratio_ins!$B:$B,0))</f>
        <v>2589.857152</v>
      </c>
      <c r="AN210" s="10">
        <f>INDEX([1]ratio_ins!AK:AK,MATCH('001_population_health_zone_zs'!$B$2,[1]ratio_ins!$B:$B,0))*$G210*INDEX([1]ratio_ins!$D:$D,MATCH('001_population_health_zone_zs'!$B210,[1]ratio_ins!$B:$B,0))</f>
        <v>2427.9910799999998</v>
      </c>
      <c r="AO210" s="10">
        <f>INDEX([1]ratio_ins!AL:AL,MATCH('001_population_health_zone_zs'!$B$2,[1]ratio_ins!$B:$B,0))*$G210*INDEX([1]ratio_ins!$D:$D,MATCH('001_population_health_zone_zs'!$B210,[1]ratio_ins!$B:$B,0))</f>
        <v>1820.9933099999998</v>
      </c>
      <c r="AP210" s="10">
        <f>INDEX([1]ratio_ins!AM:AM,MATCH('001_population_health_zone_zs'!$B$2,[1]ratio_ins!$B:$B,0))*$G210*INDEX([1]ratio_ins!$D:$D,MATCH('001_population_health_zone_zs'!$B210,[1]ratio_ins!$B:$B,0))</f>
        <v>1173.5290219999999</v>
      </c>
      <c r="AQ210" s="10">
        <f>INDEX([1]ratio_ins!AN:AN,MATCH('001_population_health_zone_zs'!$B$2,[1]ratio_ins!$B:$B,0))*$G210*INDEX([1]ratio_ins!$D:$D,MATCH('001_population_health_zone_zs'!$B210,[1]ratio_ins!$B:$B,0))</f>
        <v>930.72991400000001</v>
      </c>
      <c r="AR210" s="10">
        <f>INDEX([1]ratio_ins!AO:AO,MATCH('001_population_health_zone_zs'!$B$2,[1]ratio_ins!$B:$B,0))*$G210*INDEX([1]ratio_ins!$D:$D,MATCH('001_population_health_zone_zs'!$B210,[1]ratio_ins!$B:$B,0))</f>
        <v>445.13169800000003</v>
      </c>
      <c r="AS210" s="13">
        <f>INDEX([1]ratio_ins!AP:AP,MATCH('001_population_health_zone_zs'!$B$2,[1]ratio_ins!$B:$B,0))*$G210*INDEX([1]ratio_ins!$D:$D,MATCH('001_population_health_zone_zs'!$B210,[1]ratio_ins!$B:$B,0))</f>
        <v>16558.8991656</v>
      </c>
      <c r="AT210" s="10">
        <f>INDEX([1]ratio_ins!AQ:AQ,MATCH('001_population_health_zone_zs'!$B$2,[1]ratio_ins!$B:$B,0))*$G210*INDEX([1]ratio_ins!$D:$D,MATCH('001_population_health_zone_zs'!$B210,[1]ratio_ins!$B:$B,0))</f>
        <v>404.66518000000002</v>
      </c>
      <c r="AU210" s="10">
        <f>INDEX([1]ratio_ins!AR:AR,MATCH('001_population_health_zone_zs'!$B$2,[1]ratio_ins!$B:$B,0))*$G210*INDEX([1]ratio_ins!$D:$D,MATCH('001_population_health_zone_zs'!$B210,[1]ratio_ins!$B:$B,0))</f>
        <v>242.79910800000002</v>
      </c>
      <c r="AV210" s="10">
        <f>INDEX([1]ratio_ins!AS:AS,MATCH('001_population_health_zone_zs'!$B$2,[1]ratio_ins!$B:$B,0))*$G210*INDEX([1]ratio_ins!$D:$D,MATCH('001_population_health_zone_zs'!$B210,[1]ratio_ins!$B:$B,0))</f>
        <v>121.39955400000001</v>
      </c>
      <c r="AW210" s="10">
        <f>INDEX([1]ratio_ins!AT:AT,MATCH('001_population_health_zone_zs'!$B$2,[1]ratio_ins!$B:$B,0))*$G210*INDEX([1]ratio_ins!$D:$D,MATCH('001_population_health_zone_zs'!$B210,[1]ratio_ins!$B:$B,0))</f>
        <v>80.933036000000001</v>
      </c>
      <c r="AX210" s="13">
        <f>INDEX([1]ratio_ins!AU:AU,MATCH('001_population_health_zone_zs'!$B$2,[1]ratio_ins!$B:$B,0))*$G210*INDEX([1]ratio_ins!$D:$D,MATCH('001_population_health_zone_zs'!$B210,[1]ratio_ins!$B:$B,0))</f>
        <v>849.79687799999999</v>
      </c>
      <c r="AY210" s="14">
        <f t="shared" si="19"/>
        <v>40466.518000000004</v>
      </c>
      <c r="AZ210" s="15">
        <f t="shared" si="20"/>
        <v>79502</v>
      </c>
      <c r="BA210" s="16">
        <v>77346.829556164274</v>
      </c>
      <c r="BB210" s="10">
        <f t="shared" si="21"/>
        <v>17198.27015</v>
      </c>
      <c r="BC210" s="17">
        <f t="shared" si="22"/>
        <v>0.21632500000000002</v>
      </c>
      <c r="BD210" s="10">
        <f t="shared" si="23"/>
        <v>16277.795994000002</v>
      </c>
    </row>
    <row r="211" spans="1:56" x14ac:dyDescent="0.25">
      <c r="A211" s="8" t="s">
        <v>470</v>
      </c>
      <c r="B211" s="8" t="s">
        <v>471</v>
      </c>
      <c r="C211" s="8" t="s">
        <v>519</v>
      </c>
      <c r="D211" s="8" t="s">
        <v>520</v>
      </c>
      <c r="E211" s="8" t="s">
        <v>524</v>
      </c>
      <c r="F211" s="8" t="s">
        <v>525</v>
      </c>
      <c r="G211" s="9">
        <v>60802</v>
      </c>
      <c r="H211" s="10">
        <f>INDEX([1]ratio_ins!F:F,MATCH('001_population_health_zone_zs'!$B$2,[1]ratio_ins!$B:$B,0))*$G211*INDEX([1]ratio_ins!$C:$C,MATCH('001_population_health_zone_zs'!$B211,[1]ratio_ins!$B:$B,0))</f>
        <v>6239.4404379999996</v>
      </c>
      <c r="I211" s="10">
        <f>INDEX([1]ratio_ins!G:G,MATCH('001_population_health_zone_zs'!$B$2,[1]ratio_ins!$B:$B,0))*$G211*INDEX([1]ratio_ins!$C:$C,MATCH('001_population_health_zone_zs'!$B211,[1]ratio_ins!$B:$B,0))</f>
        <v>5104.9967220000008</v>
      </c>
      <c r="J211" s="10">
        <f>INDEX([1]ratio_ins!H:H,MATCH('001_population_health_zone_zs'!$B$2,[1]ratio_ins!$B:$B,0))*$G211*INDEX([1]ratio_ins!$C:$C,MATCH('001_population_health_zone_zs'!$B211,[1]ratio_ins!$B:$B,0))</f>
        <v>4030.2605700000004</v>
      </c>
      <c r="K211" s="10">
        <f>INDEX([1]ratio_ins!I:I,MATCH('001_population_health_zone_zs'!$B$2,[1]ratio_ins!$B:$B,0))*$G211*INDEX([1]ratio_ins!$C:$C,MATCH('001_population_health_zone_zs'!$B211,[1]ratio_ins!$B:$B,0))</f>
        <v>2477.8639060000005</v>
      </c>
      <c r="L211" s="10">
        <f>INDEX([1]ratio_ins!J:J,MATCH('001_population_health_zone_zs'!$B$2,[1]ratio_ins!$B:$B,0))*$G211*INDEX([1]ratio_ins!$C:$C,MATCH('001_population_health_zone_zs'!$B211,[1]ratio_ins!$B:$B,0))</f>
        <v>1486.7183435999998</v>
      </c>
      <c r="M211" s="11">
        <f>INDEX([1]ratio_ins!K:K,MATCH('001_population_health_zone_zs'!$B$2,[1]ratio_ins!$B:$B,0))*$G211*INDEX([1]ratio_ins!$C:$C,MATCH('001_population_health_zone_zs'!$B211,[1]ratio_ins!$B:$B,0))</f>
        <v>16861.416073599998</v>
      </c>
      <c r="N211" s="10">
        <f>INDEX([1]ratio_ins!L:L,MATCH('001_population_health_zone_zs'!$B$2,[1]ratio_ins!$B:$B,0))*$G211*INDEX([1]ratio_ins!$C:$C,MATCH('001_population_health_zone_zs'!$B211,[1]ratio_ins!$B:$B,0))</f>
        <v>991.14556240000002</v>
      </c>
      <c r="O211" s="10">
        <f>INDEX([1]ratio_ins!M:M,MATCH('001_population_health_zone_zs'!$B$2,[1]ratio_ins!$B:$B,0))*$G211*INDEX([1]ratio_ins!$C:$C,MATCH('001_population_health_zone_zs'!$B211,[1]ratio_ins!$B:$B,0))</f>
        <v>2149.4723040000003</v>
      </c>
      <c r="P211" s="10">
        <f>INDEX([1]ratio_ins!N:N,MATCH('001_population_health_zone_zs'!$B$2,[1]ratio_ins!$B:$B,0))*$G211*INDEX([1]ratio_ins!$C:$C,MATCH('001_population_health_zone_zs'!$B211,[1]ratio_ins!$B:$B,0))</f>
        <v>1940.4958300000001</v>
      </c>
      <c r="Q211" s="10">
        <f>INDEX([1]ratio_ins!O:O,MATCH('001_population_health_zone_zs'!$B$2,[1]ratio_ins!$B:$B,0))*$G211*INDEX([1]ratio_ins!$C:$C,MATCH('001_population_health_zone_zs'!$B211,[1]ratio_ins!$B:$B,0))</f>
        <v>1731.5193559999998</v>
      </c>
      <c r="R211" s="10">
        <f>INDEX([1]ratio_ins!P:P,MATCH('001_population_health_zone_zs'!$B$2,[1]ratio_ins!$B:$B,0))*$G211*INDEX([1]ratio_ins!$C:$C,MATCH('001_population_health_zone_zs'!$B211,[1]ratio_ins!$B:$B,0))</f>
        <v>1701.6655739999999</v>
      </c>
      <c r="S211" s="10">
        <f>INDEX([1]ratio_ins!Q:Q,MATCH('001_population_health_zone_zs'!$B$2,[1]ratio_ins!$B:$B,0))*$G211*INDEX([1]ratio_ins!$C:$C,MATCH('001_population_health_zone_zs'!$B211,[1]ratio_ins!$B:$B,0))</f>
        <v>1432.981536</v>
      </c>
      <c r="T211" s="10">
        <f>INDEX([1]ratio_ins!R:R,MATCH('001_population_health_zone_zs'!$B$2,[1]ratio_ins!$B:$B,0))*$G211*INDEX([1]ratio_ins!$C:$C,MATCH('001_population_health_zone_zs'!$B211,[1]ratio_ins!$B:$B,0))</f>
        <v>1015.028588</v>
      </c>
      <c r="U211" s="10">
        <f>INDEX([1]ratio_ins!S:S,MATCH('001_population_health_zone_zs'!$B$2,[1]ratio_ins!$B:$B,0))*$G211*INDEX([1]ratio_ins!$C:$C,MATCH('001_population_health_zone_zs'!$B211,[1]ratio_ins!$B:$B,0))</f>
        <v>806.05211400000007</v>
      </c>
      <c r="V211" s="10">
        <f>INDEX([1]ratio_ins!T:T,MATCH('001_population_health_zone_zs'!$B$2,[1]ratio_ins!$B:$B,0))*$G211*INDEX([1]ratio_ins!$C:$C,MATCH('001_population_health_zone_zs'!$B211,[1]ratio_ins!$B:$B,0))</f>
        <v>447.80672999999996</v>
      </c>
      <c r="W211" s="11">
        <f>INDEX([1]ratio_ins!U:U,MATCH('001_population_health_zone_zs'!$B$2,[1]ratio_ins!$B:$B,0))*$G211*INDEX([1]ratio_ins!$C:$C,MATCH('001_population_health_zone_zs'!$B211,[1]ratio_ins!$B:$B,0))</f>
        <v>12216.1675944</v>
      </c>
      <c r="X211" s="10">
        <f>INDEX([1]ratio_ins!V:V,MATCH('001_population_health_zone_zs'!$B$2,[1]ratio_ins!$B:$B,0))*$G211*INDEX([1]ratio_ins!$C:$C,MATCH('001_population_health_zone_zs'!$B211,[1]ratio_ins!$B:$B,0))</f>
        <v>358.245384</v>
      </c>
      <c r="Y211" s="10">
        <f>INDEX([1]ratio_ins!W:W,MATCH('001_population_health_zone_zs'!$B$2,[1]ratio_ins!$B:$B,0))*$G211*INDEX([1]ratio_ins!$C:$C,MATCH('001_population_health_zone_zs'!$B211,[1]ratio_ins!$B:$B,0))</f>
        <v>238.83025599999999</v>
      </c>
      <c r="Z211" s="10">
        <f>INDEX([1]ratio_ins!X:X,MATCH('001_population_health_zone_zs'!$B$2,[1]ratio_ins!$B:$B,0))*$G211*INDEX([1]ratio_ins!$C:$C,MATCH('001_population_health_zone_zs'!$B211,[1]ratio_ins!$B:$B,0))</f>
        <v>119.415128</v>
      </c>
      <c r="AA211" s="10">
        <f>INDEX([1]ratio_ins!Y:Y,MATCH('001_population_health_zone_zs'!$B$2,[1]ratio_ins!$B:$B,0))*$G211*INDEX([1]ratio_ins!$C:$C,MATCH('001_population_health_zone_zs'!$B211,[1]ratio_ins!$B:$B,0))</f>
        <v>59.707563999999998</v>
      </c>
      <c r="AB211" s="11">
        <f>INDEX([1]ratio_ins!Z:Z,MATCH('001_population_health_zone_zs'!$B$2,[1]ratio_ins!$B:$B,0))*$G211*INDEX([1]ratio_ins!$C:$C,MATCH('001_population_health_zone_zs'!$B211,[1]ratio_ins!$B:$B,0))</f>
        <v>776.19833200000005</v>
      </c>
      <c r="AC211" s="12">
        <f t="shared" si="18"/>
        <v>29853.781999999999</v>
      </c>
      <c r="AD211" s="10">
        <f>INDEX([1]ratio_ins!AA:AA,MATCH('001_population_health_zone_zs'!$B$2,[1]ratio_ins!$B:$B,0))*$G211*INDEX([1]ratio_ins!$D:$D,MATCH('001_population_health_zone_zs'!$B211,[1]ratio_ins!$B:$B,0))</f>
        <v>6499.1257800000003</v>
      </c>
      <c r="AE211" s="10">
        <f>INDEX([1]ratio_ins!AB:AB,MATCH('001_population_health_zone_zs'!$B$2,[1]ratio_ins!$B:$B,0))*$G211*INDEX([1]ratio_ins!$D:$D,MATCH('001_population_health_zone_zs'!$B211,[1]ratio_ins!$B:$B,0))</f>
        <v>5354.0417140000009</v>
      </c>
      <c r="AF211" s="10">
        <f>INDEX([1]ratio_ins!AC:AC,MATCH('001_population_health_zone_zs'!$B$2,[1]ratio_ins!$B:$B,0))*$G211*INDEX([1]ratio_ins!$D:$D,MATCH('001_population_health_zone_zs'!$B211,[1]ratio_ins!$B:$B,0))</f>
        <v>4239.9058660000001</v>
      </c>
      <c r="AG211" s="10">
        <f>INDEX([1]ratio_ins!AD:AD,MATCH('001_population_health_zone_zs'!$B$2,[1]ratio_ins!$B:$B,0))*$G211*INDEX([1]ratio_ins!$D:$D,MATCH('001_population_health_zone_zs'!$B211,[1]ratio_ins!$B:$B,0))</f>
        <v>2568.7020940000002</v>
      </c>
      <c r="AH211" s="10">
        <f>INDEX([1]ratio_ins!AE:AE,MATCH('001_population_health_zone_zs'!$B$2,[1]ratio_ins!$B:$B,0))*$G211*INDEX([1]ratio_ins!$D:$D,MATCH('001_population_health_zone_zs'!$B211,[1]ratio_ins!$B:$B,0))</f>
        <v>1541.2212563999999</v>
      </c>
      <c r="AI211" s="13">
        <f>INDEX([1]ratio_ins!AF:AF,MATCH('001_population_health_zone_zs'!$B$2,[1]ratio_ins!$B:$B,0))*$G211*INDEX([1]ratio_ins!$D:$D,MATCH('001_population_health_zone_zs'!$B211,[1]ratio_ins!$B:$B,0))</f>
        <v>17634.294616399999</v>
      </c>
      <c r="AJ211" s="10">
        <f>INDEX([1]ratio_ins!AG:AG,MATCH('001_population_health_zone_zs'!$B$2,[1]ratio_ins!$B:$B,0))*$G211*INDEX([1]ratio_ins!$D:$D,MATCH('001_population_health_zone_zs'!$B211,[1]ratio_ins!$B:$B,0))</f>
        <v>1027.4808376000001</v>
      </c>
      <c r="AK211" s="10">
        <f>INDEX([1]ratio_ins!AH:AH,MATCH('001_population_health_zone_zs'!$B$2,[1]ratio_ins!$B:$B,0))*$G211*INDEX([1]ratio_ins!$D:$D,MATCH('001_population_health_zone_zs'!$B211,[1]ratio_ins!$B:$B,0))</f>
        <v>2290.1681320000007</v>
      </c>
      <c r="AL211" s="10">
        <f>INDEX([1]ratio_ins!AI:AI,MATCH('001_population_health_zone_zs'!$B$2,[1]ratio_ins!$B:$B,0))*$G211*INDEX([1]ratio_ins!$D:$D,MATCH('001_population_health_zone_zs'!$B211,[1]ratio_ins!$B:$B,0))</f>
        <v>2166.3752600000003</v>
      </c>
      <c r="AM211" s="10">
        <f>INDEX([1]ratio_ins!AJ:AJ,MATCH('001_population_health_zone_zs'!$B$2,[1]ratio_ins!$B:$B,0))*$G211*INDEX([1]ratio_ins!$D:$D,MATCH('001_population_health_zone_zs'!$B211,[1]ratio_ins!$B:$B,0))</f>
        <v>1980.685952</v>
      </c>
      <c r="AN211" s="10">
        <f>INDEX([1]ratio_ins!AK:AK,MATCH('001_population_health_zone_zs'!$B$2,[1]ratio_ins!$B:$B,0))*$G211*INDEX([1]ratio_ins!$D:$D,MATCH('001_population_health_zone_zs'!$B211,[1]ratio_ins!$B:$B,0))</f>
        <v>1856.8930800000001</v>
      </c>
      <c r="AO211" s="10">
        <f>INDEX([1]ratio_ins!AL:AL,MATCH('001_population_health_zone_zs'!$B$2,[1]ratio_ins!$B:$B,0))*$G211*INDEX([1]ratio_ins!$D:$D,MATCH('001_population_health_zone_zs'!$B211,[1]ratio_ins!$B:$B,0))</f>
        <v>1392.6698099999999</v>
      </c>
      <c r="AP211" s="10">
        <f>INDEX([1]ratio_ins!AM:AM,MATCH('001_population_health_zone_zs'!$B$2,[1]ratio_ins!$B:$B,0))*$G211*INDEX([1]ratio_ins!$D:$D,MATCH('001_population_health_zone_zs'!$B211,[1]ratio_ins!$B:$B,0))</f>
        <v>897.49832199999992</v>
      </c>
      <c r="AQ211" s="10">
        <f>INDEX([1]ratio_ins!AN:AN,MATCH('001_population_health_zone_zs'!$B$2,[1]ratio_ins!$B:$B,0))*$G211*INDEX([1]ratio_ins!$D:$D,MATCH('001_population_health_zone_zs'!$B211,[1]ratio_ins!$B:$B,0))</f>
        <v>711.80901399999993</v>
      </c>
      <c r="AR211" s="10">
        <f>INDEX([1]ratio_ins!AO:AO,MATCH('001_population_health_zone_zs'!$B$2,[1]ratio_ins!$B:$B,0))*$G211*INDEX([1]ratio_ins!$D:$D,MATCH('001_population_health_zone_zs'!$B211,[1]ratio_ins!$B:$B,0))</f>
        <v>340.43039800000008</v>
      </c>
      <c r="AS211" s="13">
        <f>INDEX([1]ratio_ins!AP:AP,MATCH('001_population_health_zone_zs'!$B$2,[1]ratio_ins!$B:$B,0))*$G211*INDEX([1]ratio_ins!$D:$D,MATCH('001_population_health_zone_zs'!$B211,[1]ratio_ins!$B:$B,0))</f>
        <v>12664.010805600001</v>
      </c>
      <c r="AT211" s="10">
        <f>INDEX([1]ratio_ins!AQ:AQ,MATCH('001_population_health_zone_zs'!$B$2,[1]ratio_ins!$B:$B,0))*$G211*INDEX([1]ratio_ins!$D:$D,MATCH('001_population_health_zone_zs'!$B211,[1]ratio_ins!$B:$B,0))</f>
        <v>309.48217999999997</v>
      </c>
      <c r="AU211" s="10">
        <f>INDEX([1]ratio_ins!AR:AR,MATCH('001_population_health_zone_zs'!$B$2,[1]ratio_ins!$B:$B,0))*$G211*INDEX([1]ratio_ins!$D:$D,MATCH('001_population_health_zone_zs'!$B211,[1]ratio_ins!$B:$B,0))</f>
        <v>185.68930800000001</v>
      </c>
      <c r="AV211" s="10">
        <f>INDEX([1]ratio_ins!AS:AS,MATCH('001_population_health_zone_zs'!$B$2,[1]ratio_ins!$B:$B,0))*$G211*INDEX([1]ratio_ins!$D:$D,MATCH('001_population_health_zone_zs'!$B211,[1]ratio_ins!$B:$B,0))</f>
        <v>92.844654000000006</v>
      </c>
      <c r="AW211" s="10">
        <f>INDEX([1]ratio_ins!AT:AT,MATCH('001_population_health_zone_zs'!$B$2,[1]ratio_ins!$B:$B,0))*$G211*INDEX([1]ratio_ins!$D:$D,MATCH('001_population_health_zone_zs'!$B211,[1]ratio_ins!$B:$B,0))</f>
        <v>61.896436000000001</v>
      </c>
      <c r="AX211" s="13">
        <f>INDEX([1]ratio_ins!AU:AU,MATCH('001_population_health_zone_zs'!$B$2,[1]ratio_ins!$B:$B,0))*$G211*INDEX([1]ratio_ins!$D:$D,MATCH('001_population_health_zone_zs'!$B211,[1]ratio_ins!$B:$B,0))</f>
        <v>649.91257799999994</v>
      </c>
      <c r="AY211" s="14">
        <f t="shared" si="19"/>
        <v>30948.217999999997</v>
      </c>
      <c r="AZ211" s="15">
        <f t="shared" si="20"/>
        <v>60802</v>
      </c>
      <c r="BA211" s="16">
        <v>59153.768063183787</v>
      </c>
      <c r="BB211" s="10">
        <f t="shared" si="21"/>
        <v>13152.99265</v>
      </c>
      <c r="BC211" s="17">
        <f t="shared" si="22"/>
        <v>0.21632499999999999</v>
      </c>
      <c r="BD211" s="10">
        <f t="shared" si="23"/>
        <v>12449.027093999997</v>
      </c>
    </row>
    <row r="212" spans="1:56" x14ac:dyDescent="0.25">
      <c r="A212" s="8" t="s">
        <v>526</v>
      </c>
      <c r="B212" s="8" t="s">
        <v>527</v>
      </c>
      <c r="C212" s="8" t="s">
        <v>528</v>
      </c>
      <c r="D212" s="8" t="s">
        <v>529</v>
      </c>
      <c r="E212" s="8" t="s">
        <v>528</v>
      </c>
      <c r="F212" s="8" t="s">
        <v>530</v>
      </c>
      <c r="G212" s="9">
        <v>225960</v>
      </c>
      <c r="H212" s="10">
        <f>INDEX([1]ratio_ins!F:F,MATCH('001_population_health_zone_zs'!$B$2,[1]ratio_ins!$B:$B,0))*$G212*INDEX([1]ratio_ins!$C:$C,MATCH('001_population_health_zone_zs'!$B212,[1]ratio_ins!$B:$B,0))</f>
        <v>23187.789239999998</v>
      </c>
      <c r="I212" s="10">
        <f>INDEX([1]ratio_ins!G:G,MATCH('001_population_health_zone_zs'!$B$2,[1]ratio_ins!$B:$B,0))*$G212*INDEX([1]ratio_ins!$C:$C,MATCH('001_population_health_zone_zs'!$B212,[1]ratio_ins!$B:$B,0))</f>
        <v>18971.827560000002</v>
      </c>
      <c r="J212" s="10">
        <f>INDEX([1]ratio_ins!H:H,MATCH('001_population_health_zone_zs'!$B$2,[1]ratio_ins!$B:$B,0))*$G212*INDEX([1]ratio_ins!$C:$C,MATCH('001_population_health_zone_zs'!$B212,[1]ratio_ins!$B:$B,0))</f>
        <v>14977.758600000001</v>
      </c>
      <c r="K212" s="10">
        <f>INDEX([1]ratio_ins!I:I,MATCH('001_population_health_zone_zs'!$B$2,[1]ratio_ins!$B:$B,0))*$G212*INDEX([1]ratio_ins!$C:$C,MATCH('001_population_health_zone_zs'!$B212,[1]ratio_ins!$B:$B,0))</f>
        <v>9208.5478800000001</v>
      </c>
      <c r="L212" s="10">
        <f>INDEX([1]ratio_ins!J:J,MATCH('001_population_health_zone_zs'!$B$2,[1]ratio_ins!$B:$B,0))*$G212*INDEX([1]ratio_ins!$C:$C,MATCH('001_population_health_zone_zs'!$B212,[1]ratio_ins!$B:$B,0))</f>
        <v>5525.1287279999997</v>
      </c>
      <c r="M212" s="11">
        <f>INDEX([1]ratio_ins!K:K,MATCH('001_population_health_zone_zs'!$B$2,[1]ratio_ins!$B:$B,0))*$G212*INDEX([1]ratio_ins!$C:$C,MATCH('001_population_health_zone_zs'!$B212,[1]ratio_ins!$B:$B,0))</f>
        <v>62662.504128</v>
      </c>
      <c r="N212" s="10">
        <f>INDEX([1]ratio_ins!L:L,MATCH('001_population_health_zone_zs'!$B$2,[1]ratio_ins!$B:$B,0))*$G212*INDEX([1]ratio_ins!$C:$C,MATCH('001_population_health_zone_zs'!$B212,[1]ratio_ins!$B:$B,0))</f>
        <v>3683.4191519999999</v>
      </c>
      <c r="O212" s="10">
        <f>INDEX([1]ratio_ins!M:M,MATCH('001_population_health_zone_zs'!$B$2,[1]ratio_ins!$B:$B,0))*$G212*INDEX([1]ratio_ins!$C:$C,MATCH('001_population_health_zone_zs'!$B212,[1]ratio_ins!$B:$B,0))</f>
        <v>7988.137920000001</v>
      </c>
      <c r="P212" s="10">
        <f>INDEX([1]ratio_ins!N:N,MATCH('001_population_health_zone_zs'!$B$2,[1]ratio_ins!$B:$B,0))*$G212*INDEX([1]ratio_ins!$C:$C,MATCH('001_population_health_zone_zs'!$B212,[1]ratio_ins!$B:$B,0))</f>
        <v>7211.5133999999998</v>
      </c>
      <c r="Q212" s="10">
        <f>INDEX([1]ratio_ins!O:O,MATCH('001_population_health_zone_zs'!$B$2,[1]ratio_ins!$B:$B,0))*$G212*INDEX([1]ratio_ins!$C:$C,MATCH('001_population_health_zone_zs'!$B212,[1]ratio_ins!$B:$B,0))</f>
        <v>6434.8888799999995</v>
      </c>
      <c r="R212" s="10">
        <f>INDEX([1]ratio_ins!P:P,MATCH('001_population_health_zone_zs'!$B$2,[1]ratio_ins!$B:$B,0))*$G212*INDEX([1]ratio_ins!$C:$C,MATCH('001_population_health_zone_zs'!$B212,[1]ratio_ins!$B:$B,0))</f>
        <v>6323.9425200000005</v>
      </c>
      <c r="S212" s="10">
        <f>INDEX([1]ratio_ins!Q:Q,MATCH('001_population_health_zone_zs'!$B$2,[1]ratio_ins!$B:$B,0))*$G212*INDEX([1]ratio_ins!$C:$C,MATCH('001_population_health_zone_zs'!$B212,[1]ratio_ins!$B:$B,0))</f>
        <v>5325.4252799999995</v>
      </c>
      <c r="T212" s="10">
        <f>INDEX([1]ratio_ins!R:R,MATCH('001_population_health_zone_zs'!$B$2,[1]ratio_ins!$B:$B,0))*$G212*INDEX([1]ratio_ins!$C:$C,MATCH('001_population_health_zone_zs'!$B212,[1]ratio_ins!$B:$B,0))</f>
        <v>3772.1762400000002</v>
      </c>
      <c r="U212" s="10">
        <f>INDEX([1]ratio_ins!S:S,MATCH('001_population_health_zone_zs'!$B$2,[1]ratio_ins!$B:$B,0))*$G212*INDEX([1]ratio_ins!$C:$C,MATCH('001_population_health_zone_zs'!$B212,[1]ratio_ins!$B:$B,0))</f>
        <v>2995.5517200000004</v>
      </c>
      <c r="V212" s="10">
        <f>INDEX([1]ratio_ins!T:T,MATCH('001_population_health_zone_zs'!$B$2,[1]ratio_ins!$B:$B,0))*$G212*INDEX([1]ratio_ins!$C:$C,MATCH('001_population_health_zone_zs'!$B212,[1]ratio_ins!$B:$B,0))</f>
        <v>1664.1954000000001</v>
      </c>
      <c r="W212" s="11">
        <f>INDEX([1]ratio_ins!U:U,MATCH('001_population_health_zone_zs'!$B$2,[1]ratio_ins!$B:$B,0))*$G212*INDEX([1]ratio_ins!$C:$C,MATCH('001_population_health_zone_zs'!$B212,[1]ratio_ins!$B:$B,0))</f>
        <v>45399.250511999999</v>
      </c>
      <c r="X212" s="10">
        <f>INDEX([1]ratio_ins!V:V,MATCH('001_population_health_zone_zs'!$B$2,[1]ratio_ins!$B:$B,0))*$G212*INDEX([1]ratio_ins!$C:$C,MATCH('001_population_health_zone_zs'!$B212,[1]ratio_ins!$B:$B,0))</f>
        <v>1331.3563199999999</v>
      </c>
      <c r="Y212" s="10">
        <f>INDEX([1]ratio_ins!W:W,MATCH('001_population_health_zone_zs'!$B$2,[1]ratio_ins!$B:$B,0))*$G212*INDEX([1]ratio_ins!$C:$C,MATCH('001_population_health_zone_zs'!$B212,[1]ratio_ins!$B:$B,0))</f>
        <v>887.57087999999999</v>
      </c>
      <c r="Z212" s="10">
        <f>INDEX([1]ratio_ins!X:X,MATCH('001_population_health_zone_zs'!$B$2,[1]ratio_ins!$B:$B,0))*$G212*INDEX([1]ratio_ins!$C:$C,MATCH('001_population_health_zone_zs'!$B212,[1]ratio_ins!$B:$B,0))</f>
        <v>443.78543999999999</v>
      </c>
      <c r="AA212" s="10">
        <f>INDEX([1]ratio_ins!Y:Y,MATCH('001_population_health_zone_zs'!$B$2,[1]ratio_ins!$B:$B,0))*$G212*INDEX([1]ratio_ins!$C:$C,MATCH('001_population_health_zone_zs'!$B212,[1]ratio_ins!$B:$B,0))</f>
        <v>221.89272</v>
      </c>
      <c r="AB212" s="11">
        <f>INDEX([1]ratio_ins!Z:Z,MATCH('001_population_health_zone_zs'!$B$2,[1]ratio_ins!$B:$B,0))*$G212*INDEX([1]ratio_ins!$C:$C,MATCH('001_population_health_zone_zs'!$B212,[1]ratio_ins!$B:$B,0))</f>
        <v>2884.6053600000005</v>
      </c>
      <c r="AC212" s="12">
        <f t="shared" si="18"/>
        <v>110946.36</v>
      </c>
      <c r="AD212" s="10">
        <f>INDEX([1]ratio_ins!AA:AA,MATCH('001_population_health_zone_zs'!$B$2,[1]ratio_ins!$B:$B,0))*$G212*INDEX([1]ratio_ins!$D:$D,MATCH('001_population_health_zone_zs'!$B212,[1]ratio_ins!$B:$B,0))</f>
        <v>24152.864399999999</v>
      </c>
      <c r="AE212" s="10">
        <f>INDEX([1]ratio_ins!AB:AB,MATCH('001_population_health_zone_zs'!$B$2,[1]ratio_ins!$B:$B,0))*$G212*INDEX([1]ratio_ins!$D:$D,MATCH('001_population_health_zone_zs'!$B212,[1]ratio_ins!$B:$B,0))</f>
        <v>19897.35972</v>
      </c>
      <c r="AF212" s="10">
        <f>INDEX([1]ratio_ins!AC:AC,MATCH('001_population_health_zone_zs'!$B$2,[1]ratio_ins!$B:$B,0))*$G212*INDEX([1]ratio_ins!$D:$D,MATCH('001_population_health_zone_zs'!$B212,[1]ratio_ins!$B:$B,0))</f>
        <v>15756.868679999998</v>
      </c>
      <c r="AG212" s="10">
        <f>INDEX([1]ratio_ins!AD:AD,MATCH('001_population_health_zone_zs'!$B$2,[1]ratio_ins!$B:$B,0))*$G212*INDEX([1]ratio_ins!$D:$D,MATCH('001_population_health_zone_zs'!$B212,[1]ratio_ins!$B:$B,0))</f>
        <v>9546.1321200000002</v>
      </c>
      <c r="AH212" s="10">
        <f>INDEX([1]ratio_ins!AE:AE,MATCH('001_population_health_zone_zs'!$B$2,[1]ratio_ins!$B:$B,0))*$G212*INDEX([1]ratio_ins!$D:$D,MATCH('001_population_health_zone_zs'!$B212,[1]ratio_ins!$B:$B,0))</f>
        <v>5727.6792719999994</v>
      </c>
      <c r="AI212" s="13">
        <f>INDEX([1]ratio_ins!AF:AF,MATCH('001_population_health_zone_zs'!$B$2,[1]ratio_ins!$B:$B,0))*$G212*INDEX([1]ratio_ins!$D:$D,MATCH('001_population_health_zone_zs'!$B212,[1]ratio_ins!$B:$B,0))</f>
        <v>65534.772071999992</v>
      </c>
      <c r="AJ212" s="10">
        <f>INDEX([1]ratio_ins!AG:AG,MATCH('001_population_health_zone_zs'!$B$2,[1]ratio_ins!$B:$B,0))*$G212*INDEX([1]ratio_ins!$D:$D,MATCH('001_population_health_zone_zs'!$B212,[1]ratio_ins!$B:$B,0))</f>
        <v>3818.4528480000004</v>
      </c>
      <c r="AK212" s="10">
        <f>INDEX([1]ratio_ins!AH:AH,MATCH('001_population_health_zone_zs'!$B$2,[1]ratio_ins!$B:$B,0))*$G212*INDEX([1]ratio_ins!$D:$D,MATCH('001_population_health_zone_zs'!$B212,[1]ratio_ins!$B:$B,0))</f>
        <v>8511.00936</v>
      </c>
      <c r="AL212" s="10">
        <f>INDEX([1]ratio_ins!AI:AI,MATCH('001_population_health_zone_zs'!$B$2,[1]ratio_ins!$B:$B,0))*$G212*INDEX([1]ratio_ins!$D:$D,MATCH('001_population_health_zone_zs'!$B212,[1]ratio_ins!$B:$B,0))</f>
        <v>8050.9548000000004</v>
      </c>
      <c r="AM212" s="10">
        <f>INDEX([1]ratio_ins!AJ:AJ,MATCH('001_population_health_zone_zs'!$B$2,[1]ratio_ins!$B:$B,0))*$G212*INDEX([1]ratio_ins!$D:$D,MATCH('001_population_health_zone_zs'!$B212,[1]ratio_ins!$B:$B,0))</f>
        <v>7360.8729600000006</v>
      </c>
      <c r="AN212" s="10">
        <f>INDEX([1]ratio_ins!AK:AK,MATCH('001_population_health_zone_zs'!$B$2,[1]ratio_ins!$B:$B,0))*$G212*INDEX([1]ratio_ins!$D:$D,MATCH('001_population_health_zone_zs'!$B212,[1]ratio_ins!$B:$B,0))</f>
        <v>6900.8184000000001</v>
      </c>
      <c r="AO212" s="10">
        <f>INDEX([1]ratio_ins!AL:AL,MATCH('001_population_health_zone_zs'!$B$2,[1]ratio_ins!$B:$B,0))*$G212*INDEX([1]ratio_ins!$D:$D,MATCH('001_population_health_zone_zs'!$B212,[1]ratio_ins!$B:$B,0))</f>
        <v>5175.6137999999992</v>
      </c>
      <c r="AP212" s="10">
        <f>INDEX([1]ratio_ins!AM:AM,MATCH('001_population_health_zone_zs'!$B$2,[1]ratio_ins!$B:$B,0))*$G212*INDEX([1]ratio_ins!$D:$D,MATCH('001_population_health_zone_zs'!$B212,[1]ratio_ins!$B:$B,0))</f>
        <v>3335.3955599999995</v>
      </c>
      <c r="AQ212" s="10">
        <f>INDEX([1]ratio_ins!AN:AN,MATCH('001_population_health_zone_zs'!$B$2,[1]ratio_ins!$B:$B,0))*$G212*INDEX([1]ratio_ins!$D:$D,MATCH('001_population_health_zone_zs'!$B212,[1]ratio_ins!$B:$B,0))</f>
        <v>2645.3137200000001</v>
      </c>
      <c r="AR212" s="10">
        <f>INDEX([1]ratio_ins!AO:AO,MATCH('001_population_health_zone_zs'!$B$2,[1]ratio_ins!$B:$B,0))*$G212*INDEX([1]ratio_ins!$D:$D,MATCH('001_population_health_zone_zs'!$B212,[1]ratio_ins!$B:$B,0))</f>
        <v>1265.1500400000002</v>
      </c>
      <c r="AS212" s="13">
        <f>INDEX([1]ratio_ins!AP:AP,MATCH('001_population_health_zone_zs'!$B$2,[1]ratio_ins!$B:$B,0))*$G212*INDEX([1]ratio_ins!$D:$D,MATCH('001_population_health_zone_zs'!$B212,[1]ratio_ins!$B:$B,0))</f>
        <v>47063.581487999996</v>
      </c>
      <c r="AT212" s="10">
        <f>INDEX([1]ratio_ins!AQ:AQ,MATCH('001_population_health_zone_zs'!$B$2,[1]ratio_ins!$B:$B,0))*$G212*INDEX([1]ratio_ins!$D:$D,MATCH('001_population_health_zone_zs'!$B212,[1]ratio_ins!$B:$B,0))</f>
        <v>1150.1363999999999</v>
      </c>
      <c r="AU212" s="10">
        <f>INDEX([1]ratio_ins!AR:AR,MATCH('001_population_health_zone_zs'!$B$2,[1]ratio_ins!$B:$B,0))*$G212*INDEX([1]ratio_ins!$D:$D,MATCH('001_population_health_zone_zs'!$B212,[1]ratio_ins!$B:$B,0))</f>
        <v>690.08184000000006</v>
      </c>
      <c r="AV212" s="10">
        <f>INDEX([1]ratio_ins!AS:AS,MATCH('001_population_health_zone_zs'!$B$2,[1]ratio_ins!$B:$B,0))*$G212*INDEX([1]ratio_ins!$D:$D,MATCH('001_population_health_zone_zs'!$B212,[1]ratio_ins!$B:$B,0))</f>
        <v>345.04092000000003</v>
      </c>
      <c r="AW212" s="10">
        <f>INDEX([1]ratio_ins!AT:AT,MATCH('001_population_health_zone_zs'!$B$2,[1]ratio_ins!$B:$B,0))*$G212*INDEX([1]ratio_ins!$D:$D,MATCH('001_population_health_zone_zs'!$B212,[1]ratio_ins!$B:$B,0))</f>
        <v>230.02728000000002</v>
      </c>
      <c r="AX212" s="13">
        <f>INDEX([1]ratio_ins!AU:AU,MATCH('001_population_health_zone_zs'!$B$2,[1]ratio_ins!$B:$B,0))*$G212*INDEX([1]ratio_ins!$D:$D,MATCH('001_population_health_zone_zs'!$B212,[1]ratio_ins!$B:$B,0))</f>
        <v>2415.2864399999999</v>
      </c>
      <c r="AY212" s="14">
        <f t="shared" si="19"/>
        <v>115013.63999999998</v>
      </c>
      <c r="AZ212" s="15">
        <f t="shared" si="20"/>
        <v>225960</v>
      </c>
      <c r="BA212" s="16">
        <v>219813.82893380563</v>
      </c>
      <c r="BB212" s="10">
        <f t="shared" si="21"/>
        <v>48880.796999999991</v>
      </c>
      <c r="BC212" s="17">
        <f t="shared" si="22"/>
        <v>0.21632499999999996</v>
      </c>
      <c r="BD212" s="10">
        <f t="shared" si="23"/>
        <v>46264.632119999995</v>
      </c>
    </row>
    <row r="213" spans="1:56" x14ac:dyDescent="0.25">
      <c r="A213" s="8" t="s">
        <v>526</v>
      </c>
      <c r="B213" s="8" t="s">
        <v>527</v>
      </c>
      <c r="C213" s="8" t="s">
        <v>528</v>
      </c>
      <c r="D213" s="8" t="s">
        <v>529</v>
      </c>
      <c r="E213" s="8" t="s">
        <v>531</v>
      </c>
      <c r="F213" s="8" t="s">
        <v>532</v>
      </c>
      <c r="G213" s="9">
        <v>94416</v>
      </c>
      <c r="H213" s="10">
        <f>INDEX([1]ratio_ins!F:F,MATCH('001_population_health_zone_zs'!$B$2,[1]ratio_ins!$B:$B,0))*$G213*INDEX([1]ratio_ins!$C:$C,MATCH('001_population_health_zone_zs'!$B213,[1]ratio_ins!$B:$B,0))</f>
        <v>9688.8755039999996</v>
      </c>
      <c r="I213" s="10">
        <f>INDEX([1]ratio_ins!G:G,MATCH('001_population_health_zone_zs'!$B$2,[1]ratio_ins!$B:$B,0))*$G213*INDEX([1]ratio_ins!$C:$C,MATCH('001_population_health_zone_zs'!$B213,[1]ratio_ins!$B:$B,0))</f>
        <v>7927.2617760000003</v>
      </c>
      <c r="J213" s="10">
        <f>INDEX([1]ratio_ins!H:H,MATCH('001_population_health_zone_zs'!$B$2,[1]ratio_ins!$B:$B,0))*$G213*INDEX([1]ratio_ins!$C:$C,MATCH('001_population_health_zone_zs'!$B213,[1]ratio_ins!$B:$B,0))</f>
        <v>6258.3645600000009</v>
      </c>
      <c r="K213" s="10">
        <f>INDEX([1]ratio_ins!I:I,MATCH('001_population_health_zone_zs'!$B$2,[1]ratio_ins!$B:$B,0))*$G213*INDEX([1]ratio_ins!$C:$C,MATCH('001_population_health_zone_zs'!$B213,[1]ratio_ins!$B:$B,0))</f>
        <v>3847.735248</v>
      </c>
      <c r="L213" s="10">
        <f>INDEX([1]ratio_ins!J:J,MATCH('001_population_health_zone_zs'!$B$2,[1]ratio_ins!$B:$B,0))*$G213*INDEX([1]ratio_ins!$C:$C,MATCH('001_population_health_zone_zs'!$B213,[1]ratio_ins!$B:$B,0))</f>
        <v>2308.6411487999999</v>
      </c>
      <c r="M213" s="11">
        <f>INDEX([1]ratio_ins!K:K,MATCH('001_population_health_zone_zs'!$B$2,[1]ratio_ins!$B:$B,0))*$G213*INDEX([1]ratio_ins!$C:$C,MATCH('001_population_health_zone_zs'!$B213,[1]ratio_ins!$B:$B,0))</f>
        <v>26183.142988799998</v>
      </c>
      <c r="N213" s="10">
        <f>INDEX([1]ratio_ins!L:L,MATCH('001_population_health_zone_zs'!$B$2,[1]ratio_ins!$B:$B,0))*$G213*INDEX([1]ratio_ins!$C:$C,MATCH('001_population_health_zone_zs'!$B213,[1]ratio_ins!$B:$B,0))</f>
        <v>1539.0940991999998</v>
      </c>
      <c r="O213" s="10">
        <f>INDEX([1]ratio_ins!M:M,MATCH('001_population_health_zone_zs'!$B$2,[1]ratio_ins!$B:$B,0))*$G213*INDEX([1]ratio_ins!$C:$C,MATCH('001_population_health_zone_zs'!$B213,[1]ratio_ins!$B:$B,0))</f>
        <v>3337.7944320000006</v>
      </c>
      <c r="P213" s="10">
        <f>INDEX([1]ratio_ins!N:N,MATCH('001_population_health_zone_zs'!$B$2,[1]ratio_ins!$B:$B,0))*$G213*INDEX([1]ratio_ins!$C:$C,MATCH('001_population_health_zone_zs'!$B213,[1]ratio_ins!$B:$B,0))</f>
        <v>3013.2866399999998</v>
      </c>
      <c r="Q213" s="10">
        <f>INDEX([1]ratio_ins!O:O,MATCH('001_population_health_zone_zs'!$B$2,[1]ratio_ins!$B:$B,0))*$G213*INDEX([1]ratio_ins!$C:$C,MATCH('001_population_health_zone_zs'!$B213,[1]ratio_ins!$B:$B,0))</f>
        <v>2688.7788479999999</v>
      </c>
      <c r="R213" s="10">
        <f>INDEX([1]ratio_ins!P:P,MATCH('001_population_health_zone_zs'!$B$2,[1]ratio_ins!$B:$B,0))*$G213*INDEX([1]ratio_ins!$C:$C,MATCH('001_population_health_zone_zs'!$B213,[1]ratio_ins!$B:$B,0))</f>
        <v>2642.4205920000004</v>
      </c>
      <c r="S213" s="10">
        <f>INDEX([1]ratio_ins!Q:Q,MATCH('001_population_health_zone_zs'!$B$2,[1]ratio_ins!$B:$B,0))*$G213*INDEX([1]ratio_ins!$C:$C,MATCH('001_population_health_zone_zs'!$B213,[1]ratio_ins!$B:$B,0))</f>
        <v>2225.1962880000001</v>
      </c>
      <c r="T213" s="10">
        <f>INDEX([1]ratio_ins!R:R,MATCH('001_population_health_zone_zs'!$B$2,[1]ratio_ins!$B:$B,0))*$G213*INDEX([1]ratio_ins!$C:$C,MATCH('001_population_health_zone_zs'!$B213,[1]ratio_ins!$B:$B,0))</f>
        <v>1576.1807040000001</v>
      </c>
      <c r="U213" s="10">
        <f>INDEX([1]ratio_ins!S:S,MATCH('001_population_health_zone_zs'!$B$2,[1]ratio_ins!$B:$B,0))*$G213*INDEX([1]ratio_ins!$C:$C,MATCH('001_population_health_zone_zs'!$B213,[1]ratio_ins!$B:$B,0))</f>
        <v>1251.6729120000002</v>
      </c>
      <c r="V213" s="10">
        <f>INDEX([1]ratio_ins!T:T,MATCH('001_population_health_zone_zs'!$B$2,[1]ratio_ins!$B:$B,0))*$G213*INDEX([1]ratio_ins!$C:$C,MATCH('001_population_health_zone_zs'!$B213,[1]ratio_ins!$B:$B,0))</f>
        <v>695.37383999999997</v>
      </c>
      <c r="W213" s="11">
        <f>INDEX([1]ratio_ins!U:U,MATCH('001_population_health_zone_zs'!$B$2,[1]ratio_ins!$B:$B,0))*$G213*INDEX([1]ratio_ins!$C:$C,MATCH('001_population_health_zone_zs'!$B213,[1]ratio_ins!$B:$B,0))</f>
        <v>18969.798355200001</v>
      </c>
      <c r="X213" s="10">
        <f>INDEX([1]ratio_ins!V:V,MATCH('001_population_health_zone_zs'!$B$2,[1]ratio_ins!$B:$B,0))*$G213*INDEX([1]ratio_ins!$C:$C,MATCH('001_population_health_zone_zs'!$B213,[1]ratio_ins!$B:$B,0))</f>
        <v>556.29907200000002</v>
      </c>
      <c r="Y213" s="10">
        <f>INDEX([1]ratio_ins!W:W,MATCH('001_population_health_zone_zs'!$B$2,[1]ratio_ins!$B:$B,0))*$G213*INDEX([1]ratio_ins!$C:$C,MATCH('001_population_health_zone_zs'!$B213,[1]ratio_ins!$B:$B,0))</f>
        <v>370.86604799999998</v>
      </c>
      <c r="Z213" s="10">
        <f>INDEX([1]ratio_ins!X:X,MATCH('001_population_health_zone_zs'!$B$2,[1]ratio_ins!$B:$B,0))*$G213*INDEX([1]ratio_ins!$C:$C,MATCH('001_population_health_zone_zs'!$B213,[1]ratio_ins!$B:$B,0))</f>
        <v>185.43302399999999</v>
      </c>
      <c r="AA213" s="10">
        <f>INDEX([1]ratio_ins!Y:Y,MATCH('001_population_health_zone_zs'!$B$2,[1]ratio_ins!$B:$B,0))*$G213*INDEX([1]ratio_ins!$C:$C,MATCH('001_population_health_zone_zs'!$B213,[1]ratio_ins!$B:$B,0))</f>
        <v>92.716511999999994</v>
      </c>
      <c r="AB213" s="11">
        <f>INDEX([1]ratio_ins!Z:Z,MATCH('001_population_health_zone_zs'!$B$2,[1]ratio_ins!$B:$B,0))*$G213*INDEX([1]ratio_ins!$C:$C,MATCH('001_population_health_zone_zs'!$B213,[1]ratio_ins!$B:$B,0))</f>
        <v>1205.314656</v>
      </c>
      <c r="AC213" s="12">
        <f t="shared" si="18"/>
        <v>46358.256000000001</v>
      </c>
      <c r="AD213" s="10">
        <f>INDEX([1]ratio_ins!AA:AA,MATCH('001_population_health_zone_zs'!$B$2,[1]ratio_ins!$B:$B,0))*$G213*INDEX([1]ratio_ins!$D:$D,MATCH('001_population_health_zone_zs'!$B213,[1]ratio_ins!$B:$B,0))</f>
        <v>10092.12624</v>
      </c>
      <c r="AE213" s="10">
        <f>INDEX([1]ratio_ins!AB:AB,MATCH('001_population_health_zone_zs'!$B$2,[1]ratio_ins!$B:$B,0))*$G213*INDEX([1]ratio_ins!$D:$D,MATCH('001_population_health_zone_zs'!$B213,[1]ratio_ins!$B:$B,0))</f>
        <v>8313.9897120000005</v>
      </c>
      <c r="AF213" s="10">
        <f>INDEX([1]ratio_ins!AC:AC,MATCH('001_population_health_zone_zs'!$B$2,[1]ratio_ins!$B:$B,0))*$G213*INDEX([1]ratio_ins!$D:$D,MATCH('001_population_health_zone_zs'!$B213,[1]ratio_ins!$B:$B,0))</f>
        <v>6583.9109279999993</v>
      </c>
      <c r="AG213" s="10">
        <f>INDEX([1]ratio_ins!AD:AD,MATCH('001_population_health_zone_zs'!$B$2,[1]ratio_ins!$B:$B,0))*$G213*INDEX([1]ratio_ins!$D:$D,MATCH('001_population_health_zone_zs'!$B213,[1]ratio_ins!$B:$B,0))</f>
        <v>3988.7927520000003</v>
      </c>
      <c r="AH213" s="10">
        <f>INDEX([1]ratio_ins!AE:AE,MATCH('001_population_health_zone_zs'!$B$2,[1]ratio_ins!$B:$B,0))*$G213*INDEX([1]ratio_ins!$D:$D,MATCH('001_population_health_zone_zs'!$B213,[1]ratio_ins!$B:$B,0))</f>
        <v>2393.2756512000001</v>
      </c>
      <c r="AI213" s="13">
        <f>INDEX([1]ratio_ins!AF:AF,MATCH('001_population_health_zone_zs'!$B$2,[1]ratio_ins!$B:$B,0))*$G213*INDEX([1]ratio_ins!$D:$D,MATCH('001_population_health_zone_zs'!$B213,[1]ratio_ins!$B:$B,0))</f>
        <v>27383.302531199999</v>
      </c>
      <c r="AJ213" s="10">
        <f>INDEX([1]ratio_ins!AG:AG,MATCH('001_population_health_zone_zs'!$B$2,[1]ratio_ins!$B:$B,0))*$G213*INDEX([1]ratio_ins!$D:$D,MATCH('001_population_health_zone_zs'!$B213,[1]ratio_ins!$B:$B,0))</f>
        <v>1595.5171008</v>
      </c>
      <c r="AK213" s="10">
        <f>INDEX([1]ratio_ins!AH:AH,MATCH('001_population_health_zone_zs'!$B$2,[1]ratio_ins!$B:$B,0))*$G213*INDEX([1]ratio_ins!$D:$D,MATCH('001_population_health_zone_zs'!$B213,[1]ratio_ins!$B:$B,0))</f>
        <v>3556.2730560000005</v>
      </c>
      <c r="AL213" s="10">
        <f>INDEX([1]ratio_ins!AI:AI,MATCH('001_population_health_zone_zs'!$B$2,[1]ratio_ins!$B:$B,0))*$G213*INDEX([1]ratio_ins!$D:$D,MATCH('001_population_health_zone_zs'!$B213,[1]ratio_ins!$B:$B,0))</f>
        <v>3364.0420800000006</v>
      </c>
      <c r="AM213" s="10">
        <f>INDEX([1]ratio_ins!AJ:AJ,MATCH('001_population_health_zone_zs'!$B$2,[1]ratio_ins!$B:$B,0))*$G213*INDEX([1]ratio_ins!$D:$D,MATCH('001_population_health_zone_zs'!$B213,[1]ratio_ins!$B:$B,0))</f>
        <v>3075.695616</v>
      </c>
      <c r="AN213" s="10">
        <f>INDEX([1]ratio_ins!AK:AK,MATCH('001_population_health_zone_zs'!$B$2,[1]ratio_ins!$B:$B,0))*$G213*INDEX([1]ratio_ins!$D:$D,MATCH('001_population_health_zone_zs'!$B213,[1]ratio_ins!$B:$B,0))</f>
        <v>2883.4646400000001</v>
      </c>
      <c r="AO213" s="10">
        <f>INDEX([1]ratio_ins!AL:AL,MATCH('001_population_health_zone_zs'!$B$2,[1]ratio_ins!$B:$B,0))*$G213*INDEX([1]ratio_ins!$D:$D,MATCH('001_population_health_zone_zs'!$B213,[1]ratio_ins!$B:$B,0))</f>
        <v>2162.5984800000001</v>
      </c>
      <c r="AP213" s="10">
        <f>INDEX([1]ratio_ins!AM:AM,MATCH('001_population_health_zone_zs'!$B$2,[1]ratio_ins!$B:$B,0))*$G213*INDEX([1]ratio_ins!$D:$D,MATCH('001_population_health_zone_zs'!$B213,[1]ratio_ins!$B:$B,0))</f>
        <v>1393.6745759999999</v>
      </c>
      <c r="AQ213" s="10">
        <f>INDEX([1]ratio_ins!AN:AN,MATCH('001_population_health_zone_zs'!$B$2,[1]ratio_ins!$B:$B,0))*$G213*INDEX([1]ratio_ins!$D:$D,MATCH('001_population_health_zone_zs'!$B213,[1]ratio_ins!$B:$B,0))</f>
        <v>1105.3281119999999</v>
      </c>
      <c r="AR213" s="10">
        <f>INDEX([1]ratio_ins!AO:AO,MATCH('001_population_health_zone_zs'!$B$2,[1]ratio_ins!$B:$B,0))*$G213*INDEX([1]ratio_ins!$D:$D,MATCH('001_population_health_zone_zs'!$B213,[1]ratio_ins!$B:$B,0))</f>
        <v>528.63518399999998</v>
      </c>
      <c r="AS213" s="13">
        <f>INDEX([1]ratio_ins!AP:AP,MATCH('001_population_health_zone_zs'!$B$2,[1]ratio_ins!$B:$B,0))*$G213*INDEX([1]ratio_ins!$D:$D,MATCH('001_population_health_zone_zs'!$B213,[1]ratio_ins!$B:$B,0))</f>
        <v>19665.228844800004</v>
      </c>
      <c r="AT213" s="10">
        <f>INDEX([1]ratio_ins!AQ:AQ,MATCH('001_population_health_zone_zs'!$B$2,[1]ratio_ins!$B:$B,0))*$G213*INDEX([1]ratio_ins!$D:$D,MATCH('001_population_health_zone_zs'!$B213,[1]ratio_ins!$B:$B,0))</f>
        <v>480.57743999999997</v>
      </c>
      <c r="AU213" s="10">
        <f>INDEX([1]ratio_ins!AR:AR,MATCH('001_population_health_zone_zs'!$B$2,[1]ratio_ins!$B:$B,0))*$G213*INDEX([1]ratio_ins!$D:$D,MATCH('001_population_health_zone_zs'!$B213,[1]ratio_ins!$B:$B,0))</f>
        <v>288.34646399999997</v>
      </c>
      <c r="AV213" s="10">
        <f>INDEX([1]ratio_ins!AS:AS,MATCH('001_population_health_zone_zs'!$B$2,[1]ratio_ins!$B:$B,0))*$G213*INDEX([1]ratio_ins!$D:$D,MATCH('001_population_health_zone_zs'!$B213,[1]ratio_ins!$B:$B,0))</f>
        <v>144.17323199999998</v>
      </c>
      <c r="AW213" s="10">
        <f>INDEX([1]ratio_ins!AT:AT,MATCH('001_population_health_zone_zs'!$B$2,[1]ratio_ins!$B:$B,0))*$G213*INDEX([1]ratio_ins!$D:$D,MATCH('001_population_health_zone_zs'!$B213,[1]ratio_ins!$B:$B,0))</f>
        <v>96.115487999999999</v>
      </c>
      <c r="AX213" s="13">
        <f>INDEX([1]ratio_ins!AU:AU,MATCH('001_population_health_zone_zs'!$B$2,[1]ratio_ins!$B:$B,0))*$G213*INDEX([1]ratio_ins!$D:$D,MATCH('001_population_health_zone_zs'!$B213,[1]ratio_ins!$B:$B,0))</f>
        <v>1009.212624</v>
      </c>
      <c r="AY213" s="14">
        <f t="shared" si="19"/>
        <v>48057.743999999999</v>
      </c>
      <c r="AZ213" s="15">
        <f t="shared" si="20"/>
        <v>94416</v>
      </c>
      <c r="BA213" s="16">
        <v>91848.017518627137</v>
      </c>
      <c r="BB213" s="10">
        <f t="shared" si="21"/>
        <v>20424.541200000003</v>
      </c>
      <c r="BC213" s="17">
        <f t="shared" si="22"/>
        <v>0.21632500000000005</v>
      </c>
      <c r="BD213" s="10">
        <f t="shared" si="23"/>
        <v>19331.392752</v>
      </c>
    </row>
    <row r="214" spans="1:56" x14ac:dyDescent="0.25">
      <c r="A214" s="8" t="s">
        <v>526</v>
      </c>
      <c r="B214" s="8" t="s">
        <v>527</v>
      </c>
      <c r="C214" s="8" t="s">
        <v>533</v>
      </c>
      <c r="D214" s="8" t="s">
        <v>534</v>
      </c>
      <c r="E214" s="8" t="s">
        <v>533</v>
      </c>
      <c r="F214" s="8" t="s">
        <v>535</v>
      </c>
      <c r="G214" s="9">
        <v>165845</v>
      </c>
      <c r="H214" s="10">
        <f>INDEX([1]ratio_ins!F:F,MATCH('001_population_health_zone_zs'!$B$2,[1]ratio_ins!$B:$B,0))*$G214*INDEX([1]ratio_ins!$C:$C,MATCH('001_population_health_zone_zs'!$B214,[1]ratio_ins!$B:$B,0))</f>
        <v>17018.848054999999</v>
      </c>
      <c r="I214" s="10">
        <f>INDEX([1]ratio_ins!G:G,MATCH('001_population_health_zone_zs'!$B$2,[1]ratio_ins!$B:$B,0))*$G214*INDEX([1]ratio_ins!$C:$C,MATCH('001_population_health_zone_zs'!$B214,[1]ratio_ins!$B:$B,0))</f>
        <v>13924.512045000001</v>
      </c>
      <c r="J214" s="10">
        <f>INDEX([1]ratio_ins!H:H,MATCH('001_population_health_zone_zs'!$B$2,[1]ratio_ins!$B:$B,0))*$G214*INDEX([1]ratio_ins!$C:$C,MATCH('001_population_health_zone_zs'!$B214,[1]ratio_ins!$B:$B,0))</f>
        <v>10993.035825000001</v>
      </c>
      <c r="K214" s="10">
        <f>INDEX([1]ratio_ins!I:I,MATCH('001_population_health_zone_zs'!$B$2,[1]ratio_ins!$B:$B,0))*$G214*INDEX([1]ratio_ins!$C:$C,MATCH('001_population_health_zone_zs'!$B214,[1]ratio_ins!$B:$B,0))</f>
        <v>6758.6812849999997</v>
      </c>
      <c r="L214" s="10">
        <f>INDEX([1]ratio_ins!J:J,MATCH('001_population_health_zone_zs'!$B$2,[1]ratio_ins!$B:$B,0))*$G214*INDEX([1]ratio_ins!$C:$C,MATCH('001_population_health_zone_zs'!$B214,[1]ratio_ins!$B:$B,0))</f>
        <v>4055.2087710000001</v>
      </c>
      <c r="M214" s="11">
        <f>INDEX([1]ratio_ins!K:K,MATCH('001_population_health_zone_zs'!$B$2,[1]ratio_ins!$B:$B,0))*$G214*INDEX([1]ratio_ins!$C:$C,MATCH('001_population_health_zone_zs'!$B214,[1]ratio_ins!$B:$B,0))</f>
        <v>45991.604695999995</v>
      </c>
      <c r="N214" s="10">
        <f>INDEX([1]ratio_ins!L:L,MATCH('001_population_health_zone_zs'!$B$2,[1]ratio_ins!$B:$B,0))*$G214*INDEX([1]ratio_ins!$C:$C,MATCH('001_population_health_zone_zs'!$B214,[1]ratio_ins!$B:$B,0))</f>
        <v>2703.472514</v>
      </c>
      <c r="O214" s="10">
        <f>INDEX([1]ratio_ins!M:M,MATCH('001_population_health_zone_zs'!$B$2,[1]ratio_ins!$B:$B,0))*$G214*INDEX([1]ratio_ins!$C:$C,MATCH('001_population_health_zone_zs'!$B214,[1]ratio_ins!$B:$B,0))</f>
        <v>5862.9524400000009</v>
      </c>
      <c r="P214" s="10">
        <f>INDEX([1]ratio_ins!N:N,MATCH('001_population_health_zone_zs'!$B$2,[1]ratio_ins!$B:$B,0))*$G214*INDEX([1]ratio_ins!$C:$C,MATCH('001_population_health_zone_zs'!$B214,[1]ratio_ins!$B:$B,0))</f>
        <v>5292.9431750000003</v>
      </c>
      <c r="Q214" s="10">
        <f>INDEX([1]ratio_ins!O:O,MATCH('001_population_health_zone_zs'!$B$2,[1]ratio_ins!$B:$B,0))*$G214*INDEX([1]ratio_ins!$C:$C,MATCH('001_population_health_zone_zs'!$B214,[1]ratio_ins!$B:$B,0))</f>
        <v>4722.9339099999997</v>
      </c>
      <c r="R214" s="10">
        <f>INDEX([1]ratio_ins!P:P,MATCH('001_population_health_zone_zs'!$B$2,[1]ratio_ins!$B:$B,0))*$G214*INDEX([1]ratio_ins!$C:$C,MATCH('001_population_health_zone_zs'!$B214,[1]ratio_ins!$B:$B,0))</f>
        <v>4641.5040150000004</v>
      </c>
      <c r="S214" s="10">
        <f>INDEX([1]ratio_ins!Q:Q,MATCH('001_population_health_zone_zs'!$B$2,[1]ratio_ins!$B:$B,0))*$G214*INDEX([1]ratio_ins!$C:$C,MATCH('001_population_health_zone_zs'!$B214,[1]ratio_ins!$B:$B,0))</f>
        <v>3908.6349600000003</v>
      </c>
      <c r="T214" s="10">
        <f>INDEX([1]ratio_ins!R:R,MATCH('001_population_health_zone_zs'!$B$2,[1]ratio_ins!$B:$B,0))*$G214*INDEX([1]ratio_ins!$C:$C,MATCH('001_population_health_zone_zs'!$B214,[1]ratio_ins!$B:$B,0))</f>
        <v>2768.61643</v>
      </c>
      <c r="U214" s="10">
        <f>INDEX([1]ratio_ins!S:S,MATCH('001_population_health_zone_zs'!$B$2,[1]ratio_ins!$B:$B,0))*$G214*INDEX([1]ratio_ins!$C:$C,MATCH('001_population_health_zone_zs'!$B214,[1]ratio_ins!$B:$B,0))</f>
        <v>2198.6071650000004</v>
      </c>
      <c r="V214" s="10">
        <f>INDEX([1]ratio_ins!T:T,MATCH('001_population_health_zone_zs'!$B$2,[1]ratio_ins!$B:$B,0))*$G214*INDEX([1]ratio_ins!$C:$C,MATCH('001_population_health_zone_zs'!$B214,[1]ratio_ins!$B:$B,0))</f>
        <v>1221.4484249999998</v>
      </c>
      <c r="W214" s="11">
        <f>INDEX([1]ratio_ins!U:U,MATCH('001_population_health_zone_zs'!$B$2,[1]ratio_ins!$B:$B,0))*$G214*INDEX([1]ratio_ins!$C:$C,MATCH('001_population_health_zone_zs'!$B214,[1]ratio_ins!$B:$B,0))</f>
        <v>33321.113034000002</v>
      </c>
      <c r="X214" s="10">
        <f>INDEX([1]ratio_ins!V:V,MATCH('001_population_health_zone_zs'!$B$2,[1]ratio_ins!$B:$B,0))*$G214*INDEX([1]ratio_ins!$C:$C,MATCH('001_population_health_zone_zs'!$B214,[1]ratio_ins!$B:$B,0))</f>
        <v>977.15874000000008</v>
      </c>
      <c r="Y214" s="10">
        <f>INDEX([1]ratio_ins!W:W,MATCH('001_population_health_zone_zs'!$B$2,[1]ratio_ins!$B:$B,0))*$G214*INDEX([1]ratio_ins!$C:$C,MATCH('001_population_health_zone_zs'!$B214,[1]ratio_ins!$B:$B,0))</f>
        <v>651.43916000000002</v>
      </c>
      <c r="Z214" s="10">
        <f>INDEX([1]ratio_ins!X:X,MATCH('001_population_health_zone_zs'!$B$2,[1]ratio_ins!$B:$B,0))*$G214*INDEX([1]ratio_ins!$C:$C,MATCH('001_population_health_zone_zs'!$B214,[1]ratio_ins!$B:$B,0))</f>
        <v>325.71958000000001</v>
      </c>
      <c r="AA214" s="10">
        <f>INDEX([1]ratio_ins!Y:Y,MATCH('001_population_health_zone_zs'!$B$2,[1]ratio_ins!$B:$B,0))*$G214*INDEX([1]ratio_ins!$C:$C,MATCH('001_population_health_zone_zs'!$B214,[1]ratio_ins!$B:$B,0))</f>
        <v>162.85979</v>
      </c>
      <c r="AB214" s="11">
        <f>INDEX([1]ratio_ins!Z:Z,MATCH('001_population_health_zone_zs'!$B$2,[1]ratio_ins!$B:$B,0))*$G214*INDEX([1]ratio_ins!$C:$C,MATCH('001_population_health_zone_zs'!$B214,[1]ratio_ins!$B:$B,0))</f>
        <v>2117.1772700000001</v>
      </c>
      <c r="AC214" s="12">
        <f t="shared" si="18"/>
        <v>81429.895000000004</v>
      </c>
      <c r="AD214" s="10">
        <f>INDEX([1]ratio_ins!AA:AA,MATCH('001_population_health_zone_zs'!$B$2,[1]ratio_ins!$B:$B,0))*$G214*INDEX([1]ratio_ins!$D:$D,MATCH('001_population_health_zone_zs'!$B214,[1]ratio_ins!$B:$B,0))</f>
        <v>17727.172049999997</v>
      </c>
      <c r="AE214" s="10">
        <f>INDEX([1]ratio_ins!AB:AB,MATCH('001_population_health_zone_zs'!$B$2,[1]ratio_ins!$B:$B,0))*$G214*INDEX([1]ratio_ins!$D:$D,MATCH('001_population_health_zone_zs'!$B214,[1]ratio_ins!$B:$B,0))</f>
        <v>14603.813165000001</v>
      </c>
      <c r="AF214" s="10">
        <f>INDEX([1]ratio_ins!AC:AC,MATCH('001_population_health_zone_zs'!$B$2,[1]ratio_ins!$B:$B,0))*$G214*INDEX([1]ratio_ins!$D:$D,MATCH('001_population_health_zone_zs'!$B214,[1]ratio_ins!$B:$B,0))</f>
        <v>11564.869384999998</v>
      </c>
      <c r="AG214" s="10">
        <f>INDEX([1]ratio_ins!AD:AD,MATCH('001_population_health_zone_zs'!$B$2,[1]ratio_ins!$B:$B,0))*$G214*INDEX([1]ratio_ins!$D:$D,MATCH('001_population_health_zone_zs'!$B214,[1]ratio_ins!$B:$B,0))</f>
        <v>7006.4537150000006</v>
      </c>
      <c r="AH214" s="10">
        <f>INDEX([1]ratio_ins!AE:AE,MATCH('001_population_health_zone_zs'!$B$2,[1]ratio_ins!$B:$B,0))*$G214*INDEX([1]ratio_ins!$D:$D,MATCH('001_population_health_zone_zs'!$B214,[1]ratio_ins!$B:$B,0))</f>
        <v>4203.8722290000005</v>
      </c>
      <c r="AI214" s="13">
        <f>INDEX([1]ratio_ins!AF:AF,MATCH('001_population_health_zone_zs'!$B$2,[1]ratio_ins!$B:$B,0))*$G214*INDEX([1]ratio_ins!$D:$D,MATCH('001_population_health_zone_zs'!$B214,[1]ratio_ins!$B:$B,0))</f>
        <v>48099.726828999999</v>
      </c>
      <c r="AJ214" s="10">
        <f>INDEX([1]ratio_ins!AG:AG,MATCH('001_population_health_zone_zs'!$B$2,[1]ratio_ins!$B:$B,0))*$G214*INDEX([1]ratio_ins!$D:$D,MATCH('001_population_health_zone_zs'!$B214,[1]ratio_ins!$B:$B,0))</f>
        <v>2802.581486</v>
      </c>
      <c r="AK214" s="10">
        <f>INDEX([1]ratio_ins!AH:AH,MATCH('001_population_health_zone_zs'!$B$2,[1]ratio_ins!$B:$B,0))*$G214*INDEX([1]ratio_ins!$D:$D,MATCH('001_population_health_zone_zs'!$B214,[1]ratio_ins!$B:$B,0))</f>
        <v>6246.7177700000011</v>
      </c>
      <c r="AL214" s="10">
        <f>INDEX([1]ratio_ins!AI:AI,MATCH('001_population_health_zone_zs'!$B$2,[1]ratio_ins!$B:$B,0))*$G214*INDEX([1]ratio_ins!$D:$D,MATCH('001_population_health_zone_zs'!$B214,[1]ratio_ins!$B:$B,0))</f>
        <v>5909.057350000001</v>
      </c>
      <c r="AM214" s="10">
        <f>INDEX([1]ratio_ins!AJ:AJ,MATCH('001_population_health_zone_zs'!$B$2,[1]ratio_ins!$B:$B,0))*$G214*INDEX([1]ratio_ins!$D:$D,MATCH('001_population_health_zone_zs'!$B214,[1]ratio_ins!$B:$B,0))</f>
        <v>5402.5667199999998</v>
      </c>
      <c r="AN214" s="10">
        <f>INDEX([1]ratio_ins!AK:AK,MATCH('001_population_health_zone_zs'!$B$2,[1]ratio_ins!$B:$B,0))*$G214*INDEX([1]ratio_ins!$D:$D,MATCH('001_population_health_zone_zs'!$B214,[1]ratio_ins!$B:$B,0))</f>
        <v>5064.9062999999996</v>
      </c>
      <c r="AO214" s="10">
        <f>INDEX([1]ratio_ins!AL:AL,MATCH('001_population_health_zone_zs'!$B$2,[1]ratio_ins!$B:$B,0))*$G214*INDEX([1]ratio_ins!$D:$D,MATCH('001_population_health_zone_zs'!$B214,[1]ratio_ins!$B:$B,0))</f>
        <v>3798.679725</v>
      </c>
      <c r="AP214" s="10">
        <f>INDEX([1]ratio_ins!AM:AM,MATCH('001_population_health_zone_zs'!$B$2,[1]ratio_ins!$B:$B,0))*$G214*INDEX([1]ratio_ins!$D:$D,MATCH('001_population_health_zone_zs'!$B214,[1]ratio_ins!$B:$B,0))</f>
        <v>2448.0380450000002</v>
      </c>
      <c r="AQ214" s="10">
        <f>INDEX([1]ratio_ins!AN:AN,MATCH('001_population_health_zone_zs'!$B$2,[1]ratio_ins!$B:$B,0))*$G214*INDEX([1]ratio_ins!$D:$D,MATCH('001_population_health_zone_zs'!$B214,[1]ratio_ins!$B:$B,0))</f>
        <v>1941.547415</v>
      </c>
      <c r="AR214" s="10">
        <f>INDEX([1]ratio_ins!AO:AO,MATCH('001_population_health_zone_zs'!$B$2,[1]ratio_ins!$B:$B,0))*$G214*INDEX([1]ratio_ins!$D:$D,MATCH('001_population_health_zone_zs'!$B214,[1]ratio_ins!$B:$B,0))</f>
        <v>928.56615500000009</v>
      </c>
      <c r="AS214" s="13">
        <f>INDEX([1]ratio_ins!AP:AP,MATCH('001_population_health_zone_zs'!$B$2,[1]ratio_ins!$B:$B,0))*$G214*INDEX([1]ratio_ins!$D:$D,MATCH('001_population_health_zone_zs'!$B214,[1]ratio_ins!$B:$B,0))</f>
        <v>34542.660966000003</v>
      </c>
      <c r="AT214" s="10">
        <f>INDEX([1]ratio_ins!AQ:AQ,MATCH('001_population_health_zone_zs'!$B$2,[1]ratio_ins!$B:$B,0))*$G214*INDEX([1]ratio_ins!$D:$D,MATCH('001_population_health_zone_zs'!$B214,[1]ratio_ins!$B:$B,0))</f>
        <v>844.15105000000005</v>
      </c>
      <c r="AU214" s="10">
        <f>INDEX([1]ratio_ins!AR:AR,MATCH('001_population_health_zone_zs'!$B$2,[1]ratio_ins!$B:$B,0))*$G214*INDEX([1]ratio_ins!$D:$D,MATCH('001_population_health_zone_zs'!$B214,[1]ratio_ins!$B:$B,0))</f>
        <v>506.49063000000001</v>
      </c>
      <c r="AV214" s="10">
        <f>INDEX([1]ratio_ins!AS:AS,MATCH('001_population_health_zone_zs'!$B$2,[1]ratio_ins!$B:$B,0))*$G214*INDEX([1]ratio_ins!$D:$D,MATCH('001_population_health_zone_zs'!$B214,[1]ratio_ins!$B:$B,0))</f>
        <v>253.24531500000001</v>
      </c>
      <c r="AW214" s="10">
        <f>INDEX([1]ratio_ins!AT:AT,MATCH('001_population_health_zone_zs'!$B$2,[1]ratio_ins!$B:$B,0))*$G214*INDEX([1]ratio_ins!$D:$D,MATCH('001_population_health_zone_zs'!$B214,[1]ratio_ins!$B:$B,0))</f>
        <v>168.83020999999999</v>
      </c>
      <c r="AX214" s="13">
        <f>INDEX([1]ratio_ins!AU:AU,MATCH('001_population_health_zone_zs'!$B$2,[1]ratio_ins!$B:$B,0))*$G214*INDEX([1]ratio_ins!$D:$D,MATCH('001_population_health_zone_zs'!$B214,[1]ratio_ins!$B:$B,0))</f>
        <v>1772.7172049999997</v>
      </c>
      <c r="AY214" s="14">
        <f t="shared" si="19"/>
        <v>84415.104999999996</v>
      </c>
      <c r="AZ214" s="15">
        <f t="shared" si="20"/>
        <v>165845</v>
      </c>
      <c r="BA214" s="16">
        <v>161333.58898535938</v>
      </c>
      <c r="BB214" s="10">
        <f t="shared" si="21"/>
        <v>35876.419625000002</v>
      </c>
      <c r="BC214" s="17">
        <f t="shared" si="22"/>
        <v>0.21632500000000002</v>
      </c>
      <c r="BD214" s="10">
        <f t="shared" si="23"/>
        <v>33956.266214999996</v>
      </c>
    </row>
    <row r="215" spans="1:56" x14ac:dyDescent="0.25">
      <c r="A215" s="8" t="s">
        <v>526</v>
      </c>
      <c r="B215" s="8" t="s">
        <v>527</v>
      </c>
      <c r="C215" s="8" t="s">
        <v>533</v>
      </c>
      <c r="D215" s="8" t="s">
        <v>534</v>
      </c>
      <c r="E215" s="8" t="s">
        <v>536</v>
      </c>
      <c r="F215" s="8" t="s">
        <v>537</v>
      </c>
      <c r="G215" s="9">
        <v>85877</v>
      </c>
      <c r="H215" s="10">
        <f>INDEX([1]ratio_ins!F:F,MATCH('001_population_health_zone_zs'!$B$2,[1]ratio_ins!$B:$B,0))*$G215*INDEX([1]ratio_ins!$C:$C,MATCH('001_population_health_zone_zs'!$B215,[1]ratio_ins!$B:$B,0))</f>
        <v>8812.6118629999983</v>
      </c>
      <c r="I215" s="10">
        <f>INDEX([1]ratio_ins!G:G,MATCH('001_population_health_zone_zs'!$B$2,[1]ratio_ins!$B:$B,0))*$G215*INDEX([1]ratio_ins!$C:$C,MATCH('001_population_health_zone_zs'!$B215,[1]ratio_ins!$B:$B,0))</f>
        <v>7210.3187969999999</v>
      </c>
      <c r="J215" s="10">
        <f>INDEX([1]ratio_ins!H:H,MATCH('001_population_health_zone_zs'!$B$2,[1]ratio_ins!$B:$B,0))*$G215*INDEX([1]ratio_ins!$C:$C,MATCH('001_population_health_zone_zs'!$B215,[1]ratio_ins!$B:$B,0))</f>
        <v>5692.3569450000005</v>
      </c>
      <c r="K215" s="10">
        <f>INDEX([1]ratio_ins!I:I,MATCH('001_population_health_zone_zs'!$B$2,[1]ratio_ins!$B:$B,0))*$G215*INDEX([1]ratio_ins!$C:$C,MATCH('001_population_health_zone_zs'!$B215,[1]ratio_ins!$B:$B,0))</f>
        <v>3499.7453810000002</v>
      </c>
      <c r="L215" s="10">
        <f>INDEX([1]ratio_ins!J:J,MATCH('001_population_health_zone_zs'!$B$2,[1]ratio_ins!$B:$B,0))*$G215*INDEX([1]ratio_ins!$C:$C,MATCH('001_population_health_zone_zs'!$B215,[1]ratio_ins!$B:$B,0))</f>
        <v>2099.8472285999997</v>
      </c>
      <c r="M215" s="11">
        <f>INDEX([1]ratio_ins!K:K,MATCH('001_population_health_zone_zs'!$B$2,[1]ratio_ins!$B:$B,0))*$G215*INDEX([1]ratio_ins!$C:$C,MATCH('001_population_health_zone_zs'!$B215,[1]ratio_ins!$B:$B,0))</f>
        <v>23815.134833599997</v>
      </c>
      <c r="N215" s="10">
        <f>INDEX([1]ratio_ins!L:L,MATCH('001_population_health_zone_zs'!$B$2,[1]ratio_ins!$B:$B,0))*$G215*INDEX([1]ratio_ins!$C:$C,MATCH('001_population_health_zone_zs'!$B215,[1]ratio_ins!$B:$B,0))</f>
        <v>1399.8981523999998</v>
      </c>
      <c r="O215" s="10">
        <f>INDEX([1]ratio_ins!M:M,MATCH('001_population_health_zone_zs'!$B$2,[1]ratio_ins!$B:$B,0))*$G215*INDEX([1]ratio_ins!$C:$C,MATCH('001_population_health_zone_zs'!$B215,[1]ratio_ins!$B:$B,0))</f>
        <v>3035.9237040000007</v>
      </c>
      <c r="P215" s="10">
        <f>INDEX([1]ratio_ins!N:N,MATCH('001_population_health_zone_zs'!$B$2,[1]ratio_ins!$B:$B,0))*$G215*INDEX([1]ratio_ins!$C:$C,MATCH('001_population_health_zone_zs'!$B215,[1]ratio_ins!$B:$B,0))</f>
        <v>2740.764455</v>
      </c>
      <c r="Q215" s="10">
        <f>INDEX([1]ratio_ins!O:O,MATCH('001_population_health_zone_zs'!$B$2,[1]ratio_ins!$B:$B,0))*$G215*INDEX([1]ratio_ins!$C:$C,MATCH('001_population_health_zone_zs'!$B215,[1]ratio_ins!$B:$B,0))</f>
        <v>2445.6052060000002</v>
      </c>
      <c r="R215" s="10">
        <f>INDEX([1]ratio_ins!P:P,MATCH('001_population_health_zone_zs'!$B$2,[1]ratio_ins!$B:$B,0))*$G215*INDEX([1]ratio_ins!$C:$C,MATCH('001_population_health_zone_zs'!$B215,[1]ratio_ins!$B:$B,0))</f>
        <v>2403.4395990000003</v>
      </c>
      <c r="S215" s="10">
        <f>INDEX([1]ratio_ins!Q:Q,MATCH('001_population_health_zone_zs'!$B$2,[1]ratio_ins!$B:$B,0))*$G215*INDEX([1]ratio_ins!$C:$C,MATCH('001_population_health_zone_zs'!$B215,[1]ratio_ins!$B:$B,0))</f>
        <v>2023.9491360000002</v>
      </c>
      <c r="T215" s="10">
        <f>INDEX([1]ratio_ins!R:R,MATCH('001_population_health_zone_zs'!$B$2,[1]ratio_ins!$B:$B,0))*$G215*INDEX([1]ratio_ins!$C:$C,MATCH('001_population_health_zone_zs'!$B215,[1]ratio_ins!$B:$B,0))</f>
        <v>1433.6306380000001</v>
      </c>
      <c r="U215" s="10">
        <f>INDEX([1]ratio_ins!S:S,MATCH('001_population_health_zone_zs'!$B$2,[1]ratio_ins!$B:$B,0))*$G215*INDEX([1]ratio_ins!$C:$C,MATCH('001_population_health_zone_zs'!$B215,[1]ratio_ins!$B:$B,0))</f>
        <v>1138.471389</v>
      </c>
      <c r="V215" s="10">
        <f>INDEX([1]ratio_ins!T:T,MATCH('001_population_health_zone_zs'!$B$2,[1]ratio_ins!$B:$B,0))*$G215*INDEX([1]ratio_ins!$C:$C,MATCH('001_population_health_zone_zs'!$B215,[1]ratio_ins!$B:$B,0))</f>
        <v>632.484105</v>
      </c>
      <c r="W215" s="11">
        <f>INDEX([1]ratio_ins!U:U,MATCH('001_population_health_zone_zs'!$B$2,[1]ratio_ins!$B:$B,0))*$G215*INDEX([1]ratio_ins!$C:$C,MATCH('001_population_health_zone_zs'!$B215,[1]ratio_ins!$B:$B,0))</f>
        <v>17254.1663844</v>
      </c>
      <c r="X215" s="10">
        <f>INDEX([1]ratio_ins!V:V,MATCH('001_population_health_zone_zs'!$B$2,[1]ratio_ins!$B:$B,0))*$G215*INDEX([1]ratio_ins!$C:$C,MATCH('001_population_health_zone_zs'!$B215,[1]ratio_ins!$B:$B,0))</f>
        <v>505.98728400000005</v>
      </c>
      <c r="Y215" s="10">
        <f>INDEX([1]ratio_ins!W:W,MATCH('001_population_health_zone_zs'!$B$2,[1]ratio_ins!$B:$B,0))*$G215*INDEX([1]ratio_ins!$C:$C,MATCH('001_population_health_zone_zs'!$B215,[1]ratio_ins!$B:$B,0))</f>
        <v>337.32485599999995</v>
      </c>
      <c r="Z215" s="10">
        <f>INDEX([1]ratio_ins!X:X,MATCH('001_population_health_zone_zs'!$B$2,[1]ratio_ins!$B:$B,0))*$G215*INDEX([1]ratio_ins!$C:$C,MATCH('001_population_health_zone_zs'!$B215,[1]ratio_ins!$B:$B,0))</f>
        <v>168.66242799999998</v>
      </c>
      <c r="AA215" s="10">
        <f>INDEX([1]ratio_ins!Y:Y,MATCH('001_population_health_zone_zs'!$B$2,[1]ratio_ins!$B:$B,0))*$G215*INDEX([1]ratio_ins!$C:$C,MATCH('001_population_health_zone_zs'!$B215,[1]ratio_ins!$B:$B,0))</f>
        <v>84.331213999999989</v>
      </c>
      <c r="AB215" s="11">
        <f>INDEX([1]ratio_ins!Z:Z,MATCH('001_population_health_zone_zs'!$B$2,[1]ratio_ins!$B:$B,0))*$G215*INDEX([1]ratio_ins!$C:$C,MATCH('001_population_health_zone_zs'!$B215,[1]ratio_ins!$B:$B,0))</f>
        <v>1096.3057820000001</v>
      </c>
      <c r="AC215" s="12">
        <f t="shared" si="18"/>
        <v>42165.606999999996</v>
      </c>
      <c r="AD215" s="10">
        <f>INDEX([1]ratio_ins!AA:AA,MATCH('001_population_health_zone_zs'!$B$2,[1]ratio_ins!$B:$B,0))*$G215*INDEX([1]ratio_ins!$D:$D,MATCH('001_population_health_zone_zs'!$B215,[1]ratio_ins!$B:$B,0))</f>
        <v>9179.3925299999992</v>
      </c>
      <c r="AE215" s="10">
        <f>INDEX([1]ratio_ins!AB:AB,MATCH('001_population_health_zone_zs'!$B$2,[1]ratio_ins!$B:$B,0))*$G215*INDEX([1]ratio_ins!$D:$D,MATCH('001_population_health_zone_zs'!$B215,[1]ratio_ins!$B:$B,0))</f>
        <v>7562.0709890000007</v>
      </c>
      <c r="AF215" s="10">
        <f>INDEX([1]ratio_ins!AC:AC,MATCH('001_population_health_zone_zs'!$B$2,[1]ratio_ins!$B:$B,0))*$G215*INDEX([1]ratio_ins!$D:$D,MATCH('001_population_health_zone_zs'!$B215,[1]ratio_ins!$B:$B,0))</f>
        <v>5988.4608410000001</v>
      </c>
      <c r="AG215" s="10">
        <f>INDEX([1]ratio_ins!AD:AD,MATCH('001_population_health_zone_zs'!$B$2,[1]ratio_ins!$B:$B,0))*$G215*INDEX([1]ratio_ins!$D:$D,MATCH('001_population_health_zone_zs'!$B215,[1]ratio_ins!$B:$B,0))</f>
        <v>3628.045619</v>
      </c>
      <c r="AH215" s="10">
        <f>INDEX([1]ratio_ins!AE:AE,MATCH('001_population_health_zone_zs'!$B$2,[1]ratio_ins!$B:$B,0))*$G215*INDEX([1]ratio_ins!$D:$D,MATCH('001_population_health_zone_zs'!$B215,[1]ratio_ins!$B:$B,0))</f>
        <v>2176.8273713999997</v>
      </c>
      <c r="AI215" s="13">
        <f>INDEX([1]ratio_ins!AF:AF,MATCH('001_population_health_zone_zs'!$B$2,[1]ratio_ins!$B:$B,0))*$G215*INDEX([1]ratio_ins!$D:$D,MATCH('001_population_health_zone_zs'!$B215,[1]ratio_ins!$B:$B,0))</f>
        <v>24906.7517314</v>
      </c>
      <c r="AJ215" s="10">
        <f>INDEX([1]ratio_ins!AG:AG,MATCH('001_population_health_zone_zs'!$B$2,[1]ratio_ins!$B:$B,0))*$G215*INDEX([1]ratio_ins!$D:$D,MATCH('001_population_health_zone_zs'!$B215,[1]ratio_ins!$B:$B,0))</f>
        <v>1451.2182476</v>
      </c>
      <c r="AK215" s="10">
        <f>INDEX([1]ratio_ins!AH:AH,MATCH('001_population_health_zone_zs'!$B$2,[1]ratio_ins!$B:$B,0))*$G215*INDEX([1]ratio_ins!$D:$D,MATCH('001_population_health_zone_zs'!$B215,[1]ratio_ins!$B:$B,0))</f>
        <v>3234.6430820000005</v>
      </c>
      <c r="AL215" s="10">
        <f>INDEX([1]ratio_ins!AI:AI,MATCH('001_population_health_zone_zs'!$B$2,[1]ratio_ins!$B:$B,0))*$G215*INDEX([1]ratio_ins!$D:$D,MATCH('001_population_health_zone_zs'!$B215,[1]ratio_ins!$B:$B,0))</f>
        <v>3059.7975100000003</v>
      </c>
      <c r="AM215" s="10">
        <f>INDEX([1]ratio_ins!AJ:AJ,MATCH('001_population_health_zone_zs'!$B$2,[1]ratio_ins!$B:$B,0))*$G215*INDEX([1]ratio_ins!$D:$D,MATCH('001_population_health_zone_zs'!$B215,[1]ratio_ins!$B:$B,0))</f>
        <v>2797.5291520000001</v>
      </c>
      <c r="AN215" s="10">
        <f>INDEX([1]ratio_ins!AK:AK,MATCH('001_population_health_zone_zs'!$B$2,[1]ratio_ins!$B:$B,0))*$G215*INDEX([1]ratio_ins!$D:$D,MATCH('001_population_health_zone_zs'!$B215,[1]ratio_ins!$B:$B,0))</f>
        <v>2622.6835799999999</v>
      </c>
      <c r="AO215" s="10">
        <f>INDEX([1]ratio_ins!AL:AL,MATCH('001_population_health_zone_zs'!$B$2,[1]ratio_ins!$B:$B,0))*$G215*INDEX([1]ratio_ins!$D:$D,MATCH('001_population_health_zone_zs'!$B215,[1]ratio_ins!$B:$B,0))</f>
        <v>1967.0126849999999</v>
      </c>
      <c r="AP215" s="10">
        <f>INDEX([1]ratio_ins!AM:AM,MATCH('001_population_health_zone_zs'!$B$2,[1]ratio_ins!$B:$B,0))*$G215*INDEX([1]ratio_ins!$D:$D,MATCH('001_population_health_zone_zs'!$B215,[1]ratio_ins!$B:$B,0))</f>
        <v>1267.6303969999999</v>
      </c>
      <c r="AQ215" s="10">
        <f>INDEX([1]ratio_ins!AN:AN,MATCH('001_population_health_zone_zs'!$B$2,[1]ratio_ins!$B:$B,0))*$G215*INDEX([1]ratio_ins!$D:$D,MATCH('001_population_health_zone_zs'!$B215,[1]ratio_ins!$B:$B,0))</f>
        <v>1005.3620390000001</v>
      </c>
      <c r="AR215" s="10">
        <f>INDEX([1]ratio_ins!AO:AO,MATCH('001_population_health_zone_zs'!$B$2,[1]ratio_ins!$B:$B,0))*$G215*INDEX([1]ratio_ins!$D:$D,MATCH('001_population_health_zone_zs'!$B215,[1]ratio_ins!$B:$B,0))</f>
        <v>480.82532300000003</v>
      </c>
      <c r="AS215" s="13">
        <f>INDEX([1]ratio_ins!AP:AP,MATCH('001_population_health_zone_zs'!$B$2,[1]ratio_ins!$B:$B,0))*$G215*INDEX([1]ratio_ins!$D:$D,MATCH('001_population_health_zone_zs'!$B215,[1]ratio_ins!$B:$B,0))</f>
        <v>17886.7020156</v>
      </c>
      <c r="AT215" s="10">
        <f>INDEX([1]ratio_ins!AQ:AQ,MATCH('001_population_health_zone_zs'!$B$2,[1]ratio_ins!$B:$B,0))*$G215*INDEX([1]ratio_ins!$D:$D,MATCH('001_population_health_zone_zs'!$B215,[1]ratio_ins!$B:$B,0))</f>
        <v>437.11392999999998</v>
      </c>
      <c r="AU215" s="10">
        <f>INDEX([1]ratio_ins!AR:AR,MATCH('001_population_health_zone_zs'!$B$2,[1]ratio_ins!$B:$B,0))*$G215*INDEX([1]ratio_ins!$D:$D,MATCH('001_population_health_zone_zs'!$B215,[1]ratio_ins!$B:$B,0))</f>
        <v>262.26835800000003</v>
      </c>
      <c r="AV215" s="10">
        <f>INDEX([1]ratio_ins!AS:AS,MATCH('001_population_health_zone_zs'!$B$2,[1]ratio_ins!$B:$B,0))*$G215*INDEX([1]ratio_ins!$D:$D,MATCH('001_population_health_zone_zs'!$B215,[1]ratio_ins!$B:$B,0))</f>
        <v>131.13417900000002</v>
      </c>
      <c r="AW215" s="10">
        <f>INDEX([1]ratio_ins!AT:AT,MATCH('001_population_health_zone_zs'!$B$2,[1]ratio_ins!$B:$B,0))*$G215*INDEX([1]ratio_ins!$D:$D,MATCH('001_population_health_zone_zs'!$B215,[1]ratio_ins!$B:$B,0))</f>
        <v>87.422786000000002</v>
      </c>
      <c r="AX215" s="13">
        <f>INDEX([1]ratio_ins!AU:AU,MATCH('001_population_health_zone_zs'!$B$2,[1]ratio_ins!$B:$B,0))*$G215*INDEX([1]ratio_ins!$D:$D,MATCH('001_population_health_zone_zs'!$B215,[1]ratio_ins!$B:$B,0))</f>
        <v>917.93925300000001</v>
      </c>
      <c r="AY215" s="14">
        <f t="shared" si="19"/>
        <v>43711.392999999996</v>
      </c>
      <c r="AZ215" s="15">
        <f t="shared" si="20"/>
        <v>85877</v>
      </c>
      <c r="BA215" s="16">
        <v>83541.093441230041</v>
      </c>
      <c r="BB215" s="10">
        <f t="shared" si="21"/>
        <v>18577.342025000002</v>
      </c>
      <c r="BC215" s="17">
        <f t="shared" si="22"/>
        <v>0.21632500000000002</v>
      </c>
      <c r="BD215" s="10">
        <f t="shared" si="23"/>
        <v>17583.058118999998</v>
      </c>
    </row>
    <row r="216" spans="1:56" x14ac:dyDescent="0.25">
      <c r="A216" s="8" t="s">
        <v>526</v>
      </c>
      <c r="B216" s="8" t="s">
        <v>527</v>
      </c>
      <c r="C216" s="8" t="s">
        <v>538</v>
      </c>
      <c r="D216" s="8" t="s">
        <v>539</v>
      </c>
      <c r="E216" s="8" t="s">
        <v>406</v>
      </c>
      <c r="F216" s="8" t="s">
        <v>540</v>
      </c>
      <c r="G216" s="9">
        <v>78776</v>
      </c>
      <c r="H216" s="10">
        <f>INDEX([1]ratio_ins!F:F,MATCH('001_population_health_zone_zs'!$B$2,[1]ratio_ins!$B:$B,0))*$G216*INDEX([1]ratio_ins!$C:$C,MATCH('001_population_health_zone_zs'!$B216,[1]ratio_ins!$B:$B,0))</f>
        <v>8083.9143440000007</v>
      </c>
      <c r="I216" s="10">
        <f>INDEX([1]ratio_ins!G:G,MATCH('001_population_health_zone_zs'!$B$2,[1]ratio_ins!$B:$B,0))*$G216*INDEX([1]ratio_ins!$C:$C,MATCH('001_population_health_zone_zs'!$B216,[1]ratio_ins!$B:$B,0))</f>
        <v>6614.1117360000007</v>
      </c>
      <c r="J216" s="10">
        <f>INDEX([1]ratio_ins!H:H,MATCH('001_population_health_zone_zs'!$B$2,[1]ratio_ins!$B:$B,0))*$G216*INDEX([1]ratio_ins!$C:$C,MATCH('001_population_health_zone_zs'!$B216,[1]ratio_ins!$B:$B,0))</f>
        <v>5221.66716</v>
      </c>
      <c r="K216" s="10">
        <f>INDEX([1]ratio_ins!I:I,MATCH('001_population_health_zone_zs'!$B$2,[1]ratio_ins!$B:$B,0))*$G216*INDEX([1]ratio_ins!$C:$C,MATCH('001_population_health_zone_zs'!$B216,[1]ratio_ins!$B:$B,0))</f>
        <v>3210.3583280000003</v>
      </c>
      <c r="L216" s="10">
        <f>INDEX([1]ratio_ins!J:J,MATCH('001_population_health_zone_zs'!$B$2,[1]ratio_ins!$B:$B,0))*$G216*INDEX([1]ratio_ins!$C:$C,MATCH('001_population_health_zone_zs'!$B216,[1]ratio_ins!$B:$B,0))</f>
        <v>1926.2149967999999</v>
      </c>
      <c r="M216" s="11">
        <f>INDEX([1]ratio_ins!K:K,MATCH('001_population_health_zone_zs'!$B$2,[1]ratio_ins!$B:$B,0))*$G216*INDEX([1]ratio_ins!$C:$C,MATCH('001_population_health_zone_zs'!$B216,[1]ratio_ins!$B:$B,0))</f>
        <v>21845.908236799998</v>
      </c>
      <c r="N216" s="10">
        <f>INDEX([1]ratio_ins!L:L,MATCH('001_population_health_zone_zs'!$B$2,[1]ratio_ins!$B:$B,0))*$G216*INDEX([1]ratio_ins!$C:$C,MATCH('001_population_health_zone_zs'!$B216,[1]ratio_ins!$B:$B,0))</f>
        <v>1284.1433312000001</v>
      </c>
      <c r="O216" s="10">
        <f>INDEX([1]ratio_ins!M:M,MATCH('001_population_health_zone_zs'!$B$2,[1]ratio_ins!$B:$B,0))*$G216*INDEX([1]ratio_ins!$C:$C,MATCH('001_population_health_zone_zs'!$B216,[1]ratio_ins!$B:$B,0))</f>
        <v>2784.8891520000002</v>
      </c>
      <c r="P216" s="10">
        <f>INDEX([1]ratio_ins!N:N,MATCH('001_population_health_zone_zs'!$B$2,[1]ratio_ins!$B:$B,0))*$G216*INDEX([1]ratio_ins!$C:$C,MATCH('001_population_health_zone_zs'!$B216,[1]ratio_ins!$B:$B,0))</f>
        <v>2514.1360400000003</v>
      </c>
      <c r="Q216" s="10">
        <f>INDEX([1]ratio_ins!O:O,MATCH('001_population_health_zone_zs'!$B$2,[1]ratio_ins!$B:$B,0))*$G216*INDEX([1]ratio_ins!$C:$C,MATCH('001_population_health_zone_zs'!$B216,[1]ratio_ins!$B:$B,0))</f>
        <v>2243.382928</v>
      </c>
      <c r="R216" s="10">
        <f>INDEX([1]ratio_ins!P:P,MATCH('001_population_health_zone_zs'!$B$2,[1]ratio_ins!$B:$B,0))*$G216*INDEX([1]ratio_ins!$C:$C,MATCH('001_population_health_zone_zs'!$B216,[1]ratio_ins!$B:$B,0))</f>
        <v>2204.7039119999999</v>
      </c>
      <c r="S216" s="10">
        <f>INDEX([1]ratio_ins!Q:Q,MATCH('001_population_health_zone_zs'!$B$2,[1]ratio_ins!$B:$B,0))*$G216*INDEX([1]ratio_ins!$C:$C,MATCH('001_population_health_zone_zs'!$B216,[1]ratio_ins!$B:$B,0))</f>
        <v>1856.592768</v>
      </c>
      <c r="T216" s="10">
        <f>INDEX([1]ratio_ins!R:R,MATCH('001_population_health_zone_zs'!$B$2,[1]ratio_ins!$B:$B,0))*$G216*INDEX([1]ratio_ins!$C:$C,MATCH('001_population_health_zone_zs'!$B216,[1]ratio_ins!$B:$B,0))</f>
        <v>1315.086544</v>
      </c>
      <c r="U216" s="10">
        <f>INDEX([1]ratio_ins!S:S,MATCH('001_population_health_zone_zs'!$B$2,[1]ratio_ins!$B:$B,0))*$G216*INDEX([1]ratio_ins!$C:$C,MATCH('001_population_health_zone_zs'!$B216,[1]ratio_ins!$B:$B,0))</f>
        <v>1044.3334320000001</v>
      </c>
      <c r="V216" s="10">
        <f>INDEX([1]ratio_ins!T:T,MATCH('001_population_health_zone_zs'!$B$2,[1]ratio_ins!$B:$B,0))*$G216*INDEX([1]ratio_ins!$C:$C,MATCH('001_population_health_zone_zs'!$B216,[1]ratio_ins!$B:$B,0))</f>
        <v>580.18523999999991</v>
      </c>
      <c r="W216" s="11">
        <f>INDEX([1]ratio_ins!U:U,MATCH('001_population_health_zone_zs'!$B$2,[1]ratio_ins!$B:$B,0))*$G216*INDEX([1]ratio_ins!$C:$C,MATCH('001_population_health_zone_zs'!$B216,[1]ratio_ins!$B:$B,0))</f>
        <v>15827.4533472</v>
      </c>
      <c r="X216" s="10">
        <f>INDEX([1]ratio_ins!V:V,MATCH('001_population_health_zone_zs'!$B$2,[1]ratio_ins!$B:$B,0))*$G216*INDEX([1]ratio_ins!$C:$C,MATCH('001_population_health_zone_zs'!$B216,[1]ratio_ins!$B:$B,0))</f>
        <v>464.14819199999999</v>
      </c>
      <c r="Y216" s="10">
        <f>INDEX([1]ratio_ins!W:W,MATCH('001_population_health_zone_zs'!$B$2,[1]ratio_ins!$B:$B,0))*$G216*INDEX([1]ratio_ins!$C:$C,MATCH('001_population_health_zone_zs'!$B216,[1]ratio_ins!$B:$B,0))</f>
        <v>309.43212799999998</v>
      </c>
      <c r="Z216" s="10">
        <f>INDEX([1]ratio_ins!X:X,MATCH('001_population_health_zone_zs'!$B$2,[1]ratio_ins!$B:$B,0))*$G216*INDEX([1]ratio_ins!$C:$C,MATCH('001_population_health_zone_zs'!$B216,[1]ratio_ins!$B:$B,0))</f>
        <v>154.71606399999999</v>
      </c>
      <c r="AA216" s="10">
        <f>INDEX([1]ratio_ins!Y:Y,MATCH('001_population_health_zone_zs'!$B$2,[1]ratio_ins!$B:$B,0))*$G216*INDEX([1]ratio_ins!$C:$C,MATCH('001_population_health_zone_zs'!$B216,[1]ratio_ins!$B:$B,0))</f>
        <v>77.358031999999994</v>
      </c>
      <c r="AB216" s="11">
        <f>INDEX([1]ratio_ins!Z:Z,MATCH('001_population_health_zone_zs'!$B$2,[1]ratio_ins!$B:$B,0))*$G216*INDEX([1]ratio_ins!$C:$C,MATCH('001_population_health_zone_zs'!$B216,[1]ratio_ins!$B:$B,0))</f>
        <v>1005.6544160000002</v>
      </c>
      <c r="AC216" s="12">
        <f t="shared" si="18"/>
        <v>38679.015999999996</v>
      </c>
      <c r="AD216" s="10">
        <f>INDEX([1]ratio_ins!AA:AA,MATCH('001_population_health_zone_zs'!$B$2,[1]ratio_ins!$B:$B,0))*$G216*INDEX([1]ratio_ins!$D:$D,MATCH('001_population_health_zone_zs'!$B216,[1]ratio_ins!$B:$B,0))</f>
        <v>8420.3666400000002</v>
      </c>
      <c r="AE216" s="10">
        <f>INDEX([1]ratio_ins!AB:AB,MATCH('001_population_health_zone_zs'!$B$2,[1]ratio_ins!$B:$B,0))*$G216*INDEX([1]ratio_ins!$D:$D,MATCH('001_population_health_zone_zs'!$B216,[1]ratio_ins!$B:$B,0))</f>
        <v>6936.7782320000006</v>
      </c>
      <c r="AF216" s="10">
        <f>INDEX([1]ratio_ins!AC:AC,MATCH('001_population_health_zone_zs'!$B$2,[1]ratio_ins!$B:$B,0))*$G216*INDEX([1]ratio_ins!$D:$D,MATCH('001_population_health_zone_zs'!$B216,[1]ratio_ins!$B:$B,0))</f>
        <v>5493.2868079999989</v>
      </c>
      <c r="AG216" s="10">
        <f>INDEX([1]ratio_ins!AD:AD,MATCH('001_population_health_zone_zs'!$B$2,[1]ratio_ins!$B:$B,0))*$G216*INDEX([1]ratio_ins!$D:$D,MATCH('001_population_health_zone_zs'!$B216,[1]ratio_ins!$B:$B,0))</f>
        <v>3328.0496720000001</v>
      </c>
      <c r="AH216" s="10">
        <f>INDEX([1]ratio_ins!AE:AE,MATCH('001_population_health_zone_zs'!$B$2,[1]ratio_ins!$B:$B,0))*$G216*INDEX([1]ratio_ins!$D:$D,MATCH('001_population_health_zone_zs'!$B216,[1]ratio_ins!$B:$B,0))</f>
        <v>1996.8298031999998</v>
      </c>
      <c r="AI216" s="13">
        <f>INDEX([1]ratio_ins!AF:AF,MATCH('001_population_health_zone_zs'!$B$2,[1]ratio_ins!$B:$B,0))*$G216*INDEX([1]ratio_ins!$D:$D,MATCH('001_population_health_zone_zs'!$B216,[1]ratio_ins!$B:$B,0))</f>
        <v>22847.2614832</v>
      </c>
      <c r="AJ216" s="10">
        <f>INDEX([1]ratio_ins!AG:AG,MATCH('001_population_health_zone_zs'!$B$2,[1]ratio_ins!$B:$B,0))*$G216*INDEX([1]ratio_ins!$D:$D,MATCH('001_population_health_zone_zs'!$B216,[1]ratio_ins!$B:$B,0))</f>
        <v>1331.2198688000001</v>
      </c>
      <c r="AK216" s="10">
        <f>INDEX([1]ratio_ins!AH:AH,MATCH('001_population_health_zone_zs'!$B$2,[1]ratio_ins!$B:$B,0))*$G216*INDEX([1]ratio_ins!$D:$D,MATCH('001_population_health_zone_zs'!$B216,[1]ratio_ins!$B:$B,0))</f>
        <v>2967.1768160000006</v>
      </c>
      <c r="AL216" s="10">
        <f>INDEX([1]ratio_ins!AI:AI,MATCH('001_population_health_zone_zs'!$B$2,[1]ratio_ins!$B:$B,0))*$G216*INDEX([1]ratio_ins!$D:$D,MATCH('001_population_health_zone_zs'!$B216,[1]ratio_ins!$B:$B,0))</f>
        <v>2806.7888800000005</v>
      </c>
      <c r="AM216" s="10">
        <f>INDEX([1]ratio_ins!AJ:AJ,MATCH('001_population_health_zone_zs'!$B$2,[1]ratio_ins!$B:$B,0))*$G216*INDEX([1]ratio_ins!$D:$D,MATCH('001_population_health_zone_zs'!$B216,[1]ratio_ins!$B:$B,0))</f>
        <v>2566.2069759999999</v>
      </c>
      <c r="AN216" s="10">
        <f>INDEX([1]ratio_ins!AK:AK,MATCH('001_population_health_zone_zs'!$B$2,[1]ratio_ins!$B:$B,0))*$G216*INDEX([1]ratio_ins!$D:$D,MATCH('001_population_health_zone_zs'!$B216,[1]ratio_ins!$B:$B,0))</f>
        <v>2405.8190399999999</v>
      </c>
      <c r="AO216" s="10">
        <f>INDEX([1]ratio_ins!AL:AL,MATCH('001_population_health_zone_zs'!$B$2,[1]ratio_ins!$B:$B,0))*$G216*INDEX([1]ratio_ins!$D:$D,MATCH('001_population_health_zone_zs'!$B216,[1]ratio_ins!$B:$B,0))</f>
        <v>1804.36428</v>
      </c>
      <c r="AP216" s="10">
        <f>INDEX([1]ratio_ins!AM:AM,MATCH('001_population_health_zone_zs'!$B$2,[1]ratio_ins!$B:$B,0))*$G216*INDEX([1]ratio_ins!$D:$D,MATCH('001_population_health_zone_zs'!$B216,[1]ratio_ins!$B:$B,0))</f>
        <v>1162.8125359999999</v>
      </c>
      <c r="AQ216" s="10">
        <f>INDEX([1]ratio_ins!AN:AN,MATCH('001_population_health_zone_zs'!$B$2,[1]ratio_ins!$B:$B,0))*$G216*INDEX([1]ratio_ins!$D:$D,MATCH('001_population_health_zone_zs'!$B216,[1]ratio_ins!$B:$B,0))</f>
        <v>922.23063200000001</v>
      </c>
      <c r="AR216" s="10">
        <f>INDEX([1]ratio_ins!AO:AO,MATCH('001_population_health_zone_zs'!$B$2,[1]ratio_ins!$B:$B,0))*$G216*INDEX([1]ratio_ins!$D:$D,MATCH('001_population_health_zone_zs'!$B216,[1]ratio_ins!$B:$B,0))</f>
        <v>441.06682400000005</v>
      </c>
      <c r="AS216" s="13">
        <f>INDEX([1]ratio_ins!AP:AP,MATCH('001_population_health_zone_zs'!$B$2,[1]ratio_ins!$B:$B,0))*$G216*INDEX([1]ratio_ins!$D:$D,MATCH('001_population_health_zone_zs'!$B216,[1]ratio_ins!$B:$B,0))</f>
        <v>16407.685852800001</v>
      </c>
      <c r="AT216" s="10">
        <f>INDEX([1]ratio_ins!AQ:AQ,MATCH('001_population_health_zone_zs'!$B$2,[1]ratio_ins!$B:$B,0))*$G216*INDEX([1]ratio_ins!$D:$D,MATCH('001_population_health_zone_zs'!$B216,[1]ratio_ins!$B:$B,0))</f>
        <v>400.96983999999998</v>
      </c>
      <c r="AU216" s="10">
        <f>INDEX([1]ratio_ins!AR:AR,MATCH('001_population_health_zone_zs'!$B$2,[1]ratio_ins!$B:$B,0))*$G216*INDEX([1]ratio_ins!$D:$D,MATCH('001_population_health_zone_zs'!$B216,[1]ratio_ins!$B:$B,0))</f>
        <v>240.58190400000001</v>
      </c>
      <c r="AV216" s="10">
        <f>INDEX([1]ratio_ins!AS:AS,MATCH('001_population_health_zone_zs'!$B$2,[1]ratio_ins!$B:$B,0))*$G216*INDEX([1]ratio_ins!$D:$D,MATCH('001_population_health_zone_zs'!$B216,[1]ratio_ins!$B:$B,0))</f>
        <v>120.290952</v>
      </c>
      <c r="AW216" s="10">
        <f>INDEX([1]ratio_ins!AT:AT,MATCH('001_population_health_zone_zs'!$B$2,[1]ratio_ins!$B:$B,0))*$G216*INDEX([1]ratio_ins!$D:$D,MATCH('001_population_health_zone_zs'!$B216,[1]ratio_ins!$B:$B,0))</f>
        <v>80.193967999999998</v>
      </c>
      <c r="AX216" s="13">
        <f>INDEX([1]ratio_ins!AU:AU,MATCH('001_population_health_zone_zs'!$B$2,[1]ratio_ins!$B:$B,0))*$G216*INDEX([1]ratio_ins!$D:$D,MATCH('001_population_health_zone_zs'!$B216,[1]ratio_ins!$B:$B,0))</f>
        <v>842.03666399999997</v>
      </c>
      <c r="AY216" s="14">
        <f t="shared" si="19"/>
        <v>40096.983999999997</v>
      </c>
      <c r="AZ216" s="15">
        <f t="shared" si="20"/>
        <v>78776</v>
      </c>
      <c r="BA216" s="16">
        <v>76632.875484637247</v>
      </c>
      <c r="BB216" s="10">
        <f t="shared" si="21"/>
        <v>17041.218199999999</v>
      </c>
      <c r="BC216" s="17">
        <f t="shared" si="22"/>
        <v>0.21632499999999999</v>
      </c>
      <c r="BD216" s="10">
        <f t="shared" si="23"/>
        <v>16129.149672</v>
      </c>
    </row>
    <row r="217" spans="1:56" x14ac:dyDescent="0.25">
      <c r="A217" s="8" t="s">
        <v>526</v>
      </c>
      <c r="B217" s="8" t="s">
        <v>527</v>
      </c>
      <c r="C217" s="8" t="s">
        <v>538</v>
      </c>
      <c r="D217" s="8" t="s">
        <v>539</v>
      </c>
      <c r="E217" s="8" t="s">
        <v>538</v>
      </c>
      <c r="F217" s="8" t="s">
        <v>541</v>
      </c>
      <c r="G217" s="9">
        <v>132803</v>
      </c>
      <c r="H217" s="10">
        <f>INDEX([1]ratio_ins!F:F,MATCH('001_population_health_zone_zs'!$B$2,[1]ratio_ins!$B:$B,0))*$G217*INDEX([1]ratio_ins!$C:$C,MATCH('001_population_health_zone_zs'!$B217,[1]ratio_ins!$B:$B,0))</f>
        <v>13628.111056999998</v>
      </c>
      <c r="I217" s="10">
        <f>INDEX([1]ratio_ins!G:G,MATCH('001_population_health_zone_zs'!$B$2,[1]ratio_ins!$B:$B,0))*$G217*INDEX([1]ratio_ins!$C:$C,MATCH('001_population_health_zone_zs'!$B217,[1]ratio_ins!$B:$B,0))</f>
        <v>11150.272683000001</v>
      </c>
      <c r="J217" s="10">
        <f>INDEX([1]ratio_ins!H:H,MATCH('001_population_health_zone_zs'!$B$2,[1]ratio_ins!$B:$B,0))*$G217*INDEX([1]ratio_ins!$C:$C,MATCH('001_population_health_zone_zs'!$B217,[1]ratio_ins!$B:$B,0))</f>
        <v>8802.8468550000016</v>
      </c>
      <c r="K217" s="10">
        <f>INDEX([1]ratio_ins!I:I,MATCH('001_population_health_zone_zs'!$B$2,[1]ratio_ins!$B:$B,0))*$G217*INDEX([1]ratio_ins!$C:$C,MATCH('001_population_health_zone_zs'!$B217,[1]ratio_ins!$B:$B,0))</f>
        <v>5412.1206590000002</v>
      </c>
      <c r="L217" s="10">
        <f>INDEX([1]ratio_ins!J:J,MATCH('001_population_health_zone_zs'!$B$2,[1]ratio_ins!$B:$B,0))*$G217*INDEX([1]ratio_ins!$C:$C,MATCH('001_population_health_zone_zs'!$B217,[1]ratio_ins!$B:$B,0))</f>
        <v>3247.2723953999998</v>
      </c>
      <c r="M217" s="11">
        <f>INDEX([1]ratio_ins!K:K,MATCH('001_population_health_zone_zs'!$B$2,[1]ratio_ins!$B:$B,0))*$G217*INDEX([1]ratio_ins!$C:$C,MATCH('001_population_health_zone_zs'!$B217,[1]ratio_ins!$B:$B,0))</f>
        <v>36828.502990399997</v>
      </c>
      <c r="N217" s="10">
        <f>INDEX([1]ratio_ins!L:L,MATCH('001_population_health_zone_zs'!$B$2,[1]ratio_ins!$B:$B,0))*$G217*INDEX([1]ratio_ins!$C:$C,MATCH('001_population_health_zone_zs'!$B217,[1]ratio_ins!$B:$B,0))</f>
        <v>2164.8482635999999</v>
      </c>
      <c r="O217" s="10">
        <f>INDEX([1]ratio_ins!M:M,MATCH('001_population_health_zone_zs'!$B$2,[1]ratio_ins!$B:$B,0))*$G217*INDEX([1]ratio_ins!$C:$C,MATCH('001_population_health_zone_zs'!$B217,[1]ratio_ins!$B:$B,0))</f>
        <v>4694.8516559999998</v>
      </c>
      <c r="P217" s="10">
        <f>INDEX([1]ratio_ins!N:N,MATCH('001_population_health_zone_zs'!$B$2,[1]ratio_ins!$B:$B,0))*$G217*INDEX([1]ratio_ins!$C:$C,MATCH('001_population_health_zone_zs'!$B217,[1]ratio_ins!$B:$B,0))</f>
        <v>4238.4077449999995</v>
      </c>
      <c r="Q217" s="10">
        <f>INDEX([1]ratio_ins!O:O,MATCH('001_population_health_zone_zs'!$B$2,[1]ratio_ins!$B:$B,0))*$G217*INDEX([1]ratio_ins!$C:$C,MATCH('001_population_health_zone_zs'!$B217,[1]ratio_ins!$B:$B,0))</f>
        <v>3781.9638339999997</v>
      </c>
      <c r="R217" s="10">
        <f>INDEX([1]ratio_ins!P:P,MATCH('001_population_health_zone_zs'!$B$2,[1]ratio_ins!$B:$B,0))*$G217*INDEX([1]ratio_ins!$C:$C,MATCH('001_population_health_zone_zs'!$B217,[1]ratio_ins!$B:$B,0))</f>
        <v>3716.7575610000004</v>
      </c>
      <c r="S217" s="10">
        <f>INDEX([1]ratio_ins!Q:Q,MATCH('001_population_health_zone_zs'!$B$2,[1]ratio_ins!$B:$B,0))*$G217*INDEX([1]ratio_ins!$C:$C,MATCH('001_population_health_zone_zs'!$B217,[1]ratio_ins!$B:$B,0))</f>
        <v>3129.901104</v>
      </c>
      <c r="T217" s="10">
        <f>INDEX([1]ratio_ins!R:R,MATCH('001_population_health_zone_zs'!$B$2,[1]ratio_ins!$B:$B,0))*$G217*INDEX([1]ratio_ins!$C:$C,MATCH('001_population_health_zone_zs'!$B217,[1]ratio_ins!$B:$B,0))</f>
        <v>2217.0132820000003</v>
      </c>
      <c r="U217" s="10">
        <f>INDEX([1]ratio_ins!S:S,MATCH('001_population_health_zone_zs'!$B$2,[1]ratio_ins!$B:$B,0))*$G217*INDEX([1]ratio_ins!$C:$C,MATCH('001_population_health_zone_zs'!$B217,[1]ratio_ins!$B:$B,0))</f>
        <v>1760.5693710000003</v>
      </c>
      <c r="V217" s="10">
        <f>INDEX([1]ratio_ins!T:T,MATCH('001_population_health_zone_zs'!$B$2,[1]ratio_ins!$B:$B,0))*$G217*INDEX([1]ratio_ins!$C:$C,MATCH('001_population_health_zone_zs'!$B217,[1]ratio_ins!$B:$B,0))</f>
        <v>978.09409499999992</v>
      </c>
      <c r="W217" s="11">
        <f>INDEX([1]ratio_ins!U:U,MATCH('001_population_health_zone_zs'!$B$2,[1]ratio_ins!$B:$B,0))*$G217*INDEX([1]ratio_ins!$C:$C,MATCH('001_population_health_zone_zs'!$B217,[1]ratio_ins!$B:$B,0))</f>
        <v>26682.406911599999</v>
      </c>
      <c r="X217" s="10">
        <f>INDEX([1]ratio_ins!V:V,MATCH('001_population_health_zone_zs'!$B$2,[1]ratio_ins!$B:$B,0))*$G217*INDEX([1]ratio_ins!$C:$C,MATCH('001_population_health_zone_zs'!$B217,[1]ratio_ins!$B:$B,0))</f>
        <v>782.47527600000001</v>
      </c>
      <c r="Y217" s="10">
        <f>INDEX([1]ratio_ins!W:W,MATCH('001_population_health_zone_zs'!$B$2,[1]ratio_ins!$B:$B,0))*$G217*INDEX([1]ratio_ins!$C:$C,MATCH('001_population_health_zone_zs'!$B217,[1]ratio_ins!$B:$B,0))</f>
        <v>521.65018399999997</v>
      </c>
      <c r="Z217" s="10">
        <f>INDEX([1]ratio_ins!X:X,MATCH('001_population_health_zone_zs'!$B$2,[1]ratio_ins!$B:$B,0))*$G217*INDEX([1]ratio_ins!$C:$C,MATCH('001_population_health_zone_zs'!$B217,[1]ratio_ins!$B:$B,0))</f>
        <v>260.82509199999998</v>
      </c>
      <c r="AA217" s="10">
        <f>INDEX([1]ratio_ins!Y:Y,MATCH('001_population_health_zone_zs'!$B$2,[1]ratio_ins!$B:$B,0))*$G217*INDEX([1]ratio_ins!$C:$C,MATCH('001_population_health_zone_zs'!$B217,[1]ratio_ins!$B:$B,0))</f>
        <v>130.41254599999999</v>
      </c>
      <c r="AB217" s="11">
        <f>INDEX([1]ratio_ins!Z:Z,MATCH('001_population_health_zone_zs'!$B$2,[1]ratio_ins!$B:$B,0))*$G217*INDEX([1]ratio_ins!$C:$C,MATCH('001_population_health_zone_zs'!$B217,[1]ratio_ins!$B:$B,0))</f>
        <v>1695.363098</v>
      </c>
      <c r="AC217" s="12">
        <f t="shared" si="18"/>
        <v>65206.273000000001</v>
      </c>
      <c r="AD217" s="10">
        <f>INDEX([1]ratio_ins!AA:AA,MATCH('001_population_health_zone_zs'!$B$2,[1]ratio_ins!$B:$B,0))*$G217*INDEX([1]ratio_ins!$D:$D,MATCH('001_population_health_zone_zs'!$B217,[1]ratio_ins!$B:$B,0))</f>
        <v>14195.312669999999</v>
      </c>
      <c r="AE217" s="10">
        <f>INDEX([1]ratio_ins!AB:AB,MATCH('001_population_health_zone_zs'!$B$2,[1]ratio_ins!$B:$B,0))*$G217*INDEX([1]ratio_ins!$D:$D,MATCH('001_population_health_zone_zs'!$B217,[1]ratio_ins!$B:$B,0))</f>
        <v>11694.233771000001</v>
      </c>
      <c r="AF217" s="10">
        <f>INDEX([1]ratio_ins!AC:AC,MATCH('001_population_health_zone_zs'!$B$2,[1]ratio_ins!$B:$B,0))*$G217*INDEX([1]ratio_ins!$D:$D,MATCH('001_population_health_zone_zs'!$B217,[1]ratio_ins!$B:$B,0))</f>
        <v>9260.7515989999993</v>
      </c>
      <c r="AG217" s="10">
        <f>INDEX([1]ratio_ins!AD:AD,MATCH('001_population_health_zone_zs'!$B$2,[1]ratio_ins!$B:$B,0))*$G217*INDEX([1]ratio_ins!$D:$D,MATCH('001_population_health_zone_zs'!$B217,[1]ratio_ins!$B:$B,0))</f>
        <v>5610.5283410000011</v>
      </c>
      <c r="AH217" s="10">
        <f>INDEX([1]ratio_ins!AE:AE,MATCH('001_population_health_zone_zs'!$B$2,[1]ratio_ins!$B:$B,0))*$G217*INDEX([1]ratio_ins!$D:$D,MATCH('001_population_health_zone_zs'!$B217,[1]ratio_ins!$B:$B,0))</f>
        <v>3366.3170046</v>
      </c>
      <c r="AI217" s="13">
        <f>INDEX([1]ratio_ins!AF:AF,MATCH('001_population_health_zone_zs'!$B$2,[1]ratio_ins!$B:$B,0))*$G217*INDEX([1]ratio_ins!$D:$D,MATCH('001_population_health_zone_zs'!$B217,[1]ratio_ins!$B:$B,0))</f>
        <v>38516.615044599996</v>
      </c>
      <c r="AJ217" s="10">
        <f>INDEX([1]ratio_ins!AG:AG,MATCH('001_population_health_zone_zs'!$B$2,[1]ratio_ins!$B:$B,0))*$G217*INDEX([1]ratio_ins!$D:$D,MATCH('001_population_health_zone_zs'!$B217,[1]ratio_ins!$B:$B,0))</f>
        <v>2244.2113363999997</v>
      </c>
      <c r="AK217" s="10">
        <f>INDEX([1]ratio_ins!AH:AH,MATCH('001_population_health_zone_zs'!$B$2,[1]ratio_ins!$B:$B,0))*$G217*INDEX([1]ratio_ins!$D:$D,MATCH('001_population_health_zone_zs'!$B217,[1]ratio_ins!$B:$B,0))</f>
        <v>5002.1577980000002</v>
      </c>
      <c r="AL217" s="10">
        <f>INDEX([1]ratio_ins!AI:AI,MATCH('001_population_health_zone_zs'!$B$2,[1]ratio_ins!$B:$B,0))*$G217*INDEX([1]ratio_ins!$D:$D,MATCH('001_population_health_zone_zs'!$B217,[1]ratio_ins!$B:$B,0))</f>
        <v>4731.7708900000007</v>
      </c>
      <c r="AM217" s="10">
        <f>INDEX([1]ratio_ins!AJ:AJ,MATCH('001_population_health_zone_zs'!$B$2,[1]ratio_ins!$B:$B,0))*$G217*INDEX([1]ratio_ins!$D:$D,MATCH('001_population_health_zone_zs'!$B217,[1]ratio_ins!$B:$B,0))</f>
        <v>4326.1905280000001</v>
      </c>
      <c r="AN217" s="10">
        <f>INDEX([1]ratio_ins!AK:AK,MATCH('001_population_health_zone_zs'!$B$2,[1]ratio_ins!$B:$B,0))*$G217*INDEX([1]ratio_ins!$D:$D,MATCH('001_population_health_zone_zs'!$B217,[1]ratio_ins!$B:$B,0))</f>
        <v>4055.8036199999997</v>
      </c>
      <c r="AO217" s="10">
        <f>INDEX([1]ratio_ins!AL:AL,MATCH('001_population_health_zone_zs'!$B$2,[1]ratio_ins!$B:$B,0))*$G217*INDEX([1]ratio_ins!$D:$D,MATCH('001_population_health_zone_zs'!$B217,[1]ratio_ins!$B:$B,0))</f>
        <v>3041.852715</v>
      </c>
      <c r="AP217" s="10">
        <f>INDEX([1]ratio_ins!AM:AM,MATCH('001_population_health_zone_zs'!$B$2,[1]ratio_ins!$B:$B,0))*$G217*INDEX([1]ratio_ins!$D:$D,MATCH('001_population_health_zone_zs'!$B217,[1]ratio_ins!$B:$B,0))</f>
        <v>1960.305083</v>
      </c>
      <c r="AQ217" s="10">
        <f>INDEX([1]ratio_ins!AN:AN,MATCH('001_population_health_zone_zs'!$B$2,[1]ratio_ins!$B:$B,0))*$G217*INDEX([1]ratio_ins!$D:$D,MATCH('001_population_health_zone_zs'!$B217,[1]ratio_ins!$B:$B,0))</f>
        <v>1554.724721</v>
      </c>
      <c r="AR217" s="10">
        <f>INDEX([1]ratio_ins!AO:AO,MATCH('001_population_health_zone_zs'!$B$2,[1]ratio_ins!$B:$B,0))*$G217*INDEX([1]ratio_ins!$D:$D,MATCH('001_population_health_zone_zs'!$B217,[1]ratio_ins!$B:$B,0))</f>
        <v>743.56399700000009</v>
      </c>
      <c r="AS217" s="13">
        <f>INDEX([1]ratio_ins!AP:AP,MATCH('001_population_health_zone_zs'!$B$2,[1]ratio_ins!$B:$B,0))*$G217*INDEX([1]ratio_ins!$D:$D,MATCH('001_population_health_zone_zs'!$B217,[1]ratio_ins!$B:$B,0))</f>
        <v>27660.580688400001</v>
      </c>
      <c r="AT217" s="10">
        <f>INDEX([1]ratio_ins!AQ:AQ,MATCH('001_population_health_zone_zs'!$B$2,[1]ratio_ins!$B:$B,0))*$G217*INDEX([1]ratio_ins!$D:$D,MATCH('001_population_health_zone_zs'!$B217,[1]ratio_ins!$B:$B,0))</f>
        <v>675.96726999999998</v>
      </c>
      <c r="AU217" s="10">
        <f>INDEX([1]ratio_ins!AR:AR,MATCH('001_population_health_zone_zs'!$B$2,[1]ratio_ins!$B:$B,0))*$G217*INDEX([1]ratio_ins!$D:$D,MATCH('001_population_health_zone_zs'!$B217,[1]ratio_ins!$B:$B,0))</f>
        <v>405.58036199999998</v>
      </c>
      <c r="AV217" s="10">
        <f>INDEX([1]ratio_ins!AS:AS,MATCH('001_population_health_zone_zs'!$B$2,[1]ratio_ins!$B:$B,0))*$G217*INDEX([1]ratio_ins!$D:$D,MATCH('001_population_health_zone_zs'!$B217,[1]ratio_ins!$B:$B,0))</f>
        <v>202.79018099999999</v>
      </c>
      <c r="AW217" s="10">
        <f>INDEX([1]ratio_ins!AT:AT,MATCH('001_population_health_zone_zs'!$B$2,[1]ratio_ins!$B:$B,0))*$G217*INDEX([1]ratio_ins!$D:$D,MATCH('001_population_health_zone_zs'!$B217,[1]ratio_ins!$B:$B,0))</f>
        <v>135.193454</v>
      </c>
      <c r="AX217" s="13">
        <f>INDEX([1]ratio_ins!AU:AU,MATCH('001_population_health_zone_zs'!$B$2,[1]ratio_ins!$B:$B,0))*$G217*INDEX([1]ratio_ins!$D:$D,MATCH('001_population_health_zone_zs'!$B217,[1]ratio_ins!$B:$B,0))</f>
        <v>1419.5312669999998</v>
      </c>
      <c r="AY217" s="14">
        <f t="shared" si="19"/>
        <v>67596.726999999999</v>
      </c>
      <c r="AZ217" s="15">
        <f t="shared" si="20"/>
        <v>132803</v>
      </c>
      <c r="BA217" s="16">
        <v>129190.73251344307</v>
      </c>
      <c r="BB217" s="10">
        <f t="shared" si="21"/>
        <v>28728.608974999999</v>
      </c>
      <c r="BC217" s="17">
        <f t="shared" si="22"/>
        <v>0.21632499999999999</v>
      </c>
      <c r="BD217" s="10">
        <f t="shared" si="23"/>
        <v>27191.015840999997</v>
      </c>
    </row>
    <row r="218" spans="1:56" x14ac:dyDescent="0.25">
      <c r="A218" s="8" t="s">
        <v>526</v>
      </c>
      <c r="B218" s="8" t="s">
        <v>527</v>
      </c>
      <c r="C218" s="8" t="s">
        <v>538</v>
      </c>
      <c r="D218" s="8" t="s">
        <v>539</v>
      </c>
      <c r="E218" s="8" t="s">
        <v>542</v>
      </c>
      <c r="F218" s="8" t="s">
        <v>543</v>
      </c>
      <c r="G218" s="9">
        <v>96719</v>
      </c>
      <c r="H218" s="10">
        <f>INDEX([1]ratio_ins!F:F,MATCH('001_population_health_zone_zs'!$B$2,[1]ratio_ins!$B:$B,0))*$G218*INDEX([1]ratio_ins!$C:$C,MATCH('001_population_health_zone_zs'!$B218,[1]ratio_ins!$B:$B,0))</f>
        <v>9925.207061000001</v>
      </c>
      <c r="I218" s="10">
        <f>INDEX([1]ratio_ins!G:G,MATCH('001_population_health_zone_zs'!$B$2,[1]ratio_ins!$B:$B,0))*$G218*INDEX([1]ratio_ins!$C:$C,MATCH('001_population_health_zone_zs'!$B218,[1]ratio_ins!$B:$B,0))</f>
        <v>8120.6239590000005</v>
      </c>
      <c r="J218" s="10">
        <f>INDEX([1]ratio_ins!H:H,MATCH('001_population_health_zone_zs'!$B$2,[1]ratio_ins!$B:$B,0))*$G218*INDEX([1]ratio_ins!$C:$C,MATCH('001_population_health_zone_zs'!$B218,[1]ratio_ins!$B:$B,0))</f>
        <v>6411.0189150000006</v>
      </c>
      <c r="K218" s="10">
        <f>INDEX([1]ratio_ins!I:I,MATCH('001_population_health_zone_zs'!$B$2,[1]ratio_ins!$B:$B,0))*$G218*INDEX([1]ratio_ins!$C:$C,MATCH('001_population_health_zone_zs'!$B218,[1]ratio_ins!$B:$B,0))</f>
        <v>3941.5894070000004</v>
      </c>
      <c r="L218" s="10">
        <f>INDEX([1]ratio_ins!J:J,MATCH('001_population_health_zone_zs'!$B$2,[1]ratio_ins!$B:$B,0))*$G218*INDEX([1]ratio_ins!$C:$C,MATCH('001_population_health_zone_zs'!$B218,[1]ratio_ins!$B:$B,0))</f>
        <v>2364.9536441999994</v>
      </c>
      <c r="M218" s="11">
        <f>INDEX([1]ratio_ins!K:K,MATCH('001_population_health_zone_zs'!$B$2,[1]ratio_ins!$B:$B,0))*$G218*INDEX([1]ratio_ins!$C:$C,MATCH('001_population_health_zone_zs'!$B218,[1]ratio_ins!$B:$B,0))</f>
        <v>26821.803579199997</v>
      </c>
      <c r="N218" s="10">
        <f>INDEX([1]ratio_ins!L:L,MATCH('001_population_health_zone_zs'!$B$2,[1]ratio_ins!$B:$B,0))*$G218*INDEX([1]ratio_ins!$C:$C,MATCH('001_population_health_zone_zs'!$B218,[1]ratio_ins!$B:$B,0))</f>
        <v>1576.6357628000001</v>
      </c>
      <c r="O218" s="10">
        <f>INDEX([1]ratio_ins!M:M,MATCH('001_population_health_zone_zs'!$B$2,[1]ratio_ins!$B:$B,0))*$G218*INDEX([1]ratio_ins!$C:$C,MATCH('001_population_health_zone_zs'!$B218,[1]ratio_ins!$B:$B,0))</f>
        <v>3419.2100880000003</v>
      </c>
      <c r="P218" s="10">
        <f>INDEX([1]ratio_ins!N:N,MATCH('001_population_health_zone_zs'!$B$2,[1]ratio_ins!$B:$B,0))*$G218*INDEX([1]ratio_ins!$C:$C,MATCH('001_population_health_zone_zs'!$B218,[1]ratio_ins!$B:$B,0))</f>
        <v>3086.7868850000004</v>
      </c>
      <c r="Q218" s="10">
        <f>INDEX([1]ratio_ins!O:O,MATCH('001_population_health_zone_zs'!$B$2,[1]ratio_ins!$B:$B,0))*$G218*INDEX([1]ratio_ins!$C:$C,MATCH('001_population_health_zone_zs'!$B218,[1]ratio_ins!$B:$B,0))</f>
        <v>2754.3636819999997</v>
      </c>
      <c r="R218" s="10">
        <f>INDEX([1]ratio_ins!P:P,MATCH('001_population_health_zone_zs'!$B$2,[1]ratio_ins!$B:$B,0))*$G218*INDEX([1]ratio_ins!$C:$C,MATCH('001_population_health_zone_zs'!$B218,[1]ratio_ins!$B:$B,0))</f>
        <v>2706.8746529999999</v>
      </c>
      <c r="S218" s="10">
        <f>INDEX([1]ratio_ins!Q:Q,MATCH('001_population_health_zone_zs'!$B$2,[1]ratio_ins!$B:$B,0))*$G218*INDEX([1]ratio_ins!$C:$C,MATCH('001_population_health_zone_zs'!$B218,[1]ratio_ins!$B:$B,0))</f>
        <v>2279.4733919999999</v>
      </c>
      <c r="T218" s="10">
        <f>INDEX([1]ratio_ins!R:R,MATCH('001_population_health_zone_zs'!$B$2,[1]ratio_ins!$B:$B,0))*$G218*INDEX([1]ratio_ins!$C:$C,MATCH('001_population_health_zone_zs'!$B218,[1]ratio_ins!$B:$B,0))</f>
        <v>1614.6269860000002</v>
      </c>
      <c r="U218" s="10">
        <f>INDEX([1]ratio_ins!S:S,MATCH('001_population_health_zone_zs'!$B$2,[1]ratio_ins!$B:$B,0))*$G218*INDEX([1]ratio_ins!$C:$C,MATCH('001_population_health_zone_zs'!$B218,[1]ratio_ins!$B:$B,0))</f>
        <v>1282.2037830000002</v>
      </c>
      <c r="V218" s="10">
        <f>INDEX([1]ratio_ins!T:T,MATCH('001_population_health_zone_zs'!$B$2,[1]ratio_ins!$B:$B,0))*$G218*INDEX([1]ratio_ins!$C:$C,MATCH('001_population_health_zone_zs'!$B218,[1]ratio_ins!$B:$B,0))</f>
        <v>712.33543499999996</v>
      </c>
      <c r="W218" s="11">
        <f>INDEX([1]ratio_ins!U:U,MATCH('001_population_health_zone_zs'!$B$2,[1]ratio_ins!$B:$B,0))*$G218*INDEX([1]ratio_ins!$C:$C,MATCH('001_population_health_zone_zs'!$B218,[1]ratio_ins!$B:$B,0))</f>
        <v>19432.510666800001</v>
      </c>
      <c r="X218" s="10">
        <f>INDEX([1]ratio_ins!V:V,MATCH('001_population_health_zone_zs'!$B$2,[1]ratio_ins!$B:$B,0))*$G218*INDEX([1]ratio_ins!$C:$C,MATCH('001_population_health_zone_zs'!$B218,[1]ratio_ins!$B:$B,0))</f>
        <v>569.86834799999997</v>
      </c>
      <c r="Y218" s="10">
        <f>INDEX([1]ratio_ins!W:W,MATCH('001_population_health_zone_zs'!$B$2,[1]ratio_ins!$B:$B,0))*$G218*INDEX([1]ratio_ins!$C:$C,MATCH('001_population_health_zone_zs'!$B218,[1]ratio_ins!$B:$B,0))</f>
        <v>379.91223200000002</v>
      </c>
      <c r="Z218" s="10">
        <f>INDEX([1]ratio_ins!X:X,MATCH('001_population_health_zone_zs'!$B$2,[1]ratio_ins!$B:$B,0))*$G218*INDEX([1]ratio_ins!$C:$C,MATCH('001_population_health_zone_zs'!$B218,[1]ratio_ins!$B:$B,0))</f>
        <v>189.95611600000001</v>
      </c>
      <c r="AA218" s="10">
        <f>INDEX([1]ratio_ins!Y:Y,MATCH('001_population_health_zone_zs'!$B$2,[1]ratio_ins!$B:$B,0))*$G218*INDEX([1]ratio_ins!$C:$C,MATCH('001_population_health_zone_zs'!$B218,[1]ratio_ins!$B:$B,0))</f>
        <v>94.978058000000004</v>
      </c>
      <c r="AB218" s="11">
        <f>INDEX([1]ratio_ins!Z:Z,MATCH('001_population_health_zone_zs'!$B$2,[1]ratio_ins!$B:$B,0))*$G218*INDEX([1]ratio_ins!$C:$C,MATCH('001_population_health_zone_zs'!$B218,[1]ratio_ins!$B:$B,0))</f>
        <v>1234.7147540000001</v>
      </c>
      <c r="AC218" s="12">
        <f t="shared" si="18"/>
        <v>47489.028999999995</v>
      </c>
      <c r="AD218" s="10">
        <f>INDEX([1]ratio_ins!AA:AA,MATCH('001_population_health_zone_zs'!$B$2,[1]ratio_ins!$B:$B,0))*$G218*INDEX([1]ratio_ins!$D:$D,MATCH('001_population_health_zone_zs'!$B218,[1]ratio_ins!$B:$B,0))</f>
        <v>10338.293909999999</v>
      </c>
      <c r="AE218" s="10">
        <f>INDEX([1]ratio_ins!AB:AB,MATCH('001_population_health_zone_zs'!$B$2,[1]ratio_ins!$B:$B,0))*$G218*INDEX([1]ratio_ins!$D:$D,MATCH('001_population_health_zone_zs'!$B218,[1]ratio_ins!$B:$B,0))</f>
        <v>8516.7849830000014</v>
      </c>
      <c r="AF218" s="10">
        <f>INDEX([1]ratio_ins!AC:AC,MATCH('001_population_health_zone_zs'!$B$2,[1]ratio_ins!$B:$B,0))*$G218*INDEX([1]ratio_ins!$D:$D,MATCH('001_population_health_zone_zs'!$B218,[1]ratio_ins!$B:$B,0))</f>
        <v>6744.5060269999994</v>
      </c>
      <c r="AG218" s="10">
        <f>INDEX([1]ratio_ins!AD:AD,MATCH('001_population_health_zone_zs'!$B$2,[1]ratio_ins!$B:$B,0))*$G218*INDEX([1]ratio_ins!$D:$D,MATCH('001_population_health_zone_zs'!$B218,[1]ratio_ins!$B:$B,0))</f>
        <v>4086.0875930000002</v>
      </c>
      <c r="AH218" s="10">
        <f>INDEX([1]ratio_ins!AE:AE,MATCH('001_population_health_zone_zs'!$B$2,[1]ratio_ins!$B:$B,0))*$G218*INDEX([1]ratio_ins!$D:$D,MATCH('001_population_health_zone_zs'!$B218,[1]ratio_ins!$B:$B,0))</f>
        <v>2451.6525557999998</v>
      </c>
      <c r="AI218" s="13">
        <f>INDEX([1]ratio_ins!AF:AF,MATCH('001_population_health_zone_zs'!$B$2,[1]ratio_ins!$B:$B,0))*$G218*INDEX([1]ratio_ins!$D:$D,MATCH('001_population_health_zone_zs'!$B218,[1]ratio_ins!$B:$B,0))</f>
        <v>28051.237475800001</v>
      </c>
      <c r="AJ218" s="10">
        <f>INDEX([1]ratio_ins!AG:AG,MATCH('001_population_health_zone_zs'!$B$2,[1]ratio_ins!$B:$B,0))*$G218*INDEX([1]ratio_ins!$D:$D,MATCH('001_population_health_zone_zs'!$B218,[1]ratio_ins!$B:$B,0))</f>
        <v>1634.4350371999999</v>
      </c>
      <c r="AK218" s="10">
        <f>INDEX([1]ratio_ins!AH:AH,MATCH('001_population_health_zone_zs'!$B$2,[1]ratio_ins!$B:$B,0))*$G218*INDEX([1]ratio_ins!$D:$D,MATCH('001_population_health_zone_zs'!$B218,[1]ratio_ins!$B:$B,0))</f>
        <v>3643.0178540000006</v>
      </c>
      <c r="AL218" s="10">
        <f>INDEX([1]ratio_ins!AI:AI,MATCH('001_population_health_zone_zs'!$B$2,[1]ratio_ins!$B:$B,0))*$G218*INDEX([1]ratio_ins!$D:$D,MATCH('001_population_health_zone_zs'!$B218,[1]ratio_ins!$B:$B,0))</f>
        <v>3446.0979700000003</v>
      </c>
      <c r="AM218" s="10">
        <f>INDEX([1]ratio_ins!AJ:AJ,MATCH('001_population_health_zone_zs'!$B$2,[1]ratio_ins!$B:$B,0))*$G218*INDEX([1]ratio_ins!$D:$D,MATCH('001_population_health_zone_zs'!$B218,[1]ratio_ins!$B:$B,0))</f>
        <v>3150.7181440000004</v>
      </c>
      <c r="AN218" s="10">
        <f>INDEX([1]ratio_ins!AK:AK,MATCH('001_population_health_zone_zs'!$B$2,[1]ratio_ins!$B:$B,0))*$G218*INDEX([1]ratio_ins!$D:$D,MATCH('001_population_health_zone_zs'!$B218,[1]ratio_ins!$B:$B,0))</f>
        <v>2953.7982599999996</v>
      </c>
      <c r="AO218" s="10">
        <f>INDEX([1]ratio_ins!AL:AL,MATCH('001_population_health_zone_zs'!$B$2,[1]ratio_ins!$B:$B,0))*$G218*INDEX([1]ratio_ins!$D:$D,MATCH('001_population_health_zone_zs'!$B218,[1]ratio_ins!$B:$B,0))</f>
        <v>2215.3486949999997</v>
      </c>
      <c r="AP218" s="10">
        <f>INDEX([1]ratio_ins!AM:AM,MATCH('001_population_health_zone_zs'!$B$2,[1]ratio_ins!$B:$B,0))*$G218*INDEX([1]ratio_ins!$D:$D,MATCH('001_population_health_zone_zs'!$B218,[1]ratio_ins!$B:$B,0))</f>
        <v>1427.6691589999998</v>
      </c>
      <c r="AQ218" s="10">
        <f>INDEX([1]ratio_ins!AN:AN,MATCH('001_population_health_zone_zs'!$B$2,[1]ratio_ins!$B:$B,0))*$G218*INDEX([1]ratio_ins!$D:$D,MATCH('001_population_health_zone_zs'!$B218,[1]ratio_ins!$B:$B,0))</f>
        <v>1132.2893329999999</v>
      </c>
      <c r="AR218" s="10">
        <f>INDEX([1]ratio_ins!AO:AO,MATCH('001_population_health_zone_zs'!$B$2,[1]ratio_ins!$B:$B,0))*$G218*INDEX([1]ratio_ins!$D:$D,MATCH('001_population_health_zone_zs'!$B218,[1]ratio_ins!$B:$B,0))</f>
        <v>541.5296810000001</v>
      </c>
      <c r="AS218" s="13">
        <f>INDEX([1]ratio_ins!AP:AP,MATCH('001_population_health_zone_zs'!$B$2,[1]ratio_ins!$B:$B,0))*$G218*INDEX([1]ratio_ins!$D:$D,MATCH('001_population_health_zone_zs'!$B218,[1]ratio_ins!$B:$B,0))</f>
        <v>20144.904133199998</v>
      </c>
      <c r="AT218" s="10">
        <f>INDEX([1]ratio_ins!AQ:AQ,MATCH('001_population_health_zone_zs'!$B$2,[1]ratio_ins!$B:$B,0))*$G218*INDEX([1]ratio_ins!$D:$D,MATCH('001_population_health_zone_zs'!$B218,[1]ratio_ins!$B:$B,0))</f>
        <v>492.29971000000006</v>
      </c>
      <c r="AU218" s="10">
        <f>INDEX([1]ratio_ins!AR:AR,MATCH('001_population_health_zone_zs'!$B$2,[1]ratio_ins!$B:$B,0))*$G218*INDEX([1]ratio_ins!$D:$D,MATCH('001_population_health_zone_zs'!$B218,[1]ratio_ins!$B:$B,0))</f>
        <v>295.37982599999998</v>
      </c>
      <c r="AV218" s="10">
        <f>INDEX([1]ratio_ins!AS:AS,MATCH('001_population_health_zone_zs'!$B$2,[1]ratio_ins!$B:$B,0))*$G218*INDEX([1]ratio_ins!$D:$D,MATCH('001_population_health_zone_zs'!$B218,[1]ratio_ins!$B:$B,0))</f>
        <v>147.68991299999999</v>
      </c>
      <c r="AW218" s="10">
        <f>INDEX([1]ratio_ins!AT:AT,MATCH('001_population_health_zone_zs'!$B$2,[1]ratio_ins!$B:$B,0))*$G218*INDEX([1]ratio_ins!$D:$D,MATCH('001_population_health_zone_zs'!$B218,[1]ratio_ins!$B:$B,0))</f>
        <v>98.459942000000012</v>
      </c>
      <c r="AX218" s="13">
        <f>INDEX([1]ratio_ins!AU:AU,MATCH('001_population_health_zone_zs'!$B$2,[1]ratio_ins!$B:$B,0))*$G218*INDEX([1]ratio_ins!$D:$D,MATCH('001_population_health_zone_zs'!$B218,[1]ratio_ins!$B:$B,0))</f>
        <v>1033.8293909999998</v>
      </c>
      <c r="AY218" s="14">
        <f t="shared" si="19"/>
        <v>49229.970999999998</v>
      </c>
      <c r="AZ218" s="15">
        <f t="shared" si="20"/>
        <v>96719</v>
      </c>
      <c r="BA218" s="16">
        <v>94088.264445547829</v>
      </c>
      <c r="BB218" s="10">
        <f t="shared" si="21"/>
        <v>20922.737675</v>
      </c>
      <c r="BC218" s="17">
        <f t="shared" si="22"/>
        <v>0.21632499999999999</v>
      </c>
      <c r="BD218" s="10">
        <f t="shared" si="23"/>
        <v>19802.925092999998</v>
      </c>
    </row>
    <row r="219" spans="1:56" x14ac:dyDescent="0.25">
      <c r="A219" s="8" t="s">
        <v>526</v>
      </c>
      <c r="B219" s="8" t="s">
        <v>527</v>
      </c>
      <c r="C219" s="8" t="s">
        <v>544</v>
      </c>
      <c r="D219" s="8" t="s">
        <v>545</v>
      </c>
      <c r="E219" s="8" t="s">
        <v>544</v>
      </c>
      <c r="F219" s="8" t="s">
        <v>546</v>
      </c>
      <c r="G219" s="9">
        <v>126942</v>
      </c>
      <c r="H219" s="10">
        <f>INDEX([1]ratio_ins!F:F,MATCH('001_population_health_zone_zs'!$B$2,[1]ratio_ins!$B:$B,0))*$G219*INDEX([1]ratio_ins!$C:$C,MATCH('001_population_health_zone_zs'!$B219,[1]ratio_ins!$B:$B,0))</f>
        <v>13026.661098</v>
      </c>
      <c r="I219" s="10">
        <f>INDEX([1]ratio_ins!G:G,MATCH('001_population_health_zone_zs'!$B$2,[1]ratio_ins!$B:$B,0))*$G219*INDEX([1]ratio_ins!$C:$C,MATCH('001_population_health_zone_zs'!$B219,[1]ratio_ins!$B:$B,0))</f>
        <v>10658.177262000001</v>
      </c>
      <c r="J219" s="10">
        <f>INDEX([1]ratio_ins!H:H,MATCH('001_population_health_zone_zs'!$B$2,[1]ratio_ins!$B:$B,0))*$G219*INDEX([1]ratio_ins!$C:$C,MATCH('001_population_health_zone_zs'!$B219,[1]ratio_ins!$B:$B,0))</f>
        <v>8414.3504700000012</v>
      </c>
      <c r="K219" s="10">
        <f>INDEX([1]ratio_ins!I:I,MATCH('001_population_health_zone_zs'!$B$2,[1]ratio_ins!$B:$B,0))*$G219*INDEX([1]ratio_ins!$C:$C,MATCH('001_population_health_zone_zs'!$B219,[1]ratio_ins!$B:$B,0))</f>
        <v>5173.2673260000001</v>
      </c>
      <c r="L219" s="10">
        <f>INDEX([1]ratio_ins!J:J,MATCH('001_population_health_zone_zs'!$B$2,[1]ratio_ins!$B:$B,0))*$G219*INDEX([1]ratio_ins!$C:$C,MATCH('001_population_health_zone_zs'!$B219,[1]ratio_ins!$B:$B,0))</f>
        <v>3103.9603955999996</v>
      </c>
      <c r="M219" s="11">
        <f>INDEX([1]ratio_ins!K:K,MATCH('001_population_health_zone_zs'!$B$2,[1]ratio_ins!$B:$B,0))*$G219*INDEX([1]ratio_ins!$C:$C,MATCH('001_population_health_zone_zs'!$B219,[1]ratio_ins!$B:$B,0))</f>
        <v>35203.149225599998</v>
      </c>
      <c r="N219" s="10">
        <f>INDEX([1]ratio_ins!L:L,MATCH('001_population_health_zone_zs'!$B$2,[1]ratio_ins!$B:$B,0))*$G219*INDEX([1]ratio_ins!$C:$C,MATCH('001_population_health_zone_zs'!$B219,[1]ratio_ins!$B:$B,0))</f>
        <v>2069.3069304000001</v>
      </c>
      <c r="O219" s="10">
        <f>INDEX([1]ratio_ins!M:M,MATCH('001_population_health_zone_zs'!$B$2,[1]ratio_ins!$B:$B,0))*$G219*INDEX([1]ratio_ins!$C:$C,MATCH('001_population_health_zone_zs'!$B219,[1]ratio_ins!$B:$B,0))</f>
        <v>4487.6535840000006</v>
      </c>
      <c r="P219" s="10">
        <f>INDEX([1]ratio_ins!N:N,MATCH('001_population_health_zone_zs'!$B$2,[1]ratio_ins!$B:$B,0))*$G219*INDEX([1]ratio_ins!$C:$C,MATCH('001_population_health_zone_zs'!$B219,[1]ratio_ins!$B:$B,0))</f>
        <v>4051.3539299999998</v>
      </c>
      <c r="Q219" s="10">
        <f>INDEX([1]ratio_ins!O:O,MATCH('001_population_health_zone_zs'!$B$2,[1]ratio_ins!$B:$B,0))*$G219*INDEX([1]ratio_ins!$C:$C,MATCH('001_population_health_zone_zs'!$B219,[1]ratio_ins!$B:$B,0))</f>
        <v>3615.0542759999998</v>
      </c>
      <c r="R219" s="10">
        <f>INDEX([1]ratio_ins!P:P,MATCH('001_population_health_zone_zs'!$B$2,[1]ratio_ins!$B:$B,0))*$G219*INDEX([1]ratio_ins!$C:$C,MATCH('001_population_health_zone_zs'!$B219,[1]ratio_ins!$B:$B,0))</f>
        <v>3552.7257540000001</v>
      </c>
      <c r="S219" s="10">
        <f>INDEX([1]ratio_ins!Q:Q,MATCH('001_population_health_zone_zs'!$B$2,[1]ratio_ins!$B:$B,0))*$G219*INDEX([1]ratio_ins!$C:$C,MATCH('001_population_health_zone_zs'!$B219,[1]ratio_ins!$B:$B,0))</f>
        <v>2991.7690560000001</v>
      </c>
      <c r="T219" s="10">
        <f>INDEX([1]ratio_ins!R:R,MATCH('001_population_health_zone_zs'!$B$2,[1]ratio_ins!$B:$B,0))*$G219*INDEX([1]ratio_ins!$C:$C,MATCH('001_population_health_zone_zs'!$B219,[1]ratio_ins!$B:$B,0))</f>
        <v>2119.1697480000003</v>
      </c>
      <c r="U219" s="10">
        <f>INDEX([1]ratio_ins!S:S,MATCH('001_population_health_zone_zs'!$B$2,[1]ratio_ins!$B:$B,0))*$G219*INDEX([1]ratio_ins!$C:$C,MATCH('001_population_health_zone_zs'!$B219,[1]ratio_ins!$B:$B,0))</f>
        <v>1682.8700940000001</v>
      </c>
      <c r="V219" s="10">
        <f>INDEX([1]ratio_ins!T:T,MATCH('001_population_health_zone_zs'!$B$2,[1]ratio_ins!$B:$B,0))*$G219*INDEX([1]ratio_ins!$C:$C,MATCH('001_population_health_zone_zs'!$B219,[1]ratio_ins!$B:$B,0))</f>
        <v>934.92782999999997</v>
      </c>
      <c r="W219" s="11">
        <f>INDEX([1]ratio_ins!U:U,MATCH('001_population_health_zone_zs'!$B$2,[1]ratio_ins!$B:$B,0))*$G219*INDEX([1]ratio_ins!$C:$C,MATCH('001_population_health_zone_zs'!$B219,[1]ratio_ins!$B:$B,0))</f>
        <v>25504.831202400001</v>
      </c>
      <c r="X219" s="10">
        <f>INDEX([1]ratio_ins!V:V,MATCH('001_population_health_zone_zs'!$B$2,[1]ratio_ins!$B:$B,0))*$G219*INDEX([1]ratio_ins!$C:$C,MATCH('001_population_health_zone_zs'!$B219,[1]ratio_ins!$B:$B,0))</f>
        <v>747.94226400000002</v>
      </c>
      <c r="Y219" s="10">
        <f>INDEX([1]ratio_ins!W:W,MATCH('001_population_health_zone_zs'!$B$2,[1]ratio_ins!$B:$B,0))*$G219*INDEX([1]ratio_ins!$C:$C,MATCH('001_population_health_zone_zs'!$B219,[1]ratio_ins!$B:$B,0))</f>
        <v>498.628176</v>
      </c>
      <c r="Z219" s="10">
        <f>INDEX([1]ratio_ins!X:X,MATCH('001_population_health_zone_zs'!$B$2,[1]ratio_ins!$B:$B,0))*$G219*INDEX([1]ratio_ins!$C:$C,MATCH('001_population_health_zone_zs'!$B219,[1]ratio_ins!$B:$B,0))</f>
        <v>249.314088</v>
      </c>
      <c r="AA219" s="10">
        <f>INDEX([1]ratio_ins!Y:Y,MATCH('001_population_health_zone_zs'!$B$2,[1]ratio_ins!$B:$B,0))*$G219*INDEX([1]ratio_ins!$C:$C,MATCH('001_population_health_zone_zs'!$B219,[1]ratio_ins!$B:$B,0))</f>
        <v>124.657044</v>
      </c>
      <c r="AB219" s="11">
        <f>INDEX([1]ratio_ins!Z:Z,MATCH('001_population_health_zone_zs'!$B$2,[1]ratio_ins!$B:$B,0))*$G219*INDEX([1]ratio_ins!$C:$C,MATCH('001_population_health_zone_zs'!$B219,[1]ratio_ins!$B:$B,0))</f>
        <v>1620.5415720000001</v>
      </c>
      <c r="AC219" s="12">
        <f t="shared" si="18"/>
        <v>62328.521999999997</v>
      </c>
      <c r="AD219" s="10">
        <f>INDEX([1]ratio_ins!AA:AA,MATCH('001_population_health_zone_zs'!$B$2,[1]ratio_ins!$B:$B,0))*$G219*INDEX([1]ratio_ins!$D:$D,MATCH('001_population_health_zone_zs'!$B219,[1]ratio_ins!$B:$B,0))</f>
        <v>13568.830379999999</v>
      </c>
      <c r="AE219" s="10">
        <f>INDEX([1]ratio_ins!AB:AB,MATCH('001_population_health_zone_zs'!$B$2,[1]ratio_ins!$B:$B,0))*$G219*INDEX([1]ratio_ins!$D:$D,MATCH('001_population_health_zone_zs'!$B219,[1]ratio_ins!$B:$B,0))</f>
        <v>11178.131694</v>
      </c>
      <c r="AF219" s="10">
        <f>INDEX([1]ratio_ins!AC:AC,MATCH('001_population_health_zone_zs'!$B$2,[1]ratio_ins!$B:$B,0))*$G219*INDEX([1]ratio_ins!$D:$D,MATCH('001_population_health_zone_zs'!$B219,[1]ratio_ins!$B:$B,0))</f>
        <v>8852.0464859999975</v>
      </c>
      <c r="AG219" s="10">
        <f>INDEX([1]ratio_ins!AD:AD,MATCH('001_population_health_zone_zs'!$B$2,[1]ratio_ins!$B:$B,0))*$G219*INDEX([1]ratio_ins!$D:$D,MATCH('001_population_health_zone_zs'!$B219,[1]ratio_ins!$B:$B,0))</f>
        <v>5362.9186739999996</v>
      </c>
      <c r="AH219" s="10">
        <f>INDEX([1]ratio_ins!AE:AE,MATCH('001_population_health_zone_zs'!$B$2,[1]ratio_ins!$B:$B,0))*$G219*INDEX([1]ratio_ins!$D:$D,MATCH('001_population_health_zone_zs'!$B219,[1]ratio_ins!$B:$B,0))</f>
        <v>3217.7512044</v>
      </c>
      <c r="AI219" s="13">
        <f>INDEX([1]ratio_ins!AF:AF,MATCH('001_population_health_zone_zs'!$B$2,[1]ratio_ins!$B:$B,0))*$G219*INDEX([1]ratio_ins!$D:$D,MATCH('001_population_health_zone_zs'!$B219,[1]ratio_ins!$B:$B,0))</f>
        <v>36816.759764399998</v>
      </c>
      <c r="AJ219" s="10">
        <f>INDEX([1]ratio_ins!AG:AG,MATCH('001_population_health_zone_zs'!$B$2,[1]ratio_ins!$B:$B,0))*$G219*INDEX([1]ratio_ins!$D:$D,MATCH('001_population_health_zone_zs'!$B219,[1]ratio_ins!$B:$B,0))</f>
        <v>2145.1674696</v>
      </c>
      <c r="AK219" s="10">
        <f>INDEX([1]ratio_ins!AH:AH,MATCH('001_population_health_zone_zs'!$B$2,[1]ratio_ins!$B:$B,0))*$G219*INDEX([1]ratio_ins!$D:$D,MATCH('001_population_health_zone_zs'!$B219,[1]ratio_ins!$B:$B,0))</f>
        <v>4781.3973720000004</v>
      </c>
      <c r="AL219" s="10">
        <f>INDEX([1]ratio_ins!AI:AI,MATCH('001_population_health_zone_zs'!$B$2,[1]ratio_ins!$B:$B,0))*$G219*INDEX([1]ratio_ins!$D:$D,MATCH('001_population_health_zone_zs'!$B219,[1]ratio_ins!$B:$B,0))</f>
        <v>4522.9434600000004</v>
      </c>
      <c r="AM219" s="10">
        <f>INDEX([1]ratio_ins!AJ:AJ,MATCH('001_population_health_zone_zs'!$B$2,[1]ratio_ins!$B:$B,0))*$G219*INDEX([1]ratio_ins!$D:$D,MATCH('001_population_health_zone_zs'!$B219,[1]ratio_ins!$B:$B,0))</f>
        <v>4135.262592</v>
      </c>
      <c r="AN219" s="10">
        <f>INDEX([1]ratio_ins!AK:AK,MATCH('001_population_health_zone_zs'!$B$2,[1]ratio_ins!$B:$B,0))*$G219*INDEX([1]ratio_ins!$D:$D,MATCH('001_population_health_zone_zs'!$B219,[1]ratio_ins!$B:$B,0))</f>
        <v>3876.8086799999996</v>
      </c>
      <c r="AO219" s="10">
        <f>INDEX([1]ratio_ins!AL:AL,MATCH('001_population_health_zone_zs'!$B$2,[1]ratio_ins!$B:$B,0))*$G219*INDEX([1]ratio_ins!$D:$D,MATCH('001_population_health_zone_zs'!$B219,[1]ratio_ins!$B:$B,0))</f>
        <v>2907.6065099999996</v>
      </c>
      <c r="AP219" s="10">
        <f>INDEX([1]ratio_ins!AM:AM,MATCH('001_population_health_zone_zs'!$B$2,[1]ratio_ins!$B:$B,0))*$G219*INDEX([1]ratio_ins!$D:$D,MATCH('001_population_health_zone_zs'!$B219,[1]ratio_ins!$B:$B,0))</f>
        <v>1873.7908619999998</v>
      </c>
      <c r="AQ219" s="10">
        <f>INDEX([1]ratio_ins!AN:AN,MATCH('001_population_health_zone_zs'!$B$2,[1]ratio_ins!$B:$B,0))*$G219*INDEX([1]ratio_ins!$D:$D,MATCH('001_population_health_zone_zs'!$B219,[1]ratio_ins!$B:$B,0))</f>
        <v>1486.1099940000001</v>
      </c>
      <c r="AR219" s="10">
        <f>INDEX([1]ratio_ins!AO:AO,MATCH('001_population_health_zone_zs'!$B$2,[1]ratio_ins!$B:$B,0))*$G219*INDEX([1]ratio_ins!$D:$D,MATCH('001_population_health_zone_zs'!$B219,[1]ratio_ins!$B:$B,0))</f>
        <v>710.74825800000008</v>
      </c>
      <c r="AS219" s="13">
        <f>INDEX([1]ratio_ins!AP:AP,MATCH('001_population_health_zone_zs'!$B$2,[1]ratio_ins!$B:$B,0))*$G219*INDEX([1]ratio_ins!$D:$D,MATCH('001_population_health_zone_zs'!$B219,[1]ratio_ins!$B:$B,0))</f>
        <v>26439.835197600001</v>
      </c>
      <c r="AT219" s="10">
        <f>INDEX([1]ratio_ins!AQ:AQ,MATCH('001_population_health_zone_zs'!$B$2,[1]ratio_ins!$B:$B,0))*$G219*INDEX([1]ratio_ins!$D:$D,MATCH('001_population_health_zone_zs'!$B219,[1]ratio_ins!$B:$B,0))</f>
        <v>646.13478000000009</v>
      </c>
      <c r="AU219" s="10">
        <f>INDEX([1]ratio_ins!AR:AR,MATCH('001_population_health_zone_zs'!$B$2,[1]ratio_ins!$B:$B,0))*$G219*INDEX([1]ratio_ins!$D:$D,MATCH('001_population_health_zone_zs'!$B219,[1]ratio_ins!$B:$B,0))</f>
        <v>387.68086800000003</v>
      </c>
      <c r="AV219" s="10">
        <f>INDEX([1]ratio_ins!AS:AS,MATCH('001_population_health_zone_zs'!$B$2,[1]ratio_ins!$B:$B,0))*$G219*INDEX([1]ratio_ins!$D:$D,MATCH('001_population_health_zone_zs'!$B219,[1]ratio_ins!$B:$B,0))</f>
        <v>193.84043400000002</v>
      </c>
      <c r="AW219" s="10">
        <f>INDEX([1]ratio_ins!AT:AT,MATCH('001_population_health_zone_zs'!$B$2,[1]ratio_ins!$B:$B,0))*$G219*INDEX([1]ratio_ins!$D:$D,MATCH('001_population_health_zone_zs'!$B219,[1]ratio_ins!$B:$B,0))</f>
        <v>129.226956</v>
      </c>
      <c r="AX219" s="13">
        <f>INDEX([1]ratio_ins!AU:AU,MATCH('001_population_health_zone_zs'!$B$2,[1]ratio_ins!$B:$B,0))*$G219*INDEX([1]ratio_ins!$D:$D,MATCH('001_population_health_zone_zs'!$B219,[1]ratio_ins!$B:$B,0))</f>
        <v>1356.8830379999999</v>
      </c>
      <c r="AY219" s="14">
        <f t="shared" si="19"/>
        <v>64613.478000000003</v>
      </c>
      <c r="AZ219" s="15">
        <f t="shared" si="20"/>
        <v>126942</v>
      </c>
      <c r="BA219" s="16">
        <v>123489.53053158046</v>
      </c>
      <c r="BB219" s="10">
        <f t="shared" si="21"/>
        <v>27460.728150000003</v>
      </c>
      <c r="BC219" s="17">
        <f t="shared" si="22"/>
        <v>0.21632500000000002</v>
      </c>
      <c r="BD219" s="10">
        <f t="shared" si="23"/>
        <v>25990.993674000001</v>
      </c>
    </row>
    <row r="220" spans="1:56" x14ac:dyDescent="0.25">
      <c r="A220" s="8" t="s">
        <v>526</v>
      </c>
      <c r="B220" s="8" t="s">
        <v>527</v>
      </c>
      <c r="C220" s="8" t="s">
        <v>547</v>
      </c>
      <c r="D220" s="8" t="s">
        <v>548</v>
      </c>
      <c r="E220" s="8" t="s">
        <v>547</v>
      </c>
      <c r="F220" s="8" t="s">
        <v>549</v>
      </c>
      <c r="G220" s="9">
        <v>147188</v>
      </c>
      <c r="H220" s="10">
        <f>INDEX([1]ratio_ins!F:F,MATCH('001_population_health_zone_zs'!$B$2,[1]ratio_ins!$B:$B,0))*$G220*INDEX([1]ratio_ins!$C:$C,MATCH('001_population_health_zone_zs'!$B220,[1]ratio_ins!$B:$B,0))</f>
        <v>15104.285371999998</v>
      </c>
      <c r="I220" s="10">
        <f>INDEX([1]ratio_ins!G:G,MATCH('001_population_health_zone_zs'!$B$2,[1]ratio_ins!$B:$B,0))*$G220*INDEX([1]ratio_ins!$C:$C,MATCH('001_population_health_zone_zs'!$B220,[1]ratio_ins!$B:$B,0))</f>
        <v>12358.051668</v>
      </c>
      <c r="J220" s="10">
        <f>INDEX([1]ratio_ins!H:H,MATCH('001_population_health_zone_zs'!$B$2,[1]ratio_ins!$B:$B,0))*$G220*INDEX([1]ratio_ins!$C:$C,MATCH('001_population_health_zone_zs'!$B220,[1]ratio_ins!$B:$B,0))</f>
        <v>9756.3565799999997</v>
      </c>
      <c r="K220" s="10">
        <f>INDEX([1]ratio_ins!I:I,MATCH('001_population_health_zone_zs'!$B$2,[1]ratio_ins!$B:$B,0))*$G220*INDEX([1]ratio_ins!$C:$C,MATCH('001_population_health_zone_zs'!$B220,[1]ratio_ins!$B:$B,0))</f>
        <v>5998.3525640000007</v>
      </c>
      <c r="L220" s="10">
        <f>INDEX([1]ratio_ins!J:J,MATCH('001_population_health_zone_zs'!$B$2,[1]ratio_ins!$B:$B,0))*$G220*INDEX([1]ratio_ins!$C:$C,MATCH('001_population_health_zone_zs'!$B220,[1]ratio_ins!$B:$B,0))</f>
        <v>3599.0115383999996</v>
      </c>
      <c r="M220" s="11">
        <f>INDEX([1]ratio_ins!K:K,MATCH('001_population_health_zone_zs'!$B$2,[1]ratio_ins!$B:$B,0))*$G220*INDEX([1]ratio_ins!$C:$C,MATCH('001_population_health_zone_zs'!$B220,[1]ratio_ins!$B:$B,0))</f>
        <v>40817.7051584</v>
      </c>
      <c r="N220" s="10">
        <f>INDEX([1]ratio_ins!L:L,MATCH('001_population_health_zone_zs'!$B$2,[1]ratio_ins!$B:$B,0))*$G220*INDEX([1]ratio_ins!$C:$C,MATCH('001_population_health_zone_zs'!$B220,[1]ratio_ins!$B:$B,0))</f>
        <v>2399.3410255999997</v>
      </c>
      <c r="O220" s="10">
        <f>INDEX([1]ratio_ins!M:M,MATCH('001_population_health_zone_zs'!$B$2,[1]ratio_ins!$B:$B,0))*$G220*INDEX([1]ratio_ins!$C:$C,MATCH('001_population_health_zone_zs'!$B220,[1]ratio_ins!$B:$B,0))</f>
        <v>5203.3901760000008</v>
      </c>
      <c r="P220" s="10">
        <f>INDEX([1]ratio_ins!N:N,MATCH('001_population_health_zone_zs'!$B$2,[1]ratio_ins!$B:$B,0))*$G220*INDEX([1]ratio_ins!$C:$C,MATCH('001_population_health_zone_zs'!$B220,[1]ratio_ins!$B:$B,0))</f>
        <v>4697.5050200000005</v>
      </c>
      <c r="Q220" s="10">
        <f>INDEX([1]ratio_ins!O:O,MATCH('001_population_health_zone_zs'!$B$2,[1]ratio_ins!$B:$B,0))*$G220*INDEX([1]ratio_ins!$C:$C,MATCH('001_population_health_zone_zs'!$B220,[1]ratio_ins!$B:$B,0))</f>
        <v>4191.6198639999993</v>
      </c>
      <c r="R220" s="10">
        <f>INDEX([1]ratio_ins!P:P,MATCH('001_population_health_zone_zs'!$B$2,[1]ratio_ins!$B:$B,0))*$G220*INDEX([1]ratio_ins!$C:$C,MATCH('001_population_health_zone_zs'!$B220,[1]ratio_ins!$B:$B,0))</f>
        <v>4119.3505560000003</v>
      </c>
      <c r="S220" s="10">
        <f>INDEX([1]ratio_ins!Q:Q,MATCH('001_population_health_zone_zs'!$B$2,[1]ratio_ins!$B:$B,0))*$G220*INDEX([1]ratio_ins!$C:$C,MATCH('001_population_health_zone_zs'!$B220,[1]ratio_ins!$B:$B,0))</f>
        <v>3468.9267840000002</v>
      </c>
      <c r="T220" s="10">
        <f>INDEX([1]ratio_ins!R:R,MATCH('001_population_health_zone_zs'!$B$2,[1]ratio_ins!$B:$B,0))*$G220*INDEX([1]ratio_ins!$C:$C,MATCH('001_population_health_zone_zs'!$B220,[1]ratio_ins!$B:$B,0))</f>
        <v>2457.1564720000001</v>
      </c>
      <c r="U220" s="10">
        <f>INDEX([1]ratio_ins!S:S,MATCH('001_population_health_zone_zs'!$B$2,[1]ratio_ins!$B:$B,0))*$G220*INDEX([1]ratio_ins!$C:$C,MATCH('001_population_health_zone_zs'!$B220,[1]ratio_ins!$B:$B,0))</f>
        <v>1951.2713160000003</v>
      </c>
      <c r="V220" s="10">
        <f>INDEX([1]ratio_ins!T:T,MATCH('001_population_health_zone_zs'!$B$2,[1]ratio_ins!$B:$B,0))*$G220*INDEX([1]ratio_ins!$C:$C,MATCH('001_population_health_zone_zs'!$B220,[1]ratio_ins!$B:$B,0))</f>
        <v>1084.0396199999998</v>
      </c>
      <c r="W220" s="11">
        <f>INDEX([1]ratio_ins!U:U,MATCH('001_population_health_zone_zs'!$B$2,[1]ratio_ins!$B:$B,0))*$G220*INDEX([1]ratio_ins!$C:$C,MATCH('001_population_health_zone_zs'!$B220,[1]ratio_ins!$B:$B,0))</f>
        <v>29572.600833600001</v>
      </c>
      <c r="X220" s="10">
        <f>INDEX([1]ratio_ins!V:V,MATCH('001_population_health_zone_zs'!$B$2,[1]ratio_ins!$B:$B,0))*$G220*INDEX([1]ratio_ins!$C:$C,MATCH('001_population_health_zone_zs'!$B220,[1]ratio_ins!$B:$B,0))</f>
        <v>867.23169600000006</v>
      </c>
      <c r="Y220" s="10">
        <f>INDEX([1]ratio_ins!W:W,MATCH('001_population_health_zone_zs'!$B$2,[1]ratio_ins!$B:$B,0))*$G220*INDEX([1]ratio_ins!$C:$C,MATCH('001_population_health_zone_zs'!$B220,[1]ratio_ins!$B:$B,0))</f>
        <v>578.15446400000008</v>
      </c>
      <c r="Z220" s="10">
        <f>INDEX([1]ratio_ins!X:X,MATCH('001_population_health_zone_zs'!$B$2,[1]ratio_ins!$B:$B,0))*$G220*INDEX([1]ratio_ins!$C:$C,MATCH('001_population_health_zone_zs'!$B220,[1]ratio_ins!$B:$B,0))</f>
        <v>289.07723200000004</v>
      </c>
      <c r="AA220" s="10">
        <f>INDEX([1]ratio_ins!Y:Y,MATCH('001_population_health_zone_zs'!$B$2,[1]ratio_ins!$B:$B,0))*$G220*INDEX([1]ratio_ins!$C:$C,MATCH('001_population_health_zone_zs'!$B220,[1]ratio_ins!$B:$B,0))</f>
        <v>144.53861600000002</v>
      </c>
      <c r="AB220" s="11">
        <f>INDEX([1]ratio_ins!Z:Z,MATCH('001_population_health_zone_zs'!$B$2,[1]ratio_ins!$B:$B,0))*$G220*INDEX([1]ratio_ins!$C:$C,MATCH('001_population_health_zone_zs'!$B220,[1]ratio_ins!$B:$B,0))</f>
        <v>1879.0020080000002</v>
      </c>
      <c r="AC220" s="12">
        <f t="shared" si="18"/>
        <v>72269.308000000005</v>
      </c>
      <c r="AD220" s="10">
        <f>INDEX([1]ratio_ins!AA:AA,MATCH('001_population_health_zone_zs'!$B$2,[1]ratio_ins!$B:$B,0))*$G220*INDEX([1]ratio_ins!$D:$D,MATCH('001_population_health_zone_zs'!$B220,[1]ratio_ins!$B:$B,0))</f>
        <v>15732.92532</v>
      </c>
      <c r="AE220" s="10">
        <f>INDEX([1]ratio_ins!AB:AB,MATCH('001_population_health_zone_zs'!$B$2,[1]ratio_ins!$B:$B,0))*$G220*INDEX([1]ratio_ins!$D:$D,MATCH('001_population_health_zone_zs'!$B220,[1]ratio_ins!$B:$B,0))</f>
        <v>12960.933716000001</v>
      </c>
      <c r="AF220" s="10">
        <f>INDEX([1]ratio_ins!AC:AC,MATCH('001_population_health_zone_zs'!$B$2,[1]ratio_ins!$B:$B,0))*$G220*INDEX([1]ratio_ins!$D:$D,MATCH('001_population_health_zone_zs'!$B220,[1]ratio_ins!$B:$B,0))</f>
        <v>10263.860803999998</v>
      </c>
      <c r="AG220" s="10">
        <f>INDEX([1]ratio_ins!AD:AD,MATCH('001_population_health_zone_zs'!$B$2,[1]ratio_ins!$B:$B,0))*$G220*INDEX([1]ratio_ins!$D:$D,MATCH('001_population_health_zone_zs'!$B220,[1]ratio_ins!$B:$B,0))</f>
        <v>6218.2514360000005</v>
      </c>
      <c r="AH220" s="10">
        <f>INDEX([1]ratio_ins!AE:AE,MATCH('001_population_health_zone_zs'!$B$2,[1]ratio_ins!$B:$B,0))*$G220*INDEX([1]ratio_ins!$D:$D,MATCH('001_population_health_zone_zs'!$B220,[1]ratio_ins!$B:$B,0))</f>
        <v>3730.9508615999998</v>
      </c>
      <c r="AI220" s="13">
        <f>INDEX([1]ratio_ins!AF:AF,MATCH('001_population_health_zone_zs'!$B$2,[1]ratio_ins!$B:$B,0))*$G220*INDEX([1]ratio_ins!$D:$D,MATCH('001_population_health_zone_zs'!$B220,[1]ratio_ins!$B:$B,0))</f>
        <v>42688.6707016</v>
      </c>
      <c r="AJ220" s="10">
        <f>INDEX([1]ratio_ins!AG:AG,MATCH('001_population_health_zone_zs'!$B$2,[1]ratio_ins!$B:$B,0))*$G220*INDEX([1]ratio_ins!$D:$D,MATCH('001_population_health_zone_zs'!$B220,[1]ratio_ins!$B:$B,0))</f>
        <v>2487.3005744000002</v>
      </c>
      <c r="AK220" s="10">
        <f>INDEX([1]ratio_ins!AH:AH,MATCH('001_population_health_zone_zs'!$B$2,[1]ratio_ins!$B:$B,0))*$G220*INDEX([1]ratio_ins!$D:$D,MATCH('001_population_health_zone_zs'!$B220,[1]ratio_ins!$B:$B,0))</f>
        <v>5543.9832080000015</v>
      </c>
      <c r="AL220" s="10">
        <f>INDEX([1]ratio_ins!AI:AI,MATCH('001_population_health_zone_zs'!$B$2,[1]ratio_ins!$B:$B,0))*$G220*INDEX([1]ratio_ins!$D:$D,MATCH('001_population_health_zone_zs'!$B220,[1]ratio_ins!$B:$B,0))</f>
        <v>5244.3084400000007</v>
      </c>
      <c r="AM220" s="10">
        <f>INDEX([1]ratio_ins!AJ:AJ,MATCH('001_population_health_zone_zs'!$B$2,[1]ratio_ins!$B:$B,0))*$G220*INDEX([1]ratio_ins!$D:$D,MATCH('001_population_health_zone_zs'!$B220,[1]ratio_ins!$B:$B,0))</f>
        <v>4794.7962880000005</v>
      </c>
      <c r="AN220" s="10">
        <f>INDEX([1]ratio_ins!AK:AK,MATCH('001_population_health_zone_zs'!$B$2,[1]ratio_ins!$B:$B,0))*$G220*INDEX([1]ratio_ins!$D:$D,MATCH('001_population_health_zone_zs'!$B220,[1]ratio_ins!$B:$B,0))</f>
        <v>4495.1215199999997</v>
      </c>
      <c r="AO220" s="10">
        <f>INDEX([1]ratio_ins!AL:AL,MATCH('001_population_health_zone_zs'!$B$2,[1]ratio_ins!$B:$B,0))*$G220*INDEX([1]ratio_ins!$D:$D,MATCH('001_population_health_zone_zs'!$B220,[1]ratio_ins!$B:$B,0))</f>
        <v>3371.34114</v>
      </c>
      <c r="AP220" s="10">
        <f>INDEX([1]ratio_ins!AM:AM,MATCH('001_population_health_zone_zs'!$B$2,[1]ratio_ins!$B:$B,0))*$G220*INDEX([1]ratio_ins!$D:$D,MATCH('001_population_health_zone_zs'!$B220,[1]ratio_ins!$B:$B,0))</f>
        <v>2172.6420679999997</v>
      </c>
      <c r="AQ220" s="10">
        <f>INDEX([1]ratio_ins!AN:AN,MATCH('001_population_health_zone_zs'!$B$2,[1]ratio_ins!$B:$B,0))*$G220*INDEX([1]ratio_ins!$D:$D,MATCH('001_population_health_zone_zs'!$B220,[1]ratio_ins!$B:$B,0))</f>
        <v>1723.1299160000001</v>
      </c>
      <c r="AR220" s="10">
        <f>INDEX([1]ratio_ins!AO:AO,MATCH('001_population_health_zone_zs'!$B$2,[1]ratio_ins!$B:$B,0))*$G220*INDEX([1]ratio_ins!$D:$D,MATCH('001_population_health_zone_zs'!$B220,[1]ratio_ins!$B:$B,0))</f>
        <v>824.10561200000006</v>
      </c>
      <c r="AS220" s="13">
        <f>INDEX([1]ratio_ins!AP:AP,MATCH('001_population_health_zone_zs'!$B$2,[1]ratio_ins!$B:$B,0))*$G220*INDEX([1]ratio_ins!$D:$D,MATCH('001_population_health_zone_zs'!$B220,[1]ratio_ins!$B:$B,0))</f>
        <v>30656.728766400003</v>
      </c>
      <c r="AT220" s="10">
        <f>INDEX([1]ratio_ins!AQ:AQ,MATCH('001_population_health_zone_zs'!$B$2,[1]ratio_ins!$B:$B,0))*$G220*INDEX([1]ratio_ins!$D:$D,MATCH('001_population_health_zone_zs'!$B220,[1]ratio_ins!$B:$B,0))</f>
        <v>749.1869200000001</v>
      </c>
      <c r="AU220" s="10">
        <f>INDEX([1]ratio_ins!AR:AR,MATCH('001_population_health_zone_zs'!$B$2,[1]ratio_ins!$B:$B,0))*$G220*INDEX([1]ratio_ins!$D:$D,MATCH('001_population_health_zone_zs'!$B220,[1]ratio_ins!$B:$B,0))</f>
        <v>449.51215200000001</v>
      </c>
      <c r="AV220" s="10">
        <f>INDEX([1]ratio_ins!AS:AS,MATCH('001_population_health_zone_zs'!$B$2,[1]ratio_ins!$B:$B,0))*$G220*INDEX([1]ratio_ins!$D:$D,MATCH('001_population_health_zone_zs'!$B220,[1]ratio_ins!$B:$B,0))</f>
        <v>224.75607600000001</v>
      </c>
      <c r="AW220" s="10">
        <f>INDEX([1]ratio_ins!AT:AT,MATCH('001_population_health_zone_zs'!$B$2,[1]ratio_ins!$B:$B,0))*$G220*INDEX([1]ratio_ins!$D:$D,MATCH('001_population_health_zone_zs'!$B220,[1]ratio_ins!$B:$B,0))</f>
        <v>149.83738400000001</v>
      </c>
      <c r="AX220" s="13">
        <f>INDEX([1]ratio_ins!AU:AU,MATCH('001_population_health_zone_zs'!$B$2,[1]ratio_ins!$B:$B,0))*$G220*INDEX([1]ratio_ins!$D:$D,MATCH('001_population_health_zone_zs'!$B220,[1]ratio_ins!$B:$B,0))</f>
        <v>1573.2925319999999</v>
      </c>
      <c r="AY220" s="14">
        <f t="shared" si="19"/>
        <v>74918.69200000001</v>
      </c>
      <c r="AZ220" s="15">
        <f t="shared" si="20"/>
        <v>147188</v>
      </c>
      <c r="BA220" s="16">
        <v>143184.11317685092</v>
      </c>
      <c r="BB220" s="10">
        <f t="shared" si="21"/>
        <v>31840.444100000008</v>
      </c>
      <c r="BC220" s="17">
        <f t="shared" si="22"/>
        <v>0.21632500000000005</v>
      </c>
      <c r="BD220" s="10">
        <f t="shared" si="23"/>
        <v>30136.301435999998</v>
      </c>
    </row>
    <row r="221" spans="1:56" x14ac:dyDescent="0.25">
      <c r="A221" s="8" t="s">
        <v>526</v>
      </c>
      <c r="B221" s="8" t="s">
        <v>527</v>
      </c>
      <c r="C221" s="8" t="s">
        <v>547</v>
      </c>
      <c r="D221" s="8" t="s">
        <v>548</v>
      </c>
      <c r="E221" s="8" t="s">
        <v>550</v>
      </c>
      <c r="F221" s="8" t="s">
        <v>551</v>
      </c>
      <c r="G221" s="9">
        <v>127757</v>
      </c>
      <c r="H221" s="10">
        <f>INDEX([1]ratio_ins!F:F,MATCH('001_population_health_zone_zs'!$B$2,[1]ratio_ins!$B:$B,0))*$G221*INDEX([1]ratio_ins!$C:$C,MATCH('001_population_health_zone_zs'!$B221,[1]ratio_ins!$B:$B,0))</f>
        <v>13110.295582999999</v>
      </c>
      <c r="I221" s="10">
        <f>INDEX([1]ratio_ins!G:G,MATCH('001_population_health_zone_zs'!$B$2,[1]ratio_ins!$B:$B,0))*$G221*INDEX([1]ratio_ins!$C:$C,MATCH('001_population_health_zone_zs'!$B221,[1]ratio_ins!$B:$B,0))</f>
        <v>10726.605476999999</v>
      </c>
      <c r="J221" s="10">
        <f>INDEX([1]ratio_ins!H:H,MATCH('001_population_health_zone_zs'!$B$2,[1]ratio_ins!$B:$B,0))*$G221*INDEX([1]ratio_ins!$C:$C,MATCH('001_population_health_zone_zs'!$B221,[1]ratio_ins!$B:$B,0))</f>
        <v>8468.3727450000006</v>
      </c>
      <c r="K221" s="10">
        <f>INDEX([1]ratio_ins!I:I,MATCH('001_population_health_zone_zs'!$B$2,[1]ratio_ins!$B:$B,0))*$G221*INDEX([1]ratio_ins!$C:$C,MATCH('001_population_health_zone_zs'!$B221,[1]ratio_ins!$B:$B,0))</f>
        <v>5206.4810209999996</v>
      </c>
      <c r="L221" s="10">
        <f>INDEX([1]ratio_ins!J:J,MATCH('001_population_health_zone_zs'!$B$2,[1]ratio_ins!$B:$B,0))*$G221*INDEX([1]ratio_ins!$C:$C,MATCH('001_population_health_zone_zs'!$B221,[1]ratio_ins!$B:$B,0))</f>
        <v>3123.8886125999998</v>
      </c>
      <c r="M221" s="11">
        <f>INDEX([1]ratio_ins!K:K,MATCH('001_population_health_zone_zs'!$B$2,[1]ratio_ins!$B:$B,0))*$G221*INDEX([1]ratio_ins!$C:$C,MATCH('001_population_health_zone_zs'!$B221,[1]ratio_ins!$B:$B,0))</f>
        <v>35429.162417599997</v>
      </c>
      <c r="N221" s="10">
        <f>INDEX([1]ratio_ins!L:L,MATCH('001_population_health_zone_zs'!$B$2,[1]ratio_ins!$B:$B,0))*$G221*INDEX([1]ratio_ins!$C:$C,MATCH('001_population_health_zone_zs'!$B221,[1]ratio_ins!$B:$B,0))</f>
        <v>2082.5924083999998</v>
      </c>
      <c r="O221" s="10">
        <f>INDEX([1]ratio_ins!M:M,MATCH('001_population_health_zone_zs'!$B$2,[1]ratio_ins!$B:$B,0))*$G221*INDEX([1]ratio_ins!$C:$C,MATCH('001_population_health_zone_zs'!$B221,[1]ratio_ins!$B:$B,0))</f>
        <v>4516.4654639999999</v>
      </c>
      <c r="P221" s="10">
        <f>INDEX([1]ratio_ins!N:N,MATCH('001_population_health_zone_zs'!$B$2,[1]ratio_ins!$B:$B,0))*$G221*INDEX([1]ratio_ins!$C:$C,MATCH('001_population_health_zone_zs'!$B221,[1]ratio_ins!$B:$B,0))</f>
        <v>4077.3646549999999</v>
      </c>
      <c r="Q221" s="10">
        <f>INDEX([1]ratio_ins!O:O,MATCH('001_population_health_zone_zs'!$B$2,[1]ratio_ins!$B:$B,0))*$G221*INDEX([1]ratio_ins!$C:$C,MATCH('001_population_health_zone_zs'!$B221,[1]ratio_ins!$B:$B,0))</f>
        <v>3638.2638459999994</v>
      </c>
      <c r="R221" s="10">
        <f>INDEX([1]ratio_ins!P:P,MATCH('001_population_health_zone_zs'!$B$2,[1]ratio_ins!$B:$B,0))*$G221*INDEX([1]ratio_ins!$C:$C,MATCH('001_population_health_zone_zs'!$B221,[1]ratio_ins!$B:$B,0))</f>
        <v>3575.535159</v>
      </c>
      <c r="S221" s="10">
        <f>INDEX([1]ratio_ins!Q:Q,MATCH('001_population_health_zone_zs'!$B$2,[1]ratio_ins!$B:$B,0))*$G221*INDEX([1]ratio_ins!$C:$C,MATCH('001_population_health_zone_zs'!$B221,[1]ratio_ins!$B:$B,0))</f>
        <v>3010.9769759999999</v>
      </c>
      <c r="T221" s="10">
        <f>INDEX([1]ratio_ins!R:R,MATCH('001_population_health_zone_zs'!$B$2,[1]ratio_ins!$B:$B,0))*$G221*INDEX([1]ratio_ins!$C:$C,MATCH('001_population_health_zone_zs'!$B221,[1]ratio_ins!$B:$B,0))</f>
        <v>2132.7753580000003</v>
      </c>
      <c r="U221" s="10">
        <f>INDEX([1]ratio_ins!S:S,MATCH('001_population_health_zone_zs'!$B$2,[1]ratio_ins!$B:$B,0))*$G221*INDEX([1]ratio_ins!$C:$C,MATCH('001_population_health_zone_zs'!$B221,[1]ratio_ins!$B:$B,0))</f>
        <v>1693.6745490000001</v>
      </c>
      <c r="V221" s="10">
        <f>INDEX([1]ratio_ins!T:T,MATCH('001_population_health_zone_zs'!$B$2,[1]ratio_ins!$B:$B,0))*$G221*INDEX([1]ratio_ins!$C:$C,MATCH('001_population_health_zone_zs'!$B221,[1]ratio_ins!$B:$B,0))</f>
        <v>940.93030499999998</v>
      </c>
      <c r="W221" s="11">
        <f>INDEX([1]ratio_ins!U:U,MATCH('001_population_health_zone_zs'!$B$2,[1]ratio_ins!$B:$B,0))*$G221*INDEX([1]ratio_ins!$C:$C,MATCH('001_population_health_zone_zs'!$B221,[1]ratio_ins!$B:$B,0))</f>
        <v>25668.578720400001</v>
      </c>
      <c r="X221" s="10">
        <f>INDEX([1]ratio_ins!V:V,MATCH('001_population_health_zone_zs'!$B$2,[1]ratio_ins!$B:$B,0))*$G221*INDEX([1]ratio_ins!$C:$C,MATCH('001_population_health_zone_zs'!$B221,[1]ratio_ins!$B:$B,0))</f>
        <v>752.74424399999998</v>
      </c>
      <c r="Y221" s="10">
        <f>INDEX([1]ratio_ins!W:W,MATCH('001_population_health_zone_zs'!$B$2,[1]ratio_ins!$B:$B,0))*$G221*INDEX([1]ratio_ins!$C:$C,MATCH('001_population_health_zone_zs'!$B221,[1]ratio_ins!$B:$B,0))</f>
        <v>501.82949600000001</v>
      </c>
      <c r="Z221" s="10">
        <f>INDEX([1]ratio_ins!X:X,MATCH('001_population_health_zone_zs'!$B$2,[1]ratio_ins!$B:$B,0))*$G221*INDEX([1]ratio_ins!$C:$C,MATCH('001_population_health_zone_zs'!$B221,[1]ratio_ins!$B:$B,0))</f>
        <v>250.914748</v>
      </c>
      <c r="AA221" s="10">
        <f>INDEX([1]ratio_ins!Y:Y,MATCH('001_population_health_zone_zs'!$B$2,[1]ratio_ins!$B:$B,0))*$G221*INDEX([1]ratio_ins!$C:$C,MATCH('001_population_health_zone_zs'!$B221,[1]ratio_ins!$B:$B,0))</f>
        <v>125.457374</v>
      </c>
      <c r="AB221" s="11">
        <f>INDEX([1]ratio_ins!Z:Z,MATCH('001_population_health_zone_zs'!$B$2,[1]ratio_ins!$B:$B,0))*$G221*INDEX([1]ratio_ins!$C:$C,MATCH('001_population_health_zone_zs'!$B221,[1]ratio_ins!$B:$B,0))</f>
        <v>1630.945862</v>
      </c>
      <c r="AC221" s="12">
        <f t="shared" si="18"/>
        <v>62728.686999999998</v>
      </c>
      <c r="AD221" s="10">
        <f>INDEX([1]ratio_ins!AA:AA,MATCH('001_population_health_zone_zs'!$B$2,[1]ratio_ins!$B:$B,0))*$G221*INDEX([1]ratio_ins!$D:$D,MATCH('001_population_health_zone_zs'!$B221,[1]ratio_ins!$B:$B,0))</f>
        <v>13655.945729999999</v>
      </c>
      <c r="AE221" s="10">
        <f>INDEX([1]ratio_ins!AB:AB,MATCH('001_population_health_zone_zs'!$B$2,[1]ratio_ins!$B:$B,0))*$G221*INDEX([1]ratio_ins!$D:$D,MATCH('001_population_health_zone_zs'!$B221,[1]ratio_ins!$B:$B,0))</f>
        <v>11249.898149000002</v>
      </c>
      <c r="AF221" s="10">
        <f>INDEX([1]ratio_ins!AC:AC,MATCH('001_population_health_zone_zs'!$B$2,[1]ratio_ins!$B:$B,0))*$G221*INDEX([1]ratio_ins!$D:$D,MATCH('001_population_health_zone_zs'!$B221,[1]ratio_ins!$B:$B,0))</f>
        <v>8908.8788809999987</v>
      </c>
      <c r="AG221" s="10">
        <f>INDEX([1]ratio_ins!AD:AD,MATCH('001_population_health_zone_zs'!$B$2,[1]ratio_ins!$B:$B,0))*$G221*INDEX([1]ratio_ins!$D:$D,MATCH('001_population_health_zone_zs'!$B221,[1]ratio_ins!$B:$B,0))</f>
        <v>5397.3499790000005</v>
      </c>
      <c r="AH221" s="10">
        <f>INDEX([1]ratio_ins!AE:AE,MATCH('001_population_health_zone_zs'!$B$2,[1]ratio_ins!$B:$B,0))*$G221*INDEX([1]ratio_ins!$D:$D,MATCH('001_population_health_zone_zs'!$B221,[1]ratio_ins!$B:$B,0))</f>
        <v>3238.4099873999994</v>
      </c>
      <c r="AI221" s="13">
        <f>INDEX([1]ratio_ins!AF:AF,MATCH('001_population_health_zone_zs'!$B$2,[1]ratio_ins!$B:$B,0))*$G221*INDEX([1]ratio_ins!$D:$D,MATCH('001_population_health_zone_zs'!$B221,[1]ratio_ins!$B:$B,0))</f>
        <v>37053.132747399999</v>
      </c>
      <c r="AJ221" s="10">
        <f>INDEX([1]ratio_ins!AG:AG,MATCH('001_population_health_zone_zs'!$B$2,[1]ratio_ins!$B:$B,0))*$G221*INDEX([1]ratio_ins!$D:$D,MATCH('001_population_health_zone_zs'!$B221,[1]ratio_ins!$B:$B,0))</f>
        <v>2158.9399916000002</v>
      </c>
      <c r="AK221" s="10">
        <f>INDEX([1]ratio_ins!AH:AH,MATCH('001_population_health_zone_zs'!$B$2,[1]ratio_ins!$B:$B,0))*$G221*INDEX([1]ratio_ins!$D:$D,MATCH('001_population_health_zone_zs'!$B221,[1]ratio_ins!$B:$B,0))</f>
        <v>4812.0951620000014</v>
      </c>
      <c r="AL221" s="10">
        <f>INDEX([1]ratio_ins!AI:AI,MATCH('001_population_health_zone_zs'!$B$2,[1]ratio_ins!$B:$B,0))*$G221*INDEX([1]ratio_ins!$D:$D,MATCH('001_population_health_zone_zs'!$B221,[1]ratio_ins!$B:$B,0))</f>
        <v>4551.9819100000013</v>
      </c>
      <c r="AM221" s="10">
        <f>INDEX([1]ratio_ins!AJ:AJ,MATCH('001_population_health_zone_zs'!$B$2,[1]ratio_ins!$B:$B,0))*$G221*INDEX([1]ratio_ins!$D:$D,MATCH('001_population_health_zone_zs'!$B221,[1]ratio_ins!$B:$B,0))</f>
        <v>4161.8120319999998</v>
      </c>
      <c r="AN221" s="10">
        <f>INDEX([1]ratio_ins!AK:AK,MATCH('001_population_health_zone_zs'!$B$2,[1]ratio_ins!$B:$B,0))*$G221*INDEX([1]ratio_ins!$D:$D,MATCH('001_population_health_zone_zs'!$B221,[1]ratio_ins!$B:$B,0))</f>
        <v>3901.6987800000002</v>
      </c>
      <c r="AO221" s="10">
        <f>INDEX([1]ratio_ins!AL:AL,MATCH('001_population_health_zone_zs'!$B$2,[1]ratio_ins!$B:$B,0))*$G221*INDEX([1]ratio_ins!$D:$D,MATCH('001_population_health_zone_zs'!$B221,[1]ratio_ins!$B:$B,0))</f>
        <v>2926.274085</v>
      </c>
      <c r="AP221" s="10">
        <f>INDEX([1]ratio_ins!AM:AM,MATCH('001_population_health_zone_zs'!$B$2,[1]ratio_ins!$B:$B,0))*$G221*INDEX([1]ratio_ins!$D:$D,MATCH('001_population_health_zone_zs'!$B221,[1]ratio_ins!$B:$B,0))</f>
        <v>1885.8210769999998</v>
      </c>
      <c r="AQ221" s="10">
        <f>INDEX([1]ratio_ins!AN:AN,MATCH('001_population_health_zone_zs'!$B$2,[1]ratio_ins!$B:$B,0))*$G221*INDEX([1]ratio_ins!$D:$D,MATCH('001_population_health_zone_zs'!$B221,[1]ratio_ins!$B:$B,0))</f>
        <v>1495.6511990000001</v>
      </c>
      <c r="AR221" s="10">
        <f>INDEX([1]ratio_ins!AO:AO,MATCH('001_population_health_zone_zs'!$B$2,[1]ratio_ins!$B:$B,0))*$G221*INDEX([1]ratio_ins!$D:$D,MATCH('001_population_health_zone_zs'!$B221,[1]ratio_ins!$B:$B,0))</f>
        <v>715.31144300000017</v>
      </c>
      <c r="AS221" s="13">
        <f>INDEX([1]ratio_ins!AP:AP,MATCH('001_population_health_zone_zs'!$B$2,[1]ratio_ins!$B:$B,0))*$G221*INDEX([1]ratio_ins!$D:$D,MATCH('001_population_health_zone_zs'!$B221,[1]ratio_ins!$B:$B,0))</f>
        <v>26609.585679600001</v>
      </c>
      <c r="AT221" s="10">
        <f>INDEX([1]ratio_ins!AQ:AQ,MATCH('001_population_health_zone_zs'!$B$2,[1]ratio_ins!$B:$B,0))*$G221*INDEX([1]ratio_ins!$D:$D,MATCH('001_population_health_zone_zs'!$B221,[1]ratio_ins!$B:$B,0))</f>
        <v>650.28313000000003</v>
      </c>
      <c r="AU221" s="10">
        <f>INDEX([1]ratio_ins!AR:AR,MATCH('001_population_health_zone_zs'!$B$2,[1]ratio_ins!$B:$B,0))*$G221*INDEX([1]ratio_ins!$D:$D,MATCH('001_population_health_zone_zs'!$B221,[1]ratio_ins!$B:$B,0))</f>
        <v>390.16987800000004</v>
      </c>
      <c r="AV221" s="10">
        <f>INDEX([1]ratio_ins!AS:AS,MATCH('001_population_health_zone_zs'!$B$2,[1]ratio_ins!$B:$B,0))*$G221*INDEX([1]ratio_ins!$D:$D,MATCH('001_population_health_zone_zs'!$B221,[1]ratio_ins!$B:$B,0))</f>
        <v>195.08493900000002</v>
      </c>
      <c r="AW221" s="10">
        <f>INDEX([1]ratio_ins!AT:AT,MATCH('001_population_health_zone_zs'!$B$2,[1]ratio_ins!$B:$B,0))*$G221*INDEX([1]ratio_ins!$D:$D,MATCH('001_population_health_zone_zs'!$B221,[1]ratio_ins!$B:$B,0))</f>
        <v>130.05662599999999</v>
      </c>
      <c r="AX221" s="13">
        <f>INDEX([1]ratio_ins!AU:AU,MATCH('001_population_health_zone_zs'!$B$2,[1]ratio_ins!$B:$B,0))*$G221*INDEX([1]ratio_ins!$D:$D,MATCH('001_population_health_zone_zs'!$B221,[1]ratio_ins!$B:$B,0))</f>
        <v>1365.5945730000001</v>
      </c>
      <c r="AY221" s="14">
        <f t="shared" si="19"/>
        <v>65028.313000000002</v>
      </c>
      <c r="AZ221" s="15">
        <f t="shared" si="20"/>
        <v>127757</v>
      </c>
      <c r="BA221" s="16">
        <v>124281.5689373371</v>
      </c>
      <c r="BB221" s="10">
        <f t="shared" si="21"/>
        <v>27637.033025000001</v>
      </c>
      <c r="BC221" s="17">
        <f t="shared" si="22"/>
        <v>0.21632500000000002</v>
      </c>
      <c r="BD221" s="10">
        <f t="shared" si="23"/>
        <v>26157.862478999996</v>
      </c>
    </row>
    <row r="222" spans="1:56" x14ac:dyDescent="0.25">
      <c r="A222" s="8" t="s">
        <v>526</v>
      </c>
      <c r="B222" s="8" t="s">
        <v>527</v>
      </c>
      <c r="C222" s="8" t="s">
        <v>552</v>
      </c>
      <c r="D222" s="8" t="s">
        <v>553</v>
      </c>
      <c r="E222" s="8" t="s">
        <v>554</v>
      </c>
      <c r="F222" s="8" t="s">
        <v>555</v>
      </c>
      <c r="G222" s="9">
        <v>152521</v>
      </c>
      <c r="H222" s="10">
        <f>INDEX([1]ratio_ins!F:F,MATCH('001_population_health_zone_zs'!$B$2,[1]ratio_ins!$B:$B,0))*$G222*INDEX([1]ratio_ins!$C:$C,MATCH('001_population_health_zone_zs'!$B222,[1]ratio_ins!$B:$B,0))</f>
        <v>15651.552498999999</v>
      </c>
      <c r="I222" s="10">
        <f>INDEX([1]ratio_ins!G:G,MATCH('001_population_health_zone_zs'!$B$2,[1]ratio_ins!$B:$B,0))*$G222*INDEX([1]ratio_ins!$C:$C,MATCH('001_population_health_zone_zs'!$B222,[1]ratio_ins!$B:$B,0))</f>
        <v>12805.815681</v>
      </c>
      <c r="J222" s="10">
        <f>INDEX([1]ratio_ins!H:H,MATCH('001_population_health_zone_zs'!$B$2,[1]ratio_ins!$B:$B,0))*$G222*INDEX([1]ratio_ins!$C:$C,MATCH('001_population_health_zone_zs'!$B222,[1]ratio_ins!$B:$B,0))</f>
        <v>10109.854485000002</v>
      </c>
      <c r="K222" s="10">
        <f>INDEX([1]ratio_ins!I:I,MATCH('001_population_health_zone_zs'!$B$2,[1]ratio_ins!$B:$B,0))*$G222*INDEX([1]ratio_ins!$C:$C,MATCH('001_population_health_zone_zs'!$B222,[1]ratio_ins!$B:$B,0))</f>
        <v>6215.6883129999997</v>
      </c>
      <c r="L222" s="10">
        <f>INDEX([1]ratio_ins!J:J,MATCH('001_population_health_zone_zs'!$B$2,[1]ratio_ins!$B:$B,0))*$G222*INDEX([1]ratio_ins!$C:$C,MATCH('001_population_health_zone_zs'!$B222,[1]ratio_ins!$B:$B,0))</f>
        <v>3729.4129877999999</v>
      </c>
      <c r="M222" s="11">
        <f>INDEX([1]ratio_ins!K:K,MATCH('001_population_health_zone_zs'!$B$2,[1]ratio_ins!$B:$B,0))*$G222*INDEX([1]ratio_ins!$C:$C,MATCH('001_population_health_zone_zs'!$B222,[1]ratio_ins!$B:$B,0))</f>
        <v>42296.635652799996</v>
      </c>
      <c r="N222" s="10">
        <f>INDEX([1]ratio_ins!L:L,MATCH('001_population_health_zone_zs'!$B$2,[1]ratio_ins!$B:$B,0))*$G222*INDEX([1]ratio_ins!$C:$C,MATCH('001_population_health_zone_zs'!$B222,[1]ratio_ins!$B:$B,0))</f>
        <v>2486.2753251999998</v>
      </c>
      <c r="O222" s="10">
        <f>INDEX([1]ratio_ins!M:M,MATCH('001_population_health_zone_zs'!$B$2,[1]ratio_ins!$B:$B,0))*$G222*INDEX([1]ratio_ins!$C:$C,MATCH('001_population_health_zone_zs'!$B222,[1]ratio_ins!$B:$B,0))</f>
        <v>5391.9223920000004</v>
      </c>
      <c r="P222" s="10">
        <f>INDEX([1]ratio_ins!N:N,MATCH('001_population_health_zone_zs'!$B$2,[1]ratio_ins!$B:$B,0))*$G222*INDEX([1]ratio_ins!$C:$C,MATCH('001_population_health_zone_zs'!$B222,[1]ratio_ins!$B:$B,0))</f>
        <v>4867.7077149999996</v>
      </c>
      <c r="Q222" s="10">
        <f>INDEX([1]ratio_ins!O:O,MATCH('001_population_health_zone_zs'!$B$2,[1]ratio_ins!$B:$B,0))*$G222*INDEX([1]ratio_ins!$C:$C,MATCH('001_population_health_zone_zs'!$B222,[1]ratio_ins!$B:$B,0))</f>
        <v>4343.4930379999996</v>
      </c>
      <c r="R222" s="10">
        <f>INDEX([1]ratio_ins!P:P,MATCH('001_population_health_zone_zs'!$B$2,[1]ratio_ins!$B:$B,0))*$G222*INDEX([1]ratio_ins!$C:$C,MATCH('001_population_health_zone_zs'!$B222,[1]ratio_ins!$B:$B,0))</f>
        <v>4268.605227</v>
      </c>
      <c r="S222" s="10">
        <f>INDEX([1]ratio_ins!Q:Q,MATCH('001_population_health_zone_zs'!$B$2,[1]ratio_ins!$B:$B,0))*$G222*INDEX([1]ratio_ins!$C:$C,MATCH('001_population_health_zone_zs'!$B222,[1]ratio_ins!$B:$B,0))</f>
        <v>3594.614928</v>
      </c>
      <c r="T222" s="10">
        <f>INDEX([1]ratio_ins!R:R,MATCH('001_population_health_zone_zs'!$B$2,[1]ratio_ins!$B:$B,0))*$G222*INDEX([1]ratio_ins!$C:$C,MATCH('001_population_health_zone_zs'!$B222,[1]ratio_ins!$B:$B,0))</f>
        <v>2546.1855740000001</v>
      </c>
      <c r="U222" s="10">
        <f>INDEX([1]ratio_ins!S:S,MATCH('001_population_health_zone_zs'!$B$2,[1]ratio_ins!$B:$B,0))*$G222*INDEX([1]ratio_ins!$C:$C,MATCH('001_population_health_zone_zs'!$B222,[1]ratio_ins!$B:$B,0))</f>
        <v>2021.9708970000004</v>
      </c>
      <c r="V222" s="10">
        <f>INDEX([1]ratio_ins!T:T,MATCH('001_population_health_zone_zs'!$B$2,[1]ratio_ins!$B:$B,0))*$G222*INDEX([1]ratio_ins!$C:$C,MATCH('001_population_health_zone_zs'!$B222,[1]ratio_ins!$B:$B,0))</f>
        <v>1123.3171649999999</v>
      </c>
      <c r="W222" s="11">
        <f>INDEX([1]ratio_ins!U:U,MATCH('001_population_health_zone_zs'!$B$2,[1]ratio_ins!$B:$B,0))*$G222*INDEX([1]ratio_ins!$C:$C,MATCH('001_population_health_zone_zs'!$B222,[1]ratio_ins!$B:$B,0))</f>
        <v>30644.092261199999</v>
      </c>
      <c r="X222" s="10">
        <f>INDEX([1]ratio_ins!V:V,MATCH('001_population_health_zone_zs'!$B$2,[1]ratio_ins!$B:$B,0))*$G222*INDEX([1]ratio_ins!$C:$C,MATCH('001_population_health_zone_zs'!$B222,[1]ratio_ins!$B:$B,0))</f>
        <v>898.65373199999999</v>
      </c>
      <c r="Y222" s="10">
        <f>INDEX([1]ratio_ins!W:W,MATCH('001_population_health_zone_zs'!$B$2,[1]ratio_ins!$B:$B,0))*$G222*INDEX([1]ratio_ins!$C:$C,MATCH('001_population_health_zone_zs'!$B222,[1]ratio_ins!$B:$B,0))</f>
        <v>599.10248799999999</v>
      </c>
      <c r="Z222" s="10">
        <f>INDEX([1]ratio_ins!X:X,MATCH('001_population_health_zone_zs'!$B$2,[1]ratio_ins!$B:$B,0))*$G222*INDEX([1]ratio_ins!$C:$C,MATCH('001_population_health_zone_zs'!$B222,[1]ratio_ins!$B:$B,0))</f>
        <v>299.551244</v>
      </c>
      <c r="AA222" s="10">
        <f>INDEX([1]ratio_ins!Y:Y,MATCH('001_population_health_zone_zs'!$B$2,[1]ratio_ins!$B:$B,0))*$G222*INDEX([1]ratio_ins!$C:$C,MATCH('001_population_health_zone_zs'!$B222,[1]ratio_ins!$B:$B,0))</f>
        <v>149.775622</v>
      </c>
      <c r="AB222" s="11">
        <f>INDEX([1]ratio_ins!Z:Z,MATCH('001_population_health_zone_zs'!$B$2,[1]ratio_ins!$B:$B,0))*$G222*INDEX([1]ratio_ins!$C:$C,MATCH('001_population_health_zone_zs'!$B222,[1]ratio_ins!$B:$B,0))</f>
        <v>1947.0830860000001</v>
      </c>
      <c r="AC222" s="12">
        <f t="shared" si="18"/>
        <v>74887.810999999987</v>
      </c>
      <c r="AD222" s="10">
        <f>INDEX([1]ratio_ins!AA:AA,MATCH('001_population_health_zone_zs'!$B$2,[1]ratio_ins!$B:$B,0))*$G222*INDEX([1]ratio_ins!$D:$D,MATCH('001_population_health_zone_zs'!$B222,[1]ratio_ins!$B:$B,0))</f>
        <v>16302.96969</v>
      </c>
      <c r="AE222" s="10">
        <f>INDEX([1]ratio_ins!AB:AB,MATCH('001_population_health_zone_zs'!$B$2,[1]ratio_ins!$B:$B,0))*$G222*INDEX([1]ratio_ins!$D:$D,MATCH('001_population_health_zone_zs'!$B222,[1]ratio_ins!$B:$B,0))</f>
        <v>13430.541697000001</v>
      </c>
      <c r="AF222" s="10">
        <f>INDEX([1]ratio_ins!AC:AC,MATCH('001_population_health_zone_zs'!$B$2,[1]ratio_ins!$B:$B,0))*$G222*INDEX([1]ratio_ins!$D:$D,MATCH('001_population_health_zone_zs'!$B222,[1]ratio_ins!$B:$B,0))</f>
        <v>10635.746892999998</v>
      </c>
      <c r="AG222" s="10">
        <f>INDEX([1]ratio_ins!AD:AD,MATCH('001_population_health_zone_zs'!$B$2,[1]ratio_ins!$B:$B,0))*$G222*INDEX([1]ratio_ins!$D:$D,MATCH('001_population_health_zone_zs'!$B222,[1]ratio_ins!$B:$B,0))</f>
        <v>6443.5546870000007</v>
      </c>
      <c r="AH222" s="10">
        <f>INDEX([1]ratio_ins!AE:AE,MATCH('001_population_health_zone_zs'!$B$2,[1]ratio_ins!$B:$B,0))*$G222*INDEX([1]ratio_ins!$D:$D,MATCH('001_population_health_zone_zs'!$B222,[1]ratio_ins!$B:$B,0))</f>
        <v>3866.1328122</v>
      </c>
      <c r="AI222" s="13">
        <f>INDEX([1]ratio_ins!AF:AF,MATCH('001_population_health_zone_zs'!$B$2,[1]ratio_ins!$B:$B,0))*$G222*INDEX([1]ratio_ins!$D:$D,MATCH('001_population_health_zone_zs'!$B222,[1]ratio_ins!$B:$B,0))</f>
        <v>44235.3910922</v>
      </c>
      <c r="AJ222" s="10">
        <f>INDEX([1]ratio_ins!AG:AG,MATCH('001_population_health_zone_zs'!$B$2,[1]ratio_ins!$B:$B,0))*$G222*INDEX([1]ratio_ins!$D:$D,MATCH('001_population_health_zone_zs'!$B222,[1]ratio_ins!$B:$B,0))</f>
        <v>2577.4218747999998</v>
      </c>
      <c r="AK222" s="10">
        <f>INDEX([1]ratio_ins!AH:AH,MATCH('001_population_health_zone_zs'!$B$2,[1]ratio_ins!$B:$B,0))*$G222*INDEX([1]ratio_ins!$D:$D,MATCH('001_population_health_zone_zs'!$B222,[1]ratio_ins!$B:$B,0))</f>
        <v>5744.8559860000014</v>
      </c>
      <c r="AL222" s="10">
        <f>INDEX([1]ratio_ins!AI:AI,MATCH('001_population_health_zone_zs'!$B$2,[1]ratio_ins!$B:$B,0))*$G222*INDEX([1]ratio_ins!$D:$D,MATCH('001_population_health_zone_zs'!$B222,[1]ratio_ins!$B:$B,0))</f>
        <v>5434.3232300000009</v>
      </c>
      <c r="AM222" s="10">
        <f>INDEX([1]ratio_ins!AJ:AJ,MATCH('001_population_health_zone_zs'!$B$2,[1]ratio_ins!$B:$B,0))*$G222*INDEX([1]ratio_ins!$D:$D,MATCH('001_population_health_zone_zs'!$B222,[1]ratio_ins!$B:$B,0))</f>
        <v>4968.524096000001</v>
      </c>
      <c r="AN222" s="10">
        <f>INDEX([1]ratio_ins!AK:AK,MATCH('001_population_health_zone_zs'!$B$2,[1]ratio_ins!$B:$B,0))*$G222*INDEX([1]ratio_ins!$D:$D,MATCH('001_population_health_zone_zs'!$B222,[1]ratio_ins!$B:$B,0))</f>
        <v>4657.9913400000005</v>
      </c>
      <c r="AO222" s="10">
        <f>INDEX([1]ratio_ins!AL:AL,MATCH('001_population_health_zone_zs'!$B$2,[1]ratio_ins!$B:$B,0))*$G222*INDEX([1]ratio_ins!$D:$D,MATCH('001_population_health_zone_zs'!$B222,[1]ratio_ins!$B:$B,0))</f>
        <v>3493.4935049999999</v>
      </c>
      <c r="AP222" s="10">
        <f>INDEX([1]ratio_ins!AM:AM,MATCH('001_population_health_zone_zs'!$B$2,[1]ratio_ins!$B:$B,0))*$G222*INDEX([1]ratio_ins!$D:$D,MATCH('001_population_health_zone_zs'!$B222,[1]ratio_ins!$B:$B,0))</f>
        <v>2251.3624809999997</v>
      </c>
      <c r="AQ222" s="10">
        <f>INDEX([1]ratio_ins!AN:AN,MATCH('001_population_health_zone_zs'!$B$2,[1]ratio_ins!$B:$B,0))*$G222*INDEX([1]ratio_ins!$D:$D,MATCH('001_population_health_zone_zs'!$B222,[1]ratio_ins!$B:$B,0))</f>
        <v>1785.5633469999998</v>
      </c>
      <c r="AR222" s="10">
        <f>INDEX([1]ratio_ins!AO:AO,MATCH('001_population_health_zone_zs'!$B$2,[1]ratio_ins!$B:$B,0))*$G222*INDEX([1]ratio_ins!$D:$D,MATCH('001_population_health_zone_zs'!$B222,[1]ratio_ins!$B:$B,0))</f>
        <v>853.96507900000017</v>
      </c>
      <c r="AS222" s="13">
        <f>INDEX([1]ratio_ins!AP:AP,MATCH('001_population_health_zone_zs'!$B$2,[1]ratio_ins!$B:$B,0))*$G222*INDEX([1]ratio_ins!$D:$D,MATCH('001_population_health_zone_zs'!$B222,[1]ratio_ins!$B:$B,0))</f>
        <v>31767.500938800003</v>
      </c>
      <c r="AT222" s="10">
        <f>INDEX([1]ratio_ins!AQ:AQ,MATCH('001_population_health_zone_zs'!$B$2,[1]ratio_ins!$B:$B,0))*$G222*INDEX([1]ratio_ins!$D:$D,MATCH('001_population_health_zone_zs'!$B222,[1]ratio_ins!$B:$B,0))</f>
        <v>776.33189000000004</v>
      </c>
      <c r="AU222" s="10">
        <f>INDEX([1]ratio_ins!AR:AR,MATCH('001_population_health_zone_zs'!$B$2,[1]ratio_ins!$B:$B,0))*$G222*INDEX([1]ratio_ins!$D:$D,MATCH('001_population_health_zone_zs'!$B222,[1]ratio_ins!$B:$B,0))</f>
        <v>465.79913399999998</v>
      </c>
      <c r="AV222" s="10">
        <f>INDEX([1]ratio_ins!AS:AS,MATCH('001_population_health_zone_zs'!$B$2,[1]ratio_ins!$B:$B,0))*$G222*INDEX([1]ratio_ins!$D:$D,MATCH('001_population_health_zone_zs'!$B222,[1]ratio_ins!$B:$B,0))</f>
        <v>232.89956699999999</v>
      </c>
      <c r="AW222" s="10">
        <f>INDEX([1]ratio_ins!AT:AT,MATCH('001_population_health_zone_zs'!$B$2,[1]ratio_ins!$B:$B,0))*$G222*INDEX([1]ratio_ins!$D:$D,MATCH('001_population_health_zone_zs'!$B222,[1]ratio_ins!$B:$B,0))</f>
        <v>155.26637800000003</v>
      </c>
      <c r="AX222" s="13">
        <f>INDEX([1]ratio_ins!AU:AU,MATCH('001_population_health_zone_zs'!$B$2,[1]ratio_ins!$B:$B,0))*$G222*INDEX([1]ratio_ins!$D:$D,MATCH('001_population_health_zone_zs'!$B222,[1]ratio_ins!$B:$B,0))</f>
        <v>1630.296969</v>
      </c>
      <c r="AY222" s="14">
        <f t="shared" si="19"/>
        <v>77633.188999999998</v>
      </c>
      <c r="AZ222" s="15">
        <f t="shared" si="20"/>
        <v>152521</v>
      </c>
      <c r="BA222" s="16">
        <v>148372.38603158121</v>
      </c>
      <c r="BB222" s="10">
        <f t="shared" si="21"/>
        <v>32994.105325000004</v>
      </c>
      <c r="BC222" s="17">
        <f t="shared" si="22"/>
        <v>0.21632500000000002</v>
      </c>
      <c r="BD222" s="10">
        <f t="shared" si="23"/>
        <v>31228.217186999998</v>
      </c>
    </row>
    <row r="223" spans="1:56" x14ac:dyDescent="0.25">
      <c r="A223" s="8" t="s">
        <v>556</v>
      </c>
      <c r="B223" s="8" t="s">
        <v>557</v>
      </c>
      <c r="C223" s="8" t="s">
        <v>558</v>
      </c>
      <c r="D223" s="8" t="s">
        <v>559</v>
      </c>
      <c r="E223" s="8" t="s">
        <v>560</v>
      </c>
      <c r="F223" s="8" t="s">
        <v>561</v>
      </c>
      <c r="G223" s="9">
        <v>337644</v>
      </c>
      <c r="H223" s="10">
        <f>INDEX([1]ratio_ins!F:F,MATCH('001_population_health_zone_zs'!$B$2,[1]ratio_ins!$B:$B,0))*$G223*INDEX([1]ratio_ins!$C:$C,MATCH('001_population_health_zone_zs'!$B223,[1]ratio_ins!$B:$B,0))</f>
        <v>34719.257231999996</v>
      </c>
      <c r="I223" s="10">
        <f>INDEX([1]ratio_ins!G:G,MATCH('001_population_health_zone_zs'!$B$2,[1]ratio_ins!$B:$B,0))*$G223*INDEX([1]ratio_ins!$C:$C,MATCH('001_population_health_zone_zs'!$B223,[1]ratio_ins!$B:$B,0))</f>
        <v>28406.665008000004</v>
      </c>
      <c r="J223" s="10">
        <f>INDEX([1]ratio_ins!H:H,MATCH('001_population_health_zone_zs'!$B$2,[1]ratio_ins!$B:$B,0))*$G223*INDEX([1]ratio_ins!$C:$C,MATCH('001_population_health_zone_zs'!$B223,[1]ratio_ins!$B:$B,0))</f>
        <v>22426.314480000005</v>
      </c>
      <c r="K223" s="10">
        <f>INDEX([1]ratio_ins!I:I,MATCH('001_population_health_zone_zs'!$B$2,[1]ratio_ins!$B:$B,0))*$G223*INDEX([1]ratio_ins!$C:$C,MATCH('001_population_health_zone_zs'!$B223,[1]ratio_ins!$B:$B,0))</f>
        <v>13788.030384000002</v>
      </c>
      <c r="L223" s="10">
        <f>INDEX([1]ratio_ins!J:J,MATCH('001_population_health_zone_zs'!$B$2,[1]ratio_ins!$B:$B,0))*$G223*INDEX([1]ratio_ins!$C:$C,MATCH('001_population_health_zone_zs'!$B223,[1]ratio_ins!$B:$B,0))</f>
        <v>8272.818230400002</v>
      </c>
      <c r="M223" s="11">
        <f>INDEX([1]ratio_ins!K:K,MATCH('001_population_health_zone_zs'!$B$2,[1]ratio_ins!$B:$B,0))*$G223*INDEX([1]ratio_ins!$C:$C,MATCH('001_population_health_zone_zs'!$B223,[1]ratio_ins!$B:$B,0))</f>
        <v>93825.054950400008</v>
      </c>
      <c r="N223" s="10">
        <f>INDEX([1]ratio_ins!L:L,MATCH('001_population_health_zone_zs'!$B$2,[1]ratio_ins!$B:$B,0))*$G223*INDEX([1]ratio_ins!$C:$C,MATCH('001_population_health_zone_zs'!$B223,[1]ratio_ins!$B:$B,0))</f>
        <v>5515.2121536000004</v>
      </c>
      <c r="O223" s="10">
        <f>INDEX([1]ratio_ins!M:M,MATCH('001_population_health_zone_zs'!$B$2,[1]ratio_ins!$B:$B,0))*$G223*INDEX([1]ratio_ins!$C:$C,MATCH('001_population_health_zone_zs'!$B223,[1]ratio_ins!$B:$B,0))</f>
        <v>11960.701056000002</v>
      </c>
      <c r="P223" s="10">
        <f>INDEX([1]ratio_ins!N:N,MATCH('001_population_health_zone_zs'!$B$2,[1]ratio_ins!$B:$B,0))*$G223*INDEX([1]ratio_ins!$C:$C,MATCH('001_population_health_zone_zs'!$B223,[1]ratio_ins!$B:$B,0))</f>
        <v>10797.855120000002</v>
      </c>
      <c r="Q223" s="10">
        <f>INDEX([1]ratio_ins!O:O,MATCH('001_population_health_zone_zs'!$B$2,[1]ratio_ins!$B:$B,0))*$G223*INDEX([1]ratio_ins!$C:$C,MATCH('001_population_health_zone_zs'!$B223,[1]ratio_ins!$B:$B,0))</f>
        <v>9635.0091840000005</v>
      </c>
      <c r="R223" s="10">
        <f>INDEX([1]ratio_ins!P:P,MATCH('001_population_health_zone_zs'!$B$2,[1]ratio_ins!$B:$B,0))*$G223*INDEX([1]ratio_ins!$C:$C,MATCH('001_population_health_zone_zs'!$B223,[1]ratio_ins!$B:$B,0))</f>
        <v>9468.8883360000018</v>
      </c>
      <c r="S223" s="10">
        <f>INDEX([1]ratio_ins!Q:Q,MATCH('001_population_health_zone_zs'!$B$2,[1]ratio_ins!$B:$B,0))*$G223*INDEX([1]ratio_ins!$C:$C,MATCH('001_population_health_zone_zs'!$B223,[1]ratio_ins!$B:$B,0))</f>
        <v>7973.8007040000011</v>
      </c>
      <c r="T223" s="10">
        <f>INDEX([1]ratio_ins!R:R,MATCH('001_population_health_zone_zs'!$B$2,[1]ratio_ins!$B:$B,0))*$G223*INDEX([1]ratio_ins!$C:$C,MATCH('001_population_health_zone_zs'!$B223,[1]ratio_ins!$B:$B,0))</f>
        <v>5648.1088320000008</v>
      </c>
      <c r="U223" s="10">
        <f>INDEX([1]ratio_ins!S:S,MATCH('001_population_health_zone_zs'!$B$2,[1]ratio_ins!$B:$B,0))*$G223*INDEX([1]ratio_ins!$C:$C,MATCH('001_population_health_zone_zs'!$B223,[1]ratio_ins!$B:$B,0))</f>
        <v>4485.2628960000011</v>
      </c>
      <c r="V223" s="10">
        <f>INDEX([1]ratio_ins!T:T,MATCH('001_population_health_zone_zs'!$B$2,[1]ratio_ins!$B:$B,0))*$G223*INDEX([1]ratio_ins!$C:$C,MATCH('001_population_health_zone_zs'!$B223,[1]ratio_ins!$B:$B,0))</f>
        <v>2491.8127200000004</v>
      </c>
      <c r="W223" s="11">
        <f>INDEX([1]ratio_ins!U:U,MATCH('001_population_health_zone_zs'!$B$2,[1]ratio_ins!$B:$B,0))*$G223*INDEX([1]ratio_ins!$C:$C,MATCH('001_population_health_zone_zs'!$B223,[1]ratio_ins!$B:$B,0))</f>
        <v>67976.65100160001</v>
      </c>
      <c r="X223" s="10">
        <f>INDEX([1]ratio_ins!V:V,MATCH('001_population_health_zone_zs'!$B$2,[1]ratio_ins!$B:$B,0))*$G223*INDEX([1]ratio_ins!$C:$C,MATCH('001_population_health_zone_zs'!$B223,[1]ratio_ins!$B:$B,0))</f>
        <v>1993.4501760000003</v>
      </c>
      <c r="Y223" s="10">
        <f>INDEX([1]ratio_ins!W:W,MATCH('001_population_health_zone_zs'!$B$2,[1]ratio_ins!$B:$B,0))*$G223*INDEX([1]ratio_ins!$C:$C,MATCH('001_population_health_zone_zs'!$B223,[1]ratio_ins!$B:$B,0))</f>
        <v>1328.9667840000002</v>
      </c>
      <c r="Z223" s="10">
        <f>INDEX([1]ratio_ins!X:X,MATCH('001_population_health_zone_zs'!$B$2,[1]ratio_ins!$B:$B,0))*$G223*INDEX([1]ratio_ins!$C:$C,MATCH('001_population_health_zone_zs'!$B223,[1]ratio_ins!$B:$B,0))</f>
        <v>664.48339200000009</v>
      </c>
      <c r="AA223" s="10">
        <f>INDEX([1]ratio_ins!Y:Y,MATCH('001_population_health_zone_zs'!$B$2,[1]ratio_ins!$B:$B,0))*$G223*INDEX([1]ratio_ins!$C:$C,MATCH('001_population_health_zone_zs'!$B223,[1]ratio_ins!$B:$B,0))</f>
        <v>332.24169600000005</v>
      </c>
      <c r="AB223" s="11">
        <f>INDEX([1]ratio_ins!Z:Z,MATCH('001_population_health_zone_zs'!$B$2,[1]ratio_ins!$B:$B,0))*$G223*INDEX([1]ratio_ins!$C:$C,MATCH('001_population_health_zone_zs'!$B223,[1]ratio_ins!$B:$B,0))</f>
        <v>4319.1420480000006</v>
      </c>
      <c r="AC223" s="12">
        <f t="shared" si="18"/>
        <v>166120.84800000003</v>
      </c>
      <c r="AD223" s="10">
        <f>INDEX([1]ratio_ins!AA:AA,MATCH('001_population_health_zone_zs'!$B$2,[1]ratio_ins!$B:$B,0))*$G223*INDEX([1]ratio_ins!$D:$D,MATCH('001_population_health_zone_zs'!$B223,[1]ratio_ins!$B:$B,0))</f>
        <v>36019.861919999996</v>
      </c>
      <c r="AE223" s="10">
        <f>INDEX([1]ratio_ins!AB:AB,MATCH('001_population_health_zone_zs'!$B$2,[1]ratio_ins!$B:$B,0))*$G223*INDEX([1]ratio_ins!$D:$D,MATCH('001_population_health_zone_zs'!$B223,[1]ratio_ins!$B:$B,0))</f>
        <v>29673.505296000003</v>
      </c>
      <c r="AF223" s="10">
        <f>INDEX([1]ratio_ins!AC:AC,MATCH('001_population_health_zone_zs'!$B$2,[1]ratio_ins!$B:$B,0))*$G223*INDEX([1]ratio_ins!$D:$D,MATCH('001_population_health_zone_zs'!$B223,[1]ratio_ins!$B:$B,0))</f>
        <v>23498.671823999997</v>
      </c>
      <c r="AG223" s="10">
        <f>INDEX([1]ratio_ins!AD:AD,MATCH('001_population_health_zone_zs'!$B$2,[1]ratio_ins!$B:$B,0))*$G223*INDEX([1]ratio_ins!$D:$D,MATCH('001_population_health_zone_zs'!$B223,[1]ratio_ins!$B:$B,0))</f>
        <v>14236.421616000001</v>
      </c>
      <c r="AH223" s="10">
        <f>INDEX([1]ratio_ins!AE:AE,MATCH('001_population_health_zone_zs'!$B$2,[1]ratio_ins!$B:$B,0))*$G223*INDEX([1]ratio_ins!$D:$D,MATCH('001_population_health_zone_zs'!$B223,[1]ratio_ins!$B:$B,0))</f>
        <v>8541.8529696000005</v>
      </c>
      <c r="AI223" s="13">
        <f>INDEX([1]ratio_ins!AF:AF,MATCH('001_population_health_zone_zs'!$B$2,[1]ratio_ins!$B:$B,0))*$G223*INDEX([1]ratio_ins!$D:$D,MATCH('001_population_health_zone_zs'!$B223,[1]ratio_ins!$B:$B,0))</f>
        <v>97733.892009599993</v>
      </c>
      <c r="AJ223" s="10">
        <f>INDEX([1]ratio_ins!AG:AG,MATCH('001_population_health_zone_zs'!$B$2,[1]ratio_ins!$B:$B,0))*$G223*INDEX([1]ratio_ins!$D:$D,MATCH('001_population_health_zone_zs'!$B223,[1]ratio_ins!$B:$B,0))</f>
        <v>5694.5686464</v>
      </c>
      <c r="AK223" s="10">
        <f>INDEX([1]ratio_ins!AH:AH,MATCH('001_population_health_zone_zs'!$B$2,[1]ratio_ins!$B:$B,0))*$G223*INDEX([1]ratio_ins!$D:$D,MATCH('001_population_health_zone_zs'!$B223,[1]ratio_ins!$B:$B,0))</f>
        <v>12692.713248000002</v>
      </c>
      <c r="AL223" s="10">
        <f>INDEX([1]ratio_ins!AI:AI,MATCH('001_population_health_zone_zs'!$B$2,[1]ratio_ins!$B:$B,0))*$G223*INDEX([1]ratio_ins!$D:$D,MATCH('001_population_health_zone_zs'!$B223,[1]ratio_ins!$B:$B,0))</f>
        <v>12006.620640000001</v>
      </c>
      <c r="AM223" s="10">
        <f>INDEX([1]ratio_ins!AJ:AJ,MATCH('001_population_health_zone_zs'!$B$2,[1]ratio_ins!$B:$B,0))*$G223*INDEX([1]ratio_ins!$D:$D,MATCH('001_population_health_zone_zs'!$B223,[1]ratio_ins!$B:$B,0))</f>
        <v>10977.481728000001</v>
      </c>
      <c r="AN223" s="10">
        <f>INDEX([1]ratio_ins!AK:AK,MATCH('001_population_health_zone_zs'!$B$2,[1]ratio_ins!$B:$B,0))*$G223*INDEX([1]ratio_ins!$D:$D,MATCH('001_population_health_zone_zs'!$B223,[1]ratio_ins!$B:$B,0))</f>
        <v>10291.38912</v>
      </c>
      <c r="AO223" s="10">
        <f>INDEX([1]ratio_ins!AL:AL,MATCH('001_population_health_zone_zs'!$B$2,[1]ratio_ins!$B:$B,0))*$G223*INDEX([1]ratio_ins!$D:$D,MATCH('001_population_health_zone_zs'!$B223,[1]ratio_ins!$B:$B,0))</f>
        <v>7718.5418399999999</v>
      </c>
      <c r="AP223" s="10">
        <f>INDEX([1]ratio_ins!AM:AM,MATCH('001_population_health_zone_zs'!$B$2,[1]ratio_ins!$B:$B,0))*$G223*INDEX([1]ratio_ins!$D:$D,MATCH('001_population_health_zone_zs'!$B223,[1]ratio_ins!$B:$B,0))</f>
        <v>4974.1714080000002</v>
      </c>
      <c r="AQ223" s="10">
        <f>INDEX([1]ratio_ins!AN:AN,MATCH('001_population_health_zone_zs'!$B$2,[1]ratio_ins!$B:$B,0))*$G223*INDEX([1]ratio_ins!$D:$D,MATCH('001_population_health_zone_zs'!$B223,[1]ratio_ins!$B:$B,0))</f>
        <v>3945.0324959999998</v>
      </c>
      <c r="AR223" s="10">
        <f>INDEX([1]ratio_ins!AO:AO,MATCH('001_population_health_zone_zs'!$B$2,[1]ratio_ins!$B:$B,0))*$G223*INDEX([1]ratio_ins!$D:$D,MATCH('001_population_health_zone_zs'!$B223,[1]ratio_ins!$B:$B,0))</f>
        <v>1886.7546720000003</v>
      </c>
      <c r="AS223" s="13">
        <f>INDEX([1]ratio_ins!AP:AP,MATCH('001_population_health_zone_zs'!$B$2,[1]ratio_ins!$B:$B,0))*$G223*INDEX([1]ratio_ins!$D:$D,MATCH('001_population_health_zone_zs'!$B223,[1]ratio_ins!$B:$B,0))</f>
        <v>70187.273798399998</v>
      </c>
      <c r="AT223" s="10">
        <f>INDEX([1]ratio_ins!AQ:AQ,MATCH('001_population_health_zone_zs'!$B$2,[1]ratio_ins!$B:$B,0))*$G223*INDEX([1]ratio_ins!$D:$D,MATCH('001_population_health_zone_zs'!$B223,[1]ratio_ins!$B:$B,0))</f>
        <v>1715.23152</v>
      </c>
      <c r="AU223" s="10">
        <f>INDEX([1]ratio_ins!AR:AR,MATCH('001_population_health_zone_zs'!$B$2,[1]ratio_ins!$B:$B,0))*$G223*INDEX([1]ratio_ins!$D:$D,MATCH('001_population_health_zone_zs'!$B223,[1]ratio_ins!$B:$B,0))</f>
        <v>1029.1389120000001</v>
      </c>
      <c r="AV223" s="10">
        <f>INDEX([1]ratio_ins!AS:AS,MATCH('001_population_health_zone_zs'!$B$2,[1]ratio_ins!$B:$B,0))*$G223*INDEX([1]ratio_ins!$D:$D,MATCH('001_population_health_zone_zs'!$B223,[1]ratio_ins!$B:$B,0))</f>
        <v>514.56945600000006</v>
      </c>
      <c r="AW223" s="10">
        <f>INDEX([1]ratio_ins!AT:AT,MATCH('001_population_health_zone_zs'!$B$2,[1]ratio_ins!$B:$B,0))*$G223*INDEX([1]ratio_ins!$D:$D,MATCH('001_population_health_zone_zs'!$B223,[1]ratio_ins!$B:$B,0))</f>
        <v>343.04630400000002</v>
      </c>
      <c r="AX223" s="13">
        <f>INDEX([1]ratio_ins!AU:AU,MATCH('001_population_health_zone_zs'!$B$2,[1]ratio_ins!$B:$B,0))*$G223*INDEX([1]ratio_ins!$D:$D,MATCH('001_population_health_zone_zs'!$B223,[1]ratio_ins!$B:$B,0))</f>
        <v>3601.9861919999998</v>
      </c>
      <c r="AY223" s="14">
        <f t="shared" si="19"/>
        <v>171523.152</v>
      </c>
      <c r="AZ223" s="15">
        <f t="shared" si="20"/>
        <v>337644</v>
      </c>
      <c r="BA223" s="16">
        <v>328402.62702834752</v>
      </c>
      <c r="BB223" s="10">
        <f t="shared" si="21"/>
        <v>72897.339599999992</v>
      </c>
      <c r="BC223" s="17">
        <f t="shared" si="22"/>
        <v>0.21589999999999998</v>
      </c>
      <c r="BD223" s="10">
        <f t="shared" si="23"/>
        <v>69272.393616000016</v>
      </c>
    </row>
    <row r="224" spans="1:56" x14ac:dyDescent="0.25">
      <c r="A224" s="8" t="s">
        <v>556</v>
      </c>
      <c r="B224" s="8" t="s">
        <v>557</v>
      </c>
      <c r="C224" s="8" t="s">
        <v>558</v>
      </c>
      <c r="D224" s="8" t="s">
        <v>559</v>
      </c>
      <c r="E224" s="8" t="s">
        <v>558</v>
      </c>
      <c r="F224" s="8" t="s">
        <v>562</v>
      </c>
      <c r="G224" s="9">
        <v>141502</v>
      </c>
      <c r="H224" s="10">
        <f>INDEX([1]ratio_ins!F:F,MATCH('001_population_health_zone_zs'!$B$2,[1]ratio_ins!$B:$B,0))*$G224*INDEX([1]ratio_ins!$C:$C,MATCH('001_population_health_zone_zs'!$B224,[1]ratio_ins!$B:$B,0))</f>
        <v>14550.367656</v>
      </c>
      <c r="I224" s="10">
        <f>INDEX([1]ratio_ins!G:G,MATCH('001_population_health_zone_zs'!$B$2,[1]ratio_ins!$B:$B,0))*$G224*INDEX([1]ratio_ins!$C:$C,MATCH('001_population_health_zone_zs'!$B224,[1]ratio_ins!$B:$B,0))</f>
        <v>11904.846264000002</v>
      </c>
      <c r="J224" s="10">
        <f>INDEX([1]ratio_ins!H:H,MATCH('001_population_health_zone_zs'!$B$2,[1]ratio_ins!$B:$B,0))*$G224*INDEX([1]ratio_ins!$C:$C,MATCH('001_population_health_zone_zs'!$B224,[1]ratio_ins!$B:$B,0))</f>
        <v>9398.5628400000005</v>
      </c>
      <c r="K224" s="10">
        <f>INDEX([1]ratio_ins!I:I,MATCH('001_population_health_zone_zs'!$B$2,[1]ratio_ins!$B:$B,0))*$G224*INDEX([1]ratio_ins!$C:$C,MATCH('001_population_health_zone_zs'!$B224,[1]ratio_ins!$B:$B,0))</f>
        <v>5778.375672000001</v>
      </c>
      <c r="L224" s="10">
        <f>INDEX([1]ratio_ins!J:J,MATCH('001_population_health_zone_zs'!$B$2,[1]ratio_ins!$B:$B,0))*$G224*INDEX([1]ratio_ins!$C:$C,MATCH('001_population_health_zone_zs'!$B224,[1]ratio_ins!$B:$B,0))</f>
        <v>3467.0254032000003</v>
      </c>
      <c r="M224" s="11">
        <f>INDEX([1]ratio_ins!K:K,MATCH('001_population_health_zone_zs'!$B$2,[1]ratio_ins!$B:$B,0))*$G224*INDEX([1]ratio_ins!$C:$C,MATCH('001_population_health_zone_zs'!$B224,[1]ratio_ins!$B:$B,0))</f>
        <v>39320.802163200002</v>
      </c>
      <c r="N224" s="10">
        <f>INDEX([1]ratio_ins!L:L,MATCH('001_population_health_zone_zs'!$B$2,[1]ratio_ins!$B:$B,0))*$G224*INDEX([1]ratio_ins!$C:$C,MATCH('001_population_health_zone_zs'!$B224,[1]ratio_ins!$B:$B,0))</f>
        <v>2311.3502688000003</v>
      </c>
      <c r="O224" s="10">
        <f>INDEX([1]ratio_ins!M:M,MATCH('001_population_health_zone_zs'!$B$2,[1]ratio_ins!$B:$B,0))*$G224*INDEX([1]ratio_ins!$C:$C,MATCH('001_population_health_zone_zs'!$B224,[1]ratio_ins!$B:$B,0))</f>
        <v>5012.5668480000013</v>
      </c>
      <c r="P224" s="10">
        <f>INDEX([1]ratio_ins!N:N,MATCH('001_population_health_zone_zs'!$B$2,[1]ratio_ins!$B:$B,0))*$G224*INDEX([1]ratio_ins!$C:$C,MATCH('001_population_health_zone_zs'!$B224,[1]ratio_ins!$B:$B,0))</f>
        <v>4525.2339600000014</v>
      </c>
      <c r="Q224" s="10">
        <f>INDEX([1]ratio_ins!O:O,MATCH('001_population_health_zone_zs'!$B$2,[1]ratio_ins!$B:$B,0))*$G224*INDEX([1]ratio_ins!$C:$C,MATCH('001_population_health_zone_zs'!$B224,[1]ratio_ins!$B:$B,0))</f>
        <v>4037.9010720000006</v>
      </c>
      <c r="R224" s="10">
        <f>INDEX([1]ratio_ins!P:P,MATCH('001_population_health_zone_zs'!$B$2,[1]ratio_ins!$B:$B,0))*$G224*INDEX([1]ratio_ins!$C:$C,MATCH('001_population_health_zone_zs'!$B224,[1]ratio_ins!$B:$B,0))</f>
        <v>3968.2820880000008</v>
      </c>
      <c r="S224" s="10">
        <f>INDEX([1]ratio_ins!Q:Q,MATCH('001_population_health_zone_zs'!$B$2,[1]ratio_ins!$B:$B,0))*$G224*INDEX([1]ratio_ins!$C:$C,MATCH('001_population_health_zone_zs'!$B224,[1]ratio_ins!$B:$B,0))</f>
        <v>3341.7112320000006</v>
      </c>
      <c r="T224" s="10">
        <f>INDEX([1]ratio_ins!R:R,MATCH('001_population_health_zone_zs'!$B$2,[1]ratio_ins!$B:$B,0))*$G224*INDEX([1]ratio_ins!$C:$C,MATCH('001_population_health_zone_zs'!$B224,[1]ratio_ins!$B:$B,0))</f>
        <v>2367.0454560000003</v>
      </c>
      <c r="U224" s="10">
        <f>INDEX([1]ratio_ins!S:S,MATCH('001_population_health_zone_zs'!$B$2,[1]ratio_ins!$B:$B,0))*$G224*INDEX([1]ratio_ins!$C:$C,MATCH('001_population_health_zone_zs'!$B224,[1]ratio_ins!$B:$B,0))</f>
        <v>1879.7125680000004</v>
      </c>
      <c r="V224" s="10">
        <f>INDEX([1]ratio_ins!T:T,MATCH('001_population_health_zone_zs'!$B$2,[1]ratio_ins!$B:$B,0))*$G224*INDEX([1]ratio_ins!$C:$C,MATCH('001_population_health_zone_zs'!$B224,[1]ratio_ins!$B:$B,0))</f>
        <v>1044.28476</v>
      </c>
      <c r="W224" s="11">
        <f>INDEX([1]ratio_ins!U:U,MATCH('001_population_health_zone_zs'!$B$2,[1]ratio_ins!$B:$B,0))*$G224*INDEX([1]ratio_ins!$C:$C,MATCH('001_population_health_zone_zs'!$B224,[1]ratio_ins!$B:$B,0))</f>
        <v>28488.088252800004</v>
      </c>
      <c r="X224" s="10">
        <f>INDEX([1]ratio_ins!V:V,MATCH('001_population_health_zone_zs'!$B$2,[1]ratio_ins!$B:$B,0))*$G224*INDEX([1]ratio_ins!$C:$C,MATCH('001_population_health_zone_zs'!$B224,[1]ratio_ins!$B:$B,0))</f>
        <v>835.42780800000014</v>
      </c>
      <c r="Y224" s="10">
        <f>INDEX([1]ratio_ins!W:W,MATCH('001_population_health_zone_zs'!$B$2,[1]ratio_ins!$B:$B,0))*$G224*INDEX([1]ratio_ins!$C:$C,MATCH('001_population_health_zone_zs'!$B224,[1]ratio_ins!$B:$B,0))</f>
        <v>556.95187200000009</v>
      </c>
      <c r="Z224" s="10">
        <f>INDEX([1]ratio_ins!X:X,MATCH('001_population_health_zone_zs'!$B$2,[1]ratio_ins!$B:$B,0))*$G224*INDEX([1]ratio_ins!$C:$C,MATCH('001_population_health_zone_zs'!$B224,[1]ratio_ins!$B:$B,0))</f>
        <v>278.47593600000005</v>
      </c>
      <c r="AA224" s="10">
        <f>INDEX([1]ratio_ins!Y:Y,MATCH('001_population_health_zone_zs'!$B$2,[1]ratio_ins!$B:$B,0))*$G224*INDEX([1]ratio_ins!$C:$C,MATCH('001_population_health_zone_zs'!$B224,[1]ratio_ins!$B:$B,0))</f>
        <v>139.23796800000002</v>
      </c>
      <c r="AB224" s="11">
        <f>INDEX([1]ratio_ins!Z:Z,MATCH('001_population_health_zone_zs'!$B$2,[1]ratio_ins!$B:$B,0))*$G224*INDEX([1]ratio_ins!$C:$C,MATCH('001_population_health_zone_zs'!$B224,[1]ratio_ins!$B:$B,0))</f>
        <v>1810.0935840000002</v>
      </c>
      <c r="AC224" s="12">
        <f t="shared" si="18"/>
        <v>69618.984000000011</v>
      </c>
      <c r="AD224" s="10">
        <f>INDEX([1]ratio_ins!AA:AA,MATCH('001_population_health_zone_zs'!$B$2,[1]ratio_ins!$B:$B,0))*$G224*INDEX([1]ratio_ins!$D:$D,MATCH('001_population_health_zone_zs'!$B224,[1]ratio_ins!$B:$B,0))</f>
        <v>15095.433359999999</v>
      </c>
      <c r="AE224" s="10">
        <f>INDEX([1]ratio_ins!AB:AB,MATCH('001_population_health_zone_zs'!$B$2,[1]ratio_ins!$B:$B,0))*$G224*INDEX([1]ratio_ins!$D:$D,MATCH('001_population_health_zone_zs'!$B224,[1]ratio_ins!$B:$B,0))</f>
        <v>12435.761768</v>
      </c>
      <c r="AF224" s="10">
        <f>INDEX([1]ratio_ins!AC:AC,MATCH('001_population_health_zone_zs'!$B$2,[1]ratio_ins!$B:$B,0))*$G224*INDEX([1]ratio_ins!$D:$D,MATCH('001_population_health_zone_zs'!$B224,[1]ratio_ins!$B:$B,0))</f>
        <v>9847.9731919999995</v>
      </c>
      <c r="AG224" s="10">
        <f>INDEX([1]ratio_ins!AD:AD,MATCH('001_population_health_zone_zs'!$B$2,[1]ratio_ins!$B:$B,0))*$G224*INDEX([1]ratio_ins!$D:$D,MATCH('001_population_health_zone_zs'!$B224,[1]ratio_ins!$B:$B,0))</f>
        <v>5966.290328000001</v>
      </c>
      <c r="AH224" s="10">
        <f>INDEX([1]ratio_ins!AE:AE,MATCH('001_population_health_zone_zs'!$B$2,[1]ratio_ins!$B:$B,0))*$G224*INDEX([1]ratio_ins!$D:$D,MATCH('001_population_health_zone_zs'!$B224,[1]ratio_ins!$B:$B,0))</f>
        <v>3579.7741967999996</v>
      </c>
      <c r="AI224" s="13">
        <f>INDEX([1]ratio_ins!AF:AF,MATCH('001_population_health_zone_zs'!$B$2,[1]ratio_ins!$B:$B,0))*$G224*INDEX([1]ratio_ins!$D:$D,MATCH('001_population_health_zone_zs'!$B224,[1]ratio_ins!$B:$B,0))</f>
        <v>40958.942516799994</v>
      </c>
      <c r="AJ224" s="10">
        <f>INDEX([1]ratio_ins!AG:AG,MATCH('001_population_health_zone_zs'!$B$2,[1]ratio_ins!$B:$B,0))*$G224*INDEX([1]ratio_ins!$D:$D,MATCH('001_population_health_zone_zs'!$B224,[1]ratio_ins!$B:$B,0))</f>
        <v>2386.5161312</v>
      </c>
      <c r="AK224" s="10">
        <f>INDEX([1]ratio_ins!AH:AH,MATCH('001_population_health_zone_zs'!$B$2,[1]ratio_ins!$B:$B,0))*$G224*INDEX([1]ratio_ins!$D:$D,MATCH('001_population_health_zone_zs'!$B224,[1]ratio_ins!$B:$B,0))</f>
        <v>5319.3431840000003</v>
      </c>
      <c r="AL224" s="10">
        <f>INDEX([1]ratio_ins!AI:AI,MATCH('001_population_health_zone_zs'!$B$2,[1]ratio_ins!$B:$B,0))*$G224*INDEX([1]ratio_ins!$D:$D,MATCH('001_population_health_zone_zs'!$B224,[1]ratio_ins!$B:$B,0))</f>
        <v>5031.8111200000003</v>
      </c>
      <c r="AM224" s="10">
        <f>INDEX([1]ratio_ins!AJ:AJ,MATCH('001_population_health_zone_zs'!$B$2,[1]ratio_ins!$B:$B,0))*$G224*INDEX([1]ratio_ins!$D:$D,MATCH('001_population_health_zone_zs'!$B224,[1]ratio_ins!$B:$B,0))</f>
        <v>4600.5130240000008</v>
      </c>
      <c r="AN224" s="10">
        <f>INDEX([1]ratio_ins!AK:AK,MATCH('001_population_health_zone_zs'!$B$2,[1]ratio_ins!$B:$B,0))*$G224*INDEX([1]ratio_ins!$D:$D,MATCH('001_population_health_zone_zs'!$B224,[1]ratio_ins!$B:$B,0))</f>
        <v>4312.9809599999999</v>
      </c>
      <c r="AO224" s="10">
        <f>INDEX([1]ratio_ins!AL:AL,MATCH('001_population_health_zone_zs'!$B$2,[1]ratio_ins!$B:$B,0))*$G224*INDEX([1]ratio_ins!$D:$D,MATCH('001_population_health_zone_zs'!$B224,[1]ratio_ins!$B:$B,0))</f>
        <v>3234.7357200000001</v>
      </c>
      <c r="AP224" s="10">
        <f>INDEX([1]ratio_ins!AM:AM,MATCH('001_population_health_zone_zs'!$B$2,[1]ratio_ins!$B:$B,0))*$G224*INDEX([1]ratio_ins!$D:$D,MATCH('001_population_health_zone_zs'!$B224,[1]ratio_ins!$B:$B,0))</f>
        <v>2084.6074640000002</v>
      </c>
      <c r="AQ224" s="10">
        <f>INDEX([1]ratio_ins!AN:AN,MATCH('001_population_health_zone_zs'!$B$2,[1]ratio_ins!$B:$B,0))*$G224*INDEX([1]ratio_ins!$D:$D,MATCH('001_population_health_zone_zs'!$B224,[1]ratio_ins!$B:$B,0))</f>
        <v>1653.3093679999999</v>
      </c>
      <c r="AR224" s="10">
        <f>INDEX([1]ratio_ins!AO:AO,MATCH('001_population_health_zone_zs'!$B$2,[1]ratio_ins!$B:$B,0))*$G224*INDEX([1]ratio_ins!$D:$D,MATCH('001_population_health_zone_zs'!$B224,[1]ratio_ins!$B:$B,0))</f>
        <v>790.71317600000009</v>
      </c>
      <c r="AS224" s="13">
        <f>INDEX([1]ratio_ins!AP:AP,MATCH('001_population_health_zone_zs'!$B$2,[1]ratio_ins!$B:$B,0))*$G224*INDEX([1]ratio_ins!$D:$D,MATCH('001_population_health_zone_zs'!$B224,[1]ratio_ins!$B:$B,0))</f>
        <v>29414.530147199999</v>
      </c>
      <c r="AT224" s="10">
        <f>INDEX([1]ratio_ins!AQ:AQ,MATCH('001_population_health_zone_zs'!$B$2,[1]ratio_ins!$B:$B,0))*$G224*INDEX([1]ratio_ins!$D:$D,MATCH('001_population_health_zone_zs'!$B224,[1]ratio_ins!$B:$B,0))</f>
        <v>718.83015999999998</v>
      </c>
      <c r="AU224" s="10">
        <f>INDEX([1]ratio_ins!AR:AR,MATCH('001_population_health_zone_zs'!$B$2,[1]ratio_ins!$B:$B,0))*$G224*INDEX([1]ratio_ins!$D:$D,MATCH('001_population_health_zone_zs'!$B224,[1]ratio_ins!$B:$B,0))</f>
        <v>431.29809600000004</v>
      </c>
      <c r="AV224" s="10">
        <f>INDEX([1]ratio_ins!AS:AS,MATCH('001_population_health_zone_zs'!$B$2,[1]ratio_ins!$B:$B,0))*$G224*INDEX([1]ratio_ins!$D:$D,MATCH('001_population_health_zone_zs'!$B224,[1]ratio_ins!$B:$B,0))</f>
        <v>215.64904800000002</v>
      </c>
      <c r="AW224" s="10">
        <f>INDEX([1]ratio_ins!AT:AT,MATCH('001_population_health_zone_zs'!$B$2,[1]ratio_ins!$B:$B,0))*$G224*INDEX([1]ratio_ins!$D:$D,MATCH('001_population_health_zone_zs'!$B224,[1]ratio_ins!$B:$B,0))</f>
        <v>143.76603200000002</v>
      </c>
      <c r="AX224" s="13">
        <f>INDEX([1]ratio_ins!AU:AU,MATCH('001_population_health_zone_zs'!$B$2,[1]ratio_ins!$B:$B,0))*$G224*INDEX([1]ratio_ins!$D:$D,MATCH('001_population_health_zone_zs'!$B224,[1]ratio_ins!$B:$B,0))</f>
        <v>1509.543336</v>
      </c>
      <c r="AY224" s="14">
        <f t="shared" si="19"/>
        <v>71883.016000000003</v>
      </c>
      <c r="AZ224" s="15">
        <f t="shared" si="20"/>
        <v>141502</v>
      </c>
      <c r="BA224" s="16">
        <v>137629.22758834527</v>
      </c>
      <c r="BB224" s="10">
        <f t="shared" si="21"/>
        <v>30550.281800000004</v>
      </c>
      <c r="BC224" s="17">
        <f t="shared" si="22"/>
        <v>0.21590000000000004</v>
      </c>
      <c r="BD224" s="10">
        <f t="shared" si="23"/>
        <v>29031.116328000004</v>
      </c>
    </row>
    <row r="225" spans="1:56" x14ac:dyDescent="0.25">
      <c r="A225" s="8" t="s">
        <v>556</v>
      </c>
      <c r="B225" s="8" t="s">
        <v>557</v>
      </c>
      <c r="C225" s="8" t="s">
        <v>563</v>
      </c>
      <c r="D225" s="8" t="s">
        <v>564</v>
      </c>
      <c r="E225" s="8" t="s">
        <v>563</v>
      </c>
      <c r="F225" s="8" t="s">
        <v>565</v>
      </c>
      <c r="G225" s="9">
        <v>156906</v>
      </c>
      <c r="H225" s="10">
        <f>INDEX([1]ratio_ins!F:F,MATCH('001_population_health_zone_zs'!$B$2,[1]ratio_ins!$B:$B,0))*$G225*INDEX([1]ratio_ins!$C:$C,MATCH('001_population_health_zone_zs'!$B225,[1]ratio_ins!$B:$B,0))</f>
        <v>16134.330168</v>
      </c>
      <c r="I225" s="10">
        <f>INDEX([1]ratio_ins!G:G,MATCH('001_population_health_zone_zs'!$B$2,[1]ratio_ins!$B:$B,0))*$G225*INDEX([1]ratio_ins!$C:$C,MATCH('001_population_health_zone_zs'!$B225,[1]ratio_ins!$B:$B,0))</f>
        <v>13200.815592000003</v>
      </c>
      <c r="J225" s="10">
        <f>INDEX([1]ratio_ins!H:H,MATCH('001_population_health_zone_zs'!$B$2,[1]ratio_ins!$B:$B,0))*$G225*INDEX([1]ratio_ins!$C:$C,MATCH('001_population_health_zone_zs'!$B225,[1]ratio_ins!$B:$B,0))</f>
        <v>10421.696520000001</v>
      </c>
      <c r="K225" s="10">
        <f>INDEX([1]ratio_ins!I:I,MATCH('001_population_health_zone_zs'!$B$2,[1]ratio_ins!$B:$B,0))*$G225*INDEX([1]ratio_ins!$C:$C,MATCH('001_population_health_zone_zs'!$B225,[1]ratio_ins!$B:$B,0))</f>
        <v>6407.4134160000012</v>
      </c>
      <c r="L225" s="10">
        <f>INDEX([1]ratio_ins!J:J,MATCH('001_population_health_zone_zs'!$B$2,[1]ratio_ins!$B:$B,0))*$G225*INDEX([1]ratio_ins!$C:$C,MATCH('001_population_health_zone_zs'!$B225,[1]ratio_ins!$B:$B,0))</f>
        <v>3844.4480496000001</v>
      </c>
      <c r="M225" s="11">
        <f>INDEX([1]ratio_ins!K:K,MATCH('001_population_health_zone_zs'!$B$2,[1]ratio_ins!$B:$B,0))*$G225*INDEX([1]ratio_ins!$C:$C,MATCH('001_population_health_zone_zs'!$B225,[1]ratio_ins!$B:$B,0))</f>
        <v>43601.2903296</v>
      </c>
      <c r="N225" s="10">
        <f>INDEX([1]ratio_ins!L:L,MATCH('001_population_health_zone_zs'!$B$2,[1]ratio_ins!$B:$B,0))*$G225*INDEX([1]ratio_ins!$C:$C,MATCH('001_population_health_zone_zs'!$B225,[1]ratio_ins!$B:$B,0))</f>
        <v>2562.9653664000002</v>
      </c>
      <c r="O225" s="10">
        <f>INDEX([1]ratio_ins!M:M,MATCH('001_population_health_zone_zs'!$B$2,[1]ratio_ins!$B:$B,0))*$G225*INDEX([1]ratio_ins!$C:$C,MATCH('001_population_health_zone_zs'!$B225,[1]ratio_ins!$B:$B,0))</f>
        <v>5558.2381440000017</v>
      </c>
      <c r="P225" s="10">
        <f>INDEX([1]ratio_ins!N:N,MATCH('001_population_health_zone_zs'!$B$2,[1]ratio_ins!$B:$B,0))*$G225*INDEX([1]ratio_ins!$C:$C,MATCH('001_population_health_zone_zs'!$B225,[1]ratio_ins!$B:$B,0))</f>
        <v>5017.8538800000015</v>
      </c>
      <c r="Q225" s="10">
        <f>INDEX([1]ratio_ins!O:O,MATCH('001_population_health_zone_zs'!$B$2,[1]ratio_ins!$B:$B,0))*$G225*INDEX([1]ratio_ins!$C:$C,MATCH('001_population_health_zone_zs'!$B225,[1]ratio_ins!$B:$B,0))</f>
        <v>4477.4696160000003</v>
      </c>
      <c r="R225" s="10">
        <f>INDEX([1]ratio_ins!P:P,MATCH('001_population_health_zone_zs'!$B$2,[1]ratio_ins!$B:$B,0))*$G225*INDEX([1]ratio_ins!$C:$C,MATCH('001_population_health_zone_zs'!$B225,[1]ratio_ins!$B:$B,0))</f>
        <v>4400.2718640000003</v>
      </c>
      <c r="S225" s="10">
        <f>INDEX([1]ratio_ins!Q:Q,MATCH('001_population_health_zone_zs'!$B$2,[1]ratio_ins!$B:$B,0))*$G225*INDEX([1]ratio_ins!$C:$C,MATCH('001_population_health_zone_zs'!$B225,[1]ratio_ins!$B:$B,0))</f>
        <v>3705.4920960000004</v>
      </c>
      <c r="T225" s="10">
        <f>INDEX([1]ratio_ins!R:R,MATCH('001_population_health_zone_zs'!$B$2,[1]ratio_ins!$B:$B,0))*$G225*INDEX([1]ratio_ins!$C:$C,MATCH('001_population_health_zone_zs'!$B225,[1]ratio_ins!$B:$B,0))</f>
        <v>2624.7235680000003</v>
      </c>
      <c r="U225" s="10">
        <f>INDEX([1]ratio_ins!S:S,MATCH('001_population_health_zone_zs'!$B$2,[1]ratio_ins!$B:$B,0))*$G225*INDEX([1]ratio_ins!$C:$C,MATCH('001_population_health_zone_zs'!$B225,[1]ratio_ins!$B:$B,0))</f>
        <v>2084.3393040000005</v>
      </c>
      <c r="V225" s="10">
        <f>INDEX([1]ratio_ins!T:T,MATCH('001_population_health_zone_zs'!$B$2,[1]ratio_ins!$B:$B,0))*$G225*INDEX([1]ratio_ins!$C:$C,MATCH('001_population_health_zone_zs'!$B225,[1]ratio_ins!$B:$B,0))</f>
        <v>1157.9662799999999</v>
      </c>
      <c r="W225" s="11">
        <f>INDEX([1]ratio_ins!U:U,MATCH('001_population_health_zone_zs'!$B$2,[1]ratio_ins!$B:$B,0))*$G225*INDEX([1]ratio_ins!$C:$C,MATCH('001_population_health_zone_zs'!$B225,[1]ratio_ins!$B:$B,0))</f>
        <v>31589.320118400003</v>
      </c>
      <c r="X225" s="10">
        <f>INDEX([1]ratio_ins!V:V,MATCH('001_population_health_zone_zs'!$B$2,[1]ratio_ins!$B:$B,0))*$G225*INDEX([1]ratio_ins!$C:$C,MATCH('001_population_health_zone_zs'!$B225,[1]ratio_ins!$B:$B,0))</f>
        <v>926.3730240000001</v>
      </c>
      <c r="Y225" s="10">
        <f>INDEX([1]ratio_ins!W:W,MATCH('001_population_health_zone_zs'!$B$2,[1]ratio_ins!$B:$B,0))*$G225*INDEX([1]ratio_ins!$C:$C,MATCH('001_population_health_zone_zs'!$B225,[1]ratio_ins!$B:$B,0))</f>
        <v>617.58201600000007</v>
      </c>
      <c r="Z225" s="10">
        <f>INDEX([1]ratio_ins!X:X,MATCH('001_population_health_zone_zs'!$B$2,[1]ratio_ins!$B:$B,0))*$G225*INDEX([1]ratio_ins!$C:$C,MATCH('001_population_health_zone_zs'!$B225,[1]ratio_ins!$B:$B,0))</f>
        <v>308.79100800000003</v>
      </c>
      <c r="AA225" s="10">
        <f>INDEX([1]ratio_ins!Y:Y,MATCH('001_population_health_zone_zs'!$B$2,[1]ratio_ins!$B:$B,0))*$G225*INDEX([1]ratio_ins!$C:$C,MATCH('001_population_health_zone_zs'!$B225,[1]ratio_ins!$B:$B,0))</f>
        <v>154.39550400000002</v>
      </c>
      <c r="AB225" s="11">
        <f>INDEX([1]ratio_ins!Z:Z,MATCH('001_population_health_zone_zs'!$B$2,[1]ratio_ins!$B:$B,0))*$G225*INDEX([1]ratio_ins!$C:$C,MATCH('001_population_health_zone_zs'!$B225,[1]ratio_ins!$B:$B,0))</f>
        <v>2007.1415520000005</v>
      </c>
      <c r="AC225" s="12">
        <f t="shared" si="18"/>
        <v>77197.752000000008</v>
      </c>
      <c r="AD225" s="10">
        <f>INDEX([1]ratio_ins!AA:AA,MATCH('001_population_health_zone_zs'!$B$2,[1]ratio_ins!$B:$B,0))*$G225*INDEX([1]ratio_ins!$D:$D,MATCH('001_population_health_zone_zs'!$B225,[1]ratio_ins!$B:$B,0))</f>
        <v>16738.732080000002</v>
      </c>
      <c r="AE225" s="10">
        <f>INDEX([1]ratio_ins!AB:AB,MATCH('001_population_health_zone_zs'!$B$2,[1]ratio_ins!$B:$B,0))*$G225*INDEX([1]ratio_ins!$D:$D,MATCH('001_population_health_zone_zs'!$B225,[1]ratio_ins!$B:$B,0))</f>
        <v>13789.526904</v>
      </c>
      <c r="AF225" s="10">
        <f>INDEX([1]ratio_ins!AC:AC,MATCH('001_population_health_zone_zs'!$B$2,[1]ratio_ins!$B:$B,0))*$G225*INDEX([1]ratio_ins!$D:$D,MATCH('001_population_health_zone_zs'!$B225,[1]ratio_ins!$B:$B,0))</f>
        <v>10920.029975999998</v>
      </c>
      <c r="AG225" s="10">
        <f>INDEX([1]ratio_ins!AD:AD,MATCH('001_population_health_zone_zs'!$B$2,[1]ratio_ins!$B:$B,0))*$G225*INDEX([1]ratio_ins!$D:$D,MATCH('001_population_health_zone_zs'!$B225,[1]ratio_ins!$B:$B,0))</f>
        <v>6615.784584</v>
      </c>
      <c r="AH225" s="10">
        <f>INDEX([1]ratio_ins!AE:AE,MATCH('001_population_health_zone_zs'!$B$2,[1]ratio_ins!$B:$B,0))*$G225*INDEX([1]ratio_ins!$D:$D,MATCH('001_population_health_zone_zs'!$B225,[1]ratio_ins!$B:$B,0))</f>
        <v>3969.4707503999998</v>
      </c>
      <c r="AI225" s="13">
        <f>INDEX([1]ratio_ins!AF:AF,MATCH('001_population_health_zone_zs'!$B$2,[1]ratio_ins!$B:$B,0))*$G225*INDEX([1]ratio_ins!$D:$D,MATCH('001_population_health_zone_zs'!$B225,[1]ratio_ins!$B:$B,0))</f>
        <v>45417.759710400001</v>
      </c>
      <c r="AJ225" s="10">
        <f>INDEX([1]ratio_ins!AG:AG,MATCH('001_population_health_zone_zs'!$B$2,[1]ratio_ins!$B:$B,0))*$G225*INDEX([1]ratio_ins!$D:$D,MATCH('001_population_health_zone_zs'!$B225,[1]ratio_ins!$B:$B,0))</f>
        <v>2646.3138336000002</v>
      </c>
      <c r="AK225" s="10">
        <f>INDEX([1]ratio_ins!AH:AH,MATCH('001_population_health_zone_zs'!$B$2,[1]ratio_ins!$B:$B,0))*$G225*INDEX([1]ratio_ins!$D:$D,MATCH('001_population_health_zone_zs'!$B225,[1]ratio_ins!$B:$B,0))</f>
        <v>5898.4103520000008</v>
      </c>
      <c r="AL225" s="10">
        <f>INDEX([1]ratio_ins!AI:AI,MATCH('001_population_health_zone_zs'!$B$2,[1]ratio_ins!$B:$B,0))*$G225*INDEX([1]ratio_ins!$D:$D,MATCH('001_population_health_zone_zs'!$B225,[1]ratio_ins!$B:$B,0))</f>
        <v>5579.5773600000011</v>
      </c>
      <c r="AM225" s="10">
        <f>INDEX([1]ratio_ins!AJ:AJ,MATCH('001_population_health_zone_zs'!$B$2,[1]ratio_ins!$B:$B,0))*$G225*INDEX([1]ratio_ins!$D:$D,MATCH('001_population_health_zone_zs'!$B225,[1]ratio_ins!$B:$B,0))</f>
        <v>5101.3278719999998</v>
      </c>
      <c r="AN225" s="10">
        <f>INDEX([1]ratio_ins!AK:AK,MATCH('001_population_health_zone_zs'!$B$2,[1]ratio_ins!$B:$B,0))*$G225*INDEX([1]ratio_ins!$D:$D,MATCH('001_population_health_zone_zs'!$B225,[1]ratio_ins!$B:$B,0))</f>
        <v>4782.4948799999993</v>
      </c>
      <c r="AO225" s="10">
        <f>INDEX([1]ratio_ins!AL:AL,MATCH('001_population_health_zone_zs'!$B$2,[1]ratio_ins!$B:$B,0))*$G225*INDEX([1]ratio_ins!$D:$D,MATCH('001_population_health_zone_zs'!$B225,[1]ratio_ins!$B:$B,0))</f>
        <v>3586.8711599999997</v>
      </c>
      <c r="AP225" s="10">
        <f>INDEX([1]ratio_ins!AM:AM,MATCH('001_population_health_zone_zs'!$B$2,[1]ratio_ins!$B:$B,0))*$G225*INDEX([1]ratio_ins!$D:$D,MATCH('001_population_health_zone_zs'!$B225,[1]ratio_ins!$B:$B,0))</f>
        <v>2311.5391919999997</v>
      </c>
      <c r="AQ225" s="10">
        <f>INDEX([1]ratio_ins!AN:AN,MATCH('001_population_health_zone_zs'!$B$2,[1]ratio_ins!$B:$B,0))*$G225*INDEX([1]ratio_ins!$D:$D,MATCH('001_population_health_zone_zs'!$B225,[1]ratio_ins!$B:$B,0))</f>
        <v>1833.2897039999998</v>
      </c>
      <c r="AR225" s="10">
        <f>INDEX([1]ratio_ins!AO:AO,MATCH('001_population_health_zone_zs'!$B$2,[1]ratio_ins!$B:$B,0))*$G225*INDEX([1]ratio_ins!$D:$D,MATCH('001_population_health_zone_zs'!$B225,[1]ratio_ins!$B:$B,0))</f>
        <v>876.79072800000006</v>
      </c>
      <c r="AS225" s="13">
        <f>INDEX([1]ratio_ins!AP:AP,MATCH('001_population_health_zone_zs'!$B$2,[1]ratio_ins!$B:$B,0))*$G225*INDEX([1]ratio_ins!$D:$D,MATCH('001_population_health_zone_zs'!$B225,[1]ratio_ins!$B:$B,0))</f>
        <v>32616.615081600001</v>
      </c>
      <c r="AT225" s="10">
        <f>INDEX([1]ratio_ins!AQ:AQ,MATCH('001_population_health_zone_zs'!$B$2,[1]ratio_ins!$B:$B,0))*$G225*INDEX([1]ratio_ins!$D:$D,MATCH('001_population_health_zone_zs'!$B225,[1]ratio_ins!$B:$B,0))</f>
        <v>797.08248000000003</v>
      </c>
      <c r="AU225" s="10">
        <f>INDEX([1]ratio_ins!AR:AR,MATCH('001_population_health_zone_zs'!$B$2,[1]ratio_ins!$B:$B,0))*$G225*INDEX([1]ratio_ins!$D:$D,MATCH('001_population_health_zone_zs'!$B225,[1]ratio_ins!$B:$B,0))</f>
        <v>478.24948800000004</v>
      </c>
      <c r="AV225" s="10">
        <f>INDEX([1]ratio_ins!AS:AS,MATCH('001_population_health_zone_zs'!$B$2,[1]ratio_ins!$B:$B,0))*$G225*INDEX([1]ratio_ins!$D:$D,MATCH('001_population_health_zone_zs'!$B225,[1]ratio_ins!$B:$B,0))</f>
        <v>239.12474400000002</v>
      </c>
      <c r="AW225" s="10">
        <f>INDEX([1]ratio_ins!AT:AT,MATCH('001_population_health_zone_zs'!$B$2,[1]ratio_ins!$B:$B,0))*$G225*INDEX([1]ratio_ins!$D:$D,MATCH('001_population_health_zone_zs'!$B225,[1]ratio_ins!$B:$B,0))</f>
        <v>159.416496</v>
      </c>
      <c r="AX225" s="13">
        <f>INDEX([1]ratio_ins!AU:AU,MATCH('001_population_health_zone_zs'!$B$2,[1]ratio_ins!$B:$B,0))*$G225*INDEX([1]ratio_ins!$D:$D,MATCH('001_population_health_zone_zs'!$B225,[1]ratio_ins!$B:$B,0))</f>
        <v>1673.873208</v>
      </c>
      <c r="AY225" s="14">
        <f t="shared" si="19"/>
        <v>79708.248000000007</v>
      </c>
      <c r="AZ225" s="15">
        <f t="shared" si="20"/>
        <v>156906</v>
      </c>
      <c r="BA225" s="16">
        <v>152611.08183755263</v>
      </c>
      <c r="BB225" s="10">
        <f t="shared" si="21"/>
        <v>33876.005400000002</v>
      </c>
      <c r="BC225" s="17">
        <f t="shared" si="22"/>
        <v>0.21590000000000001</v>
      </c>
      <c r="BD225" s="10">
        <f t="shared" si="23"/>
        <v>32191.462584000008</v>
      </c>
    </row>
    <row r="226" spans="1:56" x14ac:dyDescent="0.25">
      <c r="A226" s="8" t="s">
        <v>556</v>
      </c>
      <c r="B226" s="8" t="s">
        <v>557</v>
      </c>
      <c r="C226" s="8" t="s">
        <v>566</v>
      </c>
      <c r="D226" s="8" t="s">
        <v>567</v>
      </c>
      <c r="E226" s="8" t="s">
        <v>568</v>
      </c>
      <c r="F226" s="8" t="s">
        <v>569</v>
      </c>
      <c r="G226" s="9">
        <v>94870</v>
      </c>
      <c r="H226" s="10">
        <f>INDEX([1]ratio_ins!F:F,MATCH('001_population_health_zone_zs'!$B$2,[1]ratio_ins!$B:$B,0))*$G226*INDEX([1]ratio_ins!$C:$C,MATCH('001_population_health_zone_zs'!$B226,[1]ratio_ins!$B:$B,0))</f>
        <v>9755.2923599999995</v>
      </c>
      <c r="I226" s="10">
        <f>INDEX([1]ratio_ins!G:G,MATCH('001_population_health_zone_zs'!$B$2,[1]ratio_ins!$B:$B,0))*$G226*INDEX([1]ratio_ins!$C:$C,MATCH('001_population_health_zone_zs'!$B226,[1]ratio_ins!$B:$B,0))</f>
        <v>7981.6028400000014</v>
      </c>
      <c r="J226" s="10">
        <f>INDEX([1]ratio_ins!H:H,MATCH('001_population_health_zone_zs'!$B$2,[1]ratio_ins!$B:$B,0))*$G226*INDEX([1]ratio_ins!$C:$C,MATCH('001_population_health_zone_zs'!$B226,[1]ratio_ins!$B:$B,0))</f>
        <v>6301.2654000000011</v>
      </c>
      <c r="K226" s="10">
        <f>INDEX([1]ratio_ins!I:I,MATCH('001_population_health_zone_zs'!$B$2,[1]ratio_ins!$B:$B,0))*$G226*INDEX([1]ratio_ins!$C:$C,MATCH('001_population_health_zone_zs'!$B226,[1]ratio_ins!$B:$B,0))</f>
        <v>3874.1113200000004</v>
      </c>
      <c r="L226" s="10">
        <f>INDEX([1]ratio_ins!J:J,MATCH('001_population_health_zone_zs'!$B$2,[1]ratio_ins!$B:$B,0))*$G226*INDEX([1]ratio_ins!$C:$C,MATCH('001_population_health_zone_zs'!$B226,[1]ratio_ins!$B:$B,0))</f>
        <v>2324.4667920000002</v>
      </c>
      <c r="M226" s="11">
        <f>INDEX([1]ratio_ins!K:K,MATCH('001_population_health_zone_zs'!$B$2,[1]ratio_ins!$B:$B,0))*$G226*INDEX([1]ratio_ins!$C:$C,MATCH('001_population_health_zone_zs'!$B226,[1]ratio_ins!$B:$B,0))</f>
        <v>26362.627391999999</v>
      </c>
      <c r="N226" s="10">
        <f>INDEX([1]ratio_ins!L:L,MATCH('001_population_health_zone_zs'!$B$2,[1]ratio_ins!$B:$B,0))*$G226*INDEX([1]ratio_ins!$C:$C,MATCH('001_population_health_zone_zs'!$B226,[1]ratio_ins!$B:$B,0))</f>
        <v>1549.6445280000003</v>
      </c>
      <c r="O226" s="10">
        <f>INDEX([1]ratio_ins!M:M,MATCH('001_population_health_zone_zs'!$B$2,[1]ratio_ins!$B:$B,0))*$G226*INDEX([1]ratio_ins!$C:$C,MATCH('001_population_health_zone_zs'!$B226,[1]ratio_ins!$B:$B,0))</f>
        <v>3360.6748800000009</v>
      </c>
      <c r="P226" s="10">
        <f>INDEX([1]ratio_ins!N:N,MATCH('001_population_health_zone_zs'!$B$2,[1]ratio_ins!$B:$B,0))*$G226*INDEX([1]ratio_ins!$C:$C,MATCH('001_population_health_zone_zs'!$B226,[1]ratio_ins!$B:$B,0))</f>
        <v>3033.9426000000003</v>
      </c>
      <c r="Q226" s="10">
        <f>INDEX([1]ratio_ins!O:O,MATCH('001_population_health_zone_zs'!$B$2,[1]ratio_ins!$B:$B,0))*$G226*INDEX([1]ratio_ins!$C:$C,MATCH('001_population_health_zone_zs'!$B226,[1]ratio_ins!$B:$B,0))</f>
        <v>2707.2103200000001</v>
      </c>
      <c r="R226" s="10">
        <f>INDEX([1]ratio_ins!P:P,MATCH('001_population_health_zone_zs'!$B$2,[1]ratio_ins!$B:$B,0))*$G226*INDEX([1]ratio_ins!$C:$C,MATCH('001_population_health_zone_zs'!$B226,[1]ratio_ins!$B:$B,0))</f>
        <v>2660.5342800000003</v>
      </c>
      <c r="S226" s="10">
        <f>INDEX([1]ratio_ins!Q:Q,MATCH('001_population_health_zone_zs'!$B$2,[1]ratio_ins!$B:$B,0))*$G226*INDEX([1]ratio_ins!$C:$C,MATCH('001_population_health_zone_zs'!$B226,[1]ratio_ins!$B:$B,0))</f>
        <v>2240.4499200000005</v>
      </c>
      <c r="T226" s="10">
        <f>INDEX([1]ratio_ins!R:R,MATCH('001_population_health_zone_zs'!$B$2,[1]ratio_ins!$B:$B,0))*$G226*INDEX([1]ratio_ins!$C:$C,MATCH('001_population_health_zone_zs'!$B226,[1]ratio_ins!$B:$B,0))</f>
        <v>1586.9853600000004</v>
      </c>
      <c r="U226" s="10">
        <f>INDEX([1]ratio_ins!S:S,MATCH('001_population_health_zone_zs'!$B$2,[1]ratio_ins!$B:$B,0))*$G226*INDEX([1]ratio_ins!$C:$C,MATCH('001_population_health_zone_zs'!$B226,[1]ratio_ins!$B:$B,0))</f>
        <v>1260.2530800000002</v>
      </c>
      <c r="V226" s="10">
        <f>INDEX([1]ratio_ins!T:T,MATCH('001_population_health_zone_zs'!$B$2,[1]ratio_ins!$B:$B,0))*$G226*INDEX([1]ratio_ins!$C:$C,MATCH('001_population_health_zone_zs'!$B226,[1]ratio_ins!$B:$B,0))</f>
        <v>700.14060000000006</v>
      </c>
      <c r="W226" s="11">
        <f>INDEX([1]ratio_ins!U:U,MATCH('001_population_health_zone_zs'!$B$2,[1]ratio_ins!$B:$B,0))*$G226*INDEX([1]ratio_ins!$C:$C,MATCH('001_population_health_zone_zs'!$B226,[1]ratio_ins!$B:$B,0))</f>
        <v>19099.835568000002</v>
      </c>
      <c r="X226" s="10">
        <f>INDEX([1]ratio_ins!V:V,MATCH('001_population_health_zone_zs'!$B$2,[1]ratio_ins!$B:$B,0))*$G226*INDEX([1]ratio_ins!$C:$C,MATCH('001_population_health_zone_zs'!$B226,[1]ratio_ins!$B:$B,0))</f>
        <v>560.11248000000012</v>
      </c>
      <c r="Y226" s="10">
        <f>INDEX([1]ratio_ins!W:W,MATCH('001_population_health_zone_zs'!$B$2,[1]ratio_ins!$B:$B,0))*$G226*INDEX([1]ratio_ins!$C:$C,MATCH('001_population_health_zone_zs'!$B226,[1]ratio_ins!$B:$B,0))</f>
        <v>373.40832000000006</v>
      </c>
      <c r="Z226" s="10">
        <f>INDEX([1]ratio_ins!X:X,MATCH('001_population_health_zone_zs'!$B$2,[1]ratio_ins!$B:$B,0))*$G226*INDEX([1]ratio_ins!$C:$C,MATCH('001_population_health_zone_zs'!$B226,[1]ratio_ins!$B:$B,0))</f>
        <v>186.70416000000003</v>
      </c>
      <c r="AA226" s="10">
        <f>INDEX([1]ratio_ins!Y:Y,MATCH('001_population_health_zone_zs'!$B$2,[1]ratio_ins!$B:$B,0))*$G226*INDEX([1]ratio_ins!$C:$C,MATCH('001_population_health_zone_zs'!$B226,[1]ratio_ins!$B:$B,0))</f>
        <v>93.352080000000015</v>
      </c>
      <c r="AB226" s="11">
        <f>INDEX([1]ratio_ins!Z:Z,MATCH('001_population_health_zone_zs'!$B$2,[1]ratio_ins!$B:$B,0))*$G226*INDEX([1]ratio_ins!$C:$C,MATCH('001_population_health_zone_zs'!$B226,[1]ratio_ins!$B:$B,0))</f>
        <v>1213.5770400000004</v>
      </c>
      <c r="AC226" s="12">
        <f t="shared" si="18"/>
        <v>46676.040000000008</v>
      </c>
      <c r="AD226" s="10">
        <f>INDEX([1]ratio_ins!AA:AA,MATCH('001_population_health_zone_zs'!$B$2,[1]ratio_ins!$B:$B,0))*$G226*INDEX([1]ratio_ins!$D:$D,MATCH('001_population_health_zone_zs'!$B226,[1]ratio_ins!$B:$B,0))</f>
        <v>10120.731600000001</v>
      </c>
      <c r="AE226" s="10">
        <f>INDEX([1]ratio_ins!AB:AB,MATCH('001_population_health_zone_zs'!$B$2,[1]ratio_ins!$B:$B,0))*$G226*INDEX([1]ratio_ins!$D:$D,MATCH('001_population_health_zone_zs'!$B226,[1]ratio_ins!$B:$B,0))</f>
        <v>8337.5550800000019</v>
      </c>
      <c r="AF226" s="10">
        <f>INDEX([1]ratio_ins!AC:AC,MATCH('001_population_health_zone_zs'!$B$2,[1]ratio_ins!$B:$B,0))*$G226*INDEX([1]ratio_ins!$D:$D,MATCH('001_population_health_zone_zs'!$B226,[1]ratio_ins!$B:$B,0))</f>
        <v>6602.5725199999997</v>
      </c>
      <c r="AG226" s="10">
        <f>INDEX([1]ratio_ins!AD:AD,MATCH('001_population_health_zone_zs'!$B$2,[1]ratio_ins!$B:$B,0))*$G226*INDEX([1]ratio_ins!$D:$D,MATCH('001_population_health_zone_zs'!$B226,[1]ratio_ins!$B:$B,0))</f>
        <v>4000.0986800000001</v>
      </c>
      <c r="AH226" s="10">
        <f>INDEX([1]ratio_ins!AE:AE,MATCH('001_population_health_zone_zs'!$B$2,[1]ratio_ins!$B:$B,0))*$G226*INDEX([1]ratio_ins!$D:$D,MATCH('001_population_health_zone_zs'!$B226,[1]ratio_ins!$B:$B,0))</f>
        <v>2400.0592080000001</v>
      </c>
      <c r="AI226" s="13">
        <f>INDEX([1]ratio_ins!AF:AF,MATCH('001_population_health_zone_zs'!$B$2,[1]ratio_ins!$B:$B,0))*$G226*INDEX([1]ratio_ins!$D:$D,MATCH('001_population_health_zone_zs'!$B226,[1]ratio_ins!$B:$B,0))</f>
        <v>27460.918408000001</v>
      </c>
      <c r="AJ226" s="10">
        <f>INDEX([1]ratio_ins!AG:AG,MATCH('001_population_health_zone_zs'!$B$2,[1]ratio_ins!$B:$B,0))*$G226*INDEX([1]ratio_ins!$D:$D,MATCH('001_population_health_zone_zs'!$B226,[1]ratio_ins!$B:$B,0))</f>
        <v>1600.0394720000002</v>
      </c>
      <c r="AK226" s="10">
        <f>INDEX([1]ratio_ins!AH:AH,MATCH('001_population_health_zone_zs'!$B$2,[1]ratio_ins!$B:$B,0))*$G226*INDEX([1]ratio_ins!$D:$D,MATCH('001_population_health_zone_zs'!$B226,[1]ratio_ins!$B:$B,0))</f>
        <v>3566.3530400000004</v>
      </c>
      <c r="AL226" s="10">
        <f>INDEX([1]ratio_ins!AI:AI,MATCH('001_population_health_zone_zs'!$B$2,[1]ratio_ins!$B:$B,0))*$G226*INDEX([1]ratio_ins!$D:$D,MATCH('001_population_health_zone_zs'!$B226,[1]ratio_ins!$B:$B,0))</f>
        <v>3373.5772000000002</v>
      </c>
      <c r="AM226" s="10">
        <f>INDEX([1]ratio_ins!AJ:AJ,MATCH('001_population_health_zone_zs'!$B$2,[1]ratio_ins!$B:$B,0))*$G226*INDEX([1]ratio_ins!$D:$D,MATCH('001_population_health_zone_zs'!$B226,[1]ratio_ins!$B:$B,0))</f>
        <v>3084.4134400000003</v>
      </c>
      <c r="AN226" s="10">
        <f>INDEX([1]ratio_ins!AK:AK,MATCH('001_population_health_zone_zs'!$B$2,[1]ratio_ins!$B:$B,0))*$G226*INDEX([1]ratio_ins!$D:$D,MATCH('001_population_health_zone_zs'!$B226,[1]ratio_ins!$B:$B,0))</f>
        <v>2891.6376</v>
      </c>
      <c r="AO226" s="10">
        <f>INDEX([1]ratio_ins!AL:AL,MATCH('001_population_health_zone_zs'!$B$2,[1]ratio_ins!$B:$B,0))*$G226*INDEX([1]ratio_ins!$D:$D,MATCH('001_population_health_zone_zs'!$B226,[1]ratio_ins!$B:$B,0))</f>
        <v>2168.7282</v>
      </c>
      <c r="AP226" s="10">
        <f>INDEX([1]ratio_ins!AM:AM,MATCH('001_population_health_zone_zs'!$B$2,[1]ratio_ins!$B:$B,0))*$G226*INDEX([1]ratio_ins!$D:$D,MATCH('001_population_health_zone_zs'!$B226,[1]ratio_ins!$B:$B,0))</f>
        <v>1397.6248399999999</v>
      </c>
      <c r="AQ226" s="10">
        <f>INDEX([1]ratio_ins!AN:AN,MATCH('001_population_health_zone_zs'!$B$2,[1]ratio_ins!$B:$B,0))*$G226*INDEX([1]ratio_ins!$D:$D,MATCH('001_population_health_zone_zs'!$B226,[1]ratio_ins!$B:$B,0))</f>
        <v>1108.4610799999998</v>
      </c>
      <c r="AR226" s="10">
        <f>INDEX([1]ratio_ins!AO:AO,MATCH('001_population_health_zone_zs'!$B$2,[1]ratio_ins!$B:$B,0))*$G226*INDEX([1]ratio_ins!$D:$D,MATCH('001_population_health_zone_zs'!$B226,[1]ratio_ins!$B:$B,0))</f>
        <v>530.1335600000001</v>
      </c>
      <c r="AS226" s="13">
        <f>INDEX([1]ratio_ins!AP:AP,MATCH('001_population_health_zone_zs'!$B$2,[1]ratio_ins!$B:$B,0))*$G226*INDEX([1]ratio_ins!$D:$D,MATCH('001_population_health_zone_zs'!$B226,[1]ratio_ins!$B:$B,0))</f>
        <v>19720.968432000001</v>
      </c>
      <c r="AT226" s="10">
        <f>INDEX([1]ratio_ins!AQ:AQ,MATCH('001_population_health_zone_zs'!$B$2,[1]ratio_ins!$B:$B,0))*$G226*INDEX([1]ratio_ins!$D:$D,MATCH('001_population_health_zone_zs'!$B226,[1]ratio_ins!$B:$B,0))</f>
        <v>481.93960000000004</v>
      </c>
      <c r="AU226" s="10">
        <f>INDEX([1]ratio_ins!AR:AR,MATCH('001_population_health_zone_zs'!$B$2,[1]ratio_ins!$B:$B,0))*$G226*INDEX([1]ratio_ins!$D:$D,MATCH('001_population_health_zone_zs'!$B226,[1]ratio_ins!$B:$B,0))</f>
        <v>289.16376000000002</v>
      </c>
      <c r="AV226" s="10">
        <f>INDEX([1]ratio_ins!AS:AS,MATCH('001_population_health_zone_zs'!$B$2,[1]ratio_ins!$B:$B,0))*$G226*INDEX([1]ratio_ins!$D:$D,MATCH('001_population_health_zone_zs'!$B226,[1]ratio_ins!$B:$B,0))</f>
        <v>144.58188000000001</v>
      </c>
      <c r="AW226" s="10">
        <f>INDEX([1]ratio_ins!AT:AT,MATCH('001_population_health_zone_zs'!$B$2,[1]ratio_ins!$B:$B,0))*$G226*INDEX([1]ratio_ins!$D:$D,MATCH('001_population_health_zone_zs'!$B226,[1]ratio_ins!$B:$B,0))</f>
        <v>96.387920000000008</v>
      </c>
      <c r="AX226" s="13">
        <f>INDEX([1]ratio_ins!AU:AU,MATCH('001_population_health_zone_zs'!$B$2,[1]ratio_ins!$B:$B,0))*$G226*INDEX([1]ratio_ins!$D:$D,MATCH('001_population_health_zone_zs'!$B226,[1]ratio_ins!$B:$B,0))</f>
        <v>1012.0731599999999</v>
      </c>
      <c r="AY226" s="14">
        <f t="shared" si="19"/>
        <v>48193.960000000006</v>
      </c>
      <c r="AZ226" s="15">
        <f t="shared" si="20"/>
        <v>94870.000000000015</v>
      </c>
      <c r="BA226" s="16">
        <v>92273.137689080162</v>
      </c>
      <c r="BB226" s="10">
        <f t="shared" si="21"/>
        <v>20482.433000000005</v>
      </c>
      <c r="BC226" s="17">
        <f t="shared" si="22"/>
        <v>0.21590000000000004</v>
      </c>
      <c r="BD226" s="10">
        <f t="shared" si="23"/>
        <v>19463.90868</v>
      </c>
    </row>
    <row r="227" spans="1:56" x14ac:dyDescent="0.25">
      <c r="A227" s="8" t="s">
        <v>556</v>
      </c>
      <c r="B227" s="8" t="s">
        <v>557</v>
      </c>
      <c r="C227" s="8" t="s">
        <v>566</v>
      </c>
      <c r="D227" s="8" t="s">
        <v>567</v>
      </c>
      <c r="E227" s="8" t="s">
        <v>566</v>
      </c>
      <c r="F227" s="8" t="s">
        <v>570</v>
      </c>
      <c r="G227" s="9">
        <v>171490</v>
      </c>
      <c r="H227" s="10">
        <f>INDEX([1]ratio_ins!F:F,MATCH('001_population_health_zone_zs'!$B$2,[1]ratio_ins!$B:$B,0))*$G227*INDEX([1]ratio_ins!$C:$C,MATCH('001_population_health_zone_zs'!$B227,[1]ratio_ins!$B:$B,0))</f>
        <v>17633.973719999998</v>
      </c>
      <c r="I227" s="10">
        <f>INDEX([1]ratio_ins!G:G,MATCH('001_population_health_zone_zs'!$B$2,[1]ratio_ins!$B:$B,0))*$G227*INDEX([1]ratio_ins!$C:$C,MATCH('001_population_health_zone_zs'!$B227,[1]ratio_ins!$B:$B,0))</f>
        <v>14427.796680000001</v>
      </c>
      <c r="J227" s="10">
        <f>INDEX([1]ratio_ins!H:H,MATCH('001_population_health_zone_zs'!$B$2,[1]ratio_ins!$B:$B,0))*$G227*INDEX([1]ratio_ins!$C:$C,MATCH('001_population_health_zone_zs'!$B227,[1]ratio_ins!$B:$B,0))</f>
        <v>11390.365800000001</v>
      </c>
      <c r="K227" s="10">
        <f>INDEX([1]ratio_ins!I:I,MATCH('001_population_health_zone_zs'!$B$2,[1]ratio_ins!$B:$B,0))*$G227*INDEX([1]ratio_ins!$C:$C,MATCH('001_population_health_zone_zs'!$B227,[1]ratio_ins!$B:$B,0))</f>
        <v>7002.9656400000003</v>
      </c>
      <c r="L227" s="10">
        <f>INDEX([1]ratio_ins!J:J,MATCH('001_population_health_zone_zs'!$B$2,[1]ratio_ins!$B:$B,0))*$G227*INDEX([1]ratio_ins!$C:$C,MATCH('001_population_health_zone_zs'!$B227,[1]ratio_ins!$B:$B,0))</f>
        <v>4201.7793840000004</v>
      </c>
      <c r="M227" s="11">
        <f>INDEX([1]ratio_ins!K:K,MATCH('001_population_health_zone_zs'!$B$2,[1]ratio_ins!$B:$B,0))*$G227*INDEX([1]ratio_ins!$C:$C,MATCH('001_population_health_zone_zs'!$B227,[1]ratio_ins!$B:$B,0))</f>
        <v>47653.915584000002</v>
      </c>
      <c r="N227" s="10">
        <f>INDEX([1]ratio_ins!L:L,MATCH('001_population_health_zone_zs'!$B$2,[1]ratio_ins!$B:$B,0))*$G227*INDEX([1]ratio_ins!$C:$C,MATCH('001_population_health_zone_zs'!$B227,[1]ratio_ins!$B:$B,0))</f>
        <v>2801.1862560000004</v>
      </c>
      <c r="O227" s="10">
        <f>INDEX([1]ratio_ins!M:M,MATCH('001_population_health_zone_zs'!$B$2,[1]ratio_ins!$B:$B,0))*$G227*INDEX([1]ratio_ins!$C:$C,MATCH('001_population_health_zone_zs'!$B227,[1]ratio_ins!$B:$B,0))</f>
        <v>6074.8617600000007</v>
      </c>
      <c r="P227" s="10">
        <f>INDEX([1]ratio_ins!N:N,MATCH('001_population_health_zone_zs'!$B$2,[1]ratio_ins!$B:$B,0))*$G227*INDEX([1]ratio_ins!$C:$C,MATCH('001_population_health_zone_zs'!$B227,[1]ratio_ins!$B:$B,0))</f>
        <v>5484.2502000000004</v>
      </c>
      <c r="Q227" s="10">
        <f>INDEX([1]ratio_ins!O:O,MATCH('001_population_health_zone_zs'!$B$2,[1]ratio_ins!$B:$B,0))*$G227*INDEX([1]ratio_ins!$C:$C,MATCH('001_population_health_zone_zs'!$B227,[1]ratio_ins!$B:$B,0))</f>
        <v>4893.6386400000001</v>
      </c>
      <c r="R227" s="10">
        <f>INDEX([1]ratio_ins!P:P,MATCH('001_population_health_zone_zs'!$B$2,[1]ratio_ins!$B:$B,0))*$G227*INDEX([1]ratio_ins!$C:$C,MATCH('001_population_health_zone_zs'!$B227,[1]ratio_ins!$B:$B,0))</f>
        <v>4809.2655600000007</v>
      </c>
      <c r="S227" s="10">
        <f>INDEX([1]ratio_ins!Q:Q,MATCH('001_population_health_zone_zs'!$B$2,[1]ratio_ins!$B:$B,0))*$G227*INDEX([1]ratio_ins!$C:$C,MATCH('001_population_health_zone_zs'!$B227,[1]ratio_ins!$B:$B,0))</f>
        <v>4049.9078400000008</v>
      </c>
      <c r="T227" s="10">
        <f>INDEX([1]ratio_ins!R:R,MATCH('001_population_health_zone_zs'!$B$2,[1]ratio_ins!$B:$B,0))*$G227*INDEX([1]ratio_ins!$C:$C,MATCH('001_population_health_zone_zs'!$B227,[1]ratio_ins!$B:$B,0))</f>
        <v>2868.6847200000007</v>
      </c>
      <c r="U227" s="10">
        <f>INDEX([1]ratio_ins!S:S,MATCH('001_population_health_zone_zs'!$B$2,[1]ratio_ins!$B:$B,0))*$G227*INDEX([1]ratio_ins!$C:$C,MATCH('001_population_health_zone_zs'!$B227,[1]ratio_ins!$B:$B,0))</f>
        <v>2278.0731600000004</v>
      </c>
      <c r="V227" s="10">
        <f>INDEX([1]ratio_ins!T:T,MATCH('001_population_health_zone_zs'!$B$2,[1]ratio_ins!$B:$B,0))*$G227*INDEX([1]ratio_ins!$C:$C,MATCH('001_population_health_zone_zs'!$B227,[1]ratio_ins!$B:$B,0))</f>
        <v>1265.5962000000002</v>
      </c>
      <c r="W227" s="11">
        <f>INDEX([1]ratio_ins!U:U,MATCH('001_population_health_zone_zs'!$B$2,[1]ratio_ins!$B:$B,0))*$G227*INDEX([1]ratio_ins!$C:$C,MATCH('001_population_health_zone_zs'!$B227,[1]ratio_ins!$B:$B,0))</f>
        <v>34525.464336000005</v>
      </c>
      <c r="X227" s="10">
        <f>INDEX([1]ratio_ins!V:V,MATCH('001_population_health_zone_zs'!$B$2,[1]ratio_ins!$B:$B,0))*$G227*INDEX([1]ratio_ins!$C:$C,MATCH('001_population_health_zone_zs'!$B227,[1]ratio_ins!$B:$B,0))</f>
        <v>1012.4769600000002</v>
      </c>
      <c r="Y227" s="10">
        <f>INDEX([1]ratio_ins!W:W,MATCH('001_population_health_zone_zs'!$B$2,[1]ratio_ins!$B:$B,0))*$G227*INDEX([1]ratio_ins!$C:$C,MATCH('001_population_health_zone_zs'!$B227,[1]ratio_ins!$B:$B,0))</f>
        <v>674.98464000000013</v>
      </c>
      <c r="Z227" s="10">
        <f>INDEX([1]ratio_ins!X:X,MATCH('001_population_health_zone_zs'!$B$2,[1]ratio_ins!$B:$B,0))*$G227*INDEX([1]ratio_ins!$C:$C,MATCH('001_population_health_zone_zs'!$B227,[1]ratio_ins!$B:$B,0))</f>
        <v>337.49232000000006</v>
      </c>
      <c r="AA227" s="10">
        <f>INDEX([1]ratio_ins!Y:Y,MATCH('001_population_health_zone_zs'!$B$2,[1]ratio_ins!$B:$B,0))*$G227*INDEX([1]ratio_ins!$C:$C,MATCH('001_population_health_zone_zs'!$B227,[1]ratio_ins!$B:$B,0))</f>
        <v>168.74616000000003</v>
      </c>
      <c r="AB227" s="11">
        <f>INDEX([1]ratio_ins!Z:Z,MATCH('001_population_health_zone_zs'!$B$2,[1]ratio_ins!$B:$B,0))*$G227*INDEX([1]ratio_ins!$C:$C,MATCH('001_population_health_zone_zs'!$B227,[1]ratio_ins!$B:$B,0))</f>
        <v>2193.7000800000005</v>
      </c>
      <c r="AC227" s="12">
        <f t="shared" si="18"/>
        <v>84373.08</v>
      </c>
      <c r="AD227" s="10">
        <f>INDEX([1]ratio_ins!AA:AA,MATCH('001_population_health_zone_zs'!$B$2,[1]ratio_ins!$B:$B,0))*$G227*INDEX([1]ratio_ins!$D:$D,MATCH('001_population_health_zone_zs'!$B227,[1]ratio_ins!$B:$B,0))</f>
        <v>18294.553200000002</v>
      </c>
      <c r="AE227" s="10">
        <f>INDEX([1]ratio_ins!AB:AB,MATCH('001_population_health_zone_zs'!$B$2,[1]ratio_ins!$B:$B,0))*$G227*INDEX([1]ratio_ins!$D:$D,MATCH('001_population_health_zone_zs'!$B227,[1]ratio_ins!$B:$B,0))</f>
        <v>15071.227160000002</v>
      </c>
      <c r="AF227" s="10">
        <f>INDEX([1]ratio_ins!AC:AC,MATCH('001_population_health_zone_zs'!$B$2,[1]ratio_ins!$B:$B,0))*$G227*INDEX([1]ratio_ins!$D:$D,MATCH('001_population_health_zone_zs'!$B227,[1]ratio_ins!$B:$B,0))</f>
        <v>11935.018039999999</v>
      </c>
      <c r="AG227" s="10">
        <f>INDEX([1]ratio_ins!AD:AD,MATCH('001_population_health_zone_zs'!$B$2,[1]ratio_ins!$B:$B,0))*$G227*INDEX([1]ratio_ins!$D:$D,MATCH('001_population_health_zone_zs'!$B227,[1]ratio_ins!$B:$B,0))</f>
        <v>7230.7043599999997</v>
      </c>
      <c r="AH227" s="10">
        <f>INDEX([1]ratio_ins!AE:AE,MATCH('001_population_health_zone_zs'!$B$2,[1]ratio_ins!$B:$B,0))*$G227*INDEX([1]ratio_ins!$D:$D,MATCH('001_population_health_zone_zs'!$B227,[1]ratio_ins!$B:$B,0))</f>
        <v>4338.4226159999998</v>
      </c>
      <c r="AI227" s="13">
        <f>INDEX([1]ratio_ins!AF:AF,MATCH('001_population_health_zone_zs'!$B$2,[1]ratio_ins!$B:$B,0))*$G227*INDEX([1]ratio_ins!$D:$D,MATCH('001_population_health_zone_zs'!$B227,[1]ratio_ins!$B:$B,0))</f>
        <v>49639.221015999996</v>
      </c>
      <c r="AJ227" s="10">
        <f>INDEX([1]ratio_ins!AG:AG,MATCH('001_population_health_zone_zs'!$B$2,[1]ratio_ins!$B:$B,0))*$G227*INDEX([1]ratio_ins!$D:$D,MATCH('001_population_health_zone_zs'!$B227,[1]ratio_ins!$B:$B,0))</f>
        <v>2892.2817439999999</v>
      </c>
      <c r="AK227" s="10">
        <f>INDEX([1]ratio_ins!AH:AH,MATCH('001_population_health_zone_zs'!$B$2,[1]ratio_ins!$B:$B,0))*$G227*INDEX([1]ratio_ins!$D:$D,MATCH('001_population_health_zone_zs'!$B227,[1]ratio_ins!$B:$B,0))</f>
        <v>6446.6520800000008</v>
      </c>
      <c r="AL227" s="10">
        <f>INDEX([1]ratio_ins!AI:AI,MATCH('001_population_health_zone_zs'!$B$2,[1]ratio_ins!$B:$B,0))*$G227*INDEX([1]ratio_ins!$D:$D,MATCH('001_population_health_zone_zs'!$B227,[1]ratio_ins!$B:$B,0))</f>
        <v>6098.184400000001</v>
      </c>
      <c r="AM227" s="10">
        <f>INDEX([1]ratio_ins!AJ:AJ,MATCH('001_population_health_zone_zs'!$B$2,[1]ratio_ins!$B:$B,0))*$G227*INDEX([1]ratio_ins!$D:$D,MATCH('001_population_health_zone_zs'!$B227,[1]ratio_ins!$B:$B,0))</f>
        <v>5575.4828800000005</v>
      </c>
      <c r="AN227" s="10">
        <f>INDEX([1]ratio_ins!AK:AK,MATCH('001_population_health_zone_zs'!$B$2,[1]ratio_ins!$B:$B,0))*$G227*INDEX([1]ratio_ins!$D:$D,MATCH('001_population_health_zone_zs'!$B227,[1]ratio_ins!$B:$B,0))</f>
        <v>5227.0151999999998</v>
      </c>
      <c r="AO227" s="10">
        <f>INDEX([1]ratio_ins!AL:AL,MATCH('001_population_health_zone_zs'!$B$2,[1]ratio_ins!$B:$B,0))*$G227*INDEX([1]ratio_ins!$D:$D,MATCH('001_population_health_zone_zs'!$B227,[1]ratio_ins!$B:$B,0))</f>
        <v>3920.2613999999999</v>
      </c>
      <c r="AP227" s="10">
        <f>INDEX([1]ratio_ins!AM:AM,MATCH('001_population_health_zone_zs'!$B$2,[1]ratio_ins!$B:$B,0))*$G227*INDEX([1]ratio_ins!$D:$D,MATCH('001_population_health_zone_zs'!$B227,[1]ratio_ins!$B:$B,0))</f>
        <v>2526.39068</v>
      </c>
      <c r="AQ227" s="10">
        <f>INDEX([1]ratio_ins!AN:AN,MATCH('001_population_health_zone_zs'!$B$2,[1]ratio_ins!$B:$B,0))*$G227*INDEX([1]ratio_ins!$D:$D,MATCH('001_population_health_zone_zs'!$B227,[1]ratio_ins!$B:$B,0))</f>
        <v>2003.6891600000001</v>
      </c>
      <c r="AR227" s="10">
        <f>INDEX([1]ratio_ins!AO:AO,MATCH('001_population_health_zone_zs'!$B$2,[1]ratio_ins!$B:$B,0))*$G227*INDEX([1]ratio_ins!$D:$D,MATCH('001_population_health_zone_zs'!$B227,[1]ratio_ins!$B:$B,0))</f>
        <v>958.2861200000001</v>
      </c>
      <c r="AS227" s="13">
        <f>INDEX([1]ratio_ins!AP:AP,MATCH('001_population_health_zone_zs'!$B$2,[1]ratio_ins!$B:$B,0))*$G227*INDEX([1]ratio_ins!$D:$D,MATCH('001_population_health_zone_zs'!$B227,[1]ratio_ins!$B:$B,0))</f>
        <v>35648.243664000001</v>
      </c>
      <c r="AT227" s="10">
        <f>INDEX([1]ratio_ins!AQ:AQ,MATCH('001_population_health_zone_zs'!$B$2,[1]ratio_ins!$B:$B,0))*$G227*INDEX([1]ratio_ins!$D:$D,MATCH('001_population_health_zone_zs'!$B227,[1]ratio_ins!$B:$B,0))</f>
        <v>871.16920000000005</v>
      </c>
      <c r="AU227" s="10">
        <f>INDEX([1]ratio_ins!AR:AR,MATCH('001_population_health_zone_zs'!$B$2,[1]ratio_ins!$B:$B,0))*$G227*INDEX([1]ratio_ins!$D:$D,MATCH('001_population_health_zone_zs'!$B227,[1]ratio_ins!$B:$B,0))</f>
        <v>522.70152000000007</v>
      </c>
      <c r="AV227" s="10">
        <f>INDEX([1]ratio_ins!AS:AS,MATCH('001_population_health_zone_zs'!$B$2,[1]ratio_ins!$B:$B,0))*$G227*INDEX([1]ratio_ins!$D:$D,MATCH('001_population_health_zone_zs'!$B227,[1]ratio_ins!$B:$B,0))</f>
        <v>261.35076000000004</v>
      </c>
      <c r="AW227" s="10">
        <f>INDEX([1]ratio_ins!AT:AT,MATCH('001_population_health_zone_zs'!$B$2,[1]ratio_ins!$B:$B,0))*$G227*INDEX([1]ratio_ins!$D:$D,MATCH('001_population_health_zone_zs'!$B227,[1]ratio_ins!$B:$B,0))</f>
        <v>174.23384000000001</v>
      </c>
      <c r="AX227" s="13">
        <f>INDEX([1]ratio_ins!AU:AU,MATCH('001_population_health_zone_zs'!$B$2,[1]ratio_ins!$B:$B,0))*$G227*INDEX([1]ratio_ins!$D:$D,MATCH('001_population_health_zone_zs'!$B227,[1]ratio_ins!$B:$B,0))</f>
        <v>1829.4553199999998</v>
      </c>
      <c r="AY227" s="14">
        <f t="shared" si="19"/>
        <v>87116.92</v>
      </c>
      <c r="AZ227" s="15">
        <f t="shared" si="20"/>
        <v>171490</v>
      </c>
      <c r="BA227" s="16">
        <v>166795.74964112748</v>
      </c>
      <c r="BB227" s="10">
        <f t="shared" si="21"/>
        <v>37024.690999999999</v>
      </c>
      <c r="BC227" s="17">
        <f t="shared" si="22"/>
        <v>0.21589999999999998</v>
      </c>
      <c r="BD227" s="10">
        <f t="shared" si="23"/>
        <v>35183.574360000006</v>
      </c>
    </row>
    <row r="228" spans="1:56" x14ac:dyDescent="0.25">
      <c r="A228" s="8" t="s">
        <v>556</v>
      </c>
      <c r="B228" s="8" t="s">
        <v>557</v>
      </c>
      <c r="C228" s="8" t="s">
        <v>571</v>
      </c>
      <c r="D228" s="8" t="s">
        <v>572</v>
      </c>
      <c r="E228" s="8" t="s">
        <v>573</v>
      </c>
      <c r="F228" s="8" t="s">
        <v>574</v>
      </c>
      <c r="G228" s="9">
        <v>176098</v>
      </c>
      <c r="H228" s="10">
        <f>INDEX([1]ratio_ins!F:F,MATCH('001_population_health_zone_zs'!$B$2,[1]ratio_ins!$B:$B,0))*$G228*INDEX([1]ratio_ins!$C:$C,MATCH('001_population_health_zone_zs'!$B228,[1]ratio_ins!$B:$B,0))</f>
        <v>18107.805144000002</v>
      </c>
      <c r="I228" s="10">
        <f>INDEX([1]ratio_ins!G:G,MATCH('001_population_health_zone_zs'!$B$2,[1]ratio_ins!$B:$B,0))*$G228*INDEX([1]ratio_ins!$C:$C,MATCH('001_population_health_zone_zs'!$B228,[1]ratio_ins!$B:$B,0))</f>
        <v>14815.476936000003</v>
      </c>
      <c r="J228" s="10">
        <f>INDEX([1]ratio_ins!H:H,MATCH('001_population_health_zone_zs'!$B$2,[1]ratio_ins!$B:$B,0))*$G228*INDEX([1]ratio_ins!$C:$C,MATCH('001_population_health_zone_zs'!$B228,[1]ratio_ins!$B:$B,0))</f>
        <v>11696.429160000003</v>
      </c>
      <c r="K228" s="10">
        <f>INDEX([1]ratio_ins!I:I,MATCH('001_population_health_zone_zs'!$B$2,[1]ratio_ins!$B:$B,0))*$G228*INDEX([1]ratio_ins!$C:$C,MATCH('001_population_health_zone_zs'!$B228,[1]ratio_ins!$B:$B,0))</f>
        <v>7191.137928000001</v>
      </c>
      <c r="L228" s="10">
        <f>INDEX([1]ratio_ins!J:J,MATCH('001_population_health_zone_zs'!$B$2,[1]ratio_ins!$B:$B,0))*$G228*INDEX([1]ratio_ins!$C:$C,MATCH('001_population_health_zone_zs'!$B228,[1]ratio_ins!$B:$B,0))</f>
        <v>4314.6827567999999</v>
      </c>
      <c r="M228" s="11">
        <f>INDEX([1]ratio_ins!K:K,MATCH('001_population_health_zone_zs'!$B$2,[1]ratio_ins!$B:$B,0))*$G228*INDEX([1]ratio_ins!$C:$C,MATCH('001_population_health_zone_zs'!$B228,[1]ratio_ins!$B:$B,0))</f>
        <v>48934.393996800005</v>
      </c>
      <c r="N228" s="10">
        <f>INDEX([1]ratio_ins!L:L,MATCH('001_population_health_zone_zs'!$B$2,[1]ratio_ins!$B:$B,0))*$G228*INDEX([1]ratio_ins!$C:$C,MATCH('001_population_health_zone_zs'!$B228,[1]ratio_ins!$B:$B,0))</f>
        <v>2876.4551712000002</v>
      </c>
      <c r="O228" s="10">
        <f>INDEX([1]ratio_ins!M:M,MATCH('001_population_health_zone_zs'!$B$2,[1]ratio_ins!$B:$B,0))*$G228*INDEX([1]ratio_ins!$C:$C,MATCH('001_population_health_zone_zs'!$B228,[1]ratio_ins!$B:$B,0))</f>
        <v>6238.0955520000016</v>
      </c>
      <c r="P228" s="10">
        <f>INDEX([1]ratio_ins!N:N,MATCH('001_population_health_zone_zs'!$B$2,[1]ratio_ins!$B:$B,0))*$G228*INDEX([1]ratio_ins!$C:$C,MATCH('001_population_health_zone_zs'!$B228,[1]ratio_ins!$B:$B,0))</f>
        <v>5631.6140400000013</v>
      </c>
      <c r="Q228" s="10">
        <f>INDEX([1]ratio_ins!O:O,MATCH('001_population_health_zone_zs'!$B$2,[1]ratio_ins!$B:$B,0))*$G228*INDEX([1]ratio_ins!$C:$C,MATCH('001_population_health_zone_zs'!$B228,[1]ratio_ins!$B:$B,0))</f>
        <v>5025.1325280000001</v>
      </c>
      <c r="R228" s="10">
        <f>INDEX([1]ratio_ins!P:P,MATCH('001_population_health_zone_zs'!$B$2,[1]ratio_ins!$B:$B,0))*$G228*INDEX([1]ratio_ins!$C:$C,MATCH('001_population_health_zone_zs'!$B228,[1]ratio_ins!$B:$B,0))</f>
        <v>4938.4923120000012</v>
      </c>
      <c r="S228" s="10">
        <f>INDEX([1]ratio_ins!Q:Q,MATCH('001_population_health_zone_zs'!$B$2,[1]ratio_ins!$B:$B,0))*$G228*INDEX([1]ratio_ins!$C:$C,MATCH('001_population_health_zone_zs'!$B228,[1]ratio_ins!$B:$B,0))</f>
        <v>4158.7303680000005</v>
      </c>
      <c r="T228" s="10">
        <f>INDEX([1]ratio_ins!R:R,MATCH('001_population_health_zone_zs'!$B$2,[1]ratio_ins!$B:$B,0))*$G228*INDEX([1]ratio_ins!$C:$C,MATCH('001_population_health_zone_zs'!$B228,[1]ratio_ins!$B:$B,0))</f>
        <v>2945.7673440000003</v>
      </c>
      <c r="U228" s="10">
        <f>INDEX([1]ratio_ins!S:S,MATCH('001_population_health_zone_zs'!$B$2,[1]ratio_ins!$B:$B,0))*$G228*INDEX([1]ratio_ins!$C:$C,MATCH('001_population_health_zone_zs'!$B228,[1]ratio_ins!$B:$B,0))</f>
        <v>2339.2858320000005</v>
      </c>
      <c r="V228" s="10">
        <f>INDEX([1]ratio_ins!T:T,MATCH('001_population_health_zone_zs'!$B$2,[1]ratio_ins!$B:$B,0))*$G228*INDEX([1]ratio_ins!$C:$C,MATCH('001_population_health_zone_zs'!$B228,[1]ratio_ins!$B:$B,0))</f>
        <v>1299.6032400000001</v>
      </c>
      <c r="W228" s="11">
        <f>INDEX([1]ratio_ins!U:U,MATCH('001_population_health_zone_zs'!$B$2,[1]ratio_ins!$B:$B,0))*$G228*INDEX([1]ratio_ins!$C:$C,MATCH('001_population_health_zone_zs'!$B228,[1]ratio_ins!$B:$B,0))</f>
        <v>35453.176387200008</v>
      </c>
      <c r="X228" s="10">
        <f>INDEX([1]ratio_ins!V:V,MATCH('001_population_health_zone_zs'!$B$2,[1]ratio_ins!$B:$B,0))*$G228*INDEX([1]ratio_ins!$C:$C,MATCH('001_population_health_zone_zs'!$B228,[1]ratio_ins!$B:$B,0))</f>
        <v>1039.6825920000001</v>
      </c>
      <c r="Y228" s="10">
        <f>INDEX([1]ratio_ins!W:W,MATCH('001_population_health_zone_zs'!$B$2,[1]ratio_ins!$B:$B,0))*$G228*INDEX([1]ratio_ins!$C:$C,MATCH('001_population_health_zone_zs'!$B228,[1]ratio_ins!$B:$B,0))</f>
        <v>693.12172800000008</v>
      </c>
      <c r="Z228" s="10">
        <f>INDEX([1]ratio_ins!X:X,MATCH('001_population_health_zone_zs'!$B$2,[1]ratio_ins!$B:$B,0))*$G228*INDEX([1]ratio_ins!$C:$C,MATCH('001_population_health_zone_zs'!$B228,[1]ratio_ins!$B:$B,0))</f>
        <v>346.56086400000004</v>
      </c>
      <c r="AA228" s="10">
        <f>INDEX([1]ratio_ins!Y:Y,MATCH('001_population_health_zone_zs'!$B$2,[1]ratio_ins!$B:$B,0))*$G228*INDEX([1]ratio_ins!$C:$C,MATCH('001_population_health_zone_zs'!$B228,[1]ratio_ins!$B:$B,0))</f>
        <v>173.28043200000002</v>
      </c>
      <c r="AB228" s="11">
        <f>INDEX([1]ratio_ins!Z:Z,MATCH('001_population_health_zone_zs'!$B$2,[1]ratio_ins!$B:$B,0))*$G228*INDEX([1]ratio_ins!$C:$C,MATCH('001_population_health_zone_zs'!$B228,[1]ratio_ins!$B:$B,0))</f>
        <v>2252.6456160000007</v>
      </c>
      <c r="AC228" s="12">
        <f t="shared" si="18"/>
        <v>86640.216000000015</v>
      </c>
      <c r="AD228" s="10">
        <f>INDEX([1]ratio_ins!AA:AA,MATCH('001_population_health_zone_zs'!$B$2,[1]ratio_ins!$B:$B,0))*$G228*INDEX([1]ratio_ins!$D:$D,MATCH('001_population_health_zone_zs'!$B228,[1]ratio_ins!$B:$B,0))</f>
        <v>18786.13464</v>
      </c>
      <c r="AE228" s="10">
        <f>INDEX([1]ratio_ins!AB:AB,MATCH('001_population_health_zone_zs'!$B$2,[1]ratio_ins!$B:$B,0))*$G228*INDEX([1]ratio_ins!$D:$D,MATCH('001_population_health_zone_zs'!$B228,[1]ratio_ins!$B:$B,0))</f>
        <v>15476.196632000001</v>
      </c>
      <c r="AF228" s="10">
        <f>INDEX([1]ratio_ins!AC:AC,MATCH('001_population_health_zone_zs'!$B$2,[1]ratio_ins!$B:$B,0))*$G228*INDEX([1]ratio_ins!$D:$D,MATCH('001_population_health_zone_zs'!$B228,[1]ratio_ins!$B:$B,0))</f>
        <v>12255.716407999998</v>
      </c>
      <c r="AG228" s="10">
        <f>INDEX([1]ratio_ins!AD:AD,MATCH('001_population_health_zone_zs'!$B$2,[1]ratio_ins!$B:$B,0))*$G228*INDEX([1]ratio_ins!$D:$D,MATCH('001_population_health_zone_zs'!$B228,[1]ratio_ins!$B:$B,0))</f>
        <v>7424.9960719999999</v>
      </c>
      <c r="AH228" s="10">
        <f>INDEX([1]ratio_ins!AE:AE,MATCH('001_population_health_zone_zs'!$B$2,[1]ratio_ins!$B:$B,0))*$G228*INDEX([1]ratio_ins!$D:$D,MATCH('001_population_health_zone_zs'!$B228,[1]ratio_ins!$B:$B,0))</f>
        <v>4454.9976431999994</v>
      </c>
      <c r="AI228" s="13">
        <f>INDEX([1]ratio_ins!AF:AF,MATCH('001_population_health_zone_zs'!$B$2,[1]ratio_ins!$B:$B,0))*$G228*INDEX([1]ratio_ins!$D:$D,MATCH('001_population_health_zone_zs'!$B228,[1]ratio_ins!$B:$B,0))</f>
        <v>50973.045323199993</v>
      </c>
      <c r="AJ228" s="10">
        <f>INDEX([1]ratio_ins!AG:AG,MATCH('001_population_health_zone_zs'!$B$2,[1]ratio_ins!$B:$B,0))*$G228*INDEX([1]ratio_ins!$D:$D,MATCH('001_population_health_zone_zs'!$B228,[1]ratio_ins!$B:$B,0))</f>
        <v>2969.9984288000001</v>
      </c>
      <c r="AK228" s="10">
        <f>INDEX([1]ratio_ins!AH:AH,MATCH('001_population_health_zone_zs'!$B$2,[1]ratio_ins!$B:$B,0))*$G228*INDEX([1]ratio_ins!$D:$D,MATCH('001_population_health_zone_zs'!$B228,[1]ratio_ins!$B:$B,0))</f>
        <v>6619.8760160000011</v>
      </c>
      <c r="AL228" s="10">
        <f>INDEX([1]ratio_ins!AI:AI,MATCH('001_population_health_zone_zs'!$B$2,[1]ratio_ins!$B:$B,0))*$G228*INDEX([1]ratio_ins!$D:$D,MATCH('001_population_health_zone_zs'!$B228,[1]ratio_ins!$B:$B,0))</f>
        <v>6262.0448800000004</v>
      </c>
      <c r="AM228" s="10">
        <f>INDEX([1]ratio_ins!AJ:AJ,MATCH('001_population_health_zone_zs'!$B$2,[1]ratio_ins!$B:$B,0))*$G228*INDEX([1]ratio_ins!$D:$D,MATCH('001_population_health_zone_zs'!$B228,[1]ratio_ins!$B:$B,0))</f>
        <v>5725.2981760000002</v>
      </c>
      <c r="AN228" s="10">
        <f>INDEX([1]ratio_ins!AK:AK,MATCH('001_population_health_zone_zs'!$B$2,[1]ratio_ins!$B:$B,0))*$G228*INDEX([1]ratio_ins!$D:$D,MATCH('001_population_health_zone_zs'!$B228,[1]ratio_ins!$B:$B,0))</f>
        <v>5367.4670399999995</v>
      </c>
      <c r="AO228" s="10">
        <f>INDEX([1]ratio_ins!AL:AL,MATCH('001_population_health_zone_zs'!$B$2,[1]ratio_ins!$B:$B,0))*$G228*INDEX([1]ratio_ins!$D:$D,MATCH('001_population_health_zone_zs'!$B228,[1]ratio_ins!$B:$B,0))</f>
        <v>4025.6002800000001</v>
      </c>
      <c r="AP228" s="10">
        <f>INDEX([1]ratio_ins!AM:AM,MATCH('001_population_health_zone_zs'!$B$2,[1]ratio_ins!$B:$B,0))*$G228*INDEX([1]ratio_ins!$D:$D,MATCH('001_population_health_zone_zs'!$B228,[1]ratio_ins!$B:$B,0))</f>
        <v>2594.2757360000001</v>
      </c>
      <c r="AQ228" s="10">
        <f>INDEX([1]ratio_ins!AN:AN,MATCH('001_population_health_zone_zs'!$B$2,[1]ratio_ins!$B:$B,0))*$G228*INDEX([1]ratio_ins!$D:$D,MATCH('001_population_health_zone_zs'!$B228,[1]ratio_ins!$B:$B,0))</f>
        <v>2057.5290319999999</v>
      </c>
      <c r="AR228" s="10">
        <f>INDEX([1]ratio_ins!AO:AO,MATCH('001_population_health_zone_zs'!$B$2,[1]ratio_ins!$B:$B,0))*$G228*INDEX([1]ratio_ins!$D:$D,MATCH('001_population_health_zone_zs'!$B228,[1]ratio_ins!$B:$B,0))</f>
        <v>984.0356240000001</v>
      </c>
      <c r="AS228" s="13">
        <f>INDEX([1]ratio_ins!AP:AP,MATCH('001_population_health_zone_zs'!$B$2,[1]ratio_ins!$B:$B,0))*$G228*INDEX([1]ratio_ins!$D:$D,MATCH('001_population_health_zone_zs'!$B228,[1]ratio_ins!$B:$B,0))</f>
        <v>36606.125212800005</v>
      </c>
      <c r="AT228" s="10">
        <f>INDEX([1]ratio_ins!AQ:AQ,MATCH('001_population_health_zone_zs'!$B$2,[1]ratio_ins!$B:$B,0))*$G228*INDEX([1]ratio_ins!$D:$D,MATCH('001_population_health_zone_zs'!$B228,[1]ratio_ins!$B:$B,0))</f>
        <v>894.57784000000004</v>
      </c>
      <c r="AU228" s="10">
        <f>INDEX([1]ratio_ins!AR:AR,MATCH('001_population_health_zone_zs'!$B$2,[1]ratio_ins!$B:$B,0))*$G228*INDEX([1]ratio_ins!$D:$D,MATCH('001_population_health_zone_zs'!$B228,[1]ratio_ins!$B:$B,0))</f>
        <v>536.74670400000002</v>
      </c>
      <c r="AV228" s="10">
        <f>INDEX([1]ratio_ins!AS:AS,MATCH('001_population_health_zone_zs'!$B$2,[1]ratio_ins!$B:$B,0))*$G228*INDEX([1]ratio_ins!$D:$D,MATCH('001_population_health_zone_zs'!$B228,[1]ratio_ins!$B:$B,0))</f>
        <v>268.37335200000001</v>
      </c>
      <c r="AW228" s="10">
        <f>INDEX([1]ratio_ins!AT:AT,MATCH('001_population_health_zone_zs'!$B$2,[1]ratio_ins!$B:$B,0))*$G228*INDEX([1]ratio_ins!$D:$D,MATCH('001_population_health_zone_zs'!$B228,[1]ratio_ins!$B:$B,0))</f>
        <v>178.91556800000001</v>
      </c>
      <c r="AX228" s="13">
        <f>INDEX([1]ratio_ins!AU:AU,MATCH('001_population_health_zone_zs'!$B$2,[1]ratio_ins!$B:$B,0))*$G228*INDEX([1]ratio_ins!$D:$D,MATCH('001_population_health_zone_zs'!$B228,[1]ratio_ins!$B:$B,0))</f>
        <v>1878.6134639999998</v>
      </c>
      <c r="AY228" s="14">
        <f t="shared" si="19"/>
        <v>89457.783999999985</v>
      </c>
      <c r="AZ228" s="15">
        <f t="shared" si="20"/>
        <v>176098</v>
      </c>
      <c r="BA228" s="16">
        <v>171278.13330848631</v>
      </c>
      <c r="BB228" s="10">
        <f t="shared" si="21"/>
        <v>38019.558200000007</v>
      </c>
      <c r="BC228" s="17">
        <f t="shared" si="22"/>
        <v>0.21590000000000004</v>
      </c>
      <c r="BD228" s="10">
        <f t="shared" si="23"/>
        <v>36128.970072000004</v>
      </c>
    </row>
    <row r="229" spans="1:56" x14ac:dyDescent="0.25">
      <c r="A229" s="8" t="s">
        <v>556</v>
      </c>
      <c r="B229" s="8" t="s">
        <v>557</v>
      </c>
      <c r="C229" s="8" t="s">
        <v>571</v>
      </c>
      <c r="D229" s="8" t="s">
        <v>572</v>
      </c>
      <c r="E229" s="8" t="s">
        <v>571</v>
      </c>
      <c r="F229" s="8" t="s">
        <v>575</v>
      </c>
      <c r="G229" s="9">
        <v>157569</v>
      </c>
      <c r="H229" s="10">
        <f>INDEX([1]ratio_ins!F:F,MATCH('001_population_health_zone_zs'!$B$2,[1]ratio_ins!$B:$B,0))*$G229*INDEX([1]ratio_ins!$C:$C,MATCH('001_population_health_zone_zs'!$B229,[1]ratio_ins!$B:$B,0))</f>
        <v>16202.505132000002</v>
      </c>
      <c r="I229" s="10">
        <f>INDEX([1]ratio_ins!G:G,MATCH('001_population_health_zone_zs'!$B$2,[1]ratio_ins!$B:$B,0))*$G229*INDEX([1]ratio_ins!$C:$C,MATCH('001_population_health_zone_zs'!$B229,[1]ratio_ins!$B:$B,0))</f>
        <v>13256.595108000003</v>
      </c>
      <c r="J229" s="10">
        <f>INDEX([1]ratio_ins!H:H,MATCH('001_population_health_zone_zs'!$B$2,[1]ratio_ins!$B:$B,0))*$G229*INDEX([1]ratio_ins!$C:$C,MATCH('001_population_health_zone_zs'!$B229,[1]ratio_ins!$B:$B,0))</f>
        <v>10465.732980000002</v>
      </c>
      <c r="K229" s="10">
        <f>INDEX([1]ratio_ins!I:I,MATCH('001_population_health_zone_zs'!$B$2,[1]ratio_ins!$B:$B,0))*$G229*INDEX([1]ratio_ins!$C:$C,MATCH('001_population_health_zone_zs'!$B229,[1]ratio_ins!$B:$B,0))</f>
        <v>6434.4876840000006</v>
      </c>
      <c r="L229" s="10">
        <f>INDEX([1]ratio_ins!J:J,MATCH('001_population_health_zone_zs'!$B$2,[1]ratio_ins!$B:$B,0))*$G229*INDEX([1]ratio_ins!$C:$C,MATCH('001_population_health_zone_zs'!$B229,[1]ratio_ins!$B:$B,0))</f>
        <v>3860.6926103999999</v>
      </c>
      <c r="M229" s="11">
        <f>INDEX([1]ratio_ins!K:K,MATCH('001_population_health_zone_zs'!$B$2,[1]ratio_ins!$B:$B,0))*$G229*INDEX([1]ratio_ins!$C:$C,MATCH('001_population_health_zone_zs'!$B229,[1]ratio_ins!$B:$B,0))</f>
        <v>43785.525830400002</v>
      </c>
      <c r="N229" s="10">
        <f>INDEX([1]ratio_ins!L:L,MATCH('001_population_health_zone_zs'!$B$2,[1]ratio_ins!$B:$B,0))*$G229*INDEX([1]ratio_ins!$C:$C,MATCH('001_population_health_zone_zs'!$B229,[1]ratio_ins!$B:$B,0))</f>
        <v>2573.7950736000003</v>
      </c>
      <c r="O229" s="10">
        <f>INDEX([1]ratio_ins!M:M,MATCH('001_population_health_zone_zs'!$B$2,[1]ratio_ins!$B:$B,0))*$G229*INDEX([1]ratio_ins!$C:$C,MATCH('001_population_health_zone_zs'!$B229,[1]ratio_ins!$B:$B,0))</f>
        <v>5581.7242560000013</v>
      </c>
      <c r="P229" s="10">
        <f>INDEX([1]ratio_ins!N:N,MATCH('001_population_health_zone_zs'!$B$2,[1]ratio_ins!$B:$B,0))*$G229*INDEX([1]ratio_ins!$C:$C,MATCH('001_population_health_zone_zs'!$B229,[1]ratio_ins!$B:$B,0))</f>
        <v>5039.0566200000012</v>
      </c>
      <c r="Q229" s="10">
        <f>INDEX([1]ratio_ins!O:O,MATCH('001_population_health_zone_zs'!$B$2,[1]ratio_ins!$B:$B,0))*$G229*INDEX([1]ratio_ins!$C:$C,MATCH('001_population_health_zone_zs'!$B229,[1]ratio_ins!$B:$B,0))</f>
        <v>4496.3889840000002</v>
      </c>
      <c r="R229" s="10">
        <f>INDEX([1]ratio_ins!P:P,MATCH('001_population_health_zone_zs'!$B$2,[1]ratio_ins!$B:$B,0))*$G229*INDEX([1]ratio_ins!$C:$C,MATCH('001_population_health_zone_zs'!$B229,[1]ratio_ins!$B:$B,0))</f>
        <v>4418.8650360000011</v>
      </c>
      <c r="S229" s="10">
        <f>INDEX([1]ratio_ins!Q:Q,MATCH('001_population_health_zone_zs'!$B$2,[1]ratio_ins!$B:$B,0))*$G229*INDEX([1]ratio_ins!$C:$C,MATCH('001_population_health_zone_zs'!$B229,[1]ratio_ins!$B:$B,0))</f>
        <v>3721.1495040000004</v>
      </c>
      <c r="T229" s="10">
        <f>INDEX([1]ratio_ins!R:R,MATCH('001_population_health_zone_zs'!$B$2,[1]ratio_ins!$B:$B,0))*$G229*INDEX([1]ratio_ins!$C:$C,MATCH('001_population_health_zone_zs'!$B229,[1]ratio_ins!$B:$B,0))</f>
        <v>2635.8142320000006</v>
      </c>
      <c r="U229" s="10">
        <f>INDEX([1]ratio_ins!S:S,MATCH('001_population_health_zone_zs'!$B$2,[1]ratio_ins!$B:$B,0))*$G229*INDEX([1]ratio_ins!$C:$C,MATCH('001_population_health_zone_zs'!$B229,[1]ratio_ins!$B:$B,0))</f>
        <v>2093.1465960000005</v>
      </c>
      <c r="V229" s="10">
        <f>INDEX([1]ratio_ins!T:T,MATCH('001_population_health_zone_zs'!$B$2,[1]ratio_ins!$B:$B,0))*$G229*INDEX([1]ratio_ins!$C:$C,MATCH('001_population_health_zone_zs'!$B229,[1]ratio_ins!$B:$B,0))</f>
        <v>1162.8592200000001</v>
      </c>
      <c r="W229" s="11">
        <f>INDEX([1]ratio_ins!U:U,MATCH('001_population_health_zone_zs'!$B$2,[1]ratio_ins!$B:$B,0))*$G229*INDEX([1]ratio_ins!$C:$C,MATCH('001_population_health_zone_zs'!$B229,[1]ratio_ins!$B:$B,0))</f>
        <v>31722.799521600002</v>
      </c>
      <c r="X229" s="10">
        <f>INDEX([1]ratio_ins!V:V,MATCH('001_population_health_zone_zs'!$B$2,[1]ratio_ins!$B:$B,0))*$G229*INDEX([1]ratio_ins!$C:$C,MATCH('001_population_health_zone_zs'!$B229,[1]ratio_ins!$B:$B,0))</f>
        <v>930.28737600000011</v>
      </c>
      <c r="Y229" s="10">
        <f>INDEX([1]ratio_ins!W:W,MATCH('001_population_health_zone_zs'!$B$2,[1]ratio_ins!$B:$B,0))*$G229*INDEX([1]ratio_ins!$C:$C,MATCH('001_population_health_zone_zs'!$B229,[1]ratio_ins!$B:$B,0))</f>
        <v>620.19158400000015</v>
      </c>
      <c r="Z229" s="10">
        <f>INDEX([1]ratio_ins!X:X,MATCH('001_population_health_zone_zs'!$B$2,[1]ratio_ins!$B:$B,0))*$G229*INDEX([1]ratio_ins!$C:$C,MATCH('001_population_health_zone_zs'!$B229,[1]ratio_ins!$B:$B,0))</f>
        <v>310.09579200000007</v>
      </c>
      <c r="AA229" s="10">
        <f>INDEX([1]ratio_ins!Y:Y,MATCH('001_population_health_zone_zs'!$B$2,[1]ratio_ins!$B:$B,0))*$G229*INDEX([1]ratio_ins!$C:$C,MATCH('001_population_health_zone_zs'!$B229,[1]ratio_ins!$B:$B,0))</f>
        <v>155.04789600000004</v>
      </c>
      <c r="AB229" s="11">
        <f>INDEX([1]ratio_ins!Z:Z,MATCH('001_population_health_zone_zs'!$B$2,[1]ratio_ins!$B:$B,0))*$G229*INDEX([1]ratio_ins!$C:$C,MATCH('001_population_health_zone_zs'!$B229,[1]ratio_ins!$B:$B,0))</f>
        <v>2015.6226480000005</v>
      </c>
      <c r="AC229" s="12">
        <f t="shared" si="18"/>
        <v>77523.948000000004</v>
      </c>
      <c r="AD229" s="10">
        <f>INDEX([1]ratio_ins!AA:AA,MATCH('001_population_health_zone_zs'!$B$2,[1]ratio_ins!$B:$B,0))*$G229*INDEX([1]ratio_ins!$D:$D,MATCH('001_population_health_zone_zs'!$B229,[1]ratio_ins!$B:$B,0))</f>
        <v>16809.460919999998</v>
      </c>
      <c r="AE229" s="10">
        <f>INDEX([1]ratio_ins!AB:AB,MATCH('001_population_health_zone_zs'!$B$2,[1]ratio_ins!$B:$B,0))*$G229*INDEX([1]ratio_ins!$D:$D,MATCH('001_population_health_zone_zs'!$B229,[1]ratio_ins!$B:$B,0))</f>
        <v>13847.793996</v>
      </c>
      <c r="AF229" s="10">
        <f>INDEX([1]ratio_ins!AC:AC,MATCH('001_population_health_zone_zs'!$B$2,[1]ratio_ins!$B:$B,0))*$G229*INDEX([1]ratio_ins!$D:$D,MATCH('001_population_health_zone_zs'!$B229,[1]ratio_ins!$B:$B,0))</f>
        <v>10966.172123999999</v>
      </c>
      <c r="AG229" s="10">
        <f>INDEX([1]ratio_ins!AD:AD,MATCH('001_population_health_zone_zs'!$B$2,[1]ratio_ins!$B:$B,0))*$G229*INDEX([1]ratio_ins!$D:$D,MATCH('001_population_health_zone_zs'!$B229,[1]ratio_ins!$B:$B,0))</f>
        <v>6643.7393160000001</v>
      </c>
      <c r="AH229" s="10">
        <f>INDEX([1]ratio_ins!AE:AE,MATCH('001_population_health_zone_zs'!$B$2,[1]ratio_ins!$B:$B,0))*$G229*INDEX([1]ratio_ins!$D:$D,MATCH('001_population_health_zone_zs'!$B229,[1]ratio_ins!$B:$B,0))</f>
        <v>3986.2435895999997</v>
      </c>
      <c r="AI229" s="13">
        <f>INDEX([1]ratio_ins!AF:AF,MATCH('001_population_health_zone_zs'!$B$2,[1]ratio_ins!$B:$B,0))*$G229*INDEX([1]ratio_ins!$D:$D,MATCH('001_population_health_zone_zs'!$B229,[1]ratio_ins!$B:$B,0))</f>
        <v>45609.670629600005</v>
      </c>
      <c r="AJ229" s="10">
        <f>INDEX([1]ratio_ins!AG:AG,MATCH('001_population_health_zone_zs'!$B$2,[1]ratio_ins!$B:$B,0))*$G229*INDEX([1]ratio_ins!$D:$D,MATCH('001_population_health_zone_zs'!$B229,[1]ratio_ins!$B:$B,0))</f>
        <v>2657.4957264</v>
      </c>
      <c r="AK229" s="10">
        <f>INDEX([1]ratio_ins!AH:AH,MATCH('001_population_health_zone_zs'!$B$2,[1]ratio_ins!$B:$B,0))*$G229*INDEX([1]ratio_ins!$D:$D,MATCH('001_population_health_zone_zs'!$B229,[1]ratio_ins!$B:$B,0))</f>
        <v>5923.3338480000011</v>
      </c>
      <c r="AL229" s="10">
        <f>INDEX([1]ratio_ins!AI:AI,MATCH('001_population_health_zone_zs'!$B$2,[1]ratio_ins!$B:$B,0))*$G229*INDEX([1]ratio_ins!$D:$D,MATCH('001_population_health_zone_zs'!$B229,[1]ratio_ins!$B:$B,0))</f>
        <v>5603.1536400000014</v>
      </c>
      <c r="AM229" s="10">
        <f>INDEX([1]ratio_ins!AJ:AJ,MATCH('001_population_health_zone_zs'!$B$2,[1]ratio_ins!$B:$B,0))*$G229*INDEX([1]ratio_ins!$D:$D,MATCH('001_population_health_zone_zs'!$B229,[1]ratio_ins!$B:$B,0))</f>
        <v>5122.8833280000008</v>
      </c>
      <c r="AN229" s="10">
        <f>INDEX([1]ratio_ins!AK:AK,MATCH('001_population_health_zone_zs'!$B$2,[1]ratio_ins!$B:$B,0))*$G229*INDEX([1]ratio_ins!$D:$D,MATCH('001_population_health_zone_zs'!$B229,[1]ratio_ins!$B:$B,0))</f>
        <v>4802.7031200000001</v>
      </c>
      <c r="AO229" s="10">
        <f>INDEX([1]ratio_ins!AL:AL,MATCH('001_population_health_zone_zs'!$B$2,[1]ratio_ins!$B:$B,0))*$G229*INDEX([1]ratio_ins!$D:$D,MATCH('001_population_health_zone_zs'!$B229,[1]ratio_ins!$B:$B,0))</f>
        <v>3602.0273399999996</v>
      </c>
      <c r="AP229" s="10">
        <f>INDEX([1]ratio_ins!AM:AM,MATCH('001_population_health_zone_zs'!$B$2,[1]ratio_ins!$B:$B,0))*$G229*INDEX([1]ratio_ins!$D:$D,MATCH('001_population_health_zone_zs'!$B229,[1]ratio_ins!$B:$B,0))</f>
        <v>2321.3065079999997</v>
      </c>
      <c r="AQ229" s="10">
        <f>INDEX([1]ratio_ins!AN:AN,MATCH('001_population_health_zone_zs'!$B$2,[1]ratio_ins!$B:$B,0))*$G229*INDEX([1]ratio_ins!$D:$D,MATCH('001_population_health_zone_zs'!$B229,[1]ratio_ins!$B:$B,0))</f>
        <v>1841.036196</v>
      </c>
      <c r="AR229" s="10">
        <f>INDEX([1]ratio_ins!AO:AO,MATCH('001_population_health_zone_zs'!$B$2,[1]ratio_ins!$B:$B,0))*$G229*INDEX([1]ratio_ins!$D:$D,MATCH('001_population_health_zone_zs'!$B229,[1]ratio_ins!$B:$B,0))</f>
        <v>880.49557200000015</v>
      </c>
      <c r="AS229" s="13">
        <f>INDEX([1]ratio_ins!AP:AP,MATCH('001_population_health_zone_zs'!$B$2,[1]ratio_ins!$B:$B,0))*$G229*INDEX([1]ratio_ins!$D:$D,MATCH('001_population_health_zone_zs'!$B229,[1]ratio_ins!$B:$B,0))</f>
        <v>32754.4352784</v>
      </c>
      <c r="AT229" s="10">
        <f>INDEX([1]ratio_ins!AQ:AQ,MATCH('001_population_health_zone_zs'!$B$2,[1]ratio_ins!$B:$B,0))*$G229*INDEX([1]ratio_ins!$D:$D,MATCH('001_population_health_zone_zs'!$B229,[1]ratio_ins!$B:$B,0))</f>
        <v>800.45051999999998</v>
      </c>
      <c r="AU229" s="10">
        <f>INDEX([1]ratio_ins!AR:AR,MATCH('001_population_health_zone_zs'!$B$2,[1]ratio_ins!$B:$B,0))*$G229*INDEX([1]ratio_ins!$D:$D,MATCH('001_population_health_zone_zs'!$B229,[1]ratio_ins!$B:$B,0))</f>
        <v>480.27031199999999</v>
      </c>
      <c r="AV229" s="10">
        <f>INDEX([1]ratio_ins!AS:AS,MATCH('001_population_health_zone_zs'!$B$2,[1]ratio_ins!$B:$B,0))*$G229*INDEX([1]ratio_ins!$D:$D,MATCH('001_population_health_zone_zs'!$B229,[1]ratio_ins!$B:$B,0))</f>
        <v>240.13515599999999</v>
      </c>
      <c r="AW229" s="10">
        <f>INDEX([1]ratio_ins!AT:AT,MATCH('001_population_health_zone_zs'!$B$2,[1]ratio_ins!$B:$B,0))*$G229*INDEX([1]ratio_ins!$D:$D,MATCH('001_population_health_zone_zs'!$B229,[1]ratio_ins!$B:$B,0))</f>
        <v>160.09010400000003</v>
      </c>
      <c r="AX229" s="13">
        <f>INDEX([1]ratio_ins!AU:AU,MATCH('001_population_health_zone_zs'!$B$2,[1]ratio_ins!$B:$B,0))*$G229*INDEX([1]ratio_ins!$D:$D,MATCH('001_population_health_zone_zs'!$B229,[1]ratio_ins!$B:$B,0))</f>
        <v>1680.9460919999999</v>
      </c>
      <c r="AY229" s="14">
        <f t="shared" si="19"/>
        <v>80045.051999999996</v>
      </c>
      <c r="AZ229" s="15">
        <f t="shared" si="20"/>
        <v>157569</v>
      </c>
      <c r="BA229" s="16">
        <v>153256.70738708435</v>
      </c>
      <c r="BB229" s="10">
        <f t="shared" si="21"/>
        <v>34019.147100000002</v>
      </c>
      <c r="BC229" s="17">
        <f t="shared" si="22"/>
        <v>0.21590000000000001</v>
      </c>
      <c r="BD229" s="10">
        <f t="shared" si="23"/>
        <v>32327.486316000006</v>
      </c>
    </row>
    <row r="230" spans="1:56" x14ac:dyDescent="0.25">
      <c r="A230" s="8" t="s">
        <v>556</v>
      </c>
      <c r="B230" s="8" t="s">
        <v>557</v>
      </c>
      <c r="C230" s="8" t="s">
        <v>571</v>
      </c>
      <c r="D230" s="8" t="s">
        <v>572</v>
      </c>
      <c r="E230" s="8" t="s">
        <v>576</v>
      </c>
      <c r="F230" s="8" t="s">
        <v>577</v>
      </c>
      <c r="G230" s="9">
        <v>166983</v>
      </c>
      <c r="H230" s="10">
        <f>INDEX([1]ratio_ins!F:F,MATCH('001_population_health_zone_zs'!$B$2,[1]ratio_ins!$B:$B,0))*$G230*INDEX([1]ratio_ins!$C:$C,MATCH('001_population_health_zone_zs'!$B230,[1]ratio_ins!$B:$B,0))</f>
        <v>17170.527924000002</v>
      </c>
      <c r="I230" s="10">
        <f>INDEX([1]ratio_ins!G:G,MATCH('001_population_health_zone_zs'!$B$2,[1]ratio_ins!$B:$B,0))*$G230*INDEX([1]ratio_ins!$C:$C,MATCH('001_population_health_zone_zs'!$B230,[1]ratio_ins!$B:$B,0))</f>
        <v>14048.613756000002</v>
      </c>
      <c r="J230" s="10">
        <f>INDEX([1]ratio_ins!H:H,MATCH('001_population_health_zone_zs'!$B$2,[1]ratio_ins!$B:$B,0))*$G230*INDEX([1]ratio_ins!$C:$C,MATCH('001_population_health_zone_zs'!$B230,[1]ratio_ins!$B:$B,0))</f>
        <v>11091.010860000002</v>
      </c>
      <c r="K230" s="10">
        <f>INDEX([1]ratio_ins!I:I,MATCH('001_population_health_zone_zs'!$B$2,[1]ratio_ins!$B:$B,0))*$G230*INDEX([1]ratio_ins!$C:$C,MATCH('001_population_health_zone_zs'!$B230,[1]ratio_ins!$B:$B,0))</f>
        <v>6818.9177880000007</v>
      </c>
      <c r="L230" s="10">
        <f>INDEX([1]ratio_ins!J:J,MATCH('001_population_health_zone_zs'!$B$2,[1]ratio_ins!$B:$B,0))*$G230*INDEX([1]ratio_ins!$C:$C,MATCH('001_population_health_zone_zs'!$B230,[1]ratio_ins!$B:$B,0))</f>
        <v>4091.3506728000002</v>
      </c>
      <c r="M230" s="11">
        <f>INDEX([1]ratio_ins!K:K,MATCH('001_population_health_zone_zs'!$B$2,[1]ratio_ins!$B:$B,0))*$G230*INDEX([1]ratio_ins!$C:$C,MATCH('001_population_health_zone_zs'!$B230,[1]ratio_ins!$B:$B,0))</f>
        <v>46401.503212800002</v>
      </c>
      <c r="N230" s="10">
        <f>INDEX([1]ratio_ins!L:L,MATCH('001_population_health_zone_zs'!$B$2,[1]ratio_ins!$B:$B,0))*$G230*INDEX([1]ratio_ins!$C:$C,MATCH('001_population_health_zone_zs'!$B230,[1]ratio_ins!$B:$B,0))</f>
        <v>2727.5671152000004</v>
      </c>
      <c r="O230" s="10">
        <f>INDEX([1]ratio_ins!M:M,MATCH('001_population_health_zone_zs'!$B$2,[1]ratio_ins!$B:$B,0))*$G230*INDEX([1]ratio_ins!$C:$C,MATCH('001_population_health_zone_zs'!$B230,[1]ratio_ins!$B:$B,0))</f>
        <v>5915.2057920000016</v>
      </c>
      <c r="P230" s="10">
        <f>INDEX([1]ratio_ins!N:N,MATCH('001_population_health_zone_zs'!$B$2,[1]ratio_ins!$B:$B,0))*$G230*INDEX([1]ratio_ins!$C:$C,MATCH('001_population_health_zone_zs'!$B230,[1]ratio_ins!$B:$B,0))</f>
        <v>5340.1163400000005</v>
      </c>
      <c r="Q230" s="10">
        <f>INDEX([1]ratio_ins!O:O,MATCH('001_population_health_zone_zs'!$B$2,[1]ratio_ins!$B:$B,0))*$G230*INDEX([1]ratio_ins!$C:$C,MATCH('001_population_health_zone_zs'!$B230,[1]ratio_ins!$B:$B,0))</f>
        <v>4765.0268880000003</v>
      </c>
      <c r="R230" s="10">
        <f>INDEX([1]ratio_ins!P:P,MATCH('001_population_health_zone_zs'!$B$2,[1]ratio_ins!$B:$B,0))*$G230*INDEX([1]ratio_ins!$C:$C,MATCH('001_population_health_zone_zs'!$B230,[1]ratio_ins!$B:$B,0))</f>
        <v>4682.8712520000008</v>
      </c>
      <c r="S230" s="10">
        <f>INDEX([1]ratio_ins!Q:Q,MATCH('001_population_health_zone_zs'!$B$2,[1]ratio_ins!$B:$B,0))*$G230*INDEX([1]ratio_ins!$C:$C,MATCH('001_population_health_zone_zs'!$B230,[1]ratio_ins!$B:$B,0))</f>
        <v>3943.4705280000003</v>
      </c>
      <c r="T230" s="10">
        <f>INDEX([1]ratio_ins!R:R,MATCH('001_population_health_zone_zs'!$B$2,[1]ratio_ins!$B:$B,0))*$G230*INDEX([1]ratio_ins!$C:$C,MATCH('001_population_health_zone_zs'!$B230,[1]ratio_ins!$B:$B,0))</f>
        <v>2793.2916240000004</v>
      </c>
      <c r="U230" s="10">
        <f>INDEX([1]ratio_ins!S:S,MATCH('001_population_health_zone_zs'!$B$2,[1]ratio_ins!$B:$B,0))*$G230*INDEX([1]ratio_ins!$C:$C,MATCH('001_population_health_zone_zs'!$B230,[1]ratio_ins!$B:$B,0))</f>
        <v>2218.2021720000002</v>
      </c>
      <c r="V230" s="10">
        <f>INDEX([1]ratio_ins!T:T,MATCH('001_population_health_zone_zs'!$B$2,[1]ratio_ins!$B:$B,0))*$G230*INDEX([1]ratio_ins!$C:$C,MATCH('001_population_health_zone_zs'!$B230,[1]ratio_ins!$B:$B,0))</f>
        <v>1232.3345400000001</v>
      </c>
      <c r="W230" s="11">
        <f>INDEX([1]ratio_ins!U:U,MATCH('001_population_health_zone_zs'!$B$2,[1]ratio_ins!$B:$B,0))*$G230*INDEX([1]ratio_ins!$C:$C,MATCH('001_population_health_zone_zs'!$B230,[1]ratio_ins!$B:$B,0))</f>
        <v>33618.086251200002</v>
      </c>
      <c r="X230" s="10">
        <f>INDEX([1]ratio_ins!V:V,MATCH('001_population_health_zone_zs'!$B$2,[1]ratio_ins!$B:$B,0))*$G230*INDEX([1]ratio_ins!$C:$C,MATCH('001_population_health_zone_zs'!$B230,[1]ratio_ins!$B:$B,0))</f>
        <v>985.86763200000007</v>
      </c>
      <c r="Y230" s="10">
        <f>INDEX([1]ratio_ins!W:W,MATCH('001_population_health_zone_zs'!$B$2,[1]ratio_ins!$B:$B,0))*$G230*INDEX([1]ratio_ins!$C:$C,MATCH('001_population_health_zone_zs'!$B230,[1]ratio_ins!$B:$B,0))</f>
        <v>657.24508800000012</v>
      </c>
      <c r="Z230" s="10">
        <f>INDEX([1]ratio_ins!X:X,MATCH('001_population_health_zone_zs'!$B$2,[1]ratio_ins!$B:$B,0))*$G230*INDEX([1]ratio_ins!$C:$C,MATCH('001_population_health_zone_zs'!$B230,[1]ratio_ins!$B:$B,0))</f>
        <v>328.62254400000006</v>
      </c>
      <c r="AA230" s="10">
        <f>INDEX([1]ratio_ins!Y:Y,MATCH('001_population_health_zone_zs'!$B$2,[1]ratio_ins!$B:$B,0))*$G230*INDEX([1]ratio_ins!$C:$C,MATCH('001_population_health_zone_zs'!$B230,[1]ratio_ins!$B:$B,0))</f>
        <v>164.31127200000003</v>
      </c>
      <c r="AB230" s="11">
        <f>INDEX([1]ratio_ins!Z:Z,MATCH('001_population_health_zone_zs'!$B$2,[1]ratio_ins!$B:$B,0))*$G230*INDEX([1]ratio_ins!$C:$C,MATCH('001_population_health_zone_zs'!$B230,[1]ratio_ins!$B:$B,0))</f>
        <v>2136.0465360000003</v>
      </c>
      <c r="AC230" s="12">
        <f t="shared" si="18"/>
        <v>82155.635999999999</v>
      </c>
      <c r="AD230" s="10">
        <f>INDEX([1]ratio_ins!AA:AA,MATCH('001_population_health_zone_zs'!$B$2,[1]ratio_ins!$B:$B,0))*$G230*INDEX([1]ratio_ins!$D:$D,MATCH('001_population_health_zone_zs'!$B230,[1]ratio_ins!$B:$B,0))</f>
        <v>17813.746439999999</v>
      </c>
      <c r="AE230" s="10">
        <f>INDEX([1]ratio_ins!AB:AB,MATCH('001_population_health_zone_zs'!$B$2,[1]ratio_ins!$B:$B,0))*$G230*INDEX([1]ratio_ins!$D:$D,MATCH('001_population_health_zone_zs'!$B230,[1]ratio_ins!$B:$B,0))</f>
        <v>14675.133972000001</v>
      </c>
      <c r="AF230" s="10">
        <f>INDEX([1]ratio_ins!AC:AC,MATCH('001_population_health_zone_zs'!$B$2,[1]ratio_ins!$B:$B,0))*$G230*INDEX([1]ratio_ins!$D:$D,MATCH('001_population_health_zone_zs'!$B230,[1]ratio_ins!$B:$B,0))</f>
        <v>11621.348867999999</v>
      </c>
      <c r="AG230" s="10">
        <f>INDEX([1]ratio_ins!AD:AD,MATCH('001_population_health_zone_zs'!$B$2,[1]ratio_ins!$B:$B,0))*$G230*INDEX([1]ratio_ins!$D:$D,MATCH('001_population_health_zone_zs'!$B230,[1]ratio_ins!$B:$B,0))</f>
        <v>7040.6712120000002</v>
      </c>
      <c r="AH230" s="10">
        <f>INDEX([1]ratio_ins!AE:AE,MATCH('001_population_health_zone_zs'!$B$2,[1]ratio_ins!$B:$B,0))*$G230*INDEX([1]ratio_ins!$D:$D,MATCH('001_population_health_zone_zs'!$B230,[1]ratio_ins!$B:$B,0))</f>
        <v>4224.4027272000003</v>
      </c>
      <c r="AI230" s="13">
        <f>INDEX([1]ratio_ins!AF:AF,MATCH('001_population_health_zone_zs'!$B$2,[1]ratio_ins!$B:$B,0))*$G230*INDEX([1]ratio_ins!$D:$D,MATCH('001_population_health_zone_zs'!$B230,[1]ratio_ins!$B:$B,0))</f>
        <v>48334.632007199994</v>
      </c>
      <c r="AJ230" s="10">
        <f>INDEX([1]ratio_ins!AG:AG,MATCH('001_population_health_zone_zs'!$B$2,[1]ratio_ins!$B:$B,0))*$G230*INDEX([1]ratio_ins!$D:$D,MATCH('001_population_health_zone_zs'!$B230,[1]ratio_ins!$B:$B,0))</f>
        <v>2816.2684848000004</v>
      </c>
      <c r="AK230" s="10">
        <f>INDEX([1]ratio_ins!AH:AH,MATCH('001_population_health_zone_zs'!$B$2,[1]ratio_ins!$B:$B,0))*$G230*INDEX([1]ratio_ins!$D:$D,MATCH('001_population_health_zone_zs'!$B230,[1]ratio_ins!$B:$B,0))</f>
        <v>6277.2249360000014</v>
      </c>
      <c r="AL230" s="10">
        <f>INDEX([1]ratio_ins!AI:AI,MATCH('001_population_health_zone_zs'!$B$2,[1]ratio_ins!$B:$B,0))*$G230*INDEX([1]ratio_ins!$D:$D,MATCH('001_population_health_zone_zs'!$B230,[1]ratio_ins!$B:$B,0))</f>
        <v>5937.9154800000006</v>
      </c>
      <c r="AM230" s="10">
        <f>INDEX([1]ratio_ins!AJ:AJ,MATCH('001_population_health_zone_zs'!$B$2,[1]ratio_ins!$B:$B,0))*$G230*INDEX([1]ratio_ins!$D:$D,MATCH('001_population_health_zone_zs'!$B230,[1]ratio_ins!$B:$B,0))</f>
        <v>5428.9512960000002</v>
      </c>
      <c r="AN230" s="10">
        <f>INDEX([1]ratio_ins!AK:AK,MATCH('001_population_health_zone_zs'!$B$2,[1]ratio_ins!$B:$B,0))*$G230*INDEX([1]ratio_ins!$D:$D,MATCH('001_population_health_zone_zs'!$B230,[1]ratio_ins!$B:$B,0))</f>
        <v>5089.6418400000002</v>
      </c>
      <c r="AO230" s="10">
        <f>INDEX([1]ratio_ins!AL:AL,MATCH('001_population_health_zone_zs'!$B$2,[1]ratio_ins!$B:$B,0))*$G230*INDEX([1]ratio_ins!$D:$D,MATCH('001_population_health_zone_zs'!$B230,[1]ratio_ins!$B:$B,0))</f>
        <v>3817.2313799999997</v>
      </c>
      <c r="AP230" s="10">
        <f>INDEX([1]ratio_ins!AM:AM,MATCH('001_population_health_zone_zs'!$B$2,[1]ratio_ins!$B:$B,0))*$G230*INDEX([1]ratio_ins!$D:$D,MATCH('001_population_health_zone_zs'!$B230,[1]ratio_ins!$B:$B,0))</f>
        <v>2459.9935559999999</v>
      </c>
      <c r="AQ230" s="10">
        <f>INDEX([1]ratio_ins!AN:AN,MATCH('001_population_health_zone_zs'!$B$2,[1]ratio_ins!$B:$B,0))*$G230*INDEX([1]ratio_ins!$D:$D,MATCH('001_population_health_zone_zs'!$B230,[1]ratio_ins!$B:$B,0))</f>
        <v>1951.029372</v>
      </c>
      <c r="AR230" s="10">
        <f>INDEX([1]ratio_ins!AO:AO,MATCH('001_population_health_zone_zs'!$B$2,[1]ratio_ins!$B:$B,0))*$G230*INDEX([1]ratio_ins!$D:$D,MATCH('001_population_health_zone_zs'!$B230,[1]ratio_ins!$B:$B,0))</f>
        <v>933.1010040000001</v>
      </c>
      <c r="AS230" s="13">
        <f>INDEX([1]ratio_ins!AP:AP,MATCH('001_population_health_zone_zs'!$B$2,[1]ratio_ins!$B:$B,0))*$G230*INDEX([1]ratio_ins!$D:$D,MATCH('001_population_health_zone_zs'!$B230,[1]ratio_ins!$B:$B,0))</f>
        <v>34711.357348799997</v>
      </c>
      <c r="AT230" s="10">
        <f>INDEX([1]ratio_ins!AQ:AQ,MATCH('001_population_health_zone_zs'!$B$2,[1]ratio_ins!$B:$B,0))*$G230*INDEX([1]ratio_ins!$D:$D,MATCH('001_population_health_zone_zs'!$B230,[1]ratio_ins!$B:$B,0))</f>
        <v>848.27364</v>
      </c>
      <c r="AU230" s="10">
        <f>INDEX([1]ratio_ins!AR:AR,MATCH('001_population_health_zone_zs'!$B$2,[1]ratio_ins!$B:$B,0))*$G230*INDEX([1]ratio_ins!$D:$D,MATCH('001_population_health_zone_zs'!$B230,[1]ratio_ins!$B:$B,0))</f>
        <v>508.96418400000005</v>
      </c>
      <c r="AV230" s="10">
        <f>INDEX([1]ratio_ins!AS:AS,MATCH('001_population_health_zone_zs'!$B$2,[1]ratio_ins!$B:$B,0))*$G230*INDEX([1]ratio_ins!$D:$D,MATCH('001_population_health_zone_zs'!$B230,[1]ratio_ins!$B:$B,0))</f>
        <v>254.48209200000002</v>
      </c>
      <c r="AW230" s="10">
        <f>INDEX([1]ratio_ins!AT:AT,MATCH('001_population_health_zone_zs'!$B$2,[1]ratio_ins!$B:$B,0))*$G230*INDEX([1]ratio_ins!$D:$D,MATCH('001_population_health_zone_zs'!$B230,[1]ratio_ins!$B:$B,0))</f>
        <v>169.65472800000001</v>
      </c>
      <c r="AX230" s="13">
        <f>INDEX([1]ratio_ins!AU:AU,MATCH('001_population_health_zone_zs'!$B$2,[1]ratio_ins!$B:$B,0))*$G230*INDEX([1]ratio_ins!$D:$D,MATCH('001_population_health_zone_zs'!$B230,[1]ratio_ins!$B:$B,0))</f>
        <v>1781.3746439999998</v>
      </c>
      <c r="AY230" s="14">
        <f t="shared" si="19"/>
        <v>84827.363999999987</v>
      </c>
      <c r="AZ230" s="15">
        <f t="shared" si="20"/>
        <v>166983</v>
      </c>
      <c r="BA230" s="16">
        <v>162412.41758303135</v>
      </c>
      <c r="BB230" s="10">
        <f t="shared" si="21"/>
        <v>36051.629700000005</v>
      </c>
      <c r="BC230" s="17">
        <f t="shared" si="22"/>
        <v>0.21590000000000004</v>
      </c>
      <c r="BD230" s="10">
        <f t="shared" si="23"/>
        <v>34258.900212000008</v>
      </c>
    </row>
    <row r="231" spans="1:56" x14ac:dyDescent="0.25">
      <c r="A231" s="8" t="s">
        <v>556</v>
      </c>
      <c r="B231" s="8" t="s">
        <v>557</v>
      </c>
      <c r="C231" s="8" t="s">
        <v>578</v>
      </c>
      <c r="D231" s="8" t="s">
        <v>579</v>
      </c>
      <c r="E231" s="8" t="s">
        <v>580</v>
      </c>
      <c r="F231" s="8" t="s">
        <v>581</v>
      </c>
      <c r="G231" s="9">
        <v>153286</v>
      </c>
      <c r="H231" s="10">
        <f>INDEX([1]ratio_ins!F:F,MATCH('001_population_health_zone_zs'!$B$2,[1]ratio_ins!$B:$B,0))*$G231*INDEX([1]ratio_ins!$C:$C,MATCH('001_population_health_zone_zs'!$B231,[1]ratio_ins!$B:$B,0))</f>
        <v>15762.092808000001</v>
      </c>
      <c r="I231" s="10">
        <f>INDEX([1]ratio_ins!G:G,MATCH('001_population_health_zone_zs'!$B$2,[1]ratio_ins!$B:$B,0))*$G231*INDEX([1]ratio_ins!$C:$C,MATCH('001_population_health_zone_zs'!$B231,[1]ratio_ins!$B:$B,0))</f>
        <v>12896.257752000003</v>
      </c>
      <c r="J231" s="10">
        <f>INDEX([1]ratio_ins!H:H,MATCH('001_population_health_zone_zs'!$B$2,[1]ratio_ins!$B:$B,0))*$G231*INDEX([1]ratio_ins!$C:$C,MATCH('001_population_health_zone_zs'!$B231,[1]ratio_ins!$B:$B,0))</f>
        <v>10181.256120000002</v>
      </c>
      <c r="K231" s="10">
        <f>INDEX([1]ratio_ins!I:I,MATCH('001_population_health_zone_zs'!$B$2,[1]ratio_ins!$B:$B,0))*$G231*INDEX([1]ratio_ins!$C:$C,MATCH('001_population_health_zone_zs'!$B231,[1]ratio_ins!$B:$B,0))</f>
        <v>6259.5870960000011</v>
      </c>
      <c r="L231" s="10">
        <f>INDEX([1]ratio_ins!J:J,MATCH('001_population_health_zone_zs'!$B$2,[1]ratio_ins!$B:$B,0))*$G231*INDEX([1]ratio_ins!$C:$C,MATCH('001_population_health_zone_zs'!$B231,[1]ratio_ins!$B:$B,0))</f>
        <v>3755.7522576000001</v>
      </c>
      <c r="M231" s="11">
        <f>INDEX([1]ratio_ins!K:K,MATCH('001_population_health_zone_zs'!$B$2,[1]ratio_ins!$B:$B,0))*$G231*INDEX([1]ratio_ins!$C:$C,MATCH('001_population_health_zone_zs'!$B231,[1]ratio_ins!$B:$B,0))</f>
        <v>42595.358937600002</v>
      </c>
      <c r="N231" s="10">
        <f>INDEX([1]ratio_ins!L:L,MATCH('001_population_health_zone_zs'!$B$2,[1]ratio_ins!$B:$B,0))*$G231*INDEX([1]ratio_ins!$C:$C,MATCH('001_population_health_zone_zs'!$B231,[1]ratio_ins!$B:$B,0))</f>
        <v>2503.8348384000001</v>
      </c>
      <c r="O231" s="10">
        <f>INDEX([1]ratio_ins!M:M,MATCH('001_population_health_zone_zs'!$B$2,[1]ratio_ins!$B:$B,0))*$G231*INDEX([1]ratio_ins!$C:$C,MATCH('001_population_health_zone_zs'!$B231,[1]ratio_ins!$B:$B,0))</f>
        <v>5430.0032640000009</v>
      </c>
      <c r="P231" s="10">
        <f>INDEX([1]ratio_ins!N:N,MATCH('001_population_health_zone_zs'!$B$2,[1]ratio_ins!$B:$B,0))*$G231*INDEX([1]ratio_ins!$C:$C,MATCH('001_population_health_zone_zs'!$B231,[1]ratio_ins!$B:$B,0))</f>
        <v>4902.0862800000004</v>
      </c>
      <c r="Q231" s="10">
        <f>INDEX([1]ratio_ins!O:O,MATCH('001_population_health_zone_zs'!$B$2,[1]ratio_ins!$B:$B,0))*$G231*INDEX([1]ratio_ins!$C:$C,MATCH('001_population_health_zone_zs'!$B231,[1]ratio_ins!$B:$B,0))</f>
        <v>4374.169296</v>
      </c>
      <c r="R231" s="10">
        <f>INDEX([1]ratio_ins!P:P,MATCH('001_population_health_zone_zs'!$B$2,[1]ratio_ins!$B:$B,0))*$G231*INDEX([1]ratio_ins!$C:$C,MATCH('001_population_health_zone_zs'!$B231,[1]ratio_ins!$B:$B,0))</f>
        <v>4298.7525839999998</v>
      </c>
      <c r="S231" s="10">
        <f>INDEX([1]ratio_ins!Q:Q,MATCH('001_population_health_zone_zs'!$B$2,[1]ratio_ins!$B:$B,0))*$G231*INDEX([1]ratio_ins!$C:$C,MATCH('001_population_health_zone_zs'!$B231,[1]ratio_ins!$B:$B,0))</f>
        <v>3620.0021760000004</v>
      </c>
      <c r="T231" s="10">
        <f>INDEX([1]ratio_ins!R:R,MATCH('001_population_health_zone_zs'!$B$2,[1]ratio_ins!$B:$B,0))*$G231*INDEX([1]ratio_ins!$C:$C,MATCH('001_population_health_zone_zs'!$B231,[1]ratio_ins!$B:$B,0))</f>
        <v>2564.1682080000005</v>
      </c>
      <c r="U231" s="10">
        <f>INDEX([1]ratio_ins!S:S,MATCH('001_population_health_zone_zs'!$B$2,[1]ratio_ins!$B:$B,0))*$G231*INDEX([1]ratio_ins!$C:$C,MATCH('001_population_health_zone_zs'!$B231,[1]ratio_ins!$B:$B,0))</f>
        <v>2036.2512240000005</v>
      </c>
      <c r="V231" s="10">
        <f>INDEX([1]ratio_ins!T:T,MATCH('001_population_health_zone_zs'!$B$2,[1]ratio_ins!$B:$B,0))*$G231*INDEX([1]ratio_ins!$C:$C,MATCH('001_population_health_zone_zs'!$B231,[1]ratio_ins!$B:$B,0))</f>
        <v>1131.2506800000001</v>
      </c>
      <c r="W231" s="11">
        <f>INDEX([1]ratio_ins!U:U,MATCH('001_population_health_zone_zs'!$B$2,[1]ratio_ins!$B:$B,0))*$G231*INDEX([1]ratio_ins!$C:$C,MATCH('001_population_health_zone_zs'!$B231,[1]ratio_ins!$B:$B,0))</f>
        <v>30860.518550400004</v>
      </c>
      <c r="X231" s="10">
        <f>INDEX([1]ratio_ins!V:V,MATCH('001_population_health_zone_zs'!$B$2,[1]ratio_ins!$B:$B,0))*$G231*INDEX([1]ratio_ins!$C:$C,MATCH('001_population_health_zone_zs'!$B231,[1]ratio_ins!$B:$B,0))</f>
        <v>905.0005440000001</v>
      </c>
      <c r="Y231" s="10">
        <f>INDEX([1]ratio_ins!W:W,MATCH('001_population_health_zone_zs'!$B$2,[1]ratio_ins!$B:$B,0))*$G231*INDEX([1]ratio_ins!$C:$C,MATCH('001_population_health_zone_zs'!$B231,[1]ratio_ins!$B:$B,0))</f>
        <v>603.33369600000003</v>
      </c>
      <c r="Z231" s="10">
        <f>INDEX([1]ratio_ins!X:X,MATCH('001_population_health_zone_zs'!$B$2,[1]ratio_ins!$B:$B,0))*$G231*INDEX([1]ratio_ins!$C:$C,MATCH('001_population_health_zone_zs'!$B231,[1]ratio_ins!$B:$B,0))</f>
        <v>301.66684800000002</v>
      </c>
      <c r="AA231" s="10">
        <f>INDEX([1]ratio_ins!Y:Y,MATCH('001_population_health_zone_zs'!$B$2,[1]ratio_ins!$B:$B,0))*$G231*INDEX([1]ratio_ins!$C:$C,MATCH('001_population_health_zone_zs'!$B231,[1]ratio_ins!$B:$B,0))</f>
        <v>150.83342400000001</v>
      </c>
      <c r="AB231" s="11">
        <f>INDEX([1]ratio_ins!Z:Z,MATCH('001_population_health_zone_zs'!$B$2,[1]ratio_ins!$B:$B,0))*$G231*INDEX([1]ratio_ins!$C:$C,MATCH('001_population_health_zone_zs'!$B231,[1]ratio_ins!$B:$B,0))</f>
        <v>1960.8345120000004</v>
      </c>
      <c r="AC231" s="12">
        <f t="shared" si="18"/>
        <v>75416.712</v>
      </c>
      <c r="AD231" s="10">
        <f>INDEX([1]ratio_ins!AA:AA,MATCH('001_population_health_zone_zs'!$B$2,[1]ratio_ins!$B:$B,0))*$G231*INDEX([1]ratio_ins!$D:$D,MATCH('001_population_health_zone_zs'!$B231,[1]ratio_ins!$B:$B,0))</f>
        <v>16352.55048</v>
      </c>
      <c r="AE231" s="10">
        <f>INDEX([1]ratio_ins!AB:AB,MATCH('001_population_health_zone_zs'!$B$2,[1]ratio_ins!$B:$B,0))*$G231*INDEX([1]ratio_ins!$D:$D,MATCH('001_population_health_zone_zs'!$B231,[1]ratio_ins!$B:$B,0))</f>
        <v>13471.386824000001</v>
      </c>
      <c r="AF231" s="10">
        <f>INDEX([1]ratio_ins!AC:AC,MATCH('001_population_health_zone_zs'!$B$2,[1]ratio_ins!$B:$B,0))*$G231*INDEX([1]ratio_ins!$D:$D,MATCH('001_population_health_zone_zs'!$B231,[1]ratio_ins!$B:$B,0))</f>
        <v>10668.092455999998</v>
      </c>
      <c r="AG231" s="10">
        <f>INDEX([1]ratio_ins!AD:AD,MATCH('001_population_health_zone_zs'!$B$2,[1]ratio_ins!$B:$B,0))*$G231*INDEX([1]ratio_ins!$D:$D,MATCH('001_population_health_zone_zs'!$B231,[1]ratio_ins!$B:$B,0))</f>
        <v>6463.150904000001</v>
      </c>
      <c r="AH231" s="10">
        <f>INDEX([1]ratio_ins!AE:AE,MATCH('001_population_health_zone_zs'!$B$2,[1]ratio_ins!$B:$B,0))*$G231*INDEX([1]ratio_ins!$D:$D,MATCH('001_population_health_zone_zs'!$B231,[1]ratio_ins!$B:$B,0))</f>
        <v>3877.8905424</v>
      </c>
      <c r="AI231" s="13">
        <f>INDEX([1]ratio_ins!AF:AF,MATCH('001_population_health_zone_zs'!$B$2,[1]ratio_ins!$B:$B,0))*$G231*INDEX([1]ratio_ins!$D:$D,MATCH('001_population_health_zone_zs'!$B231,[1]ratio_ins!$B:$B,0))</f>
        <v>44369.920302400002</v>
      </c>
      <c r="AJ231" s="10">
        <f>INDEX([1]ratio_ins!AG:AG,MATCH('001_population_health_zone_zs'!$B$2,[1]ratio_ins!$B:$B,0))*$G231*INDEX([1]ratio_ins!$D:$D,MATCH('001_population_health_zone_zs'!$B231,[1]ratio_ins!$B:$B,0))</f>
        <v>2585.2603616000001</v>
      </c>
      <c r="AK231" s="10">
        <f>INDEX([1]ratio_ins!AH:AH,MATCH('001_population_health_zone_zs'!$B$2,[1]ratio_ins!$B:$B,0))*$G231*INDEX([1]ratio_ins!$D:$D,MATCH('001_population_health_zone_zs'!$B231,[1]ratio_ins!$B:$B,0))</f>
        <v>5762.3273120000003</v>
      </c>
      <c r="AL231" s="10">
        <f>INDEX([1]ratio_ins!AI:AI,MATCH('001_population_health_zone_zs'!$B$2,[1]ratio_ins!$B:$B,0))*$G231*INDEX([1]ratio_ins!$D:$D,MATCH('001_population_health_zone_zs'!$B231,[1]ratio_ins!$B:$B,0))</f>
        <v>5450.85016</v>
      </c>
      <c r="AM231" s="10">
        <f>INDEX([1]ratio_ins!AJ:AJ,MATCH('001_population_health_zone_zs'!$B$2,[1]ratio_ins!$B:$B,0))*$G231*INDEX([1]ratio_ins!$D:$D,MATCH('001_population_health_zone_zs'!$B231,[1]ratio_ins!$B:$B,0))</f>
        <v>4983.6344319999998</v>
      </c>
      <c r="AN231" s="10">
        <f>INDEX([1]ratio_ins!AK:AK,MATCH('001_population_health_zone_zs'!$B$2,[1]ratio_ins!$B:$B,0))*$G231*INDEX([1]ratio_ins!$D:$D,MATCH('001_population_health_zone_zs'!$B231,[1]ratio_ins!$B:$B,0))</f>
        <v>4672.1572800000004</v>
      </c>
      <c r="AO231" s="10">
        <f>INDEX([1]ratio_ins!AL:AL,MATCH('001_population_health_zone_zs'!$B$2,[1]ratio_ins!$B:$B,0))*$G231*INDEX([1]ratio_ins!$D:$D,MATCH('001_population_health_zone_zs'!$B231,[1]ratio_ins!$B:$B,0))</f>
        <v>3504.11796</v>
      </c>
      <c r="AP231" s="10">
        <f>INDEX([1]ratio_ins!AM:AM,MATCH('001_population_health_zone_zs'!$B$2,[1]ratio_ins!$B:$B,0))*$G231*INDEX([1]ratio_ins!$D:$D,MATCH('001_population_health_zone_zs'!$B231,[1]ratio_ins!$B:$B,0))</f>
        <v>2258.2093519999999</v>
      </c>
      <c r="AQ231" s="10">
        <f>INDEX([1]ratio_ins!AN:AN,MATCH('001_population_health_zone_zs'!$B$2,[1]ratio_ins!$B:$B,0))*$G231*INDEX([1]ratio_ins!$D:$D,MATCH('001_population_health_zone_zs'!$B231,[1]ratio_ins!$B:$B,0))</f>
        <v>1790.993624</v>
      </c>
      <c r="AR231" s="10">
        <f>INDEX([1]ratio_ins!AO:AO,MATCH('001_population_health_zone_zs'!$B$2,[1]ratio_ins!$B:$B,0))*$G231*INDEX([1]ratio_ins!$D:$D,MATCH('001_population_health_zone_zs'!$B231,[1]ratio_ins!$B:$B,0))</f>
        <v>856.56216800000016</v>
      </c>
      <c r="AS231" s="13">
        <f>INDEX([1]ratio_ins!AP:AP,MATCH('001_population_health_zone_zs'!$B$2,[1]ratio_ins!$B:$B,0))*$G231*INDEX([1]ratio_ins!$D:$D,MATCH('001_population_health_zone_zs'!$B231,[1]ratio_ins!$B:$B,0))</f>
        <v>31864.112649600003</v>
      </c>
      <c r="AT231" s="10">
        <f>INDEX([1]ratio_ins!AQ:AQ,MATCH('001_population_health_zone_zs'!$B$2,[1]ratio_ins!$B:$B,0))*$G231*INDEX([1]ratio_ins!$D:$D,MATCH('001_population_health_zone_zs'!$B231,[1]ratio_ins!$B:$B,0))</f>
        <v>778.69288000000006</v>
      </c>
      <c r="AU231" s="10">
        <f>INDEX([1]ratio_ins!AR:AR,MATCH('001_population_health_zone_zs'!$B$2,[1]ratio_ins!$B:$B,0))*$G231*INDEX([1]ratio_ins!$D:$D,MATCH('001_population_health_zone_zs'!$B231,[1]ratio_ins!$B:$B,0))</f>
        <v>467.21572800000001</v>
      </c>
      <c r="AV231" s="10">
        <f>INDEX([1]ratio_ins!AS:AS,MATCH('001_population_health_zone_zs'!$B$2,[1]ratio_ins!$B:$B,0))*$G231*INDEX([1]ratio_ins!$D:$D,MATCH('001_population_health_zone_zs'!$B231,[1]ratio_ins!$B:$B,0))</f>
        <v>233.60786400000001</v>
      </c>
      <c r="AW231" s="10">
        <f>INDEX([1]ratio_ins!AT:AT,MATCH('001_population_health_zone_zs'!$B$2,[1]ratio_ins!$B:$B,0))*$G231*INDEX([1]ratio_ins!$D:$D,MATCH('001_population_health_zone_zs'!$B231,[1]ratio_ins!$B:$B,0))</f>
        <v>155.73857599999999</v>
      </c>
      <c r="AX231" s="13">
        <f>INDEX([1]ratio_ins!AU:AU,MATCH('001_population_health_zone_zs'!$B$2,[1]ratio_ins!$B:$B,0))*$G231*INDEX([1]ratio_ins!$D:$D,MATCH('001_population_health_zone_zs'!$B231,[1]ratio_ins!$B:$B,0))</f>
        <v>1635.255048</v>
      </c>
      <c r="AY231" s="14">
        <f t="shared" si="19"/>
        <v>77869.288000000015</v>
      </c>
      <c r="AZ231" s="15">
        <f t="shared" si="20"/>
        <v>153286</v>
      </c>
      <c r="BA231" s="16">
        <v>149090.5728336366</v>
      </c>
      <c r="BB231" s="10">
        <f t="shared" si="21"/>
        <v>33094.447399999997</v>
      </c>
      <c r="BC231" s="17">
        <f t="shared" si="22"/>
        <v>0.21589999999999998</v>
      </c>
      <c r="BD231" s="10">
        <f t="shared" si="23"/>
        <v>31448.768904</v>
      </c>
    </row>
    <row r="232" spans="1:56" x14ac:dyDescent="0.25">
      <c r="A232" s="8" t="s">
        <v>556</v>
      </c>
      <c r="B232" s="8" t="s">
        <v>557</v>
      </c>
      <c r="C232" s="8" t="s">
        <v>578</v>
      </c>
      <c r="D232" s="8" t="s">
        <v>579</v>
      </c>
      <c r="E232" s="8" t="s">
        <v>578</v>
      </c>
      <c r="F232" s="8" t="s">
        <v>582</v>
      </c>
      <c r="G232" s="9">
        <v>232610</v>
      </c>
      <c r="H232" s="10">
        <f>INDEX([1]ratio_ins!F:F,MATCH('001_population_health_zone_zs'!$B$2,[1]ratio_ins!$B:$B,0))*$G232*INDEX([1]ratio_ins!$C:$C,MATCH('001_population_health_zone_zs'!$B232,[1]ratio_ins!$B:$B,0))</f>
        <v>23918.821080000002</v>
      </c>
      <c r="I232" s="10">
        <f>INDEX([1]ratio_ins!G:G,MATCH('001_population_health_zone_zs'!$B$2,[1]ratio_ins!$B:$B,0))*$G232*INDEX([1]ratio_ins!$C:$C,MATCH('001_population_health_zone_zs'!$B232,[1]ratio_ins!$B:$B,0))</f>
        <v>19569.944520000005</v>
      </c>
      <c r="J232" s="10">
        <f>INDEX([1]ratio_ins!H:H,MATCH('001_population_health_zone_zs'!$B$2,[1]ratio_ins!$B:$B,0))*$G232*INDEX([1]ratio_ins!$C:$C,MATCH('001_population_health_zone_zs'!$B232,[1]ratio_ins!$B:$B,0))</f>
        <v>15449.956200000002</v>
      </c>
      <c r="K232" s="10">
        <f>INDEX([1]ratio_ins!I:I,MATCH('001_population_health_zone_zs'!$B$2,[1]ratio_ins!$B:$B,0))*$G232*INDEX([1]ratio_ins!$C:$C,MATCH('001_population_health_zone_zs'!$B232,[1]ratio_ins!$B:$B,0))</f>
        <v>9498.861960000002</v>
      </c>
      <c r="L232" s="10">
        <f>INDEX([1]ratio_ins!J:J,MATCH('001_population_health_zone_zs'!$B$2,[1]ratio_ins!$B:$B,0))*$G232*INDEX([1]ratio_ins!$C:$C,MATCH('001_population_health_zone_zs'!$B232,[1]ratio_ins!$B:$B,0))</f>
        <v>5699.3171760000005</v>
      </c>
      <c r="M232" s="11">
        <f>INDEX([1]ratio_ins!K:K,MATCH('001_population_health_zone_zs'!$B$2,[1]ratio_ins!$B:$B,0))*$G232*INDEX([1]ratio_ins!$C:$C,MATCH('001_population_health_zone_zs'!$B232,[1]ratio_ins!$B:$B,0))</f>
        <v>64638.038976000003</v>
      </c>
      <c r="N232" s="10">
        <f>INDEX([1]ratio_ins!L:L,MATCH('001_population_health_zone_zs'!$B$2,[1]ratio_ins!$B:$B,0))*$G232*INDEX([1]ratio_ins!$C:$C,MATCH('001_population_health_zone_zs'!$B232,[1]ratio_ins!$B:$B,0))</f>
        <v>3799.5447840000006</v>
      </c>
      <c r="O232" s="10">
        <f>INDEX([1]ratio_ins!M:M,MATCH('001_population_health_zone_zs'!$B$2,[1]ratio_ins!$B:$B,0))*$G232*INDEX([1]ratio_ins!$C:$C,MATCH('001_population_health_zone_zs'!$B232,[1]ratio_ins!$B:$B,0))</f>
        <v>8239.9766400000026</v>
      </c>
      <c r="P232" s="10">
        <f>INDEX([1]ratio_ins!N:N,MATCH('001_population_health_zone_zs'!$B$2,[1]ratio_ins!$B:$B,0))*$G232*INDEX([1]ratio_ins!$C:$C,MATCH('001_population_health_zone_zs'!$B232,[1]ratio_ins!$B:$B,0))</f>
        <v>7438.8678000000009</v>
      </c>
      <c r="Q232" s="10">
        <f>INDEX([1]ratio_ins!O:O,MATCH('001_population_health_zone_zs'!$B$2,[1]ratio_ins!$B:$B,0))*$G232*INDEX([1]ratio_ins!$C:$C,MATCH('001_population_health_zone_zs'!$B232,[1]ratio_ins!$B:$B,0))</f>
        <v>6637.7589600000001</v>
      </c>
      <c r="R232" s="10">
        <f>INDEX([1]ratio_ins!P:P,MATCH('001_population_health_zone_zs'!$B$2,[1]ratio_ins!$B:$B,0))*$G232*INDEX([1]ratio_ins!$C:$C,MATCH('001_population_health_zone_zs'!$B232,[1]ratio_ins!$B:$B,0))</f>
        <v>6523.3148400000009</v>
      </c>
      <c r="S232" s="10">
        <f>INDEX([1]ratio_ins!Q:Q,MATCH('001_population_health_zone_zs'!$B$2,[1]ratio_ins!$B:$B,0))*$G232*INDEX([1]ratio_ins!$C:$C,MATCH('001_population_health_zone_zs'!$B232,[1]ratio_ins!$B:$B,0))</f>
        <v>5493.3177600000008</v>
      </c>
      <c r="T232" s="10">
        <f>INDEX([1]ratio_ins!R:R,MATCH('001_population_health_zone_zs'!$B$2,[1]ratio_ins!$B:$B,0))*$G232*INDEX([1]ratio_ins!$C:$C,MATCH('001_population_health_zone_zs'!$B232,[1]ratio_ins!$B:$B,0))</f>
        <v>3891.1000800000006</v>
      </c>
      <c r="U232" s="10">
        <f>INDEX([1]ratio_ins!S:S,MATCH('001_population_health_zone_zs'!$B$2,[1]ratio_ins!$B:$B,0))*$G232*INDEX([1]ratio_ins!$C:$C,MATCH('001_population_health_zone_zs'!$B232,[1]ratio_ins!$B:$B,0))</f>
        <v>3089.9912400000007</v>
      </c>
      <c r="V232" s="10">
        <f>INDEX([1]ratio_ins!T:T,MATCH('001_population_health_zone_zs'!$B$2,[1]ratio_ins!$B:$B,0))*$G232*INDEX([1]ratio_ins!$C:$C,MATCH('001_population_health_zone_zs'!$B232,[1]ratio_ins!$B:$B,0))</f>
        <v>1716.6618000000003</v>
      </c>
      <c r="W232" s="11">
        <f>INDEX([1]ratio_ins!U:U,MATCH('001_population_health_zone_zs'!$B$2,[1]ratio_ins!$B:$B,0))*$G232*INDEX([1]ratio_ins!$C:$C,MATCH('001_population_health_zone_zs'!$B232,[1]ratio_ins!$B:$B,0))</f>
        <v>46830.533904000004</v>
      </c>
      <c r="X232" s="10">
        <f>INDEX([1]ratio_ins!V:V,MATCH('001_population_health_zone_zs'!$B$2,[1]ratio_ins!$B:$B,0))*$G232*INDEX([1]ratio_ins!$C:$C,MATCH('001_population_health_zone_zs'!$B232,[1]ratio_ins!$B:$B,0))</f>
        <v>1373.3294400000002</v>
      </c>
      <c r="Y232" s="10">
        <f>INDEX([1]ratio_ins!W:W,MATCH('001_population_health_zone_zs'!$B$2,[1]ratio_ins!$B:$B,0))*$G232*INDEX([1]ratio_ins!$C:$C,MATCH('001_population_health_zone_zs'!$B232,[1]ratio_ins!$B:$B,0))</f>
        <v>915.5529600000001</v>
      </c>
      <c r="Z232" s="10">
        <f>INDEX([1]ratio_ins!X:X,MATCH('001_population_health_zone_zs'!$B$2,[1]ratio_ins!$B:$B,0))*$G232*INDEX([1]ratio_ins!$C:$C,MATCH('001_population_health_zone_zs'!$B232,[1]ratio_ins!$B:$B,0))</f>
        <v>457.77648000000005</v>
      </c>
      <c r="AA232" s="10">
        <f>INDEX([1]ratio_ins!Y:Y,MATCH('001_population_health_zone_zs'!$B$2,[1]ratio_ins!$B:$B,0))*$G232*INDEX([1]ratio_ins!$C:$C,MATCH('001_population_health_zone_zs'!$B232,[1]ratio_ins!$B:$B,0))</f>
        <v>228.88824000000002</v>
      </c>
      <c r="AB232" s="11">
        <f>INDEX([1]ratio_ins!Z:Z,MATCH('001_population_health_zone_zs'!$B$2,[1]ratio_ins!$B:$B,0))*$G232*INDEX([1]ratio_ins!$C:$C,MATCH('001_population_health_zone_zs'!$B232,[1]ratio_ins!$B:$B,0))</f>
        <v>2975.5471200000006</v>
      </c>
      <c r="AC232" s="12">
        <f t="shared" si="18"/>
        <v>114444.12000000001</v>
      </c>
      <c r="AD232" s="10">
        <f>INDEX([1]ratio_ins!AA:AA,MATCH('001_population_health_zone_zs'!$B$2,[1]ratio_ins!$B:$B,0))*$G232*INDEX([1]ratio_ins!$D:$D,MATCH('001_population_health_zone_zs'!$B232,[1]ratio_ins!$B:$B,0))</f>
        <v>24814.834800000001</v>
      </c>
      <c r="AE232" s="10">
        <f>INDEX([1]ratio_ins!AB:AB,MATCH('001_population_health_zone_zs'!$B$2,[1]ratio_ins!$B:$B,0))*$G232*INDEX([1]ratio_ins!$D:$D,MATCH('001_population_health_zone_zs'!$B232,[1]ratio_ins!$B:$B,0))</f>
        <v>20442.697240000005</v>
      </c>
      <c r="AF232" s="10">
        <f>INDEX([1]ratio_ins!AC:AC,MATCH('001_population_health_zone_zs'!$B$2,[1]ratio_ins!$B:$B,0))*$G232*INDEX([1]ratio_ins!$D:$D,MATCH('001_population_health_zone_zs'!$B232,[1]ratio_ins!$B:$B,0))</f>
        <v>16188.725559999999</v>
      </c>
      <c r="AG232" s="10">
        <f>INDEX([1]ratio_ins!AD:AD,MATCH('001_population_health_zone_zs'!$B$2,[1]ratio_ins!$B:$B,0))*$G232*INDEX([1]ratio_ins!$D:$D,MATCH('001_population_health_zone_zs'!$B232,[1]ratio_ins!$B:$B,0))</f>
        <v>9807.7680400000008</v>
      </c>
      <c r="AH232" s="10">
        <f>INDEX([1]ratio_ins!AE:AE,MATCH('001_population_health_zone_zs'!$B$2,[1]ratio_ins!$B:$B,0))*$G232*INDEX([1]ratio_ins!$D:$D,MATCH('001_population_health_zone_zs'!$B232,[1]ratio_ins!$B:$B,0))</f>
        <v>5884.6608239999996</v>
      </c>
      <c r="AI232" s="13">
        <f>INDEX([1]ratio_ins!AF:AF,MATCH('001_population_health_zone_zs'!$B$2,[1]ratio_ins!$B:$B,0))*$G232*INDEX([1]ratio_ins!$D:$D,MATCH('001_population_health_zone_zs'!$B232,[1]ratio_ins!$B:$B,0))</f>
        <v>67330.918423999989</v>
      </c>
      <c r="AJ232" s="10">
        <f>INDEX([1]ratio_ins!AG:AG,MATCH('001_population_health_zone_zs'!$B$2,[1]ratio_ins!$B:$B,0))*$G232*INDEX([1]ratio_ins!$D:$D,MATCH('001_population_health_zone_zs'!$B232,[1]ratio_ins!$B:$B,0))</f>
        <v>3923.1072159999999</v>
      </c>
      <c r="AK232" s="10">
        <f>INDEX([1]ratio_ins!AH:AH,MATCH('001_population_health_zone_zs'!$B$2,[1]ratio_ins!$B:$B,0))*$G232*INDEX([1]ratio_ins!$D:$D,MATCH('001_population_health_zone_zs'!$B232,[1]ratio_ins!$B:$B,0))</f>
        <v>8744.2751200000021</v>
      </c>
      <c r="AL232" s="10">
        <f>INDEX([1]ratio_ins!AI:AI,MATCH('001_population_health_zone_zs'!$B$2,[1]ratio_ins!$B:$B,0))*$G232*INDEX([1]ratio_ins!$D:$D,MATCH('001_population_health_zone_zs'!$B232,[1]ratio_ins!$B:$B,0))</f>
        <v>8271.6116000000002</v>
      </c>
      <c r="AM232" s="10">
        <f>INDEX([1]ratio_ins!AJ:AJ,MATCH('001_population_health_zone_zs'!$B$2,[1]ratio_ins!$B:$B,0))*$G232*INDEX([1]ratio_ins!$D:$D,MATCH('001_population_health_zone_zs'!$B232,[1]ratio_ins!$B:$B,0))</f>
        <v>7562.616320000001</v>
      </c>
      <c r="AN232" s="10">
        <f>INDEX([1]ratio_ins!AK:AK,MATCH('001_population_health_zone_zs'!$B$2,[1]ratio_ins!$B:$B,0))*$G232*INDEX([1]ratio_ins!$D:$D,MATCH('001_population_health_zone_zs'!$B232,[1]ratio_ins!$B:$B,0))</f>
        <v>7089.9528</v>
      </c>
      <c r="AO232" s="10">
        <f>INDEX([1]ratio_ins!AL:AL,MATCH('001_population_health_zone_zs'!$B$2,[1]ratio_ins!$B:$B,0))*$G232*INDEX([1]ratio_ins!$D:$D,MATCH('001_population_health_zone_zs'!$B232,[1]ratio_ins!$B:$B,0))</f>
        <v>5317.4645999999993</v>
      </c>
      <c r="AP232" s="10">
        <f>INDEX([1]ratio_ins!AM:AM,MATCH('001_population_health_zone_zs'!$B$2,[1]ratio_ins!$B:$B,0))*$G232*INDEX([1]ratio_ins!$D:$D,MATCH('001_population_health_zone_zs'!$B232,[1]ratio_ins!$B:$B,0))</f>
        <v>3426.81052</v>
      </c>
      <c r="AQ232" s="10">
        <f>INDEX([1]ratio_ins!AN:AN,MATCH('001_population_health_zone_zs'!$B$2,[1]ratio_ins!$B:$B,0))*$G232*INDEX([1]ratio_ins!$D:$D,MATCH('001_population_health_zone_zs'!$B232,[1]ratio_ins!$B:$B,0))</f>
        <v>2717.8152399999999</v>
      </c>
      <c r="AR232" s="10">
        <f>INDEX([1]ratio_ins!AO:AO,MATCH('001_population_health_zone_zs'!$B$2,[1]ratio_ins!$B:$B,0))*$G232*INDEX([1]ratio_ins!$D:$D,MATCH('001_population_health_zone_zs'!$B232,[1]ratio_ins!$B:$B,0))</f>
        <v>1299.8246799999999</v>
      </c>
      <c r="AS232" s="13">
        <f>INDEX([1]ratio_ins!AP:AP,MATCH('001_population_health_zone_zs'!$B$2,[1]ratio_ins!$B:$B,0))*$G232*INDEX([1]ratio_ins!$D:$D,MATCH('001_population_health_zone_zs'!$B232,[1]ratio_ins!$B:$B,0))</f>
        <v>48353.478095999999</v>
      </c>
      <c r="AT232" s="10">
        <f>INDEX([1]ratio_ins!AQ:AQ,MATCH('001_population_health_zone_zs'!$B$2,[1]ratio_ins!$B:$B,0))*$G232*INDEX([1]ratio_ins!$D:$D,MATCH('001_population_health_zone_zs'!$B232,[1]ratio_ins!$B:$B,0))</f>
        <v>1181.6587999999999</v>
      </c>
      <c r="AU232" s="10">
        <f>INDEX([1]ratio_ins!AR:AR,MATCH('001_population_health_zone_zs'!$B$2,[1]ratio_ins!$B:$B,0))*$G232*INDEX([1]ratio_ins!$D:$D,MATCH('001_population_health_zone_zs'!$B232,[1]ratio_ins!$B:$B,0))</f>
        <v>708.99528000000009</v>
      </c>
      <c r="AV232" s="10">
        <f>INDEX([1]ratio_ins!AS:AS,MATCH('001_population_health_zone_zs'!$B$2,[1]ratio_ins!$B:$B,0))*$G232*INDEX([1]ratio_ins!$D:$D,MATCH('001_population_health_zone_zs'!$B232,[1]ratio_ins!$B:$B,0))</f>
        <v>354.49764000000005</v>
      </c>
      <c r="AW232" s="10">
        <f>INDEX([1]ratio_ins!AT:AT,MATCH('001_population_health_zone_zs'!$B$2,[1]ratio_ins!$B:$B,0))*$G232*INDEX([1]ratio_ins!$D:$D,MATCH('001_population_health_zone_zs'!$B232,[1]ratio_ins!$B:$B,0))</f>
        <v>236.33176000000003</v>
      </c>
      <c r="AX232" s="13">
        <f>INDEX([1]ratio_ins!AU:AU,MATCH('001_population_health_zone_zs'!$B$2,[1]ratio_ins!$B:$B,0))*$G232*INDEX([1]ratio_ins!$D:$D,MATCH('001_population_health_zone_zs'!$B232,[1]ratio_ins!$B:$B,0))</f>
        <v>2481.4834799999999</v>
      </c>
      <c r="AY232" s="14">
        <f t="shared" si="19"/>
        <v>118165.87999999998</v>
      </c>
      <c r="AZ232" s="15">
        <f t="shared" si="20"/>
        <v>232610</v>
      </c>
      <c r="BA232" s="16">
        <v>226243.42269911812</v>
      </c>
      <c r="BB232" s="10">
        <f t="shared" si="21"/>
        <v>50220.499000000003</v>
      </c>
      <c r="BC232" s="17">
        <f t="shared" si="22"/>
        <v>0.21590000000000001</v>
      </c>
      <c r="BD232" s="10">
        <f t="shared" si="23"/>
        <v>47723.198040000003</v>
      </c>
    </row>
    <row r="233" spans="1:56" x14ac:dyDescent="0.25">
      <c r="A233" s="8" t="s">
        <v>556</v>
      </c>
      <c r="B233" s="8" t="s">
        <v>557</v>
      </c>
      <c r="C233" s="8" t="s">
        <v>583</v>
      </c>
      <c r="D233" s="8" t="s">
        <v>584</v>
      </c>
      <c r="E233" s="8" t="s">
        <v>585</v>
      </c>
      <c r="F233" s="8" t="s">
        <v>586</v>
      </c>
      <c r="G233" s="9">
        <v>149878</v>
      </c>
      <c r="H233" s="10">
        <f>INDEX([1]ratio_ins!F:F,MATCH('001_population_health_zone_zs'!$B$2,[1]ratio_ins!$B:$B,0))*$G233*INDEX([1]ratio_ins!$C:$C,MATCH('001_population_health_zone_zs'!$B233,[1]ratio_ins!$B:$B,0))</f>
        <v>15411.654984000003</v>
      </c>
      <c r="I233" s="10">
        <f>INDEX([1]ratio_ins!G:G,MATCH('001_population_health_zone_zs'!$B$2,[1]ratio_ins!$B:$B,0))*$G233*INDEX([1]ratio_ins!$C:$C,MATCH('001_population_health_zone_zs'!$B233,[1]ratio_ins!$B:$B,0))</f>
        <v>12609.535896000003</v>
      </c>
      <c r="J233" s="10">
        <f>INDEX([1]ratio_ins!H:H,MATCH('001_population_health_zone_zs'!$B$2,[1]ratio_ins!$B:$B,0))*$G233*INDEX([1]ratio_ins!$C:$C,MATCH('001_population_health_zone_zs'!$B233,[1]ratio_ins!$B:$B,0))</f>
        <v>9954.8967600000014</v>
      </c>
      <c r="K233" s="10">
        <f>INDEX([1]ratio_ins!I:I,MATCH('001_population_health_zone_zs'!$B$2,[1]ratio_ins!$B:$B,0))*$G233*INDEX([1]ratio_ins!$C:$C,MATCH('001_population_health_zone_zs'!$B233,[1]ratio_ins!$B:$B,0))</f>
        <v>6120.4180080000006</v>
      </c>
      <c r="L233" s="10">
        <f>INDEX([1]ratio_ins!J:J,MATCH('001_population_health_zone_zs'!$B$2,[1]ratio_ins!$B:$B,0))*$G233*INDEX([1]ratio_ins!$C:$C,MATCH('001_population_health_zone_zs'!$B233,[1]ratio_ins!$B:$B,0))</f>
        <v>3672.2508048000004</v>
      </c>
      <c r="M233" s="11">
        <f>INDEX([1]ratio_ins!K:K,MATCH('001_population_health_zone_zs'!$B$2,[1]ratio_ins!$B:$B,0))*$G233*INDEX([1]ratio_ins!$C:$C,MATCH('001_population_health_zone_zs'!$B233,[1]ratio_ins!$B:$B,0))</f>
        <v>41648.338444800007</v>
      </c>
      <c r="N233" s="10">
        <f>INDEX([1]ratio_ins!L:L,MATCH('001_population_health_zone_zs'!$B$2,[1]ratio_ins!$B:$B,0))*$G233*INDEX([1]ratio_ins!$C:$C,MATCH('001_population_health_zone_zs'!$B233,[1]ratio_ins!$B:$B,0))</f>
        <v>2448.1672032000001</v>
      </c>
      <c r="O233" s="10">
        <f>INDEX([1]ratio_ins!M:M,MATCH('001_population_health_zone_zs'!$B$2,[1]ratio_ins!$B:$B,0))*$G233*INDEX([1]ratio_ins!$C:$C,MATCH('001_population_health_zone_zs'!$B233,[1]ratio_ins!$B:$B,0))</f>
        <v>5309.2782720000014</v>
      </c>
      <c r="P233" s="10">
        <f>INDEX([1]ratio_ins!N:N,MATCH('001_population_health_zone_zs'!$B$2,[1]ratio_ins!$B:$B,0))*$G233*INDEX([1]ratio_ins!$C:$C,MATCH('001_population_health_zone_zs'!$B233,[1]ratio_ins!$B:$B,0))</f>
        <v>4793.0984400000007</v>
      </c>
      <c r="Q233" s="10">
        <f>INDEX([1]ratio_ins!O:O,MATCH('001_population_health_zone_zs'!$B$2,[1]ratio_ins!$B:$B,0))*$G233*INDEX([1]ratio_ins!$C:$C,MATCH('001_population_health_zone_zs'!$B233,[1]ratio_ins!$B:$B,0))</f>
        <v>4276.9186079999999</v>
      </c>
      <c r="R233" s="10">
        <f>INDEX([1]ratio_ins!P:P,MATCH('001_population_health_zone_zs'!$B$2,[1]ratio_ins!$B:$B,0))*$G233*INDEX([1]ratio_ins!$C:$C,MATCH('001_population_health_zone_zs'!$B233,[1]ratio_ins!$B:$B,0))</f>
        <v>4203.1786320000001</v>
      </c>
      <c r="S233" s="10">
        <f>INDEX([1]ratio_ins!Q:Q,MATCH('001_population_health_zone_zs'!$B$2,[1]ratio_ins!$B:$B,0))*$G233*INDEX([1]ratio_ins!$C:$C,MATCH('001_population_health_zone_zs'!$B233,[1]ratio_ins!$B:$B,0))</f>
        <v>3539.5188480000006</v>
      </c>
      <c r="T233" s="10">
        <f>INDEX([1]ratio_ins!R:R,MATCH('001_population_health_zone_zs'!$B$2,[1]ratio_ins!$B:$B,0))*$G233*INDEX([1]ratio_ins!$C:$C,MATCH('001_population_health_zone_zs'!$B233,[1]ratio_ins!$B:$B,0))</f>
        <v>2507.1591840000006</v>
      </c>
      <c r="U233" s="10">
        <f>INDEX([1]ratio_ins!S:S,MATCH('001_population_health_zone_zs'!$B$2,[1]ratio_ins!$B:$B,0))*$G233*INDEX([1]ratio_ins!$C:$C,MATCH('001_population_health_zone_zs'!$B233,[1]ratio_ins!$B:$B,0))</f>
        <v>1990.9793520000005</v>
      </c>
      <c r="V233" s="10">
        <f>INDEX([1]ratio_ins!T:T,MATCH('001_population_health_zone_zs'!$B$2,[1]ratio_ins!$B:$B,0))*$G233*INDEX([1]ratio_ins!$C:$C,MATCH('001_population_health_zone_zs'!$B233,[1]ratio_ins!$B:$B,0))</f>
        <v>1106.0996400000001</v>
      </c>
      <c r="W233" s="11">
        <f>INDEX([1]ratio_ins!U:U,MATCH('001_population_health_zone_zs'!$B$2,[1]ratio_ins!$B:$B,0))*$G233*INDEX([1]ratio_ins!$C:$C,MATCH('001_population_health_zone_zs'!$B233,[1]ratio_ins!$B:$B,0))</f>
        <v>30174.398179200005</v>
      </c>
      <c r="X233" s="10">
        <f>INDEX([1]ratio_ins!V:V,MATCH('001_population_health_zone_zs'!$B$2,[1]ratio_ins!$B:$B,0))*$G233*INDEX([1]ratio_ins!$C:$C,MATCH('001_population_health_zone_zs'!$B233,[1]ratio_ins!$B:$B,0))</f>
        <v>884.87971200000015</v>
      </c>
      <c r="Y233" s="10">
        <f>INDEX([1]ratio_ins!W:W,MATCH('001_population_health_zone_zs'!$B$2,[1]ratio_ins!$B:$B,0))*$G233*INDEX([1]ratio_ins!$C:$C,MATCH('001_population_health_zone_zs'!$B233,[1]ratio_ins!$B:$B,0))</f>
        <v>589.9198080000001</v>
      </c>
      <c r="Z233" s="10">
        <f>INDEX([1]ratio_ins!X:X,MATCH('001_population_health_zone_zs'!$B$2,[1]ratio_ins!$B:$B,0))*$G233*INDEX([1]ratio_ins!$C:$C,MATCH('001_population_health_zone_zs'!$B233,[1]ratio_ins!$B:$B,0))</f>
        <v>294.95990400000005</v>
      </c>
      <c r="AA233" s="10">
        <f>INDEX([1]ratio_ins!Y:Y,MATCH('001_population_health_zone_zs'!$B$2,[1]ratio_ins!$B:$B,0))*$G233*INDEX([1]ratio_ins!$C:$C,MATCH('001_population_health_zone_zs'!$B233,[1]ratio_ins!$B:$B,0))</f>
        <v>147.47995200000003</v>
      </c>
      <c r="AB233" s="11">
        <f>INDEX([1]ratio_ins!Z:Z,MATCH('001_population_health_zone_zs'!$B$2,[1]ratio_ins!$B:$B,0))*$G233*INDEX([1]ratio_ins!$C:$C,MATCH('001_population_health_zone_zs'!$B233,[1]ratio_ins!$B:$B,0))</f>
        <v>1917.2393760000004</v>
      </c>
      <c r="AC233" s="12">
        <f t="shared" si="18"/>
        <v>73739.97600000001</v>
      </c>
      <c r="AD233" s="10">
        <f>INDEX([1]ratio_ins!AA:AA,MATCH('001_population_health_zone_zs'!$B$2,[1]ratio_ins!$B:$B,0))*$G233*INDEX([1]ratio_ins!$D:$D,MATCH('001_population_health_zone_zs'!$B233,[1]ratio_ins!$B:$B,0))</f>
        <v>15988.98504</v>
      </c>
      <c r="AE233" s="10">
        <f>INDEX([1]ratio_ins!AB:AB,MATCH('001_population_health_zone_zs'!$B$2,[1]ratio_ins!$B:$B,0))*$G233*INDEX([1]ratio_ins!$D:$D,MATCH('001_population_health_zone_zs'!$B233,[1]ratio_ins!$B:$B,0))</f>
        <v>13171.878152000003</v>
      </c>
      <c r="AF233" s="10">
        <f>INDEX([1]ratio_ins!AC:AC,MATCH('001_population_health_zone_zs'!$B$2,[1]ratio_ins!$B:$B,0))*$G233*INDEX([1]ratio_ins!$D:$D,MATCH('001_population_health_zone_zs'!$B233,[1]ratio_ins!$B:$B,0))</f>
        <v>10430.909287999999</v>
      </c>
      <c r="AG233" s="10">
        <f>INDEX([1]ratio_ins!AD:AD,MATCH('001_population_health_zone_zs'!$B$2,[1]ratio_ins!$B:$B,0))*$G233*INDEX([1]ratio_ins!$D:$D,MATCH('001_population_health_zone_zs'!$B233,[1]ratio_ins!$B:$B,0))</f>
        <v>6319.4559920000002</v>
      </c>
      <c r="AH233" s="10">
        <f>INDEX([1]ratio_ins!AE:AE,MATCH('001_population_health_zone_zs'!$B$2,[1]ratio_ins!$B:$B,0))*$G233*INDEX([1]ratio_ins!$D:$D,MATCH('001_population_health_zone_zs'!$B233,[1]ratio_ins!$B:$B,0))</f>
        <v>3791.6735951999999</v>
      </c>
      <c r="AI233" s="13">
        <f>INDEX([1]ratio_ins!AF:AF,MATCH('001_population_health_zone_zs'!$B$2,[1]ratio_ins!$B:$B,0))*$G233*INDEX([1]ratio_ins!$D:$D,MATCH('001_population_health_zone_zs'!$B233,[1]ratio_ins!$B:$B,0))</f>
        <v>43383.446075200001</v>
      </c>
      <c r="AJ233" s="10">
        <f>INDEX([1]ratio_ins!AG:AG,MATCH('001_population_health_zone_zs'!$B$2,[1]ratio_ins!$B:$B,0))*$G233*INDEX([1]ratio_ins!$D:$D,MATCH('001_population_health_zone_zs'!$B233,[1]ratio_ins!$B:$B,0))</f>
        <v>2527.7823967999998</v>
      </c>
      <c r="AK233" s="10">
        <f>INDEX([1]ratio_ins!AH:AH,MATCH('001_population_health_zone_zs'!$B$2,[1]ratio_ins!$B:$B,0))*$G233*INDEX([1]ratio_ins!$D:$D,MATCH('001_population_health_zone_zs'!$B233,[1]ratio_ins!$B:$B,0))</f>
        <v>5634.2137760000005</v>
      </c>
      <c r="AL233" s="10">
        <f>INDEX([1]ratio_ins!AI:AI,MATCH('001_population_health_zone_zs'!$B$2,[1]ratio_ins!$B:$B,0))*$G233*INDEX([1]ratio_ins!$D:$D,MATCH('001_population_health_zone_zs'!$B233,[1]ratio_ins!$B:$B,0))</f>
        <v>5329.6616800000002</v>
      </c>
      <c r="AM233" s="10">
        <f>INDEX([1]ratio_ins!AJ:AJ,MATCH('001_population_health_zone_zs'!$B$2,[1]ratio_ins!$B:$B,0))*$G233*INDEX([1]ratio_ins!$D:$D,MATCH('001_population_health_zone_zs'!$B233,[1]ratio_ins!$B:$B,0))</f>
        <v>4872.8335360000001</v>
      </c>
      <c r="AN233" s="10">
        <f>INDEX([1]ratio_ins!AK:AK,MATCH('001_population_health_zone_zs'!$B$2,[1]ratio_ins!$B:$B,0))*$G233*INDEX([1]ratio_ins!$D:$D,MATCH('001_population_health_zone_zs'!$B233,[1]ratio_ins!$B:$B,0))</f>
        <v>4568.2814400000007</v>
      </c>
      <c r="AO233" s="10">
        <f>INDEX([1]ratio_ins!AL:AL,MATCH('001_population_health_zone_zs'!$B$2,[1]ratio_ins!$B:$B,0))*$G233*INDEX([1]ratio_ins!$D:$D,MATCH('001_population_health_zone_zs'!$B233,[1]ratio_ins!$B:$B,0))</f>
        <v>3426.2110799999996</v>
      </c>
      <c r="AP233" s="10">
        <f>INDEX([1]ratio_ins!AM:AM,MATCH('001_population_health_zone_zs'!$B$2,[1]ratio_ins!$B:$B,0))*$G233*INDEX([1]ratio_ins!$D:$D,MATCH('001_population_health_zone_zs'!$B233,[1]ratio_ins!$B:$B,0))</f>
        <v>2208.002696</v>
      </c>
      <c r="AQ233" s="10">
        <f>INDEX([1]ratio_ins!AN:AN,MATCH('001_population_health_zone_zs'!$B$2,[1]ratio_ins!$B:$B,0))*$G233*INDEX([1]ratio_ins!$D:$D,MATCH('001_population_health_zone_zs'!$B233,[1]ratio_ins!$B:$B,0))</f>
        <v>1751.1745519999999</v>
      </c>
      <c r="AR233" s="10">
        <f>INDEX([1]ratio_ins!AO:AO,MATCH('001_population_health_zone_zs'!$B$2,[1]ratio_ins!$B:$B,0))*$G233*INDEX([1]ratio_ins!$D:$D,MATCH('001_population_health_zone_zs'!$B233,[1]ratio_ins!$B:$B,0))</f>
        <v>837.51826400000004</v>
      </c>
      <c r="AS233" s="13">
        <f>INDEX([1]ratio_ins!AP:AP,MATCH('001_population_health_zone_zs'!$B$2,[1]ratio_ins!$B:$B,0))*$G233*INDEX([1]ratio_ins!$D:$D,MATCH('001_population_health_zone_zs'!$B233,[1]ratio_ins!$B:$B,0))</f>
        <v>31155.679420800003</v>
      </c>
      <c r="AT233" s="10">
        <f>INDEX([1]ratio_ins!AQ:AQ,MATCH('001_population_health_zone_zs'!$B$2,[1]ratio_ins!$B:$B,0))*$G233*INDEX([1]ratio_ins!$D:$D,MATCH('001_population_health_zone_zs'!$B233,[1]ratio_ins!$B:$B,0))</f>
        <v>761.38023999999996</v>
      </c>
      <c r="AU233" s="10">
        <f>INDEX([1]ratio_ins!AR:AR,MATCH('001_population_health_zone_zs'!$B$2,[1]ratio_ins!$B:$B,0))*$G233*INDEX([1]ratio_ins!$D:$D,MATCH('001_population_health_zone_zs'!$B233,[1]ratio_ins!$B:$B,0))</f>
        <v>456.82814400000001</v>
      </c>
      <c r="AV233" s="10">
        <f>INDEX([1]ratio_ins!AS:AS,MATCH('001_population_health_zone_zs'!$B$2,[1]ratio_ins!$B:$B,0))*$G233*INDEX([1]ratio_ins!$D:$D,MATCH('001_population_health_zone_zs'!$B233,[1]ratio_ins!$B:$B,0))</f>
        <v>228.414072</v>
      </c>
      <c r="AW233" s="10">
        <f>INDEX([1]ratio_ins!AT:AT,MATCH('001_population_health_zone_zs'!$B$2,[1]ratio_ins!$B:$B,0))*$G233*INDEX([1]ratio_ins!$D:$D,MATCH('001_population_health_zone_zs'!$B233,[1]ratio_ins!$B:$B,0))</f>
        <v>152.276048</v>
      </c>
      <c r="AX233" s="13">
        <f>INDEX([1]ratio_ins!AU:AU,MATCH('001_population_health_zone_zs'!$B$2,[1]ratio_ins!$B:$B,0))*$G233*INDEX([1]ratio_ins!$D:$D,MATCH('001_population_health_zone_zs'!$B233,[1]ratio_ins!$B:$B,0))</f>
        <v>1598.8985039999998</v>
      </c>
      <c r="AY233" s="14">
        <f t="shared" si="19"/>
        <v>76138.024000000005</v>
      </c>
      <c r="AZ233" s="15">
        <f t="shared" si="20"/>
        <v>149878</v>
      </c>
      <c r="BA233" s="16">
        <v>145775.32740554216</v>
      </c>
      <c r="BB233" s="10">
        <f t="shared" si="21"/>
        <v>32358.660200000002</v>
      </c>
      <c r="BC233" s="17">
        <f t="shared" si="22"/>
        <v>0.21590000000000001</v>
      </c>
      <c r="BD233" s="10">
        <f t="shared" si="23"/>
        <v>30749.569992000001</v>
      </c>
    </row>
    <row r="234" spans="1:56" x14ac:dyDescent="0.25">
      <c r="A234" s="8" t="s">
        <v>556</v>
      </c>
      <c r="B234" s="8" t="s">
        <v>557</v>
      </c>
      <c r="C234" s="8" t="s">
        <v>583</v>
      </c>
      <c r="D234" s="8" t="s">
        <v>584</v>
      </c>
      <c r="E234" s="8" t="s">
        <v>587</v>
      </c>
      <c r="F234" s="8" t="s">
        <v>588</v>
      </c>
      <c r="G234" s="9">
        <v>230691</v>
      </c>
      <c r="H234" s="10">
        <f>INDEX([1]ratio_ins!F:F,MATCH('001_population_health_zone_zs'!$B$2,[1]ratio_ins!$B:$B,0))*$G234*INDEX([1]ratio_ins!$C:$C,MATCH('001_population_health_zone_zs'!$B234,[1]ratio_ins!$B:$B,0))</f>
        <v>23721.494147999998</v>
      </c>
      <c r="I234" s="10">
        <f>INDEX([1]ratio_ins!G:G,MATCH('001_population_health_zone_zs'!$B$2,[1]ratio_ins!$B:$B,0))*$G234*INDEX([1]ratio_ins!$C:$C,MATCH('001_population_health_zone_zs'!$B234,[1]ratio_ins!$B:$B,0))</f>
        <v>19408.495212000002</v>
      </c>
      <c r="J234" s="10">
        <f>INDEX([1]ratio_ins!H:H,MATCH('001_population_health_zone_zs'!$B$2,[1]ratio_ins!$B:$B,0))*$G234*INDEX([1]ratio_ins!$C:$C,MATCH('001_population_health_zone_zs'!$B234,[1]ratio_ins!$B:$B,0))</f>
        <v>15322.496220000003</v>
      </c>
      <c r="K234" s="10">
        <f>INDEX([1]ratio_ins!I:I,MATCH('001_population_health_zone_zs'!$B$2,[1]ratio_ins!$B:$B,0))*$G234*INDEX([1]ratio_ins!$C:$C,MATCH('001_population_health_zone_zs'!$B234,[1]ratio_ins!$B:$B,0))</f>
        <v>9420.4976760000027</v>
      </c>
      <c r="L234" s="10">
        <f>INDEX([1]ratio_ins!J:J,MATCH('001_population_health_zone_zs'!$B$2,[1]ratio_ins!$B:$B,0))*$G234*INDEX([1]ratio_ins!$C:$C,MATCH('001_population_health_zone_zs'!$B234,[1]ratio_ins!$B:$B,0))</f>
        <v>5652.2986056000009</v>
      </c>
      <c r="M234" s="11">
        <f>INDEX([1]ratio_ins!K:K,MATCH('001_population_health_zone_zs'!$B$2,[1]ratio_ins!$B:$B,0))*$G234*INDEX([1]ratio_ins!$C:$C,MATCH('001_population_health_zone_zs'!$B234,[1]ratio_ins!$B:$B,0))</f>
        <v>64104.784185600001</v>
      </c>
      <c r="N234" s="10">
        <f>INDEX([1]ratio_ins!L:L,MATCH('001_population_health_zone_zs'!$B$2,[1]ratio_ins!$B:$B,0))*$G234*INDEX([1]ratio_ins!$C:$C,MATCH('001_population_health_zone_zs'!$B234,[1]ratio_ins!$B:$B,0))</f>
        <v>3768.1990704000004</v>
      </c>
      <c r="O234" s="10">
        <f>INDEX([1]ratio_ins!M:M,MATCH('001_population_health_zone_zs'!$B$2,[1]ratio_ins!$B:$B,0))*$G234*INDEX([1]ratio_ins!$C:$C,MATCH('001_population_health_zone_zs'!$B234,[1]ratio_ins!$B:$B,0))</f>
        <v>8171.9979840000015</v>
      </c>
      <c r="P234" s="10">
        <f>INDEX([1]ratio_ins!N:N,MATCH('001_population_health_zone_zs'!$B$2,[1]ratio_ins!$B:$B,0))*$G234*INDEX([1]ratio_ins!$C:$C,MATCH('001_population_health_zone_zs'!$B234,[1]ratio_ins!$B:$B,0))</f>
        <v>7377.4981800000014</v>
      </c>
      <c r="Q234" s="10">
        <f>INDEX([1]ratio_ins!O:O,MATCH('001_population_health_zone_zs'!$B$2,[1]ratio_ins!$B:$B,0))*$G234*INDEX([1]ratio_ins!$C:$C,MATCH('001_population_health_zone_zs'!$B234,[1]ratio_ins!$B:$B,0))</f>
        <v>6582.9983760000005</v>
      </c>
      <c r="R234" s="10">
        <f>INDEX([1]ratio_ins!P:P,MATCH('001_population_health_zone_zs'!$B$2,[1]ratio_ins!$B:$B,0))*$G234*INDEX([1]ratio_ins!$C:$C,MATCH('001_population_health_zone_zs'!$B234,[1]ratio_ins!$B:$B,0))</f>
        <v>6469.4984040000008</v>
      </c>
      <c r="S234" s="10">
        <f>INDEX([1]ratio_ins!Q:Q,MATCH('001_population_health_zone_zs'!$B$2,[1]ratio_ins!$B:$B,0))*$G234*INDEX([1]ratio_ins!$C:$C,MATCH('001_population_health_zone_zs'!$B234,[1]ratio_ins!$B:$B,0))</f>
        <v>5447.9986560000007</v>
      </c>
      <c r="T234" s="10">
        <f>INDEX([1]ratio_ins!R:R,MATCH('001_population_health_zone_zs'!$B$2,[1]ratio_ins!$B:$B,0))*$G234*INDEX([1]ratio_ins!$C:$C,MATCH('001_population_health_zone_zs'!$B234,[1]ratio_ins!$B:$B,0))</f>
        <v>3858.9990480000006</v>
      </c>
      <c r="U234" s="10">
        <f>INDEX([1]ratio_ins!S:S,MATCH('001_population_health_zone_zs'!$B$2,[1]ratio_ins!$B:$B,0))*$G234*INDEX([1]ratio_ins!$C:$C,MATCH('001_population_health_zone_zs'!$B234,[1]ratio_ins!$B:$B,0))</f>
        <v>3064.499244000001</v>
      </c>
      <c r="V234" s="10">
        <f>INDEX([1]ratio_ins!T:T,MATCH('001_population_health_zone_zs'!$B$2,[1]ratio_ins!$B:$B,0))*$G234*INDEX([1]ratio_ins!$C:$C,MATCH('001_population_health_zone_zs'!$B234,[1]ratio_ins!$B:$B,0))</f>
        <v>1702.4995800000002</v>
      </c>
      <c r="W234" s="11">
        <f>INDEX([1]ratio_ins!U:U,MATCH('001_population_health_zone_zs'!$B$2,[1]ratio_ins!$B:$B,0))*$G234*INDEX([1]ratio_ins!$C:$C,MATCH('001_population_health_zone_zs'!$B234,[1]ratio_ins!$B:$B,0))</f>
        <v>46444.188542400007</v>
      </c>
      <c r="X234" s="10">
        <f>INDEX([1]ratio_ins!V:V,MATCH('001_population_health_zone_zs'!$B$2,[1]ratio_ins!$B:$B,0))*$G234*INDEX([1]ratio_ins!$C:$C,MATCH('001_population_health_zone_zs'!$B234,[1]ratio_ins!$B:$B,0))</f>
        <v>1361.9996640000002</v>
      </c>
      <c r="Y234" s="10">
        <f>INDEX([1]ratio_ins!W:W,MATCH('001_population_health_zone_zs'!$B$2,[1]ratio_ins!$B:$B,0))*$G234*INDEX([1]ratio_ins!$C:$C,MATCH('001_population_health_zone_zs'!$B234,[1]ratio_ins!$B:$B,0))</f>
        <v>907.99977600000011</v>
      </c>
      <c r="Z234" s="10">
        <f>INDEX([1]ratio_ins!X:X,MATCH('001_population_health_zone_zs'!$B$2,[1]ratio_ins!$B:$B,0))*$G234*INDEX([1]ratio_ins!$C:$C,MATCH('001_population_health_zone_zs'!$B234,[1]ratio_ins!$B:$B,0))</f>
        <v>453.99988800000006</v>
      </c>
      <c r="AA234" s="10">
        <f>INDEX([1]ratio_ins!Y:Y,MATCH('001_population_health_zone_zs'!$B$2,[1]ratio_ins!$B:$B,0))*$G234*INDEX([1]ratio_ins!$C:$C,MATCH('001_population_health_zone_zs'!$B234,[1]ratio_ins!$B:$B,0))</f>
        <v>226.99994400000003</v>
      </c>
      <c r="AB234" s="11">
        <f>INDEX([1]ratio_ins!Z:Z,MATCH('001_population_health_zone_zs'!$B$2,[1]ratio_ins!$B:$B,0))*$G234*INDEX([1]ratio_ins!$C:$C,MATCH('001_population_health_zone_zs'!$B234,[1]ratio_ins!$B:$B,0))</f>
        <v>2950.9992720000005</v>
      </c>
      <c r="AC234" s="12">
        <f t="shared" si="18"/>
        <v>113499.97200000001</v>
      </c>
      <c r="AD234" s="10">
        <f>INDEX([1]ratio_ins!AA:AA,MATCH('001_population_health_zone_zs'!$B$2,[1]ratio_ins!$B:$B,0))*$G234*INDEX([1]ratio_ins!$D:$D,MATCH('001_population_health_zone_zs'!$B234,[1]ratio_ins!$B:$B,0))</f>
        <v>24610.115880000001</v>
      </c>
      <c r="AE234" s="10">
        <f>INDEX([1]ratio_ins!AB:AB,MATCH('001_population_health_zone_zs'!$B$2,[1]ratio_ins!$B:$B,0))*$G234*INDEX([1]ratio_ins!$D:$D,MATCH('001_population_health_zone_zs'!$B234,[1]ratio_ins!$B:$B,0))</f>
        <v>20274.047844000004</v>
      </c>
      <c r="AF234" s="10">
        <f>INDEX([1]ratio_ins!AC:AC,MATCH('001_population_health_zone_zs'!$B$2,[1]ratio_ins!$B:$B,0))*$G234*INDEX([1]ratio_ins!$D:$D,MATCH('001_population_health_zone_zs'!$B234,[1]ratio_ins!$B:$B,0))</f>
        <v>16055.170835999999</v>
      </c>
      <c r="AG234" s="10">
        <f>INDEX([1]ratio_ins!AD:AD,MATCH('001_population_health_zone_zs'!$B$2,[1]ratio_ins!$B:$B,0))*$G234*INDEX([1]ratio_ins!$D:$D,MATCH('001_population_health_zone_zs'!$B234,[1]ratio_ins!$B:$B,0))</f>
        <v>9726.8553240000019</v>
      </c>
      <c r="AH234" s="10">
        <f>INDEX([1]ratio_ins!AE:AE,MATCH('001_population_health_zone_zs'!$B$2,[1]ratio_ins!$B:$B,0))*$G234*INDEX([1]ratio_ins!$D:$D,MATCH('001_population_health_zone_zs'!$B234,[1]ratio_ins!$B:$B,0))</f>
        <v>5836.1131943999999</v>
      </c>
      <c r="AI234" s="13">
        <f>INDEX([1]ratio_ins!AF:AF,MATCH('001_population_health_zone_zs'!$B$2,[1]ratio_ins!$B:$B,0))*$G234*INDEX([1]ratio_ins!$D:$D,MATCH('001_population_health_zone_zs'!$B234,[1]ratio_ins!$B:$B,0))</f>
        <v>66775.447754399996</v>
      </c>
      <c r="AJ234" s="10">
        <f>INDEX([1]ratio_ins!AG:AG,MATCH('001_population_health_zone_zs'!$B$2,[1]ratio_ins!$B:$B,0))*$G234*INDEX([1]ratio_ins!$D:$D,MATCH('001_population_health_zone_zs'!$B234,[1]ratio_ins!$B:$B,0))</f>
        <v>3890.7421296000002</v>
      </c>
      <c r="AK234" s="10">
        <f>INDEX([1]ratio_ins!AH:AH,MATCH('001_population_health_zone_zs'!$B$2,[1]ratio_ins!$B:$B,0))*$G234*INDEX([1]ratio_ins!$D:$D,MATCH('001_population_health_zone_zs'!$B234,[1]ratio_ins!$B:$B,0))</f>
        <v>8672.1360720000011</v>
      </c>
      <c r="AL234" s="10">
        <f>INDEX([1]ratio_ins!AI:AI,MATCH('001_population_health_zone_zs'!$B$2,[1]ratio_ins!$B:$B,0))*$G234*INDEX([1]ratio_ins!$D:$D,MATCH('001_population_health_zone_zs'!$B234,[1]ratio_ins!$B:$B,0))</f>
        <v>8203.3719600000004</v>
      </c>
      <c r="AM234" s="10">
        <f>INDEX([1]ratio_ins!AJ:AJ,MATCH('001_population_health_zone_zs'!$B$2,[1]ratio_ins!$B:$B,0))*$G234*INDEX([1]ratio_ins!$D:$D,MATCH('001_population_health_zone_zs'!$B234,[1]ratio_ins!$B:$B,0))</f>
        <v>7500.2257920000002</v>
      </c>
      <c r="AN234" s="10">
        <f>INDEX([1]ratio_ins!AK:AK,MATCH('001_population_health_zone_zs'!$B$2,[1]ratio_ins!$B:$B,0))*$G234*INDEX([1]ratio_ins!$D:$D,MATCH('001_population_health_zone_zs'!$B234,[1]ratio_ins!$B:$B,0))</f>
        <v>7031.4616799999994</v>
      </c>
      <c r="AO234" s="10">
        <f>INDEX([1]ratio_ins!AL:AL,MATCH('001_population_health_zone_zs'!$B$2,[1]ratio_ins!$B:$B,0))*$G234*INDEX([1]ratio_ins!$D:$D,MATCH('001_population_health_zone_zs'!$B234,[1]ratio_ins!$B:$B,0))</f>
        <v>5273.5962599999993</v>
      </c>
      <c r="AP234" s="10">
        <f>INDEX([1]ratio_ins!AM:AM,MATCH('001_population_health_zone_zs'!$B$2,[1]ratio_ins!$B:$B,0))*$G234*INDEX([1]ratio_ins!$D:$D,MATCH('001_population_health_zone_zs'!$B234,[1]ratio_ins!$B:$B,0))</f>
        <v>3398.539812</v>
      </c>
      <c r="AQ234" s="10">
        <f>INDEX([1]ratio_ins!AN:AN,MATCH('001_population_health_zone_zs'!$B$2,[1]ratio_ins!$B:$B,0))*$G234*INDEX([1]ratio_ins!$D:$D,MATCH('001_population_health_zone_zs'!$B234,[1]ratio_ins!$B:$B,0))</f>
        <v>2695.3936440000002</v>
      </c>
      <c r="AR234" s="10">
        <f>INDEX([1]ratio_ins!AO:AO,MATCH('001_population_health_zone_zs'!$B$2,[1]ratio_ins!$B:$B,0))*$G234*INDEX([1]ratio_ins!$D:$D,MATCH('001_population_health_zone_zs'!$B234,[1]ratio_ins!$B:$B,0))</f>
        <v>1289.101308</v>
      </c>
      <c r="AS234" s="13">
        <f>INDEX([1]ratio_ins!AP:AP,MATCH('001_population_health_zone_zs'!$B$2,[1]ratio_ins!$B:$B,0))*$G234*INDEX([1]ratio_ins!$D:$D,MATCH('001_population_health_zone_zs'!$B234,[1]ratio_ins!$B:$B,0))</f>
        <v>47954.568657600008</v>
      </c>
      <c r="AT234" s="10">
        <f>INDEX([1]ratio_ins!AQ:AQ,MATCH('001_population_health_zone_zs'!$B$2,[1]ratio_ins!$B:$B,0))*$G234*INDEX([1]ratio_ins!$D:$D,MATCH('001_population_health_zone_zs'!$B234,[1]ratio_ins!$B:$B,0))</f>
        <v>1171.9102799999998</v>
      </c>
      <c r="AU234" s="10">
        <f>INDEX([1]ratio_ins!AR:AR,MATCH('001_population_health_zone_zs'!$B$2,[1]ratio_ins!$B:$B,0))*$G234*INDEX([1]ratio_ins!$D:$D,MATCH('001_population_health_zone_zs'!$B234,[1]ratio_ins!$B:$B,0))</f>
        <v>703.14616799999999</v>
      </c>
      <c r="AV234" s="10">
        <f>INDEX([1]ratio_ins!AS:AS,MATCH('001_population_health_zone_zs'!$B$2,[1]ratio_ins!$B:$B,0))*$G234*INDEX([1]ratio_ins!$D:$D,MATCH('001_population_health_zone_zs'!$B234,[1]ratio_ins!$B:$B,0))</f>
        <v>351.57308399999999</v>
      </c>
      <c r="AW234" s="10">
        <f>INDEX([1]ratio_ins!AT:AT,MATCH('001_population_health_zone_zs'!$B$2,[1]ratio_ins!$B:$B,0))*$G234*INDEX([1]ratio_ins!$D:$D,MATCH('001_population_health_zone_zs'!$B234,[1]ratio_ins!$B:$B,0))</f>
        <v>234.38205600000001</v>
      </c>
      <c r="AX234" s="13">
        <f>INDEX([1]ratio_ins!AU:AU,MATCH('001_population_health_zone_zs'!$B$2,[1]ratio_ins!$B:$B,0))*$G234*INDEX([1]ratio_ins!$D:$D,MATCH('001_population_health_zone_zs'!$B234,[1]ratio_ins!$B:$B,0))</f>
        <v>2461.0115879999998</v>
      </c>
      <c r="AY234" s="14">
        <f t="shared" si="19"/>
        <v>117191.02799999999</v>
      </c>
      <c r="AZ234" s="15">
        <f t="shared" si="20"/>
        <v>230691</v>
      </c>
      <c r="BA234" s="16">
        <v>224376.9562306013</v>
      </c>
      <c r="BB234" s="10">
        <f t="shared" si="21"/>
        <v>49806.186900000001</v>
      </c>
      <c r="BC234" s="17">
        <f t="shared" si="22"/>
        <v>0.21590000000000001</v>
      </c>
      <c r="BD234" s="10">
        <f t="shared" si="23"/>
        <v>47329.488324000005</v>
      </c>
    </row>
    <row r="235" spans="1:56" x14ac:dyDescent="0.25">
      <c r="A235" s="8" t="s">
        <v>556</v>
      </c>
      <c r="B235" s="8" t="s">
        <v>557</v>
      </c>
      <c r="C235" s="8" t="s">
        <v>583</v>
      </c>
      <c r="D235" s="8" t="s">
        <v>584</v>
      </c>
      <c r="E235" s="8" t="s">
        <v>583</v>
      </c>
      <c r="F235" s="8" t="s">
        <v>589</v>
      </c>
      <c r="G235" s="9">
        <v>181018</v>
      </c>
      <c r="H235" s="10">
        <f>INDEX([1]ratio_ins!F:F,MATCH('001_population_health_zone_zs'!$B$2,[1]ratio_ins!$B:$B,0))*$G235*INDEX([1]ratio_ins!$C:$C,MATCH('001_population_health_zone_zs'!$B235,[1]ratio_ins!$B:$B,0))</f>
        <v>18613.718904000001</v>
      </c>
      <c r="I235" s="10">
        <f>INDEX([1]ratio_ins!G:G,MATCH('001_population_health_zone_zs'!$B$2,[1]ratio_ins!$B:$B,0))*$G235*INDEX([1]ratio_ins!$C:$C,MATCH('001_population_health_zone_zs'!$B235,[1]ratio_ins!$B:$B,0))</f>
        <v>15229.406376000003</v>
      </c>
      <c r="J235" s="10">
        <f>INDEX([1]ratio_ins!H:H,MATCH('001_population_health_zone_zs'!$B$2,[1]ratio_ins!$B:$B,0))*$G235*INDEX([1]ratio_ins!$C:$C,MATCH('001_population_health_zone_zs'!$B235,[1]ratio_ins!$B:$B,0))</f>
        <v>12023.215560000001</v>
      </c>
      <c r="K235" s="10">
        <f>INDEX([1]ratio_ins!I:I,MATCH('001_population_health_zone_zs'!$B$2,[1]ratio_ins!$B:$B,0))*$G235*INDEX([1]ratio_ins!$C:$C,MATCH('001_population_health_zone_zs'!$B235,[1]ratio_ins!$B:$B,0))</f>
        <v>7392.0510480000012</v>
      </c>
      <c r="L235" s="10">
        <f>INDEX([1]ratio_ins!J:J,MATCH('001_population_health_zone_zs'!$B$2,[1]ratio_ins!$B:$B,0))*$G235*INDEX([1]ratio_ins!$C:$C,MATCH('001_population_health_zone_zs'!$B235,[1]ratio_ins!$B:$B,0))</f>
        <v>4435.2306288</v>
      </c>
      <c r="M235" s="11">
        <f>INDEX([1]ratio_ins!K:K,MATCH('001_population_health_zone_zs'!$B$2,[1]ratio_ins!$B:$B,0))*$G235*INDEX([1]ratio_ins!$C:$C,MATCH('001_population_health_zone_zs'!$B235,[1]ratio_ins!$B:$B,0))</f>
        <v>50301.571468800001</v>
      </c>
      <c r="N235" s="10">
        <f>INDEX([1]ratio_ins!L:L,MATCH('001_population_health_zone_zs'!$B$2,[1]ratio_ins!$B:$B,0))*$G235*INDEX([1]ratio_ins!$C:$C,MATCH('001_population_health_zone_zs'!$B235,[1]ratio_ins!$B:$B,0))</f>
        <v>2956.8204192000003</v>
      </c>
      <c r="O235" s="10">
        <f>INDEX([1]ratio_ins!M:M,MATCH('001_population_health_zone_zs'!$B$2,[1]ratio_ins!$B:$B,0))*$G235*INDEX([1]ratio_ins!$C:$C,MATCH('001_population_health_zone_zs'!$B235,[1]ratio_ins!$B:$B,0))</f>
        <v>6412.3816320000014</v>
      </c>
      <c r="P235" s="10">
        <f>INDEX([1]ratio_ins!N:N,MATCH('001_population_health_zone_zs'!$B$2,[1]ratio_ins!$B:$B,0))*$G235*INDEX([1]ratio_ins!$C:$C,MATCH('001_population_health_zone_zs'!$B235,[1]ratio_ins!$B:$B,0))</f>
        <v>5788.955640000001</v>
      </c>
      <c r="Q235" s="10">
        <f>INDEX([1]ratio_ins!O:O,MATCH('001_population_health_zone_zs'!$B$2,[1]ratio_ins!$B:$B,0))*$G235*INDEX([1]ratio_ins!$C:$C,MATCH('001_population_health_zone_zs'!$B235,[1]ratio_ins!$B:$B,0))</f>
        <v>5165.5296480000006</v>
      </c>
      <c r="R235" s="10">
        <f>INDEX([1]ratio_ins!P:P,MATCH('001_population_health_zone_zs'!$B$2,[1]ratio_ins!$B:$B,0))*$G235*INDEX([1]ratio_ins!$C:$C,MATCH('001_population_health_zone_zs'!$B235,[1]ratio_ins!$B:$B,0))</f>
        <v>5076.4687920000006</v>
      </c>
      <c r="S235" s="10">
        <f>INDEX([1]ratio_ins!Q:Q,MATCH('001_population_health_zone_zs'!$B$2,[1]ratio_ins!$B:$B,0))*$G235*INDEX([1]ratio_ins!$C:$C,MATCH('001_population_health_zone_zs'!$B235,[1]ratio_ins!$B:$B,0))</f>
        <v>4274.9210880000001</v>
      </c>
      <c r="T235" s="10">
        <f>INDEX([1]ratio_ins!R:R,MATCH('001_population_health_zone_zs'!$B$2,[1]ratio_ins!$B:$B,0))*$G235*INDEX([1]ratio_ins!$C:$C,MATCH('001_population_health_zone_zs'!$B235,[1]ratio_ins!$B:$B,0))</f>
        <v>3028.0691040000002</v>
      </c>
      <c r="U235" s="10">
        <f>INDEX([1]ratio_ins!S:S,MATCH('001_population_health_zone_zs'!$B$2,[1]ratio_ins!$B:$B,0))*$G235*INDEX([1]ratio_ins!$C:$C,MATCH('001_population_health_zone_zs'!$B235,[1]ratio_ins!$B:$B,0))</f>
        <v>2404.6431120000007</v>
      </c>
      <c r="V235" s="10">
        <f>INDEX([1]ratio_ins!T:T,MATCH('001_population_health_zone_zs'!$B$2,[1]ratio_ins!$B:$B,0))*$G235*INDEX([1]ratio_ins!$C:$C,MATCH('001_population_health_zone_zs'!$B235,[1]ratio_ins!$B:$B,0))</f>
        <v>1335.9128400000002</v>
      </c>
      <c r="W235" s="11">
        <f>INDEX([1]ratio_ins!U:U,MATCH('001_population_health_zone_zs'!$B$2,[1]ratio_ins!$B:$B,0))*$G235*INDEX([1]ratio_ins!$C:$C,MATCH('001_population_health_zone_zs'!$B235,[1]ratio_ins!$B:$B,0))</f>
        <v>36443.702275200005</v>
      </c>
      <c r="X235" s="10">
        <f>INDEX([1]ratio_ins!V:V,MATCH('001_population_health_zone_zs'!$B$2,[1]ratio_ins!$B:$B,0))*$G235*INDEX([1]ratio_ins!$C:$C,MATCH('001_population_health_zone_zs'!$B235,[1]ratio_ins!$B:$B,0))</f>
        <v>1068.730272</v>
      </c>
      <c r="Y235" s="10">
        <f>INDEX([1]ratio_ins!W:W,MATCH('001_population_health_zone_zs'!$B$2,[1]ratio_ins!$B:$B,0))*$G235*INDEX([1]ratio_ins!$C:$C,MATCH('001_population_health_zone_zs'!$B235,[1]ratio_ins!$B:$B,0))</f>
        <v>712.48684800000012</v>
      </c>
      <c r="Z235" s="10">
        <f>INDEX([1]ratio_ins!X:X,MATCH('001_population_health_zone_zs'!$B$2,[1]ratio_ins!$B:$B,0))*$G235*INDEX([1]ratio_ins!$C:$C,MATCH('001_population_health_zone_zs'!$B235,[1]ratio_ins!$B:$B,0))</f>
        <v>356.24342400000006</v>
      </c>
      <c r="AA235" s="10">
        <f>INDEX([1]ratio_ins!Y:Y,MATCH('001_population_health_zone_zs'!$B$2,[1]ratio_ins!$B:$B,0))*$G235*INDEX([1]ratio_ins!$C:$C,MATCH('001_population_health_zone_zs'!$B235,[1]ratio_ins!$B:$B,0))</f>
        <v>178.12171200000003</v>
      </c>
      <c r="AB235" s="11">
        <f>INDEX([1]ratio_ins!Z:Z,MATCH('001_population_health_zone_zs'!$B$2,[1]ratio_ins!$B:$B,0))*$G235*INDEX([1]ratio_ins!$C:$C,MATCH('001_population_health_zone_zs'!$B235,[1]ratio_ins!$B:$B,0))</f>
        <v>2315.5822560000006</v>
      </c>
      <c r="AC235" s="12">
        <f t="shared" si="18"/>
        <v>89060.856</v>
      </c>
      <c r="AD235" s="10">
        <f>INDEX([1]ratio_ins!AA:AA,MATCH('001_population_health_zone_zs'!$B$2,[1]ratio_ins!$B:$B,0))*$G235*INDEX([1]ratio_ins!$D:$D,MATCH('001_population_health_zone_zs'!$B235,[1]ratio_ins!$B:$B,0))</f>
        <v>19311.000240000001</v>
      </c>
      <c r="AE235" s="10">
        <f>INDEX([1]ratio_ins!AB:AB,MATCH('001_population_health_zone_zs'!$B$2,[1]ratio_ins!$B:$B,0))*$G235*INDEX([1]ratio_ins!$D:$D,MATCH('001_population_health_zone_zs'!$B235,[1]ratio_ins!$B:$B,0))</f>
        <v>15908.585912</v>
      </c>
      <c r="AF235" s="10">
        <f>INDEX([1]ratio_ins!AC:AC,MATCH('001_population_health_zone_zs'!$B$2,[1]ratio_ins!$B:$B,0))*$G235*INDEX([1]ratio_ins!$D:$D,MATCH('001_population_health_zone_zs'!$B235,[1]ratio_ins!$B:$B,0))</f>
        <v>12598.128727999998</v>
      </c>
      <c r="AG235" s="10">
        <f>INDEX([1]ratio_ins!AD:AD,MATCH('001_population_health_zone_zs'!$B$2,[1]ratio_ins!$B:$B,0))*$G235*INDEX([1]ratio_ins!$D:$D,MATCH('001_population_health_zone_zs'!$B235,[1]ratio_ins!$B:$B,0))</f>
        <v>7632.4429520000003</v>
      </c>
      <c r="AH235" s="10">
        <f>INDEX([1]ratio_ins!AE:AE,MATCH('001_population_health_zone_zs'!$B$2,[1]ratio_ins!$B:$B,0))*$G235*INDEX([1]ratio_ins!$D:$D,MATCH('001_population_health_zone_zs'!$B235,[1]ratio_ins!$B:$B,0))</f>
        <v>4579.4657711999998</v>
      </c>
      <c r="AI235" s="13">
        <f>INDEX([1]ratio_ins!AF:AF,MATCH('001_population_health_zone_zs'!$B$2,[1]ratio_ins!$B:$B,0))*$G235*INDEX([1]ratio_ins!$D:$D,MATCH('001_population_health_zone_zs'!$B235,[1]ratio_ins!$B:$B,0))</f>
        <v>52397.180651200004</v>
      </c>
      <c r="AJ235" s="10">
        <f>INDEX([1]ratio_ins!AG:AG,MATCH('001_population_health_zone_zs'!$B$2,[1]ratio_ins!$B:$B,0))*$G235*INDEX([1]ratio_ins!$D:$D,MATCH('001_population_health_zone_zs'!$B235,[1]ratio_ins!$B:$B,0))</f>
        <v>3052.9771808</v>
      </c>
      <c r="AK235" s="10">
        <f>INDEX([1]ratio_ins!AH:AH,MATCH('001_population_health_zone_zs'!$B$2,[1]ratio_ins!$B:$B,0))*$G235*INDEX([1]ratio_ins!$D:$D,MATCH('001_population_health_zone_zs'!$B235,[1]ratio_ins!$B:$B,0))</f>
        <v>6804.8286560000015</v>
      </c>
      <c r="AL235" s="10">
        <f>INDEX([1]ratio_ins!AI:AI,MATCH('001_population_health_zone_zs'!$B$2,[1]ratio_ins!$B:$B,0))*$G235*INDEX([1]ratio_ins!$D:$D,MATCH('001_population_health_zone_zs'!$B235,[1]ratio_ins!$B:$B,0))</f>
        <v>6437.0000800000007</v>
      </c>
      <c r="AM235" s="10">
        <f>INDEX([1]ratio_ins!AJ:AJ,MATCH('001_population_health_zone_zs'!$B$2,[1]ratio_ins!$B:$B,0))*$G235*INDEX([1]ratio_ins!$D:$D,MATCH('001_population_health_zone_zs'!$B235,[1]ratio_ins!$B:$B,0))</f>
        <v>5885.257216</v>
      </c>
      <c r="AN235" s="10">
        <f>INDEX([1]ratio_ins!AK:AK,MATCH('001_population_health_zone_zs'!$B$2,[1]ratio_ins!$B:$B,0))*$G235*INDEX([1]ratio_ins!$D:$D,MATCH('001_population_health_zone_zs'!$B235,[1]ratio_ins!$B:$B,0))</f>
        <v>5517.4286400000001</v>
      </c>
      <c r="AO235" s="10">
        <f>INDEX([1]ratio_ins!AL:AL,MATCH('001_population_health_zone_zs'!$B$2,[1]ratio_ins!$B:$B,0))*$G235*INDEX([1]ratio_ins!$D:$D,MATCH('001_population_health_zone_zs'!$B235,[1]ratio_ins!$B:$B,0))</f>
        <v>4138.0714799999996</v>
      </c>
      <c r="AP235" s="10">
        <f>INDEX([1]ratio_ins!AM:AM,MATCH('001_population_health_zone_zs'!$B$2,[1]ratio_ins!$B:$B,0))*$G235*INDEX([1]ratio_ins!$D:$D,MATCH('001_population_health_zone_zs'!$B235,[1]ratio_ins!$B:$B,0))</f>
        <v>2666.7571760000001</v>
      </c>
      <c r="AQ235" s="10">
        <f>INDEX([1]ratio_ins!AN:AN,MATCH('001_population_health_zone_zs'!$B$2,[1]ratio_ins!$B:$B,0))*$G235*INDEX([1]ratio_ins!$D:$D,MATCH('001_population_health_zone_zs'!$B235,[1]ratio_ins!$B:$B,0))</f>
        <v>2115.0143119999998</v>
      </c>
      <c r="AR235" s="10">
        <f>INDEX([1]ratio_ins!AO:AO,MATCH('001_population_health_zone_zs'!$B$2,[1]ratio_ins!$B:$B,0))*$G235*INDEX([1]ratio_ins!$D:$D,MATCH('001_population_health_zone_zs'!$B235,[1]ratio_ins!$B:$B,0))</f>
        <v>1011.528584</v>
      </c>
      <c r="AS235" s="13">
        <f>INDEX([1]ratio_ins!AP:AP,MATCH('001_population_health_zone_zs'!$B$2,[1]ratio_ins!$B:$B,0))*$G235*INDEX([1]ratio_ins!$D:$D,MATCH('001_population_health_zone_zs'!$B235,[1]ratio_ins!$B:$B,0))</f>
        <v>37628.863324800004</v>
      </c>
      <c r="AT235" s="10">
        <f>INDEX([1]ratio_ins!AQ:AQ,MATCH('001_population_health_zone_zs'!$B$2,[1]ratio_ins!$B:$B,0))*$G235*INDEX([1]ratio_ins!$D:$D,MATCH('001_population_health_zone_zs'!$B235,[1]ratio_ins!$B:$B,0))</f>
        <v>919.57144000000005</v>
      </c>
      <c r="AU235" s="10">
        <f>INDEX([1]ratio_ins!AR:AR,MATCH('001_population_health_zone_zs'!$B$2,[1]ratio_ins!$B:$B,0))*$G235*INDEX([1]ratio_ins!$D:$D,MATCH('001_population_health_zone_zs'!$B235,[1]ratio_ins!$B:$B,0))</f>
        <v>551.74286399999994</v>
      </c>
      <c r="AV235" s="10">
        <f>INDEX([1]ratio_ins!AS:AS,MATCH('001_population_health_zone_zs'!$B$2,[1]ratio_ins!$B:$B,0))*$G235*INDEX([1]ratio_ins!$D:$D,MATCH('001_population_health_zone_zs'!$B235,[1]ratio_ins!$B:$B,0))</f>
        <v>275.87143199999997</v>
      </c>
      <c r="AW235" s="10">
        <f>INDEX([1]ratio_ins!AT:AT,MATCH('001_population_health_zone_zs'!$B$2,[1]ratio_ins!$B:$B,0))*$G235*INDEX([1]ratio_ins!$D:$D,MATCH('001_population_health_zone_zs'!$B235,[1]ratio_ins!$B:$B,0))</f>
        <v>183.914288</v>
      </c>
      <c r="AX235" s="13">
        <f>INDEX([1]ratio_ins!AU:AU,MATCH('001_population_health_zone_zs'!$B$2,[1]ratio_ins!$B:$B,0))*$G235*INDEX([1]ratio_ins!$D:$D,MATCH('001_population_health_zone_zs'!$B235,[1]ratio_ins!$B:$B,0))</f>
        <v>1931.1000239999998</v>
      </c>
      <c r="AY235" s="14">
        <f t="shared" si="19"/>
        <v>91957.144000000015</v>
      </c>
      <c r="AZ235" s="15">
        <f t="shared" si="20"/>
        <v>181018</v>
      </c>
      <c r="BA235" s="16">
        <v>176063.63876804672</v>
      </c>
      <c r="BB235" s="10">
        <f t="shared" si="21"/>
        <v>39081.786199999995</v>
      </c>
      <c r="BC235" s="17">
        <f t="shared" si="22"/>
        <v>0.21589999999999998</v>
      </c>
      <c r="BD235" s="10">
        <f t="shared" si="23"/>
        <v>37138.376952000006</v>
      </c>
    </row>
    <row r="236" spans="1:56" x14ac:dyDescent="0.25">
      <c r="A236" s="8" t="s">
        <v>590</v>
      </c>
      <c r="B236" s="8" t="s">
        <v>591</v>
      </c>
      <c r="C236" s="8" t="s">
        <v>592</v>
      </c>
      <c r="D236" s="8" t="s">
        <v>593</v>
      </c>
      <c r="E236" s="8" t="s">
        <v>594</v>
      </c>
      <c r="F236" s="8" t="s">
        <v>595</v>
      </c>
      <c r="G236" s="9">
        <v>59665</v>
      </c>
      <c r="H236" s="10">
        <f>INDEX([1]ratio_ins!F:F,MATCH('001_population_health_zone_zs'!$B$2,[1]ratio_ins!$B:$B,0))*$G236*INDEX([1]ratio_ins!$C:$C,MATCH('001_population_health_zone_zs'!$B236,[1]ratio_ins!$B:$B,0))</f>
        <v>6135.2326199999998</v>
      </c>
      <c r="I236" s="10">
        <f>INDEX([1]ratio_ins!G:G,MATCH('001_population_health_zone_zs'!$B$2,[1]ratio_ins!$B:$B,0))*$G236*INDEX([1]ratio_ins!$C:$C,MATCH('001_population_health_zone_zs'!$B236,[1]ratio_ins!$B:$B,0))</f>
        <v>5019.7357800000009</v>
      </c>
      <c r="J236" s="10">
        <f>INDEX([1]ratio_ins!H:H,MATCH('001_population_health_zone_zs'!$B$2,[1]ratio_ins!$B:$B,0))*$G236*INDEX([1]ratio_ins!$C:$C,MATCH('001_population_health_zone_zs'!$B236,[1]ratio_ins!$B:$B,0))</f>
        <v>3962.9493000000007</v>
      </c>
      <c r="K236" s="10">
        <f>INDEX([1]ratio_ins!I:I,MATCH('001_population_health_zone_zs'!$B$2,[1]ratio_ins!$B:$B,0))*$G236*INDEX([1]ratio_ins!$C:$C,MATCH('001_population_health_zone_zs'!$B236,[1]ratio_ins!$B:$B,0))</f>
        <v>2436.4799400000006</v>
      </c>
      <c r="L236" s="10">
        <f>INDEX([1]ratio_ins!J:J,MATCH('001_population_health_zone_zs'!$B$2,[1]ratio_ins!$B:$B,0))*$G236*INDEX([1]ratio_ins!$C:$C,MATCH('001_population_health_zone_zs'!$B236,[1]ratio_ins!$B:$B,0))</f>
        <v>1461.8879640000002</v>
      </c>
      <c r="M236" s="11">
        <f>INDEX([1]ratio_ins!K:K,MATCH('001_population_health_zone_zs'!$B$2,[1]ratio_ins!$B:$B,0))*$G236*INDEX([1]ratio_ins!$C:$C,MATCH('001_population_health_zone_zs'!$B236,[1]ratio_ins!$B:$B,0))</f>
        <v>16579.805664000003</v>
      </c>
      <c r="N236" s="10">
        <f>INDEX([1]ratio_ins!L:L,MATCH('001_population_health_zone_zs'!$B$2,[1]ratio_ins!$B:$B,0))*$G236*INDEX([1]ratio_ins!$C:$C,MATCH('001_population_health_zone_zs'!$B236,[1]ratio_ins!$B:$B,0))</f>
        <v>974.59197600000005</v>
      </c>
      <c r="O236" s="10">
        <f>INDEX([1]ratio_ins!M:M,MATCH('001_population_health_zone_zs'!$B$2,[1]ratio_ins!$B:$B,0))*$G236*INDEX([1]ratio_ins!$C:$C,MATCH('001_population_health_zone_zs'!$B236,[1]ratio_ins!$B:$B,0))</f>
        <v>2113.5729600000004</v>
      </c>
      <c r="P236" s="10">
        <f>INDEX([1]ratio_ins!N:N,MATCH('001_population_health_zone_zs'!$B$2,[1]ratio_ins!$B:$B,0))*$G236*INDEX([1]ratio_ins!$C:$C,MATCH('001_population_health_zone_zs'!$B236,[1]ratio_ins!$B:$B,0))</f>
        <v>1908.0867000000001</v>
      </c>
      <c r="Q236" s="10">
        <f>INDEX([1]ratio_ins!O:O,MATCH('001_population_health_zone_zs'!$B$2,[1]ratio_ins!$B:$B,0))*$G236*INDEX([1]ratio_ins!$C:$C,MATCH('001_population_health_zone_zs'!$B236,[1]ratio_ins!$B:$B,0))</f>
        <v>1702.6004399999999</v>
      </c>
      <c r="R236" s="10">
        <f>INDEX([1]ratio_ins!P:P,MATCH('001_population_health_zone_zs'!$B$2,[1]ratio_ins!$B:$B,0))*$G236*INDEX([1]ratio_ins!$C:$C,MATCH('001_population_health_zone_zs'!$B236,[1]ratio_ins!$B:$B,0))</f>
        <v>1673.2452600000004</v>
      </c>
      <c r="S236" s="10">
        <f>INDEX([1]ratio_ins!Q:Q,MATCH('001_population_health_zone_zs'!$B$2,[1]ratio_ins!$B:$B,0))*$G236*INDEX([1]ratio_ins!$C:$C,MATCH('001_population_health_zone_zs'!$B236,[1]ratio_ins!$B:$B,0))</f>
        <v>1409.0486400000002</v>
      </c>
      <c r="T236" s="10">
        <f>INDEX([1]ratio_ins!R:R,MATCH('001_population_health_zone_zs'!$B$2,[1]ratio_ins!$B:$B,0))*$G236*INDEX([1]ratio_ins!$C:$C,MATCH('001_population_health_zone_zs'!$B236,[1]ratio_ins!$B:$B,0))</f>
        <v>998.07612000000017</v>
      </c>
      <c r="U236" s="10">
        <f>INDEX([1]ratio_ins!S:S,MATCH('001_population_health_zone_zs'!$B$2,[1]ratio_ins!$B:$B,0))*$G236*INDEX([1]ratio_ins!$C:$C,MATCH('001_population_health_zone_zs'!$B236,[1]ratio_ins!$B:$B,0))</f>
        <v>792.58986000000016</v>
      </c>
      <c r="V236" s="10">
        <f>INDEX([1]ratio_ins!T:T,MATCH('001_population_health_zone_zs'!$B$2,[1]ratio_ins!$B:$B,0))*$G236*INDEX([1]ratio_ins!$C:$C,MATCH('001_population_health_zone_zs'!$B236,[1]ratio_ins!$B:$B,0))</f>
        <v>440.32770000000005</v>
      </c>
      <c r="W236" s="11">
        <f>INDEX([1]ratio_ins!U:U,MATCH('001_population_health_zone_zs'!$B$2,[1]ratio_ins!$B:$B,0))*$G236*INDEX([1]ratio_ins!$C:$C,MATCH('001_population_health_zone_zs'!$B236,[1]ratio_ins!$B:$B,0))</f>
        <v>12012.139656000001</v>
      </c>
      <c r="X236" s="10">
        <f>INDEX([1]ratio_ins!V:V,MATCH('001_population_health_zone_zs'!$B$2,[1]ratio_ins!$B:$B,0))*$G236*INDEX([1]ratio_ins!$C:$C,MATCH('001_population_health_zone_zs'!$B236,[1]ratio_ins!$B:$B,0))</f>
        <v>352.26216000000005</v>
      </c>
      <c r="Y236" s="10">
        <f>INDEX([1]ratio_ins!W:W,MATCH('001_population_health_zone_zs'!$B$2,[1]ratio_ins!$B:$B,0))*$G236*INDEX([1]ratio_ins!$C:$C,MATCH('001_population_health_zone_zs'!$B236,[1]ratio_ins!$B:$B,0))</f>
        <v>234.84144000000001</v>
      </c>
      <c r="Z236" s="10">
        <f>INDEX([1]ratio_ins!X:X,MATCH('001_population_health_zone_zs'!$B$2,[1]ratio_ins!$B:$B,0))*$G236*INDEX([1]ratio_ins!$C:$C,MATCH('001_population_health_zone_zs'!$B236,[1]ratio_ins!$B:$B,0))</f>
        <v>117.42072</v>
      </c>
      <c r="AA236" s="10">
        <f>INDEX([1]ratio_ins!Y:Y,MATCH('001_population_health_zone_zs'!$B$2,[1]ratio_ins!$B:$B,0))*$G236*INDEX([1]ratio_ins!$C:$C,MATCH('001_population_health_zone_zs'!$B236,[1]ratio_ins!$B:$B,0))</f>
        <v>58.710360000000001</v>
      </c>
      <c r="AB236" s="11">
        <f>INDEX([1]ratio_ins!Z:Z,MATCH('001_population_health_zone_zs'!$B$2,[1]ratio_ins!$B:$B,0))*$G236*INDEX([1]ratio_ins!$C:$C,MATCH('001_population_health_zone_zs'!$B236,[1]ratio_ins!$B:$B,0))</f>
        <v>763.23468000000014</v>
      </c>
      <c r="AC236" s="12">
        <f t="shared" si="18"/>
        <v>29355.180000000008</v>
      </c>
      <c r="AD236" s="10">
        <f>INDEX([1]ratio_ins!AA:AA,MATCH('001_population_health_zone_zs'!$B$2,[1]ratio_ins!$B:$B,0))*$G236*INDEX([1]ratio_ins!$D:$D,MATCH('001_population_health_zone_zs'!$B236,[1]ratio_ins!$B:$B,0))</f>
        <v>6365.0622000000003</v>
      </c>
      <c r="AE236" s="10">
        <f>INDEX([1]ratio_ins!AB:AB,MATCH('001_population_health_zone_zs'!$B$2,[1]ratio_ins!$B:$B,0))*$G236*INDEX([1]ratio_ins!$D:$D,MATCH('001_population_health_zone_zs'!$B236,[1]ratio_ins!$B:$B,0))</f>
        <v>5243.5988600000001</v>
      </c>
      <c r="AF236" s="10">
        <f>INDEX([1]ratio_ins!AC:AC,MATCH('001_population_health_zone_zs'!$B$2,[1]ratio_ins!$B:$B,0))*$G236*INDEX([1]ratio_ins!$D:$D,MATCH('001_population_health_zone_zs'!$B236,[1]ratio_ins!$B:$B,0))</f>
        <v>4152.4453399999993</v>
      </c>
      <c r="AG236" s="10">
        <f>INDEX([1]ratio_ins!AD:AD,MATCH('001_population_health_zone_zs'!$B$2,[1]ratio_ins!$B:$B,0))*$G236*INDEX([1]ratio_ins!$D:$D,MATCH('001_population_health_zone_zs'!$B236,[1]ratio_ins!$B:$B,0))</f>
        <v>2515.7150600000004</v>
      </c>
      <c r="AH236" s="10">
        <f>INDEX([1]ratio_ins!AE:AE,MATCH('001_population_health_zone_zs'!$B$2,[1]ratio_ins!$B:$B,0))*$G236*INDEX([1]ratio_ins!$D:$D,MATCH('001_population_health_zone_zs'!$B236,[1]ratio_ins!$B:$B,0))</f>
        <v>1509.429036</v>
      </c>
      <c r="AI236" s="13">
        <f>INDEX([1]ratio_ins!AF:AF,MATCH('001_population_health_zone_zs'!$B$2,[1]ratio_ins!$B:$B,0))*$G236*INDEX([1]ratio_ins!$D:$D,MATCH('001_population_health_zone_zs'!$B236,[1]ratio_ins!$B:$B,0))</f>
        <v>17270.535435999998</v>
      </c>
      <c r="AJ236" s="10">
        <f>INDEX([1]ratio_ins!AG:AG,MATCH('001_population_health_zone_zs'!$B$2,[1]ratio_ins!$B:$B,0))*$G236*INDEX([1]ratio_ins!$D:$D,MATCH('001_population_health_zone_zs'!$B236,[1]ratio_ins!$B:$B,0))</f>
        <v>1006.286024</v>
      </c>
      <c r="AK236" s="10">
        <f>INDEX([1]ratio_ins!AH:AH,MATCH('001_population_health_zone_zs'!$B$2,[1]ratio_ins!$B:$B,0))*$G236*INDEX([1]ratio_ins!$D:$D,MATCH('001_population_health_zone_zs'!$B236,[1]ratio_ins!$B:$B,0))</f>
        <v>2242.9266800000005</v>
      </c>
      <c r="AL236" s="10">
        <f>INDEX([1]ratio_ins!AI:AI,MATCH('001_population_health_zone_zs'!$B$2,[1]ratio_ins!$B:$B,0))*$G236*INDEX([1]ratio_ins!$D:$D,MATCH('001_population_health_zone_zs'!$B236,[1]ratio_ins!$B:$B,0))</f>
        <v>2121.6874000000003</v>
      </c>
      <c r="AM236" s="10">
        <f>INDEX([1]ratio_ins!AJ:AJ,MATCH('001_population_health_zone_zs'!$B$2,[1]ratio_ins!$B:$B,0))*$G236*INDEX([1]ratio_ins!$D:$D,MATCH('001_population_health_zone_zs'!$B236,[1]ratio_ins!$B:$B,0))</f>
        <v>1939.8284799999999</v>
      </c>
      <c r="AN236" s="10">
        <f>INDEX([1]ratio_ins!AK:AK,MATCH('001_population_health_zone_zs'!$B$2,[1]ratio_ins!$B:$B,0))*$G236*INDEX([1]ratio_ins!$D:$D,MATCH('001_population_health_zone_zs'!$B236,[1]ratio_ins!$B:$B,0))</f>
        <v>1818.5892000000001</v>
      </c>
      <c r="AO236" s="10">
        <f>INDEX([1]ratio_ins!AL:AL,MATCH('001_population_health_zone_zs'!$B$2,[1]ratio_ins!$B:$B,0))*$G236*INDEX([1]ratio_ins!$D:$D,MATCH('001_population_health_zone_zs'!$B236,[1]ratio_ins!$B:$B,0))</f>
        <v>1363.9418999999998</v>
      </c>
      <c r="AP236" s="10">
        <f>INDEX([1]ratio_ins!AM:AM,MATCH('001_population_health_zone_zs'!$B$2,[1]ratio_ins!$B:$B,0))*$G236*INDEX([1]ratio_ins!$D:$D,MATCH('001_population_health_zone_zs'!$B236,[1]ratio_ins!$B:$B,0))</f>
        <v>878.98477999999989</v>
      </c>
      <c r="AQ236" s="10">
        <f>INDEX([1]ratio_ins!AN:AN,MATCH('001_population_health_zone_zs'!$B$2,[1]ratio_ins!$B:$B,0))*$G236*INDEX([1]ratio_ins!$D:$D,MATCH('001_population_health_zone_zs'!$B236,[1]ratio_ins!$B:$B,0))</f>
        <v>697.1258600000001</v>
      </c>
      <c r="AR236" s="10">
        <f>INDEX([1]ratio_ins!AO:AO,MATCH('001_population_health_zone_zs'!$B$2,[1]ratio_ins!$B:$B,0))*$G236*INDEX([1]ratio_ins!$D:$D,MATCH('001_population_health_zone_zs'!$B236,[1]ratio_ins!$B:$B,0))</f>
        <v>333.40802000000002</v>
      </c>
      <c r="AS236" s="13">
        <f>INDEX([1]ratio_ins!AP:AP,MATCH('001_population_health_zone_zs'!$B$2,[1]ratio_ins!$B:$B,0))*$G236*INDEX([1]ratio_ins!$D:$D,MATCH('001_population_health_zone_zs'!$B236,[1]ratio_ins!$B:$B,0))</f>
        <v>12402.778344</v>
      </c>
      <c r="AT236" s="10">
        <f>INDEX([1]ratio_ins!AQ:AQ,MATCH('001_population_health_zone_zs'!$B$2,[1]ratio_ins!$B:$B,0))*$G236*INDEX([1]ratio_ins!$D:$D,MATCH('001_population_health_zone_zs'!$B236,[1]ratio_ins!$B:$B,0))</f>
        <v>303.09820000000002</v>
      </c>
      <c r="AU236" s="10">
        <f>INDEX([1]ratio_ins!AR:AR,MATCH('001_population_health_zone_zs'!$B$2,[1]ratio_ins!$B:$B,0))*$G236*INDEX([1]ratio_ins!$D:$D,MATCH('001_population_health_zone_zs'!$B236,[1]ratio_ins!$B:$B,0))</f>
        <v>181.85892000000001</v>
      </c>
      <c r="AV236" s="10">
        <f>INDEX([1]ratio_ins!AS:AS,MATCH('001_population_health_zone_zs'!$B$2,[1]ratio_ins!$B:$B,0))*$G236*INDEX([1]ratio_ins!$D:$D,MATCH('001_population_health_zone_zs'!$B236,[1]ratio_ins!$B:$B,0))</f>
        <v>90.929460000000006</v>
      </c>
      <c r="AW236" s="10">
        <f>INDEX([1]ratio_ins!AT:AT,MATCH('001_population_health_zone_zs'!$B$2,[1]ratio_ins!$B:$B,0))*$G236*INDEX([1]ratio_ins!$D:$D,MATCH('001_population_health_zone_zs'!$B236,[1]ratio_ins!$B:$B,0))</f>
        <v>60.619639999999997</v>
      </c>
      <c r="AX236" s="13">
        <f>INDEX([1]ratio_ins!AU:AU,MATCH('001_population_health_zone_zs'!$B$2,[1]ratio_ins!$B:$B,0))*$G236*INDEX([1]ratio_ins!$D:$D,MATCH('001_population_health_zone_zs'!$B236,[1]ratio_ins!$B:$B,0))</f>
        <v>636.50621999999998</v>
      </c>
      <c r="AY236" s="14">
        <f t="shared" si="19"/>
        <v>30309.819999999996</v>
      </c>
      <c r="AZ236" s="15">
        <f t="shared" si="20"/>
        <v>59665</v>
      </c>
      <c r="BA236" s="16">
        <v>58042.599601123417</v>
      </c>
      <c r="BB236" s="10">
        <f t="shared" si="21"/>
        <v>12881.673500000003</v>
      </c>
      <c r="BC236" s="17">
        <f t="shared" si="22"/>
        <v>0.21590000000000004</v>
      </c>
      <c r="BD236" s="10">
        <f t="shared" si="23"/>
        <v>12241.110060000001</v>
      </c>
    </row>
    <row r="237" spans="1:56" x14ac:dyDescent="0.25">
      <c r="A237" s="8" t="s">
        <v>590</v>
      </c>
      <c r="B237" s="8" t="s">
        <v>591</v>
      </c>
      <c r="C237" s="8" t="s">
        <v>592</v>
      </c>
      <c r="D237" s="8" t="s">
        <v>593</v>
      </c>
      <c r="E237" s="8" t="s">
        <v>596</v>
      </c>
      <c r="F237" s="8" t="s">
        <v>597</v>
      </c>
      <c r="G237" s="9">
        <v>236011</v>
      </c>
      <c r="H237" s="10">
        <f>INDEX([1]ratio_ins!F:F,MATCH('001_population_health_zone_zs'!$B$2,[1]ratio_ins!$B:$B,0))*$G237*INDEX([1]ratio_ins!$C:$C,MATCH('001_population_health_zone_zs'!$B237,[1]ratio_ins!$B:$B,0))</f>
        <v>24268.539108000001</v>
      </c>
      <c r="I237" s="10">
        <f>INDEX([1]ratio_ins!G:G,MATCH('001_population_health_zone_zs'!$B$2,[1]ratio_ins!$B:$B,0))*$G237*INDEX([1]ratio_ins!$C:$C,MATCH('001_population_health_zone_zs'!$B237,[1]ratio_ins!$B:$B,0))</f>
        <v>19856.077452000001</v>
      </c>
      <c r="J237" s="10">
        <f>INDEX([1]ratio_ins!H:H,MATCH('001_population_health_zone_zs'!$B$2,[1]ratio_ins!$B:$B,0))*$G237*INDEX([1]ratio_ins!$C:$C,MATCH('001_population_health_zone_zs'!$B237,[1]ratio_ins!$B:$B,0))</f>
        <v>15675.850620000001</v>
      </c>
      <c r="K237" s="10">
        <f>INDEX([1]ratio_ins!I:I,MATCH('001_population_health_zone_zs'!$B$2,[1]ratio_ins!$B:$B,0))*$G237*INDEX([1]ratio_ins!$C:$C,MATCH('001_population_health_zone_zs'!$B237,[1]ratio_ins!$B:$B,0))</f>
        <v>9637.7451960000017</v>
      </c>
      <c r="L237" s="10">
        <f>INDEX([1]ratio_ins!J:J,MATCH('001_population_health_zone_zs'!$B$2,[1]ratio_ins!$B:$B,0))*$G237*INDEX([1]ratio_ins!$C:$C,MATCH('001_population_health_zone_zs'!$B237,[1]ratio_ins!$B:$B,0))</f>
        <v>5782.6471176000005</v>
      </c>
      <c r="M237" s="11">
        <f>INDEX([1]ratio_ins!K:K,MATCH('001_population_health_zone_zs'!$B$2,[1]ratio_ins!$B:$B,0))*$G237*INDEX([1]ratio_ins!$C:$C,MATCH('001_population_health_zone_zs'!$B237,[1]ratio_ins!$B:$B,0))</f>
        <v>65583.114297600012</v>
      </c>
      <c r="N237" s="10">
        <f>INDEX([1]ratio_ins!L:L,MATCH('001_population_health_zone_zs'!$B$2,[1]ratio_ins!$B:$B,0))*$G237*INDEX([1]ratio_ins!$C:$C,MATCH('001_population_health_zone_zs'!$B237,[1]ratio_ins!$B:$B,0))</f>
        <v>3855.0980784000003</v>
      </c>
      <c r="O237" s="10">
        <f>INDEX([1]ratio_ins!M:M,MATCH('001_population_health_zone_zs'!$B$2,[1]ratio_ins!$B:$B,0))*$G237*INDEX([1]ratio_ins!$C:$C,MATCH('001_population_health_zone_zs'!$B237,[1]ratio_ins!$B:$B,0))</f>
        <v>8360.4536640000006</v>
      </c>
      <c r="P237" s="10">
        <f>INDEX([1]ratio_ins!N:N,MATCH('001_population_health_zone_zs'!$B$2,[1]ratio_ins!$B:$B,0))*$G237*INDEX([1]ratio_ins!$C:$C,MATCH('001_population_health_zone_zs'!$B237,[1]ratio_ins!$B:$B,0))</f>
        <v>7547.6317800000006</v>
      </c>
      <c r="Q237" s="10">
        <f>INDEX([1]ratio_ins!O:O,MATCH('001_population_health_zone_zs'!$B$2,[1]ratio_ins!$B:$B,0))*$G237*INDEX([1]ratio_ins!$C:$C,MATCH('001_population_health_zone_zs'!$B237,[1]ratio_ins!$B:$B,0))</f>
        <v>6734.8098959999998</v>
      </c>
      <c r="R237" s="10">
        <f>INDEX([1]ratio_ins!P:P,MATCH('001_population_health_zone_zs'!$B$2,[1]ratio_ins!$B:$B,0))*$G237*INDEX([1]ratio_ins!$C:$C,MATCH('001_population_health_zone_zs'!$B237,[1]ratio_ins!$B:$B,0))</f>
        <v>6618.6924840000011</v>
      </c>
      <c r="S237" s="10">
        <f>INDEX([1]ratio_ins!Q:Q,MATCH('001_population_health_zone_zs'!$B$2,[1]ratio_ins!$B:$B,0))*$G237*INDEX([1]ratio_ins!$C:$C,MATCH('001_population_health_zone_zs'!$B237,[1]ratio_ins!$B:$B,0))</f>
        <v>5573.635776000001</v>
      </c>
      <c r="T237" s="10">
        <f>INDEX([1]ratio_ins!R:R,MATCH('001_population_health_zone_zs'!$B$2,[1]ratio_ins!$B:$B,0))*$G237*INDEX([1]ratio_ins!$C:$C,MATCH('001_population_health_zone_zs'!$B237,[1]ratio_ins!$B:$B,0))</f>
        <v>3947.9920080000006</v>
      </c>
      <c r="U237" s="10">
        <f>INDEX([1]ratio_ins!S:S,MATCH('001_population_health_zone_zs'!$B$2,[1]ratio_ins!$B:$B,0))*$G237*INDEX([1]ratio_ins!$C:$C,MATCH('001_population_health_zone_zs'!$B237,[1]ratio_ins!$B:$B,0))</f>
        <v>3135.1701240000007</v>
      </c>
      <c r="V237" s="10">
        <f>INDEX([1]ratio_ins!T:T,MATCH('001_population_health_zone_zs'!$B$2,[1]ratio_ins!$B:$B,0))*$G237*INDEX([1]ratio_ins!$C:$C,MATCH('001_population_health_zone_zs'!$B237,[1]ratio_ins!$B:$B,0))</f>
        <v>1741.7611800000002</v>
      </c>
      <c r="W237" s="11">
        <f>INDEX([1]ratio_ins!U:U,MATCH('001_population_health_zone_zs'!$B$2,[1]ratio_ins!$B:$B,0))*$G237*INDEX([1]ratio_ins!$C:$C,MATCH('001_population_health_zone_zs'!$B237,[1]ratio_ins!$B:$B,0))</f>
        <v>47515.244990400002</v>
      </c>
      <c r="X237" s="10">
        <f>INDEX([1]ratio_ins!V:V,MATCH('001_population_health_zone_zs'!$B$2,[1]ratio_ins!$B:$B,0))*$G237*INDEX([1]ratio_ins!$C:$C,MATCH('001_population_health_zone_zs'!$B237,[1]ratio_ins!$B:$B,0))</f>
        <v>1393.4089440000002</v>
      </c>
      <c r="Y237" s="10">
        <f>INDEX([1]ratio_ins!W:W,MATCH('001_population_health_zone_zs'!$B$2,[1]ratio_ins!$B:$B,0))*$G237*INDEX([1]ratio_ins!$C:$C,MATCH('001_population_health_zone_zs'!$B237,[1]ratio_ins!$B:$B,0))</f>
        <v>928.93929600000013</v>
      </c>
      <c r="Z237" s="10">
        <f>INDEX([1]ratio_ins!X:X,MATCH('001_population_health_zone_zs'!$B$2,[1]ratio_ins!$B:$B,0))*$G237*INDEX([1]ratio_ins!$C:$C,MATCH('001_population_health_zone_zs'!$B237,[1]ratio_ins!$B:$B,0))</f>
        <v>464.46964800000006</v>
      </c>
      <c r="AA237" s="10">
        <f>INDEX([1]ratio_ins!Y:Y,MATCH('001_population_health_zone_zs'!$B$2,[1]ratio_ins!$B:$B,0))*$G237*INDEX([1]ratio_ins!$C:$C,MATCH('001_population_health_zone_zs'!$B237,[1]ratio_ins!$B:$B,0))</f>
        <v>232.23482400000003</v>
      </c>
      <c r="AB237" s="11">
        <f>INDEX([1]ratio_ins!Z:Z,MATCH('001_population_health_zone_zs'!$B$2,[1]ratio_ins!$B:$B,0))*$G237*INDEX([1]ratio_ins!$C:$C,MATCH('001_population_health_zone_zs'!$B237,[1]ratio_ins!$B:$B,0))</f>
        <v>3019.0527120000006</v>
      </c>
      <c r="AC237" s="12">
        <f t="shared" si="18"/>
        <v>116117.41200000001</v>
      </c>
      <c r="AD237" s="10">
        <f>INDEX([1]ratio_ins!AA:AA,MATCH('001_population_health_zone_zs'!$B$2,[1]ratio_ins!$B:$B,0))*$G237*INDEX([1]ratio_ins!$D:$D,MATCH('001_population_health_zone_zs'!$B237,[1]ratio_ins!$B:$B,0))</f>
        <v>25177.653480000001</v>
      </c>
      <c r="AE237" s="10">
        <f>INDEX([1]ratio_ins!AB:AB,MATCH('001_population_health_zone_zs'!$B$2,[1]ratio_ins!$B:$B,0))*$G237*INDEX([1]ratio_ins!$D:$D,MATCH('001_population_health_zone_zs'!$B237,[1]ratio_ins!$B:$B,0))</f>
        <v>20741.590724000002</v>
      </c>
      <c r="AF237" s="10">
        <f>INDEX([1]ratio_ins!AC:AC,MATCH('001_population_health_zone_zs'!$B$2,[1]ratio_ins!$B:$B,0))*$G237*INDEX([1]ratio_ins!$D:$D,MATCH('001_population_health_zone_zs'!$B237,[1]ratio_ins!$B:$B,0))</f>
        <v>16425.421555999998</v>
      </c>
      <c r="AG237" s="10">
        <f>INDEX([1]ratio_ins!AD:AD,MATCH('001_population_health_zone_zs'!$B$2,[1]ratio_ins!$B:$B,0))*$G237*INDEX([1]ratio_ins!$D:$D,MATCH('001_population_health_zone_zs'!$B237,[1]ratio_ins!$B:$B,0))</f>
        <v>9951.1678040000006</v>
      </c>
      <c r="AH237" s="10">
        <f>INDEX([1]ratio_ins!AE:AE,MATCH('001_population_health_zone_zs'!$B$2,[1]ratio_ins!$B:$B,0))*$G237*INDEX([1]ratio_ins!$D:$D,MATCH('001_population_health_zone_zs'!$B237,[1]ratio_ins!$B:$B,0))</f>
        <v>5970.7006824</v>
      </c>
      <c r="AI237" s="13">
        <f>INDEX([1]ratio_ins!AF:AF,MATCH('001_population_health_zone_zs'!$B$2,[1]ratio_ins!$B:$B,0))*$G237*INDEX([1]ratio_ins!$D:$D,MATCH('001_population_health_zone_zs'!$B237,[1]ratio_ins!$B:$B,0))</f>
        <v>68315.366442400002</v>
      </c>
      <c r="AJ237" s="10">
        <f>INDEX([1]ratio_ins!AG:AG,MATCH('001_population_health_zone_zs'!$B$2,[1]ratio_ins!$B:$B,0))*$G237*INDEX([1]ratio_ins!$D:$D,MATCH('001_population_health_zone_zs'!$B237,[1]ratio_ins!$B:$B,0))</f>
        <v>3980.4671216000002</v>
      </c>
      <c r="AK237" s="10">
        <f>INDEX([1]ratio_ins!AH:AH,MATCH('001_population_health_zone_zs'!$B$2,[1]ratio_ins!$B:$B,0))*$G237*INDEX([1]ratio_ins!$D:$D,MATCH('001_population_health_zone_zs'!$B237,[1]ratio_ins!$B:$B,0))</f>
        <v>8872.1255120000005</v>
      </c>
      <c r="AL237" s="10">
        <f>INDEX([1]ratio_ins!AI:AI,MATCH('001_population_health_zone_zs'!$B$2,[1]ratio_ins!$B:$B,0))*$G237*INDEX([1]ratio_ins!$D:$D,MATCH('001_population_health_zone_zs'!$B237,[1]ratio_ins!$B:$B,0))</f>
        <v>8392.5511600000009</v>
      </c>
      <c r="AM237" s="10">
        <f>INDEX([1]ratio_ins!AJ:AJ,MATCH('001_population_health_zone_zs'!$B$2,[1]ratio_ins!$B:$B,0))*$G237*INDEX([1]ratio_ins!$D:$D,MATCH('001_population_health_zone_zs'!$B237,[1]ratio_ins!$B:$B,0))</f>
        <v>7673.1896319999996</v>
      </c>
      <c r="AN237" s="10">
        <f>INDEX([1]ratio_ins!AK:AK,MATCH('001_population_health_zone_zs'!$B$2,[1]ratio_ins!$B:$B,0))*$G237*INDEX([1]ratio_ins!$D:$D,MATCH('001_population_health_zone_zs'!$B237,[1]ratio_ins!$B:$B,0))</f>
        <v>7193.61528</v>
      </c>
      <c r="AO237" s="10">
        <f>INDEX([1]ratio_ins!AL:AL,MATCH('001_population_health_zone_zs'!$B$2,[1]ratio_ins!$B:$B,0))*$G237*INDEX([1]ratio_ins!$D:$D,MATCH('001_population_health_zone_zs'!$B237,[1]ratio_ins!$B:$B,0))</f>
        <v>5395.2114599999995</v>
      </c>
      <c r="AP237" s="10">
        <f>INDEX([1]ratio_ins!AM:AM,MATCH('001_population_health_zone_zs'!$B$2,[1]ratio_ins!$B:$B,0))*$G237*INDEX([1]ratio_ins!$D:$D,MATCH('001_population_health_zone_zs'!$B237,[1]ratio_ins!$B:$B,0))</f>
        <v>3476.9140519999996</v>
      </c>
      <c r="AQ237" s="10">
        <f>INDEX([1]ratio_ins!AN:AN,MATCH('001_population_health_zone_zs'!$B$2,[1]ratio_ins!$B:$B,0))*$G237*INDEX([1]ratio_ins!$D:$D,MATCH('001_population_health_zone_zs'!$B237,[1]ratio_ins!$B:$B,0))</f>
        <v>2757.5525239999997</v>
      </c>
      <c r="AR237" s="10">
        <f>INDEX([1]ratio_ins!AO:AO,MATCH('001_population_health_zone_zs'!$B$2,[1]ratio_ins!$B:$B,0))*$G237*INDEX([1]ratio_ins!$D:$D,MATCH('001_population_health_zone_zs'!$B237,[1]ratio_ins!$B:$B,0))</f>
        <v>1318.8294680000001</v>
      </c>
      <c r="AS237" s="13">
        <f>INDEX([1]ratio_ins!AP:AP,MATCH('001_population_health_zone_zs'!$B$2,[1]ratio_ins!$B:$B,0))*$G237*INDEX([1]ratio_ins!$D:$D,MATCH('001_population_health_zone_zs'!$B237,[1]ratio_ins!$B:$B,0))</f>
        <v>49060.456209600001</v>
      </c>
      <c r="AT237" s="10">
        <f>INDEX([1]ratio_ins!AQ:AQ,MATCH('001_population_health_zone_zs'!$B$2,[1]ratio_ins!$B:$B,0))*$G237*INDEX([1]ratio_ins!$D:$D,MATCH('001_population_health_zone_zs'!$B237,[1]ratio_ins!$B:$B,0))</f>
        <v>1198.93588</v>
      </c>
      <c r="AU237" s="10">
        <f>INDEX([1]ratio_ins!AR:AR,MATCH('001_population_health_zone_zs'!$B$2,[1]ratio_ins!$B:$B,0))*$G237*INDEX([1]ratio_ins!$D:$D,MATCH('001_population_health_zone_zs'!$B237,[1]ratio_ins!$B:$B,0))</f>
        <v>719.36152800000002</v>
      </c>
      <c r="AV237" s="10">
        <f>INDEX([1]ratio_ins!AS:AS,MATCH('001_population_health_zone_zs'!$B$2,[1]ratio_ins!$B:$B,0))*$G237*INDEX([1]ratio_ins!$D:$D,MATCH('001_population_health_zone_zs'!$B237,[1]ratio_ins!$B:$B,0))</f>
        <v>359.68076400000001</v>
      </c>
      <c r="AW237" s="10">
        <f>INDEX([1]ratio_ins!AT:AT,MATCH('001_population_health_zone_zs'!$B$2,[1]ratio_ins!$B:$B,0))*$G237*INDEX([1]ratio_ins!$D:$D,MATCH('001_population_health_zone_zs'!$B237,[1]ratio_ins!$B:$B,0))</f>
        <v>239.78717599999999</v>
      </c>
      <c r="AX237" s="13">
        <f>INDEX([1]ratio_ins!AU:AU,MATCH('001_population_health_zone_zs'!$B$2,[1]ratio_ins!$B:$B,0))*$G237*INDEX([1]ratio_ins!$D:$D,MATCH('001_population_health_zone_zs'!$B237,[1]ratio_ins!$B:$B,0))</f>
        <v>2517.7653479999999</v>
      </c>
      <c r="AY237" s="14">
        <f t="shared" si="19"/>
        <v>119893.588</v>
      </c>
      <c r="AZ237" s="15">
        <f t="shared" si="20"/>
        <v>236011</v>
      </c>
      <c r="BA237" s="16">
        <v>229592.21456235991</v>
      </c>
      <c r="BB237" s="10">
        <f t="shared" si="21"/>
        <v>50954.774900000004</v>
      </c>
      <c r="BC237" s="17">
        <f t="shared" si="22"/>
        <v>0.21590000000000001</v>
      </c>
      <c r="BD237" s="10">
        <f t="shared" si="23"/>
        <v>48420.960804000002</v>
      </c>
    </row>
    <row r="238" spans="1:56" x14ac:dyDescent="0.25">
      <c r="A238" s="8" t="s">
        <v>590</v>
      </c>
      <c r="B238" s="8" t="s">
        <v>591</v>
      </c>
      <c r="C238" s="8" t="s">
        <v>592</v>
      </c>
      <c r="D238" s="8" t="s">
        <v>593</v>
      </c>
      <c r="E238" s="8" t="s">
        <v>598</v>
      </c>
      <c r="F238" s="8" t="s">
        <v>599</v>
      </c>
      <c r="G238" s="9">
        <v>164195</v>
      </c>
      <c r="H238" s="10">
        <f>INDEX([1]ratio_ins!F:F,MATCH('001_population_health_zone_zs'!$B$2,[1]ratio_ins!$B:$B,0))*$G238*INDEX([1]ratio_ins!$C:$C,MATCH('001_population_health_zone_zs'!$B238,[1]ratio_ins!$B:$B,0))</f>
        <v>16883.84346</v>
      </c>
      <c r="I238" s="10">
        <f>INDEX([1]ratio_ins!G:G,MATCH('001_population_health_zone_zs'!$B$2,[1]ratio_ins!$B:$B,0))*$G238*INDEX([1]ratio_ins!$C:$C,MATCH('001_population_health_zone_zs'!$B238,[1]ratio_ins!$B:$B,0))</f>
        <v>13814.053740000001</v>
      </c>
      <c r="J238" s="10">
        <f>INDEX([1]ratio_ins!H:H,MATCH('001_population_health_zone_zs'!$B$2,[1]ratio_ins!$B:$B,0))*$G238*INDEX([1]ratio_ins!$C:$C,MATCH('001_population_health_zone_zs'!$B238,[1]ratio_ins!$B:$B,0))</f>
        <v>10905.831900000001</v>
      </c>
      <c r="K238" s="10">
        <f>INDEX([1]ratio_ins!I:I,MATCH('001_population_health_zone_zs'!$B$2,[1]ratio_ins!$B:$B,0))*$G238*INDEX([1]ratio_ins!$C:$C,MATCH('001_population_health_zone_zs'!$B238,[1]ratio_ins!$B:$B,0))</f>
        <v>6705.0670200000013</v>
      </c>
      <c r="L238" s="10">
        <f>INDEX([1]ratio_ins!J:J,MATCH('001_population_health_zone_zs'!$B$2,[1]ratio_ins!$B:$B,0))*$G238*INDEX([1]ratio_ins!$C:$C,MATCH('001_population_health_zone_zs'!$B238,[1]ratio_ins!$B:$B,0))</f>
        <v>4023.0402119999999</v>
      </c>
      <c r="M238" s="11">
        <f>INDEX([1]ratio_ins!K:K,MATCH('001_population_health_zone_zs'!$B$2,[1]ratio_ins!$B:$B,0))*$G238*INDEX([1]ratio_ins!$C:$C,MATCH('001_population_health_zone_zs'!$B238,[1]ratio_ins!$B:$B,0))</f>
        <v>45626.769312000004</v>
      </c>
      <c r="N238" s="10">
        <f>INDEX([1]ratio_ins!L:L,MATCH('001_population_health_zone_zs'!$B$2,[1]ratio_ins!$B:$B,0))*$G238*INDEX([1]ratio_ins!$C:$C,MATCH('001_population_health_zone_zs'!$B238,[1]ratio_ins!$B:$B,0))</f>
        <v>2682.0268080000005</v>
      </c>
      <c r="O238" s="10">
        <f>INDEX([1]ratio_ins!M:M,MATCH('001_population_health_zone_zs'!$B$2,[1]ratio_ins!$B:$B,0))*$G238*INDEX([1]ratio_ins!$C:$C,MATCH('001_population_health_zone_zs'!$B238,[1]ratio_ins!$B:$B,0))</f>
        <v>5816.4436800000012</v>
      </c>
      <c r="P238" s="10">
        <f>INDEX([1]ratio_ins!N:N,MATCH('001_population_health_zone_zs'!$B$2,[1]ratio_ins!$B:$B,0))*$G238*INDEX([1]ratio_ins!$C:$C,MATCH('001_population_health_zone_zs'!$B238,[1]ratio_ins!$B:$B,0))</f>
        <v>5250.9561000000012</v>
      </c>
      <c r="Q238" s="10">
        <f>INDEX([1]ratio_ins!O:O,MATCH('001_population_health_zone_zs'!$B$2,[1]ratio_ins!$B:$B,0))*$G238*INDEX([1]ratio_ins!$C:$C,MATCH('001_population_health_zone_zs'!$B238,[1]ratio_ins!$B:$B,0))</f>
        <v>4685.4685200000004</v>
      </c>
      <c r="R238" s="10">
        <f>INDEX([1]ratio_ins!P:P,MATCH('001_population_health_zone_zs'!$B$2,[1]ratio_ins!$B:$B,0))*$G238*INDEX([1]ratio_ins!$C:$C,MATCH('001_population_health_zone_zs'!$B238,[1]ratio_ins!$B:$B,0))</f>
        <v>4604.6845800000001</v>
      </c>
      <c r="S238" s="10">
        <f>INDEX([1]ratio_ins!Q:Q,MATCH('001_population_health_zone_zs'!$B$2,[1]ratio_ins!$B:$B,0))*$G238*INDEX([1]ratio_ins!$C:$C,MATCH('001_population_health_zone_zs'!$B238,[1]ratio_ins!$B:$B,0))</f>
        <v>3877.6291200000005</v>
      </c>
      <c r="T238" s="10">
        <f>INDEX([1]ratio_ins!R:R,MATCH('001_population_health_zone_zs'!$B$2,[1]ratio_ins!$B:$B,0))*$G238*INDEX([1]ratio_ins!$C:$C,MATCH('001_population_health_zone_zs'!$B238,[1]ratio_ins!$B:$B,0))</f>
        <v>2746.6539600000001</v>
      </c>
      <c r="U238" s="10">
        <f>INDEX([1]ratio_ins!S:S,MATCH('001_population_health_zone_zs'!$B$2,[1]ratio_ins!$B:$B,0))*$G238*INDEX([1]ratio_ins!$C:$C,MATCH('001_population_health_zone_zs'!$B238,[1]ratio_ins!$B:$B,0))</f>
        <v>2181.1663800000006</v>
      </c>
      <c r="V238" s="10">
        <f>INDEX([1]ratio_ins!T:T,MATCH('001_population_health_zone_zs'!$B$2,[1]ratio_ins!$B:$B,0))*$G238*INDEX([1]ratio_ins!$C:$C,MATCH('001_population_health_zone_zs'!$B238,[1]ratio_ins!$B:$B,0))</f>
        <v>1211.7591</v>
      </c>
      <c r="W238" s="11">
        <f>INDEX([1]ratio_ins!U:U,MATCH('001_population_health_zone_zs'!$B$2,[1]ratio_ins!$B:$B,0))*$G238*INDEX([1]ratio_ins!$C:$C,MATCH('001_population_health_zone_zs'!$B238,[1]ratio_ins!$B:$B,0))</f>
        <v>33056.788248000004</v>
      </c>
      <c r="X238" s="10">
        <f>INDEX([1]ratio_ins!V:V,MATCH('001_population_health_zone_zs'!$B$2,[1]ratio_ins!$B:$B,0))*$G238*INDEX([1]ratio_ins!$C:$C,MATCH('001_population_health_zone_zs'!$B238,[1]ratio_ins!$B:$B,0))</f>
        <v>969.40728000000013</v>
      </c>
      <c r="Y238" s="10">
        <f>INDEX([1]ratio_ins!W:W,MATCH('001_population_health_zone_zs'!$B$2,[1]ratio_ins!$B:$B,0))*$G238*INDEX([1]ratio_ins!$C:$C,MATCH('001_population_health_zone_zs'!$B238,[1]ratio_ins!$B:$B,0))</f>
        <v>646.27152000000001</v>
      </c>
      <c r="Z238" s="10">
        <f>INDEX([1]ratio_ins!X:X,MATCH('001_population_health_zone_zs'!$B$2,[1]ratio_ins!$B:$B,0))*$G238*INDEX([1]ratio_ins!$C:$C,MATCH('001_population_health_zone_zs'!$B238,[1]ratio_ins!$B:$B,0))</f>
        <v>323.13576</v>
      </c>
      <c r="AA238" s="10">
        <f>INDEX([1]ratio_ins!Y:Y,MATCH('001_population_health_zone_zs'!$B$2,[1]ratio_ins!$B:$B,0))*$G238*INDEX([1]ratio_ins!$C:$C,MATCH('001_population_health_zone_zs'!$B238,[1]ratio_ins!$B:$B,0))</f>
        <v>161.56788</v>
      </c>
      <c r="AB238" s="11">
        <f>INDEX([1]ratio_ins!Z:Z,MATCH('001_population_health_zone_zs'!$B$2,[1]ratio_ins!$B:$B,0))*$G238*INDEX([1]ratio_ins!$C:$C,MATCH('001_population_health_zone_zs'!$B238,[1]ratio_ins!$B:$B,0))</f>
        <v>2100.3824400000003</v>
      </c>
      <c r="AC238" s="12">
        <f t="shared" si="18"/>
        <v>80783.940000000017</v>
      </c>
      <c r="AD238" s="10">
        <f>INDEX([1]ratio_ins!AA:AA,MATCH('001_population_health_zone_zs'!$B$2,[1]ratio_ins!$B:$B,0))*$G238*INDEX([1]ratio_ins!$D:$D,MATCH('001_population_health_zone_zs'!$B238,[1]ratio_ins!$B:$B,0))</f>
        <v>17516.3226</v>
      </c>
      <c r="AE238" s="10">
        <f>INDEX([1]ratio_ins!AB:AB,MATCH('001_population_health_zone_zs'!$B$2,[1]ratio_ins!$B:$B,0))*$G238*INDEX([1]ratio_ins!$D:$D,MATCH('001_population_health_zone_zs'!$B238,[1]ratio_ins!$B:$B,0))</f>
        <v>14430.113380000003</v>
      </c>
      <c r="AF238" s="10">
        <f>INDEX([1]ratio_ins!AC:AC,MATCH('001_population_health_zone_zs'!$B$2,[1]ratio_ins!$B:$B,0))*$G238*INDEX([1]ratio_ins!$D:$D,MATCH('001_population_health_zone_zs'!$B238,[1]ratio_ins!$B:$B,0))</f>
        <v>11427.315219999999</v>
      </c>
      <c r="AG238" s="10">
        <f>INDEX([1]ratio_ins!AD:AD,MATCH('001_population_health_zone_zs'!$B$2,[1]ratio_ins!$B:$B,0))*$G238*INDEX([1]ratio_ins!$D:$D,MATCH('001_population_health_zone_zs'!$B238,[1]ratio_ins!$B:$B,0))</f>
        <v>6923.1179800000009</v>
      </c>
      <c r="AH238" s="10">
        <f>INDEX([1]ratio_ins!AE:AE,MATCH('001_population_health_zone_zs'!$B$2,[1]ratio_ins!$B:$B,0))*$G238*INDEX([1]ratio_ins!$D:$D,MATCH('001_population_health_zone_zs'!$B238,[1]ratio_ins!$B:$B,0))</f>
        <v>4153.8707879999993</v>
      </c>
      <c r="AI238" s="13">
        <f>INDEX([1]ratio_ins!AF:AF,MATCH('001_population_health_zone_zs'!$B$2,[1]ratio_ins!$B:$B,0))*$G238*INDEX([1]ratio_ins!$D:$D,MATCH('001_population_health_zone_zs'!$B238,[1]ratio_ins!$B:$B,0))</f>
        <v>47527.621987999999</v>
      </c>
      <c r="AJ238" s="10">
        <f>INDEX([1]ratio_ins!AG:AG,MATCH('001_population_health_zone_zs'!$B$2,[1]ratio_ins!$B:$B,0))*$G238*INDEX([1]ratio_ins!$D:$D,MATCH('001_population_health_zone_zs'!$B238,[1]ratio_ins!$B:$B,0))</f>
        <v>2769.2471920000003</v>
      </c>
      <c r="AK238" s="10">
        <f>INDEX([1]ratio_ins!AH:AH,MATCH('001_population_health_zone_zs'!$B$2,[1]ratio_ins!$B:$B,0))*$G238*INDEX([1]ratio_ins!$D:$D,MATCH('001_population_health_zone_zs'!$B238,[1]ratio_ins!$B:$B,0))</f>
        <v>6172.4184400000013</v>
      </c>
      <c r="AL238" s="10">
        <f>INDEX([1]ratio_ins!AI:AI,MATCH('001_population_health_zone_zs'!$B$2,[1]ratio_ins!$B:$B,0))*$G238*INDEX([1]ratio_ins!$D:$D,MATCH('001_population_health_zone_zs'!$B238,[1]ratio_ins!$B:$B,0))</f>
        <v>5838.7742000000007</v>
      </c>
      <c r="AM238" s="10">
        <f>INDEX([1]ratio_ins!AJ:AJ,MATCH('001_population_health_zone_zs'!$B$2,[1]ratio_ins!$B:$B,0))*$G238*INDEX([1]ratio_ins!$D:$D,MATCH('001_population_health_zone_zs'!$B238,[1]ratio_ins!$B:$B,0))</f>
        <v>5338.3078399999995</v>
      </c>
      <c r="AN238" s="10">
        <f>INDEX([1]ratio_ins!AK:AK,MATCH('001_population_health_zone_zs'!$B$2,[1]ratio_ins!$B:$B,0))*$G238*INDEX([1]ratio_ins!$D:$D,MATCH('001_population_health_zone_zs'!$B238,[1]ratio_ins!$B:$B,0))</f>
        <v>5004.6635999999999</v>
      </c>
      <c r="AO238" s="10">
        <f>INDEX([1]ratio_ins!AL:AL,MATCH('001_population_health_zone_zs'!$B$2,[1]ratio_ins!$B:$B,0))*$G238*INDEX([1]ratio_ins!$D:$D,MATCH('001_population_health_zone_zs'!$B238,[1]ratio_ins!$B:$B,0))</f>
        <v>3753.4976999999999</v>
      </c>
      <c r="AP238" s="10">
        <f>INDEX([1]ratio_ins!AM:AM,MATCH('001_population_health_zone_zs'!$B$2,[1]ratio_ins!$B:$B,0))*$G238*INDEX([1]ratio_ins!$D:$D,MATCH('001_population_health_zone_zs'!$B238,[1]ratio_ins!$B:$B,0))</f>
        <v>2418.92074</v>
      </c>
      <c r="AQ238" s="10">
        <f>INDEX([1]ratio_ins!AN:AN,MATCH('001_population_health_zone_zs'!$B$2,[1]ratio_ins!$B:$B,0))*$G238*INDEX([1]ratio_ins!$D:$D,MATCH('001_population_health_zone_zs'!$B238,[1]ratio_ins!$B:$B,0))</f>
        <v>1918.4543800000001</v>
      </c>
      <c r="AR238" s="10">
        <f>INDEX([1]ratio_ins!AO:AO,MATCH('001_population_health_zone_zs'!$B$2,[1]ratio_ins!$B:$B,0))*$G238*INDEX([1]ratio_ins!$D:$D,MATCH('001_population_health_zone_zs'!$B238,[1]ratio_ins!$B:$B,0))</f>
        <v>917.52166000000011</v>
      </c>
      <c r="AS238" s="13">
        <f>INDEX([1]ratio_ins!AP:AP,MATCH('001_population_health_zone_zs'!$B$2,[1]ratio_ins!$B:$B,0))*$G238*INDEX([1]ratio_ins!$D:$D,MATCH('001_population_health_zone_zs'!$B238,[1]ratio_ins!$B:$B,0))</f>
        <v>34131.805752</v>
      </c>
      <c r="AT238" s="10">
        <f>INDEX([1]ratio_ins!AQ:AQ,MATCH('001_population_health_zone_zs'!$B$2,[1]ratio_ins!$B:$B,0))*$G238*INDEX([1]ratio_ins!$D:$D,MATCH('001_population_health_zone_zs'!$B238,[1]ratio_ins!$B:$B,0))</f>
        <v>834.11060000000009</v>
      </c>
      <c r="AU238" s="10">
        <f>INDEX([1]ratio_ins!AR:AR,MATCH('001_population_health_zone_zs'!$B$2,[1]ratio_ins!$B:$B,0))*$G238*INDEX([1]ratio_ins!$D:$D,MATCH('001_population_health_zone_zs'!$B238,[1]ratio_ins!$B:$B,0))</f>
        <v>500.46636000000007</v>
      </c>
      <c r="AV238" s="10">
        <f>INDEX([1]ratio_ins!AS:AS,MATCH('001_population_health_zone_zs'!$B$2,[1]ratio_ins!$B:$B,0))*$G238*INDEX([1]ratio_ins!$D:$D,MATCH('001_population_health_zone_zs'!$B238,[1]ratio_ins!$B:$B,0))</f>
        <v>250.23318000000003</v>
      </c>
      <c r="AW238" s="10">
        <f>INDEX([1]ratio_ins!AT:AT,MATCH('001_population_health_zone_zs'!$B$2,[1]ratio_ins!$B:$B,0))*$G238*INDEX([1]ratio_ins!$D:$D,MATCH('001_population_health_zone_zs'!$B238,[1]ratio_ins!$B:$B,0))</f>
        <v>166.82211999999998</v>
      </c>
      <c r="AX238" s="13">
        <f>INDEX([1]ratio_ins!AU:AU,MATCH('001_population_health_zone_zs'!$B$2,[1]ratio_ins!$B:$B,0))*$G238*INDEX([1]ratio_ins!$D:$D,MATCH('001_population_health_zone_zs'!$B238,[1]ratio_ins!$B:$B,0))</f>
        <v>1751.6322599999999</v>
      </c>
      <c r="AY238" s="14">
        <f t="shared" si="19"/>
        <v>83411.06</v>
      </c>
      <c r="AZ238" s="15">
        <f t="shared" si="20"/>
        <v>164195</v>
      </c>
      <c r="BA238" s="16">
        <v>159729.51665019125</v>
      </c>
      <c r="BB238" s="10">
        <f t="shared" si="21"/>
        <v>35449.700499999999</v>
      </c>
      <c r="BC238" s="17">
        <f t="shared" si="22"/>
        <v>0.21589999999999998</v>
      </c>
      <c r="BD238" s="10">
        <f t="shared" si="23"/>
        <v>33686.902980000006</v>
      </c>
    </row>
    <row r="239" spans="1:56" x14ac:dyDescent="0.25">
      <c r="A239" s="8" t="s">
        <v>590</v>
      </c>
      <c r="B239" s="8" t="s">
        <v>591</v>
      </c>
      <c r="C239" s="8" t="s">
        <v>592</v>
      </c>
      <c r="D239" s="8" t="s">
        <v>593</v>
      </c>
      <c r="E239" s="8" t="s">
        <v>600</v>
      </c>
      <c r="F239" s="8" t="s">
        <v>601</v>
      </c>
      <c r="G239" s="9">
        <v>162677</v>
      </c>
      <c r="H239" s="10">
        <f>INDEX([1]ratio_ins!F:F,MATCH('001_population_health_zone_zs'!$B$2,[1]ratio_ins!$B:$B,0))*$G239*INDEX([1]ratio_ins!$C:$C,MATCH('001_population_health_zone_zs'!$B239,[1]ratio_ins!$B:$B,0))</f>
        <v>16727.750556000003</v>
      </c>
      <c r="I239" s="10">
        <f>INDEX([1]ratio_ins!G:G,MATCH('001_population_health_zone_zs'!$B$2,[1]ratio_ins!$B:$B,0))*$G239*INDEX([1]ratio_ins!$C:$C,MATCH('001_population_health_zone_zs'!$B239,[1]ratio_ins!$B:$B,0))</f>
        <v>13686.341364000004</v>
      </c>
      <c r="J239" s="10">
        <f>INDEX([1]ratio_ins!H:H,MATCH('001_population_health_zone_zs'!$B$2,[1]ratio_ins!$B:$B,0))*$G239*INDEX([1]ratio_ins!$C:$C,MATCH('001_population_health_zone_zs'!$B239,[1]ratio_ins!$B:$B,0))</f>
        <v>10805.006340000002</v>
      </c>
      <c r="K239" s="10">
        <f>INDEX([1]ratio_ins!I:I,MATCH('001_population_health_zone_zs'!$B$2,[1]ratio_ins!$B:$B,0))*$G239*INDEX([1]ratio_ins!$C:$C,MATCH('001_population_health_zone_zs'!$B239,[1]ratio_ins!$B:$B,0))</f>
        <v>6643.077972000001</v>
      </c>
      <c r="L239" s="10">
        <f>INDEX([1]ratio_ins!J:J,MATCH('001_population_health_zone_zs'!$B$2,[1]ratio_ins!$B:$B,0))*$G239*INDEX([1]ratio_ins!$C:$C,MATCH('001_population_health_zone_zs'!$B239,[1]ratio_ins!$B:$B,0))</f>
        <v>3985.8467832000001</v>
      </c>
      <c r="M239" s="11">
        <f>INDEX([1]ratio_ins!K:K,MATCH('001_population_health_zone_zs'!$B$2,[1]ratio_ins!$B:$B,0))*$G239*INDEX([1]ratio_ins!$C:$C,MATCH('001_population_health_zone_zs'!$B239,[1]ratio_ins!$B:$B,0))</f>
        <v>45204.945043200001</v>
      </c>
      <c r="N239" s="10">
        <f>INDEX([1]ratio_ins!L:L,MATCH('001_population_health_zone_zs'!$B$2,[1]ratio_ins!$B:$B,0))*$G239*INDEX([1]ratio_ins!$C:$C,MATCH('001_population_health_zone_zs'!$B239,[1]ratio_ins!$B:$B,0))</f>
        <v>2657.2311888000004</v>
      </c>
      <c r="O239" s="10">
        <f>INDEX([1]ratio_ins!M:M,MATCH('001_population_health_zone_zs'!$B$2,[1]ratio_ins!$B:$B,0))*$G239*INDEX([1]ratio_ins!$C:$C,MATCH('001_population_health_zone_zs'!$B239,[1]ratio_ins!$B:$B,0))</f>
        <v>5762.6700480000009</v>
      </c>
      <c r="P239" s="10">
        <f>INDEX([1]ratio_ins!N:N,MATCH('001_population_health_zone_zs'!$B$2,[1]ratio_ins!$B:$B,0))*$G239*INDEX([1]ratio_ins!$C:$C,MATCH('001_population_health_zone_zs'!$B239,[1]ratio_ins!$B:$B,0))</f>
        <v>5202.410460000001</v>
      </c>
      <c r="Q239" s="10">
        <f>INDEX([1]ratio_ins!O:O,MATCH('001_population_health_zone_zs'!$B$2,[1]ratio_ins!$B:$B,0))*$G239*INDEX([1]ratio_ins!$C:$C,MATCH('001_population_health_zone_zs'!$B239,[1]ratio_ins!$B:$B,0))</f>
        <v>4642.1508720000002</v>
      </c>
      <c r="R239" s="10">
        <f>INDEX([1]ratio_ins!P:P,MATCH('001_population_health_zone_zs'!$B$2,[1]ratio_ins!$B:$B,0))*$G239*INDEX([1]ratio_ins!$C:$C,MATCH('001_population_health_zone_zs'!$B239,[1]ratio_ins!$B:$B,0))</f>
        <v>4562.1137880000006</v>
      </c>
      <c r="S239" s="10">
        <f>INDEX([1]ratio_ins!Q:Q,MATCH('001_population_health_zone_zs'!$B$2,[1]ratio_ins!$B:$B,0))*$G239*INDEX([1]ratio_ins!$C:$C,MATCH('001_population_health_zone_zs'!$B239,[1]ratio_ins!$B:$B,0))</f>
        <v>3841.7800320000006</v>
      </c>
      <c r="T239" s="10">
        <f>INDEX([1]ratio_ins!R:R,MATCH('001_population_health_zone_zs'!$B$2,[1]ratio_ins!$B:$B,0))*$G239*INDEX([1]ratio_ins!$C:$C,MATCH('001_population_health_zone_zs'!$B239,[1]ratio_ins!$B:$B,0))</f>
        <v>2721.2608560000003</v>
      </c>
      <c r="U239" s="10">
        <f>INDEX([1]ratio_ins!S:S,MATCH('001_population_health_zone_zs'!$B$2,[1]ratio_ins!$B:$B,0))*$G239*INDEX([1]ratio_ins!$C:$C,MATCH('001_population_health_zone_zs'!$B239,[1]ratio_ins!$B:$B,0))</f>
        <v>2161.0012680000004</v>
      </c>
      <c r="V239" s="10">
        <f>INDEX([1]ratio_ins!T:T,MATCH('001_population_health_zone_zs'!$B$2,[1]ratio_ins!$B:$B,0))*$G239*INDEX([1]ratio_ins!$C:$C,MATCH('001_population_health_zone_zs'!$B239,[1]ratio_ins!$B:$B,0))</f>
        <v>1200.5562600000001</v>
      </c>
      <c r="W239" s="11">
        <f>INDEX([1]ratio_ins!U:U,MATCH('001_population_health_zone_zs'!$B$2,[1]ratio_ins!$B:$B,0))*$G239*INDEX([1]ratio_ins!$C:$C,MATCH('001_population_health_zone_zs'!$B239,[1]ratio_ins!$B:$B,0))</f>
        <v>32751.174772800005</v>
      </c>
      <c r="X239" s="10">
        <f>INDEX([1]ratio_ins!V:V,MATCH('001_population_health_zone_zs'!$B$2,[1]ratio_ins!$B:$B,0))*$G239*INDEX([1]ratio_ins!$C:$C,MATCH('001_population_health_zone_zs'!$B239,[1]ratio_ins!$B:$B,0))</f>
        <v>960.44500800000014</v>
      </c>
      <c r="Y239" s="10">
        <f>INDEX([1]ratio_ins!W:W,MATCH('001_population_health_zone_zs'!$B$2,[1]ratio_ins!$B:$B,0))*$G239*INDEX([1]ratio_ins!$C:$C,MATCH('001_population_health_zone_zs'!$B239,[1]ratio_ins!$B:$B,0))</f>
        <v>640.29667200000006</v>
      </c>
      <c r="Z239" s="10">
        <f>INDEX([1]ratio_ins!X:X,MATCH('001_population_health_zone_zs'!$B$2,[1]ratio_ins!$B:$B,0))*$G239*INDEX([1]ratio_ins!$C:$C,MATCH('001_population_health_zone_zs'!$B239,[1]ratio_ins!$B:$B,0))</f>
        <v>320.14833600000003</v>
      </c>
      <c r="AA239" s="10">
        <f>INDEX([1]ratio_ins!Y:Y,MATCH('001_population_health_zone_zs'!$B$2,[1]ratio_ins!$B:$B,0))*$G239*INDEX([1]ratio_ins!$C:$C,MATCH('001_population_health_zone_zs'!$B239,[1]ratio_ins!$B:$B,0))</f>
        <v>160.07416800000001</v>
      </c>
      <c r="AB239" s="11">
        <f>INDEX([1]ratio_ins!Z:Z,MATCH('001_population_health_zone_zs'!$B$2,[1]ratio_ins!$B:$B,0))*$G239*INDEX([1]ratio_ins!$C:$C,MATCH('001_population_health_zone_zs'!$B239,[1]ratio_ins!$B:$B,0))</f>
        <v>2080.9641840000004</v>
      </c>
      <c r="AC239" s="12">
        <f t="shared" si="18"/>
        <v>80037.084000000003</v>
      </c>
      <c r="AD239" s="10">
        <f>INDEX([1]ratio_ins!AA:AA,MATCH('001_population_health_zone_zs'!$B$2,[1]ratio_ins!$B:$B,0))*$G239*INDEX([1]ratio_ins!$D:$D,MATCH('001_population_health_zone_zs'!$B239,[1]ratio_ins!$B:$B,0))</f>
        <v>17354.38236</v>
      </c>
      <c r="AE239" s="10">
        <f>INDEX([1]ratio_ins!AB:AB,MATCH('001_population_health_zone_zs'!$B$2,[1]ratio_ins!$B:$B,0))*$G239*INDEX([1]ratio_ins!$D:$D,MATCH('001_population_health_zone_zs'!$B239,[1]ratio_ins!$B:$B,0))</f>
        <v>14296.705468000002</v>
      </c>
      <c r="AF239" s="10">
        <f>INDEX([1]ratio_ins!AC:AC,MATCH('001_population_health_zone_zs'!$B$2,[1]ratio_ins!$B:$B,0))*$G239*INDEX([1]ratio_ins!$D:$D,MATCH('001_population_health_zone_zs'!$B239,[1]ratio_ins!$B:$B,0))</f>
        <v>11321.668491999999</v>
      </c>
      <c r="AG239" s="10">
        <f>INDEX([1]ratio_ins!AD:AD,MATCH('001_population_health_zone_zs'!$B$2,[1]ratio_ins!$B:$B,0))*$G239*INDEX([1]ratio_ins!$D:$D,MATCH('001_population_health_zone_zs'!$B239,[1]ratio_ins!$B:$B,0))</f>
        <v>6859.1130280000007</v>
      </c>
      <c r="AH239" s="10">
        <f>INDEX([1]ratio_ins!AE:AE,MATCH('001_population_health_zone_zs'!$B$2,[1]ratio_ins!$B:$B,0))*$G239*INDEX([1]ratio_ins!$D:$D,MATCH('001_population_health_zone_zs'!$B239,[1]ratio_ins!$B:$B,0))</f>
        <v>4115.4678168</v>
      </c>
      <c r="AI239" s="13">
        <f>INDEX([1]ratio_ins!AF:AF,MATCH('001_population_health_zone_zs'!$B$2,[1]ratio_ins!$B:$B,0))*$G239*INDEX([1]ratio_ins!$D:$D,MATCH('001_population_health_zone_zs'!$B239,[1]ratio_ins!$B:$B,0))</f>
        <v>47088.224136799996</v>
      </c>
      <c r="AJ239" s="10">
        <f>INDEX([1]ratio_ins!AG:AG,MATCH('001_population_health_zone_zs'!$B$2,[1]ratio_ins!$B:$B,0))*$G239*INDEX([1]ratio_ins!$D:$D,MATCH('001_population_health_zone_zs'!$B239,[1]ratio_ins!$B:$B,0))</f>
        <v>2743.6452112000002</v>
      </c>
      <c r="AK239" s="10">
        <f>INDEX([1]ratio_ins!AH:AH,MATCH('001_population_health_zone_zs'!$B$2,[1]ratio_ins!$B:$B,0))*$G239*INDEX([1]ratio_ins!$D:$D,MATCH('001_population_health_zone_zs'!$B239,[1]ratio_ins!$B:$B,0))</f>
        <v>6115.3537840000008</v>
      </c>
      <c r="AL239" s="10">
        <f>INDEX([1]ratio_ins!AI:AI,MATCH('001_population_health_zone_zs'!$B$2,[1]ratio_ins!$B:$B,0))*$G239*INDEX([1]ratio_ins!$D:$D,MATCH('001_population_health_zone_zs'!$B239,[1]ratio_ins!$B:$B,0))</f>
        <v>5784.7941200000005</v>
      </c>
      <c r="AM239" s="10">
        <f>INDEX([1]ratio_ins!AJ:AJ,MATCH('001_population_health_zone_zs'!$B$2,[1]ratio_ins!$B:$B,0))*$G239*INDEX([1]ratio_ins!$D:$D,MATCH('001_population_health_zone_zs'!$B239,[1]ratio_ins!$B:$B,0))</f>
        <v>5288.954624</v>
      </c>
      <c r="AN239" s="10">
        <f>INDEX([1]ratio_ins!AK:AK,MATCH('001_population_health_zone_zs'!$B$2,[1]ratio_ins!$B:$B,0))*$G239*INDEX([1]ratio_ins!$D:$D,MATCH('001_population_health_zone_zs'!$B239,[1]ratio_ins!$B:$B,0))</f>
        <v>4958.3949599999996</v>
      </c>
      <c r="AO239" s="10">
        <f>INDEX([1]ratio_ins!AL:AL,MATCH('001_population_health_zone_zs'!$B$2,[1]ratio_ins!$B:$B,0))*$G239*INDEX([1]ratio_ins!$D:$D,MATCH('001_population_health_zone_zs'!$B239,[1]ratio_ins!$B:$B,0))</f>
        <v>3718.7962200000002</v>
      </c>
      <c r="AP239" s="10">
        <f>INDEX([1]ratio_ins!AM:AM,MATCH('001_population_health_zone_zs'!$B$2,[1]ratio_ins!$B:$B,0))*$G239*INDEX([1]ratio_ins!$D:$D,MATCH('001_population_health_zone_zs'!$B239,[1]ratio_ins!$B:$B,0))</f>
        <v>2396.5575639999997</v>
      </c>
      <c r="AQ239" s="10">
        <f>INDEX([1]ratio_ins!AN:AN,MATCH('001_population_health_zone_zs'!$B$2,[1]ratio_ins!$B:$B,0))*$G239*INDEX([1]ratio_ins!$D:$D,MATCH('001_population_health_zone_zs'!$B239,[1]ratio_ins!$B:$B,0))</f>
        <v>1900.7180679999999</v>
      </c>
      <c r="AR239" s="10">
        <f>INDEX([1]ratio_ins!AO:AO,MATCH('001_population_health_zone_zs'!$B$2,[1]ratio_ins!$B:$B,0))*$G239*INDEX([1]ratio_ins!$D:$D,MATCH('001_population_health_zone_zs'!$B239,[1]ratio_ins!$B:$B,0))</f>
        <v>909.03907600000002</v>
      </c>
      <c r="AS239" s="13">
        <f>INDEX([1]ratio_ins!AP:AP,MATCH('001_population_health_zone_zs'!$B$2,[1]ratio_ins!$B:$B,0))*$G239*INDEX([1]ratio_ins!$D:$D,MATCH('001_population_health_zone_zs'!$B239,[1]ratio_ins!$B:$B,0))</f>
        <v>33816.2536272</v>
      </c>
      <c r="AT239" s="10">
        <f>INDEX([1]ratio_ins!AQ:AQ,MATCH('001_population_health_zone_zs'!$B$2,[1]ratio_ins!$B:$B,0))*$G239*INDEX([1]ratio_ins!$D:$D,MATCH('001_population_health_zone_zs'!$B239,[1]ratio_ins!$B:$B,0))</f>
        <v>826.39916000000005</v>
      </c>
      <c r="AU239" s="10">
        <f>INDEX([1]ratio_ins!AR:AR,MATCH('001_population_health_zone_zs'!$B$2,[1]ratio_ins!$B:$B,0))*$G239*INDEX([1]ratio_ins!$D:$D,MATCH('001_population_health_zone_zs'!$B239,[1]ratio_ins!$B:$B,0))</f>
        <v>495.839496</v>
      </c>
      <c r="AV239" s="10">
        <f>INDEX([1]ratio_ins!AS:AS,MATCH('001_population_health_zone_zs'!$B$2,[1]ratio_ins!$B:$B,0))*$G239*INDEX([1]ratio_ins!$D:$D,MATCH('001_population_health_zone_zs'!$B239,[1]ratio_ins!$B:$B,0))</f>
        <v>247.919748</v>
      </c>
      <c r="AW239" s="10">
        <f>INDEX([1]ratio_ins!AT:AT,MATCH('001_population_health_zone_zs'!$B$2,[1]ratio_ins!$B:$B,0))*$G239*INDEX([1]ratio_ins!$D:$D,MATCH('001_population_health_zone_zs'!$B239,[1]ratio_ins!$B:$B,0))</f>
        <v>165.279832</v>
      </c>
      <c r="AX239" s="13">
        <f>INDEX([1]ratio_ins!AU:AU,MATCH('001_population_health_zone_zs'!$B$2,[1]ratio_ins!$B:$B,0))*$G239*INDEX([1]ratio_ins!$D:$D,MATCH('001_population_health_zone_zs'!$B239,[1]ratio_ins!$B:$B,0))</f>
        <v>1735.4382359999997</v>
      </c>
      <c r="AY239" s="14">
        <f t="shared" si="19"/>
        <v>82639.915999999997</v>
      </c>
      <c r="AZ239" s="15">
        <f t="shared" si="20"/>
        <v>162677</v>
      </c>
      <c r="BA239" s="16">
        <v>158253.33528217307</v>
      </c>
      <c r="BB239" s="10">
        <f t="shared" si="21"/>
        <v>35121.9643</v>
      </c>
      <c r="BC239" s="17">
        <f t="shared" si="22"/>
        <v>0.21590000000000001</v>
      </c>
      <c r="BD239" s="10">
        <f t="shared" si="23"/>
        <v>33375.464028000009</v>
      </c>
    </row>
    <row r="240" spans="1:56" x14ac:dyDescent="0.25">
      <c r="A240" s="8" t="s">
        <v>590</v>
      </c>
      <c r="B240" s="8" t="s">
        <v>591</v>
      </c>
      <c r="C240" s="8" t="s">
        <v>592</v>
      </c>
      <c r="D240" s="8" t="s">
        <v>593</v>
      </c>
      <c r="E240" s="8" t="s">
        <v>602</v>
      </c>
      <c r="F240" s="8" t="s">
        <v>603</v>
      </c>
      <c r="G240" s="9">
        <v>86216</v>
      </c>
      <c r="H240" s="10">
        <f>INDEX([1]ratio_ins!F:F,MATCH('001_population_health_zone_zs'!$B$2,[1]ratio_ins!$B:$B,0))*$G240*INDEX([1]ratio_ins!$C:$C,MATCH('001_population_health_zone_zs'!$B240,[1]ratio_ins!$B:$B,0))</f>
        <v>8865.4188480000012</v>
      </c>
      <c r="I240" s="10">
        <f>INDEX([1]ratio_ins!G:G,MATCH('001_population_health_zone_zs'!$B$2,[1]ratio_ins!$B:$B,0))*$G240*INDEX([1]ratio_ins!$C:$C,MATCH('001_population_health_zone_zs'!$B240,[1]ratio_ins!$B:$B,0))</f>
        <v>7253.5245120000018</v>
      </c>
      <c r="J240" s="10">
        <f>INDEX([1]ratio_ins!H:H,MATCH('001_population_health_zone_zs'!$B$2,[1]ratio_ins!$B:$B,0))*$G240*INDEX([1]ratio_ins!$C:$C,MATCH('001_population_health_zone_zs'!$B240,[1]ratio_ins!$B:$B,0))</f>
        <v>5726.4667200000013</v>
      </c>
      <c r="K240" s="10">
        <f>INDEX([1]ratio_ins!I:I,MATCH('001_population_health_zone_zs'!$B$2,[1]ratio_ins!$B:$B,0))*$G240*INDEX([1]ratio_ins!$C:$C,MATCH('001_population_health_zone_zs'!$B240,[1]ratio_ins!$B:$B,0))</f>
        <v>3520.7165760000007</v>
      </c>
      <c r="L240" s="10">
        <f>INDEX([1]ratio_ins!J:J,MATCH('001_population_health_zone_zs'!$B$2,[1]ratio_ins!$B:$B,0))*$G240*INDEX([1]ratio_ins!$C:$C,MATCH('001_population_health_zone_zs'!$B240,[1]ratio_ins!$B:$B,0))</f>
        <v>2112.4299455999999</v>
      </c>
      <c r="M240" s="11">
        <f>INDEX([1]ratio_ins!K:K,MATCH('001_population_health_zone_zs'!$B$2,[1]ratio_ins!$B:$B,0))*$G240*INDEX([1]ratio_ins!$C:$C,MATCH('001_population_health_zone_zs'!$B240,[1]ratio_ins!$B:$B,0))</f>
        <v>23957.840025600002</v>
      </c>
      <c r="N240" s="10">
        <f>INDEX([1]ratio_ins!L:L,MATCH('001_population_health_zone_zs'!$B$2,[1]ratio_ins!$B:$B,0))*$G240*INDEX([1]ratio_ins!$C:$C,MATCH('001_population_health_zone_zs'!$B240,[1]ratio_ins!$B:$B,0))</f>
        <v>1408.2866304000001</v>
      </c>
      <c r="O240" s="10">
        <f>INDEX([1]ratio_ins!M:M,MATCH('001_population_health_zone_zs'!$B$2,[1]ratio_ins!$B:$B,0))*$G240*INDEX([1]ratio_ins!$C:$C,MATCH('001_population_health_zone_zs'!$B240,[1]ratio_ins!$B:$B,0))</f>
        <v>3054.1155840000006</v>
      </c>
      <c r="P240" s="10">
        <f>INDEX([1]ratio_ins!N:N,MATCH('001_population_health_zone_zs'!$B$2,[1]ratio_ins!$B:$B,0))*$G240*INDEX([1]ratio_ins!$C:$C,MATCH('001_population_health_zone_zs'!$B240,[1]ratio_ins!$B:$B,0))</f>
        <v>2757.1876800000005</v>
      </c>
      <c r="Q240" s="10">
        <f>INDEX([1]ratio_ins!O:O,MATCH('001_population_health_zone_zs'!$B$2,[1]ratio_ins!$B:$B,0))*$G240*INDEX([1]ratio_ins!$C:$C,MATCH('001_population_health_zone_zs'!$B240,[1]ratio_ins!$B:$B,0))</f>
        <v>2460.2597759999999</v>
      </c>
      <c r="R240" s="10">
        <f>INDEX([1]ratio_ins!P:P,MATCH('001_population_health_zone_zs'!$B$2,[1]ratio_ins!$B:$B,0))*$G240*INDEX([1]ratio_ins!$C:$C,MATCH('001_population_health_zone_zs'!$B240,[1]ratio_ins!$B:$B,0))</f>
        <v>2417.841504</v>
      </c>
      <c r="S240" s="10">
        <f>INDEX([1]ratio_ins!Q:Q,MATCH('001_population_health_zone_zs'!$B$2,[1]ratio_ins!$B:$B,0))*$G240*INDEX([1]ratio_ins!$C:$C,MATCH('001_population_health_zone_zs'!$B240,[1]ratio_ins!$B:$B,0))</f>
        <v>2036.0770560000003</v>
      </c>
      <c r="T240" s="10">
        <f>INDEX([1]ratio_ins!R:R,MATCH('001_population_health_zone_zs'!$B$2,[1]ratio_ins!$B:$B,0))*$G240*INDEX([1]ratio_ins!$C:$C,MATCH('001_population_health_zone_zs'!$B240,[1]ratio_ins!$B:$B,0))</f>
        <v>1442.2212480000001</v>
      </c>
      <c r="U240" s="10">
        <f>INDEX([1]ratio_ins!S:S,MATCH('001_population_health_zone_zs'!$B$2,[1]ratio_ins!$B:$B,0))*$G240*INDEX([1]ratio_ins!$C:$C,MATCH('001_population_health_zone_zs'!$B240,[1]ratio_ins!$B:$B,0))</f>
        <v>1145.2933440000004</v>
      </c>
      <c r="V240" s="10">
        <f>INDEX([1]ratio_ins!T:T,MATCH('001_population_health_zone_zs'!$B$2,[1]ratio_ins!$B:$B,0))*$G240*INDEX([1]ratio_ins!$C:$C,MATCH('001_population_health_zone_zs'!$B240,[1]ratio_ins!$B:$B,0))</f>
        <v>636.27408000000003</v>
      </c>
      <c r="W240" s="11">
        <f>INDEX([1]ratio_ins!U:U,MATCH('001_population_health_zone_zs'!$B$2,[1]ratio_ins!$B:$B,0))*$G240*INDEX([1]ratio_ins!$C:$C,MATCH('001_population_health_zone_zs'!$B240,[1]ratio_ins!$B:$B,0))</f>
        <v>17357.556902400003</v>
      </c>
      <c r="X240" s="10">
        <f>INDEX([1]ratio_ins!V:V,MATCH('001_population_health_zone_zs'!$B$2,[1]ratio_ins!$B:$B,0))*$G240*INDEX([1]ratio_ins!$C:$C,MATCH('001_population_health_zone_zs'!$B240,[1]ratio_ins!$B:$B,0))</f>
        <v>509.01926400000008</v>
      </c>
      <c r="Y240" s="10">
        <f>INDEX([1]ratio_ins!W:W,MATCH('001_population_health_zone_zs'!$B$2,[1]ratio_ins!$B:$B,0))*$G240*INDEX([1]ratio_ins!$C:$C,MATCH('001_population_health_zone_zs'!$B240,[1]ratio_ins!$B:$B,0))</f>
        <v>339.34617600000007</v>
      </c>
      <c r="Z240" s="10">
        <f>INDEX([1]ratio_ins!X:X,MATCH('001_population_health_zone_zs'!$B$2,[1]ratio_ins!$B:$B,0))*$G240*INDEX([1]ratio_ins!$C:$C,MATCH('001_population_health_zone_zs'!$B240,[1]ratio_ins!$B:$B,0))</f>
        <v>169.67308800000004</v>
      </c>
      <c r="AA240" s="10">
        <f>INDEX([1]ratio_ins!Y:Y,MATCH('001_population_health_zone_zs'!$B$2,[1]ratio_ins!$B:$B,0))*$G240*INDEX([1]ratio_ins!$C:$C,MATCH('001_population_health_zone_zs'!$B240,[1]ratio_ins!$B:$B,0))</f>
        <v>84.836544000000018</v>
      </c>
      <c r="AB240" s="11">
        <f>INDEX([1]ratio_ins!Z:Z,MATCH('001_population_health_zone_zs'!$B$2,[1]ratio_ins!$B:$B,0))*$G240*INDEX([1]ratio_ins!$C:$C,MATCH('001_population_health_zone_zs'!$B240,[1]ratio_ins!$B:$B,0))</f>
        <v>1102.875072</v>
      </c>
      <c r="AC240" s="12">
        <f t="shared" si="18"/>
        <v>42418.272000000004</v>
      </c>
      <c r="AD240" s="10">
        <f>INDEX([1]ratio_ins!AA:AA,MATCH('001_population_health_zone_zs'!$B$2,[1]ratio_ins!$B:$B,0))*$G240*INDEX([1]ratio_ins!$D:$D,MATCH('001_population_health_zone_zs'!$B240,[1]ratio_ins!$B:$B,0))</f>
        <v>9197.5228800000004</v>
      </c>
      <c r="AE240" s="10">
        <f>INDEX([1]ratio_ins!AB:AB,MATCH('001_population_health_zone_zs'!$B$2,[1]ratio_ins!$B:$B,0))*$G240*INDEX([1]ratio_ins!$D:$D,MATCH('001_population_health_zone_zs'!$B240,[1]ratio_ins!$B:$B,0))</f>
        <v>7577.0069440000007</v>
      </c>
      <c r="AF240" s="10">
        <f>INDEX([1]ratio_ins!AC:AC,MATCH('001_population_health_zone_zs'!$B$2,[1]ratio_ins!$B:$B,0))*$G240*INDEX([1]ratio_ins!$D:$D,MATCH('001_population_health_zone_zs'!$B240,[1]ratio_ins!$B:$B,0))</f>
        <v>6000.2887359999995</v>
      </c>
      <c r="AG240" s="10">
        <f>INDEX([1]ratio_ins!AD:AD,MATCH('001_population_health_zone_zs'!$B$2,[1]ratio_ins!$B:$B,0))*$G240*INDEX([1]ratio_ins!$D:$D,MATCH('001_population_health_zone_zs'!$B240,[1]ratio_ins!$B:$B,0))</f>
        <v>3635.2114240000005</v>
      </c>
      <c r="AH240" s="10">
        <f>INDEX([1]ratio_ins!AE:AE,MATCH('001_population_health_zone_zs'!$B$2,[1]ratio_ins!$B:$B,0))*$G240*INDEX([1]ratio_ins!$D:$D,MATCH('001_population_health_zone_zs'!$B240,[1]ratio_ins!$B:$B,0))</f>
        <v>2181.1268543999995</v>
      </c>
      <c r="AI240" s="13">
        <f>INDEX([1]ratio_ins!AF:AF,MATCH('001_population_health_zone_zs'!$B$2,[1]ratio_ins!$B:$B,0))*$G240*INDEX([1]ratio_ins!$D:$D,MATCH('001_population_health_zone_zs'!$B240,[1]ratio_ins!$B:$B,0))</f>
        <v>24955.945414400001</v>
      </c>
      <c r="AJ240" s="10">
        <f>INDEX([1]ratio_ins!AG:AG,MATCH('001_population_health_zone_zs'!$B$2,[1]ratio_ins!$B:$B,0))*$G240*INDEX([1]ratio_ins!$D:$D,MATCH('001_population_health_zone_zs'!$B240,[1]ratio_ins!$B:$B,0))</f>
        <v>1454.0845696000001</v>
      </c>
      <c r="AK240" s="10">
        <f>INDEX([1]ratio_ins!AH:AH,MATCH('001_population_health_zone_zs'!$B$2,[1]ratio_ins!$B:$B,0))*$G240*INDEX([1]ratio_ins!$D:$D,MATCH('001_population_health_zone_zs'!$B240,[1]ratio_ins!$B:$B,0))</f>
        <v>3241.0318720000005</v>
      </c>
      <c r="AL240" s="10">
        <f>INDEX([1]ratio_ins!AI:AI,MATCH('001_population_health_zone_zs'!$B$2,[1]ratio_ins!$B:$B,0))*$G240*INDEX([1]ratio_ins!$D:$D,MATCH('001_population_health_zone_zs'!$B240,[1]ratio_ins!$B:$B,0))</f>
        <v>3065.8409600000005</v>
      </c>
      <c r="AM240" s="10">
        <f>INDEX([1]ratio_ins!AJ:AJ,MATCH('001_population_health_zone_zs'!$B$2,[1]ratio_ins!$B:$B,0))*$G240*INDEX([1]ratio_ins!$D:$D,MATCH('001_population_health_zone_zs'!$B240,[1]ratio_ins!$B:$B,0))</f>
        <v>2803.0545920000004</v>
      </c>
      <c r="AN240" s="10">
        <f>INDEX([1]ratio_ins!AK:AK,MATCH('001_population_health_zone_zs'!$B$2,[1]ratio_ins!$B:$B,0))*$G240*INDEX([1]ratio_ins!$D:$D,MATCH('001_population_health_zone_zs'!$B240,[1]ratio_ins!$B:$B,0))</f>
        <v>2627.8636799999999</v>
      </c>
      <c r="AO240" s="10">
        <f>INDEX([1]ratio_ins!AL:AL,MATCH('001_population_health_zone_zs'!$B$2,[1]ratio_ins!$B:$B,0))*$G240*INDEX([1]ratio_ins!$D:$D,MATCH('001_population_health_zone_zs'!$B240,[1]ratio_ins!$B:$B,0))</f>
        <v>1970.8977599999998</v>
      </c>
      <c r="AP240" s="10">
        <f>INDEX([1]ratio_ins!AM:AM,MATCH('001_population_health_zone_zs'!$B$2,[1]ratio_ins!$B:$B,0))*$G240*INDEX([1]ratio_ins!$D:$D,MATCH('001_population_health_zone_zs'!$B240,[1]ratio_ins!$B:$B,0))</f>
        <v>1270.134112</v>
      </c>
      <c r="AQ240" s="10">
        <f>INDEX([1]ratio_ins!AN:AN,MATCH('001_population_health_zone_zs'!$B$2,[1]ratio_ins!$B:$B,0))*$G240*INDEX([1]ratio_ins!$D:$D,MATCH('001_population_health_zone_zs'!$B240,[1]ratio_ins!$B:$B,0))</f>
        <v>1007.347744</v>
      </c>
      <c r="AR240" s="10">
        <f>INDEX([1]ratio_ins!AO:AO,MATCH('001_population_health_zone_zs'!$B$2,[1]ratio_ins!$B:$B,0))*$G240*INDEX([1]ratio_ins!$D:$D,MATCH('001_population_health_zone_zs'!$B240,[1]ratio_ins!$B:$B,0))</f>
        <v>481.77500800000007</v>
      </c>
      <c r="AS240" s="13">
        <f>INDEX([1]ratio_ins!AP:AP,MATCH('001_population_health_zone_zs'!$B$2,[1]ratio_ins!$B:$B,0))*$G240*INDEX([1]ratio_ins!$D:$D,MATCH('001_population_health_zone_zs'!$B240,[1]ratio_ins!$B:$B,0))</f>
        <v>17922.030297600002</v>
      </c>
      <c r="AT240" s="10">
        <f>INDEX([1]ratio_ins!AQ:AQ,MATCH('001_population_health_zone_zs'!$B$2,[1]ratio_ins!$B:$B,0))*$G240*INDEX([1]ratio_ins!$D:$D,MATCH('001_population_health_zone_zs'!$B240,[1]ratio_ins!$B:$B,0))</f>
        <v>437.97728000000001</v>
      </c>
      <c r="AU240" s="10">
        <f>INDEX([1]ratio_ins!AR:AR,MATCH('001_population_health_zone_zs'!$B$2,[1]ratio_ins!$B:$B,0))*$G240*INDEX([1]ratio_ins!$D:$D,MATCH('001_population_health_zone_zs'!$B240,[1]ratio_ins!$B:$B,0))</f>
        <v>262.78636800000004</v>
      </c>
      <c r="AV240" s="10">
        <f>INDEX([1]ratio_ins!AS:AS,MATCH('001_population_health_zone_zs'!$B$2,[1]ratio_ins!$B:$B,0))*$G240*INDEX([1]ratio_ins!$D:$D,MATCH('001_population_health_zone_zs'!$B240,[1]ratio_ins!$B:$B,0))</f>
        <v>131.39318400000002</v>
      </c>
      <c r="AW240" s="10">
        <f>INDEX([1]ratio_ins!AT:AT,MATCH('001_population_health_zone_zs'!$B$2,[1]ratio_ins!$B:$B,0))*$G240*INDEX([1]ratio_ins!$D:$D,MATCH('001_population_health_zone_zs'!$B240,[1]ratio_ins!$B:$B,0))</f>
        <v>87.595456000000013</v>
      </c>
      <c r="AX240" s="13">
        <f>INDEX([1]ratio_ins!AU:AU,MATCH('001_population_health_zone_zs'!$B$2,[1]ratio_ins!$B:$B,0))*$G240*INDEX([1]ratio_ins!$D:$D,MATCH('001_population_health_zone_zs'!$B240,[1]ratio_ins!$B:$B,0))</f>
        <v>919.75228799999991</v>
      </c>
      <c r="AY240" s="14">
        <f t="shared" si="19"/>
        <v>43797.728000000003</v>
      </c>
      <c r="AZ240" s="15">
        <f t="shared" si="20"/>
        <v>86216</v>
      </c>
      <c r="BA240" s="16">
        <v>83871.590647302655</v>
      </c>
      <c r="BB240" s="10">
        <f t="shared" si="21"/>
        <v>18614.034400000004</v>
      </c>
      <c r="BC240" s="17">
        <f t="shared" si="22"/>
        <v>0.21590000000000004</v>
      </c>
      <c r="BD240" s="10">
        <f t="shared" si="23"/>
        <v>17688.419424</v>
      </c>
    </row>
    <row r="241" spans="1:56" x14ac:dyDescent="0.25">
      <c r="A241" s="8" t="s">
        <v>590</v>
      </c>
      <c r="B241" s="8" t="s">
        <v>591</v>
      </c>
      <c r="C241" s="8" t="s">
        <v>592</v>
      </c>
      <c r="D241" s="8" t="s">
        <v>593</v>
      </c>
      <c r="E241" s="8" t="s">
        <v>604</v>
      </c>
      <c r="F241" s="8" t="s">
        <v>605</v>
      </c>
      <c r="G241" s="9">
        <v>118009</v>
      </c>
      <c r="H241" s="10">
        <f>INDEX([1]ratio_ins!F:F,MATCH('001_population_health_zone_zs'!$B$2,[1]ratio_ins!$B:$B,0))*$G241*INDEX([1]ratio_ins!$C:$C,MATCH('001_population_health_zone_zs'!$B241,[1]ratio_ins!$B:$B,0))</f>
        <v>12134.629451999999</v>
      </c>
      <c r="I241" s="10">
        <f>INDEX([1]ratio_ins!G:G,MATCH('001_population_health_zone_zs'!$B$2,[1]ratio_ins!$B:$B,0))*$G241*INDEX([1]ratio_ins!$C:$C,MATCH('001_population_health_zone_zs'!$B241,[1]ratio_ins!$B:$B,0))</f>
        <v>9928.3331880000005</v>
      </c>
      <c r="J241" s="10">
        <f>INDEX([1]ratio_ins!H:H,MATCH('001_population_health_zone_zs'!$B$2,[1]ratio_ins!$B:$B,0))*$G241*INDEX([1]ratio_ins!$C:$C,MATCH('001_population_health_zone_zs'!$B241,[1]ratio_ins!$B:$B,0))</f>
        <v>7838.1577800000005</v>
      </c>
      <c r="K241" s="10">
        <f>INDEX([1]ratio_ins!I:I,MATCH('001_population_health_zone_zs'!$B$2,[1]ratio_ins!$B:$B,0))*$G241*INDEX([1]ratio_ins!$C:$C,MATCH('001_population_health_zone_zs'!$B241,[1]ratio_ins!$B:$B,0))</f>
        <v>4819.0155240000013</v>
      </c>
      <c r="L241" s="10">
        <f>INDEX([1]ratio_ins!J:J,MATCH('001_population_health_zone_zs'!$B$2,[1]ratio_ins!$B:$B,0))*$G241*INDEX([1]ratio_ins!$C:$C,MATCH('001_population_health_zone_zs'!$B241,[1]ratio_ins!$B:$B,0))</f>
        <v>2891.4093143999999</v>
      </c>
      <c r="M241" s="11">
        <f>INDEX([1]ratio_ins!K:K,MATCH('001_population_health_zone_zs'!$B$2,[1]ratio_ins!$B:$B,0))*$G241*INDEX([1]ratio_ins!$C:$C,MATCH('001_population_health_zone_zs'!$B241,[1]ratio_ins!$B:$B,0))</f>
        <v>32792.529734400006</v>
      </c>
      <c r="N241" s="10">
        <f>INDEX([1]ratio_ins!L:L,MATCH('001_population_health_zone_zs'!$B$2,[1]ratio_ins!$B:$B,0))*$G241*INDEX([1]ratio_ins!$C:$C,MATCH('001_population_health_zone_zs'!$B241,[1]ratio_ins!$B:$B,0))</f>
        <v>1927.6062096000001</v>
      </c>
      <c r="O241" s="10">
        <f>INDEX([1]ratio_ins!M:M,MATCH('001_population_health_zone_zs'!$B$2,[1]ratio_ins!$B:$B,0))*$G241*INDEX([1]ratio_ins!$C:$C,MATCH('001_population_health_zone_zs'!$B241,[1]ratio_ins!$B:$B,0))</f>
        <v>4180.350816000001</v>
      </c>
      <c r="P241" s="10">
        <f>INDEX([1]ratio_ins!N:N,MATCH('001_population_health_zone_zs'!$B$2,[1]ratio_ins!$B:$B,0))*$G241*INDEX([1]ratio_ins!$C:$C,MATCH('001_population_health_zone_zs'!$B241,[1]ratio_ins!$B:$B,0))</f>
        <v>3773.9278200000003</v>
      </c>
      <c r="Q241" s="10">
        <f>INDEX([1]ratio_ins!O:O,MATCH('001_population_health_zone_zs'!$B$2,[1]ratio_ins!$B:$B,0))*$G241*INDEX([1]ratio_ins!$C:$C,MATCH('001_population_health_zone_zs'!$B241,[1]ratio_ins!$B:$B,0))</f>
        <v>3367.5048240000001</v>
      </c>
      <c r="R241" s="10">
        <f>INDEX([1]ratio_ins!P:P,MATCH('001_population_health_zone_zs'!$B$2,[1]ratio_ins!$B:$B,0))*$G241*INDEX([1]ratio_ins!$C:$C,MATCH('001_population_health_zone_zs'!$B241,[1]ratio_ins!$B:$B,0))</f>
        <v>3309.4443960000003</v>
      </c>
      <c r="S241" s="10">
        <f>INDEX([1]ratio_ins!Q:Q,MATCH('001_population_health_zone_zs'!$B$2,[1]ratio_ins!$B:$B,0))*$G241*INDEX([1]ratio_ins!$C:$C,MATCH('001_population_health_zone_zs'!$B241,[1]ratio_ins!$B:$B,0))</f>
        <v>2786.9005440000001</v>
      </c>
      <c r="T241" s="10">
        <f>INDEX([1]ratio_ins!R:R,MATCH('001_population_health_zone_zs'!$B$2,[1]ratio_ins!$B:$B,0))*$G241*INDEX([1]ratio_ins!$C:$C,MATCH('001_population_health_zone_zs'!$B241,[1]ratio_ins!$B:$B,0))</f>
        <v>1974.0545520000005</v>
      </c>
      <c r="U241" s="10">
        <f>INDEX([1]ratio_ins!S:S,MATCH('001_population_health_zone_zs'!$B$2,[1]ratio_ins!$B:$B,0))*$G241*INDEX([1]ratio_ins!$C:$C,MATCH('001_population_health_zone_zs'!$B241,[1]ratio_ins!$B:$B,0))</f>
        <v>1567.6315560000003</v>
      </c>
      <c r="V241" s="10">
        <f>INDEX([1]ratio_ins!T:T,MATCH('001_population_health_zone_zs'!$B$2,[1]ratio_ins!$B:$B,0))*$G241*INDEX([1]ratio_ins!$C:$C,MATCH('001_population_health_zone_zs'!$B241,[1]ratio_ins!$B:$B,0))</f>
        <v>870.90642000000003</v>
      </c>
      <c r="W241" s="11">
        <f>INDEX([1]ratio_ins!U:U,MATCH('001_population_health_zone_zs'!$B$2,[1]ratio_ins!$B:$B,0))*$G241*INDEX([1]ratio_ins!$C:$C,MATCH('001_population_health_zone_zs'!$B241,[1]ratio_ins!$B:$B,0))</f>
        <v>23758.327137600001</v>
      </c>
      <c r="X241" s="10">
        <f>INDEX([1]ratio_ins!V:V,MATCH('001_population_health_zone_zs'!$B$2,[1]ratio_ins!$B:$B,0))*$G241*INDEX([1]ratio_ins!$C:$C,MATCH('001_population_health_zone_zs'!$B241,[1]ratio_ins!$B:$B,0))</f>
        <v>696.72513600000002</v>
      </c>
      <c r="Y241" s="10">
        <f>INDEX([1]ratio_ins!W:W,MATCH('001_population_health_zone_zs'!$B$2,[1]ratio_ins!$B:$B,0))*$G241*INDEX([1]ratio_ins!$C:$C,MATCH('001_population_health_zone_zs'!$B241,[1]ratio_ins!$B:$B,0))</f>
        <v>464.48342400000007</v>
      </c>
      <c r="Z241" s="10">
        <f>INDEX([1]ratio_ins!X:X,MATCH('001_population_health_zone_zs'!$B$2,[1]ratio_ins!$B:$B,0))*$G241*INDEX([1]ratio_ins!$C:$C,MATCH('001_population_health_zone_zs'!$B241,[1]ratio_ins!$B:$B,0))</f>
        <v>232.24171200000004</v>
      </c>
      <c r="AA241" s="10">
        <f>INDEX([1]ratio_ins!Y:Y,MATCH('001_population_health_zone_zs'!$B$2,[1]ratio_ins!$B:$B,0))*$G241*INDEX([1]ratio_ins!$C:$C,MATCH('001_population_health_zone_zs'!$B241,[1]ratio_ins!$B:$B,0))</f>
        <v>116.12085600000002</v>
      </c>
      <c r="AB241" s="11">
        <f>INDEX([1]ratio_ins!Z:Z,MATCH('001_population_health_zone_zs'!$B$2,[1]ratio_ins!$B:$B,0))*$G241*INDEX([1]ratio_ins!$C:$C,MATCH('001_population_health_zone_zs'!$B241,[1]ratio_ins!$B:$B,0))</f>
        <v>1509.5711280000003</v>
      </c>
      <c r="AC241" s="12">
        <f t="shared" si="18"/>
        <v>58060.428000000007</v>
      </c>
      <c r="AD241" s="10">
        <f>INDEX([1]ratio_ins!AA:AA,MATCH('001_population_health_zone_zs'!$B$2,[1]ratio_ins!$B:$B,0))*$G241*INDEX([1]ratio_ins!$D:$D,MATCH('001_population_health_zone_zs'!$B241,[1]ratio_ins!$B:$B,0))</f>
        <v>12589.20012</v>
      </c>
      <c r="AE241" s="10">
        <f>INDEX([1]ratio_ins!AB:AB,MATCH('001_population_health_zone_zs'!$B$2,[1]ratio_ins!$B:$B,0))*$G241*INDEX([1]ratio_ins!$D:$D,MATCH('001_population_health_zone_zs'!$B241,[1]ratio_ins!$B:$B,0))</f>
        <v>10371.102956000001</v>
      </c>
      <c r="AF241" s="10">
        <f>INDEX([1]ratio_ins!AC:AC,MATCH('001_population_health_zone_zs'!$B$2,[1]ratio_ins!$B:$B,0))*$G241*INDEX([1]ratio_ins!$D:$D,MATCH('001_population_health_zone_zs'!$B241,[1]ratio_ins!$B:$B,0))</f>
        <v>8212.9543639999993</v>
      </c>
      <c r="AG241" s="10">
        <f>INDEX([1]ratio_ins!AD:AD,MATCH('001_population_health_zone_zs'!$B$2,[1]ratio_ins!$B:$B,0))*$G241*INDEX([1]ratio_ins!$D:$D,MATCH('001_population_health_zone_zs'!$B241,[1]ratio_ins!$B:$B,0))</f>
        <v>4975.7314760000008</v>
      </c>
      <c r="AH241" s="10">
        <f>INDEX([1]ratio_ins!AE:AE,MATCH('001_population_health_zone_zs'!$B$2,[1]ratio_ins!$B:$B,0))*$G241*INDEX([1]ratio_ins!$D:$D,MATCH('001_population_health_zone_zs'!$B241,[1]ratio_ins!$B:$B,0))</f>
        <v>2985.4388855999996</v>
      </c>
      <c r="AI241" s="13">
        <f>INDEX([1]ratio_ins!AF:AF,MATCH('001_population_health_zone_zs'!$B$2,[1]ratio_ins!$B:$B,0))*$G241*INDEX([1]ratio_ins!$D:$D,MATCH('001_population_health_zone_zs'!$B241,[1]ratio_ins!$B:$B,0))</f>
        <v>34158.696325600002</v>
      </c>
      <c r="AJ241" s="10">
        <f>INDEX([1]ratio_ins!AG:AG,MATCH('001_population_health_zone_zs'!$B$2,[1]ratio_ins!$B:$B,0))*$G241*INDEX([1]ratio_ins!$D:$D,MATCH('001_population_health_zone_zs'!$B241,[1]ratio_ins!$B:$B,0))</f>
        <v>1990.2925904000001</v>
      </c>
      <c r="AK241" s="10">
        <f>INDEX([1]ratio_ins!AH:AH,MATCH('001_population_health_zone_zs'!$B$2,[1]ratio_ins!$B:$B,0))*$G241*INDEX([1]ratio_ins!$D:$D,MATCH('001_population_health_zone_zs'!$B241,[1]ratio_ins!$B:$B,0))</f>
        <v>4436.1943280000005</v>
      </c>
      <c r="AL241" s="10">
        <f>INDEX([1]ratio_ins!AI:AI,MATCH('001_population_health_zone_zs'!$B$2,[1]ratio_ins!$B:$B,0))*$G241*INDEX([1]ratio_ins!$D:$D,MATCH('001_population_health_zone_zs'!$B241,[1]ratio_ins!$B:$B,0))</f>
        <v>4196.4000400000004</v>
      </c>
      <c r="AM241" s="10">
        <f>INDEX([1]ratio_ins!AJ:AJ,MATCH('001_population_health_zone_zs'!$B$2,[1]ratio_ins!$B:$B,0))*$G241*INDEX([1]ratio_ins!$D:$D,MATCH('001_population_health_zone_zs'!$B241,[1]ratio_ins!$B:$B,0))</f>
        <v>3836.7086079999999</v>
      </c>
      <c r="AN241" s="10">
        <f>INDEX([1]ratio_ins!AK:AK,MATCH('001_population_health_zone_zs'!$B$2,[1]ratio_ins!$B:$B,0))*$G241*INDEX([1]ratio_ins!$D:$D,MATCH('001_population_health_zone_zs'!$B241,[1]ratio_ins!$B:$B,0))</f>
        <v>3596.9143199999999</v>
      </c>
      <c r="AO241" s="10">
        <f>INDEX([1]ratio_ins!AL:AL,MATCH('001_population_health_zone_zs'!$B$2,[1]ratio_ins!$B:$B,0))*$G241*INDEX([1]ratio_ins!$D:$D,MATCH('001_population_health_zone_zs'!$B241,[1]ratio_ins!$B:$B,0))</f>
        <v>2697.6857399999999</v>
      </c>
      <c r="AP241" s="10">
        <f>INDEX([1]ratio_ins!AM:AM,MATCH('001_population_health_zone_zs'!$B$2,[1]ratio_ins!$B:$B,0))*$G241*INDEX([1]ratio_ins!$D:$D,MATCH('001_population_health_zone_zs'!$B241,[1]ratio_ins!$B:$B,0))</f>
        <v>1738.5085879999999</v>
      </c>
      <c r="AQ241" s="10">
        <f>INDEX([1]ratio_ins!AN:AN,MATCH('001_population_health_zone_zs'!$B$2,[1]ratio_ins!$B:$B,0))*$G241*INDEX([1]ratio_ins!$D:$D,MATCH('001_population_health_zone_zs'!$B241,[1]ratio_ins!$B:$B,0))</f>
        <v>1378.8171560000001</v>
      </c>
      <c r="AR241" s="10">
        <f>INDEX([1]ratio_ins!AO:AO,MATCH('001_population_health_zone_zs'!$B$2,[1]ratio_ins!$B:$B,0))*$G241*INDEX([1]ratio_ins!$D:$D,MATCH('001_population_health_zone_zs'!$B241,[1]ratio_ins!$B:$B,0))</f>
        <v>659.43429200000014</v>
      </c>
      <c r="AS241" s="13">
        <f>INDEX([1]ratio_ins!AP:AP,MATCH('001_population_health_zone_zs'!$B$2,[1]ratio_ins!$B:$B,0))*$G241*INDEX([1]ratio_ins!$D:$D,MATCH('001_population_health_zone_zs'!$B241,[1]ratio_ins!$B:$B,0))</f>
        <v>24530.9556624</v>
      </c>
      <c r="AT241" s="10">
        <f>INDEX([1]ratio_ins!AQ:AQ,MATCH('001_population_health_zone_zs'!$B$2,[1]ratio_ins!$B:$B,0))*$G241*INDEX([1]ratio_ins!$D:$D,MATCH('001_population_health_zone_zs'!$B241,[1]ratio_ins!$B:$B,0))</f>
        <v>599.48572000000001</v>
      </c>
      <c r="AU241" s="10">
        <f>INDEX([1]ratio_ins!AR:AR,MATCH('001_population_health_zone_zs'!$B$2,[1]ratio_ins!$B:$B,0))*$G241*INDEX([1]ratio_ins!$D:$D,MATCH('001_population_health_zone_zs'!$B241,[1]ratio_ins!$B:$B,0))</f>
        <v>359.69143199999996</v>
      </c>
      <c r="AV241" s="10">
        <f>INDEX([1]ratio_ins!AS:AS,MATCH('001_population_health_zone_zs'!$B$2,[1]ratio_ins!$B:$B,0))*$G241*INDEX([1]ratio_ins!$D:$D,MATCH('001_population_health_zone_zs'!$B241,[1]ratio_ins!$B:$B,0))</f>
        <v>179.84571599999998</v>
      </c>
      <c r="AW241" s="10">
        <f>INDEX([1]ratio_ins!AT:AT,MATCH('001_population_health_zone_zs'!$B$2,[1]ratio_ins!$B:$B,0))*$G241*INDEX([1]ratio_ins!$D:$D,MATCH('001_population_health_zone_zs'!$B241,[1]ratio_ins!$B:$B,0))</f>
        <v>119.897144</v>
      </c>
      <c r="AX241" s="13">
        <f>INDEX([1]ratio_ins!AU:AU,MATCH('001_population_health_zone_zs'!$B$2,[1]ratio_ins!$B:$B,0))*$G241*INDEX([1]ratio_ins!$D:$D,MATCH('001_population_health_zone_zs'!$B241,[1]ratio_ins!$B:$B,0))</f>
        <v>1258.920012</v>
      </c>
      <c r="AY241" s="14">
        <f t="shared" si="19"/>
        <v>59948.572</v>
      </c>
      <c r="AZ241" s="15">
        <f t="shared" si="20"/>
        <v>118009</v>
      </c>
      <c r="BA241" s="16">
        <v>114799.90991221555</v>
      </c>
      <c r="BB241" s="10">
        <f t="shared" si="21"/>
        <v>25478.143100000001</v>
      </c>
      <c r="BC241" s="17">
        <f t="shared" si="22"/>
        <v>0.21590000000000001</v>
      </c>
      <c r="BD241" s="10">
        <f t="shared" si="23"/>
        <v>24211.198476000001</v>
      </c>
    </row>
    <row r="242" spans="1:56" x14ac:dyDescent="0.25">
      <c r="A242" s="8" t="s">
        <v>590</v>
      </c>
      <c r="B242" s="8" t="s">
        <v>591</v>
      </c>
      <c r="C242" s="8" t="s">
        <v>606</v>
      </c>
      <c r="D242" s="8" t="s">
        <v>607</v>
      </c>
      <c r="E242" s="8" t="s">
        <v>608</v>
      </c>
      <c r="F242" s="8" t="s">
        <v>609</v>
      </c>
      <c r="G242" s="9">
        <v>40296</v>
      </c>
      <c r="H242" s="10">
        <f>INDEX([1]ratio_ins!F:F,MATCH('001_population_health_zone_zs'!$B$2,[1]ratio_ins!$B:$B,0))*$G242*INDEX([1]ratio_ins!$C:$C,MATCH('001_population_health_zone_zs'!$B242,[1]ratio_ins!$B:$B,0))</f>
        <v>4143.5570880000005</v>
      </c>
      <c r="I242" s="10">
        <f>INDEX([1]ratio_ins!G:G,MATCH('001_population_health_zone_zs'!$B$2,[1]ratio_ins!$B:$B,0))*$G242*INDEX([1]ratio_ins!$C:$C,MATCH('001_population_health_zone_zs'!$B242,[1]ratio_ins!$B:$B,0))</f>
        <v>3390.1830720000007</v>
      </c>
      <c r="J242" s="10">
        <f>INDEX([1]ratio_ins!H:H,MATCH('001_population_health_zone_zs'!$B$2,[1]ratio_ins!$B:$B,0))*$G242*INDEX([1]ratio_ins!$C:$C,MATCH('001_population_health_zone_zs'!$B242,[1]ratio_ins!$B:$B,0))</f>
        <v>2676.4603200000001</v>
      </c>
      <c r="K242" s="10">
        <f>INDEX([1]ratio_ins!I:I,MATCH('001_population_health_zone_zs'!$B$2,[1]ratio_ins!$B:$B,0))*$G242*INDEX([1]ratio_ins!$C:$C,MATCH('001_population_health_zone_zs'!$B242,[1]ratio_ins!$B:$B,0))</f>
        <v>1645.5274560000003</v>
      </c>
      <c r="L242" s="10">
        <f>INDEX([1]ratio_ins!J:J,MATCH('001_population_health_zone_zs'!$B$2,[1]ratio_ins!$B:$B,0))*$G242*INDEX([1]ratio_ins!$C:$C,MATCH('001_population_health_zone_zs'!$B242,[1]ratio_ins!$B:$B,0))</f>
        <v>987.31647359999999</v>
      </c>
      <c r="M242" s="11">
        <f>INDEX([1]ratio_ins!K:K,MATCH('001_population_health_zone_zs'!$B$2,[1]ratio_ins!$B:$B,0))*$G242*INDEX([1]ratio_ins!$C:$C,MATCH('001_population_health_zone_zs'!$B242,[1]ratio_ins!$B:$B,0))</f>
        <v>11197.516953599999</v>
      </c>
      <c r="N242" s="10">
        <f>INDEX([1]ratio_ins!L:L,MATCH('001_population_health_zone_zs'!$B$2,[1]ratio_ins!$B:$B,0))*$G242*INDEX([1]ratio_ins!$C:$C,MATCH('001_population_health_zone_zs'!$B242,[1]ratio_ins!$B:$B,0))</f>
        <v>658.21098240000003</v>
      </c>
      <c r="O242" s="10">
        <f>INDEX([1]ratio_ins!M:M,MATCH('001_population_health_zone_zs'!$B$2,[1]ratio_ins!$B:$B,0))*$G242*INDEX([1]ratio_ins!$C:$C,MATCH('001_population_health_zone_zs'!$B242,[1]ratio_ins!$B:$B,0))</f>
        <v>1427.4455040000003</v>
      </c>
      <c r="P242" s="10">
        <f>INDEX([1]ratio_ins!N:N,MATCH('001_population_health_zone_zs'!$B$2,[1]ratio_ins!$B:$B,0))*$G242*INDEX([1]ratio_ins!$C:$C,MATCH('001_population_health_zone_zs'!$B242,[1]ratio_ins!$B:$B,0))</f>
        <v>1288.6660800000002</v>
      </c>
      <c r="Q242" s="10">
        <f>INDEX([1]ratio_ins!O:O,MATCH('001_population_health_zone_zs'!$B$2,[1]ratio_ins!$B:$B,0))*$G242*INDEX([1]ratio_ins!$C:$C,MATCH('001_population_health_zone_zs'!$B242,[1]ratio_ins!$B:$B,0))</f>
        <v>1149.8866559999999</v>
      </c>
      <c r="R242" s="10">
        <f>INDEX([1]ratio_ins!P:P,MATCH('001_population_health_zone_zs'!$B$2,[1]ratio_ins!$B:$B,0))*$G242*INDEX([1]ratio_ins!$C:$C,MATCH('001_population_health_zone_zs'!$B242,[1]ratio_ins!$B:$B,0))</f>
        <v>1130.0610240000003</v>
      </c>
      <c r="S242" s="10">
        <f>INDEX([1]ratio_ins!Q:Q,MATCH('001_population_health_zone_zs'!$B$2,[1]ratio_ins!$B:$B,0))*$G242*INDEX([1]ratio_ins!$C:$C,MATCH('001_population_health_zone_zs'!$B242,[1]ratio_ins!$B:$B,0))</f>
        <v>951.63033600000017</v>
      </c>
      <c r="T242" s="10">
        <f>INDEX([1]ratio_ins!R:R,MATCH('001_population_health_zone_zs'!$B$2,[1]ratio_ins!$B:$B,0))*$G242*INDEX([1]ratio_ins!$C:$C,MATCH('001_population_health_zone_zs'!$B242,[1]ratio_ins!$B:$B,0))</f>
        <v>674.07148800000016</v>
      </c>
      <c r="U242" s="10">
        <f>INDEX([1]ratio_ins!S:S,MATCH('001_population_health_zone_zs'!$B$2,[1]ratio_ins!$B:$B,0))*$G242*INDEX([1]ratio_ins!$C:$C,MATCH('001_population_health_zone_zs'!$B242,[1]ratio_ins!$B:$B,0))</f>
        <v>535.2920640000001</v>
      </c>
      <c r="V242" s="10">
        <f>INDEX([1]ratio_ins!T:T,MATCH('001_population_health_zone_zs'!$B$2,[1]ratio_ins!$B:$B,0))*$G242*INDEX([1]ratio_ins!$C:$C,MATCH('001_population_health_zone_zs'!$B242,[1]ratio_ins!$B:$B,0))</f>
        <v>297.38448</v>
      </c>
      <c r="W242" s="11">
        <f>INDEX([1]ratio_ins!U:U,MATCH('001_population_health_zone_zs'!$B$2,[1]ratio_ins!$B:$B,0))*$G242*INDEX([1]ratio_ins!$C:$C,MATCH('001_population_health_zone_zs'!$B242,[1]ratio_ins!$B:$B,0))</f>
        <v>8112.6486144000019</v>
      </c>
      <c r="X242" s="10">
        <f>INDEX([1]ratio_ins!V:V,MATCH('001_population_health_zone_zs'!$B$2,[1]ratio_ins!$B:$B,0))*$G242*INDEX([1]ratio_ins!$C:$C,MATCH('001_population_health_zone_zs'!$B242,[1]ratio_ins!$B:$B,0))</f>
        <v>237.90758400000004</v>
      </c>
      <c r="Y242" s="10">
        <f>INDEX([1]ratio_ins!W:W,MATCH('001_population_health_zone_zs'!$B$2,[1]ratio_ins!$B:$B,0))*$G242*INDEX([1]ratio_ins!$C:$C,MATCH('001_population_health_zone_zs'!$B242,[1]ratio_ins!$B:$B,0))</f>
        <v>158.60505600000002</v>
      </c>
      <c r="Z242" s="10">
        <f>INDEX([1]ratio_ins!X:X,MATCH('001_population_health_zone_zs'!$B$2,[1]ratio_ins!$B:$B,0))*$G242*INDEX([1]ratio_ins!$C:$C,MATCH('001_population_health_zone_zs'!$B242,[1]ratio_ins!$B:$B,0))</f>
        <v>79.302528000000009</v>
      </c>
      <c r="AA242" s="10">
        <f>INDEX([1]ratio_ins!Y:Y,MATCH('001_population_health_zone_zs'!$B$2,[1]ratio_ins!$B:$B,0))*$G242*INDEX([1]ratio_ins!$C:$C,MATCH('001_population_health_zone_zs'!$B242,[1]ratio_ins!$B:$B,0))</f>
        <v>39.651264000000005</v>
      </c>
      <c r="AB242" s="11">
        <f>INDEX([1]ratio_ins!Z:Z,MATCH('001_population_health_zone_zs'!$B$2,[1]ratio_ins!$B:$B,0))*$G242*INDEX([1]ratio_ins!$C:$C,MATCH('001_population_health_zone_zs'!$B242,[1]ratio_ins!$B:$B,0))</f>
        <v>515.46643200000017</v>
      </c>
      <c r="AC242" s="12">
        <f t="shared" si="18"/>
        <v>19825.632000000001</v>
      </c>
      <c r="AD242" s="10">
        <f>INDEX([1]ratio_ins!AA:AA,MATCH('001_population_health_zone_zs'!$B$2,[1]ratio_ins!$B:$B,0))*$G242*INDEX([1]ratio_ins!$D:$D,MATCH('001_population_health_zone_zs'!$B242,[1]ratio_ins!$B:$B,0))</f>
        <v>4298.7772800000002</v>
      </c>
      <c r="AE242" s="10">
        <f>INDEX([1]ratio_ins!AB:AB,MATCH('001_population_health_zone_zs'!$B$2,[1]ratio_ins!$B:$B,0))*$G242*INDEX([1]ratio_ins!$D:$D,MATCH('001_population_health_zone_zs'!$B242,[1]ratio_ins!$B:$B,0))</f>
        <v>3541.3736640000002</v>
      </c>
      <c r="AF242" s="10">
        <f>INDEX([1]ratio_ins!AC:AC,MATCH('001_population_health_zone_zs'!$B$2,[1]ratio_ins!$B:$B,0))*$G242*INDEX([1]ratio_ins!$D:$D,MATCH('001_population_health_zone_zs'!$B242,[1]ratio_ins!$B:$B,0))</f>
        <v>2804.4404159999999</v>
      </c>
      <c r="AG242" s="10">
        <f>INDEX([1]ratio_ins!AD:AD,MATCH('001_population_health_zone_zs'!$B$2,[1]ratio_ins!$B:$B,0))*$G242*INDEX([1]ratio_ins!$D:$D,MATCH('001_population_health_zone_zs'!$B242,[1]ratio_ins!$B:$B,0))</f>
        <v>1699.0405440000002</v>
      </c>
      <c r="AH242" s="10">
        <f>INDEX([1]ratio_ins!AE:AE,MATCH('001_population_health_zone_zs'!$B$2,[1]ratio_ins!$B:$B,0))*$G242*INDEX([1]ratio_ins!$D:$D,MATCH('001_population_health_zone_zs'!$B242,[1]ratio_ins!$B:$B,0))</f>
        <v>1019.4243263999999</v>
      </c>
      <c r="AI242" s="13">
        <f>INDEX([1]ratio_ins!AF:AF,MATCH('001_population_health_zone_zs'!$B$2,[1]ratio_ins!$B:$B,0))*$G242*INDEX([1]ratio_ins!$D:$D,MATCH('001_population_health_zone_zs'!$B242,[1]ratio_ins!$B:$B,0))</f>
        <v>11664.015686399998</v>
      </c>
      <c r="AJ242" s="10">
        <f>INDEX([1]ratio_ins!AG:AG,MATCH('001_population_health_zone_zs'!$B$2,[1]ratio_ins!$B:$B,0))*$G242*INDEX([1]ratio_ins!$D:$D,MATCH('001_population_health_zone_zs'!$B242,[1]ratio_ins!$B:$B,0))</f>
        <v>679.61621760000003</v>
      </c>
      <c r="AK242" s="10">
        <f>INDEX([1]ratio_ins!AH:AH,MATCH('001_population_health_zone_zs'!$B$2,[1]ratio_ins!$B:$B,0))*$G242*INDEX([1]ratio_ins!$D:$D,MATCH('001_population_health_zone_zs'!$B242,[1]ratio_ins!$B:$B,0))</f>
        <v>1514.8072320000003</v>
      </c>
      <c r="AL242" s="10">
        <f>INDEX([1]ratio_ins!AI:AI,MATCH('001_population_health_zone_zs'!$B$2,[1]ratio_ins!$B:$B,0))*$G242*INDEX([1]ratio_ins!$D:$D,MATCH('001_population_health_zone_zs'!$B242,[1]ratio_ins!$B:$B,0))</f>
        <v>1432.9257600000001</v>
      </c>
      <c r="AM242" s="10">
        <f>INDEX([1]ratio_ins!AJ:AJ,MATCH('001_population_health_zone_zs'!$B$2,[1]ratio_ins!$B:$B,0))*$G242*INDEX([1]ratio_ins!$D:$D,MATCH('001_population_health_zone_zs'!$B242,[1]ratio_ins!$B:$B,0))</f>
        <v>1310.103552</v>
      </c>
      <c r="AN242" s="10">
        <f>INDEX([1]ratio_ins!AK:AK,MATCH('001_population_health_zone_zs'!$B$2,[1]ratio_ins!$B:$B,0))*$G242*INDEX([1]ratio_ins!$D:$D,MATCH('001_population_health_zone_zs'!$B242,[1]ratio_ins!$B:$B,0))</f>
        <v>1228.22208</v>
      </c>
      <c r="AO242" s="10">
        <f>INDEX([1]ratio_ins!AL:AL,MATCH('001_population_health_zone_zs'!$B$2,[1]ratio_ins!$B:$B,0))*$G242*INDEX([1]ratio_ins!$D:$D,MATCH('001_population_health_zone_zs'!$B242,[1]ratio_ins!$B:$B,0))</f>
        <v>921.16656</v>
      </c>
      <c r="AP242" s="10">
        <f>INDEX([1]ratio_ins!AM:AM,MATCH('001_population_health_zone_zs'!$B$2,[1]ratio_ins!$B:$B,0))*$G242*INDEX([1]ratio_ins!$D:$D,MATCH('001_population_health_zone_zs'!$B242,[1]ratio_ins!$B:$B,0))</f>
        <v>593.64067199999988</v>
      </c>
      <c r="AQ242" s="10">
        <f>INDEX([1]ratio_ins!AN:AN,MATCH('001_population_health_zone_zs'!$B$2,[1]ratio_ins!$B:$B,0))*$G242*INDEX([1]ratio_ins!$D:$D,MATCH('001_population_health_zone_zs'!$B242,[1]ratio_ins!$B:$B,0))</f>
        <v>470.81846400000001</v>
      </c>
      <c r="AR242" s="10">
        <f>INDEX([1]ratio_ins!AO:AO,MATCH('001_population_health_zone_zs'!$B$2,[1]ratio_ins!$B:$B,0))*$G242*INDEX([1]ratio_ins!$D:$D,MATCH('001_population_health_zone_zs'!$B242,[1]ratio_ins!$B:$B,0))</f>
        <v>225.17404800000003</v>
      </c>
      <c r="AS242" s="13">
        <f>INDEX([1]ratio_ins!AP:AP,MATCH('001_population_health_zone_zs'!$B$2,[1]ratio_ins!$B:$B,0))*$G242*INDEX([1]ratio_ins!$D:$D,MATCH('001_population_health_zone_zs'!$B242,[1]ratio_ins!$B:$B,0))</f>
        <v>8376.4745856000009</v>
      </c>
      <c r="AT242" s="10">
        <f>INDEX([1]ratio_ins!AQ:AQ,MATCH('001_population_health_zone_zs'!$B$2,[1]ratio_ins!$B:$B,0))*$G242*INDEX([1]ratio_ins!$D:$D,MATCH('001_population_health_zone_zs'!$B242,[1]ratio_ins!$B:$B,0))</f>
        <v>204.70368000000002</v>
      </c>
      <c r="AU242" s="10">
        <f>INDEX([1]ratio_ins!AR:AR,MATCH('001_population_health_zone_zs'!$B$2,[1]ratio_ins!$B:$B,0))*$G242*INDEX([1]ratio_ins!$D:$D,MATCH('001_population_health_zone_zs'!$B242,[1]ratio_ins!$B:$B,0))</f>
        <v>122.822208</v>
      </c>
      <c r="AV242" s="10">
        <f>INDEX([1]ratio_ins!AS:AS,MATCH('001_population_health_zone_zs'!$B$2,[1]ratio_ins!$B:$B,0))*$G242*INDEX([1]ratio_ins!$D:$D,MATCH('001_population_health_zone_zs'!$B242,[1]ratio_ins!$B:$B,0))</f>
        <v>61.411104000000002</v>
      </c>
      <c r="AW242" s="10">
        <f>INDEX([1]ratio_ins!AT:AT,MATCH('001_population_health_zone_zs'!$B$2,[1]ratio_ins!$B:$B,0))*$G242*INDEX([1]ratio_ins!$D:$D,MATCH('001_population_health_zone_zs'!$B242,[1]ratio_ins!$B:$B,0))</f>
        <v>40.940736000000001</v>
      </c>
      <c r="AX242" s="13">
        <f>INDEX([1]ratio_ins!AU:AU,MATCH('001_population_health_zone_zs'!$B$2,[1]ratio_ins!$B:$B,0))*$G242*INDEX([1]ratio_ins!$D:$D,MATCH('001_population_health_zone_zs'!$B242,[1]ratio_ins!$B:$B,0))</f>
        <v>429.87772799999993</v>
      </c>
      <c r="AY242" s="14">
        <f t="shared" si="19"/>
        <v>20470.367999999999</v>
      </c>
      <c r="AZ242" s="15">
        <f t="shared" si="20"/>
        <v>40296</v>
      </c>
      <c r="BA242" s="16">
        <v>39199.802293540335</v>
      </c>
      <c r="BB242" s="10">
        <f t="shared" si="21"/>
        <v>8699.9063999999998</v>
      </c>
      <c r="BC242" s="17">
        <f t="shared" si="22"/>
        <v>0.21590000000000001</v>
      </c>
      <c r="BD242" s="10">
        <f t="shared" si="23"/>
        <v>8267.2885440000009</v>
      </c>
    </row>
    <row r="243" spans="1:56" x14ac:dyDescent="0.25">
      <c r="A243" s="8" t="s">
        <v>590</v>
      </c>
      <c r="B243" s="8" t="s">
        <v>591</v>
      </c>
      <c r="C243" s="8" t="s">
        <v>606</v>
      </c>
      <c r="D243" s="8" t="s">
        <v>607</v>
      </c>
      <c r="E243" s="8" t="s">
        <v>606</v>
      </c>
      <c r="F243" s="8" t="s">
        <v>610</v>
      </c>
      <c r="G243" s="9">
        <v>84418</v>
      </c>
      <c r="H243" s="10">
        <f>INDEX([1]ratio_ins!F:F,MATCH('001_population_health_zone_zs'!$B$2,[1]ratio_ins!$B:$B,0))*$G243*INDEX([1]ratio_ins!$C:$C,MATCH('001_population_health_zone_zs'!$B243,[1]ratio_ins!$B:$B,0))</f>
        <v>8680.5341040000021</v>
      </c>
      <c r="I243" s="10">
        <f>INDEX([1]ratio_ins!G:G,MATCH('001_population_health_zone_zs'!$B$2,[1]ratio_ins!$B:$B,0))*$G243*INDEX([1]ratio_ins!$C:$C,MATCH('001_population_health_zone_zs'!$B243,[1]ratio_ins!$B:$B,0))</f>
        <v>7102.2551760000015</v>
      </c>
      <c r="J243" s="10">
        <f>INDEX([1]ratio_ins!H:H,MATCH('001_population_health_zone_zs'!$B$2,[1]ratio_ins!$B:$B,0))*$G243*INDEX([1]ratio_ins!$C:$C,MATCH('001_population_health_zone_zs'!$B243,[1]ratio_ins!$B:$B,0))</f>
        <v>5607.043560000001</v>
      </c>
      <c r="K243" s="10">
        <f>INDEX([1]ratio_ins!I:I,MATCH('001_population_health_zone_zs'!$B$2,[1]ratio_ins!$B:$B,0))*$G243*INDEX([1]ratio_ins!$C:$C,MATCH('001_population_health_zone_zs'!$B243,[1]ratio_ins!$B:$B,0))</f>
        <v>3447.2934480000004</v>
      </c>
      <c r="L243" s="10">
        <f>INDEX([1]ratio_ins!J:J,MATCH('001_population_health_zone_zs'!$B$2,[1]ratio_ins!$B:$B,0))*$G243*INDEX([1]ratio_ins!$C:$C,MATCH('001_population_health_zone_zs'!$B243,[1]ratio_ins!$B:$B,0))</f>
        <v>2068.3760687999998</v>
      </c>
      <c r="M243" s="11">
        <f>INDEX([1]ratio_ins!K:K,MATCH('001_population_health_zone_zs'!$B$2,[1]ratio_ins!$B:$B,0))*$G243*INDEX([1]ratio_ins!$C:$C,MATCH('001_population_health_zone_zs'!$B243,[1]ratio_ins!$B:$B,0))</f>
        <v>23458.208908799999</v>
      </c>
      <c r="N243" s="10">
        <f>INDEX([1]ratio_ins!L:L,MATCH('001_population_health_zone_zs'!$B$2,[1]ratio_ins!$B:$B,0))*$G243*INDEX([1]ratio_ins!$C:$C,MATCH('001_population_health_zone_zs'!$B243,[1]ratio_ins!$B:$B,0))</f>
        <v>1378.9173792000001</v>
      </c>
      <c r="O243" s="10">
        <f>INDEX([1]ratio_ins!M:M,MATCH('001_population_health_zone_zs'!$B$2,[1]ratio_ins!$B:$B,0))*$G243*INDEX([1]ratio_ins!$C:$C,MATCH('001_population_health_zone_zs'!$B243,[1]ratio_ins!$B:$B,0))</f>
        <v>2990.4232320000006</v>
      </c>
      <c r="P243" s="10">
        <f>INDEX([1]ratio_ins!N:N,MATCH('001_population_health_zone_zs'!$B$2,[1]ratio_ins!$B:$B,0))*$G243*INDEX([1]ratio_ins!$C:$C,MATCH('001_population_health_zone_zs'!$B243,[1]ratio_ins!$B:$B,0))</f>
        <v>2699.6876400000001</v>
      </c>
      <c r="Q243" s="10">
        <f>INDEX([1]ratio_ins!O:O,MATCH('001_population_health_zone_zs'!$B$2,[1]ratio_ins!$B:$B,0))*$G243*INDEX([1]ratio_ins!$C:$C,MATCH('001_population_health_zone_zs'!$B243,[1]ratio_ins!$B:$B,0))</f>
        <v>2408.9520480000001</v>
      </c>
      <c r="R243" s="10">
        <f>INDEX([1]ratio_ins!P:P,MATCH('001_population_health_zone_zs'!$B$2,[1]ratio_ins!$B:$B,0))*$G243*INDEX([1]ratio_ins!$C:$C,MATCH('001_population_health_zone_zs'!$B243,[1]ratio_ins!$B:$B,0))</f>
        <v>2367.418392</v>
      </c>
      <c r="S243" s="10">
        <f>INDEX([1]ratio_ins!Q:Q,MATCH('001_population_health_zone_zs'!$B$2,[1]ratio_ins!$B:$B,0))*$G243*INDEX([1]ratio_ins!$C:$C,MATCH('001_population_health_zone_zs'!$B243,[1]ratio_ins!$B:$B,0))</f>
        <v>1993.6154880000004</v>
      </c>
      <c r="T243" s="10">
        <f>INDEX([1]ratio_ins!R:R,MATCH('001_population_health_zone_zs'!$B$2,[1]ratio_ins!$B:$B,0))*$G243*INDEX([1]ratio_ins!$C:$C,MATCH('001_population_health_zone_zs'!$B243,[1]ratio_ins!$B:$B,0))</f>
        <v>1412.1443040000001</v>
      </c>
      <c r="U243" s="10">
        <f>INDEX([1]ratio_ins!S:S,MATCH('001_population_health_zone_zs'!$B$2,[1]ratio_ins!$B:$B,0))*$G243*INDEX([1]ratio_ins!$C:$C,MATCH('001_population_health_zone_zs'!$B243,[1]ratio_ins!$B:$B,0))</f>
        <v>1121.4087120000002</v>
      </c>
      <c r="V243" s="10">
        <f>INDEX([1]ratio_ins!T:T,MATCH('001_population_health_zone_zs'!$B$2,[1]ratio_ins!$B:$B,0))*$G243*INDEX([1]ratio_ins!$C:$C,MATCH('001_population_health_zone_zs'!$B243,[1]ratio_ins!$B:$B,0))</f>
        <v>623.00484000000006</v>
      </c>
      <c r="W243" s="11">
        <f>INDEX([1]ratio_ins!U:U,MATCH('001_population_health_zone_zs'!$B$2,[1]ratio_ins!$B:$B,0))*$G243*INDEX([1]ratio_ins!$C:$C,MATCH('001_population_health_zone_zs'!$B243,[1]ratio_ins!$B:$B,0))</f>
        <v>16995.572035200003</v>
      </c>
      <c r="X243" s="10">
        <f>INDEX([1]ratio_ins!V:V,MATCH('001_population_health_zone_zs'!$B$2,[1]ratio_ins!$B:$B,0))*$G243*INDEX([1]ratio_ins!$C:$C,MATCH('001_population_health_zone_zs'!$B243,[1]ratio_ins!$B:$B,0))</f>
        <v>498.40387200000009</v>
      </c>
      <c r="Y243" s="10">
        <f>INDEX([1]ratio_ins!W:W,MATCH('001_population_health_zone_zs'!$B$2,[1]ratio_ins!$B:$B,0))*$G243*INDEX([1]ratio_ins!$C:$C,MATCH('001_population_health_zone_zs'!$B243,[1]ratio_ins!$B:$B,0))</f>
        <v>332.26924800000006</v>
      </c>
      <c r="Z243" s="10">
        <f>INDEX([1]ratio_ins!X:X,MATCH('001_population_health_zone_zs'!$B$2,[1]ratio_ins!$B:$B,0))*$G243*INDEX([1]ratio_ins!$C:$C,MATCH('001_population_health_zone_zs'!$B243,[1]ratio_ins!$B:$B,0))</f>
        <v>166.13462400000003</v>
      </c>
      <c r="AA243" s="10">
        <f>INDEX([1]ratio_ins!Y:Y,MATCH('001_population_health_zone_zs'!$B$2,[1]ratio_ins!$B:$B,0))*$G243*INDEX([1]ratio_ins!$C:$C,MATCH('001_population_health_zone_zs'!$B243,[1]ratio_ins!$B:$B,0))</f>
        <v>83.067312000000015</v>
      </c>
      <c r="AB243" s="11">
        <f>INDEX([1]ratio_ins!Z:Z,MATCH('001_population_health_zone_zs'!$B$2,[1]ratio_ins!$B:$B,0))*$G243*INDEX([1]ratio_ins!$C:$C,MATCH('001_population_health_zone_zs'!$B243,[1]ratio_ins!$B:$B,0))</f>
        <v>1079.8750560000003</v>
      </c>
      <c r="AC243" s="12">
        <f t="shared" si="18"/>
        <v>41533.655999999995</v>
      </c>
      <c r="AD243" s="10">
        <f>INDEX([1]ratio_ins!AA:AA,MATCH('001_population_health_zone_zs'!$B$2,[1]ratio_ins!$B:$B,0))*$G243*INDEX([1]ratio_ins!$D:$D,MATCH('001_population_health_zone_zs'!$B243,[1]ratio_ins!$B:$B,0))</f>
        <v>9005.7122399999989</v>
      </c>
      <c r="AE243" s="10">
        <f>INDEX([1]ratio_ins!AB:AB,MATCH('001_population_health_zone_zs'!$B$2,[1]ratio_ins!$B:$B,0))*$G243*INDEX([1]ratio_ins!$D:$D,MATCH('001_population_health_zone_zs'!$B243,[1]ratio_ins!$B:$B,0))</f>
        <v>7418.9915120000014</v>
      </c>
      <c r="AF243" s="10">
        <f>INDEX([1]ratio_ins!AC:AC,MATCH('001_population_health_zone_zs'!$B$2,[1]ratio_ins!$B:$B,0))*$G243*INDEX([1]ratio_ins!$D:$D,MATCH('001_population_health_zone_zs'!$B243,[1]ratio_ins!$B:$B,0))</f>
        <v>5875.1551279999985</v>
      </c>
      <c r="AG243" s="10">
        <f>INDEX([1]ratio_ins!AD:AD,MATCH('001_population_health_zone_zs'!$B$2,[1]ratio_ins!$B:$B,0))*$G243*INDEX([1]ratio_ins!$D:$D,MATCH('001_population_health_zone_zs'!$B243,[1]ratio_ins!$B:$B,0))</f>
        <v>3559.4005520000001</v>
      </c>
      <c r="AH243" s="10">
        <f>INDEX([1]ratio_ins!AE:AE,MATCH('001_population_health_zone_zs'!$B$2,[1]ratio_ins!$B:$B,0))*$G243*INDEX([1]ratio_ins!$D:$D,MATCH('001_population_health_zone_zs'!$B243,[1]ratio_ins!$B:$B,0))</f>
        <v>2135.6403311999998</v>
      </c>
      <c r="AI243" s="13">
        <f>INDEX([1]ratio_ins!AF:AF,MATCH('001_population_health_zone_zs'!$B$2,[1]ratio_ins!$B:$B,0))*$G243*INDEX([1]ratio_ins!$D:$D,MATCH('001_population_health_zone_zs'!$B243,[1]ratio_ins!$B:$B,0))</f>
        <v>24435.4992112</v>
      </c>
      <c r="AJ243" s="10">
        <f>INDEX([1]ratio_ins!AG:AG,MATCH('001_population_health_zone_zs'!$B$2,[1]ratio_ins!$B:$B,0))*$G243*INDEX([1]ratio_ins!$D:$D,MATCH('001_population_health_zone_zs'!$B243,[1]ratio_ins!$B:$B,0))</f>
        <v>1423.7602208000001</v>
      </c>
      <c r="AK243" s="10">
        <f>INDEX([1]ratio_ins!AH:AH,MATCH('001_population_health_zone_zs'!$B$2,[1]ratio_ins!$B:$B,0))*$G243*INDEX([1]ratio_ins!$D:$D,MATCH('001_population_health_zone_zs'!$B243,[1]ratio_ins!$B:$B,0))</f>
        <v>3173.4414560000005</v>
      </c>
      <c r="AL243" s="10">
        <f>INDEX([1]ratio_ins!AI:AI,MATCH('001_population_health_zone_zs'!$B$2,[1]ratio_ins!$B:$B,0))*$G243*INDEX([1]ratio_ins!$D:$D,MATCH('001_population_health_zone_zs'!$B243,[1]ratio_ins!$B:$B,0))</f>
        <v>3001.9040800000002</v>
      </c>
      <c r="AM243" s="10">
        <f>INDEX([1]ratio_ins!AJ:AJ,MATCH('001_population_health_zone_zs'!$B$2,[1]ratio_ins!$B:$B,0))*$G243*INDEX([1]ratio_ins!$D:$D,MATCH('001_population_health_zone_zs'!$B243,[1]ratio_ins!$B:$B,0))</f>
        <v>2744.5980160000004</v>
      </c>
      <c r="AN243" s="10">
        <f>INDEX([1]ratio_ins!AK:AK,MATCH('001_population_health_zone_zs'!$B$2,[1]ratio_ins!$B:$B,0))*$G243*INDEX([1]ratio_ins!$D:$D,MATCH('001_population_health_zone_zs'!$B243,[1]ratio_ins!$B:$B,0))</f>
        <v>2573.0606400000001</v>
      </c>
      <c r="AO243" s="10">
        <f>INDEX([1]ratio_ins!AL:AL,MATCH('001_population_health_zone_zs'!$B$2,[1]ratio_ins!$B:$B,0))*$G243*INDEX([1]ratio_ins!$D:$D,MATCH('001_population_health_zone_zs'!$B243,[1]ratio_ins!$B:$B,0))</f>
        <v>1929.79548</v>
      </c>
      <c r="AP243" s="10">
        <f>INDEX([1]ratio_ins!AM:AM,MATCH('001_population_health_zone_zs'!$B$2,[1]ratio_ins!$B:$B,0))*$G243*INDEX([1]ratio_ins!$D:$D,MATCH('001_population_health_zone_zs'!$B243,[1]ratio_ins!$B:$B,0))</f>
        <v>1243.645976</v>
      </c>
      <c r="AQ243" s="10">
        <f>INDEX([1]ratio_ins!AN:AN,MATCH('001_population_health_zone_zs'!$B$2,[1]ratio_ins!$B:$B,0))*$G243*INDEX([1]ratio_ins!$D:$D,MATCH('001_population_health_zone_zs'!$B243,[1]ratio_ins!$B:$B,0))</f>
        <v>986.33991200000003</v>
      </c>
      <c r="AR243" s="10">
        <f>INDEX([1]ratio_ins!AO:AO,MATCH('001_population_health_zone_zs'!$B$2,[1]ratio_ins!$B:$B,0))*$G243*INDEX([1]ratio_ins!$D:$D,MATCH('001_population_health_zone_zs'!$B243,[1]ratio_ins!$B:$B,0))</f>
        <v>471.72778400000004</v>
      </c>
      <c r="AS243" s="13">
        <f>INDEX([1]ratio_ins!AP:AP,MATCH('001_population_health_zone_zs'!$B$2,[1]ratio_ins!$B:$B,0))*$G243*INDEX([1]ratio_ins!$D:$D,MATCH('001_population_health_zone_zs'!$B243,[1]ratio_ins!$B:$B,0))</f>
        <v>17548.273564800002</v>
      </c>
      <c r="AT243" s="10">
        <f>INDEX([1]ratio_ins!AQ:AQ,MATCH('001_population_health_zone_zs'!$B$2,[1]ratio_ins!$B:$B,0))*$G243*INDEX([1]ratio_ins!$D:$D,MATCH('001_population_health_zone_zs'!$B243,[1]ratio_ins!$B:$B,0))</f>
        <v>428.84344000000004</v>
      </c>
      <c r="AU243" s="10">
        <f>INDEX([1]ratio_ins!AR:AR,MATCH('001_population_health_zone_zs'!$B$2,[1]ratio_ins!$B:$B,0))*$G243*INDEX([1]ratio_ins!$D:$D,MATCH('001_population_health_zone_zs'!$B243,[1]ratio_ins!$B:$B,0))</f>
        <v>257.30606400000005</v>
      </c>
      <c r="AV243" s="10">
        <f>INDEX([1]ratio_ins!AS:AS,MATCH('001_population_health_zone_zs'!$B$2,[1]ratio_ins!$B:$B,0))*$G243*INDEX([1]ratio_ins!$D:$D,MATCH('001_population_health_zone_zs'!$B243,[1]ratio_ins!$B:$B,0))</f>
        <v>128.65303200000002</v>
      </c>
      <c r="AW243" s="10">
        <f>INDEX([1]ratio_ins!AT:AT,MATCH('001_population_health_zone_zs'!$B$2,[1]ratio_ins!$B:$B,0))*$G243*INDEX([1]ratio_ins!$D:$D,MATCH('001_population_health_zone_zs'!$B243,[1]ratio_ins!$B:$B,0))</f>
        <v>85.768688000000012</v>
      </c>
      <c r="AX243" s="13">
        <f>INDEX([1]ratio_ins!AU:AU,MATCH('001_population_health_zone_zs'!$B$2,[1]ratio_ins!$B:$B,0))*$G243*INDEX([1]ratio_ins!$D:$D,MATCH('001_population_health_zone_zs'!$B243,[1]ratio_ins!$B:$B,0))</f>
        <v>900.57122399999992</v>
      </c>
      <c r="AY243" s="14">
        <f t="shared" si="19"/>
        <v>42884.343999999997</v>
      </c>
      <c r="AZ243" s="15">
        <f t="shared" si="20"/>
        <v>84418</v>
      </c>
      <c r="BA243" s="16">
        <v>82122.380370928717</v>
      </c>
      <c r="BB243" s="10">
        <f t="shared" si="21"/>
        <v>18225.8462</v>
      </c>
      <c r="BC243" s="17">
        <f t="shared" si="22"/>
        <v>0.21590000000000001</v>
      </c>
      <c r="BD243" s="10">
        <f t="shared" si="23"/>
        <v>17319.534552000001</v>
      </c>
    </row>
    <row r="244" spans="1:56" x14ac:dyDescent="0.25">
      <c r="A244" s="8" t="s">
        <v>590</v>
      </c>
      <c r="B244" s="8" t="s">
        <v>591</v>
      </c>
      <c r="C244" s="8" t="s">
        <v>606</v>
      </c>
      <c r="D244" s="8" t="s">
        <v>607</v>
      </c>
      <c r="E244" s="8" t="s">
        <v>611</v>
      </c>
      <c r="F244" s="8" t="s">
        <v>612</v>
      </c>
      <c r="G244" s="9">
        <v>121642</v>
      </c>
      <c r="H244" s="10">
        <f>INDEX([1]ratio_ins!F:F,MATCH('001_population_health_zone_zs'!$B$2,[1]ratio_ins!$B:$B,0))*$G244*INDEX([1]ratio_ins!$C:$C,MATCH('001_population_health_zone_zs'!$B244,[1]ratio_ins!$B:$B,0))</f>
        <v>12508.203576000002</v>
      </c>
      <c r="I244" s="10">
        <f>INDEX([1]ratio_ins!G:G,MATCH('001_population_health_zone_zs'!$B$2,[1]ratio_ins!$B:$B,0))*$G244*INDEX([1]ratio_ins!$C:$C,MATCH('001_population_health_zone_zs'!$B244,[1]ratio_ins!$B:$B,0))</f>
        <v>10233.984744000003</v>
      </c>
      <c r="J244" s="10">
        <f>INDEX([1]ratio_ins!H:H,MATCH('001_population_health_zone_zs'!$B$2,[1]ratio_ins!$B:$B,0))*$G244*INDEX([1]ratio_ins!$C:$C,MATCH('001_population_health_zone_zs'!$B244,[1]ratio_ins!$B:$B,0))</f>
        <v>8079.4616400000014</v>
      </c>
      <c r="K244" s="10">
        <f>INDEX([1]ratio_ins!I:I,MATCH('001_population_health_zone_zs'!$B$2,[1]ratio_ins!$B:$B,0))*$G244*INDEX([1]ratio_ins!$C:$C,MATCH('001_population_health_zone_zs'!$B244,[1]ratio_ins!$B:$B,0))</f>
        <v>4967.3727120000003</v>
      </c>
      <c r="L244" s="10">
        <f>INDEX([1]ratio_ins!J:J,MATCH('001_population_health_zone_zs'!$B$2,[1]ratio_ins!$B:$B,0))*$G244*INDEX([1]ratio_ins!$C:$C,MATCH('001_population_health_zone_zs'!$B244,[1]ratio_ins!$B:$B,0))</f>
        <v>2980.4236272000003</v>
      </c>
      <c r="M244" s="11">
        <f>INDEX([1]ratio_ins!K:K,MATCH('001_population_health_zone_zs'!$B$2,[1]ratio_ins!$B:$B,0))*$G244*INDEX([1]ratio_ins!$C:$C,MATCH('001_population_health_zone_zs'!$B244,[1]ratio_ins!$B:$B,0))</f>
        <v>33802.0735872</v>
      </c>
      <c r="N244" s="10">
        <f>INDEX([1]ratio_ins!L:L,MATCH('001_population_health_zone_zs'!$B$2,[1]ratio_ins!$B:$B,0))*$G244*INDEX([1]ratio_ins!$C:$C,MATCH('001_population_health_zone_zs'!$B244,[1]ratio_ins!$B:$B,0))</f>
        <v>1986.9490848000003</v>
      </c>
      <c r="O244" s="10">
        <f>INDEX([1]ratio_ins!M:M,MATCH('001_population_health_zone_zs'!$B$2,[1]ratio_ins!$B:$B,0))*$G244*INDEX([1]ratio_ins!$C:$C,MATCH('001_population_health_zone_zs'!$B244,[1]ratio_ins!$B:$B,0))</f>
        <v>4309.0462080000007</v>
      </c>
      <c r="P244" s="10">
        <f>INDEX([1]ratio_ins!N:N,MATCH('001_population_health_zone_zs'!$B$2,[1]ratio_ins!$B:$B,0))*$G244*INDEX([1]ratio_ins!$C:$C,MATCH('001_population_health_zone_zs'!$B244,[1]ratio_ins!$B:$B,0))</f>
        <v>3890.1111600000008</v>
      </c>
      <c r="Q244" s="10">
        <f>INDEX([1]ratio_ins!O:O,MATCH('001_population_health_zone_zs'!$B$2,[1]ratio_ins!$B:$B,0))*$G244*INDEX([1]ratio_ins!$C:$C,MATCH('001_population_health_zone_zs'!$B244,[1]ratio_ins!$B:$B,0))</f>
        <v>3471.1761120000001</v>
      </c>
      <c r="R244" s="10">
        <f>INDEX([1]ratio_ins!P:P,MATCH('001_population_health_zone_zs'!$B$2,[1]ratio_ins!$B:$B,0))*$G244*INDEX([1]ratio_ins!$C:$C,MATCH('001_population_health_zone_zs'!$B244,[1]ratio_ins!$B:$B,0))</f>
        <v>3411.3282480000003</v>
      </c>
      <c r="S244" s="10">
        <f>INDEX([1]ratio_ins!Q:Q,MATCH('001_population_health_zone_zs'!$B$2,[1]ratio_ins!$B:$B,0))*$G244*INDEX([1]ratio_ins!$C:$C,MATCH('001_population_health_zone_zs'!$B244,[1]ratio_ins!$B:$B,0))</f>
        <v>2872.6974720000003</v>
      </c>
      <c r="T244" s="10">
        <f>INDEX([1]ratio_ins!R:R,MATCH('001_population_health_zone_zs'!$B$2,[1]ratio_ins!$B:$B,0))*$G244*INDEX([1]ratio_ins!$C:$C,MATCH('001_population_health_zone_zs'!$B244,[1]ratio_ins!$B:$B,0))</f>
        <v>2034.8273760000004</v>
      </c>
      <c r="U244" s="10">
        <f>INDEX([1]ratio_ins!S:S,MATCH('001_population_health_zone_zs'!$B$2,[1]ratio_ins!$B:$B,0))*$G244*INDEX([1]ratio_ins!$C:$C,MATCH('001_population_health_zone_zs'!$B244,[1]ratio_ins!$B:$B,0))</f>
        <v>1615.8923280000004</v>
      </c>
      <c r="V244" s="10">
        <f>INDEX([1]ratio_ins!T:T,MATCH('001_population_health_zone_zs'!$B$2,[1]ratio_ins!$B:$B,0))*$G244*INDEX([1]ratio_ins!$C:$C,MATCH('001_population_health_zone_zs'!$B244,[1]ratio_ins!$B:$B,0))</f>
        <v>897.71796000000006</v>
      </c>
      <c r="W244" s="11">
        <f>INDEX([1]ratio_ins!U:U,MATCH('001_population_health_zone_zs'!$B$2,[1]ratio_ins!$B:$B,0))*$G244*INDEX([1]ratio_ins!$C:$C,MATCH('001_population_health_zone_zs'!$B244,[1]ratio_ins!$B:$B,0))</f>
        <v>24489.745948800002</v>
      </c>
      <c r="X244" s="10">
        <f>INDEX([1]ratio_ins!V:V,MATCH('001_population_health_zone_zs'!$B$2,[1]ratio_ins!$B:$B,0))*$G244*INDEX([1]ratio_ins!$C:$C,MATCH('001_population_health_zone_zs'!$B244,[1]ratio_ins!$B:$B,0))</f>
        <v>718.17436800000007</v>
      </c>
      <c r="Y244" s="10">
        <f>INDEX([1]ratio_ins!W:W,MATCH('001_population_health_zone_zs'!$B$2,[1]ratio_ins!$B:$B,0))*$G244*INDEX([1]ratio_ins!$C:$C,MATCH('001_population_health_zone_zs'!$B244,[1]ratio_ins!$B:$B,0))</f>
        <v>478.78291200000001</v>
      </c>
      <c r="Z244" s="10">
        <f>INDEX([1]ratio_ins!X:X,MATCH('001_population_health_zone_zs'!$B$2,[1]ratio_ins!$B:$B,0))*$G244*INDEX([1]ratio_ins!$C:$C,MATCH('001_population_health_zone_zs'!$B244,[1]ratio_ins!$B:$B,0))</f>
        <v>239.39145600000001</v>
      </c>
      <c r="AA244" s="10">
        <f>INDEX([1]ratio_ins!Y:Y,MATCH('001_population_health_zone_zs'!$B$2,[1]ratio_ins!$B:$B,0))*$G244*INDEX([1]ratio_ins!$C:$C,MATCH('001_population_health_zone_zs'!$B244,[1]ratio_ins!$B:$B,0))</f>
        <v>119.695728</v>
      </c>
      <c r="AB244" s="11">
        <f>INDEX([1]ratio_ins!Z:Z,MATCH('001_population_health_zone_zs'!$B$2,[1]ratio_ins!$B:$B,0))*$G244*INDEX([1]ratio_ins!$C:$C,MATCH('001_population_health_zone_zs'!$B244,[1]ratio_ins!$B:$B,0))</f>
        <v>1556.0444640000003</v>
      </c>
      <c r="AC244" s="12">
        <f t="shared" si="18"/>
        <v>59847.864000000001</v>
      </c>
      <c r="AD244" s="10">
        <f>INDEX([1]ratio_ins!AA:AA,MATCH('001_population_health_zone_zs'!$B$2,[1]ratio_ins!$B:$B,0))*$G244*INDEX([1]ratio_ins!$D:$D,MATCH('001_population_health_zone_zs'!$B244,[1]ratio_ins!$B:$B,0))</f>
        <v>12976.76856</v>
      </c>
      <c r="AE244" s="10">
        <f>INDEX([1]ratio_ins!AB:AB,MATCH('001_population_health_zone_zs'!$B$2,[1]ratio_ins!$B:$B,0))*$G244*INDEX([1]ratio_ins!$D:$D,MATCH('001_population_health_zone_zs'!$B244,[1]ratio_ins!$B:$B,0))</f>
        <v>10690.385528000001</v>
      </c>
      <c r="AF244" s="10">
        <f>INDEX([1]ratio_ins!AC:AC,MATCH('001_population_health_zone_zs'!$B$2,[1]ratio_ins!$B:$B,0))*$G244*INDEX([1]ratio_ins!$D:$D,MATCH('001_population_health_zone_zs'!$B244,[1]ratio_ins!$B:$B,0))</f>
        <v>8465.7966319999996</v>
      </c>
      <c r="AG244" s="10">
        <f>INDEX([1]ratio_ins!AD:AD,MATCH('001_population_health_zone_zs'!$B$2,[1]ratio_ins!$B:$B,0))*$G244*INDEX([1]ratio_ins!$D:$D,MATCH('001_population_health_zone_zs'!$B244,[1]ratio_ins!$B:$B,0))</f>
        <v>5128.9132879999997</v>
      </c>
      <c r="AH244" s="10">
        <f>INDEX([1]ratio_ins!AE:AE,MATCH('001_population_health_zone_zs'!$B$2,[1]ratio_ins!$B:$B,0))*$G244*INDEX([1]ratio_ins!$D:$D,MATCH('001_population_health_zone_zs'!$B244,[1]ratio_ins!$B:$B,0))</f>
        <v>3077.3479728000002</v>
      </c>
      <c r="AI244" s="13">
        <f>INDEX([1]ratio_ins!AF:AF,MATCH('001_population_health_zone_zs'!$B$2,[1]ratio_ins!$B:$B,0))*$G244*INDEX([1]ratio_ins!$D:$D,MATCH('001_population_health_zone_zs'!$B244,[1]ratio_ins!$B:$B,0))</f>
        <v>35210.298692800003</v>
      </c>
      <c r="AJ244" s="10">
        <f>INDEX([1]ratio_ins!AG:AG,MATCH('001_population_health_zone_zs'!$B$2,[1]ratio_ins!$B:$B,0))*$G244*INDEX([1]ratio_ins!$D:$D,MATCH('001_population_health_zone_zs'!$B244,[1]ratio_ins!$B:$B,0))</f>
        <v>2051.5653152</v>
      </c>
      <c r="AK244" s="10">
        <f>INDEX([1]ratio_ins!AH:AH,MATCH('001_population_health_zone_zs'!$B$2,[1]ratio_ins!$B:$B,0))*$G244*INDEX([1]ratio_ins!$D:$D,MATCH('001_population_health_zone_zs'!$B244,[1]ratio_ins!$B:$B,0))</f>
        <v>4572.7660640000013</v>
      </c>
      <c r="AL244" s="10">
        <f>INDEX([1]ratio_ins!AI:AI,MATCH('001_population_health_zone_zs'!$B$2,[1]ratio_ins!$B:$B,0))*$G244*INDEX([1]ratio_ins!$D:$D,MATCH('001_population_health_zone_zs'!$B244,[1]ratio_ins!$B:$B,0))</f>
        <v>4325.5895200000004</v>
      </c>
      <c r="AM244" s="10">
        <f>INDEX([1]ratio_ins!AJ:AJ,MATCH('001_population_health_zone_zs'!$B$2,[1]ratio_ins!$B:$B,0))*$G244*INDEX([1]ratio_ins!$D:$D,MATCH('001_population_health_zone_zs'!$B244,[1]ratio_ins!$B:$B,0))</f>
        <v>3954.8247040000001</v>
      </c>
      <c r="AN244" s="10">
        <f>INDEX([1]ratio_ins!AK:AK,MATCH('001_population_health_zone_zs'!$B$2,[1]ratio_ins!$B:$B,0))*$G244*INDEX([1]ratio_ins!$D:$D,MATCH('001_population_health_zone_zs'!$B244,[1]ratio_ins!$B:$B,0))</f>
        <v>3707.6481599999997</v>
      </c>
      <c r="AO244" s="10">
        <f>INDEX([1]ratio_ins!AL:AL,MATCH('001_population_health_zone_zs'!$B$2,[1]ratio_ins!$B:$B,0))*$G244*INDEX([1]ratio_ins!$D:$D,MATCH('001_population_health_zone_zs'!$B244,[1]ratio_ins!$B:$B,0))</f>
        <v>2780.7361199999996</v>
      </c>
      <c r="AP244" s="10">
        <f>INDEX([1]ratio_ins!AM:AM,MATCH('001_population_health_zone_zs'!$B$2,[1]ratio_ins!$B:$B,0))*$G244*INDEX([1]ratio_ins!$D:$D,MATCH('001_population_health_zone_zs'!$B244,[1]ratio_ins!$B:$B,0))</f>
        <v>1792.0299439999999</v>
      </c>
      <c r="AQ244" s="10">
        <f>INDEX([1]ratio_ins!AN:AN,MATCH('001_population_health_zone_zs'!$B$2,[1]ratio_ins!$B:$B,0))*$G244*INDEX([1]ratio_ins!$D:$D,MATCH('001_population_health_zone_zs'!$B244,[1]ratio_ins!$B:$B,0))</f>
        <v>1421.265128</v>
      </c>
      <c r="AR244" s="10">
        <f>INDEX([1]ratio_ins!AO:AO,MATCH('001_population_health_zone_zs'!$B$2,[1]ratio_ins!$B:$B,0))*$G244*INDEX([1]ratio_ins!$D:$D,MATCH('001_population_health_zone_zs'!$B244,[1]ratio_ins!$B:$B,0))</f>
        <v>679.73549600000013</v>
      </c>
      <c r="AS244" s="13">
        <f>INDEX([1]ratio_ins!AP:AP,MATCH('001_population_health_zone_zs'!$B$2,[1]ratio_ins!$B:$B,0))*$G244*INDEX([1]ratio_ins!$D:$D,MATCH('001_population_health_zone_zs'!$B244,[1]ratio_ins!$B:$B,0))</f>
        <v>25286.160451200001</v>
      </c>
      <c r="AT244" s="10">
        <f>INDEX([1]ratio_ins!AQ:AQ,MATCH('001_population_health_zone_zs'!$B$2,[1]ratio_ins!$B:$B,0))*$G244*INDEX([1]ratio_ins!$D:$D,MATCH('001_population_health_zone_zs'!$B244,[1]ratio_ins!$B:$B,0))</f>
        <v>617.94136000000003</v>
      </c>
      <c r="AU244" s="10">
        <f>INDEX([1]ratio_ins!AR:AR,MATCH('001_population_health_zone_zs'!$B$2,[1]ratio_ins!$B:$B,0))*$G244*INDEX([1]ratio_ins!$D:$D,MATCH('001_population_health_zone_zs'!$B244,[1]ratio_ins!$B:$B,0))</f>
        <v>370.764816</v>
      </c>
      <c r="AV244" s="10">
        <f>INDEX([1]ratio_ins!AS:AS,MATCH('001_population_health_zone_zs'!$B$2,[1]ratio_ins!$B:$B,0))*$G244*INDEX([1]ratio_ins!$D:$D,MATCH('001_population_health_zone_zs'!$B244,[1]ratio_ins!$B:$B,0))</f>
        <v>185.382408</v>
      </c>
      <c r="AW244" s="10">
        <f>INDEX([1]ratio_ins!AT:AT,MATCH('001_population_health_zone_zs'!$B$2,[1]ratio_ins!$B:$B,0))*$G244*INDEX([1]ratio_ins!$D:$D,MATCH('001_population_health_zone_zs'!$B244,[1]ratio_ins!$B:$B,0))</f>
        <v>123.588272</v>
      </c>
      <c r="AX244" s="13">
        <f>INDEX([1]ratio_ins!AU:AU,MATCH('001_population_health_zone_zs'!$B$2,[1]ratio_ins!$B:$B,0))*$G244*INDEX([1]ratio_ins!$D:$D,MATCH('001_population_health_zone_zs'!$B244,[1]ratio_ins!$B:$B,0))</f>
        <v>1297.6768559999998</v>
      </c>
      <c r="AY244" s="14">
        <f t="shared" si="19"/>
        <v>61794.136000000006</v>
      </c>
      <c r="AZ244" s="15">
        <f t="shared" si="20"/>
        <v>121642</v>
      </c>
      <c r="BA244" s="16">
        <v>118334.07519669805</v>
      </c>
      <c r="BB244" s="10">
        <f t="shared" si="21"/>
        <v>26262.507799999999</v>
      </c>
      <c r="BC244" s="17">
        <f t="shared" si="22"/>
        <v>0.21590000000000001</v>
      </c>
      <c r="BD244" s="10">
        <f t="shared" si="23"/>
        <v>24956.559288000004</v>
      </c>
    </row>
    <row r="245" spans="1:56" x14ac:dyDescent="0.25">
      <c r="A245" s="8" t="s">
        <v>590</v>
      </c>
      <c r="B245" s="8" t="s">
        <v>591</v>
      </c>
      <c r="C245" s="8" t="s">
        <v>606</v>
      </c>
      <c r="D245" s="8" t="s">
        <v>607</v>
      </c>
      <c r="E245" s="8" t="s">
        <v>613</v>
      </c>
      <c r="F245" s="8" t="s">
        <v>614</v>
      </c>
      <c r="G245" s="9">
        <v>62813</v>
      </c>
      <c r="H245" s="10">
        <f>INDEX([1]ratio_ins!F:F,MATCH('001_population_health_zone_zs'!$B$2,[1]ratio_ins!$B:$B,0))*$G245*INDEX([1]ratio_ins!$C:$C,MATCH('001_population_health_zone_zs'!$B245,[1]ratio_ins!$B:$B,0))</f>
        <v>6458.9351640000004</v>
      </c>
      <c r="I245" s="10">
        <f>INDEX([1]ratio_ins!G:G,MATCH('001_population_health_zone_zs'!$B$2,[1]ratio_ins!$B:$B,0))*$G245*INDEX([1]ratio_ins!$C:$C,MATCH('001_population_health_zone_zs'!$B245,[1]ratio_ins!$B:$B,0))</f>
        <v>5284.5833160000011</v>
      </c>
      <c r="J245" s="10">
        <f>INDEX([1]ratio_ins!H:H,MATCH('001_population_health_zone_zs'!$B$2,[1]ratio_ins!$B:$B,0))*$G245*INDEX([1]ratio_ins!$C:$C,MATCH('001_population_health_zone_zs'!$B245,[1]ratio_ins!$B:$B,0))</f>
        <v>4172.0394600000009</v>
      </c>
      <c r="K245" s="10">
        <f>INDEX([1]ratio_ins!I:I,MATCH('001_population_health_zone_zs'!$B$2,[1]ratio_ins!$B:$B,0))*$G245*INDEX([1]ratio_ins!$C:$C,MATCH('001_population_health_zone_zs'!$B245,[1]ratio_ins!$B:$B,0))</f>
        <v>2565.0316680000005</v>
      </c>
      <c r="L245" s="10">
        <f>INDEX([1]ratio_ins!J:J,MATCH('001_population_health_zone_zs'!$B$2,[1]ratio_ins!$B:$B,0))*$G245*INDEX([1]ratio_ins!$C:$C,MATCH('001_population_health_zone_zs'!$B245,[1]ratio_ins!$B:$B,0))</f>
        <v>1539.0190008000002</v>
      </c>
      <c r="M245" s="11">
        <f>INDEX([1]ratio_ins!K:K,MATCH('001_population_health_zone_zs'!$B$2,[1]ratio_ins!$B:$B,0))*$G245*INDEX([1]ratio_ins!$C:$C,MATCH('001_population_health_zone_zs'!$B245,[1]ratio_ins!$B:$B,0))</f>
        <v>17454.576940800001</v>
      </c>
      <c r="N245" s="10">
        <f>INDEX([1]ratio_ins!L:L,MATCH('001_population_health_zone_zs'!$B$2,[1]ratio_ins!$B:$B,0))*$G245*INDEX([1]ratio_ins!$C:$C,MATCH('001_population_health_zone_zs'!$B245,[1]ratio_ins!$B:$B,0))</f>
        <v>1026.0126672000001</v>
      </c>
      <c r="O245" s="10">
        <f>INDEX([1]ratio_ins!M:M,MATCH('001_population_health_zone_zs'!$B$2,[1]ratio_ins!$B:$B,0))*$G245*INDEX([1]ratio_ins!$C:$C,MATCH('001_population_health_zone_zs'!$B245,[1]ratio_ins!$B:$B,0))</f>
        <v>2225.0877120000009</v>
      </c>
      <c r="P245" s="10">
        <f>INDEX([1]ratio_ins!N:N,MATCH('001_population_health_zone_zs'!$B$2,[1]ratio_ins!$B:$B,0))*$G245*INDEX([1]ratio_ins!$C:$C,MATCH('001_population_health_zone_zs'!$B245,[1]ratio_ins!$B:$B,0))</f>
        <v>2008.7597400000004</v>
      </c>
      <c r="Q245" s="10">
        <f>INDEX([1]ratio_ins!O:O,MATCH('001_population_health_zone_zs'!$B$2,[1]ratio_ins!$B:$B,0))*$G245*INDEX([1]ratio_ins!$C:$C,MATCH('001_population_health_zone_zs'!$B245,[1]ratio_ins!$B:$B,0))</f>
        <v>1792.4317679999999</v>
      </c>
      <c r="R245" s="10">
        <f>INDEX([1]ratio_ins!P:P,MATCH('001_population_health_zone_zs'!$B$2,[1]ratio_ins!$B:$B,0))*$G245*INDEX([1]ratio_ins!$C:$C,MATCH('001_population_health_zone_zs'!$B245,[1]ratio_ins!$B:$B,0))</f>
        <v>1761.5277720000004</v>
      </c>
      <c r="S245" s="10">
        <f>INDEX([1]ratio_ins!Q:Q,MATCH('001_population_health_zone_zs'!$B$2,[1]ratio_ins!$B:$B,0))*$G245*INDEX([1]ratio_ins!$C:$C,MATCH('001_population_health_zone_zs'!$B245,[1]ratio_ins!$B:$B,0))</f>
        <v>1483.3918080000001</v>
      </c>
      <c r="T245" s="10">
        <f>INDEX([1]ratio_ins!R:R,MATCH('001_population_health_zone_zs'!$B$2,[1]ratio_ins!$B:$B,0))*$G245*INDEX([1]ratio_ins!$C:$C,MATCH('001_population_health_zone_zs'!$B245,[1]ratio_ins!$B:$B,0))</f>
        <v>1050.7358640000002</v>
      </c>
      <c r="U245" s="10">
        <f>INDEX([1]ratio_ins!S:S,MATCH('001_population_health_zone_zs'!$B$2,[1]ratio_ins!$B:$B,0))*$G245*INDEX([1]ratio_ins!$C:$C,MATCH('001_population_health_zone_zs'!$B245,[1]ratio_ins!$B:$B,0))</f>
        <v>834.40789200000017</v>
      </c>
      <c r="V245" s="10">
        <f>INDEX([1]ratio_ins!T:T,MATCH('001_population_health_zone_zs'!$B$2,[1]ratio_ins!$B:$B,0))*$G245*INDEX([1]ratio_ins!$C:$C,MATCH('001_population_health_zone_zs'!$B245,[1]ratio_ins!$B:$B,0))</f>
        <v>463.55994000000004</v>
      </c>
      <c r="W245" s="11">
        <f>INDEX([1]ratio_ins!U:U,MATCH('001_population_health_zone_zs'!$B$2,[1]ratio_ins!$B:$B,0))*$G245*INDEX([1]ratio_ins!$C:$C,MATCH('001_population_health_zone_zs'!$B245,[1]ratio_ins!$B:$B,0))</f>
        <v>12645.915163200001</v>
      </c>
      <c r="X245" s="10">
        <f>INDEX([1]ratio_ins!V:V,MATCH('001_population_health_zone_zs'!$B$2,[1]ratio_ins!$B:$B,0))*$G245*INDEX([1]ratio_ins!$C:$C,MATCH('001_population_health_zone_zs'!$B245,[1]ratio_ins!$B:$B,0))</f>
        <v>370.84795200000002</v>
      </c>
      <c r="Y245" s="10">
        <f>INDEX([1]ratio_ins!W:W,MATCH('001_population_health_zone_zs'!$B$2,[1]ratio_ins!$B:$B,0))*$G245*INDEX([1]ratio_ins!$C:$C,MATCH('001_population_health_zone_zs'!$B245,[1]ratio_ins!$B:$B,0))</f>
        <v>247.23196800000002</v>
      </c>
      <c r="Z245" s="10">
        <f>INDEX([1]ratio_ins!X:X,MATCH('001_population_health_zone_zs'!$B$2,[1]ratio_ins!$B:$B,0))*$G245*INDEX([1]ratio_ins!$C:$C,MATCH('001_population_health_zone_zs'!$B245,[1]ratio_ins!$B:$B,0))</f>
        <v>123.61598400000001</v>
      </c>
      <c r="AA245" s="10">
        <f>INDEX([1]ratio_ins!Y:Y,MATCH('001_population_health_zone_zs'!$B$2,[1]ratio_ins!$B:$B,0))*$G245*INDEX([1]ratio_ins!$C:$C,MATCH('001_population_health_zone_zs'!$B245,[1]ratio_ins!$B:$B,0))</f>
        <v>61.807992000000006</v>
      </c>
      <c r="AB245" s="11">
        <f>INDEX([1]ratio_ins!Z:Z,MATCH('001_population_health_zone_zs'!$B$2,[1]ratio_ins!$B:$B,0))*$G245*INDEX([1]ratio_ins!$C:$C,MATCH('001_population_health_zone_zs'!$B245,[1]ratio_ins!$B:$B,0))</f>
        <v>803.50389600000017</v>
      </c>
      <c r="AC245" s="12">
        <f t="shared" si="18"/>
        <v>30903.996000000006</v>
      </c>
      <c r="AD245" s="10">
        <f>INDEX([1]ratio_ins!AA:AA,MATCH('001_population_health_zone_zs'!$B$2,[1]ratio_ins!$B:$B,0))*$G245*INDEX([1]ratio_ins!$D:$D,MATCH('001_population_health_zone_zs'!$B245,[1]ratio_ins!$B:$B,0))</f>
        <v>6700.89084</v>
      </c>
      <c r="AE245" s="10">
        <f>INDEX([1]ratio_ins!AB:AB,MATCH('001_population_health_zone_zs'!$B$2,[1]ratio_ins!$B:$B,0))*$G245*INDEX([1]ratio_ins!$D:$D,MATCH('001_population_health_zone_zs'!$B245,[1]ratio_ins!$B:$B,0))</f>
        <v>5520.257692000001</v>
      </c>
      <c r="AF245" s="10">
        <f>INDEX([1]ratio_ins!AC:AC,MATCH('001_population_health_zone_zs'!$B$2,[1]ratio_ins!$B:$B,0))*$G245*INDEX([1]ratio_ins!$D:$D,MATCH('001_population_health_zone_zs'!$B245,[1]ratio_ins!$B:$B,0))</f>
        <v>4371.5335479999994</v>
      </c>
      <c r="AG245" s="10">
        <f>INDEX([1]ratio_ins!AD:AD,MATCH('001_population_health_zone_zs'!$B$2,[1]ratio_ins!$B:$B,0))*$G245*INDEX([1]ratio_ins!$D:$D,MATCH('001_population_health_zone_zs'!$B245,[1]ratio_ins!$B:$B,0))</f>
        <v>2648.4473320000002</v>
      </c>
      <c r="AH245" s="10">
        <f>INDEX([1]ratio_ins!AE:AE,MATCH('001_population_health_zone_zs'!$B$2,[1]ratio_ins!$B:$B,0))*$G245*INDEX([1]ratio_ins!$D:$D,MATCH('001_population_health_zone_zs'!$B245,[1]ratio_ins!$B:$B,0))</f>
        <v>1589.0683991999999</v>
      </c>
      <c r="AI245" s="13">
        <f>INDEX([1]ratio_ins!AF:AF,MATCH('001_population_health_zone_zs'!$B$2,[1]ratio_ins!$B:$B,0))*$G245*INDEX([1]ratio_ins!$D:$D,MATCH('001_population_health_zone_zs'!$B245,[1]ratio_ins!$B:$B,0))</f>
        <v>18181.7504792</v>
      </c>
      <c r="AJ245" s="10">
        <f>INDEX([1]ratio_ins!AG:AG,MATCH('001_population_health_zone_zs'!$B$2,[1]ratio_ins!$B:$B,0))*$G245*INDEX([1]ratio_ins!$D:$D,MATCH('001_population_health_zone_zs'!$B245,[1]ratio_ins!$B:$B,0))</f>
        <v>1059.3789328</v>
      </c>
      <c r="AK245" s="10">
        <f>INDEX([1]ratio_ins!AH:AH,MATCH('001_population_health_zone_zs'!$B$2,[1]ratio_ins!$B:$B,0))*$G245*INDEX([1]ratio_ins!$D:$D,MATCH('001_population_health_zone_zs'!$B245,[1]ratio_ins!$B:$B,0))</f>
        <v>2361.2662960000002</v>
      </c>
      <c r="AL245" s="10">
        <f>INDEX([1]ratio_ins!AI:AI,MATCH('001_population_health_zone_zs'!$B$2,[1]ratio_ins!$B:$B,0))*$G245*INDEX([1]ratio_ins!$D:$D,MATCH('001_population_health_zone_zs'!$B245,[1]ratio_ins!$B:$B,0))</f>
        <v>2233.6302800000003</v>
      </c>
      <c r="AM245" s="10">
        <f>INDEX([1]ratio_ins!AJ:AJ,MATCH('001_population_health_zone_zs'!$B$2,[1]ratio_ins!$B:$B,0))*$G245*INDEX([1]ratio_ins!$D:$D,MATCH('001_population_health_zone_zs'!$B245,[1]ratio_ins!$B:$B,0))</f>
        <v>2042.1762560000002</v>
      </c>
      <c r="AN245" s="10">
        <f>INDEX([1]ratio_ins!AK:AK,MATCH('001_population_health_zone_zs'!$B$2,[1]ratio_ins!$B:$B,0))*$G245*INDEX([1]ratio_ins!$D:$D,MATCH('001_population_health_zone_zs'!$B245,[1]ratio_ins!$B:$B,0))</f>
        <v>1914.5402399999998</v>
      </c>
      <c r="AO245" s="10">
        <f>INDEX([1]ratio_ins!AL:AL,MATCH('001_population_health_zone_zs'!$B$2,[1]ratio_ins!$B:$B,0))*$G245*INDEX([1]ratio_ins!$D:$D,MATCH('001_population_health_zone_zs'!$B245,[1]ratio_ins!$B:$B,0))</f>
        <v>1435.90518</v>
      </c>
      <c r="AP245" s="10">
        <f>INDEX([1]ratio_ins!AM:AM,MATCH('001_population_health_zone_zs'!$B$2,[1]ratio_ins!$B:$B,0))*$G245*INDEX([1]ratio_ins!$D:$D,MATCH('001_population_health_zone_zs'!$B245,[1]ratio_ins!$B:$B,0))</f>
        <v>925.36111599999992</v>
      </c>
      <c r="AQ245" s="10">
        <f>INDEX([1]ratio_ins!AN:AN,MATCH('001_population_health_zone_zs'!$B$2,[1]ratio_ins!$B:$B,0))*$G245*INDEX([1]ratio_ins!$D:$D,MATCH('001_population_health_zone_zs'!$B245,[1]ratio_ins!$B:$B,0))</f>
        <v>733.90709200000003</v>
      </c>
      <c r="AR245" s="10">
        <f>INDEX([1]ratio_ins!AO:AO,MATCH('001_population_health_zone_zs'!$B$2,[1]ratio_ins!$B:$B,0))*$G245*INDEX([1]ratio_ins!$D:$D,MATCH('001_population_health_zone_zs'!$B245,[1]ratio_ins!$B:$B,0))</f>
        <v>350.99904400000003</v>
      </c>
      <c r="AS245" s="13">
        <f>INDEX([1]ratio_ins!AP:AP,MATCH('001_population_health_zone_zs'!$B$2,[1]ratio_ins!$B:$B,0))*$G245*INDEX([1]ratio_ins!$D:$D,MATCH('001_population_health_zone_zs'!$B245,[1]ratio_ins!$B:$B,0))</f>
        <v>13057.164436800002</v>
      </c>
      <c r="AT245" s="10">
        <f>INDEX([1]ratio_ins!AQ:AQ,MATCH('001_population_health_zone_zs'!$B$2,[1]ratio_ins!$B:$B,0))*$G245*INDEX([1]ratio_ins!$D:$D,MATCH('001_population_health_zone_zs'!$B245,[1]ratio_ins!$B:$B,0))</f>
        <v>319.09003999999999</v>
      </c>
      <c r="AU245" s="10">
        <f>INDEX([1]ratio_ins!AR:AR,MATCH('001_population_health_zone_zs'!$B$2,[1]ratio_ins!$B:$B,0))*$G245*INDEX([1]ratio_ins!$D:$D,MATCH('001_population_health_zone_zs'!$B245,[1]ratio_ins!$B:$B,0))</f>
        <v>191.454024</v>
      </c>
      <c r="AV245" s="10">
        <f>INDEX([1]ratio_ins!AS:AS,MATCH('001_population_health_zone_zs'!$B$2,[1]ratio_ins!$B:$B,0))*$G245*INDEX([1]ratio_ins!$D:$D,MATCH('001_population_health_zone_zs'!$B245,[1]ratio_ins!$B:$B,0))</f>
        <v>95.727012000000002</v>
      </c>
      <c r="AW245" s="10">
        <f>INDEX([1]ratio_ins!AT:AT,MATCH('001_population_health_zone_zs'!$B$2,[1]ratio_ins!$B:$B,0))*$G245*INDEX([1]ratio_ins!$D:$D,MATCH('001_population_health_zone_zs'!$B245,[1]ratio_ins!$B:$B,0))</f>
        <v>63.818008000000006</v>
      </c>
      <c r="AX245" s="13">
        <f>INDEX([1]ratio_ins!AU:AU,MATCH('001_population_health_zone_zs'!$B$2,[1]ratio_ins!$B:$B,0))*$G245*INDEX([1]ratio_ins!$D:$D,MATCH('001_population_health_zone_zs'!$B245,[1]ratio_ins!$B:$B,0))</f>
        <v>670.08908399999996</v>
      </c>
      <c r="AY245" s="14">
        <f t="shared" si="19"/>
        <v>31909.004000000001</v>
      </c>
      <c r="AZ245" s="15">
        <f t="shared" si="20"/>
        <v>62813.000000000007</v>
      </c>
      <c r="BA245" s="16">
        <v>61104.478110984965</v>
      </c>
      <c r="BB245" s="10">
        <f t="shared" si="21"/>
        <v>13561.3267</v>
      </c>
      <c r="BC245" s="17">
        <f t="shared" si="22"/>
        <v>0.21589999999999998</v>
      </c>
      <c r="BD245" s="10">
        <f t="shared" si="23"/>
        <v>12886.966332000002</v>
      </c>
    </row>
    <row r="246" spans="1:56" x14ac:dyDescent="0.25">
      <c r="A246" s="8" t="s">
        <v>590</v>
      </c>
      <c r="B246" s="8" t="s">
        <v>591</v>
      </c>
      <c r="C246" s="8" t="s">
        <v>615</v>
      </c>
      <c r="D246" s="8" t="s">
        <v>616</v>
      </c>
      <c r="E246" s="8" t="s">
        <v>617</v>
      </c>
      <c r="F246" s="8" t="s">
        <v>618</v>
      </c>
      <c r="G246" s="9">
        <v>130933</v>
      </c>
      <c r="H246" s="10">
        <f>INDEX([1]ratio_ins!F:F,MATCH('001_population_health_zone_zs'!$B$2,[1]ratio_ins!$B:$B,0))*$G246*INDEX([1]ratio_ins!$C:$C,MATCH('001_population_health_zone_zs'!$B246,[1]ratio_ins!$B:$B,0))</f>
        <v>13463.578524</v>
      </c>
      <c r="I246" s="10">
        <f>INDEX([1]ratio_ins!G:G,MATCH('001_population_health_zone_zs'!$B$2,[1]ratio_ins!$B:$B,0))*$G246*INDEX([1]ratio_ins!$C:$C,MATCH('001_population_health_zone_zs'!$B246,[1]ratio_ins!$B:$B,0))</f>
        <v>11015.655156000003</v>
      </c>
      <c r="J246" s="10">
        <f>INDEX([1]ratio_ins!H:H,MATCH('001_population_health_zone_zs'!$B$2,[1]ratio_ins!$B:$B,0))*$G246*INDEX([1]ratio_ins!$C:$C,MATCH('001_population_health_zone_zs'!$B246,[1]ratio_ins!$B:$B,0))</f>
        <v>8696.5698600000014</v>
      </c>
      <c r="K246" s="10">
        <f>INDEX([1]ratio_ins!I:I,MATCH('001_population_health_zone_zs'!$B$2,[1]ratio_ins!$B:$B,0))*$G246*INDEX([1]ratio_ins!$C:$C,MATCH('001_population_health_zone_zs'!$B246,[1]ratio_ins!$B:$B,0))</f>
        <v>5346.7799880000002</v>
      </c>
      <c r="L246" s="10">
        <f>INDEX([1]ratio_ins!J:J,MATCH('001_population_health_zone_zs'!$B$2,[1]ratio_ins!$B:$B,0))*$G246*INDEX([1]ratio_ins!$C:$C,MATCH('001_population_health_zone_zs'!$B246,[1]ratio_ins!$B:$B,0))</f>
        <v>3208.0679928</v>
      </c>
      <c r="M246" s="11">
        <f>INDEX([1]ratio_ins!K:K,MATCH('001_population_health_zone_zs'!$B$2,[1]ratio_ins!$B:$B,0))*$G246*INDEX([1]ratio_ins!$C:$C,MATCH('001_population_health_zone_zs'!$B246,[1]ratio_ins!$B:$B,0))</f>
        <v>36383.871532800003</v>
      </c>
      <c r="N246" s="10">
        <f>INDEX([1]ratio_ins!L:L,MATCH('001_population_health_zone_zs'!$B$2,[1]ratio_ins!$B:$B,0))*$G246*INDEX([1]ratio_ins!$C:$C,MATCH('001_population_health_zone_zs'!$B246,[1]ratio_ins!$B:$B,0))</f>
        <v>2138.7119952000003</v>
      </c>
      <c r="O246" s="10">
        <f>INDEX([1]ratio_ins!M:M,MATCH('001_population_health_zone_zs'!$B$2,[1]ratio_ins!$B:$B,0))*$G246*INDEX([1]ratio_ins!$C:$C,MATCH('001_population_health_zone_zs'!$B246,[1]ratio_ins!$B:$B,0))</f>
        <v>4638.1705920000013</v>
      </c>
      <c r="P246" s="10">
        <f>INDEX([1]ratio_ins!N:N,MATCH('001_population_health_zone_zs'!$B$2,[1]ratio_ins!$B:$B,0))*$G246*INDEX([1]ratio_ins!$C:$C,MATCH('001_population_health_zone_zs'!$B246,[1]ratio_ins!$B:$B,0))</f>
        <v>4187.2373400000006</v>
      </c>
      <c r="Q246" s="10">
        <f>INDEX([1]ratio_ins!O:O,MATCH('001_population_health_zone_zs'!$B$2,[1]ratio_ins!$B:$B,0))*$G246*INDEX([1]ratio_ins!$C:$C,MATCH('001_population_health_zone_zs'!$B246,[1]ratio_ins!$B:$B,0))</f>
        <v>3736.3040880000003</v>
      </c>
      <c r="R246" s="10">
        <f>INDEX([1]ratio_ins!P:P,MATCH('001_population_health_zone_zs'!$B$2,[1]ratio_ins!$B:$B,0))*$G246*INDEX([1]ratio_ins!$C:$C,MATCH('001_population_health_zone_zs'!$B246,[1]ratio_ins!$B:$B,0))</f>
        <v>3671.8850520000005</v>
      </c>
      <c r="S246" s="10">
        <f>INDEX([1]ratio_ins!Q:Q,MATCH('001_population_health_zone_zs'!$B$2,[1]ratio_ins!$B:$B,0))*$G246*INDEX([1]ratio_ins!$C:$C,MATCH('001_population_health_zone_zs'!$B246,[1]ratio_ins!$B:$B,0))</f>
        <v>3092.1137280000007</v>
      </c>
      <c r="T246" s="10">
        <f>INDEX([1]ratio_ins!R:R,MATCH('001_population_health_zone_zs'!$B$2,[1]ratio_ins!$B:$B,0))*$G246*INDEX([1]ratio_ins!$C:$C,MATCH('001_population_health_zone_zs'!$B246,[1]ratio_ins!$B:$B,0))</f>
        <v>2190.2472240000006</v>
      </c>
      <c r="U246" s="10">
        <f>INDEX([1]ratio_ins!S:S,MATCH('001_population_health_zone_zs'!$B$2,[1]ratio_ins!$B:$B,0))*$G246*INDEX([1]ratio_ins!$C:$C,MATCH('001_population_health_zone_zs'!$B246,[1]ratio_ins!$B:$B,0))</f>
        <v>1739.3139720000004</v>
      </c>
      <c r="V246" s="10">
        <f>INDEX([1]ratio_ins!T:T,MATCH('001_population_health_zone_zs'!$B$2,[1]ratio_ins!$B:$B,0))*$G246*INDEX([1]ratio_ins!$C:$C,MATCH('001_population_health_zone_zs'!$B246,[1]ratio_ins!$B:$B,0))</f>
        <v>966.28554000000008</v>
      </c>
      <c r="W246" s="11">
        <f>INDEX([1]ratio_ins!U:U,MATCH('001_population_health_zone_zs'!$B$2,[1]ratio_ins!$B:$B,0))*$G246*INDEX([1]ratio_ins!$C:$C,MATCH('001_population_health_zone_zs'!$B246,[1]ratio_ins!$B:$B,0))</f>
        <v>26360.269531200003</v>
      </c>
      <c r="X246" s="10">
        <f>INDEX([1]ratio_ins!V:V,MATCH('001_population_health_zone_zs'!$B$2,[1]ratio_ins!$B:$B,0))*$G246*INDEX([1]ratio_ins!$C:$C,MATCH('001_population_health_zone_zs'!$B246,[1]ratio_ins!$B:$B,0))</f>
        <v>773.02843200000018</v>
      </c>
      <c r="Y246" s="10">
        <f>INDEX([1]ratio_ins!W:W,MATCH('001_population_health_zone_zs'!$B$2,[1]ratio_ins!$B:$B,0))*$G246*INDEX([1]ratio_ins!$C:$C,MATCH('001_population_health_zone_zs'!$B246,[1]ratio_ins!$B:$B,0))</f>
        <v>515.35228800000004</v>
      </c>
      <c r="Z246" s="10">
        <f>INDEX([1]ratio_ins!X:X,MATCH('001_population_health_zone_zs'!$B$2,[1]ratio_ins!$B:$B,0))*$G246*INDEX([1]ratio_ins!$C:$C,MATCH('001_population_health_zone_zs'!$B246,[1]ratio_ins!$B:$B,0))</f>
        <v>257.67614400000002</v>
      </c>
      <c r="AA246" s="10">
        <f>INDEX([1]ratio_ins!Y:Y,MATCH('001_population_health_zone_zs'!$B$2,[1]ratio_ins!$B:$B,0))*$G246*INDEX([1]ratio_ins!$C:$C,MATCH('001_population_health_zone_zs'!$B246,[1]ratio_ins!$B:$B,0))</f>
        <v>128.83807200000001</v>
      </c>
      <c r="AB246" s="11">
        <f>INDEX([1]ratio_ins!Z:Z,MATCH('001_population_health_zone_zs'!$B$2,[1]ratio_ins!$B:$B,0))*$G246*INDEX([1]ratio_ins!$C:$C,MATCH('001_population_health_zone_zs'!$B246,[1]ratio_ins!$B:$B,0))</f>
        <v>1674.8949360000004</v>
      </c>
      <c r="AC246" s="12">
        <f t="shared" si="18"/>
        <v>64419.036000000007</v>
      </c>
      <c r="AD246" s="10">
        <f>INDEX([1]ratio_ins!AA:AA,MATCH('001_population_health_zone_zs'!$B$2,[1]ratio_ins!$B:$B,0))*$G246*INDEX([1]ratio_ins!$D:$D,MATCH('001_population_health_zone_zs'!$B246,[1]ratio_ins!$B:$B,0))</f>
        <v>13967.93244</v>
      </c>
      <c r="AE246" s="10">
        <f>INDEX([1]ratio_ins!AB:AB,MATCH('001_population_health_zone_zs'!$B$2,[1]ratio_ins!$B:$B,0))*$G246*INDEX([1]ratio_ins!$D:$D,MATCH('001_population_health_zone_zs'!$B246,[1]ratio_ins!$B:$B,0))</f>
        <v>11506.915772000002</v>
      </c>
      <c r="AF246" s="10">
        <f>INDEX([1]ratio_ins!AC:AC,MATCH('001_population_health_zone_zs'!$B$2,[1]ratio_ins!$B:$B,0))*$G246*INDEX([1]ratio_ins!$D:$D,MATCH('001_population_health_zone_zs'!$B246,[1]ratio_ins!$B:$B,0))</f>
        <v>9112.413067999998</v>
      </c>
      <c r="AG246" s="10">
        <f>INDEX([1]ratio_ins!AD:AD,MATCH('001_population_health_zone_zs'!$B$2,[1]ratio_ins!$B:$B,0))*$G246*INDEX([1]ratio_ins!$D:$D,MATCH('001_population_health_zone_zs'!$B246,[1]ratio_ins!$B:$B,0))</f>
        <v>5520.6590120000001</v>
      </c>
      <c r="AH246" s="10">
        <f>INDEX([1]ratio_ins!AE:AE,MATCH('001_population_health_zone_zs'!$B$2,[1]ratio_ins!$B:$B,0))*$G246*INDEX([1]ratio_ins!$D:$D,MATCH('001_population_health_zone_zs'!$B246,[1]ratio_ins!$B:$B,0))</f>
        <v>3312.3954071999997</v>
      </c>
      <c r="AI246" s="13">
        <f>INDEX([1]ratio_ins!AF:AF,MATCH('001_population_health_zone_zs'!$B$2,[1]ratio_ins!$B:$B,0))*$G246*INDEX([1]ratio_ins!$D:$D,MATCH('001_population_health_zone_zs'!$B246,[1]ratio_ins!$B:$B,0))</f>
        <v>37899.656687199997</v>
      </c>
      <c r="AJ246" s="10">
        <f>INDEX([1]ratio_ins!AG:AG,MATCH('001_population_health_zone_zs'!$B$2,[1]ratio_ins!$B:$B,0))*$G246*INDEX([1]ratio_ins!$D:$D,MATCH('001_population_health_zone_zs'!$B246,[1]ratio_ins!$B:$B,0))</f>
        <v>2208.2636047999999</v>
      </c>
      <c r="AK246" s="10">
        <f>INDEX([1]ratio_ins!AH:AH,MATCH('001_population_health_zone_zs'!$B$2,[1]ratio_ins!$B:$B,0))*$G246*INDEX([1]ratio_ins!$D:$D,MATCH('001_population_health_zone_zs'!$B246,[1]ratio_ins!$B:$B,0))</f>
        <v>4922.0333360000004</v>
      </c>
      <c r="AL246" s="10">
        <f>INDEX([1]ratio_ins!AI:AI,MATCH('001_population_health_zone_zs'!$B$2,[1]ratio_ins!$B:$B,0))*$G246*INDEX([1]ratio_ins!$D:$D,MATCH('001_population_health_zone_zs'!$B246,[1]ratio_ins!$B:$B,0))</f>
        <v>4655.9774800000005</v>
      </c>
      <c r="AM246" s="10">
        <f>INDEX([1]ratio_ins!AJ:AJ,MATCH('001_population_health_zone_zs'!$B$2,[1]ratio_ins!$B:$B,0))*$G246*INDEX([1]ratio_ins!$D:$D,MATCH('001_population_health_zone_zs'!$B246,[1]ratio_ins!$B:$B,0))</f>
        <v>4256.8936960000001</v>
      </c>
      <c r="AN246" s="10">
        <f>INDEX([1]ratio_ins!AK:AK,MATCH('001_population_health_zone_zs'!$B$2,[1]ratio_ins!$B:$B,0))*$G246*INDEX([1]ratio_ins!$D:$D,MATCH('001_population_health_zone_zs'!$B246,[1]ratio_ins!$B:$B,0))</f>
        <v>3990.8378399999997</v>
      </c>
      <c r="AO246" s="10">
        <f>INDEX([1]ratio_ins!AL:AL,MATCH('001_population_health_zone_zs'!$B$2,[1]ratio_ins!$B:$B,0))*$G246*INDEX([1]ratio_ins!$D:$D,MATCH('001_population_health_zone_zs'!$B246,[1]ratio_ins!$B:$B,0))</f>
        <v>2993.1283799999997</v>
      </c>
      <c r="AP246" s="10">
        <f>INDEX([1]ratio_ins!AM:AM,MATCH('001_population_health_zone_zs'!$B$2,[1]ratio_ins!$B:$B,0))*$G246*INDEX([1]ratio_ins!$D:$D,MATCH('001_population_health_zone_zs'!$B246,[1]ratio_ins!$B:$B,0))</f>
        <v>1928.9049559999999</v>
      </c>
      <c r="AQ246" s="10">
        <f>INDEX([1]ratio_ins!AN:AN,MATCH('001_population_health_zone_zs'!$B$2,[1]ratio_ins!$B:$B,0))*$G246*INDEX([1]ratio_ins!$D:$D,MATCH('001_population_health_zone_zs'!$B246,[1]ratio_ins!$B:$B,0))</f>
        <v>1529.8211719999999</v>
      </c>
      <c r="AR246" s="10">
        <f>INDEX([1]ratio_ins!AO:AO,MATCH('001_population_health_zone_zs'!$B$2,[1]ratio_ins!$B:$B,0))*$G246*INDEX([1]ratio_ins!$D:$D,MATCH('001_population_health_zone_zs'!$B246,[1]ratio_ins!$B:$B,0))</f>
        <v>731.65360400000009</v>
      </c>
      <c r="AS246" s="13">
        <f>INDEX([1]ratio_ins!AP:AP,MATCH('001_population_health_zone_zs'!$B$2,[1]ratio_ins!$B:$B,0))*$G246*INDEX([1]ratio_ins!$D:$D,MATCH('001_population_health_zone_zs'!$B246,[1]ratio_ins!$B:$B,0))</f>
        <v>27217.514068800003</v>
      </c>
      <c r="AT246" s="10">
        <f>INDEX([1]ratio_ins!AQ:AQ,MATCH('001_population_health_zone_zs'!$B$2,[1]ratio_ins!$B:$B,0))*$G246*INDEX([1]ratio_ins!$D:$D,MATCH('001_population_health_zone_zs'!$B246,[1]ratio_ins!$B:$B,0))</f>
        <v>665.13963999999999</v>
      </c>
      <c r="AU246" s="10">
        <f>INDEX([1]ratio_ins!AR:AR,MATCH('001_population_health_zone_zs'!$B$2,[1]ratio_ins!$B:$B,0))*$G246*INDEX([1]ratio_ins!$D:$D,MATCH('001_population_health_zone_zs'!$B246,[1]ratio_ins!$B:$B,0))</f>
        <v>399.08378400000004</v>
      </c>
      <c r="AV246" s="10">
        <f>INDEX([1]ratio_ins!AS:AS,MATCH('001_population_health_zone_zs'!$B$2,[1]ratio_ins!$B:$B,0))*$G246*INDEX([1]ratio_ins!$D:$D,MATCH('001_population_health_zone_zs'!$B246,[1]ratio_ins!$B:$B,0))</f>
        <v>199.54189200000002</v>
      </c>
      <c r="AW246" s="10">
        <f>INDEX([1]ratio_ins!AT:AT,MATCH('001_population_health_zone_zs'!$B$2,[1]ratio_ins!$B:$B,0))*$G246*INDEX([1]ratio_ins!$D:$D,MATCH('001_population_health_zone_zs'!$B246,[1]ratio_ins!$B:$B,0))</f>
        <v>133.027928</v>
      </c>
      <c r="AX246" s="13">
        <f>INDEX([1]ratio_ins!AU:AU,MATCH('001_population_health_zone_zs'!$B$2,[1]ratio_ins!$B:$B,0))*$G246*INDEX([1]ratio_ins!$D:$D,MATCH('001_population_health_zone_zs'!$B246,[1]ratio_ins!$B:$B,0))</f>
        <v>1396.793244</v>
      </c>
      <c r="AY246" s="14">
        <f t="shared" si="19"/>
        <v>66513.963999999993</v>
      </c>
      <c r="AZ246" s="15">
        <f t="shared" si="20"/>
        <v>130933</v>
      </c>
      <c r="BA246" s="16">
        <v>127372.16864210158</v>
      </c>
      <c r="BB246" s="10">
        <f t="shared" si="21"/>
        <v>28268.434699999998</v>
      </c>
      <c r="BC246" s="17">
        <f t="shared" si="22"/>
        <v>0.21589999999999998</v>
      </c>
      <c r="BD246" s="10">
        <f t="shared" si="23"/>
        <v>26862.738012000002</v>
      </c>
    </row>
    <row r="247" spans="1:56" x14ac:dyDescent="0.25">
      <c r="A247" s="8" t="s">
        <v>590</v>
      </c>
      <c r="B247" s="8" t="s">
        <v>591</v>
      </c>
      <c r="C247" s="8" t="s">
        <v>615</v>
      </c>
      <c r="D247" s="8" t="s">
        <v>616</v>
      </c>
      <c r="E247" s="8" t="s">
        <v>619</v>
      </c>
      <c r="F247" s="8" t="s">
        <v>620</v>
      </c>
      <c r="G247" s="9">
        <v>102748</v>
      </c>
      <c r="H247" s="10">
        <f>INDEX([1]ratio_ins!F:F,MATCH('001_population_health_zone_zs'!$B$2,[1]ratio_ins!$B:$B,0))*$G247*INDEX([1]ratio_ins!$C:$C,MATCH('001_population_health_zone_zs'!$B247,[1]ratio_ins!$B:$B,0))</f>
        <v>10565.371344000001</v>
      </c>
      <c r="I247" s="10">
        <f>INDEX([1]ratio_ins!G:G,MATCH('001_population_health_zone_zs'!$B$2,[1]ratio_ins!$B:$B,0))*$G247*INDEX([1]ratio_ins!$C:$C,MATCH('001_population_health_zone_zs'!$B247,[1]ratio_ins!$B:$B,0))</f>
        <v>8644.394736000002</v>
      </c>
      <c r="J247" s="10">
        <f>INDEX([1]ratio_ins!H:H,MATCH('001_population_health_zone_zs'!$B$2,[1]ratio_ins!$B:$B,0))*$G247*INDEX([1]ratio_ins!$C:$C,MATCH('001_population_health_zone_zs'!$B247,[1]ratio_ins!$B:$B,0))</f>
        <v>6824.5221600000013</v>
      </c>
      <c r="K247" s="10">
        <f>INDEX([1]ratio_ins!I:I,MATCH('001_population_health_zone_zs'!$B$2,[1]ratio_ins!$B:$B,0))*$G247*INDEX([1]ratio_ins!$C:$C,MATCH('001_population_health_zone_zs'!$B247,[1]ratio_ins!$B:$B,0))</f>
        <v>4195.817328000001</v>
      </c>
      <c r="L247" s="10">
        <f>INDEX([1]ratio_ins!J:J,MATCH('001_population_health_zone_zs'!$B$2,[1]ratio_ins!$B:$B,0))*$G247*INDEX([1]ratio_ins!$C:$C,MATCH('001_population_health_zone_zs'!$B247,[1]ratio_ins!$B:$B,0))</f>
        <v>2517.4903967999999</v>
      </c>
      <c r="M247" s="11">
        <f>INDEX([1]ratio_ins!K:K,MATCH('001_population_health_zone_zs'!$B$2,[1]ratio_ins!$B:$B,0))*$G247*INDEX([1]ratio_ins!$C:$C,MATCH('001_population_health_zone_zs'!$B247,[1]ratio_ins!$B:$B,0))</f>
        <v>28551.778636800002</v>
      </c>
      <c r="N247" s="10">
        <f>INDEX([1]ratio_ins!L:L,MATCH('001_population_health_zone_zs'!$B$2,[1]ratio_ins!$B:$B,0))*$G247*INDEX([1]ratio_ins!$C:$C,MATCH('001_population_health_zone_zs'!$B247,[1]ratio_ins!$B:$B,0))</f>
        <v>1678.3269312000002</v>
      </c>
      <c r="O247" s="10">
        <f>INDEX([1]ratio_ins!M:M,MATCH('001_population_health_zone_zs'!$B$2,[1]ratio_ins!$B:$B,0))*$G247*INDEX([1]ratio_ins!$C:$C,MATCH('001_population_health_zone_zs'!$B247,[1]ratio_ins!$B:$B,0))</f>
        <v>3639.7451520000009</v>
      </c>
      <c r="P247" s="10">
        <f>INDEX([1]ratio_ins!N:N,MATCH('001_population_health_zone_zs'!$B$2,[1]ratio_ins!$B:$B,0))*$G247*INDEX([1]ratio_ins!$C:$C,MATCH('001_population_health_zone_zs'!$B247,[1]ratio_ins!$B:$B,0))</f>
        <v>3285.8810400000002</v>
      </c>
      <c r="Q247" s="10">
        <f>INDEX([1]ratio_ins!O:O,MATCH('001_population_health_zone_zs'!$B$2,[1]ratio_ins!$B:$B,0))*$G247*INDEX([1]ratio_ins!$C:$C,MATCH('001_population_health_zone_zs'!$B247,[1]ratio_ins!$B:$B,0))</f>
        <v>2932.0169280000005</v>
      </c>
      <c r="R247" s="10">
        <f>INDEX([1]ratio_ins!P:P,MATCH('001_population_health_zone_zs'!$B$2,[1]ratio_ins!$B:$B,0))*$G247*INDEX([1]ratio_ins!$C:$C,MATCH('001_population_health_zone_zs'!$B247,[1]ratio_ins!$B:$B,0))</f>
        <v>2881.4649120000004</v>
      </c>
      <c r="S247" s="10">
        <f>INDEX([1]ratio_ins!Q:Q,MATCH('001_population_health_zone_zs'!$B$2,[1]ratio_ins!$B:$B,0))*$G247*INDEX([1]ratio_ins!$C:$C,MATCH('001_population_health_zone_zs'!$B247,[1]ratio_ins!$B:$B,0))</f>
        <v>2426.4967680000004</v>
      </c>
      <c r="T247" s="10">
        <f>INDEX([1]ratio_ins!R:R,MATCH('001_population_health_zone_zs'!$B$2,[1]ratio_ins!$B:$B,0))*$G247*INDEX([1]ratio_ins!$C:$C,MATCH('001_population_health_zone_zs'!$B247,[1]ratio_ins!$B:$B,0))</f>
        <v>1718.7685440000002</v>
      </c>
      <c r="U247" s="10">
        <f>INDEX([1]ratio_ins!S:S,MATCH('001_population_health_zone_zs'!$B$2,[1]ratio_ins!$B:$B,0))*$G247*INDEX([1]ratio_ins!$C:$C,MATCH('001_population_health_zone_zs'!$B247,[1]ratio_ins!$B:$B,0))</f>
        <v>1364.9044320000003</v>
      </c>
      <c r="V247" s="10">
        <f>INDEX([1]ratio_ins!T:T,MATCH('001_population_health_zone_zs'!$B$2,[1]ratio_ins!$B:$B,0))*$G247*INDEX([1]ratio_ins!$C:$C,MATCH('001_population_health_zone_zs'!$B247,[1]ratio_ins!$B:$B,0))</f>
        <v>758.28024000000005</v>
      </c>
      <c r="W247" s="11">
        <f>INDEX([1]ratio_ins!U:U,MATCH('001_population_health_zone_zs'!$B$2,[1]ratio_ins!$B:$B,0))*$G247*INDEX([1]ratio_ins!$C:$C,MATCH('001_population_health_zone_zs'!$B247,[1]ratio_ins!$B:$B,0))</f>
        <v>20685.8849472</v>
      </c>
      <c r="X247" s="10">
        <f>INDEX([1]ratio_ins!V:V,MATCH('001_population_health_zone_zs'!$B$2,[1]ratio_ins!$B:$B,0))*$G247*INDEX([1]ratio_ins!$C:$C,MATCH('001_population_health_zone_zs'!$B247,[1]ratio_ins!$B:$B,0))</f>
        <v>606.62419200000011</v>
      </c>
      <c r="Y247" s="10">
        <f>INDEX([1]ratio_ins!W:W,MATCH('001_population_health_zone_zs'!$B$2,[1]ratio_ins!$B:$B,0))*$G247*INDEX([1]ratio_ins!$C:$C,MATCH('001_population_health_zone_zs'!$B247,[1]ratio_ins!$B:$B,0))</f>
        <v>404.41612800000007</v>
      </c>
      <c r="Z247" s="10">
        <f>INDEX([1]ratio_ins!X:X,MATCH('001_population_health_zone_zs'!$B$2,[1]ratio_ins!$B:$B,0))*$G247*INDEX([1]ratio_ins!$C:$C,MATCH('001_population_health_zone_zs'!$B247,[1]ratio_ins!$B:$B,0))</f>
        <v>202.20806400000004</v>
      </c>
      <c r="AA247" s="10">
        <f>INDEX([1]ratio_ins!Y:Y,MATCH('001_population_health_zone_zs'!$B$2,[1]ratio_ins!$B:$B,0))*$G247*INDEX([1]ratio_ins!$C:$C,MATCH('001_population_health_zone_zs'!$B247,[1]ratio_ins!$B:$B,0))</f>
        <v>101.10403200000002</v>
      </c>
      <c r="AB247" s="11">
        <f>INDEX([1]ratio_ins!Z:Z,MATCH('001_population_health_zone_zs'!$B$2,[1]ratio_ins!$B:$B,0))*$G247*INDEX([1]ratio_ins!$C:$C,MATCH('001_population_health_zone_zs'!$B247,[1]ratio_ins!$B:$B,0))</f>
        <v>1314.3524160000002</v>
      </c>
      <c r="AC247" s="12">
        <f t="shared" si="18"/>
        <v>50552.016000000003</v>
      </c>
      <c r="AD247" s="10">
        <f>INDEX([1]ratio_ins!AA:AA,MATCH('001_population_health_zone_zs'!$B$2,[1]ratio_ins!$B:$B,0))*$G247*INDEX([1]ratio_ins!$D:$D,MATCH('001_population_health_zone_zs'!$B247,[1]ratio_ins!$B:$B,0))</f>
        <v>10961.156639999999</v>
      </c>
      <c r="AE247" s="10">
        <f>INDEX([1]ratio_ins!AB:AB,MATCH('001_population_health_zone_zs'!$B$2,[1]ratio_ins!$B:$B,0))*$G247*INDEX([1]ratio_ins!$D:$D,MATCH('001_population_health_zone_zs'!$B247,[1]ratio_ins!$B:$B,0))</f>
        <v>9029.905232000001</v>
      </c>
      <c r="AF247" s="10">
        <f>INDEX([1]ratio_ins!AC:AC,MATCH('001_population_health_zone_zs'!$B$2,[1]ratio_ins!$B:$B,0))*$G247*INDEX([1]ratio_ins!$D:$D,MATCH('001_population_health_zone_zs'!$B247,[1]ratio_ins!$B:$B,0))</f>
        <v>7150.849807999999</v>
      </c>
      <c r="AG247" s="10">
        <f>INDEX([1]ratio_ins!AD:AD,MATCH('001_population_health_zone_zs'!$B$2,[1]ratio_ins!$B:$B,0))*$G247*INDEX([1]ratio_ins!$D:$D,MATCH('001_population_health_zone_zs'!$B247,[1]ratio_ins!$B:$B,0))</f>
        <v>4332.2666720000007</v>
      </c>
      <c r="AH247" s="10">
        <f>INDEX([1]ratio_ins!AE:AE,MATCH('001_population_health_zone_zs'!$B$2,[1]ratio_ins!$B:$B,0))*$G247*INDEX([1]ratio_ins!$D:$D,MATCH('001_population_health_zone_zs'!$B247,[1]ratio_ins!$B:$B,0))</f>
        <v>2599.3600031999995</v>
      </c>
      <c r="AI247" s="13">
        <f>INDEX([1]ratio_ins!AF:AF,MATCH('001_population_health_zone_zs'!$B$2,[1]ratio_ins!$B:$B,0))*$G247*INDEX([1]ratio_ins!$D:$D,MATCH('001_population_health_zone_zs'!$B247,[1]ratio_ins!$B:$B,0))</f>
        <v>29741.271683199997</v>
      </c>
      <c r="AJ247" s="10">
        <f>INDEX([1]ratio_ins!AG:AG,MATCH('001_population_health_zone_zs'!$B$2,[1]ratio_ins!$B:$B,0))*$G247*INDEX([1]ratio_ins!$D:$D,MATCH('001_population_health_zone_zs'!$B247,[1]ratio_ins!$B:$B,0))</f>
        <v>1732.9066688</v>
      </c>
      <c r="AK247" s="10">
        <f>INDEX([1]ratio_ins!AH:AH,MATCH('001_population_health_zone_zs'!$B$2,[1]ratio_ins!$B:$B,0))*$G247*INDEX([1]ratio_ins!$D:$D,MATCH('001_population_health_zone_zs'!$B247,[1]ratio_ins!$B:$B,0))</f>
        <v>3862.5028160000006</v>
      </c>
      <c r="AL247" s="10">
        <f>INDEX([1]ratio_ins!AI:AI,MATCH('001_population_health_zone_zs'!$B$2,[1]ratio_ins!$B:$B,0))*$G247*INDEX([1]ratio_ins!$D:$D,MATCH('001_population_health_zone_zs'!$B247,[1]ratio_ins!$B:$B,0))</f>
        <v>3653.7188800000004</v>
      </c>
      <c r="AM247" s="10">
        <f>INDEX([1]ratio_ins!AJ:AJ,MATCH('001_population_health_zone_zs'!$B$2,[1]ratio_ins!$B:$B,0))*$G247*INDEX([1]ratio_ins!$D:$D,MATCH('001_population_health_zone_zs'!$B247,[1]ratio_ins!$B:$B,0))</f>
        <v>3340.5429760000002</v>
      </c>
      <c r="AN247" s="10">
        <f>INDEX([1]ratio_ins!AK:AK,MATCH('001_population_health_zone_zs'!$B$2,[1]ratio_ins!$B:$B,0))*$G247*INDEX([1]ratio_ins!$D:$D,MATCH('001_population_health_zone_zs'!$B247,[1]ratio_ins!$B:$B,0))</f>
        <v>3131.7590399999999</v>
      </c>
      <c r="AO247" s="10">
        <f>INDEX([1]ratio_ins!AL:AL,MATCH('001_population_health_zone_zs'!$B$2,[1]ratio_ins!$B:$B,0))*$G247*INDEX([1]ratio_ins!$D:$D,MATCH('001_population_health_zone_zs'!$B247,[1]ratio_ins!$B:$B,0))</f>
        <v>2348.8192800000002</v>
      </c>
      <c r="AP247" s="10">
        <f>INDEX([1]ratio_ins!AM:AM,MATCH('001_population_health_zone_zs'!$B$2,[1]ratio_ins!$B:$B,0))*$G247*INDEX([1]ratio_ins!$D:$D,MATCH('001_population_health_zone_zs'!$B247,[1]ratio_ins!$B:$B,0))</f>
        <v>1513.683536</v>
      </c>
      <c r="AQ247" s="10">
        <f>INDEX([1]ratio_ins!AN:AN,MATCH('001_population_health_zone_zs'!$B$2,[1]ratio_ins!$B:$B,0))*$G247*INDEX([1]ratio_ins!$D:$D,MATCH('001_population_health_zone_zs'!$B247,[1]ratio_ins!$B:$B,0))</f>
        <v>1200.5076320000001</v>
      </c>
      <c r="AR247" s="10">
        <f>INDEX([1]ratio_ins!AO:AO,MATCH('001_population_health_zone_zs'!$B$2,[1]ratio_ins!$B:$B,0))*$G247*INDEX([1]ratio_ins!$D:$D,MATCH('001_population_health_zone_zs'!$B247,[1]ratio_ins!$B:$B,0))</f>
        <v>574.15582400000005</v>
      </c>
      <c r="AS247" s="13">
        <f>INDEX([1]ratio_ins!AP:AP,MATCH('001_population_health_zone_zs'!$B$2,[1]ratio_ins!$B:$B,0))*$G247*INDEX([1]ratio_ins!$D:$D,MATCH('001_population_health_zone_zs'!$B247,[1]ratio_ins!$B:$B,0))</f>
        <v>21358.596652799999</v>
      </c>
      <c r="AT247" s="10">
        <f>INDEX([1]ratio_ins!AQ:AQ,MATCH('001_population_health_zone_zs'!$B$2,[1]ratio_ins!$B:$B,0))*$G247*INDEX([1]ratio_ins!$D:$D,MATCH('001_population_health_zone_zs'!$B247,[1]ratio_ins!$B:$B,0))</f>
        <v>521.95983999999999</v>
      </c>
      <c r="AU247" s="10">
        <f>INDEX([1]ratio_ins!AR:AR,MATCH('001_population_health_zone_zs'!$B$2,[1]ratio_ins!$B:$B,0))*$G247*INDEX([1]ratio_ins!$D:$D,MATCH('001_population_health_zone_zs'!$B247,[1]ratio_ins!$B:$B,0))</f>
        <v>313.17590400000006</v>
      </c>
      <c r="AV247" s="10">
        <f>INDEX([1]ratio_ins!AS:AS,MATCH('001_population_health_zone_zs'!$B$2,[1]ratio_ins!$B:$B,0))*$G247*INDEX([1]ratio_ins!$D:$D,MATCH('001_population_health_zone_zs'!$B247,[1]ratio_ins!$B:$B,0))</f>
        <v>156.58795200000003</v>
      </c>
      <c r="AW247" s="10">
        <f>INDEX([1]ratio_ins!AT:AT,MATCH('001_population_health_zone_zs'!$B$2,[1]ratio_ins!$B:$B,0))*$G247*INDEX([1]ratio_ins!$D:$D,MATCH('001_population_health_zone_zs'!$B247,[1]ratio_ins!$B:$B,0))</f>
        <v>104.39196800000001</v>
      </c>
      <c r="AX247" s="13">
        <f>INDEX([1]ratio_ins!AU:AU,MATCH('001_population_health_zone_zs'!$B$2,[1]ratio_ins!$B:$B,0))*$G247*INDEX([1]ratio_ins!$D:$D,MATCH('001_population_health_zone_zs'!$B247,[1]ratio_ins!$B:$B,0))</f>
        <v>1096.1156639999999</v>
      </c>
      <c r="AY247" s="14">
        <f t="shared" si="19"/>
        <v>52195.983999999997</v>
      </c>
      <c r="AZ247" s="15">
        <f t="shared" si="20"/>
        <v>102748</v>
      </c>
      <c r="BA247" s="16">
        <v>99953.677823043385</v>
      </c>
      <c r="BB247" s="10">
        <f t="shared" si="21"/>
        <v>22183.2932</v>
      </c>
      <c r="BC247" s="17">
        <f t="shared" si="22"/>
        <v>0.21590000000000001</v>
      </c>
      <c r="BD247" s="10">
        <f t="shared" si="23"/>
        <v>21080.190672000001</v>
      </c>
    </row>
    <row r="248" spans="1:56" x14ac:dyDescent="0.25">
      <c r="A248" s="8" t="s">
        <v>590</v>
      </c>
      <c r="B248" s="8" t="s">
        <v>591</v>
      </c>
      <c r="C248" s="8" t="s">
        <v>615</v>
      </c>
      <c r="D248" s="8" t="s">
        <v>616</v>
      </c>
      <c r="E248" s="8" t="s">
        <v>621</v>
      </c>
      <c r="F248" s="8" t="s">
        <v>622</v>
      </c>
      <c r="G248" s="9">
        <v>136237</v>
      </c>
      <c r="H248" s="10">
        <f>INDEX([1]ratio_ins!F:F,MATCH('001_population_health_zone_zs'!$B$2,[1]ratio_ins!$B:$B,0))*$G248*INDEX([1]ratio_ins!$C:$C,MATCH('001_population_health_zone_zs'!$B248,[1]ratio_ins!$B:$B,0))</f>
        <v>14008.978236000001</v>
      </c>
      <c r="I248" s="10">
        <f>INDEX([1]ratio_ins!G:G,MATCH('001_population_health_zone_zs'!$B$2,[1]ratio_ins!$B:$B,0))*$G248*INDEX([1]ratio_ins!$C:$C,MATCH('001_population_health_zone_zs'!$B248,[1]ratio_ins!$B:$B,0))</f>
        <v>11461.891284000001</v>
      </c>
      <c r="J248" s="10">
        <f>INDEX([1]ratio_ins!H:H,MATCH('001_population_health_zone_zs'!$B$2,[1]ratio_ins!$B:$B,0))*$G248*INDEX([1]ratio_ins!$C:$C,MATCH('001_population_health_zone_zs'!$B248,[1]ratio_ins!$B:$B,0))</f>
        <v>9048.8615400000017</v>
      </c>
      <c r="K248" s="10">
        <f>INDEX([1]ratio_ins!I:I,MATCH('001_population_health_zone_zs'!$B$2,[1]ratio_ins!$B:$B,0))*$G248*INDEX([1]ratio_ins!$C:$C,MATCH('001_population_health_zone_zs'!$B248,[1]ratio_ins!$B:$B,0))</f>
        <v>5563.3741320000008</v>
      </c>
      <c r="L248" s="10">
        <f>INDEX([1]ratio_ins!J:J,MATCH('001_population_health_zone_zs'!$B$2,[1]ratio_ins!$B:$B,0))*$G248*INDEX([1]ratio_ins!$C:$C,MATCH('001_population_health_zone_zs'!$B248,[1]ratio_ins!$B:$B,0))</f>
        <v>3338.0244791999999</v>
      </c>
      <c r="M248" s="11">
        <f>INDEX([1]ratio_ins!K:K,MATCH('001_population_health_zone_zs'!$B$2,[1]ratio_ins!$B:$B,0))*$G248*INDEX([1]ratio_ins!$C:$C,MATCH('001_population_health_zone_zs'!$B248,[1]ratio_ins!$B:$B,0))</f>
        <v>37857.755539199999</v>
      </c>
      <c r="N248" s="10">
        <f>INDEX([1]ratio_ins!L:L,MATCH('001_population_health_zone_zs'!$B$2,[1]ratio_ins!$B:$B,0))*$G248*INDEX([1]ratio_ins!$C:$C,MATCH('001_population_health_zone_zs'!$B248,[1]ratio_ins!$B:$B,0))</f>
        <v>2225.3496528000001</v>
      </c>
      <c r="O248" s="10">
        <f>INDEX([1]ratio_ins!M:M,MATCH('001_population_health_zone_zs'!$B$2,[1]ratio_ins!$B:$B,0))*$G248*INDEX([1]ratio_ins!$C:$C,MATCH('001_population_health_zone_zs'!$B248,[1]ratio_ins!$B:$B,0))</f>
        <v>4826.0594880000008</v>
      </c>
      <c r="P248" s="10">
        <f>INDEX([1]ratio_ins!N:N,MATCH('001_population_health_zone_zs'!$B$2,[1]ratio_ins!$B:$B,0))*$G248*INDEX([1]ratio_ins!$C:$C,MATCH('001_population_health_zone_zs'!$B248,[1]ratio_ins!$B:$B,0))</f>
        <v>4356.8592600000011</v>
      </c>
      <c r="Q248" s="10">
        <f>INDEX([1]ratio_ins!O:O,MATCH('001_population_health_zone_zs'!$B$2,[1]ratio_ins!$B:$B,0))*$G248*INDEX([1]ratio_ins!$C:$C,MATCH('001_population_health_zone_zs'!$B248,[1]ratio_ins!$B:$B,0))</f>
        <v>3887.659032</v>
      </c>
      <c r="R248" s="10">
        <f>INDEX([1]ratio_ins!P:P,MATCH('001_population_health_zone_zs'!$B$2,[1]ratio_ins!$B:$B,0))*$G248*INDEX([1]ratio_ins!$C:$C,MATCH('001_population_health_zone_zs'!$B248,[1]ratio_ins!$B:$B,0))</f>
        <v>3820.6304280000004</v>
      </c>
      <c r="S248" s="10">
        <f>INDEX([1]ratio_ins!Q:Q,MATCH('001_population_health_zone_zs'!$B$2,[1]ratio_ins!$B:$B,0))*$G248*INDEX([1]ratio_ins!$C:$C,MATCH('001_population_health_zone_zs'!$B248,[1]ratio_ins!$B:$B,0))</f>
        <v>3217.3729920000005</v>
      </c>
      <c r="T248" s="10">
        <f>INDEX([1]ratio_ins!R:R,MATCH('001_population_health_zone_zs'!$B$2,[1]ratio_ins!$B:$B,0))*$G248*INDEX([1]ratio_ins!$C:$C,MATCH('001_population_health_zone_zs'!$B248,[1]ratio_ins!$B:$B,0))</f>
        <v>2278.9725360000002</v>
      </c>
      <c r="U248" s="10">
        <f>INDEX([1]ratio_ins!S:S,MATCH('001_population_health_zone_zs'!$B$2,[1]ratio_ins!$B:$B,0))*$G248*INDEX([1]ratio_ins!$C:$C,MATCH('001_population_health_zone_zs'!$B248,[1]ratio_ins!$B:$B,0))</f>
        <v>1809.7723080000003</v>
      </c>
      <c r="V248" s="10">
        <f>INDEX([1]ratio_ins!T:T,MATCH('001_population_health_zone_zs'!$B$2,[1]ratio_ins!$B:$B,0))*$G248*INDEX([1]ratio_ins!$C:$C,MATCH('001_population_health_zone_zs'!$B248,[1]ratio_ins!$B:$B,0))</f>
        <v>1005.42906</v>
      </c>
      <c r="W248" s="11">
        <f>INDEX([1]ratio_ins!U:U,MATCH('001_population_health_zone_zs'!$B$2,[1]ratio_ins!$B:$B,0))*$G248*INDEX([1]ratio_ins!$C:$C,MATCH('001_population_health_zone_zs'!$B248,[1]ratio_ins!$B:$B,0))</f>
        <v>27428.104756800007</v>
      </c>
      <c r="X248" s="10">
        <f>INDEX([1]ratio_ins!V:V,MATCH('001_population_health_zone_zs'!$B$2,[1]ratio_ins!$B:$B,0))*$G248*INDEX([1]ratio_ins!$C:$C,MATCH('001_population_health_zone_zs'!$B248,[1]ratio_ins!$B:$B,0))</f>
        <v>804.34324800000013</v>
      </c>
      <c r="Y248" s="10">
        <f>INDEX([1]ratio_ins!W:W,MATCH('001_population_health_zone_zs'!$B$2,[1]ratio_ins!$B:$B,0))*$G248*INDEX([1]ratio_ins!$C:$C,MATCH('001_population_health_zone_zs'!$B248,[1]ratio_ins!$B:$B,0))</f>
        <v>536.22883200000001</v>
      </c>
      <c r="Z248" s="10">
        <f>INDEX([1]ratio_ins!X:X,MATCH('001_population_health_zone_zs'!$B$2,[1]ratio_ins!$B:$B,0))*$G248*INDEX([1]ratio_ins!$C:$C,MATCH('001_population_health_zone_zs'!$B248,[1]ratio_ins!$B:$B,0))</f>
        <v>268.11441600000001</v>
      </c>
      <c r="AA248" s="10">
        <f>INDEX([1]ratio_ins!Y:Y,MATCH('001_population_health_zone_zs'!$B$2,[1]ratio_ins!$B:$B,0))*$G248*INDEX([1]ratio_ins!$C:$C,MATCH('001_population_health_zone_zs'!$B248,[1]ratio_ins!$B:$B,0))</f>
        <v>134.057208</v>
      </c>
      <c r="AB248" s="11">
        <f>INDEX([1]ratio_ins!Z:Z,MATCH('001_population_health_zone_zs'!$B$2,[1]ratio_ins!$B:$B,0))*$G248*INDEX([1]ratio_ins!$C:$C,MATCH('001_population_health_zone_zs'!$B248,[1]ratio_ins!$B:$B,0))</f>
        <v>1742.7437040000002</v>
      </c>
      <c r="AC248" s="12">
        <f t="shared" si="18"/>
        <v>67028.604000000007</v>
      </c>
      <c r="AD248" s="10">
        <f>INDEX([1]ratio_ins!AA:AA,MATCH('001_population_health_zone_zs'!$B$2,[1]ratio_ins!$B:$B,0))*$G248*INDEX([1]ratio_ins!$D:$D,MATCH('001_population_health_zone_zs'!$B248,[1]ratio_ins!$B:$B,0))</f>
        <v>14533.76316</v>
      </c>
      <c r="AE248" s="10">
        <f>INDEX([1]ratio_ins!AB:AB,MATCH('001_population_health_zone_zs'!$B$2,[1]ratio_ins!$B:$B,0))*$G248*INDEX([1]ratio_ins!$D:$D,MATCH('001_population_health_zone_zs'!$B248,[1]ratio_ins!$B:$B,0))</f>
        <v>11973.052508000002</v>
      </c>
      <c r="AF248" s="10">
        <f>INDEX([1]ratio_ins!AC:AC,MATCH('001_population_health_zone_zs'!$B$2,[1]ratio_ins!$B:$B,0))*$G248*INDEX([1]ratio_ins!$D:$D,MATCH('001_population_health_zone_zs'!$B248,[1]ratio_ins!$B:$B,0))</f>
        <v>9481.5502519999991</v>
      </c>
      <c r="AG248" s="10">
        <f>INDEX([1]ratio_ins!AD:AD,MATCH('001_population_health_zone_zs'!$B$2,[1]ratio_ins!$B:$B,0))*$G248*INDEX([1]ratio_ins!$D:$D,MATCH('001_population_health_zone_zs'!$B248,[1]ratio_ins!$B:$B,0))</f>
        <v>5744.2968680000004</v>
      </c>
      <c r="AH248" s="10">
        <f>INDEX([1]ratio_ins!AE:AE,MATCH('001_population_health_zone_zs'!$B$2,[1]ratio_ins!$B:$B,0))*$G248*INDEX([1]ratio_ins!$D:$D,MATCH('001_population_health_zone_zs'!$B248,[1]ratio_ins!$B:$B,0))</f>
        <v>3446.5781207999999</v>
      </c>
      <c r="AI248" s="13">
        <f>INDEX([1]ratio_ins!AF:AF,MATCH('001_population_health_zone_zs'!$B$2,[1]ratio_ins!$B:$B,0))*$G248*INDEX([1]ratio_ins!$D:$D,MATCH('001_population_health_zone_zs'!$B248,[1]ratio_ins!$B:$B,0))</f>
        <v>39434.944040800001</v>
      </c>
      <c r="AJ248" s="10">
        <f>INDEX([1]ratio_ins!AG:AG,MATCH('001_population_health_zone_zs'!$B$2,[1]ratio_ins!$B:$B,0))*$G248*INDEX([1]ratio_ins!$D:$D,MATCH('001_population_health_zone_zs'!$B248,[1]ratio_ins!$B:$B,0))</f>
        <v>2297.7187472000001</v>
      </c>
      <c r="AK248" s="10">
        <f>INDEX([1]ratio_ins!AH:AH,MATCH('001_population_health_zone_zs'!$B$2,[1]ratio_ins!$B:$B,0))*$G248*INDEX([1]ratio_ins!$D:$D,MATCH('001_population_health_zone_zs'!$B248,[1]ratio_ins!$B:$B,0))</f>
        <v>5121.4213040000013</v>
      </c>
      <c r="AL248" s="10">
        <f>INDEX([1]ratio_ins!AI:AI,MATCH('001_population_health_zone_zs'!$B$2,[1]ratio_ins!$B:$B,0))*$G248*INDEX([1]ratio_ins!$D:$D,MATCH('001_population_health_zone_zs'!$B248,[1]ratio_ins!$B:$B,0))</f>
        <v>4844.5877200000004</v>
      </c>
      <c r="AM248" s="10">
        <f>INDEX([1]ratio_ins!AJ:AJ,MATCH('001_population_health_zone_zs'!$B$2,[1]ratio_ins!$B:$B,0))*$G248*INDEX([1]ratio_ins!$D:$D,MATCH('001_population_health_zone_zs'!$B248,[1]ratio_ins!$B:$B,0))</f>
        <v>4429.3373439999996</v>
      </c>
      <c r="AN248" s="10">
        <f>INDEX([1]ratio_ins!AK:AK,MATCH('001_population_health_zone_zs'!$B$2,[1]ratio_ins!$B:$B,0))*$G248*INDEX([1]ratio_ins!$D:$D,MATCH('001_population_health_zone_zs'!$B248,[1]ratio_ins!$B:$B,0))</f>
        <v>4152.5037599999996</v>
      </c>
      <c r="AO248" s="10">
        <f>INDEX([1]ratio_ins!AL:AL,MATCH('001_population_health_zone_zs'!$B$2,[1]ratio_ins!$B:$B,0))*$G248*INDEX([1]ratio_ins!$D:$D,MATCH('001_population_health_zone_zs'!$B248,[1]ratio_ins!$B:$B,0))</f>
        <v>3114.3778200000002</v>
      </c>
      <c r="AP248" s="10">
        <f>INDEX([1]ratio_ins!AM:AM,MATCH('001_population_health_zone_zs'!$B$2,[1]ratio_ins!$B:$B,0))*$G248*INDEX([1]ratio_ins!$D:$D,MATCH('001_population_health_zone_zs'!$B248,[1]ratio_ins!$B:$B,0))</f>
        <v>2007.0434839999998</v>
      </c>
      <c r="AQ248" s="10">
        <f>INDEX([1]ratio_ins!AN:AN,MATCH('001_population_health_zone_zs'!$B$2,[1]ratio_ins!$B:$B,0))*$G248*INDEX([1]ratio_ins!$D:$D,MATCH('001_population_health_zone_zs'!$B248,[1]ratio_ins!$B:$B,0))</f>
        <v>1591.7931080000001</v>
      </c>
      <c r="AR248" s="10">
        <f>INDEX([1]ratio_ins!AO:AO,MATCH('001_population_health_zone_zs'!$B$2,[1]ratio_ins!$B:$B,0))*$G248*INDEX([1]ratio_ins!$D:$D,MATCH('001_population_health_zone_zs'!$B248,[1]ratio_ins!$B:$B,0))</f>
        <v>761.29235600000015</v>
      </c>
      <c r="AS248" s="13">
        <f>INDEX([1]ratio_ins!AP:AP,MATCH('001_population_health_zone_zs'!$B$2,[1]ratio_ins!$B:$B,0))*$G248*INDEX([1]ratio_ins!$D:$D,MATCH('001_population_health_zone_zs'!$B248,[1]ratio_ins!$B:$B,0))</f>
        <v>28320.075643200002</v>
      </c>
      <c r="AT248" s="10">
        <f>INDEX([1]ratio_ins!AQ:AQ,MATCH('001_population_health_zone_zs'!$B$2,[1]ratio_ins!$B:$B,0))*$G248*INDEX([1]ratio_ins!$D:$D,MATCH('001_population_health_zone_zs'!$B248,[1]ratio_ins!$B:$B,0))</f>
        <v>692.08396000000005</v>
      </c>
      <c r="AU248" s="10">
        <f>INDEX([1]ratio_ins!AR:AR,MATCH('001_population_health_zone_zs'!$B$2,[1]ratio_ins!$B:$B,0))*$G248*INDEX([1]ratio_ins!$D:$D,MATCH('001_population_health_zone_zs'!$B248,[1]ratio_ins!$B:$B,0))</f>
        <v>415.25037600000002</v>
      </c>
      <c r="AV248" s="10">
        <f>INDEX([1]ratio_ins!AS:AS,MATCH('001_population_health_zone_zs'!$B$2,[1]ratio_ins!$B:$B,0))*$G248*INDEX([1]ratio_ins!$D:$D,MATCH('001_population_health_zone_zs'!$B248,[1]ratio_ins!$B:$B,0))</f>
        <v>207.62518800000001</v>
      </c>
      <c r="AW248" s="10">
        <f>INDEX([1]ratio_ins!AT:AT,MATCH('001_population_health_zone_zs'!$B$2,[1]ratio_ins!$B:$B,0))*$G248*INDEX([1]ratio_ins!$D:$D,MATCH('001_population_health_zone_zs'!$B248,[1]ratio_ins!$B:$B,0))</f>
        <v>138.41679199999999</v>
      </c>
      <c r="AX248" s="13">
        <f>INDEX([1]ratio_ins!AU:AU,MATCH('001_population_health_zone_zs'!$B$2,[1]ratio_ins!$B:$B,0))*$G248*INDEX([1]ratio_ins!$D:$D,MATCH('001_population_health_zone_zs'!$B248,[1]ratio_ins!$B:$B,0))</f>
        <v>1453.3763159999999</v>
      </c>
      <c r="AY248" s="14">
        <f t="shared" si="19"/>
        <v>69208.395999999993</v>
      </c>
      <c r="AZ248" s="15">
        <f t="shared" si="20"/>
        <v>136237</v>
      </c>
      <c r="BA248" s="16">
        <v>132531.57843119762</v>
      </c>
      <c r="BB248" s="10">
        <f t="shared" si="21"/>
        <v>29413.568299999999</v>
      </c>
      <c r="BC248" s="17">
        <f t="shared" si="22"/>
        <v>0.21589999999999998</v>
      </c>
      <c r="BD248" s="10">
        <f t="shared" si="23"/>
        <v>27950.927868000002</v>
      </c>
    </row>
    <row r="249" spans="1:56" x14ac:dyDescent="0.25">
      <c r="A249" s="8" t="s">
        <v>590</v>
      </c>
      <c r="B249" s="8" t="s">
        <v>591</v>
      </c>
      <c r="C249" s="8" t="s">
        <v>615</v>
      </c>
      <c r="D249" s="8" t="s">
        <v>616</v>
      </c>
      <c r="E249" s="8" t="s">
        <v>623</v>
      </c>
      <c r="F249" s="8" t="s">
        <v>624</v>
      </c>
      <c r="G249" s="9">
        <v>112899</v>
      </c>
      <c r="H249" s="10">
        <f>INDEX([1]ratio_ins!F:F,MATCH('001_population_health_zone_zs'!$B$2,[1]ratio_ins!$B:$B,0))*$G249*INDEX([1]ratio_ins!$C:$C,MATCH('001_population_health_zone_zs'!$B249,[1]ratio_ins!$B:$B,0))</f>
        <v>11609.178372</v>
      </c>
      <c r="I249" s="10">
        <f>INDEX([1]ratio_ins!G:G,MATCH('001_population_health_zone_zs'!$B$2,[1]ratio_ins!$B:$B,0))*$G249*INDEX([1]ratio_ins!$C:$C,MATCH('001_population_health_zone_zs'!$B249,[1]ratio_ins!$B:$B,0))</f>
        <v>9498.4186680000021</v>
      </c>
      <c r="J249" s="10">
        <f>INDEX([1]ratio_ins!H:H,MATCH('001_population_health_zone_zs'!$B$2,[1]ratio_ins!$B:$B,0))*$G249*INDEX([1]ratio_ins!$C:$C,MATCH('001_population_health_zone_zs'!$B249,[1]ratio_ins!$B:$B,0))</f>
        <v>7498.7515800000019</v>
      </c>
      <c r="K249" s="10">
        <f>INDEX([1]ratio_ins!I:I,MATCH('001_population_health_zone_zs'!$B$2,[1]ratio_ins!$B:$B,0))*$G249*INDEX([1]ratio_ins!$C:$C,MATCH('001_population_health_zone_zs'!$B249,[1]ratio_ins!$B:$B,0))</f>
        <v>4610.3435640000007</v>
      </c>
      <c r="L249" s="10">
        <f>INDEX([1]ratio_ins!J:J,MATCH('001_population_health_zone_zs'!$B$2,[1]ratio_ins!$B:$B,0))*$G249*INDEX([1]ratio_ins!$C:$C,MATCH('001_population_health_zone_zs'!$B249,[1]ratio_ins!$B:$B,0))</f>
        <v>2766.2061383999999</v>
      </c>
      <c r="M249" s="11">
        <f>INDEX([1]ratio_ins!K:K,MATCH('001_population_health_zone_zs'!$B$2,[1]ratio_ins!$B:$B,0))*$G249*INDEX([1]ratio_ins!$C:$C,MATCH('001_population_health_zone_zs'!$B249,[1]ratio_ins!$B:$B,0))</f>
        <v>31372.554758400001</v>
      </c>
      <c r="N249" s="10">
        <f>INDEX([1]ratio_ins!L:L,MATCH('001_population_health_zone_zs'!$B$2,[1]ratio_ins!$B:$B,0))*$G249*INDEX([1]ratio_ins!$C:$C,MATCH('001_population_health_zone_zs'!$B249,[1]ratio_ins!$B:$B,0))</f>
        <v>1844.1374256000001</v>
      </c>
      <c r="O249" s="10">
        <f>INDEX([1]ratio_ins!M:M,MATCH('001_population_health_zone_zs'!$B$2,[1]ratio_ins!$B:$B,0))*$G249*INDEX([1]ratio_ins!$C:$C,MATCH('001_population_health_zone_zs'!$B249,[1]ratio_ins!$B:$B,0))</f>
        <v>3999.3341760000008</v>
      </c>
      <c r="P249" s="10">
        <f>INDEX([1]ratio_ins!N:N,MATCH('001_population_health_zone_zs'!$B$2,[1]ratio_ins!$B:$B,0))*$G249*INDEX([1]ratio_ins!$C:$C,MATCH('001_population_health_zone_zs'!$B249,[1]ratio_ins!$B:$B,0))</f>
        <v>3610.5100200000006</v>
      </c>
      <c r="Q249" s="10">
        <f>INDEX([1]ratio_ins!O:O,MATCH('001_population_health_zone_zs'!$B$2,[1]ratio_ins!$B:$B,0))*$G249*INDEX([1]ratio_ins!$C:$C,MATCH('001_population_health_zone_zs'!$B249,[1]ratio_ins!$B:$B,0))</f>
        <v>3221.685864</v>
      </c>
      <c r="R249" s="10">
        <f>INDEX([1]ratio_ins!P:P,MATCH('001_population_health_zone_zs'!$B$2,[1]ratio_ins!$B:$B,0))*$G249*INDEX([1]ratio_ins!$C:$C,MATCH('001_population_health_zone_zs'!$B249,[1]ratio_ins!$B:$B,0))</f>
        <v>3166.1395560000005</v>
      </c>
      <c r="S249" s="10">
        <f>INDEX([1]ratio_ins!Q:Q,MATCH('001_population_health_zone_zs'!$B$2,[1]ratio_ins!$B:$B,0))*$G249*INDEX([1]ratio_ins!$C:$C,MATCH('001_population_health_zone_zs'!$B249,[1]ratio_ins!$B:$B,0))</f>
        <v>2666.2227840000005</v>
      </c>
      <c r="T249" s="10">
        <f>INDEX([1]ratio_ins!R:R,MATCH('001_population_health_zone_zs'!$B$2,[1]ratio_ins!$B:$B,0))*$G249*INDEX([1]ratio_ins!$C:$C,MATCH('001_population_health_zone_zs'!$B249,[1]ratio_ins!$B:$B,0))</f>
        <v>1888.5744720000002</v>
      </c>
      <c r="U249" s="10">
        <f>INDEX([1]ratio_ins!S:S,MATCH('001_population_health_zone_zs'!$B$2,[1]ratio_ins!$B:$B,0))*$G249*INDEX([1]ratio_ins!$C:$C,MATCH('001_population_health_zone_zs'!$B249,[1]ratio_ins!$B:$B,0))</f>
        <v>1499.7503160000001</v>
      </c>
      <c r="V249" s="10">
        <f>INDEX([1]ratio_ins!T:T,MATCH('001_population_health_zone_zs'!$B$2,[1]ratio_ins!$B:$B,0))*$G249*INDEX([1]ratio_ins!$C:$C,MATCH('001_population_health_zone_zs'!$B249,[1]ratio_ins!$B:$B,0))</f>
        <v>833.19461999999999</v>
      </c>
      <c r="W249" s="11">
        <f>INDEX([1]ratio_ins!U:U,MATCH('001_population_health_zone_zs'!$B$2,[1]ratio_ins!$B:$B,0))*$G249*INDEX([1]ratio_ins!$C:$C,MATCH('001_population_health_zone_zs'!$B249,[1]ratio_ins!$B:$B,0))</f>
        <v>22729.549233600002</v>
      </c>
      <c r="X249" s="10">
        <f>INDEX([1]ratio_ins!V:V,MATCH('001_population_health_zone_zs'!$B$2,[1]ratio_ins!$B:$B,0))*$G249*INDEX([1]ratio_ins!$C:$C,MATCH('001_population_health_zone_zs'!$B249,[1]ratio_ins!$B:$B,0))</f>
        <v>666.55569600000013</v>
      </c>
      <c r="Y249" s="10">
        <f>INDEX([1]ratio_ins!W:W,MATCH('001_population_health_zone_zs'!$B$2,[1]ratio_ins!$B:$B,0))*$G249*INDEX([1]ratio_ins!$C:$C,MATCH('001_population_health_zone_zs'!$B249,[1]ratio_ins!$B:$B,0))</f>
        <v>444.37046400000003</v>
      </c>
      <c r="Z249" s="10">
        <f>INDEX([1]ratio_ins!X:X,MATCH('001_population_health_zone_zs'!$B$2,[1]ratio_ins!$B:$B,0))*$G249*INDEX([1]ratio_ins!$C:$C,MATCH('001_population_health_zone_zs'!$B249,[1]ratio_ins!$B:$B,0))</f>
        <v>222.18523200000001</v>
      </c>
      <c r="AA249" s="10">
        <f>INDEX([1]ratio_ins!Y:Y,MATCH('001_population_health_zone_zs'!$B$2,[1]ratio_ins!$B:$B,0))*$G249*INDEX([1]ratio_ins!$C:$C,MATCH('001_population_health_zone_zs'!$B249,[1]ratio_ins!$B:$B,0))</f>
        <v>111.09261600000001</v>
      </c>
      <c r="AB249" s="11">
        <f>INDEX([1]ratio_ins!Z:Z,MATCH('001_population_health_zone_zs'!$B$2,[1]ratio_ins!$B:$B,0))*$G249*INDEX([1]ratio_ins!$C:$C,MATCH('001_population_health_zone_zs'!$B249,[1]ratio_ins!$B:$B,0))</f>
        <v>1444.2040080000002</v>
      </c>
      <c r="AC249" s="12">
        <f t="shared" si="18"/>
        <v>55546.308000000005</v>
      </c>
      <c r="AD249" s="10">
        <f>INDEX([1]ratio_ins!AA:AA,MATCH('001_population_health_zone_zs'!$B$2,[1]ratio_ins!$B:$B,0))*$G249*INDEX([1]ratio_ins!$D:$D,MATCH('001_population_health_zone_zs'!$B249,[1]ratio_ins!$B:$B,0))</f>
        <v>12044.065320000002</v>
      </c>
      <c r="AE249" s="10">
        <f>INDEX([1]ratio_ins!AB:AB,MATCH('001_population_health_zone_zs'!$B$2,[1]ratio_ins!$B:$B,0))*$G249*INDEX([1]ratio_ins!$D:$D,MATCH('001_population_health_zone_zs'!$B249,[1]ratio_ins!$B:$B,0))</f>
        <v>9922.0157160000017</v>
      </c>
      <c r="AF249" s="10">
        <f>INDEX([1]ratio_ins!AC:AC,MATCH('001_population_health_zone_zs'!$B$2,[1]ratio_ins!$B:$B,0))*$G249*INDEX([1]ratio_ins!$D:$D,MATCH('001_population_health_zone_zs'!$B249,[1]ratio_ins!$B:$B,0))</f>
        <v>7857.3188039999995</v>
      </c>
      <c r="AG249" s="10">
        <f>INDEX([1]ratio_ins!AD:AD,MATCH('001_population_health_zone_zs'!$B$2,[1]ratio_ins!$B:$B,0))*$G249*INDEX([1]ratio_ins!$D:$D,MATCH('001_population_health_zone_zs'!$B249,[1]ratio_ins!$B:$B,0))</f>
        <v>4760.2734360000004</v>
      </c>
      <c r="AH249" s="10">
        <f>INDEX([1]ratio_ins!AE:AE,MATCH('001_population_health_zone_zs'!$B$2,[1]ratio_ins!$B:$B,0))*$G249*INDEX([1]ratio_ins!$D:$D,MATCH('001_population_health_zone_zs'!$B249,[1]ratio_ins!$B:$B,0))</f>
        <v>2856.1640615999995</v>
      </c>
      <c r="AI249" s="13">
        <f>INDEX([1]ratio_ins!AF:AF,MATCH('001_population_health_zone_zs'!$B$2,[1]ratio_ins!$B:$B,0))*$G249*INDEX([1]ratio_ins!$D:$D,MATCH('001_population_health_zone_zs'!$B249,[1]ratio_ins!$B:$B,0))</f>
        <v>32679.563901599999</v>
      </c>
      <c r="AJ249" s="10">
        <f>INDEX([1]ratio_ins!AG:AG,MATCH('001_population_health_zone_zs'!$B$2,[1]ratio_ins!$B:$B,0))*$G249*INDEX([1]ratio_ins!$D:$D,MATCH('001_population_health_zone_zs'!$B249,[1]ratio_ins!$B:$B,0))</f>
        <v>1904.1093744</v>
      </c>
      <c r="AK249" s="10">
        <f>INDEX([1]ratio_ins!AH:AH,MATCH('001_population_health_zone_zs'!$B$2,[1]ratio_ins!$B:$B,0))*$G249*INDEX([1]ratio_ins!$D:$D,MATCH('001_population_health_zone_zs'!$B249,[1]ratio_ins!$B:$B,0))</f>
        <v>4244.0992080000005</v>
      </c>
      <c r="AL249" s="10">
        <f>INDEX([1]ratio_ins!AI:AI,MATCH('001_population_health_zone_zs'!$B$2,[1]ratio_ins!$B:$B,0))*$G249*INDEX([1]ratio_ins!$D:$D,MATCH('001_population_health_zone_zs'!$B249,[1]ratio_ins!$B:$B,0))</f>
        <v>4014.6884400000008</v>
      </c>
      <c r="AM249" s="10">
        <f>INDEX([1]ratio_ins!AJ:AJ,MATCH('001_population_health_zone_zs'!$B$2,[1]ratio_ins!$B:$B,0))*$G249*INDEX([1]ratio_ins!$D:$D,MATCH('001_population_health_zone_zs'!$B249,[1]ratio_ins!$B:$B,0))</f>
        <v>3670.5722880000003</v>
      </c>
      <c r="AN249" s="10">
        <f>INDEX([1]ratio_ins!AK:AK,MATCH('001_population_health_zone_zs'!$B$2,[1]ratio_ins!$B:$B,0))*$G249*INDEX([1]ratio_ins!$D:$D,MATCH('001_population_health_zone_zs'!$B249,[1]ratio_ins!$B:$B,0))</f>
        <v>3441.1615199999997</v>
      </c>
      <c r="AO249" s="10">
        <f>INDEX([1]ratio_ins!AL:AL,MATCH('001_population_health_zone_zs'!$B$2,[1]ratio_ins!$B:$B,0))*$G249*INDEX([1]ratio_ins!$D:$D,MATCH('001_population_health_zone_zs'!$B249,[1]ratio_ins!$B:$B,0))</f>
        <v>2580.8711400000002</v>
      </c>
      <c r="AP249" s="10">
        <f>INDEX([1]ratio_ins!AM:AM,MATCH('001_population_health_zone_zs'!$B$2,[1]ratio_ins!$B:$B,0))*$G249*INDEX([1]ratio_ins!$D:$D,MATCH('001_population_health_zone_zs'!$B249,[1]ratio_ins!$B:$B,0))</f>
        <v>1663.2280679999999</v>
      </c>
      <c r="AQ249" s="10">
        <f>INDEX([1]ratio_ins!AN:AN,MATCH('001_population_health_zone_zs'!$B$2,[1]ratio_ins!$B:$B,0))*$G249*INDEX([1]ratio_ins!$D:$D,MATCH('001_population_health_zone_zs'!$B249,[1]ratio_ins!$B:$B,0))</f>
        <v>1319.1119160000001</v>
      </c>
      <c r="AR249" s="10">
        <f>INDEX([1]ratio_ins!AO:AO,MATCH('001_population_health_zone_zs'!$B$2,[1]ratio_ins!$B:$B,0))*$G249*INDEX([1]ratio_ins!$D:$D,MATCH('001_population_health_zone_zs'!$B249,[1]ratio_ins!$B:$B,0))</f>
        <v>630.87961200000007</v>
      </c>
      <c r="AS249" s="13">
        <f>INDEX([1]ratio_ins!AP:AP,MATCH('001_population_health_zone_zs'!$B$2,[1]ratio_ins!$B:$B,0))*$G249*INDEX([1]ratio_ins!$D:$D,MATCH('001_population_health_zone_zs'!$B249,[1]ratio_ins!$B:$B,0))</f>
        <v>23468.7215664</v>
      </c>
      <c r="AT249" s="10">
        <f>INDEX([1]ratio_ins!AQ:AQ,MATCH('001_population_health_zone_zs'!$B$2,[1]ratio_ins!$B:$B,0))*$G249*INDEX([1]ratio_ins!$D:$D,MATCH('001_population_health_zone_zs'!$B249,[1]ratio_ins!$B:$B,0))</f>
        <v>573.52692000000002</v>
      </c>
      <c r="AU249" s="10">
        <f>INDEX([1]ratio_ins!AR:AR,MATCH('001_population_health_zone_zs'!$B$2,[1]ratio_ins!$B:$B,0))*$G249*INDEX([1]ratio_ins!$D:$D,MATCH('001_population_health_zone_zs'!$B249,[1]ratio_ins!$B:$B,0))</f>
        <v>344.116152</v>
      </c>
      <c r="AV249" s="10">
        <f>INDEX([1]ratio_ins!AS:AS,MATCH('001_population_health_zone_zs'!$B$2,[1]ratio_ins!$B:$B,0))*$G249*INDEX([1]ratio_ins!$D:$D,MATCH('001_population_health_zone_zs'!$B249,[1]ratio_ins!$B:$B,0))</f>
        <v>172.058076</v>
      </c>
      <c r="AW249" s="10">
        <f>INDEX([1]ratio_ins!AT:AT,MATCH('001_population_health_zone_zs'!$B$2,[1]ratio_ins!$B:$B,0))*$G249*INDEX([1]ratio_ins!$D:$D,MATCH('001_population_health_zone_zs'!$B249,[1]ratio_ins!$B:$B,0))</f>
        <v>114.70538400000001</v>
      </c>
      <c r="AX249" s="13">
        <f>INDEX([1]ratio_ins!AU:AU,MATCH('001_population_health_zone_zs'!$B$2,[1]ratio_ins!$B:$B,0))*$G249*INDEX([1]ratio_ins!$D:$D,MATCH('001_population_health_zone_zs'!$B249,[1]ratio_ins!$B:$B,0))</f>
        <v>1204.406532</v>
      </c>
      <c r="AY249" s="14">
        <f t="shared" si="19"/>
        <v>57352.692000000003</v>
      </c>
      <c r="AZ249" s="15">
        <f t="shared" si="20"/>
        <v>112899</v>
      </c>
      <c r="BA249" s="16">
        <v>109828.35009627792</v>
      </c>
      <c r="BB249" s="10">
        <f t="shared" si="21"/>
        <v>24374.894099999998</v>
      </c>
      <c r="BC249" s="17">
        <f t="shared" si="22"/>
        <v>0.21589999999999998</v>
      </c>
      <c r="BD249" s="10">
        <f t="shared" si="23"/>
        <v>23162.810436000003</v>
      </c>
    </row>
    <row r="250" spans="1:56" x14ac:dyDescent="0.25">
      <c r="A250" s="8" t="s">
        <v>590</v>
      </c>
      <c r="B250" s="8" t="s">
        <v>591</v>
      </c>
      <c r="C250" s="8" t="s">
        <v>615</v>
      </c>
      <c r="D250" s="8" t="s">
        <v>616</v>
      </c>
      <c r="E250" s="8" t="s">
        <v>625</v>
      </c>
      <c r="F250" s="8" t="s">
        <v>626</v>
      </c>
      <c r="G250" s="9">
        <v>120630</v>
      </c>
      <c r="H250" s="10">
        <f>INDEX([1]ratio_ins!F:F,MATCH('001_population_health_zone_zs'!$B$2,[1]ratio_ins!$B:$B,0))*$G250*INDEX([1]ratio_ins!$C:$C,MATCH('001_population_health_zone_zs'!$B250,[1]ratio_ins!$B:$B,0))</f>
        <v>12404.14164</v>
      </c>
      <c r="I250" s="10">
        <f>INDEX([1]ratio_ins!G:G,MATCH('001_population_health_zone_zs'!$B$2,[1]ratio_ins!$B:$B,0))*$G250*INDEX([1]ratio_ins!$C:$C,MATCH('001_population_health_zone_zs'!$B250,[1]ratio_ins!$B:$B,0))</f>
        <v>10148.843160000002</v>
      </c>
      <c r="J250" s="10">
        <f>INDEX([1]ratio_ins!H:H,MATCH('001_population_health_zone_zs'!$B$2,[1]ratio_ins!$B:$B,0))*$G250*INDEX([1]ratio_ins!$C:$C,MATCH('001_population_health_zone_zs'!$B250,[1]ratio_ins!$B:$B,0))</f>
        <v>8012.2446000000009</v>
      </c>
      <c r="K250" s="10">
        <f>INDEX([1]ratio_ins!I:I,MATCH('001_population_health_zone_zs'!$B$2,[1]ratio_ins!$B:$B,0))*$G250*INDEX([1]ratio_ins!$C:$C,MATCH('001_population_health_zone_zs'!$B250,[1]ratio_ins!$B:$B,0))</f>
        <v>4926.0466800000013</v>
      </c>
      <c r="L250" s="10">
        <f>INDEX([1]ratio_ins!J:J,MATCH('001_population_health_zone_zs'!$B$2,[1]ratio_ins!$B:$B,0))*$G250*INDEX([1]ratio_ins!$C:$C,MATCH('001_population_health_zone_zs'!$B250,[1]ratio_ins!$B:$B,0))</f>
        <v>2955.6280080000001</v>
      </c>
      <c r="M250" s="11">
        <f>INDEX([1]ratio_ins!K:K,MATCH('001_population_health_zone_zs'!$B$2,[1]ratio_ins!$B:$B,0))*$G250*INDEX([1]ratio_ins!$C:$C,MATCH('001_population_health_zone_zs'!$B250,[1]ratio_ins!$B:$B,0))</f>
        <v>33520.857408000003</v>
      </c>
      <c r="N250" s="10">
        <f>INDEX([1]ratio_ins!L:L,MATCH('001_population_health_zone_zs'!$B$2,[1]ratio_ins!$B:$B,0))*$G250*INDEX([1]ratio_ins!$C:$C,MATCH('001_population_health_zone_zs'!$B250,[1]ratio_ins!$B:$B,0))</f>
        <v>1970.4186720000002</v>
      </c>
      <c r="O250" s="10">
        <f>INDEX([1]ratio_ins!M:M,MATCH('001_population_health_zone_zs'!$B$2,[1]ratio_ins!$B:$B,0))*$G250*INDEX([1]ratio_ins!$C:$C,MATCH('001_population_health_zone_zs'!$B250,[1]ratio_ins!$B:$B,0))</f>
        <v>4273.1971200000007</v>
      </c>
      <c r="P250" s="10">
        <f>INDEX([1]ratio_ins!N:N,MATCH('001_population_health_zone_zs'!$B$2,[1]ratio_ins!$B:$B,0))*$G250*INDEX([1]ratio_ins!$C:$C,MATCH('001_population_health_zone_zs'!$B250,[1]ratio_ins!$B:$B,0))</f>
        <v>3857.7474000000002</v>
      </c>
      <c r="Q250" s="10">
        <f>INDEX([1]ratio_ins!O:O,MATCH('001_population_health_zone_zs'!$B$2,[1]ratio_ins!$B:$B,0))*$G250*INDEX([1]ratio_ins!$C:$C,MATCH('001_population_health_zone_zs'!$B250,[1]ratio_ins!$B:$B,0))</f>
        <v>3442.2976800000001</v>
      </c>
      <c r="R250" s="10">
        <f>INDEX([1]ratio_ins!P:P,MATCH('001_population_health_zone_zs'!$B$2,[1]ratio_ins!$B:$B,0))*$G250*INDEX([1]ratio_ins!$C:$C,MATCH('001_population_health_zone_zs'!$B250,[1]ratio_ins!$B:$B,0))</f>
        <v>3382.9477200000001</v>
      </c>
      <c r="S250" s="10">
        <f>INDEX([1]ratio_ins!Q:Q,MATCH('001_population_health_zone_zs'!$B$2,[1]ratio_ins!$B:$B,0))*$G250*INDEX([1]ratio_ins!$C:$C,MATCH('001_population_health_zone_zs'!$B250,[1]ratio_ins!$B:$B,0))</f>
        <v>2848.79808</v>
      </c>
      <c r="T250" s="10">
        <f>INDEX([1]ratio_ins!R:R,MATCH('001_population_health_zone_zs'!$B$2,[1]ratio_ins!$B:$B,0))*$G250*INDEX([1]ratio_ins!$C:$C,MATCH('001_population_health_zone_zs'!$B250,[1]ratio_ins!$B:$B,0))</f>
        <v>2017.8986400000003</v>
      </c>
      <c r="U250" s="10">
        <f>INDEX([1]ratio_ins!S:S,MATCH('001_population_health_zone_zs'!$B$2,[1]ratio_ins!$B:$B,0))*$G250*INDEX([1]ratio_ins!$C:$C,MATCH('001_population_health_zone_zs'!$B250,[1]ratio_ins!$B:$B,0))</f>
        <v>1602.4489200000003</v>
      </c>
      <c r="V250" s="10">
        <f>INDEX([1]ratio_ins!T:T,MATCH('001_population_health_zone_zs'!$B$2,[1]ratio_ins!$B:$B,0))*$G250*INDEX([1]ratio_ins!$C:$C,MATCH('001_population_health_zone_zs'!$B250,[1]ratio_ins!$B:$B,0))</f>
        <v>890.24940000000015</v>
      </c>
      <c r="W250" s="11">
        <f>INDEX([1]ratio_ins!U:U,MATCH('001_population_health_zone_zs'!$B$2,[1]ratio_ins!$B:$B,0))*$G250*INDEX([1]ratio_ins!$C:$C,MATCH('001_population_health_zone_zs'!$B250,[1]ratio_ins!$B:$B,0))</f>
        <v>24286.003632000004</v>
      </c>
      <c r="X250" s="10">
        <f>INDEX([1]ratio_ins!V:V,MATCH('001_population_health_zone_zs'!$B$2,[1]ratio_ins!$B:$B,0))*$G250*INDEX([1]ratio_ins!$C:$C,MATCH('001_population_health_zone_zs'!$B250,[1]ratio_ins!$B:$B,0))</f>
        <v>712.19952000000001</v>
      </c>
      <c r="Y250" s="10">
        <f>INDEX([1]ratio_ins!W:W,MATCH('001_population_health_zone_zs'!$B$2,[1]ratio_ins!$B:$B,0))*$G250*INDEX([1]ratio_ins!$C:$C,MATCH('001_population_health_zone_zs'!$B250,[1]ratio_ins!$B:$B,0))</f>
        <v>474.79968000000002</v>
      </c>
      <c r="Z250" s="10">
        <f>INDEX([1]ratio_ins!X:X,MATCH('001_population_health_zone_zs'!$B$2,[1]ratio_ins!$B:$B,0))*$G250*INDEX([1]ratio_ins!$C:$C,MATCH('001_population_health_zone_zs'!$B250,[1]ratio_ins!$B:$B,0))</f>
        <v>237.39984000000001</v>
      </c>
      <c r="AA250" s="10">
        <f>INDEX([1]ratio_ins!Y:Y,MATCH('001_population_health_zone_zs'!$B$2,[1]ratio_ins!$B:$B,0))*$G250*INDEX([1]ratio_ins!$C:$C,MATCH('001_population_health_zone_zs'!$B250,[1]ratio_ins!$B:$B,0))</f>
        <v>118.69992000000001</v>
      </c>
      <c r="AB250" s="11">
        <f>INDEX([1]ratio_ins!Z:Z,MATCH('001_population_health_zone_zs'!$B$2,[1]ratio_ins!$B:$B,0))*$G250*INDEX([1]ratio_ins!$C:$C,MATCH('001_population_health_zone_zs'!$B250,[1]ratio_ins!$B:$B,0))</f>
        <v>1543.0989600000003</v>
      </c>
      <c r="AC250" s="12">
        <f t="shared" si="18"/>
        <v>59349.960000000006</v>
      </c>
      <c r="AD250" s="10">
        <f>INDEX([1]ratio_ins!AA:AA,MATCH('001_population_health_zone_zs'!$B$2,[1]ratio_ins!$B:$B,0))*$G250*INDEX([1]ratio_ins!$D:$D,MATCH('001_population_health_zone_zs'!$B250,[1]ratio_ins!$B:$B,0))</f>
        <v>12868.8084</v>
      </c>
      <c r="AE250" s="10">
        <f>INDEX([1]ratio_ins!AB:AB,MATCH('001_population_health_zone_zs'!$B$2,[1]ratio_ins!$B:$B,0))*$G250*INDEX([1]ratio_ins!$D:$D,MATCH('001_population_health_zone_zs'!$B250,[1]ratio_ins!$B:$B,0))</f>
        <v>10601.44692</v>
      </c>
      <c r="AF250" s="10">
        <f>INDEX([1]ratio_ins!AC:AC,MATCH('001_population_health_zone_zs'!$B$2,[1]ratio_ins!$B:$B,0))*$G250*INDEX([1]ratio_ins!$D:$D,MATCH('001_population_health_zone_zs'!$B250,[1]ratio_ins!$B:$B,0))</f>
        <v>8395.3654799999986</v>
      </c>
      <c r="AG250" s="10">
        <f>INDEX([1]ratio_ins!AD:AD,MATCH('001_population_health_zone_zs'!$B$2,[1]ratio_ins!$B:$B,0))*$G250*INDEX([1]ratio_ins!$D:$D,MATCH('001_population_health_zone_zs'!$B250,[1]ratio_ins!$B:$B,0))</f>
        <v>5086.2433200000005</v>
      </c>
      <c r="AH250" s="10">
        <f>INDEX([1]ratio_ins!AE:AE,MATCH('001_population_health_zone_zs'!$B$2,[1]ratio_ins!$B:$B,0))*$G250*INDEX([1]ratio_ins!$D:$D,MATCH('001_population_health_zone_zs'!$B250,[1]ratio_ins!$B:$B,0))</f>
        <v>3051.7459920000001</v>
      </c>
      <c r="AI250" s="13">
        <f>INDEX([1]ratio_ins!AF:AF,MATCH('001_population_health_zone_zs'!$B$2,[1]ratio_ins!$B:$B,0))*$G250*INDEX([1]ratio_ins!$D:$D,MATCH('001_population_health_zone_zs'!$B250,[1]ratio_ins!$B:$B,0))</f>
        <v>34917.366792000001</v>
      </c>
      <c r="AJ250" s="10">
        <f>INDEX([1]ratio_ins!AG:AG,MATCH('001_population_health_zone_zs'!$B$2,[1]ratio_ins!$B:$B,0))*$G250*INDEX([1]ratio_ins!$D:$D,MATCH('001_population_health_zone_zs'!$B250,[1]ratio_ins!$B:$B,0))</f>
        <v>2034.4973280000002</v>
      </c>
      <c r="AK250" s="10">
        <f>INDEX([1]ratio_ins!AH:AH,MATCH('001_population_health_zone_zs'!$B$2,[1]ratio_ins!$B:$B,0))*$G250*INDEX([1]ratio_ins!$D:$D,MATCH('001_population_health_zone_zs'!$B250,[1]ratio_ins!$B:$B,0))</f>
        <v>4534.7229600000001</v>
      </c>
      <c r="AL250" s="10">
        <f>INDEX([1]ratio_ins!AI:AI,MATCH('001_population_health_zone_zs'!$B$2,[1]ratio_ins!$B:$B,0))*$G250*INDEX([1]ratio_ins!$D:$D,MATCH('001_population_health_zone_zs'!$B250,[1]ratio_ins!$B:$B,0))</f>
        <v>4289.6028000000006</v>
      </c>
      <c r="AM250" s="10">
        <f>INDEX([1]ratio_ins!AJ:AJ,MATCH('001_population_health_zone_zs'!$B$2,[1]ratio_ins!$B:$B,0))*$G250*INDEX([1]ratio_ins!$D:$D,MATCH('001_population_health_zone_zs'!$B250,[1]ratio_ins!$B:$B,0))</f>
        <v>3921.92256</v>
      </c>
      <c r="AN250" s="10">
        <f>INDEX([1]ratio_ins!AK:AK,MATCH('001_population_health_zone_zs'!$B$2,[1]ratio_ins!$B:$B,0))*$G250*INDEX([1]ratio_ins!$D:$D,MATCH('001_population_health_zone_zs'!$B250,[1]ratio_ins!$B:$B,0))</f>
        <v>3676.8024</v>
      </c>
      <c r="AO250" s="10">
        <f>INDEX([1]ratio_ins!AL:AL,MATCH('001_population_health_zone_zs'!$B$2,[1]ratio_ins!$B:$B,0))*$G250*INDEX([1]ratio_ins!$D:$D,MATCH('001_population_health_zone_zs'!$B250,[1]ratio_ins!$B:$B,0))</f>
        <v>2757.6017999999999</v>
      </c>
      <c r="AP250" s="10">
        <f>INDEX([1]ratio_ins!AM:AM,MATCH('001_population_health_zone_zs'!$B$2,[1]ratio_ins!$B:$B,0))*$G250*INDEX([1]ratio_ins!$D:$D,MATCH('001_population_health_zone_zs'!$B250,[1]ratio_ins!$B:$B,0))</f>
        <v>1777.1211599999999</v>
      </c>
      <c r="AQ250" s="10">
        <f>INDEX([1]ratio_ins!AN:AN,MATCH('001_population_health_zone_zs'!$B$2,[1]ratio_ins!$B:$B,0))*$G250*INDEX([1]ratio_ins!$D:$D,MATCH('001_population_health_zone_zs'!$B250,[1]ratio_ins!$B:$B,0))</f>
        <v>1409.44092</v>
      </c>
      <c r="AR250" s="10">
        <f>INDEX([1]ratio_ins!AO:AO,MATCH('001_population_health_zone_zs'!$B$2,[1]ratio_ins!$B:$B,0))*$G250*INDEX([1]ratio_ins!$D:$D,MATCH('001_population_health_zone_zs'!$B250,[1]ratio_ins!$B:$B,0))</f>
        <v>674.08044000000007</v>
      </c>
      <c r="AS250" s="13">
        <f>INDEX([1]ratio_ins!AP:AP,MATCH('001_population_health_zone_zs'!$B$2,[1]ratio_ins!$B:$B,0))*$G250*INDEX([1]ratio_ins!$D:$D,MATCH('001_population_health_zone_zs'!$B250,[1]ratio_ins!$B:$B,0))</f>
        <v>25075.792368000002</v>
      </c>
      <c r="AT250" s="10">
        <f>INDEX([1]ratio_ins!AQ:AQ,MATCH('001_population_health_zone_zs'!$B$2,[1]ratio_ins!$B:$B,0))*$G250*INDEX([1]ratio_ins!$D:$D,MATCH('001_population_health_zone_zs'!$B250,[1]ratio_ins!$B:$B,0))</f>
        <v>612.80039999999997</v>
      </c>
      <c r="AU250" s="10">
        <f>INDEX([1]ratio_ins!AR:AR,MATCH('001_population_health_zone_zs'!$B$2,[1]ratio_ins!$B:$B,0))*$G250*INDEX([1]ratio_ins!$D:$D,MATCH('001_population_health_zone_zs'!$B250,[1]ratio_ins!$B:$B,0))</f>
        <v>367.68023999999997</v>
      </c>
      <c r="AV250" s="10">
        <f>INDEX([1]ratio_ins!AS:AS,MATCH('001_population_health_zone_zs'!$B$2,[1]ratio_ins!$B:$B,0))*$G250*INDEX([1]ratio_ins!$D:$D,MATCH('001_population_health_zone_zs'!$B250,[1]ratio_ins!$B:$B,0))</f>
        <v>183.84011999999998</v>
      </c>
      <c r="AW250" s="10">
        <f>INDEX([1]ratio_ins!AT:AT,MATCH('001_population_health_zone_zs'!$B$2,[1]ratio_ins!$B:$B,0))*$G250*INDEX([1]ratio_ins!$D:$D,MATCH('001_population_health_zone_zs'!$B250,[1]ratio_ins!$B:$B,0))</f>
        <v>122.56008</v>
      </c>
      <c r="AX250" s="13">
        <f>INDEX([1]ratio_ins!AU:AU,MATCH('001_population_health_zone_zs'!$B$2,[1]ratio_ins!$B:$B,0))*$G250*INDEX([1]ratio_ins!$D:$D,MATCH('001_population_health_zone_zs'!$B250,[1]ratio_ins!$B:$B,0))</f>
        <v>1286.8808399999998</v>
      </c>
      <c r="AY250" s="14">
        <f t="shared" si="19"/>
        <v>61280.04</v>
      </c>
      <c r="AZ250" s="15">
        <f t="shared" si="20"/>
        <v>120630</v>
      </c>
      <c r="BA250" s="16">
        <v>117349.19375847881</v>
      </c>
      <c r="BB250" s="10">
        <f t="shared" si="21"/>
        <v>26044.017</v>
      </c>
      <c r="BC250" s="17">
        <f t="shared" si="22"/>
        <v>0.21590000000000001</v>
      </c>
      <c r="BD250" s="10">
        <f t="shared" si="23"/>
        <v>24748.93332</v>
      </c>
    </row>
    <row r="251" spans="1:56" x14ac:dyDescent="0.25">
      <c r="A251" s="8" t="s">
        <v>590</v>
      </c>
      <c r="B251" s="8" t="s">
        <v>591</v>
      </c>
      <c r="C251" s="8" t="s">
        <v>615</v>
      </c>
      <c r="D251" s="8" t="s">
        <v>616</v>
      </c>
      <c r="E251" s="8" t="s">
        <v>627</v>
      </c>
      <c r="F251" s="8" t="s">
        <v>628</v>
      </c>
      <c r="G251" s="9">
        <v>49206</v>
      </c>
      <c r="H251" s="10">
        <f>INDEX([1]ratio_ins!F:F,MATCH('001_population_health_zone_zs'!$B$2,[1]ratio_ins!$B:$B,0))*$G251*INDEX([1]ratio_ins!$C:$C,MATCH('001_population_health_zone_zs'!$B251,[1]ratio_ins!$B:$B,0))</f>
        <v>5059.7545680000003</v>
      </c>
      <c r="I251" s="10">
        <f>INDEX([1]ratio_ins!G:G,MATCH('001_population_health_zone_zs'!$B$2,[1]ratio_ins!$B:$B,0))*$G251*INDEX([1]ratio_ins!$C:$C,MATCH('001_population_health_zone_zs'!$B251,[1]ratio_ins!$B:$B,0))</f>
        <v>4139.7991920000004</v>
      </c>
      <c r="J251" s="10">
        <f>INDEX([1]ratio_ins!H:H,MATCH('001_population_health_zone_zs'!$B$2,[1]ratio_ins!$B:$B,0))*$G251*INDEX([1]ratio_ins!$C:$C,MATCH('001_population_health_zone_zs'!$B251,[1]ratio_ins!$B:$B,0))</f>
        <v>3268.2625200000007</v>
      </c>
      <c r="K251" s="10">
        <f>INDEX([1]ratio_ins!I:I,MATCH('001_population_health_zone_zs'!$B$2,[1]ratio_ins!$B:$B,0))*$G251*INDEX([1]ratio_ins!$C:$C,MATCH('001_population_health_zone_zs'!$B251,[1]ratio_ins!$B:$B,0))</f>
        <v>2009.3762160000003</v>
      </c>
      <c r="L251" s="10">
        <f>INDEX([1]ratio_ins!J:J,MATCH('001_population_health_zone_zs'!$B$2,[1]ratio_ins!$B:$B,0))*$G251*INDEX([1]ratio_ins!$C:$C,MATCH('001_population_health_zone_zs'!$B251,[1]ratio_ins!$B:$B,0))</f>
        <v>1205.6257296000001</v>
      </c>
      <c r="M251" s="11">
        <f>INDEX([1]ratio_ins!K:K,MATCH('001_population_health_zone_zs'!$B$2,[1]ratio_ins!$B:$B,0))*$G251*INDEX([1]ratio_ins!$C:$C,MATCH('001_population_health_zone_zs'!$B251,[1]ratio_ins!$B:$B,0))</f>
        <v>13673.442009599999</v>
      </c>
      <c r="N251" s="10">
        <f>INDEX([1]ratio_ins!L:L,MATCH('001_population_health_zone_zs'!$B$2,[1]ratio_ins!$B:$B,0))*$G251*INDEX([1]ratio_ins!$C:$C,MATCH('001_population_health_zone_zs'!$B251,[1]ratio_ins!$B:$B,0))</f>
        <v>803.75048640000011</v>
      </c>
      <c r="O251" s="10">
        <f>INDEX([1]ratio_ins!M:M,MATCH('001_population_health_zone_zs'!$B$2,[1]ratio_ins!$B:$B,0))*$G251*INDEX([1]ratio_ins!$C:$C,MATCH('001_population_health_zone_zs'!$B251,[1]ratio_ins!$B:$B,0))</f>
        <v>1743.0733440000004</v>
      </c>
      <c r="P251" s="10">
        <f>INDEX([1]ratio_ins!N:N,MATCH('001_population_health_zone_zs'!$B$2,[1]ratio_ins!$B:$B,0))*$G251*INDEX([1]ratio_ins!$C:$C,MATCH('001_population_health_zone_zs'!$B251,[1]ratio_ins!$B:$B,0))</f>
        <v>1573.6078800000003</v>
      </c>
      <c r="Q251" s="10">
        <f>INDEX([1]ratio_ins!O:O,MATCH('001_population_health_zone_zs'!$B$2,[1]ratio_ins!$B:$B,0))*$G251*INDEX([1]ratio_ins!$C:$C,MATCH('001_population_health_zone_zs'!$B251,[1]ratio_ins!$B:$B,0))</f>
        <v>1404.1424160000001</v>
      </c>
      <c r="R251" s="10">
        <f>INDEX([1]ratio_ins!P:P,MATCH('001_population_health_zone_zs'!$B$2,[1]ratio_ins!$B:$B,0))*$G251*INDEX([1]ratio_ins!$C:$C,MATCH('001_population_health_zone_zs'!$B251,[1]ratio_ins!$B:$B,0))</f>
        <v>1379.9330640000003</v>
      </c>
      <c r="S251" s="10">
        <f>INDEX([1]ratio_ins!Q:Q,MATCH('001_population_health_zone_zs'!$B$2,[1]ratio_ins!$B:$B,0))*$G251*INDEX([1]ratio_ins!$C:$C,MATCH('001_population_health_zone_zs'!$B251,[1]ratio_ins!$B:$B,0))</f>
        <v>1162.048896</v>
      </c>
      <c r="T251" s="10">
        <f>INDEX([1]ratio_ins!R:R,MATCH('001_population_health_zone_zs'!$B$2,[1]ratio_ins!$B:$B,0))*$G251*INDEX([1]ratio_ins!$C:$C,MATCH('001_population_health_zone_zs'!$B251,[1]ratio_ins!$B:$B,0))</f>
        <v>823.11796800000013</v>
      </c>
      <c r="U251" s="10">
        <f>INDEX([1]ratio_ins!S:S,MATCH('001_population_health_zone_zs'!$B$2,[1]ratio_ins!$B:$B,0))*$G251*INDEX([1]ratio_ins!$C:$C,MATCH('001_population_health_zone_zs'!$B251,[1]ratio_ins!$B:$B,0))</f>
        <v>653.65250400000014</v>
      </c>
      <c r="V251" s="10">
        <f>INDEX([1]ratio_ins!T:T,MATCH('001_population_health_zone_zs'!$B$2,[1]ratio_ins!$B:$B,0))*$G251*INDEX([1]ratio_ins!$C:$C,MATCH('001_population_health_zone_zs'!$B251,[1]ratio_ins!$B:$B,0))</f>
        <v>363.14028000000002</v>
      </c>
      <c r="W251" s="11">
        <f>INDEX([1]ratio_ins!U:U,MATCH('001_population_health_zone_zs'!$B$2,[1]ratio_ins!$B:$B,0))*$G251*INDEX([1]ratio_ins!$C:$C,MATCH('001_population_health_zone_zs'!$B251,[1]ratio_ins!$B:$B,0))</f>
        <v>9906.4668384000015</v>
      </c>
      <c r="X251" s="10">
        <f>INDEX([1]ratio_ins!V:V,MATCH('001_population_health_zone_zs'!$B$2,[1]ratio_ins!$B:$B,0))*$G251*INDEX([1]ratio_ins!$C:$C,MATCH('001_population_health_zone_zs'!$B251,[1]ratio_ins!$B:$B,0))</f>
        <v>290.512224</v>
      </c>
      <c r="Y251" s="10">
        <f>INDEX([1]ratio_ins!W:W,MATCH('001_population_health_zone_zs'!$B$2,[1]ratio_ins!$B:$B,0))*$G251*INDEX([1]ratio_ins!$C:$C,MATCH('001_population_health_zone_zs'!$B251,[1]ratio_ins!$B:$B,0))</f>
        <v>193.67481600000002</v>
      </c>
      <c r="Z251" s="10">
        <f>INDEX([1]ratio_ins!X:X,MATCH('001_population_health_zone_zs'!$B$2,[1]ratio_ins!$B:$B,0))*$G251*INDEX([1]ratio_ins!$C:$C,MATCH('001_population_health_zone_zs'!$B251,[1]ratio_ins!$B:$B,0))</f>
        <v>96.837408000000011</v>
      </c>
      <c r="AA251" s="10">
        <f>INDEX([1]ratio_ins!Y:Y,MATCH('001_population_health_zone_zs'!$B$2,[1]ratio_ins!$B:$B,0))*$G251*INDEX([1]ratio_ins!$C:$C,MATCH('001_population_health_zone_zs'!$B251,[1]ratio_ins!$B:$B,0))</f>
        <v>48.418704000000005</v>
      </c>
      <c r="AB251" s="11">
        <f>INDEX([1]ratio_ins!Z:Z,MATCH('001_population_health_zone_zs'!$B$2,[1]ratio_ins!$B:$B,0))*$G251*INDEX([1]ratio_ins!$C:$C,MATCH('001_population_health_zone_zs'!$B251,[1]ratio_ins!$B:$B,0))</f>
        <v>629.44315200000017</v>
      </c>
      <c r="AC251" s="12">
        <f t="shared" si="18"/>
        <v>24209.351999999999</v>
      </c>
      <c r="AD251" s="10">
        <f>INDEX([1]ratio_ins!AA:AA,MATCH('001_population_health_zone_zs'!$B$2,[1]ratio_ins!$B:$B,0))*$G251*INDEX([1]ratio_ins!$D:$D,MATCH('001_population_health_zone_zs'!$B251,[1]ratio_ins!$B:$B,0))</f>
        <v>5249.2960800000001</v>
      </c>
      <c r="AE251" s="10">
        <f>INDEX([1]ratio_ins!AB:AB,MATCH('001_population_health_zone_zs'!$B$2,[1]ratio_ins!$B:$B,0))*$G251*INDEX([1]ratio_ins!$D:$D,MATCH('001_population_health_zone_zs'!$B251,[1]ratio_ins!$B:$B,0))</f>
        <v>4324.4201040000007</v>
      </c>
      <c r="AF251" s="10">
        <f>INDEX([1]ratio_ins!AC:AC,MATCH('001_population_health_zone_zs'!$B$2,[1]ratio_ins!$B:$B,0))*$G251*INDEX([1]ratio_ins!$D:$D,MATCH('001_population_health_zone_zs'!$B251,[1]ratio_ins!$B:$B,0))</f>
        <v>3424.5407759999994</v>
      </c>
      <c r="AG251" s="10">
        <f>INDEX([1]ratio_ins!AD:AD,MATCH('001_population_health_zone_zs'!$B$2,[1]ratio_ins!$B:$B,0))*$G251*INDEX([1]ratio_ins!$D:$D,MATCH('001_population_health_zone_zs'!$B251,[1]ratio_ins!$B:$B,0))</f>
        <v>2074.7217840000003</v>
      </c>
      <c r="AH251" s="10">
        <f>INDEX([1]ratio_ins!AE:AE,MATCH('001_population_health_zone_zs'!$B$2,[1]ratio_ins!$B:$B,0))*$G251*INDEX([1]ratio_ins!$D:$D,MATCH('001_population_health_zone_zs'!$B251,[1]ratio_ins!$B:$B,0))</f>
        <v>1244.8330704</v>
      </c>
      <c r="AI251" s="13">
        <f>INDEX([1]ratio_ins!AF:AF,MATCH('001_population_health_zone_zs'!$B$2,[1]ratio_ins!$B:$B,0))*$G251*INDEX([1]ratio_ins!$D:$D,MATCH('001_population_health_zone_zs'!$B251,[1]ratio_ins!$B:$B,0))</f>
        <v>14243.090030400001</v>
      </c>
      <c r="AJ251" s="10">
        <f>INDEX([1]ratio_ins!AG:AG,MATCH('001_population_health_zone_zs'!$B$2,[1]ratio_ins!$B:$B,0))*$G251*INDEX([1]ratio_ins!$D:$D,MATCH('001_population_health_zone_zs'!$B251,[1]ratio_ins!$B:$B,0))</f>
        <v>829.88871360000007</v>
      </c>
      <c r="AK251" s="10">
        <f>INDEX([1]ratio_ins!AH:AH,MATCH('001_population_health_zone_zs'!$B$2,[1]ratio_ins!$B:$B,0))*$G251*INDEX([1]ratio_ins!$D:$D,MATCH('001_population_health_zone_zs'!$B251,[1]ratio_ins!$B:$B,0))</f>
        <v>1849.7519520000003</v>
      </c>
      <c r="AL251" s="10">
        <f>INDEX([1]ratio_ins!AI:AI,MATCH('001_population_health_zone_zs'!$B$2,[1]ratio_ins!$B:$B,0))*$G251*INDEX([1]ratio_ins!$D:$D,MATCH('001_population_health_zone_zs'!$B251,[1]ratio_ins!$B:$B,0))</f>
        <v>1749.7653600000003</v>
      </c>
      <c r="AM251" s="10">
        <f>INDEX([1]ratio_ins!AJ:AJ,MATCH('001_population_health_zone_zs'!$B$2,[1]ratio_ins!$B:$B,0))*$G251*INDEX([1]ratio_ins!$D:$D,MATCH('001_population_health_zone_zs'!$B251,[1]ratio_ins!$B:$B,0))</f>
        <v>1599.785472</v>
      </c>
      <c r="AN251" s="10">
        <f>INDEX([1]ratio_ins!AK:AK,MATCH('001_population_health_zone_zs'!$B$2,[1]ratio_ins!$B:$B,0))*$G251*INDEX([1]ratio_ins!$D:$D,MATCH('001_population_health_zone_zs'!$B251,[1]ratio_ins!$B:$B,0))</f>
        <v>1499.7988799999998</v>
      </c>
      <c r="AO251" s="10">
        <f>INDEX([1]ratio_ins!AL:AL,MATCH('001_population_health_zone_zs'!$B$2,[1]ratio_ins!$B:$B,0))*$G251*INDEX([1]ratio_ins!$D:$D,MATCH('001_population_health_zone_zs'!$B251,[1]ratio_ins!$B:$B,0))</f>
        <v>1124.84916</v>
      </c>
      <c r="AP251" s="10">
        <f>INDEX([1]ratio_ins!AM:AM,MATCH('001_population_health_zone_zs'!$B$2,[1]ratio_ins!$B:$B,0))*$G251*INDEX([1]ratio_ins!$D:$D,MATCH('001_population_health_zone_zs'!$B251,[1]ratio_ins!$B:$B,0))</f>
        <v>724.90279199999998</v>
      </c>
      <c r="AQ251" s="10">
        <f>INDEX([1]ratio_ins!AN:AN,MATCH('001_population_health_zone_zs'!$B$2,[1]ratio_ins!$B:$B,0))*$G251*INDEX([1]ratio_ins!$D:$D,MATCH('001_population_health_zone_zs'!$B251,[1]ratio_ins!$B:$B,0))</f>
        <v>574.92290400000002</v>
      </c>
      <c r="AR251" s="10">
        <f>INDEX([1]ratio_ins!AO:AO,MATCH('001_population_health_zone_zs'!$B$2,[1]ratio_ins!$B:$B,0))*$G251*INDEX([1]ratio_ins!$D:$D,MATCH('001_population_health_zone_zs'!$B251,[1]ratio_ins!$B:$B,0))</f>
        <v>274.96312800000004</v>
      </c>
      <c r="AS251" s="13">
        <f>INDEX([1]ratio_ins!AP:AP,MATCH('001_population_health_zone_zs'!$B$2,[1]ratio_ins!$B:$B,0))*$G251*INDEX([1]ratio_ins!$D:$D,MATCH('001_population_health_zone_zs'!$B251,[1]ratio_ins!$B:$B,0))</f>
        <v>10228.6283616</v>
      </c>
      <c r="AT251" s="10">
        <f>INDEX([1]ratio_ins!AQ:AQ,MATCH('001_population_health_zone_zs'!$B$2,[1]ratio_ins!$B:$B,0))*$G251*INDEX([1]ratio_ins!$D:$D,MATCH('001_population_health_zone_zs'!$B251,[1]ratio_ins!$B:$B,0))</f>
        <v>249.96648000000002</v>
      </c>
      <c r="AU251" s="10">
        <f>INDEX([1]ratio_ins!AR:AR,MATCH('001_population_health_zone_zs'!$B$2,[1]ratio_ins!$B:$B,0))*$G251*INDEX([1]ratio_ins!$D:$D,MATCH('001_population_health_zone_zs'!$B251,[1]ratio_ins!$B:$B,0))</f>
        <v>149.97988799999999</v>
      </c>
      <c r="AV251" s="10">
        <f>INDEX([1]ratio_ins!AS:AS,MATCH('001_population_health_zone_zs'!$B$2,[1]ratio_ins!$B:$B,0))*$G251*INDEX([1]ratio_ins!$D:$D,MATCH('001_population_health_zone_zs'!$B251,[1]ratio_ins!$B:$B,0))</f>
        <v>74.989943999999994</v>
      </c>
      <c r="AW251" s="10">
        <f>INDEX([1]ratio_ins!AT:AT,MATCH('001_population_health_zone_zs'!$B$2,[1]ratio_ins!$B:$B,0))*$G251*INDEX([1]ratio_ins!$D:$D,MATCH('001_population_health_zone_zs'!$B251,[1]ratio_ins!$B:$B,0))</f>
        <v>49.993296000000001</v>
      </c>
      <c r="AX251" s="13">
        <f>INDEX([1]ratio_ins!AU:AU,MATCH('001_population_health_zone_zs'!$B$2,[1]ratio_ins!$B:$B,0))*$G251*INDEX([1]ratio_ins!$D:$D,MATCH('001_population_health_zone_zs'!$B251,[1]ratio_ins!$B:$B,0))</f>
        <v>524.92960799999992</v>
      </c>
      <c r="AY251" s="14">
        <f t="shared" si="19"/>
        <v>24996.648000000001</v>
      </c>
      <c r="AZ251" s="15">
        <f t="shared" si="20"/>
        <v>49206</v>
      </c>
      <c r="BA251" s="16">
        <v>47868.280002283958</v>
      </c>
      <c r="BB251" s="10">
        <f t="shared" si="21"/>
        <v>10623.575400000002</v>
      </c>
      <c r="BC251" s="17">
        <f t="shared" si="22"/>
        <v>0.21590000000000004</v>
      </c>
      <c r="BD251" s="10">
        <f t="shared" si="23"/>
        <v>10095.299784000003</v>
      </c>
    </row>
    <row r="252" spans="1:56" x14ac:dyDescent="0.25">
      <c r="A252" s="8" t="s">
        <v>590</v>
      </c>
      <c r="B252" s="8" t="s">
        <v>591</v>
      </c>
      <c r="C252" s="8" t="s">
        <v>615</v>
      </c>
      <c r="D252" s="8" t="s">
        <v>616</v>
      </c>
      <c r="E252" s="8" t="s">
        <v>629</v>
      </c>
      <c r="F252" s="8" t="s">
        <v>630</v>
      </c>
      <c r="G252" s="9">
        <v>129824</v>
      </c>
      <c r="H252" s="10">
        <f>INDEX([1]ratio_ins!F:F,MATCH('001_population_health_zone_zs'!$B$2,[1]ratio_ins!$B:$B,0))*$G252*INDEX([1]ratio_ins!$C:$C,MATCH('001_population_health_zone_zs'!$B252,[1]ratio_ins!$B:$B,0))</f>
        <v>13349.542272000001</v>
      </c>
      <c r="I252" s="10">
        <f>INDEX([1]ratio_ins!G:G,MATCH('001_population_health_zone_zs'!$B$2,[1]ratio_ins!$B:$B,0))*$G252*INDEX([1]ratio_ins!$C:$C,MATCH('001_population_health_zone_zs'!$B252,[1]ratio_ins!$B:$B,0))</f>
        <v>10922.352768000002</v>
      </c>
      <c r="J252" s="10">
        <f>INDEX([1]ratio_ins!H:H,MATCH('001_population_health_zone_zs'!$B$2,[1]ratio_ins!$B:$B,0))*$G252*INDEX([1]ratio_ins!$C:$C,MATCH('001_population_health_zone_zs'!$B252,[1]ratio_ins!$B:$B,0))</f>
        <v>8622.9100800000015</v>
      </c>
      <c r="K252" s="10">
        <f>INDEX([1]ratio_ins!I:I,MATCH('001_population_health_zone_zs'!$B$2,[1]ratio_ins!$B:$B,0))*$G252*INDEX([1]ratio_ins!$C:$C,MATCH('001_population_health_zone_zs'!$B252,[1]ratio_ins!$B:$B,0))</f>
        <v>5301.4928640000007</v>
      </c>
      <c r="L252" s="10">
        <f>INDEX([1]ratio_ins!J:J,MATCH('001_population_health_zone_zs'!$B$2,[1]ratio_ins!$B:$B,0))*$G252*INDEX([1]ratio_ins!$C:$C,MATCH('001_population_health_zone_zs'!$B252,[1]ratio_ins!$B:$B,0))</f>
        <v>3180.8957184000001</v>
      </c>
      <c r="M252" s="11">
        <f>INDEX([1]ratio_ins!K:K,MATCH('001_population_health_zone_zs'!$B$2,[1]ratio_ins!$B:$B,0))*$G252*INDEX([1]ratio_ins!$C:$C,MATCH('001_population_health_zone_zs'!$B252,[1]ratio_ins!$B:$B,0))</f>
        <v>36075.7008384</v>
      </c>
      <c r="N252" s="10">
        <f>INDEX([1]ratio_ins!L:L,MATCH('001_population_health_zone_zs'!$B$2,[1]ratio_ins!$B:$B,0))*$G252*INDEX([1]ratio_ins!$C:$C,MATCH('001_population_health_zone_zs'!$B252,[1]ratio_ins!$B:$B,0))</f>
        <v>2120.5971456000002</v>
      </c>
      <c r="O252" s="10">
        <f>INDEX([1]ratio_ins!M:M,MATCH('001_population_health_zone_zs'!$B$2,[1]ratio_ins!$B:$B,0))*$G252*INDEX([1]ratio_ins!$C:$C,MATCH('001_population_health_zone_zs'!$B252,[1]ratio_ins!$B:$B,0))</f>
        <v>4598.8853760000011</v>
      </c>
      <c r="P252" s="10">
        <f>INDEX([1]ratio_ins!N:N,MATCH('001_population_health_zone_zs'!$B$2,[1]ratio_ins!$B:$B,0))*$G252*INDEX([1]ratio_ins!$C:$C,MATCH('001_population_health_zone_zs'!$B252,[1]ratio_ins!$B:$B,0))</f>
        <v>4151.7715200000002</v>
      </c>
      <c r="Q252" s="10">
        <f>INDEX([1]ratio_ins!O:O,MATCH('001_population_health_zone_zs'!$B$2,[1]ratio_ins!$B:$B,0))*$G252*INDEX([1]ratio_ins!$C:$C,MATCH('001_population_health_zone_zs'!$B252,[1]ratio_ins!$B:$B,0))</f>
        <v>3704.6576640000003</v>
      </c>
      <c r="R252" s="10">
        <f>INDEX([1]ratio_ins!P:P,MATCH('001_population_health_zone_zs'!$B$2,[1]ratio_ins!$B:$B,0))*$G252*INDEX([1]ratio_ins!$C:$C,MATCH('001_population_health_zone_zs'!$B252,[1]ratio_ins!$B:$B,0))</f>
        <v>3640.7842560000004</v>
      </c>
      <c r="S252" s="10">
        <f>INDEX([1]ratio_ins!Q:Q,MATCH('001_population_health_zone_zs'!$B$2,[1]ratio_ins!$B:$B,0))*$G252*INDEX([1]ratio_ins!$C:$C,MATCH('001_population_health_zone_zs'!$B252,[1]ratio_ins!$B:$B,0))</f>
        <v>3065.9235840000001</v>
      </c>
      <c r="T252" s="10">
        <f>INDEX([1]ratio_ins!R:R,MATCH('001_population_health_zone_zs'!$B$2,[1]ratio_ins!$B:$B,0))*$G252*INDEX([1]ratio_ins!$C:$C,MATCH('001_population_health_zone_zs'!$B252,[1]ratio_ins!$B:$B,0))</f>
        <v>2171.6958720000007</v>
      </c>
      <c r="U252" s="10">
        <f>INDEX([1]ratio_ins!S:S,MATCH('001_population_health_zone_zs'!$B$2,[1]ratio_ins!$B:$B,0))*$G252*INDEX([1]ratio_ins!$C:$C,MATCH('001_population_health_zone_zs'!$B252,[1]ratio_ins!$B:$B,0))</f>
        <v>1724.5820160000005</v>
      </c>
      <c r="V252" s="10">
        <f>INDEX([1]ratio_ins!T:T,MATCH('001_population_health_zone_zs'!$B$2,[1]ratio_ins!$B:$B,0))*$G252*INDEX([1]ratio_ins!$C:$C,MATCH('001_population_health_zone_zs'!$B252,[1]ratio_ins!$B:$B,0))</f>
        <v>958.10112000000004</v>
      </c>
      <c r="W252" s="11">
        <f>INDEX([1]ratio_ins!U:U,MATCH('001_population_health_zone_zs'!$B$2,[1]ratio_ins!$B:$B,0))*$G252*INDEX([1]ratio_ins!$C:$C,MATCH('001_population_health_zone_zs'!$B252,[1]ratio_ins!$B:$B,0))</f>
        <v>26136.998553600002</v>
      </c>
      <c r="X252" s="10">
        <f>INDEX([1]ratio_ins!V:V,MATCH('001_population_health_zone_zs'!$B$2,[1]ratio_ins!$B:$B,0))*$G252*INDEX([1]ratio_ins!$C:$C,MATCH('001_population_health_zone_zs'!$B252,[1]ratio_ins!$B:$B,0))</f>
        <v>766.48089600000003</v>
      </c>
      <c r="Y252" s="10">
        <f>INDEX([1]ratio_ins!W:W,MATCH('001_population_health_zone_zs'!$B$2,[1]ratio_ins!$B:$B,0))*$G252*INDEX([1]ratio_ins!$C:$C,MATCH('001_population_health_zone_zs'!$B252,[1]ratio_ins!$B:$B,0))</f>
        <v>510.9872640000001</v>
      </c>
      <c r="Z252" s="10">
        <f>INDEX([1]ratio_ins!X:X,MATCH('001_population_health_zone_zs'!$B$2,[1]ratio_ins!$B:$B,0))*$G252*INDEX([1]ratio_ins!$C:$C,MATCH('001_population_health_zone_zs'!$B252,[1]ratio_ins!$B:$B,0))</f>
        <v>255.49363200000005</v>
      </c>
      <c r="AA252" s="10">
        <f>INDEX([1]ratio_ins!Y:Y,MATCH('001_population_health_zone_zs'!$B$2,[1]ratio_ins!$B:$B,0))*$G252*INDEX([1]ratio_ins!$C:$C,MATCH('001_population_health_zone_zs'!$B252,[1]ratio_ins!$B:$B,0))</f>
        <v>127.74681600000002</v>
      </c>
      <c r="AB252" s="11">
        <f>INDEX([1]ratio_ins!Z:Z,MATCH('001_population_health_zone_zs'!$B$2,[1]ratio_ins!$B:$B,0))*$G252*INDEX([1]ratio_ins!$C:$C,MATCH('001_population_health_zone_zs'!$B252,[1]ratio_ins!$B:$B,0))</f>
        <v>1660.7086080000004</v>
      </c>
      <c r="AC252" s="12">
        <f t="shared" si="18"/>
        <v>63873.408000000003</v>
      </c>
      <c r="AD252" s="10">
        <f>INDEX([1]ratio_ins!AA:AA,MATCH('001_population_health_zone_zs'!$B$2,[1]ratio_ins!$B:$B,0))*$G252*INDEX([1]ratio_ins!$D:$D,MATCH('001_population_health_zone_zs'!$B252,[1]ratio_ins!$B:$B,0))</f>
        <v>13849.624319999999</v>
      </c>
      <c r="AE252" s="10">
        <f>INDEX([1]ratio_ins!AB:AB,MATCH('001_population_health_zone_zs'!$B$2,[1]ratio_ins!$B:$B,0))*$G252*INDEX([1]ratio_ins!$D:$D,MATCH('001_population_health_zone_zs'!$B252,[1]ratio_ins!$B:$B,0))</f>
        <v>11409.452416000002</v>
      </c>
      <c r="AF252" s="10">
        <f>INDEX([1]ratio_ins!AC:AC,MATCH('001_population_health_zone_zs'!$B$2,[1]ratio_ins!$B:$B,0))*$G252*INDEX([1]ratio_ins!$D:$D,MATCH('001_population_health_zone_zs'!$B252,[1]ratio_ins!$B:$B,0))</f>
        <v>9035.2311040000004</v>
      </c>
      <c r="AG252" s="10">
        <f>INDEX([1]ratio_ins!AD:AD,MATCH('001_population_health_zone_zs'!$B$2,[1]ratio_ins!$B:$B,0))*$G252*INDEX([1]ratio_ins!$D:$D,MATCH('001_population_health_zone_zs'!$B252,[1]ratio_ins!$B:$B,0))</f>
        <v>5473.899136</v>
      </c>
      <c r="AH252" s="10">
        <f>INDEX([1]ratio_ins!AE:AE,MATCH('001_population_health_zone_zs'!$B$2,[1]ratio_ins!$B:$B,0))*$G252*INDEX([1]ratio_ins!$D:$D,MATCH('001_population_health_zone_zs'!$B252,[1]ratio_ins!$B:$B,0))</f>
        <v>3284.3394815999995</v>
      </c>
      <c r="AI252" s="13">
        <f>INDEX([1]ratio_ins!AF:AF,MATCH('001_population_health_zone_zs'!$B$2,[1]ratio_ins!$B:$B,0))*$G252*INDEX([1]ratio_ins!$D:$D,MATCH('001_population_health_zone_zs'!$B252,[1]ratio_ins!$B:$B,0))</f>
        <v>37578.647321599994</v>
      </c>
      <c r="AJ252" s="10">
        <f>INDEX([1]ratio_ins!AG:AG,MATCH('001_population_health_zone_zs'!$B$2,[1]ratio_ins!$B:$B,0))*$G252*INDEX([1]ratio_ins!$D:$D,MATCH('001_population_health_zone_zs'!$B252,[1]ratio_ins!$B:$B,0))</f>
        <v>2189.5596544</v>
      </c>
      <c r="AK252" s="10">
        <f>INDEX([1]ratio_ins!AH:AH,MATCH('001_population_health_zone_zs'!$B$2,[1]ratio_ins!$B:$B,0))*$G252*INDEX([1]ratio_ins!$D:$D,MATCH('001_population_health_zone_zs'!$B252,[1]ratio_ins!$B:$B,0))</f>
        <v>4880.3438080000005</v>
      </c>
      <c r="AL252" s="10">
        <f>INDEX([1]ratio_ins!AI:AI,MATCH('001_population_health_zone_zs'!$B$2,[1]ratio_ins!$B:$B,0))*$G252*INDEX([1]ratio_ins!$D:$D,MATCH('001_population_health_zone_zs'!$B252,[1]ratio_ins!$B:$B,0))</f>
        <v>4616.54144</v>
      </c>
      <c r="AM252" s="10">
        <f>INDEX([1]ratio_ins!AJ:AJ,MATCH('001_population_health_zone_zs'!$B$2,[1]ratio_ins!$B:$B,0))*$G252*INDEX([1]ratio_ins!$D:$D,MATCH('001_population_health_zone_zs'!$B252,[1]ratio_ins!$B:$B,0))</f>
        <v>4220.837888</v>
      </c>
      <c r="AN252" s="10">
        <f>INDEX([1]ratio_ins!AK:AK,MATCH('001_population_health_zone_zs'!$B$2,[1]ratio_ins!$B:$B,0))*$G252*INDEX([1]ratio_ins!$D:$D,MATCH('001_population_health_zone_zs'!$B252,[1]ratio_ins!$B:$B,0))</f>
        <v>3957.0355199999999</v>
      </c>
      <c r="AO252" s="10">
        <f>INDEX([1]ratio_ins!AL:AL,MATCH('001_population_health_zone_zs'!$B$2,[1]ratio_ins!$B:$B,0))*$G252*INDEX([1]ratio_ins!$D:$D,MATCH('001_population_health_zone_zs'!$B252,[1]ratio_ins!$B:$B,0))</f>
        <v>2967.77664</v>
      </c>
      <c r="AP252" s="10">
        <f>INDEX([1]ratio_ins!AM:AM,MATCH('001_population_health_zone_zs'!$B$2,[1]ratio_ins!$B:$B,0))*$G252*INDEX([1]ratio_ins!$D:$D,MATCH('001_population_health_zone_zs'!$B252,[1]ratio_ins!$B:$B,0))</f>
        <v>1912.5671679999998</v>
      </c>
      <c r="AQ252" s="10">
        <f>INDEX([1]ratio_ins!AN:AN,MATCH('001_population_health_zone_zs'!$B$2,[1]ratio_ins!$B:$B,0))*$G252*INDEX([1]ratio_ins!$D:$D,MATCH('001_population_health_zone_zs'!$B252,[1]ratio_ins!$B:$B,0))</f>
        <v>1516.8636159999999</v>
      </c>
      <c r="AR252" s="10">
        <f>INDEX([1]ratio_ins!AO:AO,MATCH('001_population_health_zone_zs'!$B$2,[1]ratio_ins!$B:$B,0))*$G252*INDEX([1]ratio_ins!$D:$D,MATCH('001_population_health_zone_zs'!$B252,[1]ratio_ins!$B:$B,0))</f>
        <v>725.45651200000009</v>
      </c>
      <c r="AS252" s="13">
        <f>INDEX([1]ratio_ins!AP:AP,MATCH('001_population_health_zone_zs'!$B$2,[1]ratio_ins!$B:$B,0))*$G252*INDEX([1]ratio_ins!$D:$D,MATCH('001_population_health_zone_zs'!$B252,[1]ratio_ins!$B:$B,0))</f>
        <v>26986.982246399999</v>
      </c>
      <c r="AT252" s="10">
        <f>INDEX([1]ratio_ins!AQ:AQ,MATCH('001_population_health_zone_zs'!$B$2,[1]ratio_ins!$B:$B,0))*$G252*INDEX([1]ratio_ins!$D:$D,MATCH('001_population_health_zone_zs'!$B252,[1]ratio_ins!$B:$B,0))</f>
        <v>659.50592000000006</v>
      </c>
      <c r="AU252" s="10">
        <f>INDEX([1]ratio_ins!AR:AR,MATCH('001_population_health_zone_zs'!$B$2,[1]ratio_ins!$B:$B,0))*$G252*INDEX([1]ratio_ins!$D:$D,MATCH('001_population_health_zone_zs'!$B252,[1]ratio_ins!$B:$B,0))</f>
        <v>395.703552</v>
      </c>
      <c r="AV252" s="10">
        <f>INDEX([1]ratio_ins!AS:AS,MATCH('001_population_health_zone_zs'!$B$2,[1]ratio_ins!$B:$B,0))*$G252*INDEX([1]ratio_ins!$D:$D,MATCH('001_population_health_zone_zs'!$B252,[1]ratio_ins!$B:$B,0))</f>
        <v>197.851776</v>
      </c>
      <c r="AW252" s="10">
        <f>INDEX([1]ratio_ins!AT:AT,MATCH('001_population_health_zone_zs'!$B$2,[1]ratio_ins!$B:$B,0))*$G252*INDEX([1]ratio_ins!$D:$D,MATCH('001_population_health_zone_zs'!$B252,[1]ratio_ins!$B:$B,0))</f>
        <v>131.901184</v>
      </c>
      <c r="AX252" s="13">
        <f>INDEX([1]ratio_ins!AU:AU,MATCH('001_population_health_zone_zs'!$B$2,[1]ratio_ins!$B:$B,0))*$G252*INDEX([1]ratio_ins!$D:$D,MATCH('001_population_health_zone_zs'!$B252,[1]ratio_ins!$B:$B,0))</f>
        <v>1384.9624319999998</v>
      </c>
      <c r="AY252" s="14">
        <f t="shared" si="19"/>
        <v>65950.59199999999</v>
      </c>
      <c r="AZ252" s="15">
        <f t="shared" si="20"/>
        <v>129824</v>
      </c>
      <c r="BA252" s="16">
        <v>126293.74248040667</v>
      </c>
      <c r="BB252" s="10">
        <f t="shared" si="21"/>
        <v>28029.001600000003</v>
      </c>
      <c r="BC252" s="17">
        <f t="shared" si="22"/>
        <v>0.21590000000000004</v>
      </c>
      <c r="BD252" s="10">
        <f t="shared" si="23"/>
        <v>26635.211136000002</v>
      </c>
    </row>
    <row r="253" spans="1:56" x14ac:dyDescent="0.25">
      <c r="A253" s="8" t="s">
        <v>590</v>
      </c>
      <c r="B253" s="8" t="s">
        <v>591</v>
      </c>
      <c r="C253" s="8" t="s">
        <v>615</v>
      </c>
      <c r="D253" s="8" t="s">
        <v>616</v>
      </c>
      <c r="E253" s="8" t="s">
        <v>631</v>
      </c>
      <c r="F253" s="8" t="s">
        <v>632</v>
      </c>
      <c r="G253" s="9">
        <v>112821</v>
      </c>
      <c r="H253" s="10">
        <f>INDEX([1]ratio_ins!F:F,MATCH('001_population_health_zone_zs'!$B$2,[1]ratio_ins!$B:$B,0))*$G253*INDEX([1]ratio_ins!$C:$C,MATCH('001_population_health_zone_zs'!$B253,[1]ratio_ins!$B:$B,0))</f>
        <v>11601.157788</v>
      </c>
      <c r="I253" s="10">
        <f>INDEX([1]ratio_ins!G:G,MATCH('001_population_health_zone_zs'!$B$2,[1]ratio_ins!$B:$B,0))*$G253*INDEX([1]ratio_ins!$C:$C,MATCH('001_population_health_zone_zs'!$B253,[1]ratio_ins!$B:$B,0))</f>
        <v>9491.856372000002</v>
      </c>
      <c r="J253" s="10">
        <f>INDEX([1]ratio_ins!H:H,MATCH('001_population_health_zone_zs'!$B$2,[1]ratio_ins!$B:$B,0))*$G253*INDEX([1]ratio_ins!$C:$C,MATCH('001_population_health_zone_zs'!$B253,[1]ratio_ins!$B:$B,0))</f>
        <v>7493.5708200000008</v>
      </c>
      <c r="K253" s="10">
        <f>INDEX([1]ratio_ins!I:I,MATCH('001_population_health_zone_zs'!$B$2,[1]ratio_ins!$B:$B,0))*$G253*INDEX([1]ratio_ins!$C:$C,MATCH('001_population_health_zone_zs'!$B253,[1]ratio_ins!$B:$B,0))</f>
        <v>4607.1583560000008</v>
      </c>
      <c r="L253" s="10">
        <f>INDEX([1]ratio_ins!J:J,MATCH('001_population_health_zone_zs'!$B$2,[1]ratio_ins!$B:$B,0))*$G253*INDEX([1]ratio_ins!$C:$C,MATCH('001_population_health_zone_zs'!$B253,[1]ratio_ins!$B:$B,0))</f>
        <v>2764.2950135999999</v>
      </c>
      <c r="M253" s="11">
        <f>INDEX([1]ratio_ins!K:K,MATCH('001_population_health_zone_zs'!$B$2,[1]ratio_ins!$B:$B,0))*$G253*INDEX([1]ratio_ins!$C:$C,MATCH('001_population_health_zone_zs'!$B253,[1]ratio_ins!$B:$B,0))</f>
        <v>31350.879993600003</v>
      </c>
      <c r="N253" s="10">
        <f>INDEX([1]ratio_ins!L:L,MATCH('001_population_health_zone_zs'!$B$2,[1]ratio_ins!$B:$B,0))*$G253*INDEX([1]ratio_ins!$C:$C,MATCH('001_population_health_zone_zs'!$B253,[1]ratio_ins!$B:$B,0))</f>
        <v>1842.8633424000002</v>
      </c>
      <c r="O253" s="10">
        <f>INDEX([1]ratio_ins!M:M,MATCH('001_population_health_zone_zs'!$B$2,[1]ratio_ins!$B:$B,0))*$G253*INDEX([1]ratio_ins!$C:$C,MATCH('001_population_health_zone_zs'!$B253,[1]ratio_ins!$B:$B,0))</f>
        <v>3996.571104000001</v>
      </c>
      <c r="P253" s="10">
        <f>INDEX([1]ratio_ins!N:N,MATCH('001_population_health_zone_zs'!$B$2,[1]ratio_ins!$B:$B,0))*$G253*INDEX([1]ratio_ins!$C:$C,MATCH('001_population_health_zone_zs'!$B253,[1]ratio_ins!$B:$B,0))</f>
        <v>3608.0155800000007</v>
      </c>
      <c r="Q253" s="10">
        <f>INDEX([1]ratio_ins!O:O,MATCH('001_population_health_zone_zs'!$B$2,[1]ratio_ins!$B:$B,0))*$G253*INDEX([1]ratio_ins!$C:$C,MATCH('001_population_health_zone_zs'!$B253,[1]ratio_ins!$B:$B,0))</f>
        <v>3219.4600559999999</v>
      </c>
      <c r="R253" s="10">
        <f>INDEX([1]ratio_ins!P:P,MATCH('001_population_health_zone_zs'!$B$2,[1]ratio_ins!$B:$B,0))*$G253*INDEX([1]ratio_ins!$C:$C,MATCH('001_population_health_zone_zs'!$B253,[1]ratio_ins!$B:$B,0))</f>
        <v>3163.9521240000004</v>
      </c>
      <c r="S253" s="10">
        <f>INDEX([1]ratio_ins!Q:Q,MATCH('001_population_health_zone_zs'!$B$2,[1]ratio_ins!$B:$B,0))*$G253*INDEX([1]ratio_ins!$C:$C,MATCH('001_population_health_zone_zs'!$B253,[1]ratio_ins!$B:$B,0))</f>
        <v>2664.3807360000005</v>
      </c>
      <c r="T253" s="10">
        <f>INDEX([1]ratio_ins!R:R,MATCH('001_population_health_zone_zs'!$B$2,[1]ratio_ins!$B:$B,0))*$G253*INDEX([1]ratio_ins!$C:$C,MATCH('001_population_health_zone_zs'!$B253,[1]ratio_ins!$B:$B,0))</f>
        <v>1887.2696880000003</v>
      </c>
      <c r="U253" s="10">
        <f>INDEX([1]ratio_ins!S:S,MATCH('001_population_health_zone_zs'!$B$2,[1]ratio_ins!$B:$B,0))*$G253*INDEX([1]ratio_ins!$C:$C,MATCH('001_population_health_zone_zs'!$B253,[1]ratio_ins!$B:$B,0))</f>
        <v>1498.7141640000004</v>
      </c>
      <c r="V253" s="10">
        <f>INDEX([1]ratio_ins!T:T,MATCH('001_population_health_zone_zs'!$B$2,[1]ratio_ins!$B:$B,0))*$G253*INDEX([1]ratio_ins!$C:$C,MATCH('001_population_health_zone_zs'!$B253,[1]ratio_ins!$B:$B,0))</f>
        <v>832.61897999999997</v>
      </c>
      <c r="W253" s="11">
        <f>INDEX([1]ratio_ins!U:U,MATCH('001_population_health_zone_zs'!$B$2,[1]ratio_ins!$B:$B,0))*$G253*INDEX([1]ratio_ins!$C:$C,MATCH('001_population_health_zone_zs'!$B253,[1]ratio_ins!$B:$B,0))</f>
        <v>22713.845774400001</v>
      </c>
      <c r="X253" s="10">
        <f>INDEX([1]ratio_ins!V:V,MATCH('001_population_health_zone_zs'!$B$2,[1]ratio_ins!$B:$B,0))*$G253*INDEX([1]ratio_ins!$C:$C,MATCH('001_population_health_zone_zs'!$B253,[1]ratio_ins!$B:$B,0))</f>
        <v>666.09518400000013</v>
      </c>
      <c r="Y253" s="10">
        <f>INDEX([1]ratio_ins!W:W,MATCH('001_population_health_zone_zs'!$B$2,[1]ratio_ins!$B:$B,0))*$G253*INDEX([1]ratio_ins!$C:$C,MATCH('001_population_health_zone_zs'!$B253,[1]ratio_ins!$B:$B,0))</f>
        <v>444.06345600000003</v>
      </c>
      <c r="Z253" s="10">
        <f>INDEX([1]ratio_ins!X:X,MATCH('001_population_health_zone_zs'!$B$2,[1]ratio_ins!$B:$B,0))*$G253*INDEX([1]ratio_ins!$C:$C,MATCH('001_population_health_zone_zs'!$B253,[1]ratio_ins!$B:$B,0))</f>
        <v>222.03172800000002</v>
      </c>
      <c r="AA253" s="10">
        <f>INDEX([1]ratio_ins!Y:Y,MATCH('001_population_health_zone_zs'!$B$2,[1]ratio_ins!$B:$B,0))*$G253*INDEX([1]ratio_ins!$C:$C,MATCH('001_population_health_zone_zs'!$B253,[1]ratio_ins!$B:$B,0))</f>
        <v>111.01586400000001</v>
      </c>
      <c r="AB253" s="11">
        <f>INDEX([1]ratio_ins!Z:Z,MATCH('001_population_health_zone_zs'!$B$2,[1]ratio_ins!$B:$B,0))*$G253*INDEX([1]ratio_ins!$C:$C,MATCH('001_population_health_zone_zs'!$B253,[1]ratio_ins!$B:$B,0))</f>
        <v>1443.2062320000005</v>
      </c>
      <c r="AC253" s="12">
        <f t="shared" si="18"/>
        <v>55507.932000000001</v>
      </c>
      <c r="AD253" s="10">
        <f>INDEX([1]ratio_ins!AA:AA,MATCH('001_population_health_zone_zs'!$B$2,[1]ratio_ins!$B:$B,0))*$G253*INDEX([1]ratio_ins!$D:$D,MATCH('001_population_health_zone_zs'!$B253,[1]ratio_ins!$B:$B,0))</f>
        <v>12035.744280000001</v>
      </c>
      <c r="AE253" s="10">
        <f>INDEX([1]ratio_ins!AB:AB,MATCH('001_population_health_zone_zs'!$B$2,[1]ratio_ins!$B:$B,0))*$G253*INDEX([1]ratio_ins!$D:$D,MATCH('001_population_health_zone_zs'!$B253,[1]ratio_ins!$B:$B,0))</f>
        <v>9915.160764000002</v>
      </c>
      <c r="AF253" s="10">
        <f>INDEX([1]ratio_ins!AC:AC,MATCH('001_population_health_zone_zs'!$B$2,[1]ratio_ins!$B:$B,0))*$G253*INDEX([1]ratio_ins!$D:$D,MATCH('001_population_health_zone_zs'!$B253,[1]ratio_ins!$B:$B,0))</f>
        <v>7851.890316</v>
      </c>
      <c r="AG253" s="10">
        <f>INDEX([1]ratio_ins!AD:AD,MATCH('001_population_health_zone_zs'!$B$2,[1]ratio_ins!$B:$B,0))*$G253*INDEX([1]ratio_ins!$D:$D,MATCH('001_population_health_zone_zs'!$B253,[1]ratio_ins!$B:$B,0))</f>
        <v>4756.9846440000001</v>
      </c>
      <c r="AH253" s="10">
        <f>INDEX([1]ratio_ins!AE:AE,MATCH('001_population_health_zone_zs'!$B$2,[1]ratio_ins!$B:$B,0))*$G253*INDEX([1]ratio_ins!$D:$D,MATCH('001_population_health_zone_zs'!$B253,[1]ratio_ins!$B:$B,0))</f>
        <v>2854.1907864</v>
      </c>
      <c r="AI253" s="13">
        <f>INDEX([1]ratio_ins!AF:AF,MATCH('001_population_health_zone_zs'!$B$2,[1]ratio_ins!$B:$B,0))*$G253*INDEX([1]ratio_ins!$D:$D,MATCH('001_population_health_zone_zs'!$B253,[1]ratio_ins!$B:$B,0))</f>
        <v>32656.986146400002</v>
      </c>
      <c r="AJ253" s="10">
        <f>INDEX([1]ratio_ins!AG:AG,MATCH('001_population_health_zone_zs'!$B$2,[1]ratio_ins!$B:$B,0))*$G253*INDEX([1]ratio_ins!$D:$D,MATCH('001_population_health_zone_zs'!$B253,[1]ratio_ins!$B:$B,0))</f>
        <v>1902.7938576000001</v>
      </c>
      <c r="AK253" s="10">
        <f>INDEX([1]ratio_ins!AH:AH,MATCH('001_population_health_zone_zs'!$B$2,[1]ratio_ins!$B:$B,0))*$G253*INDEX([1]ratio_ins!$D:$D,MATCH('001_population_health_zone_zs'!$B253,[1]ratio_ins!$B:$B,0))</f>
        <v>4241.1670320000003</v>
      </c>
      <c r="AL253" s="10">
        <f>INDEX([1]ratio_ins!AI:AI,MATCH('001_population_health_zone_zs'!$B$2,[1]ratio_ins!$B:$B,0))*$G253*INDEX([1]ratio_ins!$D:$D,MATCH('001_population_health_zone_zs'!$B253,[1]ratio_ins!$B:$B,0))</f>
        <v>4011.9147600000006</v>
      </c>
      <c r="AM253" s="10">
        <f>INDEX([1]ratio_ins!AJ:AJ,MATCH('001_population_health_zone_zs'!$B$2,[1]ratio_ins!$B:$B,0))*$G253*INDEX([1]ratio_ins!$D:$D,MATCH('001_population_health_zone_zs'!$B253,[1]ratio_ins!$B:$B,0))</f>
        <v>3668.0363520000001</v>
      </c>
      <c r="AN253" s="10">
        <f>INDEX([1]ratio_ins!AK:AK,MATCH('001_population_health_zone_zs'!$B$2,[1]ratio_ins!$B:$B,0))*$G253*INDEX([1]ratio_ins!$D:$D,MATCH('001_population_health_zone_zs'!$B253,[1]ratio_ins!$B:$B,0))</f>
        <v>3438.7840799999999</v>
      </c>
      <c r="AO253" s="10">
        <f>INDEX([1]ratio_ins!AL:AL,MATCH('001_population_health_zone_zs'!$B$2,[1]ratio_ins!$B:$B,0))*$G253*INDEX([1]ratio_ins!$D:$D,MATCH('001_population_health_zone_zs'!$B253,[1]ratio_ins!$B:$B,0))</f>
        <v>2579.08806</v>
      </c>
      <c r="AP253" s="10">
        <f>INDEX([1]ratio_ins!AM:AM,MATCH('001_population_health_zone_zs'!$B$2,[1]ratio_ins!$B:$B,0))*$G253*INDEX([1]ratio_ins!$D:$D,MATCH('001_population_health_zone_zs'!$B253,[1]ratio_ins!$B:$B,0))</f>
        <v>1662.0789719999998</v>
      </c>
      <c r="AQ253" s="10">
        <f>INDEX([1]ratio_ins!AN:AN,MATCH('001_population_health_zone_zs'!$B$2,[1]ratio_ins!$B:$B,0))*$G253*INDEX([1]ratio_ins!$D:$D,MATCH('001_population_health_zone_zs'!$B253,[1]ratio_ins!$B:$B,0))</f>
        <v>1318.200564</v>
      </c>
      <c r="AR253" s="10">
        <f>INDEX([1]ratio_ins!AO:AO,MATCH('001_population_health_zone_zs'!$B$2,[1]ratio_ins!$B:$B,0))*$G253*INDEX([1]ratio_ins!$D:$D,MATCH('001_population_health_zone_zs'!$B253,[1]ratio_ins!$B:$B,0))</f>
        <v>630.44374800000014</v>
      </c>
      <c r="AS253" s="13">
        <f>INDEX([1]ratio_ins!AP:AP,MATCH('001_population_health_zone_zs'!$B$2,[1]ratio_ins!$B:$B,0))*$G253*INDEX([1]ratio_ins!$D:$D,MATCH('001_population_health_zone_zs'!$B253,[1]ratio_ins!$B:$B,0))</f>
        <v>23452.507425600001</v>
      </c>
      <c r="AT253" s="10">
        <f>INDEX([1]ratio_ins!AQ:AQ,MATCH('001_population_health_zone_zs'!$B$2,[1]ratio_ins!$B:$B,0))*$G253*INDEX([1]ratio_ins!$D:$D,MATCH('001_population_health_zone_zs'!$B253,[1]ratio_ins!$B:$B,0))</f>
        <v>573.13067999999998</v>
      </c>
      <c r="AU253" s="10">
        <f>INDEX([1]ratio_ins!AR:AR,MATCH('001_population_health_zone_zs'!$B$2,[1]ratio_ins!$B:$B,0))*$G253*INDEX([1]ratio_ins!$D:$D,MATCH('001_population_health_zone_zs'!$B253,[1]ratio_ins!$B:$B,0))</f>
        <v>343.87840800000004</v>
      </c>
      <c r="AV253" s="10">
        <f>INDEX([1]ratio_ins!AS:AS,MATCH('001_population_health_zone_zs'!$B$2,[1]ratio_ins!$B:$B,0))*$G253*INDEX([1]ratio_ins!$D:$D,MATCH('001_population_health_zone_zs'!$B253,[1]ratio_ins!$B:$B,0))</f>
        <v>171.93920400000002</v>
      </c>
      <c r="AW253" s="10">
        <f>INDEX([1]ratio_ins!AT:AT,MATCH('001_population_health_zone_zs'!$B$2,[1]ratio_ins!$B:$B,0))*$G253*INDEX([1]ratio_ins!$D:$D,MATCH('001_population_health_zone_zs'!$B253,[1]ratio_ins!$B:$B,0))</f>
        <v>114.626136</v>
      </c>
      <c r="AX253" s="13">
        <f>INDEX([1]ratio_ins!AU:AU,MATCH('001_population_health_zone_zs'!$B$2,[1]ratio_ins!$B:$B,0))*$G253*INDEX([1]ratio_ins!$D:$D,MATCH('001_population_health_zone_zs'!$B253,[1]ratio_ins!$B:$B,0))</f>
        <v>1203.5744279999997</v>
      </c>
      <c r="AY253" s="14">
        <f t="shared" si="19"/>
        <v>57313.068000000007</v>
      </c>
      <c r="AZ253" s="15">
        <f t="shared" si="20"/>
        <v>112821</v>
      </c>
      <c r="BA253" s="16">
        <v>109753.05800177313</v>
      </c>
      <c r="BB253" s="10">
        <f t="shared" si="21"/>
        <v>24358.053900000003</v>
      </c>
      <c r="BC253" s="17">
        <f t="shared" si="22"/>
        <v>0.21590000000000004</v>
      </c>
      <c r="BD253" s="10">
        <f t="shared" si="23"/>
        <v>23146.807644</v>
      </c>
    </row>
    <row r="254" spans="1:56" x14ac:dyDescent="0.25">
      <c r="A254" s="8" t="s">
        <v>590</v>
      </c>
      <c r="B254" s="8" t="s">
        <v>591</v>
      </c>
      <c r="C254" s="8" t="s">
        <v>615</v>
      </c>
      <c r="D254" s="8" t="s">
        <v>616</v>
      </c>
      <c r="E254" s="8" t="s">
        <v>633</v>
      </c>
      <c r="F254" s="8" t="s">
        <v>634</v>
      </c>
      <c r="G254" s="9">
        <v>81562</v>
      </c>
      <c r="H254" s="10">
        <f>INDEX([1]ratio_ins!F:F,MATCH('001_population_health_zone_zs'!$B$2,[1]ratio_ins!$B:$B,0))*$G254*INDEX([1]ratio_ins!$C:$C,MATCH('001_population_health_zone_zs'!$B254,[1]ratio_ins!$B:$B,0))</f>
        <v>8386.8573360000009</v>
      </c>
      <c r="I254" s="10">
        <f>INDEX([1]ratio_ins!G:G,MATCH('001_population_health_zone_zs'!$B$2,[1]ratio_ins!$B:$B,0))*$G254*INDEX([1]ratio_ins!$C:$C,MATCH('001_population_health_zone_zs'!$B254,[1]ratio_ins!$B:$B,0))</f>
        <v>6861.9741840000006</v>
      </c>
      <c r="J254" s="10">
        <f>INDEX([1]ratio_ins!H:H,MATCH('001_population_health_zone_zs'!$B$2,[1]ratio_ins!$B:$B,0))*$G254*INDEX([1]ratio_ins!$C:$C,MATCH('001_population_health_zone_zs'!$B254,[1]ratio_ins!$B:$B,0))</f>
        <v>5417.3480400000008</v>
      </c>
      <c r="K254" s="10">
        <f>INDEX([1]ratio_ins!I:I,MATCH('001_population_health_zone_zs'!$B$2,[1]ratio_ins!$B:$B,0))*$G254*INDEX([1]ratio_ins!$C:$C,MATCH('001_population_health_zone_zs'!$B254,[1]ratio_ins!$B:$B,0))</f>
        <v>3330.6658320000006</v>
      </c>
      <c r="L254" s="10">
        <f>INDEX([1]ratio_ins!J:J,MATCH('001_population_health_zone_zs'!$B$2,[1]ratio_ins!$B:$B,0))*$G254*INDEX([1]ratio_ins!$C:$C,MATCH('001_population_health_zone_zs'!$B254,[1]ratio_ins!$B:$B,0))</f>
        <v>1998.3994992</v>
      </c>
      <c r="M254" s="11">
        <f>INDEX([1]ratio_ins!K:K,MATCH('001_population_health_zone_zs'!$B$2,[1]ratio_ins!$B:$B,0))*$G254*INDEX([1]ratio_ins!$C:$C,MATCH('001_population_health_zone_zs'!$B254,[1]ratio_ins!$B:$B,0))</f>
        <v>22664.579059200001</v>
      </c>
      <c r="N254" s="10">
        <f>INDEX([1]ratio_ins!L:L,MATCH('001_population_health_zone_zs'!$B$2,[1]ratio_ins!$B:$B,0))*$G254*INDEX([1]ratio_ins!$C:$C,MATCH('001_population_health_zone_zs'!$B254,[1]ratio_ins!$B:$B,0))</f>
        <v>1332.2663328000001</v>
      </c>
      <c r="O254" s="10">
        <f>INDEX([1]ratio_ins!M:M,MATCH('001_population_health_zone_zs'!$B$2,[1]ratio_ins!$B:$B,0))*$G254*INDEX([1]ratio_ins!$C:$C,MATCH('001_population_health_zone_zs'!$B254,[1]ratio_ins!$B:$B,0))</f>
        <v>2889.2522880000006</v>
      </c>
      <c r="P254" s="10">
        <f>INDEX([1]ratio_ins!N:N,MATCH('001_population_health_zone_zs'!$B$2,[1]ratio_ins!$B:$B,0))*$G254*INDEX([1]ratio_ins!$C:$C,MATCH('001_population_health_zone_zs'!$B254,[1]ratio_ins!$B:$B,0))</f>
        <v>2608.3527600000002</v>
      </c>
      <c r="Q254" s="10">
        <f>INDEX([1]ratio_ins!O:O,MATCH('001_population_health_zone_zs'!$B$2,[1]ratio_ins!$B:$B,0))*$G254*INDEX([1]ratio_ins!$C:$C,MATCH('001_population_health_zone_zs'!$B254,[1]ratio_ins!$B:$B,0))</f>
        <v>2327.4532319999998</v>
      </c>
      <c r="R254" s="10">
        <f>INDEX([1]ratio_ins!P:P,MATCH('001_population_health_zone_zs'!$B$2,[1]ratio_ins!$B:$B,0))*$G254*INDEX([1]ratio_ins!$C:$C,MATCH('001_population_health_zone_zs'!$B254,[1]ratio_ins!$B:$B,0))</f>
        <v>2287.3247280000005</v>
      </c>
      <c r="S254" s="10">
        <f>INDEX([1]ratio_ins!Q:Q,MATCH('001_population_health_zone_zs'!$B$2,[1]ratio_ins!$B:$B,0))*$G254*INDEX([1]ratio_ins!$C:$C,MATCH('001_population_health_zone_zs'!$B254,[1]ratio_ins!$B:$B,0))</f>
        <v>1926.1681920000003</v>
      </c>
      <c r="T254" s="10">
        <f>INDEX([1]ratio_ins!R:R,MATCH('001_population_health_zone_zs'!$B$2,[1]ratio_ins!$B:$B,0))*$G254*INDEX([1]ratio_ins!$C:$C,MATCH('001_population_health_zone_zs'!$B254,[1]ratio_ins!$B:$B,0))</f>
        <v>1364.3691360000003</v>
      </c>
      <c r="U254" s="10">
        <f>INDEX([1]ratio_ins!S:S,MATCH('001_population_health_zone_zs'!$B$2,[1]ratio_ins!$B:$B,0))*$G254*INDEX([1]ratio_ins!$C:$C,MATCH('001_population_health_zone_zs'!$B254,[1]ratio_ins!$B:$B,0))</f>
        <v>1083.4696080000003</v>
      </c>
      <c r="V254" s="10">
        <f>INDEX([1]ratio_ins!T:T,MATCH('001_population_health_zone_zs'!$B$2,[1]ratio_ins!$B:$B,0))*$G254*INDEX([1]ratio_ins!$C:$C,MATCH('001_population_health_zone_zs'!$B254,[1]ratio_ins!$B:$B,0))</f>
        <v>601.92756000000008</v>
      </c>
      <c r="W254" s="11">
        <f>INDEX([1]ratio_ins!U:U,MATCH('001_population_health_zone_zs'!$B$2,[1]ratio_ins!$B:$B,0))*$G254*INDEX([1]ratio_ins!$C:$C,MATCH('001_population_health_zone_zs'!$B254,[1]ratio_ins!$B:$B,0))</f>
        <v>16420.583836800004</v>
      </c>
      <c r="X254" s="10">
        <f>INDEX([1]ratio_ins!V:V,MATCH('001_population_health_zone_zs'!$B$2,[1]ratio_ins!$B:$B,0))*$G254*INDEX([1]ratio_ins!$C:$C,MATCH('001_population_health_zone_zs'!$B254,[1]ratio_ins!$B:$B,0))</f>
        <v>481.54204800000008</v>
      </c>
      <c r="Y254" s="10">
        <f>INDEX([1]ratio_ins!W:W,MATCH('001_population_health_zone_zs'!$B$2,[1]ratio_ins!$B:$B,0))*$G254*INDEX([1]ratio_ins!$C:$C,MATCH('001_population_health_zone_zs'!$B254,[1]ratio_ins!$B:$B,0))</f>
        <v>321.028032</v>
      </c>
      <c r="Z254" s="10">
        <f>INDEX([1]ratio_ins!X:X,MATCH('001_population_health_zone_zs'!$B$2,[1]ratio_ins!$B:$B,0))*$G254*INDEX([1]ratio_ins!$C:$C,MATCH('001_population_health_zone_zs'!$B254,[1]ratio_ins!$B:$B,0))</f>
        <v>160.514016</v>
      </c>
      <c r="AA254" s="10">
        <f>INDEX([1]ratio_ins!Y:Y,MATCH('001_population_health_zone_zs'!$B$2,[1]ratio_ins!$B:$B,0))*$G254*INDEX([1]ratio_ins!$C:$C,MATCH('001_population_health_zone_zs'!$B254,[1]ratio_ins!$B:$B,0))</f>
        <v>80.257007999999999</v>
      </c>
      <c r="AB254" s="11">
        <f>INDEX([1]ratio_ins!Z:Z,MATCH('001_population_health_zone_zs'!$B$2,[1]ratio_ins!$B:$B,0))*$G254*INDEX([1]ratio_ins!$C:$C,MATCH('001_population_health_zone_zs'!$B254,[1]ratio_ins!$B:$B,0))</f>
        <v>1043.3411040000001</v>
      </c>
      <c r="AC254" s="12">
        <f t="shared" si="18"/>
        <v>40128.504000000008</v>
      </c>
      <c r="AD254" s="10">
        <f>INDEX([1]ratio_ins!AA:AA,MATCH('001_population_health_zone_zs'!$B$2,[1]ratio_ins!$B:$B,0))*$G254*INDEX([1]ratio_ins!$D:$D,MATCH('001_population_health_zone_zs'!$B254,[1]ratio_ins!$B:$B,0))</f>
        <v>8701.0341600000011</v>
      </c>
      <c r="AE254" s="10">
        <f>INDEX([1]ratio_ins!AB:AB,MATCH('001_population_health_zone_zs'!$B$2,[1]ratio_ins!$B:$B,0))*$G254*INDEX([1]ratio_ins!$D:$D,MATCH('001_population_health_zone_zs'!$B254,[1]ratio_ins!$B:$B,0))</f>
        <v>7167.9948080000004</v>
      </c>
      <c r="AF254" s="10">
        <f>INDEX([1]ratio_ins!AC:AC,MATCH('001_population_health_zone_zs'!$B$2,[1]ratio_ins!$B:$B,0))*$G254*INDEX([1]ratio_ins!$D:$D,MATCH('001_population_health_zone_zs'!$B254,[1]ratio_ins!$B:$B,0))</f>
        <v>5676.3889519999993</v>
      </c>
      <c r="AG254" s="10">
        <f>INDEX([1]ratio_ins!AD:AD,MATCH('001_population_health_zone_zs'!$B$2,[1]ratio_ins!$B:$B,0))*$G254*INDEX([1]ratio_ins!$D:$D,MATCH('001_population_health_zone_zs'!$B254,[1]ratio_ins!$B:$B,0))</f>
        <v>3438.9801680000005</v>
      </c>
      <c r="AH254" s="10">
        <f>INDEX([1]ratio_ins!AE:AE,MATCH('001_population_health_zone_zs'!$B$2,[1]ratio_ins!$B:$B,0))*$G254*INDEX([1]ratio_ins!$D:$D,MATCH('001_population_health_zone_zs'!$B254,[1]ratio_ins!$B:$B,0))</f>
        <v>2063.3881007999998</v>
      </c>
      <c r="AI254" s="13">
        <f>INDEX([1]ratio_ins!AF:AF,MATCH('001_population_health_zone_zs'!$B$2,[1]ratio_ins!$B:$B,0))*$G254*INDEX([1]ratio_ins!$D:$D,MATCH('001_population_health_zone_zs'!$B254,[1]ratio_ins!$B:$B,0))</f>
        <v>23608.806020800002</v>
      </c>
      <c r="AJ254" s="10">
        <f>INDEX([1]ratio_ins!AG:AG,MATCH('001_population_health_zone_zs'!$B$2,[1]ratio_ins!$B:$B,0))*$G254*INDEX([1]ratio_ins!$D:$D,MATCH('001_population_health_zone_zs'!$B254,[1]ratio_ins!$B:$B,0))</f>
        <v>1375.5920672</v>
      </c>
      <c r="AK254" s="10">
        <f>INDEX([1]ratio_ins!AH:AH,MATCH('001_population_health_zone_zs'!$B$2,[1]ratio_ins!$B:$B,0))*$G254*INDEX([1]ratio_ins!$D:$D,MATCH('001_population_health_zone_zs'!$B254,[1]ratio_ins!$B:$B,0))</f>
        <v>3066.0787040000005</v>
      </c>
      <c r="AL254" s="10">
        <f>INDEX([1]ratio_ins!AI:AI,MATCH('001_population_health_zone_zs'!$B$2,[1]ratio_ins!$B:$B,0))*$G254*INDEX([1]ratio_ins!$D:$D,MATCH('001_population_health_zone_zs'!$B254,[1]ratio_ins!$B:$B,0))</f>
        <v>2900.3447200000001</v>
      </c>
      <c r="AM254" s="10">
        <f>INDEX([1]ratio_ins!AJ:AJ,MATCH('001_population_health_zone_zs'!$B$2,[1]ratio_ins!$B:$B,0))*$G254*INDEX([1]ratio_ins!$D:$D,MATCH('001_population_health_zone_zs'!$B254,[1]ratio_ins!$B:$B,0))</f>
        <v>2651.7437439999999</v>
      </c>
      <c r="AN254" s="10">
        <f>INDEX([1]ratio_ins!AK:AK,MATCH('001_population_health_zone_zs'!$B$2,[1]ratio_ins!$B:$B,0))*$G254*INDEX([1]ratio_ins!$D:$D,MATCH('001_population_health_zone_zs'!$B254,[1]ratio_ins!$B:$B,0))</f>
        <v>2486.0097600000004</v>
      </c>
      <c r="AO254" s="10">
        <f>INDEX([1]ratio_ins!AL:AL,MATCH('001_population_health_zone_zs'!$B$2,[1]ratio_ins!$B:$B,0))*$G254*INDEX([1]ratio_ins!$D:$D,MATCH('001_population_health_zone_zs'!$B254,[1]ratio_ins!$B:$B,0))</f>
        <v>1864.5073199999999</v>
      </c>
      <c r="AP254" s="10">
        <f>INDEX([1]ratio_ins!AM:AM,MATCH('001_population_health_zone_zs'!$B$2,[1]ratio_ins!$B:$B,0))*$G254*INDEX([1]ratio_ins!$D:$D,MATCH('001_population_health_zone_zs'!$B254,[1]ratio_ins!$B:$B,0))</f>
        <v>1201.5713839999999</v>
      </c>
      <c r="AQ254" s="10">
        <f>INDEX([1]ratio_ins!AN:AN,MATCH('001_population_health_zone_zs'!$B$2,[1]ratio_ins!$B:$B,0))*$G254*INDEX([1]ratio_ins!$D:$D,MATCH('001_population_health_zone_zs'!$B254,[1]ratio_ins!$B:$B,0))</f>
        <v>952.97040800000002</v>
      </c>
      <c r="AR254" s="10">
        <f>INDEX([1]ratio_ins!AO:AO,MATCH('001_population_health_zone_zs'!$B$2,[1]ratio_ins!$B:$B,0))*$G254*INDEX([1]ratio_ins!$D:$D,MATCH('001_population_health_zone_zs'!$B254,[1]ratio_ins!$B:$B,0))</f>
        <v>455.76845600000007</v>
      </c>
      <c r="AS254" s="13">
        <f>INDEX([1]ratio_ins!AP:AP,MATCH('001_population_health_zone_zs'!$B$2,[1]ratio_ins!$B:$B,0))*$G254*INDEX([1]ratio_ins!$D:$D,MATCH('001_population_health_zone_zs'!$B254,[1]ratio_ins!$B:$B,0))</f>
        <v>16954.586563200002</v>
      </c>
      <c r="AT254" s="10">
        <f>INDEX([1]ratio_ins!AQ:AQ,MATCH('001_population_health_zone_zs'!$B$2,[1]ratio_ins!$B:$B,0))*$G254*INDEX([1]ratio_ins!$D:$D,MATCH('001_population_health_zone_zs'!$B254,[1]ratio_ins!$B:$B,0))</f>
        <v>414.33496000000002</v>
      </c>
      <c r="AU254" s="10">
        <f>INDEX([1]ratio_ins!AR:AR,MATCH('001_population_health_zone_zs'!$B$2,[1]ratio_ins!$B:$B,0))*$G254*INDEX([1]ratio_ins!$D:$D,MATCH('001_population_health_zone_zs'!$B254,[1]ratio_ins!$B:$B,0))</f>
        <v>248.600976</v>
      </c>
      <c r="AV254" s="10">
        <f>INDEX([1]ratio_ins!AS:AS,MATCH('001_population_health_zone_zs'!$B$2,[1]ratio_ins!$B:$B,0))*$G254*INDEX([1]ratio_ins!$D:$D,MATCH('001_population_health_zone_zs'!$B254,[1]ratio_ins!$B:$B,0))</f>
        <v>124.300488</v>
      </c>
      <c r="AW254" s="10">
        <f>INDEX([1]ratio_ins!AT:AT,MATCH('001_population_health_zone_zs'!$B$2,[1]ratio_ins!$B:$B,0))*$G254*INDEX([1]ratio_ins!$D:$D,MATCH('001_population_health_zone_zs'!$B254,[1]ratio_ins!$B:$B,0))</f>
        <v>82.866991999999996</v>
      </c>
      <c r="AX254" s="13">
        <f>INDEX([1]ratio_ins!AU:AU,MATCH('001_population_health_zone_zs'!$B$2,[1]ratio_ins!$B:$B,0))*$G254*INDEX([1]ratio_ins!$D:$D,MATCH('001_population_health_zone_zs'!$B254,[1]ratio_ins!$B:$B,0))</f>
        <v>870.10341599999992</v>
      </c>
      <c r="AY254" s="14">
        <f t="shared" si="19"/>
        <v>41433.495999999999</v>
      </c>
      <c r="AZ254" s="15">
        <f t="shared" si="20"/>
        <v>81562</v>
      </c>
      <c r="BA254" s="16">
        <v>79344.178136322604</v>
      </c>
      <c r="BB254" s="10">
        <f t="shared" si="21"/>
        <v>17609.235799999999</v>
      </c>
      <c r="BC254" s="17">
        <f t="shared" si="22"/>
        <v>0.21589999999999998</v>
      </c>
      <c r="BD254" s="10">
        <f t="shared" si="23"/>
        <v>16733.586168000002</v>
      </c>
    </row>
    <row r="255" spans="1:56" x14ac:dyDescent="0.25">
      <c r="A255" s="8" t="s">
        <v>590</v>
      </c>
      <c r="B255" s="8" t="s">
        <v>591</v>
      </c>
      <c r="C255" s="8" t="s">
        <v>615</v>
      </c>
      <c r="D255" s="8" t="s">
        <v>616</v>
      </c>
      <c r="E255" s="8" t="s">
        <v>635</v>
      </c>
      <c r="F255" s="8" t="s">
        <v>636</v>
      </c>
      <c r="G255" s="9">
        <v>117395</v>
      </c>
      <c r="H255" s="10">
        <f>INDEX([1]ratio_ins!F:F,MATCH('001_population_health_zone_zs'!$B$2,[1]ratio_ins!$B:$B,0))*$G255*INDEX([1]ratio_ins!$C:$C,MATCH('001_population_health_zone_zs'!$B255,[1]ratio_ins!$B:$B,0))</f>
        <v>12071.493060000001</v>
      </c>
      <c r="I255" s="10">
        <f>INDEX([1]ratio_ins!G:G,MATCH('001_population_health_zone_zs'!$B$2,[1]ratio_ins!$B:$B,0))*$G255*INDEX([1]ratio_ins!$C:$C,MATCH('001_population_health_zone_zs'!$B255,[1]ratio_ins!$B:$B,0))</f>
        <v>9876.6761400000014</v>
      </c>
      <c r="J255" s="10">
        <f>INDEX([1]ratio_ins!H:H,MATCH('001_population_health_zone_zs'!$B$2,[1]ratio_ins!$B:$B,0))*$G255*INDEX([1]ratio_ins!$C:$C,MATCH('001_population_health_zone_zs'!$B255,[1]ratio_ins!$B:$B,0))</f>
        <v>7797.3759000000009</v>
      </c>
      <c r="K255" s="10">
        <f>INDEX([1]ratio_ins!I:I,MATCH('001_population_health_zone_zs'!$B$2,[1]ratio_ins!$B:$B,0))*$G255*INDEX([1]ratio_ins!$C:$C,MATCH('001_population_health_zone_zs'!$B255,[1]ratio_ins!$B:$B,0))</f>
        <v>4793.9422200000008</v>
      </c>
      <c r="L255" s="10">
        <f>INDEX([1]ratio_ins!J:J,MATCH('001_population_health_zone_zs'!$B$2,[1]ratio_ins!$B:$B,0))*$G255*INDEX([1]ratio_ins!$C:$C,MATCH('001_population_health_zone_zs'!$B255,[1]ratio_ins!$B:$B,0))</f>
        <v>2876.3653320000003</v>
      </c>
      <c r="M255" s="11">
        <f>INDEX([1]ratio_ins!K:K,MATCH('001_population_health_zone_zs'!$B$2,[1]ratio_ins!$B:$B,0))*$G255*INDEX([1]ratio_ins!$C:$C,MATCH('001_population_health_zone_zs'!$B255,[1]ratio_ins!$B:$B,0))</f>
        <v>32621.910432000001</v>
      </c>
      <c r="N255" s="10">
        <f>INDEX([1]ratio_ins!L:L,MATCH('001_population_health_zone_zs'!$B$2,[1]ratio_ins!$B:$B,0))*$G255*INDEX([1]ratio_ins!$C:$C,MATCH('001_population_health_zone_zs'!$B255,[1]ratio_ins!$B:$B,0))</f>
        <v>1917.5768880000003</v>
      </c>
      <c r="O255" s="10">
        <f>INDEX([1]ratio_ins!M:M,MATCH('001_population_health_zone_zs'!$B$2,[1]ratio_ins!$B:$B,0))*$G255*INDEX([1]ratio_ins!$C:$C,MATCH('001_population_health_zone_zs'!$B255,[1]ratio_ins!$B:$B,0))</f>
        <v>4158.600480000001</v>
      </c>
      <c r="P255" s="10">
        <f>INDEX([1]ratio_ins!N:N,MATCH('001_population_health_zone_zs'!$B$2,[1]ratio_ins!$B:$B,0))*$G255*INDEX([1]ratio_ins!$C:$C,MATCH('001_population_health_zone_zs'!$B255,[1]ratio_ins!$B:$B,0))</f>
        <v>3754.2921000000006</v>
      </c>
      <c r="Q255" s="10">
        <f>INDEX([1]ratio_ins!O:O,MATCH('001_population_health_zone_zs'!$B$2,[1]ratio_ins!$B:$B,0))*$G255*INDEX([1]ratio_ins!$C:$C,MATCH('001_population_health_zone_zs'!$B255,[1]ratio_ins!$B:$B,0))</f>
        <v>3349.9837200000002</v>
      </c>
      <c r="R255" s="10">
        <f>INDEX([1]ratio_ins!P:P,MATCH('001_population_health_zone_zs'!$B$2,[1]ratio_ins!$B:$B,0))*$G255*INDEX([1]ratio_ins!$C:$C,MATCH('001_population_health_zone_zs'!$B255,[1]ratio_ins!$B:$B,0))</f>
        <v>3292.2253800000003</v>
      </c>
      <c r="S255" s="10">
        <f>INDEX([1]ratio_ins!Q:Q,MATCH('001_population_health_zone_zs'!$B$2,[1]ratio_ins!$B:$B,0))*$G255*INDEX([1]ratio_ins!$C:$C,MATCH('001_population_health_zone_zs'!$B255,[1]ratio_ins!$B:$B,0))</f>
        <v>2772.4003200000002</v>
      </c>
      <c r="T255" s="10">
        <f>INDEX([1]ratio_ins!R:R,MATCH('001_population_health_zone_zs'!$B$2,[1]ratio_ins!$B:$B,0))*$G255*INDEX([1]ratio_ins!$C:$C,MATCH('001_population_health_zone_zs'!$B255,[1]ratio_ins!$B:$B,0))</f>
        <v>1963.7835600000003</v>
      </c>
      <c r="U255" s="10">
        <f>INDEX([1]ratio_ins!S:S,MATCH('001_population_health_zone_zs'!$B$2,[1]ratio_ins!$B:$B,0))*$G255*INDEX([1]ratio_ins!$C:$C,MATCH('001_population_health_zone_zs'!$B255,[1]ratio_ins!$B:$B,0))</f>
        <v>1559.4751800000004</v>
      </c>
      <c r="V255" s="10">
        <f>INDEX([1]ratio_ins!T:T,MATCH('001_population_health_zone_zs'!$B$2,[1]ratio_ins!$B:$B,0))*$G255*INDEX([1]ratio_ins!$C:$C,MATCH('001_population_health_zone_zs'!$B255,[1]ratio_ins!$B:$B,0))</f>
        <v>866.37510000000009</v>
      </c>
      <c r="W255" s="11">
        <f>INDEX([1]ratio_ins!U:U,MATCH('001_population_health_zone_zs'!$B$2,[1]ratio_ins!$B:$B,0))*$G255*INDEX([1]ratio_ins!$C:$C,MATCH('001_population_health_zone_zs'!$B255,[1]ratio_ins!$B:$B,0))</f>
        <v>23634.712728000002</v>
      </c>
      <c r="X255" s="10">
        <f>INDEX([1]ratio_ins!V:V,MATCH('001_population_health_zone_zs'!$B$2,[1]ratio_ins!$B:$B,0))*$G255*INDEX([1]ratio_ins!$C:$C,MATCH('001_population_health_zone_zs'!$B255,[1]ratio_ins!$B:$B,0))</f>
        <v>693.10008000000005</v>
      </c>
      <c r="Y255" s="10">
        <f>INDEX([1]ratio_ins!W:W,MATCH('001_population_health_zone_zs'!$B$2,[1]ratio_ins!$B:$B,0))*$G255*INDEX([1]ratio_ins!$C:$C,MATCH('001_population_health_zone_zs'!$B255,[1]ratio_ins!$B:$B,0))</f>
        <v>462.06672000000003</v>
      </c>
      <c r="Z255" s="10">
        <f>INDEX([1]ratio_ins!X:X,MATCH('001_population_health_zone_zs'!$B$2,[1]ratio_ins!$B:$B,0))*$G255*INDEX([1]ratio_ins!$C:$C,MATCH('001_population_health_zone_zs'!$B255,[1]ratio_ins!$B:$B,0))</f>
        <v>231.03336000000002</v>
      </c>
      <c r="AA255" s="10">
        <f>INDEX([1]ratio_ins!Y:Y,MATCH('001_population_health_zone_zs'!$B$2,[1]ratio_ins!$B:$B,0))*$G255*INDEX([1]ratio_ins!$C:$C,MATCH('001_population_health_zone_zs'!$B255,[1]ratio_ins!$B:$B,0))</f>
        <v>115.51668000000001</v>
      </c>
      <c r="AB255" s="11">
        <f>INDEX([1]ratio_ins!Z:Z,MATCH('001_population_health_zone_zs'!$B$2,[1]ratio_ins!$B:$B,0))*$G255*INDEX([1]ratio_ins!$C:$C,MATCH('001_population_health_zone_zs'!$B255,[1]ratio_ins!$B:$B,0))</f>
        <v>1501.7168400000003</v>
      </c>
      <c r="AC255" s="12">
        <f t="shared" si="18"/>
        <v>57758.340000000004</v>
      </c>
      <c r="AD255" s="10">
        <f>INDEX([1]ratio_ins!AA:AA,MATCH('001_population_health_zone_zs'!$B$2,[1]ratio_ins!$B:$B,0))*$G255*INDEX([1]ratio_ins!$D:$D,MATCH('001_population_health_zone_zs'!$B255,[1]ratio_ins!$B:$B,0))</f>
        <v>12523.6986</v>
      </c>
      <c r="AE255" s="10">
        <f>INDEX([1]ratio_ins!AB:AB,MATCH('001_population_health_zone_zs'!$B$2,[1]ratio_ins!$B:$B,0))*$G255*INDEX([1]ratio_ins!$D:$D,MATCH('001_population_health_zone_zs'!$B255,[1]ratio_ins!$B:$B,0))</f>
        <v>10317.142180000001</v>
      </c>
      <c r="AF255" s="10">
        <f>INDEX([1]ratio_ins!AC:AC,MATCH('001_population_health_zone_zs'!$B$2,[1]ratio_ins!$B:$B,0))*$G255*INDEX([1]ratio_ins!$D:$D,MATCH('001_population_health_zone_zs'!$B255,[1]ratio_ins!$B:$B,0))</f>
        <v>8170.2224199999991</v>
      </c>
      <c r="AG255" s="10">
        <f>INDEX([1]ratio_ins!AD:AD,MATCH('001_population_health_zone_zs'!$B$2,[1]ratio_ins!$B:$B,0))*$G255*INDEX([1]ratio_ins!$D:$D,MATCH('001_population_health_zone_zs'!$B255,[1]ratio_ins!$B:$B,0))</f>
        <v>4949.8427799999999</v>
      </c>
      <c r="AH255" s="10">
        <f>INDEX([1]ratio_ins!AE:AE,MATCH('001_population_health_zone_zs'!$B$2,[1]ratio_ins!$B:$B,0))*$G255*INDEX([1]ratio_ins!$D:$D,MATCH('001_population_health_zone_zs'!$B255,[1]ratio_ins!$B:$B,0))</f>
        <v>2969.9056679999999</v>
      </c>
      <c r="AI255" s="13">
        <f>INDEX([1]ratio_ins!AF:AF,MATCH('001_population_health_zone_zs'!$B$2,[1]ratio_ins!$B:$B,0))*$G255*INDEX([1]ratio_ins!$D:$D,MATCH('001_population_health_zone_zs'!$B255,[1]ratio_ins!$B:$B,0))</f>
        <v>33980.968868000004</v>
      </c>
      <c r="AJ255" s="10">
        <f>INDEX([1]ratio_ins!AG:AG,MATCH('001_population_health_zone_zs'!$B$2,[1]ratio_ins!$B:$B,0))*$G255*INDEX([1]ratio_ins!$D:$D,MATCH('001_population_health_zone_zs'!$B255,[1]ratio_ins!$B:$B,0))</f>
        <v>1979.9371120000001</v>
      </c>
      <c r="AK255" s="10">
        <f>INDEX([1]ratio_ins!AH:AH,MATCH('001_population_health_zone_zs'!$B$2,[1]ratio_ins!$B:$B,0))*$G255*INDEX([1]ratio_ins!$D:$D,MATCH('001_population_health_zone_zs'!$B255,[1]ratio_ins!$B:$B,0))</f>
        <v>4413.1128400000007</v>
      </c>
      <c r="AL255" s="10">
        <f>INDEX([1]ratio_ins!AI:AI,MATCH('001_population_health_zone_zs'!$B$2,[1]ratio_ins!$B:$B,0))*$G255*INDEX([1]ratio_ins!$D:$D,MATCH('001_population_health_zone_zs'!$B255,[1]ratio_ins!$B:$B,0))</f>
        <v>4174.5662000000011</v>
      </c>
      <c r="AM255" s="10">
        <f>INDEX([1]ratio_ins!AJ:AJ,MATCH('001_population_health_zone_zs'!$B$2,[1]ratio_ins!$B:$B,0))*$G255*INDEX([1]ratio_ins!$D:$D,MATCH('001_population_health_zone_zs'!$B255,[1]ratio_ins!$B:$B,0))</f>
        <v>3816.7462399999999</v>
      </c>
      <c r="AN255" s="10">
        <f>INDEX([1]ratio_ins!AK:AK,MATCH('001_population_health_zone_zs'!$B$2,[1]ratio_ins!$B:$B,0))*$G255*INDEX([1]ratio_ins!$D:$D,MATCH('001_population_health_zone_zs'!$B255,[1]ratio_ins!$B:$B,0))</f>
        <v>3578.1995999999999</v>
      </c>
      <c r="AO255" s="10">
        <f>INDEX([1]ratio_ins!AL:AL,MATCH('001_population_health_zone_zs'!$B$2,[1]ratio_ins!$B:$B,0))*$G255*INDEX([1]ratio_ins!$D:$D,MATCH('001_population_health_zone_zs'!$B255,[1]ratio_ins!$B:$B,0))</f>
        <v>2683.6496999999999</v>
      </c>
      <c r="AP255" s="10">
        <f>INDEX([1]ratio_ins!AM:AM,MATCH('001_population_health_zone_zs'!$B$2,[1]ratio_ins!$B:$B,0))*$G255*INDEX([1]ratio_ins!$D:$D,MATCH('001_population_health_zone_zs'!$B255,[1]ratio_ins!$B:$B,0))</f>
        <v>1729.4631400000001</v>
      </c>
      <c r="AQ255" s="10">
        <f>INDEX([1]ratio_ins!AN:AN,MATCH('001_population_health_zone_zs'!$B$2,[1]ratio_ins!$B:$B,0))*$G255*INDEX([1]ratio_ins!$D:$D,MATCH('001_population_health_zone_zs'!$B255,[1]ratio_ins!$B:$B,0))</f>
        <v>1371.64318</v>
      </c>
      <c r="AR255" s="10">
        <f>INDEX([1]ratio_ins!AO:AO,MATCH('001_population_health_zone_zs'!$B$2,[1]ratio_ins!$B:$B,0))*$G255*INDEX([1]ratio_ins!$D:$D,MATCH('001_population_health_zone_zs'!$B255,[1]ratio_ins!$B:$B,0))</f>
        <v>656.00326000000007</v>
      </c>
      <c r="AS255" s="13">
        <f>INDEX([1]ratio_ins!AP:AP,MATCH('001_population_health_zone_zs'!$B$2,[1]ratio_ins!$B:$B,0))*$G255*INDEX([1]ratio_ins!$D:$D,MATCH('001_population_health_zone_zs'!$B255,[1]ratio_ins!$B:$B,0))</f>
        <v>24403.321272000001</v>
      </c>
      <c r="AT255" s="10">
        <f>INDEX([1]ratio_ins!AQ:AQ,MATCH('001_population_health_zone_zs'!$B$2,[1]ratio_ins!$B:$B,0))*$G255*INDEX([1]ratio_ins!$D:$D,MATCH('001_population_health_zone_zs'!$B255,[1]ratio_ins!$B:$B,0))</f>
        <v>596.36660000000006</v>
      </c>
      <c r="AU255" s="10">
        <f>INDEX([1]ratio_ins!AR:AR,MATCH('001_population_health_zone_zs'!$B$2,[1]ratio_ins!$B:$B,0))*$G255*INDEX([1]ratio_ins!$D:$D,MATCH('001_population_health_zone_zs'!$B255,[1]ratio_ins!$B:$B,0))</f>
        <v>357.81995999999998</v>
      </c>
      <c r="AV255" s="10">
        <f>INDEX([1]ratio_ins!AS:AS,MATCH('001_population_health_zone_zs'!$B$2,[1]ratio_ins!$B:$B,0))*$G255*INDEX([1]ratio_ins!$D:$D,MATCH('001_population_health_zone_zs'!$B255,[1]ratio_ins!$B:$B,0))</f>
        <v>178.90997999999999</v>
      </c>
      <c r="AW255" s="10">
        <f>INDEX([1]ratio_ins!AT:AT,MATCH('001_population_health_zone_zs'!$B$2,[1]ratio_ins!$B:$B,0))*$G255*INDEX([1]ratio_ins!$D:$D,MATCH('001_population_health_zone_zs'!$B255,[1]ratio_ins!$B:$B,0))</f>
        <v>119.27332</v>
      </c>
      <c r="AX255" s="13">
        <f>INDEX([1]ratio_ins!AU:AU,MATCH('001_population_health_zone_zs'!$B$2,[1]ratio_ins!$B:$B,0))*$G255*INDEX([1]ratio_ins!$D:$D,MATCH('001_population_health_zone_zs'!$B255,[1]ratio_ins!$B:$B,0))</f>
        <v>1252.3698599999998</v>
      </c>
      <c r="AY255" s="14">
        <f t="shared" si="19"/>
        <v>59636.66</v>
      </c>
      <c r="AZ255" s="15">
        <f t="shared" si="20"/>
        <v>117395</v>
      </c>
      <c r="BA255" s="16">
        <v>114202.13631341992</v>
      </c>
      <c r="BB255" s="10">
        <f t="shared" si="21"/>
        <v>25345.580500000004</v>
      </c>
      <c r="BC255" s="17">
        <f t="shared" si="22"/>
        <v>0.21590000000000004</v>
      </c>
      <c r="BD255" s="10">
        <f t="shared" si="23"/>
        <v>24085.227780000005</v>
      </c>
    </row>
    <row r="256" spans="1:56" x14ac:dyDescent="0.25">
      <c r="A256" s="8" t="s">
        <v>590</v>
      </c>
      <c r="B256" s="8" t="s">
        <v>591</v>
      </c>
      <c r="C256" s="8" t="s">
        <v>615</v>
      </c>
      <c r="D256" s="8" t="s">
        <v>616</v>
      </c>
      <c r="E256" s="8" t="s">
        <v>637</v>
      </c>
      <c r="F256" s="8" t="s">
        <v>638</v>
      </c>
      <c r="G256" s="9">
        <v>124683</v>
      </c>
      <c r="H256" s="10">
        <f>INDEX([1]ratio_ins!F:F,MATCH('001_population_health_zone_zs'!$B$2,[1]ratio_ins!$B:$B,0))*$G256*INDEX([1]ratio_ins!$C:$C,MATCH('001_population_health_zone_zs'!$B256,[1]ratio_ins!$B:$B,0))</f>
        <v>12820.903524000001</v>
      </c>
      <c r="I256" s="10">
        <f>INDEX([1]ratio_ins!G:G,MATCH('001_population_health_zone_zs'!$B$2,[1]ratio_ins!$B:$B,0))*$G256*INDEX([1]ratio_ins!$C:$C,MATCH('001_population_health_zone_zs'!$B256,[1]ratio_ins!$B:$B,0))</f>
        <v>10489.830156000002</v>
      </c>
      <c r="J256" s="10">
        <f>INDEX([1]ratio_ins!H:H,MATCH('001_population_health_zone_zs'!$B$2,[1]ratio_ins!$B:$B,0))*$G256*INDEX([1]ratio_ins!$C:$C,MATCH('001_population_health_zone_zs'!$B256,[1]ratio_ins!$B:$B,0))</f>
        <v>8281.4448600000014</v>
      </c>
      <c r="K256" s="10">
        <f>INDEX([1]ratio_ins!I:I,MATCH('001_population_health_zone_zs'!$B$2,[1]ratio_ins!$B:$B,0))*$G256*INDEX([1]ratio_ins!$C:$C,MATCH('001_population_health_zone_zs'!$B256,[1]ratio_ins!$B:$B,0))</f>
        <v>5091.5549880000008</v>
      </c>
      <c r="L256" s="10">
        <f>INDEX([1]ratio_ins!J:J,MATCH('001_population_health_zone_zs'!$B$2,[1]ratio_ins!$B:$B,0))*$G256*INDEX([1]ratio_ins!$C:$C,MATCH('001_population_health_zone_zs'!$B256,[1]ratio_ins!$B:$B,0))</f>
        <v>3054.9329928000002</v>
      </c>
      <c r="M256" s="11">
        <f>INDEX([1]ratio_ins!K:K,MATCH('001_population_health_zone_zs'!$B$2,[1]ratio_ins!$B:$B,0))*$G256*INDEX([1]ratio_ins!$C:$C,MATCH('001_population_health_zone_zs'!$B256,[1]ratio_ins!$B:$B,0))</f>
        <v>34647.111532800001</v>
      </c>
      <c r="N256" s="10">
        <f>INDEX([1]ratio_ins!L:L,MATCH('001_population_health_zone_zs'!$B$2,[1]ratio_ins!$B:$B,0))*$G256*INDEX([1]ratio_ins!$C:$C,MATCH('001_population_health_zone_zs'!$B256,[1]ratio_ins!$B:$B,0))</f>
        <v>2036.6219952000001</v>
      </c>
      <c r="O256" s="10">
        <f>INDEX([1]ratio_ins!M:M,MATCH('001_population_health_zone_zs'!$B$2,[1]ratio_ins!$B:$B,0))*$G256*INDEX([1]ratio_ins!$C:$C,MATCH('001_population_health_zone_zs'!$B256,[1]ratio_ins!$B:$B,0))</f>
        <v>4416.7705920000008</v>
      </c>
      <c r="P256" s="10">
        <f>INDEX([1]ratio_ins!N:N,MATCH('001_population_health_zone_zs'!$B$2,[1]ratio_ins!$B:$B,0))*$G256*INDEX([1]ratio_ins!$C:$C,MATCH('001_population_health_zone_zs'!$B256,[1]ratio_ins!$B:$B,0))</f>
        <v>3987.3623400000006</v>
      </c>
      <c r="Q256" s="10">
        <f>INDEX([1]ratio_ins!O:O,MATCH('001_population_health_zone_zs'!$B$2,[1]ratio_ins!$B:$B,0))*$G256*INDEX([1]ratio_ins!$C:$C,MATCH('001_population_health_zone_zs'!$B256,[1]ratio_ins!$B:$B,0))</f>
        <v>3557.954088</v>
      </c>
      <c r="R256" s="10">
        <f>INDEX([1]ratio_ins!P:P,MATCH('001_population_health_zone_zs'!$B$2,[1]ratio_ins!$B:$B,0))*$G256*INDEX([1]ratio_ins!$C:$C,MATCH('001_population_health_zone_zs'!$B256,[1]ratio_ins!$B:$B,0))</f>
        <v>3496.6100520000005</v>
      </c>
      <c r="S256" s="10">
        <f>INDEX([1]ratio_ins!Q:Q,MATCH('001_population_health_zone_zs'!$B$2,[1]ratio_ins!$B:$B,0))*$G256*INDEX([1]ratio_ins!$C:$C,MATCH('001_population_health_zone_zs'!$B256,[1]ratio_ins!$B:$B,0))</f>
        <v>2944.5137280000004</v>
      </c>
      <c r="T256" s="10">
        <f>INDEX([1]ratio_ins!R:R,MATCH('001_population_health_zone_zs'!$B$2,[1]ratio_ins!$B:$B,0))*$G256*INDEX([1]ratio_ins!$C:$C,MATCH('001_population_health_zone_zs'!$B256,[1]ratio_ins!$B:$B,0))</f>
        <v>2085.6972240000005</v>
      </c>
      <c r="U256" s="10">
        <f>INDEX([1]ratio_ins!S:S,MATCH('001_population_health_zone_zs'!$B$2,[1]ratio_ins!$B:$B,0))*$G256*INDEX([1]ratio_ins!$C:$C,MATCH('001_population_health_zone_zs'!$B256,[1]ratio_ins!$B:$B,0))</f>
        <v>1656.2889720000003</v>
      </c>
      <c r="V256" s="10">
        <f>INDEX([1]ratio_ins!T:T,MATCH('001_population_health_zone_zs'!$B$2,[1]ratio_ins!$B:$B,0))*$G256*INDEX([1]ratio_ins!$C:$C,MATCH('001_population_health_zone_zs'!$B256,[1]ratio_ins!$B:$B,0))</f>
        <v>920.16054000000008</v>
      </c>
      <c r="W256" s="11">
        <f>INDEX([1]ratio_ins!U:U,MATCH('001_population_health_zone_zs'!$B$2,[1]ratio_ins!$B:$B,0))*$G256*INDEX([1]ratio_ins!$C:$C,MATCH('001_population_health_zone_zs'!$B256,[1]ratio_ins!$B:$B,0))</f>
        <v>25101.979531200002</v>
      </c>
      <c r="X256" s="10">
        <f>INDEX([1]ratio_ins!V:V,MATCH('001_population_health_zone_zs'!$B$2,[1]ratio_ins!$B:$B,0))*$G256*INDEX([1]ratio_ins!$C:$C,MATCH('001_population_health_zone_zs'!$B256,[1]ratio_ins!$B:$B,0))</f>
        <v>736.12843200000009</v>
      </c>
      <c r="Y256" s="10">
        <f>INDEX([1]ratio_ins!W:W,MATCH('001_population_health_zone_zs'!$B$2,[1]ratio_ins!$B:$B,0))*$G256*INDEX([1]ratio_ins!$C:$C,MATCH('001_population_health_zone_zs'!$B256,[1]ratio_ins!$B:$B,0))</f>
        <v>490.75228800000008</v>
      </c>
      <c r="Z256" s="10">
        <f>INDEX([1]ratio_ins!X:X,MATCH('001_population_health_zone_zs'!$B$2,[1]ratio_ins!$B:$B,0))*$G256*INDEX([1]ratio_ins!$C:$C,MATCH('001_population_health_zone_zs'!$B256,[1]ratio_ins!$B:$B,0))</f>
        <v>245.37614400000004</v>
      </c>
      <c r="AA256" s="10">
        <f>INDEX([1]ratio_ins!Y:Y,MATCH('001_population_health_zone_zs'!$B$2,[1]ratio_ins!$B:$B,0))*$G256*INDEX([1]ratio_ins!$C:$C,MATCH('001_population_health_zone_zs'!$B256,[1]ratio_ins!$B:$B,0))</f>
        <v>122.68807200000002</v>
      </c>
      <c r="AB256" s="11">
        <f>INDEX([1]ratio_ins!Z:Z,MATCH('001_population_health_zone_zs'!$B$2,[1]ratio_ins!$B:$B,0))*$G256*INDEX([1]ratio_ins!$C:$C,MATCH('001_population_health_zone_zs'!$B256,[1]ratio_ins!$B:$B,0))</f>
        <v>1594.9449360000003</v>
      </c>
      <c r="AC256" s="12">
        <f t="shared" si="18"/>
        <v>61344.036000000007</v>
      </c>
      <c r="AD256" s="10">
        <f>INDEX([1]ratio_ins!AA:AA,MATCH('001_population_health_zone_zs'!$B$2,[1]ratio_ins!$B:$B,0))*$G256*INDEX([1]ratio_ins!$D:$D,MATCH('001_population_health_zone_zs'!$B256,[1]ratio_ins!$B:$B,0))</f>
        <v>13301.18244</v>
      </c>
      <c r="AE256" s="10">
        <f>INDEX([1]ratio_ins!AB:AB,MATCH('001_population_health_zone_zs'!$B$2,[1]ratio_ins!$B:$B,0))*$G256*INDEX([1]ratio_ins!$D:$D,MATCH('001_population_health_zone_zs'!$B256,[1]ratio_ins!$B:$B,0))</f>
        <v>10957.640772000002</v>
      </c>
      <c r="AF256" s="10">
        <f>INDEX([1]ratio_ins!AC:AC,MATCH('001_population_health_zone_zs'!$B$2,[1]ratio_ins!$B:$B,0))*$G256*INDEX([1]ratio_ins!$D:$D,MATCH('001_population_health_zone_zs'!$B256,[1]ratio_ins!$B:$B,0))</f>
        <v>8677.4380679999977</v>
      </c>
      <c r="AG256" s="10">
        <f>INDEX([1]ratio_ins!AD:AD,MATCH('001_population_health_zone_zs'!$B$2,[1]ratio_ins!$B:$B,0))*$G256*INDEX([1]ratio_ins!$D:$D,MATCH('001_population_health_zone_zs'!$B256,[1]ratio_ins!$B:$B,0))</f>
        <v>5257.1340120000004</v>
      </c>
      <c r="AH256" s="10">
        <f>INDEX([1]ratio_ins!AE:AE,MATCH('001_population_health_zone_zs'!$B$2,[1]ratio_ins!$B:$B,0))*$G256*INDEX([1]ratio_ins!$D:$D,MATCH('001_population_health_zone_zs'!$B256,[1]ratio_ins!$B:$B,0))</f>
        <v>3154.2804071999999</v>
      </c>
      <c r="AI256" s="13">
        <f>INDEX([1]ratio_ins!AF:AF,MATCH('001_population_health_zone_zs'!$B$2,[1]ratio_ins!$B:$B,0))*$G256*INDEX([1]ratio_ins!$D:$D,MATCH('001_population_health_zone_zs'!$B256,[1]ratio_ins!$B:$B,0))</f>
        <v>36090.541687199999</v>
      </c>
      <c r="AJ256" s="10">
        <f>INDEX([1]ratio_ins!AG:AG,MATCH('001_population_health_zone_zs'!$B$2,[1]ratio_ins!$B:$B,0))*$G256*INDEX([1]ratio_ins!$D:$D,MATCH('001_population_health_zone_zs'!$B256,[1]ratio_ins!$B:$B,0))</f>
        <v>2102.8536048000001</v>
      </c>
      <c r="AK256" s="10">
        <f>INDEX([1]ratio_ins!AH:AH,MATCH('001_population_health_zone_zs'!$B$2,[1]ratio_ins!$B:$B,0))*$G256*INDEX([1]ratio_ins!$D:$D,MATCH('001_population_health_zone_zs'!$B256,[1]ratio_ins!$B:$B,0))</f>
        <v>4687.0833360000006</v>
      </c>
      <c r="AL256" s="10">
        <f>INDEX([1]ratio_ins!AI:AI,MATCH('001_population_health_zone_zs'!$B$2,[1]ratio_ins!$B:$B,0))*$G256*INDEX([1]ratio_ins!$D:$D,MATCH('001_population_health_zone_zs'!$B256,[1]ratio_ins!$B:$B,0))</f>
        <v>4433.7274800000005</v>
      </c>
      <c r="AM256" s="10">
        <f>INDEX([1]ratio_ins!AJ:AJ,MATCH('001_population_health_zone_zs'!$B$2,[1]ratio_ins!$B:$B,0))*$G256*INDEX([1]ratio_ins!$D:$D,MATCH('001_population_health_zone_zs'!$B256,[1]ratio_ins!$B:$B,0))</f>
        <v>4053.6936960000003</v>
      </c>
      <c r="AN256" s="10">
        <f>INDEX([1]ratio_ins!AK:AK,MATCH('001_population_health_zone_zs'!$B$2,[1]ratio_ins!$B:$B,0))*$G256*INDEX([1]ratio_ins!$D:$D,MATCH('001_population_health_zone_zs'!$B256,[1]ratio_ins!$B:$B,0))</f>
        <v>3800.3378399999997</v>
      </c>
      <c r="AO256" s="10">
        <f>INDEX([1]ratio_ins!AL:AL,MATCH('001_population_health_zone_zs'!$B$2,[1]ratio_ins!$B:$B,0))*$G256*INDEX([1]ratio_ins!$D:$D,MATCH('001_population_health_zone_zs'!$B256,[1]ratio_ins!$B:$B,0))</f>
        <v>2850.2533799999997</v>
      </c>
      <c r="AP256" s="10">
        <f>INDEX([1]ratio_ins!AM:AM,MATCH('001_population_health_zone_zs'!$B$2,[1]ratio_ins!$B:$B,0))*$G256*INDEX([1]ratio_ins!$D:$D,MATCH('001_population_health_zone_zs'!$B256,[1]ratio_ins!$B:$B,0))</f>
        <v>1836.8299559999998</v>
      </c>
      <c r="AQ256" s="10">
        <f>INDEX([1]ratio_ins!AN:AN,MATCH('001_population_health_zone_zs'!$B$2,[1]ratio_ins!$B:$B,0))*$G256*INDEX([1]ratio_ins!$D:$D,MATCH('001_population_health_zone_zs'!$B256,[1]ratio_ins!$B:$B,0))</f>
        <v>1456.7961719999998</v>
      </c>
      <c r="AR256" s="10">
        <f>INDEX([1]ratio_ins!AO:AO,MATCH('001_population_health_zone_zs'!$B$2,[1]ratio_ins!$B:$B,0))*$G256*INDEX([1]ratio_ins!$D:$D,MATCH('001_population_health_zone_zs'!$B256,[1]ratio_ins!$B:$B,0))</f>
        <v>696.72860400000013</v>
      </c>
      <c r="AS256" s="13">
        <f>INDEX([1]ratio_ins!AP:AP,MATCH('001_population_health_zone_zs'!$B$2,[1]ratio_ins!$B:$B,0))*$G256*INDEX([1]ratio_ins!$D:$D,MATCH('001_population_health_zone_zs'!$B256,[1]ratio_ins!$B:$B,0))</f>
        <v>25918.3040688</v>
      </c>
      <c r="AT256" s="10">
        <f>INDEX([1]ratio_ins!AQ:AQ,MATCH('001_population_health_zone_zs'!$B$2,[1]ratio_ins!$B:$B,0))*$G256*INDEX([1]ratio_ins!$D:$D,MATCH('001_population_health_zone_zs'!$B256,[1]ratio_ins!$B:$B,0))</f>
        <v>633.38963999999999</v>
      </c>
      <c r="AU256" s="10">
        <f>INDEX([1]ratio_ins!AR:AR,MATCH('001_population_health_zone_zs'!$B$2,[1]ratio_ins!$B:$B,0))*$G256*INDEX([1]ratio_ins!$D:$D,MATCH('001_population_health_zone_zs'!$B256,[1]ratio_ins!$B:$B,0))</f>
        <v>380.03378400000003</v>
      </c>
      <c r="AV256" s="10">
        <f>INDEX([1]ratio_ins!AS:AS,MATCH('001_population_health_zone_zs'!$B$2,[1]ratio_ins!$B:$B,0))*$G256*INDEX([1]ratio_ins!$D:$D,MATCH('001_population_health_zone_zs'!$B256,[1]ratio_ins!$B:$B,0))</f>
        <v>190.01689200000001</v>
      </c>
      <c r="AW256" s="10">
        <f>INDEX([1]ratio_ins!AT:AT,MATCH('001_population_health_zone_zs'!$B$2,[1]ratio_ins!$B:$B,0))*$G256*INDEX([1]ratio_ins!$D:$D,MATCH('001_population_health_zone_zs'!$B256,[1]ratio_ins!$B:$B,0))</f>
        <v>126.67792800000001</v>
      </c>
      <c r="AX256" s="13">
        <f>INDEX([1]ratio_ins!AU:AU,MATCH('001_population_health_zone_zs'!$B$2,[1]ratio_ins!$B:$B,0))*$G256*INDEX([1]ratio_ins!$D:$D,MATCH('001_population_health_zone_zs'!$B256,[1]ratio_ins!$B:$B,0))</f>
        <v>1330.118244</v>
      </c>
      <c r="AY256" s="14">
        <f t="shared" si="19"/>
        <v>63338.963999999993</v>
      </c>
      <c r="AZ256" s="15">
        <f t="shared" si="20"/>
        <v>124683</v>
      </c>
      <c r="BA256" s="16">
        <v>121292.52214239139</v>
      </c>
      <c r="BB256" s="10">
        <f t="shared" si="21"/>
        <v>26919.059700000002</v>
      </c>
      <c r="BC256" s="17">
        <f t="shared" si="22"/>
        <v>0.21590000000000001</v>
      </c>
      <c r="BD256" s="10">
        <f t="shared" si="23"/>
        <v>25580.463012</v>
      </c>
    </row>
    <row r="257" spans="1:56" x14ac:dyDescent="0.25">
      <c r="A257" s="8" t="s">
        <v>590</v>
      </c>
      <c r="B257" s="8" t="s">
        <v>591</v>
      </c>
      <c r="C257" s="8" t="s">
        <v>615</v>
      </c>
      <c r="D257" s="8" t="s">
        <v>616</v>
      </c>
      <c r="E257" s="8" t="s">
        <v>639</v>
      </c>
      <c r="F257" s="8" t="s">
        <v>640</v>
      </c>
      <c r="G257" s="9">
        <v>176330</v>
      </c>
      <c r="H257" s="10">
        <f>INDEX([1]ratio_ins!F:F,MATCH('001_population_health_zone_zs'!$B$2,[1]ratio_ins!$B:$B,0))*$G257*INDEX([1]ratio_ins!$C:$C,MATCH('001_population_health_zone_zs'!$B257,[1]ratio_ins!$B:$B,0))</f>
        <v>18131.661240000001</v>
      </c>
      <c r="I257" s="10">
        <f>INDEX([1]ratio_ins!G:G,MATCH('001_population_health_zone_zs'!$B$2,[1]ratio_ins!$B:$B,0))*$G257*INDEX([1]ratio_ins!$C:$C,MATCH('001_population_health_zone_zs'!$B257,[1]ratio_ins!$B:$B,0))</f>
        <v>14834.995560000003</v>
      </c>
      <c r="J257" s="10">
        <f>INDEX([1]ratio_ins!H:H,MATCH('001_population_health_zone_zs'!$B$2,[1]ratio_ins!$B:$B,0))*$G257*INDEX([1]ratio_ins!$C:$C,MATCH('001_population_health_zone_zs'!$B257,[1]ratio_ins!$B:$B,0))</f>
        <v>11711.838600000003</v>
      </c>
      <c r="K257" s="10">
        <f>INDEX([1]ratio_ins!I:I,MATCH('001_population_health_zone_zs'!$B$2,[1]ratio_ins!$B:$B,0))*$G257*INDEX([1]ratio_ins!$C:$C,MATCH('001_population_health_zone_zs'!$B257,[1]ratio_ins!$B:$B,0))</f>
        <v>7200.6118800000013</v>
      </c>
      <c r="L257" s="10">
        <f>INDEX([1]ratio_ins!J:J,MATCH('001_population_health_zone_zs'!$B$2,[1]ratio_ins!$B:$B,0))*$G257*INDEX([1]ratio_ins!$C:$C,MATCH('001_population_health_zone_zs'!$B257,[1]ratio_ins!$B:$B,0))</f>
        <v>4320.3671280000008</v>
      </c>
      <c r="M257" s="11">
        <f>INDEX([1]ratio_ins!K:K,MATCH('001_population_health_zone_zs'!$B$2,[1]ratio_ins!$B:$B,0))*$G257*INDEX([1]ratio_ins!$C:$C,MATCH('001_population_health_zone_zs'!$B257,[1]ratio_ins!$B:$B,0))</f>
        <v>48998.862528000005</v>
      </c>
      <c r="N257" s="10">
        <f>INDEX([1]ratio_ins!L:L,MATCH('001_population_health_zone_zs'!$B$2,[1]ratio_ins!$B:$B,0))*$G257*INDEX([1]ratio_ins!$C:$C,MATCH('001_population_health_zone_zs'!$B257,[1]ratio_ins!$B:$B,0))</f>
        <v>2880.2447520000001</v>
      </c>
      <c r="O257" s="10">
        <f>INDEX([1]ratio_ins!M:M,MATCH('001_population_health_zone_zs'!$B$2,[1]ratio_ins!$B:$B,0))*$G257*INDEX([1]ratio_ins!$C:$C,MATCH('001_population_health_zone_zs'!$B257,[1]ratio_ins!$B:$B,0))</f>
        <v>6246.3139200000014</v>
      </c>
      <c r="P257" s="10">
        <f>INDEX([1]ratio_ins!N:N,MATCH('001_population_health_zone_zs'!$B$2,[1]ratio_ins!$B:$B,0))*$G257*INDEX([1]ratio_ins!$C:$C,MATCH('001_population_health_zone_zs'!$B257,[1]ratio_ins!$B:$B,0))</f>
        <v>5639.0334000000012</v>
      </c>
      <c r="Q257" s="10">
        <f>INDEX([1]ratio_ins!O:O,MATCH('001_population_health_zone_zs'!$B$2,[1]ratio_ins!$B:$B,0))*$G257*INDEX([1]ratio_ins!$C:$C,MATCH('001_population_health_zone_zs'!$B257,[1]ratio_ins!$B:$B,0))</f>
        <v>5031.75288</v>
      </c>
      <c r="R257" s="10">
        <f>INDEX([1]ratio_ins!P:P,MATCH('001_population_health_zone_zs'!$B$2,[1]ratio_ins!$B:$B,0))*$G257*INDEX([1]ratio_ins!$C:$C,MATCH('001_population_health_zone_zs'!$B257,[1]ratio_ins!$B:$B,0))</f>
        <v>4944.9985200000001</v>
      </c>
      <c r="S257" s="10">
        <f>INDEX([1]ratio_ins!Q:Q,MATCH('001_population_health_zone_zs'!$B$2,[1]ratio_ins!$B:$B,0))*$G257*INDEX([1]ratio_ins!$C:$C,MATCH('001_population_health_zone_zs'!$B257,[1]ratio_ins!$B:$B,0))</f>
        <v>4164.20928</v>
      </c>
      <c r="T257" s="10">
        <f>INDEX([1]ratio_ins!R:R,MATCH('001_population_health_zone_zs'!$B$2,[1]ratio_ins!$B:$B,0))*$G257*INDEX([1]ratio_ins!$C:$C,MATCH('001_population_health_zone_zs'!$B257,[1]ratio_ins!$B:$B,0))</f>
        <v>2949.6482400000004</v>
      </c>
      <c r="U257" s="10">
        <f>INDEX([1]ratio_ins!S:S,MATCH('001_population_health_zone_zs'!$B$2,[1]ratio_ins!$B:$B,0))*$G257*INDEX([1]ratio_ins!$C:$C,MATCH('001_population_health_zone_zs'!$B257,[1]ratio_ins!$B:$B,0))</f>
        <v>2342.3677200000006</v>
      </c>
      <c r="V257" s="10">
        <f>INDEX([1]ratio_ins!T:T,MATCH('001_population_health_zone_zs'!$B$2,[1]ratio_ins!$B:$B,0))*$G257*INDEX([1]ratio_ins!$C:$C,MATCH('001_population_health_zone_zs'!$B257,[1]ratio_ins!$B:$B,0))</f>
        <v>1301.3154</v>
      </c>
      <c r="W257" s="11">
        <f>INDEX([1]ratio_ins!U:U,MATCH('001_population_health_zone_zs'!$B$2,[1]ratio_ins!$B:$B,0))*$G257*INDEX([1]ratio_ins!$C:$C,MATCH('001_population_health_zone_zs'!$B257,[1]ratio_ins!$B:$B,0))</f>
        <v>35499.884112000007</v>
      </c>
      <c r="X257" s="10">
        <f>INDEX([1]ratio_ins!V:V,MATCH('001_population_health_zone_zs'!$B$2,[1]ratio_ins!$B:$B,0))*$G257*INDEX([1]ratio_ins!$C:$C,MATCH('001_population_health_zone_zs'!$B257,[1]ratio_ins!$B:$B,0))</f>
        <v>1041.05232</v>
      </c>
      <c r="Y257" s="10">
        <f>INDEX([1]ratio_ins!W:W,MATCH('001_population_health_zone_zs'!$B$2,[1]ratio_ins!$B:$B,0))*$G257*INDEX([1]ratio_ins!$C:$C,MATCH('001_population_health_zone_zs'!$B257,[1]ratio_ins!$B:$B,0))</f>
        <v>694.03488000000016</v>
      </c>
      <c r="Z257" s="10">
        <f>INDEX([1]ratio_ins!X:X,MATCH('001_population_health_zone_zs'!$B$2,[1]ratio_ins!$B:$B,0))*$G257*INDEX([1]ratio_ins!$C:$C,MATCH('001_population_health_zone_zs'!$B257,[1]ratio_ins!$B:$B,0))</f>
        <v>347.01744000000008</v>
      </c>
      <c r="AA257" s="10">
        <f>INDEX([1]ratio_ins!Y:Y,MATCH('001_population_health_zone_zs'!$B$2,[1]ratio_ins!$B:$B,0))*$G257*INDEX([1]ratio_ins!$C:$C,MATCH('001_population_health_zone_zs'!$B257,[1]ratio_ins!$B:$B,0))</f>
        <v>173.50872000000004</v>
      </c>
      <c r="AB257" s="11">
        <f>INDEX([1]ratio_ins!Z:Z,MATCH('001_population_health_zone_zs'!$B$2,[1]ratio_ins!$B:$B,0))*$G257*INDEX([1]ratio_ins!$C:$C,MATCH('001_population_health_zone_zs'!$B257,[1]ratio_ins!$B:$B,0))</f>
        <v>2255.6133600000007</v>
      </c>
      <c r="AC257" s="12">
        <f t="shared" si="18"/>
        <v>86754.360000000015</v>
      </c>
      <c r="AD257" s="10">
        <f>INDEX([1]ratio_ins!AA:AA,MATCH('001_population_health_zone_zs'!$B$2,[1]ratio_ins!$B:$B,0))*$G257*INDEX([1]ratio_ins!$D:$D,MATCH('001_population_health_zone_zs'!$B257,[1]ratio_ins!$B:$B,0))</f>
        <v>18810.884399999999</v>
      </c>
      <c r="AE257" s="10">
        <f>INDEX([1]ratio_ins!AB:AB,MATCH('001_population_health_zone_zs'!$B$2,[1]ratio_ins!$B:$B,0))*$G257*INDEX([1]ratio_ins!$D:$D,MATCH('001_population_health_zone_zs'!$B257,[1]ratio_ins!$B:$B,0))</f>
        <v>15496.585720000003</v>
      </c>
      <c r="AF257" s="10">
        <f>INDEX([1]ratio_ins!AC:AC,MATCH('001_population_health_zone_zs'!$B$2,[1]ratio_ins!$B:$B,0))*$G257*INDEX([1]ratio_ins!$D:$D,MATCH('001_population_health_zone_zs'!$B257,[1]ratio_ins!$B:$B,0))</f>
        <v>12271.862679999998</v>
      </c>
      <c r="AG257" s="10">
        <f>INDEX([1]ratio_ins!AD:AD,MATCH('001_population_health_zone_zs'!$B$2,[1]ratio_ins!$B:$B,0))*$G257*INDEX([1]ratio_ins!$D:$D,MATCH('001_population_health_zone_zs'!$B257,[1]ratio_ins!$B:$B,0))</f>
        <v>7434.7781200000009</v>
      </c>
      <c r="AH257" s="10">
        <f>INDEX([1]ratio_ins!AE:AE,MATCH('001_population_health_zone_zs'!$B$2,[1]ratio_ins!$B:$B,0))*$G257*INDEX([1]ratio_ins!$D:$D,MATCH('001_population_health_zone_zs'!$B257,[1]ratio_ins!$B:$B,0))</f>
        <v>4460.8668720000005</v>
      </c>
      <c r="AI257" s="13">
        <f>INDEX([1]ratio_ins!AF:AF,MATCH('001_population_health_zone_zs'!$B$2,[1]ratio_ins!$B:$B,0))*$G257*INDEX([1]ratio_ins!$D:$D,MATCH('001_population_health_zone_zs'!$B257,[1]ratio_ins!$B:$B,0))</f>
        <v>51040.199671999995</v>
      </c>
      <c r="AJ257" s="10">
        <f>INDEX([1]ratio_ins!AG:AG,MATCH('001_population_health_zone_zs'!$B$2,[1]ratio_ins!$B:$B,0))*$G257*INDEX([1]ratio_ins!$D:$D,MATCH('001_population_health_zone_zs'!$B257,[1]ratio_ins!$B:$B,0))</f>
        <v>2973.9112479999999</v>
      </c>
      <c r="AK257" s="10">
        <f>INDEX([1]ratio_ins!AH:AH,MATCH('001_population_health_zone_zs'!$B$2,[1]ratio_ins!$B:$B,0))*$G257*INDEX([1]ratio_ins!$D:$D,MATCH('001_population_health_zone_zs'!$B257,[1]ratio_ins!$B:$B,0))</f>
        <v>6628.5973600000007</v>
      </c>
      <c r="AL257" s="10">
        <f>INDEX([1]ratio_ins!AI:AI,MATCH('001_population_health_zone_zs'!$B$2,[1]ratio_ins!$B:$B,0))*$G257*INDEX([1]ratio_ins!$D:$D,MATCH('001_population_health_zone_zs'!$B257,[1]ratio_ins!$B:$B,0))</f>
        <v>6270.2948000000006</v>
      </c>
      <c r="AM257" s="10">
        <f>INDEX([1]ratio_ins!AJ:AJ,MATCH('001_population_health_zone_zs'!$B$2,[1]ratio_ins!$B:$B,0))*$G257*INDEX([1]ratio_ins!$D:$D,MATCH('001_population_health_zone_zs'!$B257,[1]ratio_ins!$B:$B,0))</f>
        <v>5732.8409600000005</v>
      </c>
      <c r="AN257" s="10">
        <f>INDEX([1]ratio_ins!AK:AK,MATCH('001_population_health_zone_zs'!$B$2,[1]ratio_ins!$B:$B,0))*$G257*INDEX([1]ratio_ins!$D:$D,MATCH('001_population_health_zone_zs'!$B257,[1]ratio_ins!$B:$B,0))</f>
        <v>5374.5383999999995</v>
      </c>
      <c r="AO257" s="10">
        <f>INDEX([1]ratio_ins!AL:AL,MATCH('001_population_health_zone_zs'!$B$2,[1]ratio_ins!$B:$B,0))*$G257*INDEX([1]ratio_ins!$D:$D,MATCH('001_population_health_zone_zs'!$B257,[1]ratio_ins!$B:$B,0))</f>
        <v>4030.9037999999996</v>
      </c>
      <c r="AP257" s="10">
        <f>INDEX([1]ratio_ins!AM:AM,MATCH('001_population_health_zone_zs'!$B$2,[1]ratio_ins!$B:$B,0))*$G257*INDEX([1]ratio_ins!$D:$D,MATCH('001_population_health_zone_zs'!$B257,[1]ratio_ins!$B:$B,0))</f>
        <v>2597.6935599999997</v>
      </c>
      <c r="AQ257" s="10">
        <f>INDEX([1]ratio_ins!AN:AN,MATCH('001_population_health_zone_zs'!$B$2,[1]ratio_ins!$B:$B,0))*$G257*INDEX([1]ratio_ins!$D:$D,MATCH('001_population_health_zone_zs'!$B257,[1]ratio_ins!$B:$B,0))</f>
        <v>2060.23972</v>
      </c>
      <c r="AR257" s="10">
        <f>INDEX([1]ratio_ins!AO:AO,MATCH('001_population_health_zone_zs'!$B$2,[1]ratio_ins!$B:$B,0))*$G257*INDEX([1]ratio_ins!$D:$D,MATCH('001_population_health_zone_zs'!$B257,[1]ratio_ins!$B:$B,0))</f>
        <v>985.33204000000012</v>
      </c>
      <c r="AS257" s="13">
        <f>INDEX([1]ratio_ins!AP:AP,MATCH('001_population_health_zone_zs'!$B$2,[1]ratio_ins!$B:$B,0))*$G257*INDEX([1]ratio_ins!$D:$D,MATCH('001_population_health_zone_zs'!$B257,[1]ratio_ins!$B:$B,0))</f>
        <v>36654.351888000005</v>
      </c>
      <c r="AT257" s="10">
        <f>INDEX([1]ratio_ins!AQ:AQ,MATCH('001_population_health_zone_zs'!$B$2,[1]ratio_ins!$B:$B,0))*$G257*INDEX([1]ratio_ins!$D:$D,MATCH('001_population_health_zone_zs'!$B257,[1]ratio_ins!$B:$B,0))</f>
        <v>895.75639999999999</v>
      </c>
      <c r="AU257" s="10">
        <f>INDEX([1]ratio_ins!AR:AR,MATCH('001_population_health_zone_zs'!$B$2,[1]ratio_ins!$B:$B,0))*$G257*INDEX([1]ratio_ins!$D:$D,MATCH('001_population_health_zone_zs'!$B257,[1]ratio_ins!$B:$B,0))</f>
        <v>537.45384000000001</v>
      </c>
      <c r="AV257" s="10">
        <f>INDEX([1]ratio_ins!AS:AS,MATCH('001_population_health_zone_zs'!$B$2,[1]ratio_ins!$B:$B,0))*$G257*INDEX([1]ratio_ins!$D:$D,MATCH('001_population_health_zone_zs'!$B257,[1]ratio_ins!$B:$B,0))</f>
        <v>268.72692000000001</v>
      </c>
      <c r="AW257" s="10">
        <f>INDEX([1]ratio_ins!AT:AT,MATCH('001_population_health_zone_zs'!$B$2,[1]ratio_ins!$B:$B,0))*$G257*INDEX([1]ratio_ins!$D:$D,MATCH('001_population_health_zone_zs'!$B257,[1]ratio_ins!$B:$B,0))</f>
        <v>179.15128000000001</v>
      </c>
      <c r="AX257" s="13">
        <f>INDEX([1]ratio_ins!AU:AU,MATCH('001_population_health_zone_zs'!$B$2,[1]ratio_ins!$B:$B,0))*$G257*INDEX([1]ratio_ins!$D:$D,MATCH('001_population_health_zone_zs'!$B257,[1]ratio_ins!$B:$B,0))</f>
        <v>1881.08844</v>
      </c>
      <c r="AY257" s="14">
        <f t="shared" si="19"/>
        <v>89575.64</v>
      </c>
      <c r="AZ257" s="15">
        <f t="shared" si="20"/>
        <v>176330</v>
      </c>
      <c r="BA257" s="16">
        <v>171534.40443709411</v>
      </c>
      <c r="BB257" s="10">
        <f t="shared" si="21"/>
        <v>38069.647000000004</v>
      </c>
      <c r="BC257" s="17">
        <f t="shared" si="22"/>
        <v>0.21590000000000004</v>
      </c>
      <c r="BD257" s="10">
        <f t="shared" si="23"/>
        <v>36176.568120000004</v>
      </c>
    </row>
    <row r="258" spans="1:56" x14ac:dyDescent="0.25">
      <c r="A258" s="8" t="s">
        <v>590</v>
      </c>
      <c r="B258" s="8" t="s">
        <v>591</v>
      </c>
      <c r="C258" s="8" t="s">
        <v>615</v>
      </c>
      <c r="D258" s="8" t="s">
        <v>616</v>
      </c>
      <c r="E258" s="8" t="s">
        <v>641</v>
      </c>
      <c r="F258" s="8" t="s">
        <v>642</v>
      </c>
      <c r="G258" s="9">
        <v>97164</v>
      </c>
      <c r="H258" s="10">
        <f>INDEX([1]ratio_ins!F:F,MATCH('001_population_health_zone_zs'!$B$2,[1]ratio_ins!$B:$B,0))*$G258*INDEX([1]ratio_ins!$C:$C,MATCH('001_population_health_zone_zs'!$B258,[1]ratio_ins!$B:$B,0))</f>
        <v>9991.1797920000008</v>
      </c>
      <c r="I258" s="10">
        <f>INDEX([1]ratio_ins!G:G,MATCH('001_population_health_zone_zs'!$B$2,[1]ratio_ins!$B:$B,0))*$G258*INDEX([1]ratio_ins!$C:$C,MATCH('001_population_health_zone_zs'!$B258,[1]ratio_ins!$B:$B,0))</f>
        <v>8174.6016480000017</v>
      </c>
      <c r="J258" s="10">
        <f>INDEX([1]ratio_ins!H:H,MATCH('001_population_health_zone_zs'!$B$2,[1]ratio_ins!$B:$B,0))*$G258*INDEX([1]ratio_ins!$C:$C,MATCH('001_population_health_zone_zs'!$B258,[1]ratio_ins!$B:$B,0))</f>
        <v>6453.632880000001</v>
      </c>
      <c r="K258" s="10">
        <f>INDEX([1]ratio_ins!I:I,MATCH('001_population_health_zone_zs'!$B$2,[1]ratio_ins!$B:$B,0))*$G258*INDEX([1]ratio_ins!$C:$C,MATCH('001_population_health_zone_zs'!$B258,[1]ratio_ins!$B:$B,0))</f>
        <v>3967.7891040000004</v>
      </c>
      <c r="L258" s="10">
        <f>INDEX([1]ratio_ins!J:J,MATCH('001_population_health_zone_zs'!$B$2,[1]ratio_ins!$B:$B,0))*$G258*INDEX([1]ratio_ins!$C:$C,MATCH('001_population_health_zone_zs'!$B258,[1]ratio_ins!$B:$B,0))</f>
        <v>2380.6734624000001</v>
      </c>
      <c r="M258" s="11">
        <f>INDEX([1]ratio_ins!K:K,MATCH('001_population_health_zone_zs'!$B$2,[1]ratio_ins!$B:$B,0))*$G258*INDEX([1]ratio_ins!$C:$C,MATCH('001_population_health_zone_zs'!$B258,[1]ratio_ins!$B:$B,0))</f>
        <v>27000.087782399998</v>
      </c>
      <c r="N258" s="10">
        <f>INDEX([1]ratio_ins!L:L,MATCH('001_population_health_zone_zs'!$B$2,[1]ratio_ins!$B:$B,0))*$G258*INDEX([1]ratio_ins!$C:$C,MATCH('001_population_health_zone_zs'!$B258,[1]ratio_ins!$B:$B,0))</f>
        <v>1587.1156416000001</v>
      </c>
      <c r="O258" s="10">
        <f>INDEX([1]ratio_ins!M:M,MATCH('001_population_health_zone_zs'!$B$2,[1]ratio_ins!$B:$B,0))*$G258*INDEX([1]ratio_ins!$C:$C,MATCH('001_population_health_zone_zs'!$B258,[1]ratio_ins!$B:$B,0))</f>
        <v>3441.9375360000008</v>
      </c>
      <c r="P258" s="10">
        <f>INDEX([1]ratio_ins!N:N,MATCH('001_population_health_zone_zs'!$B$2,[1]ratio_ins!$B:$B,0))*$G258*INDEX([1]ratio_ins!$C:$C,MATCH('001_population_health_zone_zs'!$B258,[1]ratio_ins!$B:$B,0))</f>
        <v>3107.3047200000001</v>
      </c>
      <c r="Q258" s="10">
        <f>INDEX([1]ratio_ins!O:O,MATCH('001_population_health_zone_zs'!$B$2,[1]ratio_ins!$B:$B,0))*$G258*INDEX([1]ratio_ins!$C:$C,MATCH('001_population_health_zone_zs'!$B258,[1]ratio_ins!$B:$B,0))</f>
        <v>2772.6719040000003</v>
      </c>
      <c r="R258" s="10">
        <f>INDEX([1]ratio_ins!P:P,MATCH('001_population_health_zone_zs'!$B$2,[1]ratio_ins!$B:$B,0))*$G258*INDEX([1]ratio_ins!$C:$C,MATCH('001_population_health_zone_zs'!$B258,[1]ratio_ins!$B:$B,0))</f>
        <v>2724.8672160000001</v>
      </c>
      <c r="S258" s="10">
        <f>INDEX([1]ratio_ins!Q:Q,MATCH('001_population_health_zone_zs'!$B$2,[1]ratio_ins!$B:$B,0))*$G258*INDEX([1]ratio_ins!$C:$C,MATCH('001_population_health_zone_zs'!$B258,[1]ratio_ins!$B:$B,0))</f>
        <v>2294.6250240000004</v>
      </c>
      <c r="T258" s="10">
        <f>INDEX([1]ratio_ins!R:R,MATCH('001_population_health_zone_zs'!$B$2,[1]ratio_ins!$B:$B,0))*$G258*INDEX([1]ratio_ins!$C:$C,MATCH('001_population_health_zone_zs'!$B258,[1]ratio_ins!$B:$B,0))</f>
        <v>1625.3593920000001</v>
      </c>
      <c r="U258" s="10">
        <f>INDEX([1]ratio_ins!S:S,MATCH('001_population_health_zone_zs'!$B$2,[1]ratio_ins!$B:$B,0))*$G258*INDEX([1]ratio_ins!$C:$C,MATCH('001_population_health_zone_zs'!$B258,[1]ratio_ins!$B:$B,0))</f>
        <v>1290.7265760000003</v>
      </c>
      <c r="V258" s="10">
        <f>INDEX([1]ratio_ins!T:T,MATCH('001_population_health_zone_zs'!$B$2,[1]ratio_ins!$B:$B,0))*$G258*INDEX([1]ratio_ins!$C:$C,MATCH('001_population_health_zone_zs'!$B258,[1]ratio_ins!$B:$B,0))</f>
        <v>717.07032000000004</v>
      </c>
      <c r="W258" s="11">
        <f>INDEX([1]ratio_ins!U:U,MATCH('001_population_health_zone_zs'!$B$2,[1]ratio_ins!$B:$B,0))*$G258*INDEX([1]ratio_ins!$C:$C,MATCH('001_population_health_zone_zs'!$B258,[1]ratio_ins!$B:$B,0))</f>
        <v>19561.678329600003</v>
      </c>
      <c r="X258" s="10">
        <f>INDEX([1]ratio_ins!V:V,MATCH('001_population_health_zone_zs'!$B$2,[1]ratio_ins!$B:$B,0))*$G258*INDEX([1]ratio_ins!$C:$C,MATCH('001_population_health_zone_zs'!$B258,[1]ratio_ins!$B:$B,0))</f>
        <v>573.6562560000001</v>
      </c>
      <c r="Y258" s="10">
        <f>INDEX([1]ratio_ins!W:W,MATCH('001_population_health_zone_zs'!$B$2,[1]ratio_ins!$B:$B,0))*$G258*INDEX([1]ratio_ins!$C:$C,MATCH('001_population_health_zone_zs'!$B258,[1]ratio_ins!$B:$B,0))</f>
        <v>382.43750400000005</v>
      </c>
      <c r="Z258" s="10">
        <f>INDEX([1]ratio_ins!X:X,MATCH('001_population_health_zone_zs'!$B$2,[1]ratio_ins!$B:$B,0))*$G258*INDEX([1]ratio_ins!$C:$C,MATCH('001_population_health_zone_zs'!$B258,[1]ratio_ins!$B:$B,0))</f>
        <v>191.21875200000002</v>
      </c>
      <c r="AA258" s="10">
        <f>INDEX([1]ratio_ins!Y:Y,MATCH('001_population_health_zone_zs'!$B$2,[1]ratio_ins!$B:$B,0))*$G258*INDEX([1]ratio_ins!$C:$C,MATCH('001_population_health_zone_zs'!$B258,[1]ratio_ins!$B:$B,0))</f>
        <v>95.609376000000012</v>
      </c>
      <c r="AB258" s="11">
        <f>INDEX([1]ratio_ins!Z:Z,MATCH('001_population_health_zone_zs'!$B$2,[1]ratio_ins!$B:$B,0))*$G258*INDEX([1]ratio_ins!$C:$C,MATCH('001_population_health_zone_zs'!$B258,[1]ratio_ins!$B:$B,0))</f>
        <v>1242.9218880000001</v>
      </c>
      <c r="AC258" s="12">
        <f t="shared" si="18"/>
        <v>47804.687999999995</v>
      </c>
      <c r="AD258" s="10">
        <f>INDEX([1]ratio_ins!AA:AA,MATCH('001_population_health_zone_zs'!$B$2,[1]ratio_ins!$B:$B,0))*$G258*INDEX([1]ratio_ins!$D:$D,MATCH('001_population_health_zone_zs'!$B258,[1]ratio_ins!$B:$B,0))</f>
        <v>10365.45552</v>
      </c>
      <c r="AE258" s="10">
        <f>INDEX([1]ratio_ins!AB:AB,MATCH('001_population_health_zone_zs'!$B$2,[1]ratio_ins!$B:$B,0))*$G258*INDEX([1]ratio_ins!$D:$D,MATCH('001_population_health_zone_zs'!$B258,[1]ratio_ins!$B:$B,0))</f>
        <v>8539.160976000001</v>
      </c>
      <c r="AF258" s="10">
        <f>INDEX([1]ratio_ins!AC:AC,MATCH('001_population_health_zone_zs'!$B$2,[1]ratio_ins!$B:$B,0))*$G258*INDEX([1]ratio_ins!$D:$D,MATCH('001_population_health_zone_zs'!$B258,[1]ratio_ins!$B:$B,0))</f>
        <v>6762.2257439999994</v>
      </c>
      <c r="AG258" s="10">
        <f>INDEX([1]ratio_ins!AD:AD,MATCH('001_population_health_zone_zs'!$B$2,[1]ratio_ins!$B:$B,0))*$G258*INDEX([1]ratio_ins!$D:$D,MATCH('001_population_health_zone_zs'!$B258,[1]ratio_ins!$B:$B,0))</f>
        <v>4096.8228959999997</v>
      </c>
      <c r="AH258" s="10">
        <f>INDEX([1]ratio_ins!AE:AE,MATCH('001_population_health_zone_zs'!$B$2,[1]ratio_ins!$B:$B,0))*$G258*INDEX([1]ratio_ins!$D:$D,MATCH('001_population_health_zone_zs'!$B258,[1]ratio_ins!$B:$B,0))</f>
        <v>2458.0937375999997</v>
      </c>
      <c r="AI258" s="13">
        <f>INDEX([1]ratio_ins!AF:AF,MATCH('001_population_health_zone_zs'!$B$2,[1]ratio_ins!$B:$B,0))*$G258*INDEX([1]ratio_ins!$D:$D,MATCH('001_population_health_zone_zs'!$B258,[1]ratio_ins!$B:$B,0))</f>
        <v>28124.935977600002</v>
      </c>
      <c r="AJ258" s="10">
        <f>INDEX([1]ratio_ins!AG:AG,MATCH('001_population_health_zone_zs'!$B$2,[1]ratio_ins!$B:$B,0))*$G258*INDEX([1]ratio_ins!$D:$D,MATCH('001_population_health_zone_zs'!$B258,[1]ratio_ins!$B:$B,0))</f>
        <v>1638.7291584</v>
      </c>
      <c r="AK258" s="10">
        <f>INDEX([1]ratio_ins!AH:AH,MATCH('001_population_health_zone_zs'!$B$2,[1]ratio_ins!$B:$B,0))*$G258*INDEX([1]ratio_ins!$D:$D,MATCH('001_population_health_zone_zs'!$B258,[1]ratio_ins!$B:$B,0))</f>
        <v>3652.5890880000006</v>
      </c>
      <c r="AL258" s="10">
        <f>INDEX([1]ratio_ins!AI:AI,MATCH('001_population_health_zone_zs'!$B$2,[1]ratio_ins!$B:$B,0))*$G258*INDEX([1]ratio_ins!$D:$D,MATCH('001_population_health_zone_zs'!$B258,[1]ratio_ins!$B:$B,0))</f>
        <v>3455.1518400000004</v>
      </c>
      <c r="AM258" s="10">
        <f>INDEX([1]ratio_ins!AJ:AJ,MATCH('001_population_health_zone_zs'!$B$2,[1]ratio_ins!$B:$B,0))*$G258*INDEX([1]ratio_ins!$D:$D,MATCH('001_population_health_zone_zs'!$B258,[1]ratio_ins!$B:$B,0))</f>
        <v>3158.9959680000002</v>
      </c>
      <c r="AN258" s="10">
        <f>INDEX([1]ratio_ins!AK:AK,MATCH('001_population_health_zone_zs'!$B$2,[1]ratio_ins!$B:$B,0))*$G258*INDEX([1]ratio_ins!$D:$D,MATCH('001_population_health_zone_zs'!$B258,[1]ratio_ins!$B:$B,0))</f>
        <v>2961.55872</v>
      </c>
      <c r="AO258" s="10">
        <f>INDEX([1]ratio_ins!AL:AL,MATCH('001_population_health_zone_zs'!$B$2,[1]ratio_ins!$B:$B,0))*$G258*INDEX([1]ratio_ins!$D:$D,MATCH('001_population_health_zone_zs'!$B258,[1]ratio_ins!$B:$B,0))</f>
        <v>2221.1690400000002</v>
      </c>
      <c r="AP258" s="10">
        <f>INDEX([1]ratio_ins!AM:AM,MATCH('001_population_health_zone_zs'!$B$2,[1]ratio_ins!$B:$B,0))*$G258*INDEX([1]ratio_ins!$D:$D,MATCH('001_population_health_zone_zs'!$B258,[1]ratio_ins!$B:$B,0))</f>
        <v>1431.420048</v>
      </c>
      <c r="AQ258" s="10">
        <f>INDEX([1]ratio_ins!AN:AN,MATCH('001_population_health_zone_zs'!$B$2,[1]ratio_ins!$B:$B,0))*$G258*INDEX([1]ratio_ins!$D:$D,MATCH('001_population_health_zone_zs'!$B258,[1]ratio_ins!$B:$B,0))</f>
        <v>1135.2641759999999</v>
      </c>
      <c r="AR258" s="10">
        <f>INDEX([1]ratio_ins!AO:AO,MATCH('001_population_health_zone_zs'!$B$2,[1]ratio_ins!$B:$B,0))*$G258*INDEX([1]ratio_ins!$D:$D,MATCH('001_population_health_zone_zs'!$B258,[1]ratio_ins!$B:$B,0))</f>
        <v>542.95243200000004</v>
      </c>
      <c r="AS258" s="13">
        <f>INDEX([1]ratio_ins!AP:AP,MATCH('001_population_health_zone_zs'!$B$2,[1]ratio_ins!$B:$B,0))*$G258*INDEX([1]ratio_ins!$D:$D,MATCH('001_population_health_zone_zs'!$B258,[1]ratio_ins!$B:$B,0))</f>
        <v>20197.8304704</v>
      </c>
      <c r="AT258" s="10">
        <f>INDEX([1]ratio_ins!AQ:AQ,MATCH('001_population_health_zone_zs'!$B$2,[1]ratio_ins!$B:$B,0))*$G258*INDEX([1]ratio_ins!$D:$D,MATCH('001_population_health_zone_zs'!$B258,[1]ratio_ins!$B:$B,0))</f>
        <v>493.59312</v>
      </c>
      <c r="AU258" s="10">
        <f>INDEX([1]ratio_ins!AR:AR,MATCH('001_population_health_zone_zs'!$B$2,[1]ratio_ins!$B:$B,0))*$G258*INDEX([1]ratio_ins!$D:$D,MATCH('001_population_health_zone_zs'!$B258,[1]ratio_ins!$B:$B,0))</f>
        <v>296.15587200000004</v>
      </c>
      <c r="AV258" s="10">
        <f>INDEX([1]ratio_ins!AS:AS,MATCH('001_population_health_zone_zs'!$B$2,[1]ratio_ins!$B:$B,0))*$G258*INDEX([1]ratio_ins!$D:$D,MATCH('001_population_health_zone_zs'!$B258,[1]ratio_ins!$B:$B,0))</f>
        <v>148.07793600000002</v>
      </c>
      <c r="AW258" s="10">
        <f>INDEX([1]ratio_ins!AT:AT,MATCH('001_population_health_zone_zs'!$B$2,[1]ratio_ins!$B:$B,0))*$G258*INDEX([1]ratio_ins!$D:$D,MATCH('001_population_health_zone_zs'!$B258,[1]ratio_ins!$B:$B,0))</f>
        <v>98.718624000000005</v>
      </c>
      <c r="AX258" s="13">
        <f>INDEX([1]ratio_ins!AU:AU,MATCH('001_population_health_zone_zs'!$B$2,[1]ratio_ins!$B:$B,0))*$G258*INDEX([1]ratio_ins!$D:$D,MATCH('001_population_health_zone_zs'!$B258,[1]ratio_ins!$B:$B,0))</f>
        <v>1036.5455519999998</v>
      </c>
      <c r="AY258" s="14">
        <f t="shared" si="19"/>
        <v>49359.312000000005</v>
      </c>
      <c r="AZ258" s="15">
        <f t="shared" si="20"/>
        <v>97164</v>
      </c>
      <c r="BA258" s="16">
        <v>94521.239125591572</v>
      </c>
      <c r="BB258" s="10">
        <f t="shared" si="21"/>
        <v>20977.707600000002</v>
      </c>
      <c r="BC258" s="17">
        <f t="shared" si="22"/>
        <v>0.21590000000000001</v>
      </c>
      <c r="BD258" s="10">
        <f t="shared" si="23"/>
        <v>19934.554896000001</v>
      </c>
    </row>
    <row r="259" spans="1:56" x14ac:dyDescent="0.25">
      <c r="A259" s="8" t="s">
        <v>590</v>
      </c>
      <c r="B259" s="8" t="s">
        <v>591</v>
      </c>
      <c r="C259" s="8" t="s">
        <v>643</v>
      </c>
      <c r="D259" s="8" t="s">
        <v>644</v>
      </c>
      <c r="E259" s="8" t="s">
        <v>645</v>
      </c>
      <c r="F259" s="8" t="s">
        <v>646</v>
      </c>
      <c r="G259" s="9">
        <v>144452</v>
      </c>
      <c r="H259" s="10">
        <f>INDEX([1]ratio_ins!F:F,MATCH('001_population_health_zone_zs'!$B$2,[1]ratio_ins!$B:$B,0))*$G259*INDEX([1]ratio_ins!$C:$C,MATCH('001_population_health_zone_zs'!$B259,[1]ratio_ins!$B:$B,0))</f>
        <v>14853.710256</v>
      </c>
      <c r="I259" s="10">
        <f>INDEX([1]ratio_ins!G:G,MATCH('001_population_health_zone_zs'!$B$2,[1]ratio_ins!$B:$B,0))*$G259*INDEX([1]ratio_ins!$C:$C,MATCH('001_population_health_zone_zs'!$B259,[1]ratio_ins!$B:$B,0))</f>
        <v>12153.035664000003</v>
      </c>
      <c r="J259" s="10">
        <f>INDEX([1]ratio_ins!H:H,MATCH('001_population_health_zone_zs'!$B$2,[1]ratio_ins!$B:$B,0))*$G259*INDEX([1]ratio_ins!$C:$C,MATCH('001_population_health_zone_zs'!$B259,[1]ratio_ins!$B:$B,0))</f>
        <v>9594.5018400000008</v>
      </c>
      <c r="K259" s="10">
        <f>INDEX([1]ratio_ins!I:I,MATCH('001_population_health_zone_zs'!$B$2,[1]ratio_ins!$B:$B,0))*$G259*INDEX([1]ratio_ins!$C:$C,MATCH('001_population_health_zone_zs'!$B259,[1]ratio_ins!$B:$B,0))</f>
        <v>5898.8418720000009</v>
      </c>
      <c r="L259" s="10">
        <f>INDEX([1]ratio_ins!J:J,MATCH('001_population_health_zone_zs'!$B$2,[1]ratio_ins!$B:$B,0))*$G259*INDEX([1]ratio_ins!$C:$C,MATCH('001_population_health_zone_zs'!$B259,[1]ratio_ins!$B:$B,0))</f>
        <v>3539.3051231999998</v>
      </c>
      <c r="M259" s="11">
        <f>INDEX([1]ratio_ins!K:K,MATCH('001_population_health_zone_zs'!$B$2,[1]ratio_ins!$B:$B,0))*$G259*INDEX([1]ratio_ins!$C:$C,MATCH('001_population_health_zone_zs'!$B259,[1]ratio_ins!$B:$B,0))</f>
        <v>40140.552883200005</v>
      </c>
      <c r="N259" s="10">
        <f>INDEX([1]ratio_ins!L:L,MATCH('001_population_health_zone_zs'!$B$2,[1]ratio_ins!$B:$B,0))*$G259*INDEX([1]ratio_ins!$C:$C,MATCH('001_population_health_zone_zs'!$B259,[1]ratio_ins!$B:$B,0))</f>
        <v>2359.5367488000006</v>
      </c>
      <c r="O259" s="10">
        <f>INDEX([1]ratio_ins!M:M,MATCH('001_population_health_zone_zs'!$B$2,[1]ratio_ins!$B:$B,0))*$G259*INDEX([1]ratio_ins!$C:$C,MATCH('001_population_health_zone_zs'!$B259,[1]ratio_ins!$B:$B,0))</f>
        <v>5117.0676480000011</v>
      </c>
      <c r="P259" s="10">
        <f>INDEX([1]ratio_ins!N:N,MATCH('001_population_health_zone_zs'!$B$2,[1]ratio_ins!$B:$B,0))*$G259*INDEX([1]ratio_ins!$C:$C,MATCH('001_population_health_zone_zs'!$B259,[1]ratio_ins!$B:$B,0))</f>
        <v>4619.5749600000008</v>
      </c>
      <c r="Q259" s="10">
        <f>INDEX([1]ratio_ins!O:O,MATCH('001_population_health_zone_zs'!$B$2,[1]ratio_ins!$B:$B,0))*$G259*INDEX([1]ratio_ins!$C:$C,MATCH('001_population_health_zone_zs'!$B259,[1]ratio_ins!$B:$B,0))</f>
        <v>4122.0822719999996</v>
      </c>
      <c r="R259" s="10">
        <f>INDEX([1]ratio_ins!P:P,MATCH('001_population_health_zone_zs'!$B$2,[1]ratio_ins!$B:$B,0))*$G259*INDEX([1]ratio_ins!$C:$C,MATCH('001_population_health_zone_zs'!$B259,[1]ratio_ins!$B:$B,0))</f>
        <v>4051.0118880000009</v>
      </c>
      <c r="S259" s="10">
        <f>INDEX([1]ratio_ins!Q:Q,MATCH('001_population_health_zone_zs'!$B$2,[1]ratio_ins!$B:$B,0))*$G259*INDEX([1]ratio_ins!$C:$C,MATCH('001_population_health_zone_zs'!$B259,[1]ratio_ins!$B:$B,0))</f>
        <v>3411.3784320000004</v>
      </c>
      <c r="T259" s="10">
        <f>INDEX([1]ratio_ins!R:R,MATCH('001_population_health_zone_zs'!$B$2,[1]ratio_ins!$B:$B,0))*$G259*INDEX([1]ratio_ins!$C:$C,MATCH('001_population_health_zone_zs'!$B259,[1]ratio_ins!$B:$B,0))</f>
        <v>2416.3930560000003</v>
      </c>
      <c r="U259" s="10">
        <f>INDEX([1]ratio_ins!S:S,MATCH('001_population_health_zone_zs'!$B$2,[1]ratio_ins!$B:$B,0))*$G259*INDEX([1]ratio_ins!$C:$C,MATCH('001_population_health_zone_zs'!$B259,[1]ratio_ins!$B:$B,0))</f>
        <v>1918.9003680000005</v>
      </c>
      <c r="V259" s="10">
        <f>INDEX([1]ratio_ins!T:T,MATCH('001_population_health_zone_zs'!$B$2,[1]ratio_ins!$B:$B,0))*$G259*INDEX([1]ratio_ins!$C:$C,MATCH('001_population_health_zone_zs'!$B259,[1]ratio_ins!$B:$B,0))</f>
        <v>1066.05576</v>
      </c>
      <c r="W259" s="11">
        <f>INDEX([1]ratio_ins!U:U,MATCH('001_population_health_zone_zs'!$B$2,[1]ratio_ins!$B:$B,0))*$G259*INDEX([1]ratio_ins!$C:$C,MATCH('001_population_health_zone_zs'!$B259,[1]ratio_ins!$B:$B,0))</f>
        <v>29082.001132800004</v>
      </c>
      <c r="X259" s="10">
        <f>INDEX([1]ratio_ins!V:V,MATCH('001_population_health_zone_zs'!$B$2,[1]ratio_ins!$B:$B,0))*$G259*INDEX([1]ratio_ins!$C:$C,MATCH('001_population_health_zone_zs'!$B259,[1]ratio_ins!$B:$B,0))</f>
        <v>852.84460800000011</v>
      </c>
      <c r="Y259" s="10">
        <f>INDEX([1]ratio_ins!W:W,MATCH('001_population_health_zone_zs'!$B$2,[1]ratio_ins!$B:$B,0))*$G259*INDEX([1]ratio_ins!$C:$C,MATCH('001_population_health_zone_zs'!$B259,[1]ratio_ins!$B:$B,0))</f>
        <v>568.56307200000003</v>
      </c>
      <c r="Z259" s="10">
        <f>INDEX([1]ratio_ins!X:X,MATCH('001_population_health_zone_zs'!$B$2,[1]ratio_ins!$B:$B,0))*$G259*INDEX([1]ratio_ins!$C:$C,MATCH('001_population_health_zone_zs'!$B259,[1]ratio_ins!$B:$B,0))</f>
        <v>284.28153600000002</v>
      </c>
      <c r="AA259" s="10">
        <f>INDEX([1]ratio_ins!Y:Y,MATCH('001_population_health_zone_zs'!$B$2,[1]ratio_ins!$B:$B,0))*$G259*INDEX([1]ratio_ins!$C:$C,MATCH('001_population_health_zone_zs'!$B259,[1]ratio_ins!$B:$B,0))</f>
        <v>142.14076800000001</v>
      </c>
      <c r="AB259" s="11">
        <f>INDEX([1]ratio_ins!Z:Z,MATCH('001_population_health_zone_zs'!$B$2,[1]ratio_ins!$B:$B,0))*$G259*INDEX([1]ratio_ins!$C:$C,MATCH('001_population_health_zone_zs'!$B259,[1]ratio_ins!$B:$B,0))</f>
        <v>1847.8299840000004</v>
      </c>
      <c r="AC259" s="12">
        <f t="shared" ref="AC259:AC322" si="24">M259+W259+AB259</f>
        <v>71070.384000000005</v>
      </c>
      <c r="AD259" s="10">
        <f>INDEX([1]ratio_ins!AA:AA,MATCH('001_population_health_zone_zs'!$B$2,[1]ratio_ins!$B:$B,0))*$G259*INDEX([1]ratio_ins!$D:$D,MATCH('001_population_health_zone_zs'!$B259,[1]ratio_ins!$B:$B,0))</f>
        <v>15410.139359999999</v>
      </c>
      <c r="AE259" s="10">
        <f>INDEX([1]ratio_ins!AB:AB,MATCH('001_population_health_zone_zs'!$B$2,[1]ratio_ins!$B:$B,0))*$G259*INDEX([1]ratio_ins!$D:$D,MATCH('001_population_health_zone_zs'!$B259,[1]ratio_ins!$B:$B,0))</f>
        <v>12695.019568000002</v>
      </c>
      <c r="AF259" s="10">
        <f>INDEX([1]ratio_ins!AC:AC,MATCH('001_population_health_zone_zs'!$B$2,[1]ratio_ins!$B:$B,0))*$G259*INDEX([1]ratio_ins!$D:$D,MATCH('001_population_health_zone_zs'!$B259,[1]ratio_ins!$B:$B,0))</f>
        <v>10053.281391999999</v>
      </c>
      <c r="AG259" s="10">
        <f>INDEX([1]ratio_ins!AD:AD,MATCH('001_population_health_zone_zs'!$B$2,[1]ratio_ins!$B:$B,0))*$G259*INDEX([1]ratio_ins!$D:$D,MATCH('001_population_health_zone_zs'!$B259,[1]ratio_ins!$B:$B,0))</f>
        <v>6090.6741280000006</v>
      </c>
      <c r="AH259" s="10">
        <f>INDEX([1]ratio_ins!AE:AE,MATCH('001_population_health_zone_zs'!$B$2,[1]ratio_ins!$B:$B,0))*$G259*INDEX([1]ratio_ins!$D:$D,MATCH('001_population_health_zone_zs'!$B259,[1]ratio_ins!$B:$B,0))</f>
        <v>3654.4044767999999</v>
      </c>
      <c r="AI259" s="13">
        <f>INDEX([1]ratio_ins!AF:AF,MATCH('001_population_health_zone_zs'!$B$2,[1]ratio_ins!$B:$B,0))*$G259*INDEX([1]ratio_ins!$D:$D,MATCH('001_population_health_zone_zs'!$B259,[1]ratio_ins!$B:$B,0))</f>
        <v>41812.844796799996</v>
      </c>
      <c r="AJ259" s="10">
        <f>INDEX([1]ratio_ins!AG:AG,MATCH('001_population_health_zone_zs'!$B$2,[1]ratio_ins!$B:$B,0))*$G259*INDEX([1]ratio_ins!$D:$D,MATCH('001_population_health_zone_zs'!$B259,[1]ratio_ins!$B:$B,0))</f>
        <v>2436.2696512000002</v>
      </c>
      <c r="AK259" s="10">
        <f>INDEX([1]ratio_ins!AH:AH,MATCH('001_population_health_zone_zs'!$B$2,[1]ratio_ins!$B:$B,0))*$G259*INDEX([1]ratio_ins!$D:$D,MATCH('001_population_health_zone_zs'!$B259,[1]ratio_ins!$B:$B,0))</f>
        <v>5430.2395840000008</v>
      </c>
      <c r="AL259" s="10">
        <f>INDEX([1]ratio_ins!AI:AI,MATCH('001_population_health_zone_zs'!$B$2,[1]ratio_ins!$B:$B,0))*$G259*INDEX([1]ratio_ins!$D:$D,MATCH('001_population_health_zone_zs'!$B259,[1]ratio_ins!$B:$B,0))</f>
        <v>5136.7131200000003</v>
      </c>
      <c r="AM259" s="10">
        <f>INDEX([1]ratio_ins!AJ:AJ,MATCH('001_population_health_zone_zs'!$B$2,[1]ratio_ins!$B:$B,0))*$G259*INDEX([1]ratio_ins!$D:$D,MATCH('001_population_health_zone_zs'!$B259,[1]ratio_ins!$B:$B,0))</f>
        <v>4696.4234239999996</v>
      </c>
      <c r="AN259" s="10">
        <f>INDEX([1]ratio_ins!AK:AK,MATCH('001_population_health_zone_zs'!$B$2,[1]ratio_ins!$B:$B,0))*$G259*INDEX([1]ratio_ins!$D:$D,MATCH('001_population_health_zone_zs'!$B259,[1]ratio_ins!$B:$B,0))</f>
        <v>4402.8969599999991</v>
      </c>
      <c r="AO259" s="10">
        <f>INDEX([1]ratio_ins!AL:AL,MATCH('001_population_health_zone_zs'!$B$2,[1]ratio_ins!$B:$B,0))*$G259*INDEX([1]ratio_ins!$D:$D,MATCH('001_population_health_zone_zs'!$B259,[1]ratio_ins!$B:$B,0))</f>
        <v>3302.17272</v>
      </c>
      <c r="AP259" s="10">
        <f>INDEX([1]ratio_ins!AM:AM,MATCH('001_population_health_zone_zs'!$B$2,[1]ratio_ins!$B:$B,0))*$G259*INDEX([1]ratio_ins!$D:$D,MATCH('001_population_health_zone_zs'!$B259,[1]ratio_ins!$B:$B,0))</f>
        <v>2128.0668639999994</v>
      </c>
      <c r="AQ259" s="10">
        <f>INDEX([1]ratio_ins!AN:AN,MATCH('001_population_health_zone_zs'!$B$2,[1]ratio_ins!$B:$B,0))*$G259*INDEX([1]ratio_ins!$D:$D,MATCH('001_population_health_zone_zs'!$B259,[1]ratio_ins!$B:$B,0))</f>
        <v>1687.7771679999998</v>
      </c>
      <c r="AR259" s="10">
        <f>INDEX([1]ratio_ins!AO:AO,MATCH('001_population_health_zone_zs'!$B$2,[1]ratio_ins!$B:$B,0))*$G259*INDEX([1]ratio_ins!$D:$D,MATCH('001_population_health_zone_zs'!$B259,[1]ratio_ins!$B:$B,0))</f>
        <v>807.19777600000009</v>
      </c>
      <c r="AS259" s="13">
        <f>INDEX([1]ratio_ins!AP:AP,MATCH('001_population_health_zone_zs'!$B$2,[1]ratio_ins!$B:$B,0))*$G259*INDEX([1]ratio_ins!$D:$D,MATCH('001_population_health_zone_zs'!$B259,[1]ratio_ins!$B:$B,0))</f>
        <v>30027.757267199999</v>
      </c>
      <c r="AT259" s="10">
        <f>INDEX([1]ratio_ins!AQ:AQ,MATCH('001_population_health_zone_zs'!$B$2,[1]ratio_ins!$B:$B,0))*$G259*INDEX([1]ratio_ins!$D:$D,MATCH('001_population_health_zone_zs'!$B259,[1]ratio_ins!$B:$B,0))</f>
        <v>733.81615999999997</v>
      </c>
      <c r="AU259" s="10">
        <f>INDEX([1]ratio_ins!AR:AR,MATCH('001_population_health_zone_zs'!$B$2,[1]ratio_ins!$B:$B,0))*$G259*INDEX([1]ratio_ins!$D:$D,MATCH('001_population_health_zone_zs'!$B259,[1]ratio_ins!$B:$B,0))</f>
        <v>440.28969599999999</v>
      </c>
      <c r="AV259" s="10">
        <f>INDEX([1]ratio_ins!AS:AS,MATCH('001_population_health_zone_zs'!$B$2,[1]ratio_ins!$B:$B,0))*$G259*INDEX([1]ratio_ins!$D:$D,MATCH('001_population_health_zone_zs'!$B259,[1]ratio_ins!$B:$B,0))</f>
        <v>220.144848</v>
      </c>
      <c r="AW259" s="10">
        <f>INDEX([1]ratio_ins!AT:AT,MATCH('001_population_health_zone_zs'!$B$2,[1]ratio_ins!$B:$B,0))*$G259*INDEX([1]ratio_ins!$D:$D,MATCH('001_population_health_zone_zs'!$B259,[1]ratio_ins!$B:$B,0))</f>
        <v>146.76323199999999</v>
      </c>
      <c r="AX259" s="13">
        <f>INDEX([1]ratio_ins!AU:AU,MATCH('001_population_health_zone_zs'!$B$2,[1]ratio_ins!$B:$B,0))*$G259*INDEX([1]ratio_ins!$D:$D,MATCH('001_population_health_zone_zs'!$B259,[1]ratio_ins!$B:$B,0))</f>
        <v>1541.0139359999998</v>
      </c>
      <c r="AY259" s="14">
        <f t="shared" ref="AY259:AY322" si="25">AI259+AS259+AX259</f>
        <v>73381.615999999995</v>
      </c>
      <c r="AZ259" s="15">
        <f t="shared" ref="AZ259:AZ322" si="26">AC259+AY259</f>
        <v>144452</v>
      </c>
      <c r="BA259" s="16">
        <v>140523.18781560523</v>
      </c>
      <c r="BB259" s="10">
        <f t="shared" ref="BB259:BB322" si="27">SUM(AH259,AJ259,AK259:AP259)</f>
        <v>31187.186799999999</v>
      </c>
      <c r="BC259" s="17">
        <f t="shared" ref="BC259:BC322" si="28">BB259/G259</f>
        <v>0.21590000000000001</v>
      </c>
      <c r="BD259" s="10">
        <f t="shared" ref="BD259:BD322" si="29">SUM(L259,N259:T259)</f>
        <v>29636.350128000005</v>
      </c>
    </row>
    <row r="260" spans="1:56" x14ac:dyDescent="0.25">
      <c r="A260" s="8" t="s">
        <v>590</v>
      </c>
      <c r="B260" s="8" t="s">
        <v>591</v>
      </c>
      <c r="C260" s="8" t="s">
        <v>643</v>
      </c>
      <c r="D260" s="8" t="s">
        <v>644</v>
      </c>
      <c r="E260" s="8" t="s">
        <v>647</v>
      </c>
      <c r="F260" s="8" t="s">
        <v>648</v>
      </c>
      <c r="G260" s="9">
        <v>139233</v>
      </c>
      <c r="H260" s="10">
        <f>INDEX([1]ratio_ins!F:F,MATCH('001_population_health_zone_zs'!$B$2,[1]ratio_ins!$B:$B,0))*$G260*INDEX([1]ratio_ins!$C:$C,MATCH('001_population_health_zone_zs'!$B260,[1]ratio_ins!$B:$B,0))</f>
        <v>14317.050924000001</v>
      </c>
      <c r="I260" s="10">
        <f>INDEX([1]ratio_ins!G:G,MATCH('001_population_health_zone_zs'!$B$2,[1]ratio_ins!$B:$B,0))*$G260*INDEX([1]ratio_ins!$C:$C,MATCH('001_population_health_zone_zs'!$B260,[1]ratio_ins!$B:$B,0))</f>
        <v>11713.950756000002</v>
      </c>
      <c r="J260" s="10">
        <f>INDEX([1]ratio_ins!H:H,MATCH('001_population_health_zone_zs'!$B$2,[1]ratio_ins!$B:$B,0))*$G260*INDEX([1]ratio_ins!$C:$C,MATCH('001_population_health_zone_zs'!$B260,[1]ratio_ins!$B:$B,0))</f>
        <v>9247.8558600000015</v>
      </c>
      <c r="K260" s="10">
        <f>INDEX([1]ratio_ins!I:I,MATCH('001_population_health_zone_zs'!$B$2,[1]ratio_ins!$B:$B,0))*$G260*INDEX([1]ratio_ins!$C:$C,MATCH('001_population_health_zone_zs'!$B260,[1]ratio_ins!$B:$B,0))</f>
        <v>5685.7187880000001</v>
      </c>
      <c r="L260" s="10">
        <f>INDEX([1]ratio_ins!J:J,MATCH('001_population_health_zone_zs'!$B$2,[1]ratio_ins!$B:$B,0))*$G260*INDEX([1]ratio_ins!$C:$C,MATCH('001_population_health_zone_zs'!$B260,[1]ratio_ins!$B:$B,0))</f>
        <v>3411.4312728000004</v>
      </c>
      <c r="M260" s="11">
        <f>INDEX([1]ratio_ins!K:K,MATCH('001_population_health_zone_zs'!$B$2,[1]ratio_ins!$B:$B,0))*$G260*INDEX([1]ratio_ins!$C:$C,MATCH('001_population_health_zone_zs'!$B260,[1]ratio_ins!$B:$B,0))</f>
        <v>38690.288812800005</v>
      </c>
      <c r="N260" s="10">
        <f>INDEX([1]ratio_ins!L:L,MATCH('001_population_health_zone_zs'!$B$2,[1]ratio_ins!$B:$B,0))*$G260*INDEX([1]ratio_ins!$C:$C,MATCH('001_population_health_zone_zs'!$B260,[1]ratio_ins!$B:$B,0))</f>
        <v>2274.2875152000001</v>
      </c>
      <c r="O260" s="10">
        <f>INDEX([1]ratio_ins!M:M,MATCH('001_population_health_zone_zs'!$B$2,[1]ratio_ins!$B:$B,0))*$G260*INDEX([1]ratio_ins!$C:$C,MATCH('001_population_health_zone_zs'!$B260,[1]ratio_ins!$B:$B,0))</f>
        <v>4932.189792000001</v>
      </c>
      <c r="P260" s="10">
        <f>INDEX([1]ratio_ins!N:N,MATCH('001_population_health_zone_zs'!$B$2,[1]ratio_ins!$B:$B,0))*$G260*INDEX([1]ratio_ins!$C:$C,MATCH('001_population_health_zone_zs'!$B260,[1]ratio_ins!$B:$B,0))</f>
        <v>4452.6713400000008</v>
      </c>
      <c r="Q260" s="10">
        <f>INDEX([1]ratio_ins!O:O,MATCH('001_population_health_zone_zs'!$B$2,[1]ratio_ins!$B:$B,0))*$G260*INDEX([1]ratio_ins!$C:$C,MATCH('001_population_health_zone_zs'!$B260,[1]ratio_ins!$B:$B,0))</f>
        <v>3973.1528880000001</v>
      </c>
      <c r="R260" s="10">
        <f>INDEX([1]ratio_ins!P:P,MATCH('001_population_health_zone_zs'!$B$2,[1]ratio_ins!$B:$B,0))*$G260*INDEX([1]ratio_ins!$C:$C,MATCH('001_population_health_zone_zs'!$B260,[1]ratio_ins!$B:$B,0))</f>
        <v>3904.6502520000004</v>
      </c>
      <c r="S260" s="10">
        <f>INDEX([1]ratio_ins!Q:Q,MATCH('001_population_health_zone_zs'!$B$2,[1]ratio_ins!$B:$B,0))*$G260*INDEX([1]ratio_ins!$C:$C,MATCH('001_population_health_zone_zs'!$B260,[1]ratio_ins!$B:$B,0))</f>
        <v>3288.1265280000002</v>
      </c>
      <c r="T260" s="10">
        <f>INDEX([1]ratio_ins!R:R,MATCH('001_population_health_zone_zs'!$B$2,[1]ratio_ins!$B:$B,0))*$G260*INDEX([1]ratio_ins!$C:$C,MATCH('001_population_health_zone_zs'!$B260,[1]ratio_ins!$B:$B,0))</f>
        <v>2329.0896240000006</v>
      </c>
      <c r="U260" s="10">
        <f>INDEX([1]ratio_ins!S:S,MATCH('001_population_health_zone_zs'!$B$2,[1]ratio_ins!$B:$B,0))*$G260*INDEX([1]ratio_ins!$C:$C,MATCH('001_population_health_zone_zs'!$B260,[1]ratio_ins!$B:$B,0))</f>
        <v>1849.5711720000004</v>
      </c>
      <c r="V260" s="10">
        <f>INDEX([1]ratio_ins!T:T,MATCH('001_population_health_zone_zs'!$B$2,[1]ratio_ins!$B:$B,0))*$G260*INDEX([1]ratio_ins!$C:$C,MATCH('001_population_health_zone_zs'!$B260,[1]ratio_ins!$B:$B,0))</f>
        <v>1027.53954</v>
      </c>
      <c r="W260" s="11">
        <f>INDEX([1]ratio_ins!U:U,MATCH('001_population_health_zone_zs'!$B$2,[1]ratio_ins!$B:$B,0))*$G260*INDEX([1]ratio_ins!$C:$C,MATCH('001_population_health_zone_zs'!$B260,[1]ratio_ins!$B:$B,0))</f>
        <v>28031.278651200006</v>
      </c>
      <c r="X260" s="10">
        <f>INDEX([1]ratio_ins!V:V,MATCH('001_population_health_zone_zs'!$B$2,[1]ratio_ins!$B:$B,0))*$G260*INDEX([1]ratio_ins!$C:$C,MATCH('001_population_health_zone_zs'!$B260,[1]ratio_ins!$B:$B,0))</f>
        <v>822.03163200000006</v>
      </c>
      <c r="Y260" s="10">
        <f>INDEX([1]ratio_ins!W:W,MATCH('001_population_health_zone_zs'!$B$2,[1]ratio_ins!$B:$B,0))*$G260*INDEX([1]ratio_ins!$C:$C,MATCH('001_population_health_zone_zs'!$B260,[1]ratio_ins!$B:$B,0))</f>
        <v>548.02108800000008</v>
      </c>
      <c r="Z260" s="10">
        <f>INDEX([1]ratio_ins!X:X,MATCH('001_population_health_zone_zs'!$B$2,[1]ratio_ins!$B:$B,0))*$G260*INDEX([1]ratio_ins!$C:$C,MATCH('001_population_health_zone_zs'!$B260,[1]ratio_ins!$B:$B,0))</f>
        <v>274.01054400000004</v>
      </c>
      <c r="AA260" s="10">
        <f>INDEX([1]ratio_ins!Y:Y,MATCH('001_population_health_zone_zs'!$B$2,[1]ratio_ins!$B:$B,0))*$G260*INDEX([1]ratio_ins!$C:$C,MATCH('001_population_health_zone_zs'!$B260,[1]ratio_ins!$B:$B,0))</f>
        <v>137.00527200000002</v>
      </c>
      <c r="AB260" s="11">
        <f>INDEX([1]ratio_ins!Z:Z,MATCH('001_population_health_zone_zs'!$B$2,[1]ratio_ins!$B:$B,0))*$G260*INDEX([1]ratio_ins!$C:$C,MATCH('001_population_health_zone_zs'!$B260,[1]ratio_ins!$B:$B,0))</f>
        <v>1781.0685360000004</v>
      </c>
      <c r="AC260" s="12">
        <f t="shared" si="24"/>
        <v>68502.636000000013</v>
      </c>
      <c r="AD260" s="10">
        <f>INDEX([1]ratio_ins!AA:AA,MATCH('001_population_health_zone_zs'!$B$2,[1]ratio_ins!$B:$B,0))*$G260*INDEX([1]ratio_ins!$D:$D,MATCH('001_population_health_zone_zs'!$B260,[1]ratio_ins!$B:$B,0))</f>
        <v>14853.37644</v>
      </c>
      <c r="AE260" s="10">
        <f>INDEX([1]ratio_ins!AB:AB,MATCH('001_population_health_zone_zs'!$B$2,[1]ratio_ins!$B:$B,0))*$G260*INDEX([1]ratio_ins!$D:$D,MATCH('001_population_health_zone_zs'!$B260,[1]ratio_ins!$B:$B,0))</f>
        <v>12236.352972000001</v>
      </c>
      <c r="AF260" s="10">
        <f>INDEX([1]ratio_ins!AC:AC,MATCH('001_population_health_zone_zs'!$B$2,[1]ratio_ins!$B:$B,0))*$G260*INDEX([1]ratio_ins!$D:$D,MATCH('001_population_health_zone_zs'!$B260,[1]ratio_ins!$B:$B,0))</f>
        <v>9690.0598679999985</v>
      </c>
      <c r="AG260" s="10">
        <f>INDEX([1]ratio_ins!AD:AD,MATCH('001_population_health_zone_zs'!$B$2,[1]ratio_ins!$B:$B,0))*$G260*INDEX([1]ratio_ins!$D:$D,MATCH('001_population_health_zone_zs'!$B260,[1]ratio_ins!$B:$B,0))</f>
        <v>5870.6202119999998</v>
      </c>
      <c r="AH260" s="10">
        <f>INDEX([1]ratio_ins!AE:AE,MATCH('001_population_health_zone_zs'!$B$2,[1]ratio_ins!$B:$B,0))*$G260*INDEX([1]ratio_ins!$D:$D,MATCH('001_population_health_zone_zs'!$B260,[1]ratio_ins!$B:$B,0))</f>
        <v>3522.3721271999998</v>
      </c>
      <c r="AI260" s="13">
        <f>INDEX([1]ratio_ins!AF:AF,MATCH('001_population_health_zone_zs'!$B$2,[1]ratio_ins!$B:$B,0))*$G260*INDEX([1]ratio_ins!$D:$D,MATCH('001_population_health_zone_zs'!$B260,[1]ratio_ins!$B:$B,0))</f>
        <v>40302.161407199994</v>
      </c>
      <c r="AJ260" s="10">
        <f>INDEX([1]ratio_ins!AG:AG,MATCH('001_population_health_zone_zs'!$B$2,[1]ratio_ins!$B:$B,0))*$G260*INDEX([1]ratio_ins!$D:$D,MATCH('001_population_health_zone_zs'!$B260,[1]ratio_ins!$B:$B,0))</f>
        <v>2348.2480848</v>
      </c>
      <c r="AK260" s="10">
        <f>INDEX([1]ratio_ins!AH:AH,MATCH('001_population_health_zone_zs'!$B$2,[1]ratio_ins!$B:$B,0))*$G260*INDEX([1]ratio_ins!$D:$D,MATCH('001_population_health_zone_zs'!$B260,[1]ratio_ins!$B:$B,0))</f>
        <v>5234.0469360000006</v>
      </c>
      <c r="AL260" s="10">
        <f>INDEX([1]ratio_ins!AI:AI,MATCH('001_population_health_zone_zs'!$B$2,[1]ratio_ins!$B:$B,0))*$G260*INDEX([1]ratio_ins!$D:$D,MATCH('001_population_health_zone_zs'!$B260,[1]ratio_ins!$B:$B,0))</f>
        <v>4951.1254800000006</v>
      </c>
      <c r="AM260" s="10">
        <f>INDEX([1]ratio_ins!AJ:AJ,MATCH('001_population_health_zone_zs'!$B$2,[1]ratio_ins!$B:$B,0))*$G260*INDEX([1]ratio_ins!$D:$D,MATCH('001_population_health_zone_zs'!$B260,[1]ratio_ins!$B:$B,0))</f>
        <v>4526.7432960000006</v>
      </c>
      <c r="AN260" s="10">
        <f>INDEX([1]ratio_ins!AK:AK,MATCH('001_population_health_zone_zs'!$B$2,[1]ratio_ins!$B:$B,0))*$G260*INDEX([1]ratio_ins!$D:$D,MATCH('001_population_health_zone_zs'!$B260,[1]ratio_ins!$B:$B,0))</f>
        <v>4243.8218399999996</v>
      </c>
      <c r="AO260" s="10">
        <f>INDEX([1]ratio_ins!AL:AL,MATCH('001_population_health_zone_zs'!$B$2,[1]ratio_ins!$B:$B,0))*$G260*INDEX([1]ratio_ins!$D:$D,MATCH('001_population_health_zone_zs'!$B260,[1]ratio_ins!$B:$B,0))</f>
        <v>3182.8663799999999</v>
      </c>
      <c r="AP260" s="10">
        <f>INDEX([1]ratio_ins!AM:AM,MATCH('001_population_health_zone_zs'!$B$2,[1]ratio_ins!$B:$B,0))*$G260*INDEX([1]ratio_ins!$D:$D,MATCH('001_population_health_zone_zs'!$B260,[1]ratio_ins!$B:$B,0))</f>
        <v>2051.1805559999998</v>
      </c>
      <c r="AQ260" s="10">
        <f>INDEX([1]ratio_ins!AN:AN,MATCH('001_population_health_zone_zs'!$B$2,[1]ratio_ins!$B:$B,0))*$G260*INDEX([1]ratio_ins!$D:$D,MATCH('001_population_health_zone_zs'!$B260,[1]ratio_ins!$B:$B,0))</f>
        <v>1626.798372</v>
      </c>
      <c r="AR260" s="10">
        <f>INDEX([1]ratio_ins!AO:AO,MATCH('001_population_health_zone_zs'!$B$2,[1]ratio_ins!$B:$B,0))*$G260*INDEX([1]ratio_ins!$D:$D,MATCH('001_population_health_zone_zs'!$B260,[1]ratio_ins!$B:$B,0))</f>
        <v>778.0340040000001</v>
      </c>
      <c r="AS260" s="13">
        <f>INDEX([1]ratio_ins!AP:AP,MATCH('001_population_health_zone_zs'!$B$2,[1]ratio_ins!$B:$B,0))*$G260*INDEX([1]ratio_ins!$D:$D,MATCH('001_population_health_zone_zs'!$B260,[1]ratio_ins!$B:$B,0))</f>
        <v>28942.864948800001</v>
      </c>
      <c r="AT260" s="10">
        <f>INDEX([1]ratio_ins!AQ:AQ,MATCH('001_population_health_zone_zs'!$B$2,[1]ratio_ins!$B:$B,0))*$G260*INDEX([1]ratio_ins!$D:$D,MATCH('001_population_health_zone_zs'!$B260,[1]ratio_ins!$B:$B,0))</f>
        <v>707.30363999999997</v>
      </c>
      <c r="AU260" s="10">
        <f>INDEX([1]ratio_ins!AR:AR,MATCH('001_population_health_zone_zs'!$B$2,[1]ratio_ins!$B:$B,0))*$G260*INDEX([1]ratio_ins!$D:$D,MATCH('001_population_health_zone_zs'!$B260,[1]ratio_ins!$B:$B,0))</f>
        <v>424.382184</v>
      </c>
      <c r="AV260" s="10">
        <f>INDEX([1]ratio_ins!AS:AS,MATCH('001_population_health_zone_zs'!$B$2,[1]ratio_ins!$B:$B,0))*$G260*INDEX([1]ratio_ins!$D:$D,MATCH('001_population_health_zone_zs'!$B260,[1]ratio_ins!$B:$B,0))</f>
        <v>212.191092</v>
      </c>
      <c r="AW260" s="10">
        <f>INDEX([1]ratio_ins!AT:AT,MATCH('001_population_health_zone_zs'!$B$2,[1]ratio_ins!$B:$B,0))*$G260*INDEX([1]ratio_ins!$D:$D,MATCH('001_population_health_zone_zs'!$B260,[1]ratio_ins!$B:$B,0))</f>
        <v>141.46072800000002</v>
      </c>
      <c r="AX260" s="13">
        <f>INDEX([1]ratio_ins!AU:AU,MATCH('001_population_health_zone_zs'!$B$2,[1]ratio_ins!$B:$B,0))*$G260*INDEX([1]ratio_ins!$D:$D,MATCH('001_population_health_zone_zs'!$B260,[1]ratio_ins!$B:$B,0))</f>
        <v>1485.3376439999997</v>
      </c>
      <c r="AY260" s="14">
        <f t="shared" si="25"/>
        <v>70730.363999999987</v>
      </c>
      <c r="AZ260" s="15">
        <f t="shared" si="26"/>
        <v>139233</v>
      </c>
      <c r="BA260" s="16">
        <v>135446.67538308515</v>
      </c>
      <c r="BB260" s="10">
        <f t="shared" si="27"/>
        <v>30060.404700000003</v>
      </c>
      <c r="BC260" s="17">
        <f t="shared" si="28"/>
        <v>0.21590000000000001</v>
      </c>
      <c r="BD260" s="10">
        <f t="shared" si="29"/>
        <v>28565.599212000001</v>
      </c>
    </row>
    <row r="261" spans="1:56" x14ac:dyDescent="0.25">
      <c r="A261" s="8" t="s">
        <v>590</v>
      </c>
      <c r="B261" s="8" t="s">
        <v>591</v>
      </c>
      <c r="C261" s="8" t="s">
        <v>643</v>
      </c>
      <c r="D261" s="8" t="s">
        <v>644</v>
      </c>
      <c r="E261" s="8" t="s">
        <v>649</v>
      </c>
      <c r="F261" s="8" t="s">
        <v>650</v>
      </c>
      <c r="G261" s="9">
        <v>108946</v>
      </c>
      <c r="H261" s="10">
        <f>INDEX([1]ratio_ins!F:F,MATCH('001_population_health_zone_zs'!$B$2,[1]ratio_ins!$B:$B,0))*$G261*INDEX([1]ratio_ins!$C:$C,MATCH('001_population_health_zone_zs'!$B261,[1]ratio_ins!$B:$B,0))</f>
        <v>11202.699288000002</v>
      </c>
      <c r="I261" s="10">
        <f>INDEX([1]ratio_ins!G:G,MATCH('001_population_health_zone_zs'!$B$2,[1]ratio_ins!$B:$B,0))*$G261*INDEX([1]ratio_ins!$C:$C,MATCH('001_population_health_zone_zs'!$B261,[1]ratio_ins!$B:$B,0))</f>
        <v>9165.8448720000015</v>
      </c>
      <c r="J261" s="10">
        <f>INDEX([1]ratio_ins!H:H,MATCH('001_population_health_zone_zs'!$B$2,[1]ratio_ins!$B:$B,0))*$G261*INDEX([1]ratio_ins!$C:$C,MATCH('001_population_health_zone_zs'!$B261,[1]ratio_ins!$B:$B,0))</f>
        <v>7236.1933200000012</v>
      </c>
      <c r="K261" s="10">
        <f>INDEX([1]ratio_ins!I:I,MATCH('001_population_health_zone_zs'!$B$2,[1]ratio_ins!$B:$B,0))*$G261*INDEX([1]ratio_ins!$C:$C,MATCH('001_population_health_zone_zs'!$B261,[1]ratio_ins!$B:$B,0))</f>
        <v>4448.9188560000002</v>
      </c>
      <c r="L261" s="10">
        <f>INDEX([1]ratio_ins!J:J,MATCH('001_population_health_zone_zs'!$B$2,[1]ratio_ins!$B:$B,0))*$G261*INDEX([1]ratio_ins!$C:$C,MATCH('001_population_health_zone_zs'!$B261,[1]ratio_ins!$B:$B,0))</f>
        <v>2669.3513136000001</v>
      </c>
      <c r="M261" s="11">
        <f>INDEX([1]ratio_ins!K:K,MATCH('001_population_health_zone_zs'!$B$2,[1]ratio_ins!$B:$B,0))*$G261*INDEX([1]ratio_ins!$C:$C,MATCH('001_population_health_zone_zs'!$B261,[1]ratio_ins!$B:$B,0))</f>
        <v>30274.088793600004</v>
      </c>
      <c r="N261" s="10">
        <f>INDEX([1]ratio_ins!L:L,MATCH('001_population_health_zone_zs'!$B$2,[1]ratio_ins!$B:$B,0))*$G261*INDEX([1]ratio_ins!$C:$C,MATCH('001_population_health_zone_zs'!$B261,[1]ratio_ins!$B:$B,0))</f>
        <v>1779.5675424000001</v>
      </c>
      <c r="O261" s="10">
        <f>INDEX([1]ratio_ins!M:M,MATCH('001_population_health_zone_zs'!$B$2,[1]ratio_ins!$B:$B,0))*$G261*INDEX([1]ratio_ins!$C:$C,MATCH('001_population_health_zone_zs'!$B261,[1]ratio_ins!$B:$B,0))</f>
        <v>3859.303104000001</v>
      </c>
      <c r="P261" s="10">
        <f>INDEX([1]ratio_ins!N:N,MATCH('001_population_health_zone_zs'!$B$2,[1]ratio_ins!$B:$B,0))*$G261*INDEX([1]ratio_ins!$C:$C,MATCH('001_population_health_zone_zs'!$B261,[1]ratio_ins!$B:$B,0))</f>
        <v>3484.0930800000006</v>
      </c>
      <c r="Q261" s="10">
        <f>INDEX([1]ratio_ins!O:O,MATCH('001_population_health_zone_zs'!$B$2,[1]ratio_ins!$B:$B,0))*$G261*INDEX([1]ratio_ins!$C:$C,MATCH('001_population_health_zone_zs'!$B261,[1]ratio_ins!$B:$B,0))</f>
        <v>3108.8830560000001</v>
      </c>
      <c r="R261" s="10">
        <f>INDEX([1]ratio_ins!P:P,MATCH('001_population_health_zone_zs'!$B$2,[1]ratio_ins!$B:$B,0))*$G261*INDEX([1]ratio_ins!$C:$C,MATCH('001_population_health_zone_zs'!$B261,[1]ratio_ins!$B:$B,0))</f>
        <v>3055.2816240000006</v>
      </c>
      <c r="S261" s="10">
        <f>INDEX([1]ratio_ins!Q:Q,MATCH('001_population_health_zone_zs'!$B$2,[1]ratio_ins!$B:$B,0))*$G261*INDEX([1]ratio_ins!$C:$C,MATCH('001_population_health_zone_zs'!$B261,[1]ratio_ins!$B:$B,0))</f>
        <v>2572.8687360000004</v>
      </c>
      <c r="T261" s="10">
        <f>INDEX([1]ratio_ins!R:R,MATCH('001_population_health_zone_zs'!$B$2,[1]ratio_ins!$B:$B,0))*$G261*INDEX([1]ratio_ins!$C:$C,MATCH('001_population_health_zone_zs'!$B261,[1]ratio_ins!$B:$B,0))</f>
        <v>1822.4486880000002</v>
      </c>
      <c r="U261" s="10">
        <f>INDEX([1]ratio_ins!S:S,MATCH('001_population_health_zone_zs'!$B$2,[1]ratio_ins!$B:$B,0))*$G261*INDEX([1]ratio_ins!$C:$C,MATCH('001_population_health_zone_zs'!$B261,[1]ratio_ins!$B:$B,0))</f>
        <v>1447.2386640000004</v>
      </c>
      <c r="V261" s="10">
        <f>INDEX([1]ratio_ins!T:T,MATCH('001_population_health_zone_zs'!$B$2,[1]ratio_ins!$B:$B,0))*$G261*INDEX([1]ratio_ins!$C:$C,MATCH('001_population_health_zone_zs'!$B261,[1]ratio_ins!$B:$B,0))</f>
        <v>804.02148</v>
      </c>
      <c r="W261" s="11">
        <f>INDEX([1]ratio_ins!U:U,MATCH('001_population_health_zone_zs'!$B$2,[1]ratio_ins!$B:$B,0))*$G261*INDEX([1]ratio_ins!$C:$C,MATCH('001_population_health_zone_zs'!$B261,[1]ratio_ins!$B:$B,0))</f>
        <v>21933.705974400003</v>
      </c>
      <c r="X261" s="10">
        <f>INDEX([1]ratio_ins!V:V,MATCH('001_population_health_zone_zs'!$B$2,[1]ratio_ins!$B:$B,0))*$G261*INDEX([1]ratio_ins!$C:$C,MATCH('001_population_health_zone_zs'!$B261,[1]ratio_ins!$B:$B,0))</f>
        <v>643.21718400000009</v>
      </c>
      <c r="Y261" s="10">
        <f>INDEX([1]ratio_ins!W:W,MATCH('001_population_health_zone_zs'!$B$2,[1]ratio_ins!$B:$B,0))*$G261*INDEX([1]ratio_ins!$C:$C,MATCH('001_population_health_zone_zs'!$B261,[1]ratio_ins!$B:$B,0))</f>
        <v>428.81145600000002</v>
      </c>
      <c r="Z261" s="10">
        <f>INDEX([1]ratio_ins!X:X,MATCH('001_population_health_zone_zs'!$B$2,[1]ratio_ins!$B:$B,0))*$G261*INDEX([1]ratio_ins!$C:$C,MATCH('001_population_health_zone_zs'!$B261,[1]ratio_ins!$B:$B,0))</f>
        <v>214.40572800000001</v>
      </c>
      <c r="AA261" s="10">
        <f>INDEX([1]ratio_ins!Y:Y,MATCH('001_population_health_zone_zs'!$B$2,[1]ratio_ins!$B:$B,0))*$G261*INDEX([1]ratio_ins!$C:$C,MATCH('001_population_health_zone_zs'!$B261,[1]ratio_ins!$B:$B,0))</f>
        <v>107.20286400000001</v>
      </c>
      <c r="AB261" s="11">
        <f>INDEX([1]ratio_ins!Z:Z,MATCH('001_population_health_zone_zs'!$B$2,[1]ratio_ins!$B:$B,0))*$G261*INDEX([1]ratio_ins!$C:$C,MATCH('001_population_health_zone_zs'!$B261,[1]ratio_ins!$B:$B,0))</f>
        <v>1393.6372320000003</v>
      </c>
      <c r="AC261" s="12">
        <f t="shared" si="24"/>
        <v>53601.432000000008</v>
      </c>
      <c r="AD261" s="10">
        <f>INDEX([1]ratio_ins!AA:AA,MATCH('001_population_health_zone_zs'!$B$2,[1]ratio_ins!$B:$B,0))*$G261*INDEX([1]ratio_ins!$D:$D,MATCH('001_population_health_zone_zs'!$B261,[1]ratio_ins!$B:$B,0))</f>
        <v>11622.359280000001</v>
      </c>
      <c r="AE261" s="10">
        <f>INDEX([1]ratio_ins!AB:AB,MATCH('001_population_health_zone_zs'!$B$2,[1]ratio_ins!$B:$B,0))*$G261*INDEX([1]ratio_ins!$D:$D,MATCH('001_population_health_zone_zs'!$B261,[1]ratio_ins!$B:$B,0))</f>
        <v>9574.6102640000008</v>
      </c>
      <c r="AF261" s="10">
        <f>INDEX([1]ratio_ins!AC:AC,MATCH('001_population_health_zone_zs'!$B$2,[1]ratio_ins!$B:$B,0))*$G261*INDEX([1]ratio_ins!$D:$D,MATCH('001_population_health_zone_zs'!$B261,[1]ratio_ins!$B:$B,0))</f>
        <v>7582.2058159999997</v>
      </c>
      <c r="AG261" s="10">
        <f>INDEX([1]ratio_ins!AD:AD,MATCH('001_population_health_zone_zs'!$B$2,[1]ratio_ins!$B:$B,0))*$G261*INDEX([1]ratio_ins!$D:$D,MATCH('001_population_health_zone_zs'!$B261,[1]ratio_ins!$B:$B,0))</f>
        <v>4593.5991439999998</v>
      </c>
      <c r="AH261" s="10">
        <f>INDEX([1]ratio_ins!AE:AE,MATCH('001_population_health_zone_zs'!$B$2,[1]ratio_ins!$B:$B,0))*$G261*INDEX([1]ratio_ins!$D:$D,MATCH('001_population_health_zone_zs'!$B261,[1]ratio_ins!$B:$B,0))</f>
        <v>2756.1594863999999</v>
      </c>
      <c r="AI261" s="13">
        <f>INDEX([1]ratio_ins!AF:AF,MATCH('001_population_health_zone_zs'!$B$2,[1]ratio_ins!$B:$B,0))*$G261*INDEX([1]ratio_ins!$D:$D,MATCH('001_population_health_zone_zs'!$B261,[1]ratio_ins!$B:$B,0))</f>
        <v>31535.334846399997</v>
      </c>
      <c r="AJ261" s="10">
        <f>INDEX([1]ratio_ins!AG:AG,MATCH('001_population_health_zone_zs'!$B$2,[1]ratio_ins!$B:$B,0))*$G261*INDEX([1]ratio_ins!$D:$D,MATCH('001_population_health_zone_zs'!$B261,[1]ratio_ins!$B:$B,0))</f>
        <v>1837.4396575999999</v>
      </c>
      <c r="AK261" s="10">
        <f>INDEX([1]ratio_ins!AH:AH,MATCH('001_population_health_zone_zs'!$B$2,[1]ratio_ins!$B:$B,0))*$G261*INDEX([1]ratio_ins!$D:$D,MATCH('001_population_health_zone_zs'!$B261,[1]ratio_ins!$B:$B,0))</f>
        <v>4095.4980320000004</v>
      </c>
      <c r="AL261" s="10">
        <f>INDEX([1]ratio_ins!AI:AI,MATCH('001_population_health_zone_zs'!$B$2,[1]ratio_ins!$B:$B,0))*$G261*INDEX([1]ratio_ins!$D:$D,MATCH('001_population_health_zone_zs'!$B261,[1]ratio_ins!$B:$B,0))</f>
        <v>3874.1197600000005</v>
      </c>
      <c r="AM261" s="10">
        <f>INDEX([1]ratio_ins!AJ:AJ,MATCH('001_population_health_zone_zs'!$B$2,[1]ratio_ins!$B:$B,0))*$G261*INDEX([1]ratio_ins!$D:$D,MATCH('001_population_health_zone_zs'!$B261,[1]ratio_ins!$B:$B,0))</f>
        <v>3542.0523520000002</v>
      </c>
      <c r="AN261" s="10">
        <f>INDEX([1]ratio_ins!AK:AK,MATCH('001_population_health_zone_zs'!$B$2,[1]ratio_ins!$B:$B,0))*$G261*INDEX([1]ratio_ins!$D:$D,MATCH('001_population_health_zone_zs'!$B261,[1]ratio_ins!$B:$B,0))</f>
        <v>3320.6740799999998</v>
      </c>
      <c r="AO261" s="10">
        <f>INDEX([1]ratio_ins!AL:AL,MATCH('001_population_health_zone_zs'!$B$2,[1]ratio_ins!$B:$B,0))*$G261*INDEX([1]ratio_ins!$D:$D,MATCH('001_population_health_zone_zs'!$B261,[1]ratio_ins!$B:$B,0))</f>
        <v>2490.5055600000001</v>
      </c>
      <c r="AP261" s="10">
        <f>INDEX([1]ratio_ins!AM:AM,MATCH('001_population_health_zone_zs'!$B$2,[1]ratio_ins!$B:$B,0))*$G261*INDEX([1]ratio_ins!$D:$D,MATCH('001_population_health_zone_zs'!$B261,[1]ratio_ins!$B:$B,0))</f>
        <v>1604.9924719999999</v>
      </c>
      <c r="AQ261" s="10">
        <f>INDEX([1]ratio_ins!AN:AN,MATCH('001_population_health_zone_zs'!$B$2,[1]ratio_ins!$B:$B,0))*$G261*INDEX([1]ratio_ins!$D:$D,MATCH('001_population_health_zone_zs'!$B261,[1]ratio_ins!$B:$B,0))</f>
        <v>1272.925064</v>
      </c>
      <c r="AR261" s="10">
        <f>INDEX([1]ratio_ins!AO:AO,MATCH('001_population_health_zone_zs'!$B$2,[1]ratio_ins!$B:$B,0))*$G261*INDEX([1]ratio_ins!$D:$D,MATCH('001_population_health_zone_zs'!$B261,[1]ratio_ins!$B:$B,0))</f>
        <v>608.79024800000013</v>
      </c>
      <c r="AS261" s="13">
        <f>INDEX([1]ratio_ins!AP:AP,MATCH('001_population_health_zone_zs'!$B$2,[1]ratio_ins!$B:$B,0))*$G261*INDEX([1]ratio_ins!$D:$D,MATCH('001_population_health_zone_zs'!$B261,[1]ratio_ins!$B:$B,0))</f>
        <v>22646.997225600004</v>
      </c>
      <c r="AT261" s="10">
        <f>INDEX([1]ratio_ins!AQ:AQ,MATCH('001_population_health_zone_zs'!$B$2,[1]ratio_ins!$B:$B,0))*$G261*INDEX([1]ratio_ins!$D:$D,MATCH('001_population_health_zone_zs'!$B261,[1]ratio_ins!$B:$B,0))</f>
        <v>553.44568000000004</v>
      </c>
      <c r="AU261" s="10">
        <f>INDEX([1]ratio_ins!AR:AR,MATCH('001_population_health_zone_zs'!$B$2,[1]ratio_ins!$B:$B,0))*$G261*INDEX([1]ratio_ins!$D:$D,MATCH('001_population_health_zone_zs'!$B261,[1]ratio_ins!$B:$B,0))</f>
        <v>332.067408</v>
      </c>
      <c r="AV261" s="10">
        <f>INDEX([1]ratio_ins!AS:AS,MATCH('001_population_health_zone_zs'!$B$2,[1]ratio_ins!$B:$B,0))*$G261*INDEX([1]ratio_ins!$D:$D,MATCH('001_population_health_zone_zs'!$B261,[1]ratio_ins!$B:$B,0))</f>
        <v>166.033704</v>
      </c>
      <c r="AW261" s="10">
        <f>INDEX([1]ratio_ins!AT:AT,MATCH('001_population_health_zone_zs'!$B$2,[1]ratio_ins!$B:$B,0))*$G261*INDEX([1]ratio_ins!$D:$D,MATCH('001_population_health_zone_zs'!$B261,[1]ratio_ins!$B:$B,0))</f>
        <v>110.689136</v>
      </c>
      <c r="AX261" s="13">
        <f>INDEX([1]ratio_ins!AU:AU,MATCH('001_population_health_zone_zs'!$B$2,[1]ratio_ins!$B:$B,0))*$G261*INDEX([1]ratio_ins!$D:$D,MATCH('001_population_health_zone_zs'!$B261,[1]ratio_ins!$B:$B,0))</f>
        <v>1162.2359280000001</v>
      </c>
      <c r="AY261" s="14">
        <f t="shared" si="25"/>
        <v>55344.568000000007</v>
      </c>
      <c r="AZ261" s="15">
        <f t="shared" si="26"/>
        <v>108946.00000000001</v>
      </c>
      <c r="BA261" s="16">
        <v>105983.12959308369</v>
      </c>
      <c r="BB261" s="10">
        <f t="shared" si="27"/>
        <v>23521.441400000003</v>
      </c>
      <c r="BC261" s="17">
        <f t="shared" si="28"/>
        <v>0.21590000000000004</v>
      </c>
      <c r="BD261" s="10">
        <f t="shared" si="29"/>
        <v>22351.797144000004</v>
      </c>
    </row>
    <row r="262" spans="1:56" x14ac:dyDescent="0.25">
      <c r="A262" s="8" t="s">
        <v>590</v>
      </c>
      <c r="B262" s="8" t="s">
        <v>591</v>
      </c>
      <c r="C262" s="8" t="s">
        <v>643</v>
      </c>
      <c r="D262" s="8" t="s">
        <v>644</v>
      </c>
      <c r="E262" s="8" t="s">
        <v>651</v>
      </c>
      <c r="F262" s="8" t="s">
        <v>652</v>
      </c>
      <c r="G262" s="9">
        <v>211738</v>
      </c>
      <c r="H262" s="10">
        <f>INDEX([1]ratio_ins!F:F,MATCH('001_population_health_zone_zs'!$B$2,[1]ratio_ins!$B:$B,0))*$G262*INDEX([1]ratio_ins!$C:$C,MATCH('001_population_health_zone_zs'!$B262,[1]ratio_ins!$B:$B,0))</f>
        <v>21772.595064000001</v>
      </c>
      <c r="I262" s="10">
        <f>INDEX([1]ratio_ins!G:G,MATCH('001_population_health_zone_zs'!$B$2,[1]ratio_ins!$B:$B,0))*$G262*INDEX([1]ratio_ins!$C:$C,MATCH('001_population_health_zone_zs'!$B262,[1]ratio_ins!$B:$B,0))</f>
        <v>17813.941416000005</v>
      </c>
      <c r="J262" s="10">
        <f>INDEX([1]ratio_ins!H:H,MATCH('001_population_health_zone_zs'!$B$2,[1]ratio_ins!$B:$B,0))*$G262*INDEX([1]ratio_ins!$C:$C,MATCH('001_population_health_zone_zs'!$B262,[1]ratio_ins!$B:$B,0))</f>
        <v>14063.637960000002</v>
      </c>
      <c r="K262" s="10">
        <f>INDEX([1]ratio_ins!I:I,MATCH('001_population_health_zone_zs'!$B$2,[1]ratio_ins!$B:$B,0))*$G262*INDEX([1]ratio_ins!$C:$C,MATCH('001_population_health_zone_zs'!$B262,[1]ratio_ins!$B:$B,0))</f>
        <v>8646.5329680000013</v>
      </c>
      <c r="L262" s="10">
        <f>INDEX([1]ratio_ins!J:J,MATCH('001_population_health_zone_zs'!$B$2,[1]ratio_ins!$B:$B,0))*$G262*INDEX([1]ratio_ins!$C:$C,MATCH('001_population_health_zone_zs'!$B262,[1]ratio_ins!$B:$B,0))</f>
        <v>5187.9197807999999</v>
      </c>
      <c r="M262" s="11">
        <f>INDEX([1]ratio_ins!K:K,MATCH('001_population_health_zone_zs'!$B$2,[1]ratio_ins!$B:$B,0))*$G262*INDEX([1]ratio_ins!$C:$C,MATCH('001_population_health_zone_zs'!$B262,[1]ratio_ins!$B:$B,0))</f>
        <v>58838.094220800005</v>
      </c>
      <c r="N262" s="10">
        <f>INDEX([1]ratio_ins!L:L,MATCH('001_population_health_zone_zs'!$B$2,[1]ratio_ins!$B:$B,0))*$G262*INDEX([1]ratio_ins!$C:$C,MATCH('001_population_health_zone_zs'!$B262,[1]ratio_ins!$B:$B,0))</f>
        <v>3458.6131872000005</v>
      </c>
      <c r="O262" s="10">
        <f>INDEX([1]ratio_ins!M:M,MATCH('001_population_health_zone_zs'!$B$2,[1]ratio_ins!$B:$B,0))*$G262*INDEX([1]ratio_ins!$C:$C,MATCH('001_population_health_zone_zs'!$B262,[1]ratio_ins!$B:$B,0))</f>
        <v>7500.606912000002</v>
      </c>
      <c r="P262" s="10">
        <f>INDEX([1]ratio_ins!N:N,MATCH('001_population_health_zone_zs'!$B$2,[1]ratio_ins!$B:$B,0))*$G262*INDEX([1]ratio_ins!$C:$C,MATCH('001_population_health_zone_zs'!$B262,[1]ratio_ins!$B:$B,0))</f>
        <v>6771.3812400000015</v>
      </c>
      <c r="Q262" s="10">
        <f>INDEX([1]ratio_ins!O:O,MATCH('001_population_health_zone_zs'!$B$2,[1]ratio_ins!$B:$B,0))*$G262*INDEX([1]ratio_ins!$C:$C,MATCH('001_population_health_zone_zs'!$B262,[1]ratio_ins!$B:$B,0))</f>
        <v>6042.1555680000001</v>
      </c>
      <c r="R262" s="10">
        <f>INDEX([1]ratio_ins!P:P,MATCH('001_population_health_zone_zs'!$B$2,[1]ratio_ins!$B:$B,0))*$G262*INDEX([1]ratio_ins!$C:$C,MATCH('001_population_health_zone_zs'!$B262,[1]ratio_ins!$B:$B,0))</f>
        <v>5937.9804720000011</v>
      </c>
      <c r="S262" s="10">
        <f>INDEX([1]ratio_ins!Q:Q,MATCH('001_population_health_zone_zs'!$B$2,[1]ratio_ins!$B:$B,0))*$G262*INDEX([1]ratio_ins!$C:$C,MATCH('001_population_health_zone_zs'!$B262,[1]ratio_ins!$B:$B,0))</f>
        <v>5000.4046080000007</v>
      </c>
      <c r="T262" s="10">
        <f>INDEX([1]ratio_ins!R:R,MATCH('001_population_health_zone_zs'!$B$2,[1]ratio_ins!$B:$B,0))*$G262*INDEX([1]ratio_ins!$C:$C,MATCH('001_population_health_zone_zs'!$B262,[1]ratio_ins!$B:$B,0))</f>
        <v>3541.9532640000007</v>
      </c>
      <c r="U262" s="10">
        <f>INDEX([1]ratio_ins!S:S,MATCH('001_population_health_zone_zs'!$B$2,[1]ratio_ins!$B:$B,0))*$G262*INDEX([1]ratio_ins!$C:$C,MATCH('001_population_health_zone_zs'!$B262,[1]ratio_ins!$B:$B,0))</f>
        <v>2812.7275920000006</v>
      </c>
      <c r="V262" s="10">
        <f>INDEX([1]ratio_ins!T:T,MATCH('001_population_health_zone_zs'!$B$2,[1]ratio_ins!$B:$B,0))*$G262*INDEX([1]ratio_ins!$C:$C,MATCH('001_population_health_zone_zs'!$B262,[1]ratio_ins!$B:$B,0))</f>
        <v>1562.62644</v>
      </c>
      <c r="W262" s="11">
        <f>INDEX([1]ratio_ins!U:U,MATCH('001_population_health_zone_zs'!$B$2,[1]ratio_ins!$B:$B,0))*$G262*INDEX([1]ratio_ins!$C:$C,MATCH('001_population_health_zone_zs'!$B262,[1]ratio_ins!$B:$B,0))</f>
        <v>42628.449283200003</v>
      </c>
      <c r="X262" s="10">
        <f>INDEX([1]ratio_ins!V:V,MATCH('001_population_health_zone_zs'!$B$2,[1]ratio_ins!$B:$B,0))*$G262*INDEX([1]ratio_ins!$C:$C,MATCH('001_population_health_zone_zs'!$B262,[1]ratio_ins!$B:$B,0))</f>
        <v>1250.1011520000002</v>
      </c>
      <c r="Y262" s="10">
        <f>INDEX([1]ratio_ins!W:W,MATCH('001_population_health_zone_zs'!$B$2,[1]ratio_ins!$B:$B,0))*$G262*INDEX([1]ratio_ins!$C:$C,MATCH('001_population_health_zone_zs'!$B262,[1]ratio_ins!$B:$B,0))</f>
        <v>833.40076800000008</v>
      </c>
      <c r="Z262" s="10">
        <f>INDEX([1]ratio_ins!X:X,MATCH('001_population_health_zone_zs'!$B$2,[1]ratio_ins!$B:$B,0))*$G262*INDEX([1]ratio_ins!$C:$C,MATCH('001_population_health_zone_zs'!$B262,[1]ratio_ins!$B:$B,0))</f>
        <v>416.70038400000004</v>
      </c>
      <c r="AA262" s="10">
        <f>INDEX([1]ratio_ins!Y:Y,MATCH('001_population_health_zone_zs'!$B$2,[1]ratio_ins!$B:$B,0))*$G262*INDEX([1]ratio_ins!$C:$C,MATCH('001_population_health_zone_zs'!$B262,[1]ratio_ins!$B:$B,0))</f>
        <v>208.35019200000002</v>
      </c>
      <c r="AB262" s="11">
        <f>INDEX([1]ratio_ins!Z:Z,MATCH('001_population_health_zone_zs'!$B$2,[1]ratio_ins!$B:$B,0))*$G262*INDEX([1]ratio_ins!$C:$C,MATCH('001_population_health_zone_zs'!$B262,[1]ratio_ins!$B:$B,0))</f>
        <v>2708.5524960000002</v>
      </c>
      <c r="AC262" s="12">
        <f t="shared" si="24"/>
        <v>104175.09600000001</v>
      </c>
      <c r="AD262" s="10">
        <f>INDEX([1]ratio_ins!AA:AA,MATCH('001_population_health_zone_zs'!$B$2,[1]ratio_ins!$B:$B,0))*$G262*INDEX([1]ratio_ins!$D:$D,MATCH('001_population_health_zone_zs'!$B262,[1]ratio_ins!$B:$B,0))</f>
        <v>22588.20984</v>
      </c>
      <c r="AE262" s="10">
        <f>INDEX([1]ratio_ins!AB:AB,MATCH('001_population_health_zone_zs'!$B$2,[1]ratio_ins!$B:$B,0))*$G262*INDEX([1]ratio_ins!$D:$D,MATCH('001_population_health_zone_zs'!$B262,[1]ratio_ins!$B:$B,0))</f>
        <v>18608.382392000003</v>
      </c>
      <c r="AF262" s="10">
        <f>INDEX([1]ratio_ins!AC:AC,MATCH('001_population_health_zone_zs'!$B$2,[1]ratio_ins!$B:$B,0))*$G262*INDEX([1]ratio_ins!$D:$D,MATCH('001_population_health_zone_zs'!$B262,[1]ratio_ins!$B:$B,0))</f>
        <v>14736.117847999998</v>
      </c>
      <c r="AG262" s="10">
        <f>INDEX([1]ratio_ins!AD:AD,MATCH('001_population_health_zone_zs'!$B$2,[1]ratio_ins!$B:$B,0))*$G262*INDEX([1]ratio_ins!$D:$D,MATCH('001_population_health_zone_zs'!$B262,[1]ratio_ins!$B:$B,0))</f>
        <v>8927.7210320000013</v>
      </c>
      <c r="AH262" s="10">
        <f>INDEX([1]ratio_ins!AE:AE,MATCH('001_population_health_zone_zs'!$B$2,[1]ratio_ins!$B:$B,0))*$G262*INDEX([1]ratio_ins!$D:$D,MATCH('001_population_health_zone_zs'!$B262,[1]ratio_ins!$B:$B,0))</f>
        <v>5356.6326191999997</v>
      </c>
      <c r="AI262" s="13">
        <f>INDEX([1]ratio_ins!AF:AF,MATCH('001_population_health_zone_zs'!$B$2,[1]ratio_ins!$B:$B,0))*$G262*INDEX([1]ratio_ins!$D:$D,MATCH('001_population_health_zone_zs'!$B262,[1]ratio_ins!$B:$B,0))</f>
        <v>61289.342699199995</v>
      </c>
      <c r="AJ262" s="10">
        <f>INDEX([1]ratio_ins!AG:AG,MATCH('001_population_health_zone_zs'!$B$2,[1]ratio_ins!$B:$B,0))*$G262*INDEX([1]ratio_ins!$D:$D,MATCH('001_population_health_zone_zs'!$B262,[1]ratio_ins!$B:$B,0))</f>
        <v>3571.0884128000002</v>
      </c>
      <c r="AK262" s="10">
        <f>INDEX([1]ratio_ins!AH:AH,MATCH('001_population_health_zone_zs'!$B$2,[1]ratio_ins!$B:$B,0))*$G262*INDEX([1]ratio_ins!$D:$D,MATCH('001_population_health_zone_zs'!$B262,[1]ratio_ins!$B:$B,0))</f>
        <v>7959.6548960000018</v>
      </c>
      <c r="AL262" s="10">
        <f>INDEX([1]ratio_ins!AI:AI,MATCH('001_population_health_zone_zs'!$B$2,[1]ratio_ins!$B:$B,0))*$G262*INDEX([1]ratio_ins!$D:$D,MATCH('001_population_health_zone_zs'!$B262,[1]ratio_ins!$B:$B,0))</f>
        <v>7529.4032800000014</v>
      </c>
      <c r="AM262" s="10">
        <f>INDEX([1]ratio_ins!AJ:AJ,MATCH('001_population_health_zone_zs'!$B$2,[1]ratio_ins!$B:$B,0))*$G262*INDEX([1]ratio_ins!$D:$D,MATCH('001_population_health_zone_zs'!$B262,[1]ratio_ins!$B:$B,0))</f>
        <v>6884.0258560000002</v>
      </c>
      <c r="AN262" s="10">
        <f>INDEX([1]ratio_ins!AK:AK,MATCH('001_population_health_zone_zs'!$B$2,[1]ratio_ins!$B:$B,0))*$G262*INDEX([1]ratio_ins!$D:$D,MATCH('001_population_health_zone_zs'!$B262,[1]ratio_ins!$B:$B,0))</f>
        <v>6453.7742399999997</v>
      </c>
      <c r="AO262" s="10">
        <f>INDEX([1]ratio_ins!AL:AL,MATCH('001_population_health_zone_zs'!$B$2,[1]ratio_ins!$B:$B,0))*$G262*INDEX([1]ratio_ins!$D:$D,MATCH('001_population_health_zone_zs'!$B262,[1]ratio_ins!$B:$B,0))</f>
        <v>4840.33068</v>
      </c>
      <c r="AP262" s="10">
        <f>INDEX([1]ratio_ins!AM:AM,MATCH('001_population_health_zone_zs'!$B$2,[1]ratio_ins!$B:$B,0))*$G262*INDEX([1]ratio_ins!$D:$D,MATCH('001_population_health_zone_zs'!$B262,[1]ratio_ins!$B:$B,0))</f>
        <v>3119.3242159999995</v>
      </c>
      <c r="AQ262" s="10">
        <f>INDEX([1]ratio_ins!AN:AN,MATCH('001_population_health_zone_zs'!$B$2,[1]ratio_ins!$B:$B,0))*$G262*INDEX([1]ratio_ins!$D:$D,MATCH('001_population_health_zone_zs'!$B262,[1]ratio_ins!$B:$B,0))</f>
        <v>2473.9467920000002</v>
      </c>
      <c r="AR262" s="10">
        <f>INDEX([1]ratio_ins!AO:AO,MATCH('001_population_health_zone_zs'!$B$2,[1]ratio_ins!$B:$B,0))*$G262*INDEX([1]ratio_ins!$D:$D,MATCH('001_population_health_zone_zs'!$B262,[1]ratio_ins!$B:$B,0))</f>
        <v>1183.1919440000001</v>
      </c>
      <c r="AS262" s="13">
        <f>INDEX([1]ratio_ins!AP:AP,MATCH('001_population_health_zone_zs'!$B$2,[1]ratio_ins!$B:$B,0))*$G262*INDEX([1]ratio_ins!$D:$D,MATCH('001_population_health_zone_zs'!$B262,[1]ratio_ins!$B:$B,0))</f>
        <v>44014.740316800002</v>
      </c>
      <c r="AT262" s="10">
        <f>INDEX([1]ratio_ins!AQ:AQ,MATCH('001_population_health_zone_zs'!$B$2,[1]ratio_ins!$B:$B,0))*$G262*INDEX([1]ratio_ins!$D:$D,MATCH('001_population_health_zone_zs'!$B262,[1]ratio_ins!$B:$B,0))</f>
        <v>1075.62904</v>
      </c>
      <c r="AU262" s="10">
        <f>INDEX([1]ratio_ins!AR:AR,MATCH('001_population_health_zone_zs'!$B$2,[1]ratio_ins!$B:$B,0))*$G262*INDEX([1]ratio_ins!$D:$D,MATCH('001_population_health_zone_zs'!$B262,[1]ratio_ins!$B:$B,0))</f>
        <v>645.37742400000002</v>
      </c>
      <c r="AV262" s="10">
        <f>INDEX([1]ratio_ins!AS:AS,MATCH('001_population_health_zone_zs'!$B$2,[1]ratio_ins!$B:$B,0))*$G262*INDEX([1]ratio_ins!$D:$D,MATCH('001_population_health_zone_zs'!$B262,[1]ratio_ins!$B:$B,0))</f>
        <v>322.68871200000001</v>
      </c>
      <c r="AW262" s="10">
        <f>INDEX([1]ratio_ins!AT:AT,MATCH('001_population_health_zone_zs'!$B$2,[1]ratio_ins!$B:$B,0))*$G262*INDEX([1]ratio_ins!$D:$D,MATCH('001_population_health_zone_zs'!$B262,[1]ratio_ins!$B:$B,0))</f>
        <v>215.12580800000001</v>
      </c>
      <c r="AX262" s="13">
        <f>INDEX([1]ratio_ins!AU:AU,MATCH('001_population_health_zone_zs'!$B$2,[1]ratio_ins!$B:$B,0))*$G262*INDEX([1]ratio_ins!$D:$D,MATCH('001_population_health_zone_zs'!$B262,[1]ratio_ins!$B:$B,0))</f>
        <v>2258.820984</v>
      </c>
      <c r="AY262" s="14">
        <f t="shared" si="25"/>
        <v>107562.90399999999</v>
      </c>
      <c r="AZ262" s="15">
        <f t="shared" si="26"/>
        <v>211738</v>
      </c>
      <c r="BA262" s="16">
        <v>205979.39688372574</v>
      </c>
      <c r="BB262" s="10">
        <f t="shared" si="27"/>
        <v>45714.234200000006</v>
      </c>
      <c r="BC262" s="17">
        <f t="shared" si="28"/>
        <v>0.21590000000000004</v>
      </c>
      <c r="BD262" s="10">
        <f t="shared" si="29"/>
        <v>43441.015032000018</v>
      </c>
    </row>
    <row r="263" spans="1:56" x14ac:dyDescent="0.25">
      <c r="A263" s="8" t="s">
        <v>590</v>
      </c>
      <c r="B263" s="8" t="s">
        <v>591</v>
      </c>
      <c r="C263" s="8" t="s">
        <v>643</v>
      </c>
      <c r="D263" s="8" t="s">
        <v>644</v>
      </c>
      <c r="E263" s="8" t="s">
        <v>643</v>
      </c>
      <c r="F263" s="8" t="s">
        <v>653</v>
      </c>
      <c r="G263" s="9">
        <v>153642</v>
      </c>
      <c r="H263" s="10">
        <f>INDEX([1]ratio_ins!F:F,MATCH('001_population_health_zone_zs'!$B$2,[1]ratio_ins!$B:$B,0))*$G263*INDEX([1]ratio_ins!$C:$C,MATCH('001_population_health_zone_zs'!$B263,[1]ratio_ins!$B:$B,0))</f>
        <v>15798.699576000001</v>
      </c>
      <c r="I263" s="10">
        <f>INDEX([1]ratio_ins!G:G,MATCH('001_population_health_zone_zs'!$B$2,[1]ratio_ins!$B:$B,0))*$G263*INDEX([1]ratio_ins!$C:$C,MATCH('001_population_health_zone_zs'!$B263,[1]ratio_ins!$B:$B,0))</f>
        <v>12926.208744000003</v>
      </c>
      <c r="J263" s="10">
        <f>INDEX([1]ratio_ins!H:H,MATCH('001_population_health_zone_zs'!$B$2,[1]ratio_ins!$B:$B,0))*$G263*INDEX([1]ratio_ins!$C:$C,MATCH('001_population_health_zone_zs'!$B263,[1]ratio_ins!$B:$B,0))</f>
        <v>10204.901640000002</v>
      </c>
      <c r="K263" s="10">
        <f>INDEX([1]ratio_ins!I:I,MATCH('001_population_health_zone_zs'!$B$2,[1]ratio_ins!$B:$B,0))*$G263*INDEX([1]ratio_ins!$C:$C,MATCH('001_population_health_zone_zs'!$B263,[1]ratio_ins!$B:$B,0))</f>
        <v>6274.1247120000007</v>
      </c>
      <c r="L263" s="10">
        <f>INDEX([1]ratio_ins!J:J,MATCH('001_population_health_zone_zs'!$B$2,[1]ratio_ins!$B:$B,0))*$G263*INDEX([1]ratio_ins!$C:$C,MATCH('001_population_health_zone_zs'!$B263,[1]ratio_ins!$B:$B,0))</f>
        <v>3764.4748272000002</v>
      </c>
      <c r="M263" s="11">
        <f>INDEX([1]ratio_ins!K:K,MATCH('001_population_health_zone_zs'!$B$2,[1]ratio_ins!$B:$B,0))*$G263*INDEX([1]ratio_ins!$C:$C,MATCH('001_population_health_zone_zs'!$B263,[1]ratio_ins!$B:$B,0))</f>
        <v>42694.284787199998</v>
      </c>
      <c r="N263" s="10">
        <f>INDEX([1]ratio_ins!L:L,MATCH('001_population_health_zone_zs'!$B$2,[1]ratio_ins!$B:$B,0))*$G263*INDEX([1]ratio_ins!$C:$C,MATCH('001_population_health_zone_zs'!$B263,[1]ratio_ins!$B:$B,0))</f>
        <v>2509.6498848000001</v>
      </c>
      <c r="O263" s="10">
        <f>INDEX([1]ratio_ins!M:M,MATCH('001_population_health_zone_zs'!$B$2,[1]ratio_ins!$B:$B,0))*$G263*INDEX([1]ratio_ins!$C:$C,MATCH('001_population_health_zone_zs'!$B263,[1]ratio_ins!$B:$B,0))</f>
        <v>5442.6142080000018</v>
      </c>
      <c r="P263" s="10">
        <f>INDEX([1]ratio_ins!N:N,MATCH('001_population_health_zone_zs'!$B$2,[1]ratio_ins!$B:$B,0))*$G263*INDEX([1]ratio_ins!$C:$C,MATCH('001_population_health_zone_zs'!$B263,[1]ratio_ins!$B:$B,0))</f>
        <v>4913.4711600000001</v>
      </c>
      <c r="Q263" s="10">
        <f>INDEX([1]ratio_ins!O:O,MATCH('001_population_health_zone_zs'!$B$2,[1]ratio_ins!$B:$B,0))*$G263*INDEX([1]ratio_ins!$C:$C,MATCH('001_population_health_zone_zs'!$B263,[1]ratio_ins!$B:$B,0))</f>
        <v>4384.3281120000001</v>
      </c>
      <c r="R263" s="10">
        <f>INDEX([1]ratio_ins!P:P,MATCH('001_population_health_zone_zs'!$B$2,[1]ratio_ins!$B:$B,0))*$G263*INDEX([1]ratio_ins!$C:$C,MATCH('001_population_health_zone_zs'!$B263,[1]ratio_ins!$B:$B,0))</f>
        <v>4308.7362480000011</v>
      </c>
      <c r="S263" s="10">
        <f>INDEX([1]ratio_ins!Q:Q,MATCH('001_population_health_zone_zs'!$B$2,[1]ratio_ins!$B:$B,0))*$G263*INDEX([1]ratio_ins!$C:$C,MATCH('001_population_health_zone_zs'!$B263,[1]ratio_ins!$B:$B,0))</f>
        <v>3628.4094720000003</v>
      </c>
      <c r="T263" s="10">
        <f>INDEX([1]ratio_ins!R:R,MATCH('001_population_health_zone_zs'!$B$2,[1]ratio_ins!$B:$B,0))*$G263*INDEX([1]ratio_ins!$C:$C,MATCH('001_population_health_zone_zs'!$B263,[1]ratio_ins!$B:$B,0))</f>
        <v>2570.1233760000005</v>
      </c>
      <c r="U263" s="10">
        <f>INDEX([1]ratio_ins!S:S,MATCH('001_population_health_zone_zs'!$B$2,[1]ratio_ins!$B:$B,0))*$G263*INDEX([1]ratio_ins!$C:$C,MATCH('001_population_health_zone_zs'!$B263,[1]ratio_ins!$B:$B,0))</f>
        <v>2040.9803280000006</v>
      </c>
      <c r="V263" s="10">
        <f>INDEX([1]ratio_ins!T:T,MATCH('001_population_health_zone_zs'!$B$2,[1]ratio_ins!$B:$B,0))*$G263*INDEX([1]ratio_ins!$C:$C,MATCH('001_population_health_zone_zs'!$B263,[1]ratio_ins!$B:$B,0))</f>
        <v>1133.8779600000003</v>
      </c>
      <c r="W263" s="11">
        <f>INDEX([1]ratio_ins!U:U,MATCH('001_population_health_zone_zs'!$B$2,[1]ratio_ins!$B:$B,0))*$G263*INDEX([1]ratio_ins!$C:$C,MATCH('001_population_health_zone_zs'!$B263,[1]ratio_ins!$B:$B,0))</f>
        <v>30932.190748800003</v>
      </c>
      <c r="X263" s="10">
        <f>INDEX([1]ratio_ins!V:V,MATCH('001_population_health_zone_zs'!$B$2,[1]ratio_ins!$B:$B,0))*$G263*INDEX([1]ratio_ins!$C:$C,MATCH('001_population_health_zone_zs'!$B263,[1]ratio_ins!$B:$B,0))</f>
        <v>907.10236800000007</v>
      </c>
      <c r="Y263" s="10">
        <f>INDEX([1]ratio_ins!W:W,MATCH('001_population_health_zone_zs'!$B$2,[1]ratio_ins!$B:$B,0))*$G263*INDEX([1]ratio_ins!$C:$C,MATCH('001_population_health_zone_zs'!$B263,[1]ratio_ins!$B:$B,0))</f>
        <v>604.73491200000001</v>
      </c>
      <c r="Z263" s="10">
        <f>INDEX([1]ratio_ins!X:X,MATCH('001_population_health_zone_zs'!$B$2,[1]ratio_ins!$B:$B,0))*$G263*INDEX([1]ratio_ins!$C:$C,MATCH('001_population_health_zone_zs'!$B263,[1]ratio_ins!$B:$B,0))</f>
        <v>302.367456</v>
      </c>
      <c r="AA263" s="10">
        <f>INDEX([1]ratio_ins!Y:Y,MATCH('001_population_health_zone_zs'!$B$2,[1]ratio_ins!$B:$B,0))*$G263*INDEX([1]ratio_ins!$C:$C,MATCH('001_population_health_zone_zs'!$B263,[1]ratio_ins!$B:$B,0))</f>
        <v>151.183728</v>
      </c>
      <c r="AB263" s="11">
        <f>INDEX([1]ratio_ins!Z:Z,MATCH('001_population_health_zone_zs'!$B$2,[1]ratio_ins!$B:$B,0))*$G263*INDEX([1]ratio_ins!$C:$C,MATCH('001_population_health_zone_zs'!$B263,[1]ratio_ins!$B:$B,0))</f>
        <v>1965.3884640000003</v>
      </c>
      <c r="AC263" s="12">
        <f t="shared" si="24"/>
        <v>75591.864000000001</v>
      </c>
      <c r="AD263" s="10">
        <f>INDEX([1]ratio_ins!AA:AA,MATCH('001_population_health_zone_zs'!$B$2,[1]ratio_ins!$B:$B,0))*$G263*INDEX([1]ratio_ins!$D:$D,MATCH('001_population_health_zone_zs'!$B263,[1]ratio_ins!$B:$B,0))</f>
        <v>16390.528559999999</v>
      </c>
      <c r="AE263" s="10">
        <f>INDEX([1]ratio_ins!AB:AB,MATCH('001_population_health_zone_zs'!$B$2,[1]ratio_ins!$B:$B,0))*$G263*INDEX([1]ratio_ins!$D:$D,MATCH('001_population_health_zone_zs'!$B263,[1]ratio_ins!$B:$B,0))</f>
        <v>13502.673528000001</v>
      </c>
      <c r="AF263" s="10">
        <f>INDEX([1]ratio_ins!AC:AC,MATCH('001_population_health_zone_zs'!$B$2,[1]ratio_ins!$B:$B,0))*$G263*INDEX([1]ratio_ins!$D:$D,MATCH('001_population_health_zone_zs'!$B263,[1]ratio_ins!$B:$B,0))</f>
        <v>10692.868632</v>
      </c>
      <c r="AG263" s="10">
        <f>INDEX([1]ratio_ins!AD:AD,MATCH('001_population_health_zone_zs'!$B$2,[1]ratio_ins!$B:$B,0))*$G263*INDEX([1]ratio_ins!$D:$D,MATCH('001_population_health_zone_zs'!$B263,[1]ratio_ins!$B:$B,0))</f>
        <v>6478.1612880000002</v>
      </c>
      <c r="AH263" s="10">
        <f>INDEX([1]ratio_ins!AE:AE,MATCH('001_population_health_zone_zs'!$B$2,[1]ratio_ins!$B:$B,0))*$G263*INDEX([1]ratio_ins!$D:$D,MATCH('001_population_health_zone_zs'!$B263,[1]ratio_ins!$B:$B,0))</f>
        <v>3886.8967727999998</v>
      </c>
      <c r="AI263" s="13">
        <f>INDEX([1]ratio_ins!AF:AF,MATCH('001_population_health_zone_zs'!$B$2,[1]ratio_ins!$B:$B,0))*$G263*INDEX([1]ratio_ins!$D:$D,MATCH('001_population_health_zone_zs'!$B263,[1]ratio_ins!$B:$B,0))</f>
        <v>44472.967492799995</v>
      </c>
      <c r="AJ263" s="10">
        <f>INDEX([1]ratio_ins!AG:AG,MATCH('001_population_health_zone_zs'!$B$2,[1]ratio_ins!$B:$B,0))*$G263*INDEX([1]ratio_ins!$D:$D,MATCH('001_population_health_zone_zs'!$B263,[1]ratio_ins!$B:$B,0))</f>
        <v>2591.2645152</v>
      </c>
      <c r="AK263" s="10">
        <f>INDEX([1]ratio_ins!AH:AH,MATCH('001_population_health_zone_zs'!$B$2,[1]ratio_ins!$B:$B,0))*$G263*INDEX([1]ratio_ins!$D:$D,MATCH('001_population_health_zone_zs'!$B263,[1]ratio_ins!$B:$B,0))</f>
        <v>5775.7100640000008</v>
      </c>
      <c r="AL263" s="10">
        <f>INDEX([1]ratio_ins!AI:AI,MATCH('001_population_health_zone_zs'!$B$2,[1]ratio_ins!$B:$B,0))*$G263*INDEX([1]ratio_ins!$D:$D,MATCH('001_population_health_zone_zs'!$B263,[1]ratio_ins!$B:$B,0))</f>
        <v>5463.5095200000005</v>
      </c>
      <c r="AM263" s="10">
        <f>INDEX([1]ratio_ins!AJ:AJ,MATCH('001_population_health_zone_zs'!$B$2,[1]ratio_ins!$B:$B,0))*$G263*INDEX([1]ratio_ins!$D:$D,MATCH('001_population_health_zone_zs'!$B263,[1]ratio_ins!$B:$B,0))</f>
        <v>4995.2087039999997</v>
      </c>
      <c r="AN263" s="10">
        <f>INDEX([1]ratio_ins!AK:AK,MATCH('001_population_health_zone_zs'!$B$2,[1]ratio_ins!$B:$B,0))*$G263*INDEX([1]ratio_ins!$D:$D,MATCH('001_population_health_zone_zs'!$B263,[1]ratio_ins!$B:$B,0))</f>
        <v>4683.0081600000003</v>
      </c>
      <c r="AO263" s="10">
        <f>INDEX([1]ratio_ins!AL:AL,MATCH('001_population_health_zone_zs'!$B$2,[1]ratio_ins!$B:$B,0))*$G263*INDEX([1]ratio_ins!$D:$D,MATCH('001_population_health_zone_zs'!$B263,[1]ratio_ins!$B:$B,0))</f>
        <v>3512.2561199999996</v>
      </c>
      <c r="AP263" s="10">
        <f>INDEX([1]ratio_ins!AM:AM,MATCH('001_population_health_zone_zs'!$B$2,[1]ratio_ins!$B:$B,0))*$G263*INDEX([1]ratio_ins!$D:$D,MATCH('001_population_health_zone_zs'!$B263,[1]ratio_ins!$B:$B,0))</f>
        <v>2263.4539439999999</v>
      </c>
      <c r="AQ263" s="10">
        <f>INDEX([1]ratio_ins!AN:AN,MATCH('001_population_health_zone_zs'!$B$2,[1]ratio_ins!$B:$B,0))*$G263*INDEX([1]ratio_ins!$D:$D,MATCH('001_population_health_zone_zs'!$B263,[1]ratio_ins!$B:$B,0))</f>
        <v>1795.1531280000002</v>
      </c>
      <c r="AR263" s="10">
        <f>INDEX([1]ratio_ins!AO:AO,MATCH('001_population_health_zone_zs'!$B$2,[1]ratio_ins!$B:$B,0))*$G263*INDEX([1]ratio_ins!$D:$D,MATCH('001_population_health_zone_zs'!$B263,[1]ratio_ins!$B:$B,0))</f>
        <v>858.55149600000004</v>
      </c>
      <c r="AS263" s="13">
        <f>INDEX([1]ratio_ins!AP:AP,MATCH('001_population_health_zone_zs'!$B$2,[1]ratio_ins!$B:$B,0))*$G263*INDEX([1]ratio_ins!$D:$D,MATCH('001_population_health_zone_zs'!$B263,[1]ratio_ins!$B:$B,0))</f>
        <v>31938.115651200002</v>
      </c>
      <c r="AT263" s="10">
        <f>INDEX([1]ratio_ins!AQ:AQ,MATCH('001_population_health_zone_zs'!$B$2,[1]ratio_ins!$B:$B,0))*$G263*INDEX([1]ratio_ins!$D:$D,MATCH('001_population_health_zone_zs'!$B263,[1]ratio_ins!$B:$B,0))</f>
        <v>780.50136000000009</v>
      </c>
      <c r="AU263" s="10">
        <f>INDEX([1]ratio_ins!AR:AR,MATCH('001_population_health_zone_zs'!$B$2,[1]ratio_ins!$B:$B,0))*$G263*INDEX([1]ratio_ins!$D:$D,MATCH('001_population_health_zone_zs'!$B263,[1]ratio_ins!$B:$B,0))</f>
        <v>468.300816</v>
      </c>
      <c r="AV263" s="10">
        <f>INDEX([1]ratio_ins!AS:AS,MATCH('001_population_health_zone_zs'!$B$2,[1]ratio_ins!$B:$B,0))*$G263*INDEX([1]ratio_ins!$D:$D,MATCH('001_population_health_zone_zs'!$B263,[1]ratio_ins!$B:$B,0))</f>
        <v>234.150408</v>
      </c>
      <c r="AW263" s="10">
        <f>INDEX([1]ratio_ins!AT:AT,MATCH('001_population_health_zone_zs'!$B$2,[1]ratio_ins!$B:$B,0))*$G263*INDEX([1]ratio_ins!$D:$D,MATCH('001_population_health_zone_zs'!$B263,[1]ratio_ins!$B:$B,0))</f>
        <v>156.10027199999999</v>
      </c>
      <c r="AX263" s="13">
        <f>INDEX([1]ratio_ins!AU:AU,MATCH('001_population_health_zone_zs'!$B$2,[1]ratio_ins!$B:$B,0))*$G263*INDEX([1]ratio_ins!$D:$D,MATCH('001_population_health_zone_zs'!$B263,[1]ratio_ins!$B:$B,0))</f>
        <v>1639.0528559999998</v>
      </c>
      <c r="AY263" s="14">
        <f t="shared" si="25"/>
        <v>78050.135999999999</v>
      </c>
      <c r="AZ263" s="15">
        <f t="shared" si="26"/>
        <v>153642</v>
      </c>
      <c r="BA263" s="16">
        <v>149463.93390649749</v>
      </c>
      <c r="BB263" s="10">
        <f t="shared" si="27"/>
        <v>33171.307800000002</v>
      </c>
      <c r="BC263" s="17">
        <f t="shared" si="28"/>
        <v>0.21590000000000001</v>
      </c>
      <c r="BD263" s="10">
        <f t="shared" si="29"/>
        <v>31521.807288000004</v>
      </c>
    </row>
    <row r="264" spans="1:56" x14ac:dyDescent="0.25">
      <c r="A264" s="8" t="s">
        <v>590</v>
      </c>
      <c r="B264" s="8" t="s">
        <v>591</v>
      </c>
      <c r="C264" s="8" t="s">
        <v>643</v>
      </c>
      <c r="D264" s="8" t="s">
        <v>644</v>
      </c>
      <c r="E264" s="8" t="s">
        <v>654</v>
      </c>
      <c r="F264" s="8" t="s">
        <v>655</v>
      </c>
      <c r="G264" s="9">
        <v>205290</v>
      </c>
      <c r="H264" s="10">
        <f>INDEX([1]ratio_ins!F:F,MATCH('001_population_health_zone_zs'!$B$2,[1]ratio_ins!$B:$B,0))*$G264*INDEX([1]ratio_ins!$C:$C,MATCH('001_population_health_zone_zs'!$B264,[1]ratio_ins!$B:$B,0))</f>
        <v>21109.560120000002</v>
      </c>
      <c r="I264" s="10">
        <f>INDEX([1]ratio_ins!G:G,MATCH('001_population_health_zone_zs'!$B$2,[1]ratio_ins!$B:$B,0))*$G264*INDEX([1]ratio_ins!$C:$C,MATCH('001_population_health_zone_zs'!$B264,[1]ratio_ins!$B:$B,0))</f>
        <v>17271.458280000003</v>
      </c>
      <c r="J264" s="10">
        <f>INDEX([1]ratio_ins!H:H,MATCH('001_population_health_zone_zs'!$B$2,[1]ratio_ins!$B:$B,0))*$G264*INDEX([1]ratio_ins!$C:$C,MATCH('001_population_health_zone_zs'!$B264,[1]ratio_ins!$B:$B,0))</f>
        <v>13635.361800000002</v>
      </c>
      <c r="K264" s="10">
        <f>INDEX([1]ratio_ins!I:I,MATCH('001_population_health_zone_zs'!$B$2,[1]ratio_ins!$B:$B,0))*$G264*INDEX([1]ratio_ins!$C:$C,MATCH('001_population_health_zone_zs'!$B264,[1]ratio_ins!$B:$B,0))</f>
        <v>8383.2224400000014</v>
      </c>
      <c r="L264" s="10">
        <f>INDEX([1]ratio_ins!J:J,MATCH('001_population_health_zone_zs'!$B$2,[1]ratio_ins!$B:$B,0))*$G264*INDEX([1]ratio_ins!$C:$C,MATCH('001_population_health_zone_zs'!$B264,[1]ratio_ins!$B:$B,0))</f>
        <v>5029.9334639999997</v>
      </c>
      <c r="M264" s="11">
        <f>INDEX([1]ratio_ins!K:K,MATCH('001_population_health_zone_zs'!$B$2,[1]ratio_ins!$B:$B,0))*$G264*INDEX([1]ratio_ins!$C:$C,MATCH('001_population_health_zone_zs'!$B264,[1]ratio_ins!$B:$B,0))</f>
        <v>57046.313664000001</v>
      </c>
      <c r="N264" s="10">
        <f>INDEX([1]ratio_ins!L:L,MATCH('001_population_health_zone_zs'!$B$2,[1]ratio_ins!$B:$B,0))*$G264*INDEX([1]ratio_ins!$C:$C,MATCH('001_population_health_zone_zs'!$B264,[1]ratio_ins!$B:$B,0))</f>
        <v>3353.2889760000003</v>
      </c>
      <c r="O264" s="10">
        <f>INDEX([1]ratio_ins!M:M,MATCH('001_population_health_zone_zs'!$B$2,[1]ratio_ins!$B:$B,0))*$G264*INDEX([1]ratio_ins!$C:$C,MATCH('001_population_health_zone_zs'!$B264,[1]ratio_ins!$B:$B,0))</f>
        <v>7272.1929600000012</v>
      </c>
      <c r="P264" s="10">
        <f>INDEX([1]ratio_ins!N:N,MATCH('001_population_health_zone_zs'!$B$2,[1]ratio_ins!$B:$B,0))*$G264*INDEX([1]ratio_ins!$C:$C,MATCH('001_population_health_zone_zs'!$B264,[1]ratio_ins!$B:$B,0))</f>
        <v>6565.1742000000004</v>
      </c>
      <c r="Q264" s="10">
        <f>INDEX([1]ratio_ins!O:O,MATCH('001_population_health_zone_zs'!$B$2,[1]ratio_ins!$B:$B,0))*$G264*INDEX([1]ratio_ins!$C:$C,MATCH('001_population_health_zone_zs'!$B264,[1]ratio_ins!$B:$B,0))</f>
        <v>5858.1554400000005</v>
      </c>
      <c r="R264" s="10">
        <f>INDEX([1]ratio_ins!P:P,MATCH('001_population_health_zone_zs'!$B$2,[1]ratio_ins!$B:$B,0))*$G264*INDEX([1]ratio_ins!$C:$C,MATCH('001_population_health_zone_zs'!$B264,[1]ratio_ins!$B:$B,0))</f>
        <v>5757.1527600000009</v>
      </c>
      <c r="S264" s="10">
        <f>INDEX([1]ratio_ins!Q:Q,MATCH('001_population_health_zone_zs'!$B$2,[1]ratio_ins!$B:$B,0))*$G264*INDEX([1]ratio_ins!$C:$C,MATCH('001_population_health_zone_zs'!$B264,[1]ratio_ins!$B:$B,0))</f>
        <v>4848.1286400000008</v>
      </c>
      <c r="T264" s="10">
        <f>INDEX([1]ratio_ins!R:R,MATCH('001_population_health_zone_zs'!$B$2,[1]ratio_ins!$B:$B,0))*$G264*INDEX([1]ratio_ins!$C:$C,MATCH('001_population_health_zone_zs'!$B264,[1]ratio_ins!$B:$B,0))</f>
        <v>3434.0911200000005</v>
      </c>
      <c r="U264" s="10">
        <f>INDEX([1]ratio_ins!S:S,MATCH('001_population_health_zone_zs'!$B$2,[1]ratio_ins!$B:$B,0))*$G264*INDEX([1]ratio_ins!$C:$C,MATCH('001_population_health_zone_zs'!$B264,[1]ratio_ins!$B:$B,0))</f>
        <v>2727.0723600000006</v>
      </c>
      <c r="V264" s="10">
        <f>INDEX([1]ratio_ins!T:T,MATCH('001_population_health_zone_zs'!$B$2,[1]ratio_ins!$B:$B,0))*$G264*INDEX([1]ratio_ins!$C:$C,MATCH('001_population_health_zone_zs'!$B264,[1]ratio_ins!$B:$B,0))</f>
        <v>1515.0402000000001</v>
      </c>
      <c r="W264" s="11">
        <f>INDEX([1]ratio_ins!U:U,MATCH('001_population_health_zone_zs'!$B$2,[1]ratio_ins!$B:$B,0))*$G264*INDEX([1]ratio_ins!$C:$C,MATCH('001_population_health_zone_zs'!$B264,[1]ratio_ins!$B:$B,0))</f>
        <v>41330.296656000006</v>
      </c>
      <c r="X264" s="10">
        <f>INDEX([1]ratio_ins!V:V,MATCH('001_population_health_zone_zs'!$B$2,[1]ratio_ins!$B:$B,0))*$G264*INDEX([1]ratio_ins!$C:$C,MATCH('001_population_health_zone_zs'!$B264,[1]ratio_ins!$B:$B,0))</f>
        <v>1212.0321600000002</v>
      </c>
      <c r="Y264" s="10">
        <f>INDEX([1]ratio_ins!W:W,MATCH('001_population_health_zone_zs'!$B$2,[1]ratio_ins!$B:$B,0))*$G264*INDEX([1]ratio_ins!$C:$C,MATCH('001_population_health_zone_zs'!$B264,[1]ratio_ins!$B:$B,0))</f>
        <v>808.0214400000001</v>
      </c>
      <c r="Z264" s="10">
        <f>INDEX([1]ratio_ins!X:X,MATCH('001_population_health_zone_zs'!$B$2,[1]ratio_ins!$B:$B,0))*$G264*INDEX([1]ratio_ins!$C:$C,MATCH('001_population_health_zone_zs'!$B264,[1]ratio_ins!$B:$B,0))</f>
        <v>404.01072000000005</v>
      </c>
      <c r="AA264" s="10">
        <f>INDEX([1]ratio_ins!Y:Y,MATCH('001_population_health_zone_zs'!$B$2,[1]ratio_ins!$B:$B,0))*$G264*INDEX([1]ratio_ins!$C:$C,MATCH('001_population_health_zone_zs'!$B264,[1]ratio_ins!$B:$B,0))</f>
        <v>202.00536000000002</v>
      </c>
      <c r="AB264" s="11">
        <f>INDEX([1]ratio_ins!Z:Z,MATCH('001_population_health_zone_zs'!$B$2,[1]ratio_ins!$B:$B,0))*$G264*INDEX([1]ratio_ins!$C:$C,MATCH('001_population_health_zone_zs'!$B264,[1]ratio_ins!$B:$B,0))</f>
        <v>2626.0696800000005</v>
      </c>
      <c r="AC264" s="12">
        <f t="shared" si="24"/>
        <v>101002.68000000001</v>
      </c>
      <c r="AD264" s="10">
        <f>INDEX([1]ratio_ins!AA:AA,MATCH('001_population_health_zone_zs'!$B$2,[1]ratio_ins!$B:$B,0))*$G264*INDEX([1]ratio_ins!$D:$D,MATCH('001_population_health_zone_zs'!$B264,[1]ratio_ins!$B:$B,0))</f>
        <v>21900.337200000002</v>
      </c>
      <c r="AE264" s="10">
        <f>INDEX([1]ratio_ins!AB:AB,MATCH('001_population_health_zone_zs'!$B$2,[1]ratio_ins!$B:$B,0))*$G264*INDEX([1]ratio_ins!$D:$D,MATCH('001_population_health_zone_zs'!$B264,[1]ratio_ins!$B:$B,0))</f>
        <v>18041.706360000004</v>
      </c>
      <c r="AF264" s="10">
        <f>INDEX([1]ratio_ins!AC:AC,MATCH('001_population_health_zone_zs'!$B$2,[1]ratio_ins!$B:$B,0))*$G264*INDEX([1]ratio_ins!$D:$D,MATCH('001_population_health_zone_zs'!$B264,[1]ratio_ins!$B:$B,0))</f>
        <v>14287.362839999998</v>
      </c>
      <c r="AG264" s="10">
        <f>INDEX([1]ratio_ins!AD:AD,MATCH('001_population_health_zone_zs'!$B$2,[1]ratio_ins!$B:$B,0))*$G264*INDEX([1]ratio_ins!$D:$D,MATCH('001_population_health_zone_zs'!$B264,[1]ratio_ins!$B:$B,0))</f>
        <v>8655.8475600000002</v>
      </c>
      <c r="AH264" s="10">
        <f>INDEX([1]ratio_ins!AE:AE,MATCH('001_population_health_zone_zs'!$B$2,[1]ratio_ins!$B:$B,0))*$G264*INDEX([1]ratio_ins!$D:$D,MATCH('001_population_health_zone_zs'!$B264,[1]ratio_ins!$B:$B,0))</f>
        <v>5193.5085359999994</v>
      </c>
      <c r="AI264" s="13">
        <f>INDEX([1]ratio_ins!AF:AF,MATCH('001_population_health_zone_zs'!$B$2,[1]ratio_ins!$B:$B,0))*$G264*INDEX([1]ratio_ins!$D:$D,MATCH('001_population_health_zone_zs'!$B264,[1]ratio_ins!$B:$B,0))</f>
        <v>59422.914936000001</v>
      </c>
      <c r="AJ264" s="10">
        <f>INDEX([1]ratio_ins!AG:AG,MATCH('001_population_health_zone_zs'!$B$2,[1]ratio_ins!$B:$B,0))*$G264*INDEX([1]ratio_ins!$D:$D,MATCH('001_population_health_zone_zs'!$B264,[1]ratio_ins!$B:$B,0))</f>
        <v>3462.3390239999999</v>
      </c>
      <c r="AK264" s="10">
        <f>INDEX([1]ratio_ins!AH:AH,MATCH('001_population_health_zone_zs'!$B$2,[1]ratio_ins!$B:$B,0))*$G264*INDEX([1]ratio_ins!$D:$D,MATCH('001_population_health_zone_zs'!$B264,[1]ratio_ins!$B:$B,0))</f>
        <v>7717.2616800000014</v>
      </c>
      <c r="AL264" s="10">
        <f>INDEX([1]ratio_ins!AI:AI,MATCH('001_population_health_zone_zs'!$B$2,[1]ratio_ins!$B:$B,0))*$G264*INDEX([1]ratio_ins!$D:$D,MATCH('001_population_health_zone_zs'!$B264,[1]ratio_ins!$B:$B,0))</f>
        <v>7300.1124000000009</v>
      </c>
      <c r="AM264" s="10">
        <f>INDEX([1]ratio_ins!AJ:AJ,MATCH('001_population_health_zone_zs'!$B$2,[1]ratio_ins!$B:$B,0))*$G264*INDEX([1]ratio_ins!$D:$D,MATCH('001_population_health_zone_zs'!$B264,[1]ratio_ins!$B:$B,0))</f>
        <v>6674.3884799999996</v>
      </c>
      <c r="AN264" s="10">
        <f>INDEX([1]ratio_ins!AK:AK,MATCH('001_population_health_zone_zs'!$B$2,[1]ratio_ins!$B:$B,0))*$G264*INDEX([1]ratio_ins!$D:$D,MATCH('001_population_health_zone_zs'!$B264,[1]ratio_ins!$B:$B,0))</f>
        <v>6257.2392</v>
      </c>
      <c r="AO264" s="10">
        <f>INDEX([1]ratio_ins!AL:AL,MATCH('001_population_health_zone_zs'!$B$2,[1]ratio_ins!$B:$B,0))*$G264*INDEX([1]ratio_ins!$D:$D,MATCH('001_population_health_zone_zs'!$B264,[1]ratio_ins!$B:$B,0))</f>
        <v>4692.9294</v>
      </c>
      <c r="AP264" s="10">
        <f>INDEX([1]ratio_ins!AM:AM,MATCH('001_population_health_zone_zs'!$B$2,[1]ratio_ins!$B:$B,0))*$G264*INDEX([1]ratio_ins!$D:$D,MATCH('001_population_health_zone_zs'!$B264,[1]ratio_ins!$B:$B,0))</f>
        <v>3024.3322800000001</v>
      </c>
      <c r="AQ264" s="10">
        <f>INDEX([1]ratio_ins!AN:AN,MATCH('001_population_health_zone_zs'!$B$2,[1]ratio_ins!$B:$B,0))*$G264*INDEX([1]ratio_ins!$D:$D,MATCH('001_population_health_zone_zs'!$B264,[1]ratio_ins!$B:$B,0))</f>
        <v>2398.6083600000002</v>
      </c>
      <c r="AR264" s="10">
        <f>INDEX([1]ratio_ins!AO:AO,MATCH('001_population_health_zone_zs'!$B$2,[1]ratio_ins!$B:$B,0))*$G264*INDEX([1]ratio_ins!$D:$D,MATCH('001_population_health_zone_zs'!$B264,[1]ratio_ins!$B:$B,0))</f>
        <v>1147.1605200000001</v>
      </c>
      <c r="AS264" s="13">
        <f>INDEX([1]ratio_ins!AP:AP,MATCH('001_population_health_zone_zs'!$B$2,[1]ratio_ins!$B:$B,0))*$G264*INDEX([1]ratio_ins!$D:$D,MATCH('001_population_health_zone_zs'!$B264,[1]ratio_ins!$B:$B,0))</f>
        <v>42674.371344000007</v>
      </c>
      <c r="AT264" s="10">
        <f>INDEX([1]ratio_ins!AQ:AQ,MATCH('001_population_health_zone_zs'!$B$2,[1]ratio_ins!$B:$B,0))*$G264*INDEX([1]ratio_ins!$D:$D,MATCH('001_population_health_zone_zs'!$B264,[1]ratio_ins!$B:$B,0))</f>
        <v>1042.8732</v>
      </c>
      <c r="AU264" s="10">
        <f>INDEX([1]ratio_ins!AR:AR,MATCH('001_population_health_zone_zs'!$B$2,[1]ratio_ins!$B:$B,0))*$G264*INDEX([1]ratio_ins!$D:$D,MATCH('001_population_health_zone_zs'!$B264,[1]ratio_ins!$B:$B,0))</f>
        <v>625.72392000000002</v>
      </c>
      <c r="AV264" s="10">
        <f>INDEX([1]ratio_ins!AS:AS,MATCH('001_population_health_zone_zs'!$B$2,[1]ratio_ins!$B:$B,0))*$G264*INDEX([1]ratio_ins!$D:$D,MATCH('001_population_health_zone_zs'!$B264,[1]ratio_ins!$B:$B,0))</f>
        <v>312.86196000000001</v>
      </c>
      <c r="AW264" s="10">
        <f>INDEX([1]ratio_ins!AT:AT,MATCH('001_population_health_zone_zs'!$B$2,[1]ratio_ins!$B:$B,0))*$G264*INDEX([1]ratio_ins!$D:$D,MATCH('001_population_health_zone_zs'!$B264,[1]ratio_ins!$B:$B,0))</f>
        <v>208.57463999999999</v>
      </c>
      <c r="AX264" s="13">
        <f>INDEX([1]ratio_ins!AU:AU,MATCH('001_population_health_zone_zs'!$B$2,[1]ratio_ins!$B:$B,0))*$G264*INDEX([1]ratio_ins!$D:$D,MATCH('001_population_health_zone_zs'!$B264,[1]ratio_ins!$B:$B,0))</f>
        <v>2190.0337199999994</v>
      </c>
      <c r="AY264" s="14">
        <f t="shared" si="25"/>
        <v>104287.32</v>
      </c>
      <c r="AZ264" s="15">
        <f t="shared" si="26"/>
        <v>205290</v>
      </c>
      <c r="BA264" s="16">
        <v>199706.57672740732</v>
      </c>
      <c r="BB264" s="10">
        <f t="shared" si="27"/>
        <v>44322.110999999997</v>
      </c>
      <c r="BC264" s="17">
        <f t="shared" si="28"/>
        <v>0.21589999999999998</v>
      </c>
      <c r="BD264" s="10">
        <f t="shared" si="29"/>
        <v>42118.117560000006</v>
      </c>
    </row>
    <row r="265" spans="1:56" x14ac:dyDescent="0.25">
      <c r="A265" s="8" t="s">
        <v>590</v>
      </c>
      <c r="B265" s="8" t="s">
        <v>591</v>
      </c>
      <c r="C265" s="8" t="s">
        <v>643</v>
      </c>
      <c r="D265" s="8" t="s">
        <v>644</v>
      </c>
      <c r="E265" s="8" t="s">
        <v>656</v>
      </c>
      <c r="F265" s="8" t="s">
        <v>657</v>
      </c>
      <c r="G265" s="9">
        <v>186054</v>
      </c>
      <c r="H265" s="10">
        <f>INDEX([1]ratio_ins!F:F,MATCH('001_population_health_zone_zs'!$B$2,[1]ratio_ins!$B:$B,0))*$G265*INDEX([1]ratio_ins!$C:$C,MATCH('001_population_health_zone_zs'!$B265,[1]ratio_ins!$B:$B,0))</f>
        <v>19131.560712000002</v>
      </c>
      <c r="I265" s="10">
        <f>INDEX([1]ratio_ins!G:G,MATCH('001_population_health_zone_zs'!$B$2,[1]ratio_ins!$B:$B,0))*$G265*INDEX([1]ratio_ins!$C:$C,MATCH('001_population_health_zone_zs'!$B265,[1]ratio_ins!$B:$B,0))</f>
        <v>15653.095128000003</v>
      </c>
      <c r="J265" s="10">
        <f>INDEX([1]ratio_ins!H:H,MATCH('001_population_health_zone_zs'!$B$2,[1]ratio_ins!$B:$B,0))*$G265*INDEX([1]ratio_ins!$C:$C,MATCH('001_population_health_zone_zs'!$B265,[1]ratio_ins!$B:$B,0))</f>
        <v>12357.706680000001</v>
      </c>
      <c r="K265" s="10">
        <f>INDEX([1]ratio_ins!I:I,MATCH('001_population_health_zone_zs'!$B$2,[1]ratio_ins!$B:$B,0))*$G265*INDEX([1]ratio_ins!$C:$C,MATCH('001_population_health_zone_zs'!$B265,[1]ratio_ins!$B:$B,0))</f>
        <v>7597.7011440000006</v>
      </c>
      <c r="L265" s="10">
        <f>INDEX([1]ratio_ins!J:J,MATCH('001_population_health_zone_zs'!$B$2,[1]ratio_ins!$B:$B,0))*$G265*INDEX([1]ratio_ins!$C:$C,MATCH('001_population_health_zone_zs'!$B265,[1]ratio_ins!$B:$B,0))</f>
        <v>4558.6206864000005</v>
      </c>
      <c r="M265" s="11">
        <f>INDEX([1]ratio_ins!K:K,MATCH('001_population_health_zone_zs'!$B$2,[1]ratio_ins!$B:$B,0))*$G265*INDEX([1]ratio_ins!$C:$C,MATCH('001_population_health_zone_zs'!$B265,[1]ratio_ins!$B:$B,0))</f>
        <v>51700.9832064</v>
      </c>
      <c r="N265" s="10">
        <f>INDEX([1]ratio_ins!L:L,MATCH('001_population_health_zone_zs'!$B$2,[1]ratio_ins!$B:$B,0))*$G265*INDEX([1]ratio_ins!$C:$C,MATCH('001_population_health_zone_zs'!$B265,[1]ratio_ins!$B:$B,0))</f>
        <v>3039.0804576000005</v>
      </c>
      <c r="O265" s="10">
        <f>INDEX([1]ratio_ins!M:M,MATCH('001_population_health_zone_zs'!$B$2,[1]ratio_ins!$B:$B,0))*$G265*INDEX([1]ratio_ins!$C:$C,MATCH('001_population_health_zone_zs'!$B265,[1]ratio_ins!$B:$B,0))</f>
        <v>6590.7768960000012</v>
      </c>
      <c r="P265" s="10">
        <f>INDEX([1]ratio_ins!N:N,MATCH('001_population_health_zone_zs'!$B$2,[1]ratio_ins!$B:$B,0))*$G265*INDEX([1]ratio_ins!$C:$C,MATCH('001_population_health_zone_zs'!$B265,[1]ratio_ins!$B:$B,0))</f>
        <v>5950.0069200000007</v>
      </c>
      <c r="Q265" s="10">
        <f>INDEX([1]ratio_ins!O:O,MATCH('001_population_health_zone_zs'!$B$2,[1]ratio_ins!$B:$B,0))*$G265*INDEX([1]ratio_ins!$C:$C,MATCH('001_population_health_zone_zs'!$B265,[1]ratio_ins!$B:$B,0))</f>
        <v>5309.2369440000002</v>
      </c>
      <c r="R265" s="10">
        <f>INDEX([1]ratio_ins!P:P,MATCH('001_population_health_zone_zs'!$B$2,[1]ratio_ins!$B:$B,0))*$G265*INDEX([1]ratio_ins!$C:$C,MATCH('001_population_health_zone_zs'!$B265,[1]ratio_ins!$B:$B,0))</f>
        <v>5217.6983760000003</v>
      </c>
      <c r="S265" s="10">
        <f>INDEX([1]ratio_ins!Q:Q,MATCH('001_population_health_zone_zs'!$B$2,[1]ratio_ins!$B:$B,0))*$G265*INDEX([1]ratio_ins!$C:$C,MATCH('001_population_health_zone_zs'!$B265,[1]ratio_ins!$B:$B,0))</f>
        <v>4393.8512640000008</v>
      </c>
      <c r="T265" s="10">
        <f>INDEX([1]ratio_ins!R:R,MATCH('001_population_health_zone_zs'!$B$2,[1]ratio_ins!$B:$B,0))*$G265*INDEX([1]ratio_ins!$C:$C,MATCH('001_population_health_zone_zs'!$B265,[1]ratio_ins!$B:$B,0))</f>
        <v>3112.3113120000003</v>
      </c>
      <c r="U265" s="10">
        <f>INDEX([1]ratio_ins!S:S,MATCH('001_population_health_zone_zs'!$B$2,[1]ratio_ins!$B:$B,0))*$G265*INDEX([1]ratio_ins!$C:$C,MATCH('001_population_health_zone_zs'!$B265,[1]ratio_ins!$B:$B,0))</f>
        <v>2471.5413360000007</v>
      </c>
      <c r="V265" s="10">
        <f>INDEX([1]ratio_ins!T:T,MATCH('001_population_health_zone_zs'!$B$2,[1]ratio_ins!$B:$B,0))*$G265*INDEX([1]ratio_ins!$C:$C,MATCH('001_population_health_zone_zs'!$B265,[1]ratio_ins!$B:$B,0))</f>
        <v>1373.07852</v>
      </c>
      <c r="W265" s="11">
        <f>INDEX([1]ratio_ins!U:U,MATCH('001_population_health_zone_zs'!$B$2,[1]ratio_ins!$B:$B,0))*$G265*INDEX([1]ratio_ins!$C:$C,MATCH('001_population_health_zone_zs'!$B265,[1]ratio_ins!$B:$B,0))</f>
        <v>37457.582025600001</v>
      </c>
      <c r="X265" s="10">
        <f>INDEX([1]ratio_ins!V:V,MATCH('001_population_health_zone_zs'!$B$2,[1]ratio_ins!$B:$B,0))*$G265*INDEX([1]ratio_ins!$C:$C,MATCH('001_population_health_zone_zs'!$B265,[1]ratio_ins!$B:$B,0))</f>
        <v>1098.4628160000002</v>
      </c>
      <c r="Y265" s="10">
        <f>INDEX([1]ratio_ins!W:W,MATCH('001_population_health_zone_zs'!$B$2,[1]ratio_ins!$B:$B,0))*$G265*INDEX([1]ratio_ins!$C:$C,MATCH('001_population_health_zone_zs'!$B265,[1]ratio_ins!$B:$B,0))</f>
        <v>732.3085440000001</v>
      </c>
      <c r="Z265" s="10">
        <f>INDEX([1]ratio_ins!X:X,MATCH('001_population_health_zone_zs'!$B$2,[1]ratio_ins!$B:$B,0))*$G265*INDEX([1]ratio_ins!$C:$C,MATCH('001_population_health_zone_zs'!$B265,[1]ratio_ins!$B:$B,0))</f>
        <v>366.15427200000005</v>
      </c>
      <c r="AA265" s="10">
        <f>INDEX([1]ratio_ins!Y:Y,MATCH('001_population_health_zone_zs'!$B$2,[1]ratio_ins!$B:$B,0))*$G265*INDEX([1]ratio_ins!$C:$C,MATCH('001_population_health_zone_zs'!$B265,[1]ratio_ins!$B:$B,0))</f>
        <v>183.07713600000002</v>
      </c>
      <c r="AB265" s="11">
        <f>INDEX([1]ratio_ins!Z:Z,MATCH('001_population_health_zone_zs'!$B$2,[1]ratio_ins!$B:$B,0))*$G265*INDEX([1]ratio_ins!$C:$C,MATCH('001_population_health_zone_zs'!$B265,[1]ratio_ins!$B:$B,0))</f>
        <v>2380.0027680000003</v>
      </c>
      <c r="AC265" s="12">
        <f t="shared" si="24"/>
        <v>91538.567999999999</v>
      </c>
      <c r="AD265" s="10">
        <f>INDEX([1]ratio_ins!AA:AA,MATCH('001_population_health_zone_zs'!$B$2,[1]ratio_ins!$B:$B,0))*$G265*INDEX([1]ratio_ins!$D:$D,MATCH('001_population_health_zone_zs'!$B265,[1]ratio_ins!$B:$B,0))</f>
        <v>19848.240719999998</v>
      </c>
      <c r="AE265" s="10">
        <f>INDEX([1]ratio_ins!AB:AB,MATCH('001_population_health_zone_zs'!$B$2,[1]ratio_ins!$B:$B,0))*$G265*INDEX([1]ratio_ins!$D:$D,MATCH('001_population_health_zone_zs'!$B265,[1]ratio_ins!$B:$B,0))</f>
        <v>16351.169736000002</v>
      </c>
      <c r="AF265" s="10">
        <f>INDEX([1]ratio_ins!AC:AC,MATCH('001_population_health_zone_zs'!$B$2,[1]ratio_ins!$B:$B,0))*$G265*INDEX([1]ratio_ins!$D:$D,MATCH('001_population_health_zone_zs'!$B265,[1]ratio_ins!$B:$B,0))</f>
        <v>12948.614183999998</v>
      </c>
      <c r="AG265" s="10">
        <f>INDEX([1]ratio_ins!AD:AD,MATCH('001_population_health_zone_zs'!$B$2,[1]ratio_ins!$B:$B,0))*$G265*INDEX([1]ratio_ins!$D:$D,MATCH('001_population_health_zone_zs'!$B265,[1]ratio_ins!$B:$B,0))</f>
        <v>7844.7808560000003</v>
      </c>
      <c r="AH265" s="10">
        <f>INDEX([1]ratio_ins!AE:AE,MATCH('001_population_health_zone_zs'!$B$2,[1]ratio_ins!$B:$B,0))*$G265*INDEX([1]ratio_ins!$D:$D,MATCH('001_population_health_zone_zs'!$B265,[1]ratio_ins!$B:$B,0))</f>
        <v>4706.8685136000004</v>
      </c>
      <c r="AI265" s="13">
        <f>INDEX([1]ratio_ins!AF:AF,MATCH('001_population_health_zone_zs'!$B$2,[1]ratio_ins!$B:$B,0))*$G265*INDEX([1]ratio_ins!$D:$D,MATCH('001_population_health_zone_zs'!$B265,[1]ratio_ins!$B:$B,0))</f>
        <v>53854.893153600002</v>
      </c>
      <c r="AJ265" s="10">
        <f>INDEX([1]ratio_ins!AG:AG,MATCH('001_population_health_zone_zs'!$B$2,[1]ratio_ins!$B:$B,0))*$G265*INDEX([1]ratio_ins!$D:$D,MATCH('001_population_health_zone_zs'!$B265,[1]ratio_ins!$B:$B,0))</f>
        <v>3137.9123423999999</v>
      </c>
      <c r="AK265" s="10">
        <f>INDEX([1]ratio_ins!AH:AH,MATCH('001_population_health_zone_zs'!$B$2,[1]ratio_ins!$B:$B,0))*$G265*INDEX([1]ratio_ins!$D:$D,MATCH('001_population_health_zone_zs'!$B265,[1]ratio_ins!$B:$B,0))</f>
        <v>6994.1419680000008</v>
      </c>
      <c r="AL265" s="10">
        <f>INDEX([1]ratio_ins!AI:AI,MATCH('001_population_health_zone_zs'!$B$2,[1]ratio_ins!$B:$B,0))*$G265*INDEX([1]ratio_ins!$D:$D,MATCH('001_population_health_zone_zs'!$B265,[1]ratio_ins!$B:$B,0))</f>
        <v>6616.0802400000002</v>
      </c>
      <c r="AM265" s="10">
        <f>INDEX([1]ratio_ins!AJ:AJ,MATCH('001_population_health_zone_zs'!$B$2,[1]ratio_ins!$B:$B,0))*$G265*INDEX([1]ratio_ins!$D:$D,MATCH('001_population_health_zone_zs'!$B265,[1]ratio_ins!$B:$B,0))</f>
        <v>6048.9876480000003</v>
      </c>
      <c r="AN265" s="10">
        <f>INDEX([1]ratio_ins!AK:AK,MATCH('001_population_health_zone_zs'!$B$2,[1]ratio_ins!$B:$B,0))*$G265*INDEX([1]ratio_ins!$D:$D,MATCH('001_population_health_zone_zs'!$B265,[1]ratio_ins!$B:$B,0))</f>
        <v>5670.9259199999997</v>
      </c>
      <c r="AO265" s="10">
        <f>INDEX([1]ratio_ins!AL:AL,MATCH('001_population_health_zone_zs'!$B$2,[1]ratio_ins!$B:$B,0))*$G265*INDEX([1]ratio_ins!$D:$D,MATCH('001_population_health_zone_zs'!$B265,[1]ratio_ins!$B:$B,0))</f>
        <v>4253.1944400000002</v>
      </c>
      <c r="AP265" s="10">
        <f>INDEX([1]ratio_ins!AM:AM,MATCH('001_population_health_zone_zs'!$B$2,[1]ratio_ins!$B:$B,0))*$G265*INDEX([1]ratio_ins!$D:$D,MATCH('001_population_health_zone_zs'!$B265,[1]ratio_ins!$B:$B,0))</f>
        <v>2740.9475280000001</v>
      </c>
      <c r="AQ265" s="10">
        <f>INDEX([1]ratio_ins!AN:AN,MATCH('001_population_health_zone_zs'!$B$2,[1]ratio_ins!$B:$B,0))*$G265*INDEX([1]ratio_ins!$D:$D,MATCH('001_population_health_zone_zs'!$B265,[1]ratio_ins!$B:$B,0))</f>
        <v>2173.8549360000002</v>
      </c>
      <c r="AR265" s="10">
        <f>INDEX([1]ratio_ins!AO:AO,MATCH('001_population_health_zone_zs'!$B$2,[1]ratio_ins!$B:$B,0))*$G265*INDEX([1]ratio_ins!$D:$D,MATCH('001_population_health_zone_zs'!$B265,[1]ratio_ins!$B:$B,0))</f>
        <v>1039.6697520000002</v>
      </c>
      <c r="AS265" s="13">
        <f>INDEX([1]ratio_ins!AP:AP,MATCH('001_population_health_zone_zs'!$B$2,[1]ratio_ins!$B:$B,0))*$G265*INDEX([1]ratio_ins!$D:$D,MATCH('001_population_health_zone_zs'!$B265,[1]ratio_ins!$B:$B,0))</f>
        <v>38675.714774399996</v>
      </c>
      <c r="AT265" s="10">
        <f>INDEX([1]ratio_ins!AQ:AQ,MATCH('001_population_health_zone_zs'!$B$2,[1]ratio_ins!$B:$B,0))*$G265*INDEX([1]ratio_ins!$D:$D,MATCH('001_population_health_zone_zs'!$B265,[1]ratio_ins!$B:$B,0))</f>
        <v>945.15431999999998</v>
      </c>
      <c r="AU265" s="10">
        <f>INDEX([1]ratio_ins!AR:AR,MATCH('001_population_health_zone_zs'!$B$2,[1]ratio_ins!$B:$B,0))*$G265*INDEX([1]ratio_ins!$D:$D,MATCH('001_population_health_zone_zs'!$B265,[1]ratio_ins!$B:$B,0))</f>
        <v>567.09259200000008</v>
      </c>
      <c r="AV265" s="10">
        <f>INDEX([1]ratio_ins!AS:AS,MATCH('001_population_health_zone_zs'!$B$2,[1]ratio_ins!$B:$B,0))*$G265*INDEX([1]ratio_ins!$D:$D,MATCH('001_population_health_zone_zs'!$B265,[1]ratio_ins!$B:$B,0))</f>
        <v>283.54629600000004</v>
      </c>
      <c r="AW265" s="10">
        <f>INDEX([1]ratio_ins!AT:AT,MATCH('001_population_health_zone_zs'!$B$2,[1]ratio_ins!$B:$B,0))*$G265*INDEX([1]ratio_ins!$D:$D,MATCH('001_population_health_zone_zs'!$B265,[1]ratio_ins!$B:$B,0))</f>
        <v>189.03086400000001</v>
      </c>
      <c r="AX265" s="13">
        <f>INDEX([1]ratio_ins!AU:AU,MATCH('001_population_health_zone_zs'!$B$2,[1]ratio_ins!$B:$B,0))*$G265*INDEX([1]ratio_ins!$D:$D,MATCH('001_population_health_zone_zs'!$B265,[1]ratio_ins!$B:$B,0))</f>
        <v>1984.8240719999999</v>
      </c>
      <c r="AY265" s="14">
        <f t="shared" si="25"/>
        <v>94515.432000000001</v>
      </c>
      <c r="AZ265" s="15">
        <f t="shared" si="26"/>
        <v>186054</v>
      </c>
      <c r="BA265" s="16">
        <v>180993.82940124159</v>
      </c>
      <c r="BB265" s="10">
        <f t="shared" si="27"/>
        <v>40169.058599999997</v>
      </c>
      <c r="BC265" s="17">
        <f t="shared" si="28"/>
        <v>0.21589999999999998</v>
      </c>
      <c r="BD265" s="10">
        <f t="shared" si="29"/>
        <v>38171.582856000001</v>
      </c>
    </row>
    <row r="266" spans="1:56" x14ac:dyDescent="0.25">
      <c r="A266" s="8" t="s">
        <v>590</v>
      </c>
      <c r="B266" s="8" t="s">
        <v>591</v>
      </c>
      <c r="C266" s="8" t="s">
        <v>658</v>
      </c>
      <c r="D266" s="8" t="s">
        <v>659</v>
      </c>
      <c r="E266" s="8" t="s">
        <v>660</v>
      </c>
      <c r="F266" s="8" t="s">
        <v>661</v>
      </c>
      <c r="G266" s="9">
        <v>142370</v>
      </c>
      <c r="H266" s="10">
        <f>INDEX([1]ratio_ins!F:F,MATCH('001_population_health_zone_zs'!$B$2,[1]ratio_ins!$B:$B,0))*$G266*INDEX([1]ratio_ins!$C:$C,MATCH('001_population_health_zone_zs'!$B266,[1]ratio_ins!$B:$B,0))</f>
        <v>14639.622360000001</v>
      </c>
      <c r="I266" s="10">
        <f>INDEX([1]ratio_ins!G:G,MATCH('001_population_health_zone_zs'!$B$2,[1]ratio_ins!$B:$B,0))*$G266*INDEX([1]ratio_ins!$C:$C,MATCH('001_population_health_zone_zs'!$B266,[1]ratio_ins!$B:$B,0))</f>
        <v>11977.872840000002</v>
      </c>
      <c r="J266" s="10">
        <f>INDEX([1]ratio_ins!H:H,MATCH('001_population_health_zone_zs'!$B$2,[1]ratio_ins!$B:$B,0))*$G266*INDEX([1]ratio_ins!$C:$C,MATCH('001_population_health_zone_zs'!$B266,[1]ratio_ins!$B:$B,0))</f>
        <v>9456.215400000001</v>
      </c>
      <c r="K266" s="10">
        <f>INDEX([1]ratio_ins!I:I,MATCH('001_population_health_zone_zs'!$B$2,[1]ratio_ins!$B:$B,0))*$G266*INDEX([1]ratio_ins!$C:$C,MATCH('001_population_health_zone_zs'!$B266,[1]ratio_ins!$B:$B,0))</f>
        <v>5813.8213200000009</v>
      </c>
      <c r="L266" s="10">
        <f>INDEX([1]ratio_ins!J:J,MATCH('001_population_health_zone_zs'!$B$2,[1]ratio_ins!$B:$B,0))*$G266*INDEX([1]ratio_ins!$C:$C,MATCH('001_population_health_zone_zs'!$B266,[1]ratio_ins!$B:$B,0))</f>
        <v>3488.2927920000002</v>
      </c>
      <c r="M266" s="11">
        <f>INDEX([1]ratio_ins!K:K,MATCH('001_population_health_zone_zs'!$B$2,[1]ratio_ins!$B:$B,0))*$G266*INDEX([1]ratio_ins!$C:$C,MATCH('001_population_health_zone_zs'!$B266,[1]ratio_ins!$B:$B,0))</f>
        <v>39562.003392000006</v>
      </c>
      <c r="N266" s="10">
        <f>INDEX([1]ratio_ins!L:L,MATCH('001_population_health_zone_zs'!$B$2,[1]ratio_ins!$B:$B,0))*$G266*INDEX([1]ratio_ins!$C:$C,MATCH('001_population_health_zone_zs'!$B266,[1]ratio_ins!$B:$B,0))</f>
        <v>2325.5285280000003</v>
      </c>
      <c r="O266" s="10">
        <f>INDEX([1]ratio_ins!M:M,MATCH('001_population_health_zone_zs'!$B$2,[1]ratio_ins!$B:$B,0))*$G266*INDEX([1]ratio_ins!$C:$C,MATCH('001_population_health_zone_zs'!$B266,[1]ratio_ins!$B:$B,0))</f>
        <v>5043.3148800000008</v>
      </c>
      <c r="P266" s="10">
        <f>INDEX([1]ratio_ins!N:N,MATCH('001_population_health_zone_zs'!$B$2,[1]ratio_ins!$B:$B,0))*$G266*INDEX([1]ratio_ins!$C:$C,MATCH('001_population_health_zone_zs'!$B266,[1]ratio_ins!$B:$B,0))</f>
        <v>4552.9926000000014</v>
      </c>
      <c r="Q266" s="10">
        <f>INDEX([1]ratio_ins!O:O,MATCH('001_population_health_zone_zs'!$B$2,[1]ratio_ins!$B:$B,0))*$G266*INDEX([1]ratio_ins!$C:$C,MATCH('001_population_health_zone_zs'!$B266,[1]ratio_ins!$B:$B,0))</f>
        <v>4062.6703200000002</v>
      </c>
      <c r="R266" s="10">
        <f>INDEX([1]ratio_ins!P:P,MATCH('001_population_health_zone_zs'!$B$2,[1]ratio_ins!$B:$B,0))*$G266*INDEX([1]ratio_ins!$C:$C,MATCH('001_population_health_zone_zs'!$B266,[1]ratio_ins!$B:$B,0))</f>
        <v>3992.6242800000005</v>
      </c>
      <c r="S266" s="10">
        <f>INDEX([1]ratio_ins!Q:Q,MATCH('001_population_health_zone_zs'!$B$2,[1]ratio_ins!$B:$B,0))*$G266*INDEX([1]ratio_ins!$C:$C,MATCH('001_population_health_zone_zs'!$B266,[1]ratio_ins!$B:$B,0))</f>
        <v>3362.2099200000002</v>
      </c>
      <c r="T266" s="10">
        <f>INDEX([1]ratio_ins!R:R,MATCH('001_population_health_zone_zs'!$B$2,[1]ratio_ins!$B:$B,0))*$G266*INDEX([1]ratio_ins!$C:$C,MATCH('001_population_health_zone_zs'!$B266,[1]ratio_ins!$B:$B,0))</f>
        <v>2381.5653600000001</v>
      </c>
      <c r="U266" s="10">
        <f>INDEX([1]ratio_ins!S:S,MATCH('001_population_health_zone_zs'!$B$2,[1]ratio_ins!$B:$B,0))*$G266*INDEX([1]ratio_ins!$C:$C,MATCH('001_population_health_zone_zs'!$B266,[1]ratio_ins!$B:$B,0))</f>
        <v>1891.2430800000002</v>
      </c>
      <c r="V266" s="10">
        <f>INDEX([1]ratio_ins!T:T,MATCH('001_population_health_zone_zs'!$B$2,[1]ratio_ins!$B:$B,0))*$G266*INDEX([1]ratio_ins!$C:$C,MATCH('001_population_health_zone_zs'!$B266,[1]ratio_ins!$B:$B,0))</f>
        <v>1050.6905999999999</v>
      </c>
      <c r="W266" s="11">
        <f>INDEX([1]ratio_ins!U:U,MATCH('001_population_health_zone_zs'!$B$2,[1]ratio_ins!$B:$B,0))*$G266*INDEX([1]ratio_ins!$C:$C,MATCH('001_population_health_zone_zs'!$B266,[1]ratio_ins!$B:$B,0))</f>
        <v>28662.839568000003</v>
      </c>
      <c r="X266" s="10">
        <f>INDEX([1]ratio_ins!V:V,MATCH('001_population_health_zone_zs'!$B$2,[1]ratio_ins!$B:$B,0))*$G266*INDEX([1]ratio_ins!$C:$C,MATCH('001_population_health_zone_zs'!$B266,[1]ratio_ins!$B:$B,0))</f>
        <v>840.55248000000006</v>
      </c>
      <c r="Y266" s="10">
        <f>INDEX([1]ratio_ins!W:W,MATCH('001_population_health_zone_zs'!$B$2,[1]ratio_ins!$B:$B,0))*$G266*INDEX([1]ratio_ins!$C:$C,MATCH('001_population_health_zone_zs'!$B266,[1]ratio_ins!$B:$B,0))</f>
        <v>560.36832000000004</v>
      </c>
      <c r="Z266" s="10">
        <f>INDEX([1]ratio_ins!X:X,MATCH('001_population_health_zone_zs'!$B$2,[1]ratio_ins!$B:$B,0))*$G266*INDEX([1]ratio_ins!$C:$C,MATCH('001_population_health_zone_zs'!$B266,[1]ratio_ins!$B:$B,0))</f>
        <v>280.18416000000002</v>
      </c>
      <c r="AA266" s="10">
        <f>INDEX([1]ratio_ins!Y:Y,MATCH('001_population_health_zone_zs'!$B$2,[1]ratio_ins!$B:$B,0))*$G266*INDEX([1]ratio_ins!$C:$C,MATCH('001_population_health_zone_zs'!$B266,[1]ratio_ins!$B:$B,0))</f>
        <v>140.09208000000001</v>
      </c>
      <c r="AB266" s="11">
        <f>INDEX([1]ratio_ins!Z:Z,MATCH('001_population_health_zone_zs'!$B$2,[1]ratio_ins!$B:$B,0))*$G266*INDEX([1]ratio_ins!$C:$C,MATCH('001_population_health_zone_zs'!$B266,[1]ratio_ins!$B:$B,0))</f>
        <v>1821.1970400000002</v>
      </c>
      <c r="AC266" s="12">
        <f t="shared" si="24"/>
        <v>70046.040000000008</v>
      </c>
      <c r="AD266" s="10">
        <f>INDEX([1]ratio_ins!AA:AA,MATCH('001_population_health_zone_zs'!$B$2,[1]ratio_ins!$B:$B,0))*$G266*INDEX([1]ratio_ins!$D:$D,MATCH('001_population_health_zone_zs'!$B266,[1]ratio_ins!$B:$B,0))</f>
        <v>15188.031599999998</v>
      </c>
      <c r="AE266" s="10">
        <f>INDEX([1]ratio_ins!AB:AB,MATCH('001_population_health_zone_zs'!$B$2,[1]ratio_ins!$B:$B,0))*$G266*INDEX([1]ratio_ins!$D:$D,MATCH('001_population_health_zone_zs'!$B266,[1]ratio_ins!$B:$B,0))</f>
        <v>12512.045080000002</v>
      </c>
      <c r="AF266" s="10">
        <f>INDEX([1]ratio_ins!AC:AC,MATCH('001_population_health_zone_zs'!$B$2,[1]ratio_ins!$B:$B,0))*$G266*INDEX([1]ratio_ins!$D:$D,MATCH('001_population_health_zone_zs'!$B266,[1]ratio_ins!$B:$B,0))</f>
        <v>9908.3825199999992</v>
      </c>
      <c r="AG266" s="10">
        <f>INDEX([1]ratio_ins!AD:AD,MATCH('001_population_health_zone_zs'!$B$2,[1]ratio_ins!$B:$B,0))*$G266*INDEX([1]ratio_ins!$D:$D,MATCH('001_population_health_zone_zs'!$B266,[1]ratio_ins!$B:$B,0))</f>
        <v>6002.8886800000009</v>
      </c>
      <c r="AH266" s="10">
        <f>INDEX([1]ratio_ins!AE:AE,MATCH('001_population_health_zone_zs'!$B$2,[1]ratio_ins!$B:$B,0))*$G266*INDEX([1]ratio_ins!$D:$D,MATCH('001_population_health_zone_zs'!$B266,[1]ratio_ins!$B:$B,0))</f>
        <v>3601.7332080000001</v>
      </c>
      <c r="AI266" s="13">
        <f>INDEX([1]ratio_ins!AF:AF,MATCH('001_population_health_zone_zs'!$B$2,[1]ratio_ins!$B:$B,0))*$G266*INDEX([1]ratio_ins!$D:$D,MATCH('001_population_health_zone_zs'!$B266,[1]ratio_ins!$B:$B,0))</f>
        <v>41210.192407999995</v>
      </c>
      <c r="AJ266" s="10">
        <f>INDEX([1]ratio_ins!AG:AG,MATCH('001_population_health_zone_zs'!$B$2,[1]ratio_ins!$B:$B,0))*$G266*INDEX([1]ratio_ins!$D:$D,MATCH('001_population_health_zone_zs'!$B266,[1]ratio_ins!$B:$B,0))</f>
        <v>2401.1554719999999</v>
      </c>
      <c r="AK266" s="10">
        <f>INDEX([1]ratio_ins!AH:AH,MATCH('001_population_health_zone_zs'!$B$2,[1]ratio_ins!$B:$B,0))*$G266*INDEX([1]ratio_ins!$D:$D,MATCH('001_population_health_zone_zs'!$B266,[1]ratio_ins!$B:$B,0))</f>
        <v>5351.9730400000008</v>
      </c>
      <c r="AL266" s="10">
        <f>INDEX([1]ratio_ins!AI:AI,MATCH('001_population_health_zone_zs'!$B$2,[1]ratio_ins!$B:$B,0))*$G266*INDEX([1]ratio_ins!$D:$D,MATCH('001_population_health_zone_zs'!$B266,[1]ratio_ins!$B:$B,0))</f>
        <v>5062.677200000001</v>
      </c>
      <c r="AM266" s="10">
        <f>INDEX([1]ratio_ins!AJ:AJ,MATCH('001_population_health_zone_zs'!$B$2,[1]ratio_ins!$B:$B,0))*$G266*INDEX([1]ratio_ins!$D:$D,MATCH('001_population_health_zone_zs'!$B266,[1]ratio_ins!$B:$B,0))</f>
        <v>4628.73344</v>
      </c>
      <c r="AN266" s="10">
        <f>INDEX([1]ratio_ins!AK:AK,MATCH('001_population_health_zone_zs'!$B$2,[1]ratio_ins!$B:$B,0))*$G266*INDEX([1]ratio_ins!$D:$D,MATCH('001_population_health_zone_zs'!$B266,[1]ratio_ins!$B:$B,0))</f>
        <v>4339.4375999999993</v>
      </c>
      <c r="AO266" s="10">
        <f>INDEX([1]ratio_ins!AL:AL,MATCH('001_population_health_zone_zs'!$B$2,[1]ratio_ins!$B:$B,0))*$G266*INDEX([1]ratio_ins!$D:$D,MATCH('001_population_health_zone_zs'!$B266,[1]ratio_ins!$B:$B,0))</f>
        <v>3254.5781999999999</v>
      </c>
      <c r="AP266" s="10">
        <f>INDEX([1]ratio_ins!AM:AM,MATCH('001_population_health_zone_zs'!$B$2,[1]ratio_ins!$B:$B,0))*$G266*INDEX([1]ratio_ins!$D:$D,MATCH('001_population_health_zone_zs'!$B266,[1]ratio_ins!$B:$B,0))</f>
        <v>2097.3948399999999</v>
      </c>
      <c r="AQ266" s="10">
        <f>INDEX([1]ratio_ins!AN:AN,MATCH('001_population_health_zone_zs'!$B$2,[1]ratio_ins!$B:$B,0))*$G266*INDEX([1]ratio_ins!$D:$D,MATCH('001_population_health_zone_zs'!$B266,[1]ratio_ins!$B:$B,0))</f>
        <v>1663.4510799999998</v>
      </c>
      <c r="AR266" s="10">
        <f>INDEX([1]ratio_ins!AO:AO,MATCH('001_population_health_zone_zs'!$B$2,[1]ratio_ins!$B:$B,0))*$G266*INDEX([1]ratio_ins!$D:$D,MATCH('001_population_health_zone_zs'!$B266,[1]ratio_ins!$B:$B,0))</f>
        <v>795.56356000000005</v>
      </c>
      <c r="AS266" s="13">
        <f>INDEX([1]ratio_ins!AP:AP,MATCH('001_population_health_zone_zs'!$B$2,[1]ratio_ins!$B:$B,0))*$G266*INDEX([1]ratio_ins!$D:$D,MATCH('001_population_health_zone_zs'!$B266,[1]ratio_ins!$B:$B,0))</f>
        <v>29594.964432000001</v>
      </c>
      <c r="AT266" s="10">
        <f>INDEX([1]ratio_ins!AQ:AQ,MATCH('001_population_health_zone_zs'!$B$2,[1]ratio_ins!$B:$B,0))*$G266*INDEX([1]ratio_ins!$D:$D,MATCH('001_population_health_zone_zs'!$B266,[1]ratio_ins!$B:$B,0))</f>
        <v>723.2396</v>
      </c>
      <c r="AU266" s="10">
        <f>INDEX([1]ratio_ins!AR:AR,MATCH('001_population_health_zone_zs'!$B$2,[1]ratio_ins!$B:$B,0))*$G266*INDEX([1]ratio_ins!$D:$D,MATCH('001_population_health_zone_zs'!$B266,[1]ratio_ins!$B:$B,0))</f>
        <v>433.94376</v>
      </c>
      <c r="AV266" s="10">
        <f>INDEX([1]ratio_ins!AS:AS,MATCH('001_population_health_zone_zs'!$B$2,[1]ratio_ins!$B:$B,0))*$G266*INDEX([1]ratio_ins!$D:$D,MATCH('001_population_health_zone_zs'!$B266,[1]ratio_ins!$B:$B,0))</f>
        <v>216.97188</v>
      </c>
      <c r="AW266" s="10">
        <f>INDEX([1]ratio_ins!AT:AT,MATCH('001_population_health_zone_zs'!$B$2,[1]ratio_ins!$B:$B,0))*$G266*INDEX([1]ratio_ins!$D:$D,MATCH('001_population_health_zone_zs'!$B266,[1]ratio_ins!$B:$B,0))</f>
        <v>144.64792</v>
      </c>
      <c r="AX266" s="13">
        <f>INDEX([1]ratio_ins!AU:AU,MATCH('001_population_health_zone_zs'!$B$2,[1]ratio_ins!$B:$B,0))*$G266*INDEX([1]ratio_ins!$D:$D,MATCH('001_population_health_zone_zs'!$B266,[1]ratio_ins!$B:$B,0))</f>
        <v>1518.8031599999997</v>
      </c>
      <c r="AY266" s="14">
        <f t="shared" si="25"/>
        <v>72323.959999999992</v>
      </c>
      <c r="AZ266" s="15">
        <f t="shared" si="26"/>
        <v>142370</v>
      </c>
      <c r="BA266" s="16">
        <v>138497.90652604704</v>
      </c>
      <c r="BB266" s="10">
        <f t="shared" si="27"/>
        <v>30737.683000000001</v>
      </c>
      <c r="BC266" s="17">
        <f t="shared" si="28"/>
        <v>0.21590000000000001</v>
      </c>
      <c r="BD266" s="10">
        <f t="shared" si="29"/>
        <v>29209.198680000005</v>
      </c>
    </row>
    <row r="267" spans="1:56" x14ac:dyDescent="0.25">
      <c r="A267" s="8" t="s">
        <v>590</v>
      </c>
      <c r="B267" s="8" t="s">
        <v>591</v>
      </c>
      <c r="C267" s="8" t="s">
        <v>658</v>
      </c>
      <c r="D267" s="8" t="s">
        <v>659</v>
      </c>
      <c r="E267" s="8" t="s">
        <v>662</v>
      </c>
      <c r="F267" s="8" t="s">
        <v>663</v>
      </c>
      <c r="G267" s="9">
        <v>111183</v>
      </c>
      <c r="H267" s="10">
        <f>INDEX([1]ratio_ins!F:F,MATCH('001_population_health_zone_zs'!$B$2,[1]ratio_ins!$B:$B,0))*$G267*INDEX([1]ratio_ins!$C:$C,MATCH('001_population_health_zone_zs'!$B267,[1]ratio_ins!$B:$B,0))</f>
        <v>11432.725524000001</v>
      </c>
      <c r="I267" s="10">
        <f>INDEX([1]ratio_ins!G:G,MATCH('001_population_health_zone_zs'!$B$2,[1]ratio_ins!$B:$B,0))*$G267*INDEX([1]ratio_ins!$C:$C,MATCH('001_population_health_zone_zs'!$B267,[1]ratio_ins!$B:$B,0))</f>
        <v>9354.0481560000007</v>
      </c>
      <c r="J267" s="10">
        <f>INDEX([1]ratio_ins!H:H,MATCH('001_population_health_zone_zs'!$B$2,[1]ratio_ins!$B:$B,0))*$G267*INDEX([1]ratio_ins!$C:$C,MATCH('001_population_health_zone_zs'!$B267,[1]ratio_ins!$B:$B,0))</f>
        <v>7384.7748600000014</v>
      </c>
      <c r="K267" s="10">
        <f>INDEX([1]ratio_ins!I:I,MATCH('001_population_health_zone_zs'!$B$2,[1]ratio_ins!$B:$B,0))*$G267*INDEX([1]ratio_ins!$C:$C,MATCH('001_population_health_zone_zs'!$B267,[1]ratio_ins!$B:$B,0))</f>
        <v>4540.2689880000007</v>
      </c>
      <c r="L267" s="10">
        <f>INDEX([1]ratio_ins!J:J,MATCH('001_population_health_zone_zs'!$B$2,[1]ratio_ins!$B:$B,0))*$G267*INDEX([1]ratio_ins!$C:$C,MATCH('001_population_health_zone_zs'!$B267,[1]ratio_ins!$B:$B,0))</f>
        <v>2724.1613928000002</v>
      </c>
      <c r="M267" s="11">
        <f>INDEX([1]ratio_ins!K:K,MATCH('001_population_health_zone_zs'!$B$2,[1]ratio_ins!$B:$B,0))*$G267*INDEX([1]ratio_ins!$C:$C,MATCH('001_population_health_zone_zs'!$B267,[1]ratio_ins!$B:$B,0))</f>
        <v>30895.7099328</v>
      </c>
      <c r="N267" s="10">
        <f>INDEX([1]ratio_ins!L:L,MATCH('001_population_health_zone_zs'!$B$2,[1]ratio_ins!$B:$B,0))*$G267*INDEX([1]ratio_ins!$C:$C,MATCH('001_population_health_zone_zs'!$B267,[1]ratio_ins!$B:$B,0))</f>
        <v>1816.1075952000001</v>
      </c>
      <c r="O267" s="10">
        <f>INDEX([1]ratio_ins!M:M,MATCH('001_population_health_zone_zs'!$B$2,[1]ratio_ins!$B:$B,0))*$G267*INDEX([1]ratio_ins!$C:$C,MATCH('001_population_health_zone_zs'!$B267,[1]ratio_ins!$B:$B,0))</f>
        <v>3938.5465920000011</v>
      </c>
      <c r="P267" s="10">
        <f>INDEX([1]ratio_ins!N:N,MATCH('001_population_health_zone_zs'!$B$2,[1]ratio_ins!$B:$B,0))*$G267*INDEX([1]ratio_ins!$C:$C,MATCH('001_population_health_zone_zs'!$B267,[1]ratio_ins!$B:$B,0))</f>
        <v>3555.6323400000006</v>
      </c>
      <c r="Q267" s="10">
        <f>INDEX([1]ratio_ins!O:O,MATCH('001_population_health_zone_zs'!$B$2,[1]ratio_ins!$B:$B,0))*$G267*INDEX([1]ratio_ins!$C:$C,MATCH('001_population_health_zone_zs'!$B267,[1]ratio_ins!$B:$B,0))</f>
        <v>3172.7180880000001</v>
      </c>
      <c r="R267" s="10">
        <f>INDEX([1]ratio_ins!P:P,MATCH('001_population_health_zone_zs'!$B$2,[1]ratio_ins!$B:$B,0))*$G267*INDEX([1]ratio_ins!$C:$C,MATCH('001_population_health_zone_zs'!$B267,[1]ratio_ins!$B:$B,0))</f>
        <v>3118.0160520000004</v>
      </c>
      <c r="S267" s="10">
        <f>INDEX([1]ratio_ins!Q:Q,MATCH('001_population_health_zone_zs'!$B$2,[1]ratio_ins!$B:$B,0))*$G267*INDEX([1]ratio_ins!$C:$C,MATCH('001_population_health_zone_zs'!$B267,[1]ratio_ins!$B:$B,0))</f>
        <v>2625.6977280000006</v>
      </c>
      <c r="T267" s="10">
        <f>INDEX([1]ratio_ins!R:R,MATCH('001_population_health_zone_zs'!$B$2,[1]ratio_ins!$B:$B,0))*$G267*INDEX([1]ratio_ins!$C:$C,MATCH('001_population_health_zone_zs'!$B267,[1]ratio_ins!$B:$B,0))</f>
        <v>1859.8692240000003</v>
      </c>
      <c r="U267" s="10">
        <f>INDEX([1]ratio_ins!S:S,MATCH('001_population_health_zone_zs'!$B$2,[1]ratio_ins!$B:$B,0))*$G267*INDEX([1]ratio_ins!$C:$C,MATCH('001_population_health_zone_zs'!$B267,[1]ratio_ins!$B:$B,0))</f>
        <v>1476.9549720000002</v>
      </c>
      <c r="V267" s="10">
        <f>INDEX([1]ratio_ins!T:T,MATCH('001_population_health_zone_zs'!$B$2,[1]ratio_ins!$B:$B,0))*$G267*INDEX([1]ratio_ins!$C:$C,MATCH('001_population_health_zone_zs'!$B267,[1]ratio_ins!$B:$B,0))</f>
        <v>820.53053999999997</v>
      </c>
      <c r="W267" s="11">
        <f>INDEX([1]ratio_ins!U:U,MATCH('001_population_health_zone_zs'!$B$2,[1]ratio_ins!$B:$B,0))*$G267*INDEX([1]ratio_ins!$C:$C,MATCH('001_population_health_zone_zs'!$B267,[1]ratio_ins!$B:$B,0))</f>
        <v>22384.073131200003</v>
      </c>
      <c r="X267" s="10">
        <f>INDEX([1]ratio_ins!V:V,MATCH('001_population_health_zone_zs'!$B$2,[1]ratio_ins!$B:$B,0))*$G267*INDEX([1]ratio_ins!$C:$C,MATCH('001_population_health_zone_zs'!$B267,[1]ratio_ins!$B:$B,0))</f>
        <v>656.42443200000014</v>
      </c>
      <c r="Y267" s="10">
        <f>INDEX([1]ratio_ins!W:W,MATCH('001_population_health_zone_zs'!$B$2,[1]ratio_ins!$B:$B,0))*$G267*INDEX([1]ratio_ins!$C:$C,MATCH('001_population_health_zone_zs'!$B267,[1]ratio_ins!$B:$B,0))</f>
        <v>437.61628800000005</v>
      </c>
      <c r="Z267" s="10">
        <f>INDEX([1]ratio_ins!X:X,MATCH('001_population_health_zone_zs'!$B$2,[1]ratio_ins!$B:$B,0))*$G267*INDEX([1]ratio_ins!$C:$C,MATCH('001_population_health_zone_zs'!$B267,[1]ratio_ins!$B:$B,0))</f>
        <v>218.80814400000003</v>
      </c>
      <c r="AA267" s="10">
        <f>INDEX([1]ratio_ins!Y:Y,MATCH('001_population_health_zone_zs'!$B$2,[1]ratio_ins!$B:$B,0))*$G267*INDEX([1]ratio_ins!$C:$C,MATCH('001_population_health_zone_zs'!$B267,[1]ratio_ins!$B:$B,0))</f>
        <v>109.40407200000001</v>
      </c>
      <c r="AB267" s="11">
        <f>INDEX([1]ratio_ins!Z:Z,MATCH('001_population_health_zone_zs'!$B$2,[1]ratio_ins!$B:$B,0))*$G267*INDEX([1]ratio_ins!$C:$C,MATCH('001_population_health_zone_zs'!$B267,[1]ratio_ins!$B:$B,0))</f>
        <v>1422.2529360000003</v>
      </c>
      <c r="AC267" s="12">
        <f t="shared" si="24"/>
        <v>54702.036</v>
      </c>
      <c r="AD267" s="10">
        <f>INDEX([1]ratio_ins!AA:AA,MATCH('001_population_health_zone_zs'!$B$2,[1]ratio_ins!$B:$B,0))*$G267*INDEX([1]ratio_ins!$D:$D,MATCH('001_population_health_zone_zs'!$B267,[1]ratio_ins!$B:$B,0))</f>
        <v>11861.00244</v>
      </c>
      <c r="AE267" s="10">
        <f>INDEX([1]ratio_ins!AB:AB,MATCH('001_population_health_zone_zs'!$B$2,[1]ratio_ins!$B:$B,0))*$G267*INDEX([1]ratio_ins!$D:$D,MATCH('001_population_health_zone_zs'!$B267,[1]ratio_ins!$B:$B,0))</f>
        <v>9771.2067720000014</v>
      </c>
      <c r="AF267" s="10">
        <f>INDEX([1]ratio_ins!AC:AC,MATCH('001_population_health_zone_zs'!$B$2,[1]ratio_ins!$B:$B,0))*$G267*INDEX([1]ratio_ins!$D:$D,MATCH('001_population_health_zone_zs'!$B267,[1]ratio_ins!$B:$B,0))</f>
        <v>7737.8920679999992</v>
      </c>
      <c r="AG267" s="10">
        <f>INDEX([1]ratio_ins!AD:AD,MATCH('001_population_health_zone_zs'!$B$2,[1]ratio_ins!$B:$B,0))*$G267*INDEX([1]ratio_ins!$D:$D,MATCH('001_population_health_zone_zs'!$B267,[1]ratio_ins!$B:$B,0))</f>
        <v>4687.9200120000005</v>
      </c>
      <c r="AH267" s="10">
        <f>INDEX([1]ratio_ins!AE:AE,MATCH('001_population_health_zone_zs'!$B$2,[1]ratio_ins!$B:$B,0))*$G267*INDEX([1]ratio_ins!$D:$D,MATCH('001_population_health_zone_zs'!$B267,[1]ratio_ins!$B:$B,0))</f>
        <v>2812.7520071999998</v>
      </c>
      <c r="AI267" s="13">
        <f>INDEX([1]ratio_ins!AF:AF,MATCH('001_population_health_zone_zs'!$B$2,[1]ratio_ins!$B:$B,0))*$G267*INDEX([1]ratio_ins!$D:$D,MATCH('001_population_health_zone_zs'!$B267,[1]ratio_ins!$B:$B,0))</f>
        <v>32182.853287199996</v>
      </c>
      <c r="AJ267" s="10">
        <f>INDEX([1]ratio_ins!AG:AG,MATCH('001_population_health_zone_zs'!$B$2,[1]ratio_ins!$B:$B,0))*$G267*INDEX([1]ratio_ins!$D:$D,MATCH('001_population_health_zone_zs'!$B267,[1]ratio_ins!$B:$B,0))</f>
        <v>1875.1680048000001</v>
      </c>
      <c r="AK267" s="10">
        <f>INDEX([1]ratio_ins!AH:AH,MATCH('001_population_health_zone_zs'!$B$2,[1]ratio_ins!$B:$B,0))*$G267*INDEX([1]ratio_ins!$D:$D,MATCH('001_population_health_zone_zs'!$B267,[1]ratio_ins!$B:$B,0))</f>
        <v>4179.5913360000004</v>
      </c>
      <c r="AL267" s="10">
        <f>INDEX([1]ratio_ins!AI:AI,MATCH('001_population_health_zone_zs'!$B$2,[1]ratio_ins!$B:$B,0))*$G267*INDEX([1]ratio_ins!$D:$D,MATCH('001_population_health_zone_zs'!$B267,[1]ratio_ins!$B:$B,0))</f>
        <v>3953.6674800000001</v>
      </c>
      <c r="AM267" s="10">
        <f>INDEX([1]ratio_ins!AJ:AJ,MATCH('001_population_health_zone_zs'!$B$2,[1]ratio_ins!$B:$B,0))*$G267*INDEX([1]ratio_ins!$D:$D,MATCH('001_population_health_zone_zs'!$B267,[1]ratio_ins!$B:$B,0))</f>
        <v>3614.7816960000005</v>
      </c>
      <c r="AN267" s="10">
        <f>INDEX([1]ratio_ins!AK:AK,MATCH('001_population_health_zone_zs'!$B$2,[1]ratio_ins!$B:$B,0))*$G267*INDEX([1]ratio_ins!$D:$D,MATCH('001_population_health_zone_zs'!$B267,[1]ratio_ins!$B:$B,0))</f>
        <v>3388.8578399999997</v>
      </c>
      <c r="AO267" s="10">
        <f>INDEX([1]ratio_ins!AL:AL,MATCH('001_population_health_zone_zs'!$B$2,[1]ratio_ins!$B:$B,0))*$G267*INDEX([1]ratio_ins!$D:$D,MATCH('001_population_health_zone_zs'!$B267,[1]ratio_ins!$B:$B,0))</f>
        <v>2541.64338</v>
      </c>
      <c r="AP267" s="10">
        <f>INDEX([1]ratio_ins!AM:AM,MATCH('001_population_health_zone_zs'!$B$2,[1]ratio_ins!$B:$B,0))*$G267*INDEX([1]ratio_ins!$D:$D,MATCH('001_population_health_zone_zs'!$B267,[1]ratio_ins!$B:$B,0))</f>
        <v>1637.947956</v>
      </c>
      <c r="AQ267" s="10">
        <f>INDEX([1]ratio_ins!AN:AN,MATCH('001_population_health_zone_zs'!$B$2,[1]ratio_ins!$B:$B,0))*$G267*INDEX([1]ratio_ins!$D:$D,MATCH('001_population_health_zone_zs'!$B267,[1]ratio_ins!$B:$B,0))</f>
        <v>1299.0621719999999</v>
      </c>
      <c r="AR267" s="10">
        <f>INDEX([1]ratio_ins!AO:AO,MATCH('001_population_health_zone_zs'!$B$2,[1]ratio_ins!$B:$B,0))*$G267*INDEX([1]ratio_ins!$D:$D,MATCH('001_population_health_zone_zs'!$B267,[1]ratio_ins!$B:$B,0))</f>
        <v>621.29060400000003</v>
      </c>
      <c r="AS267" s="13">
        <f>INDEX([1]ratio_ins!AP:AP,MATCH('001_population_health_zone_zs'!$B$2,[1]ratio_ins!$B:$B,0))*$G267*INDEX([1]ratio_ins!$D:$D,MATCH('001_population_health_zone_zs'!$B267,[1]ratio_ins!$B:$B,0))</f>
        <v>23112.010468799999</v>
      </c>
      <c r="AT267" s="10">
        <f>INDEX([1]ratio_ins!AQ:AQ,MATCH('001_population_health_zone_zs'!$B$2,[1]ratio_ins!$B:$B,0))*$G267*INDEX([1]ratio_ins!$D:$D,MATCH('001_population_health_zone_zs'!$B267,[1]ratio_ins!$B:$B,0))</f>
        <v>564.80963999999994</v>
      </c>
      <c r="AU267" s="10">
        <f>INDEX([1]ratio_ins!AR:AR,MATCH('001_population_health_zone_zs'!$B$2,[1]ratio_ins!$B:$B,0))*$G267*INDEX([1]ratio_ins!$D:$D,MATCH('001_population_health_zone_zs'!$B267,[1]ratio_ins!$B:$B,0))</f>
        <v>338.88578400000006</v>
      </c>
      <c r="AV267" s="10">
        <f>INDEX([1]ratio_ins!AS:AS,MATCH('001_population_health_zone_zs'!$B$2,[1]ratio_ins!$B:$B,0))*$G267*INDEX([1]ratio_ins!$D:$D,MATCH('001_population_health_zone_zs'!$B267,[1]ratio_ins!$B:$B,0))</f>
        <v>169.44289200000003</v>
      </c>
      <c r="AW267" s="10">
        <f>INDEX([1]ratio_ins!AT:AT,MATCH('001_population_health_zone_zs'!$B$2,[1]ratio_ins!$B:$B,0))*$G267*INDEX([1]ratio_ins!$D:$D,MATCH('001_population_health_zone_zs'!$B267,[1]ratio_ins!$B:$B,0))</f>
        <v>112.96192800000001</v>
      </c>
      <c r="AX267" s="13">
        <f>INDEX([1]ratio_ins!AU:AU,MATCH('001_population_health_zone_zs'!$B$2,[1]ratio_ins!$B:$B,0))*$G267*INDEX([1]ratio_ins!$D:$D,MATCH('001_population_health_zone_zs'!$B267,[1]ratio_ins!$B:$B,0))</f>
        <v>1186.100244</v>
      </c>
      <c r="AY267" s="14">
        <f t="shared" si="25"/>
        <v>56480.963999999993</v>
      </c>
      <c r="AZ267" s="15">
        <f t="shared" si="26"/>
        <v>111183</v>
      </c>
      <c r="BA267" s="16">
        <v>108159.75559785859</v>
      </c>
      <c r="BB267" s="10">
        <f t="shared" si="27"/>
        <v>24004.409700000004</v>
      </c>
      <c r="BC267" s="17">
        <f t="shared" si="28"/>
        <v>0.21590000000000004</v>
      </c>
      <c r="BD267" s="10">
        <f t="shared" si="29"/>
        <v>22810.749012</v>
      </c>
    </row>
    <row r="268" spans="1:56" x14ac:dyDescent="0.25">
      <c r="A268" s="8" t="s">
        <v>590</v>
      </c>
      <c r="B268" s="8" t="s">
        <v>591</v>
      </c>
      <c r="C268" s="8" t="s">
        <v>658</v>
      </c>
      <c r="D268" s="8" t="s">
        <v>659</v>
      </c>
      <c r="E268" s="8" t="s">
        <v>664</v>
      </c>
      <c r="F268" s="8" t="s">
        <v>665</v>
      </c>
      <c r="G268" s="9">
        <v>177163</v>
      </c>
      <c r="H268" s="10">
        <f>INDEX([1]ratio_ins!F:F,MATCH('001_population_health_zone_zs'!$B$2,[1]ratio_ins!$B:$B,0))*$G268*INDEX([1]ratio_ins!$C:$C,MATCH('001_population_health_zone_zs'!$B268,[1]ratio_ins!$B:$B,0))</f>
        <v>18217.316963999998</v>
      </c>
      <c r="I268" s="10">
        <f>INDEX([1]ratio_ins!G:G,MATCH('001_population_health_zone_zs'!$B$2,[1]ratio_ins!$B:$B,0))*$G268*INDEX([1]ratio_ins!$C:$C,MATCH('001_population_health_zone_zs'!$B268,[1]ratio_ins!$B:$B,0))</f>
        <v>14905.077516000003</v>
      </c>
      <c r="J268" s="10">
        <f>INDEX([1]ratio_ins!H:H,MATCH('001_population_health_zone_zs'!$B$2,[1]ratio_ins!$B:$B,0))*$G268*INDEX([1]ratio_ins!$C:$C,MATCH('001_population_health_zone_zs'!$B268,[1]ratio_ins!$B:$B,0))</f>
        <v>11767.166460000002</v>
      </c>
      <c r="K268" s="10">
        <f>INDEX([1]ratio_ins!I:I,MATCH('001_population_health_zone_zs'!$B$2,[1]ratio_ins!$B:$B,0))*$G268*INDEX([1]ratio_ins!$C:$C,MATCH('001_population_health_zone_zs'!$B268,[1]ratio_ins!$B:$B,0))</f>
        <v>7234.6282680000013</v>
      </c>
      <c r="L268" s="10">
        <f>INDEX([1]ratio_ins!J:J,MATCH('001_population_health_zone_zs'!$B$2,[1]ratio_ins!$B:$B,0))*$G268*INDEX([1]ratio_ins!$C:$C,MATCH('001_population_health_zone_zs'!$B268,[1]ratio_ins!$B:$B,0))</f>
        <v>4340.7769607999999</v>
      </c>
      <c r="M268" s="11">
        <f>INDEX([1]ratio_ins!K:K,MATCH('001_population_health_zone_zs'!$B$2,[1]ratio_ins!$B:$B,0))*$G268*INDEX([1]ratio_ins!$C:$C,MATCH('001_population_health_zone_zs'!$B268,[1]ratio_ins!$B:$B,0))</f>
        <v>49230.337900800005</v>
      </c>
      <c r="N268" s="10">
        <f>INDEX([1]ratio_ins!L:L,MATCH('001_population_health_zone_zs'!$B$2,[1]ratio_ins!$B:$B,0))*$G268*INDEX([1]ratio_ins!$C:$C,MATCH('001_population_health_zone_zs'!$B268,[1]ratio_ins!$B:$B,0))</f>
        <v>2893.8513072000001</v>
      </c>
      <c r="O268" s="10">
        <f>INDEX([1]ratio_ins!M:M,MATCH('001_population_health_zone_zs'!$B$2,[1]ratio_ins!$B:$B,0))*$G268*INDEX([1]ratio_ins!$C:$C,MATCH('001_population_health_zone_zs'!$B268,[1]ratio_ins!$B:$B,0))</f>
        <v>6275.8221120000007</v>
      </c>
      <c r="P268" s="10">
        <f>INDEX([1]ratio_ins!N:N,MATCH('001_population_health_zone_zs'!$B$2,[1]ratio_ins!$B:$B,0))*$G268*INDEX([1]ratio_ins!$C:$C,MATCH('001_population_health_zone_zs'!$B268,[1]ratio_ins!$B:$B,0))</f>
        <v>5665.6727400000009</v>
      </c>
      <c r="Q268" s="10">
        <f>INDEX([1]ratio_ins!O:O,MATCH('001_population_health_zone_zs'!$B$2,[1]ratio_ins!$B:$B,0))*$G268*INDEX([1]ratio_ins!$C:$C,MATCH('001_population_health_zone_zs'!$B268,[1]ratio_ins!$B:$B,0))</f>
        <v>5055.5233680000001</v>
      </c>
      <c r="R268" s="10">
        <f>INDEX([1]ratio_ins!P:P,MATCH('001_population_health_zone_zs'!$B$2,[1]ratio_ins!$B:$B,0))*$G268*INDEX([1]ratio_ins!$C:$C,MATCH('001_population_health_zone_zs'!$B268,[1]ratio_ins!$B:$B,0))</f>
        <v>4968.3591720000013</v>
      </c>
      <c r="S268" s="10">
        <f>INDEX([1]ratio_ins!Q:Q,MATCH('001_population_health_zone_zs'!$B$2,[1]ratio_ins!$B:$B,0))*$G268*INDEX([1]ratio_ins!$C:$C,MATCH('001_population_health_zone_zs'!$B268,[1]ratio_ins!$B:$B,0))</f>
        <v>4183.8814080000011</v>
      </c>
      <c r="T268" s="10">
        <f>INDEX([1]ratio_ins!R:R,MATCH('001_population_health_zone_zs'!$B$2,[1]ratio_ins!$B:$B,0))*$G268*INDEX([1]ratio_ins!$C:$C,MATCH('001_population_health_zone_zs'!$B268,[1]ratio_ins!$B:$B,0))</f>
        <v>2963.5826640000005</v>
      </c>
      <c r="U268" s="10">
        <f>INDEX([1]ratio_ins!S:S,MATCH('001_population_health_zone_zs'!$B$2,[1]ratio_ins!$B:$B,0))*$G268*INDEX([1]ratio_ins!$C:$C,MATCH('001_population_health_zone_zs'!$B268,[1]ratio_ins!$B:$B,0))</f>
        <v>2353.4332920000006</v>
      </c>
      <c r="V268" s="10">
        <f>INDEX([1]ratio_ins!T:T,MATCH('001_population_health_zone_zs'!$B$2,[1]ratio_ins!$B:$B,0))*$G268*INDEX([1]ratio_ins!$C:$C,MATCH('001_population_health_zone_zs'!$B268,[1]ratio_ins!$B:$B,0))</f>
        <v>1307.4629399999999</v>
      </c>
      <c r="W268" s="11">
        <f>INDEX([1]ratio_ins!U:U,MATCH('001_population_health_zone_zs'!$B$2,[1]ratio_ins!$B:$B,0))*$G268*INDEX([1]ratio_ins!$C:$C,MATCH('001_population_health_zone_zs'!$B268,[1]ratio_ins!$B:$B,0))</f>
        <v>35667.589003200002</v>
      </c>
      <c r="X268" s="10">
        <f>INDEX([1]ratio_ins!V:V,MATCH('001_population_health_zone_zs'!$B$2,[1]ratio_ins!$B:$B,0))*$G268*INDEX([1]ratio_ins!$C:$C,MATCH('001_population_health_zone_zs'!$B268,[1]ratio_ins!$B:$B,0))</f>
        <v>1045.9703520000003</v>
      </c>
      <c r="Y268" s="10">
        <f>INDEX([1]ratio_ins!W:W,MATCH('001_population_health_zone_zs'!$B$2,[1]ratio_ins!$B:$B,0))*$G268*INDEX([1]ratio_ins!$C:$C,MATCH('001_population_health_zone_zs'!$B268,[1]ratio_ins!$B:$B,0))</f>
        <v>697.31356800000015</v>
      </c>
      <c r="Z268" s="10">
        <f>INDEX([1]ratio_ins!X:X,MATCH('001_population_health_zone_zs'!$B$2,[1]ratio_ins!$B:$B,0))*$G268*INDEX([1]ratio_ins!$C:$C,MATCH('001_population_health_zone_zs'!$B268,[1]ratio_ins!$B:$B,0))</f>
        <v>348.65678400000007</v>
      </c>
      <c r="AA268" s="10">
        <f>INDEX([1]ratio_ins!Y:Y,MATCH('001_population_health_zone_zs'!$B$2,[1]ratio_ins!$B:$B,0))*$G268*INDEX([1]ratio_ins!$C:$C,MATCH('001_population_health_zone_zs'!$B268,[1]ratio_ins!$B:$B,0))</f>
        <v>174.32839200000004</v>
      </c>
      <c r="AB268" s="11">
        <f>INDEX([1]ratio_ins!Z:Z,MATCH('001_population_health_zone_zs'!$B$2,[1]ratio_ins!$B:$B,0))*$G268*INDEX([1]ratio_ins!$C:$C,MATCH('001_population_health_zone_zs'!$B268,[1]ratio_ins!$B:$B,0))</f>
        <v>2266.2690960000004</v>
      </c>
      <c r="AC268" s="12">
        <f t="shared" si="24"/>
        <v>87164.196000000011</v>
      </c>
      <c r="AD268" s="10">
        <f>INDEX([1]ratio_ins!AA:AA,MATCH('001_population_health_zone_zs'!$B$2,[1]ratio_ins!$B:$B,0))*$G268*INDEX([1]ratio_ins!$D:$D,MATCH('001_population_health_zone_zs'!$B268,[1]ratio_ins!$B:$B,0))</f>
        <v>18899.748839999997</v>
      </c>
      <c r="AE268" s="10">
        <f>INDEX([1]ratio_ins!AB:AB,MATCH('001_population_health_zone_zs'!$B$2,[1]ratio_ins!$B:$B,0))*$G268*INDEX([1]ratio_ins!$D:$D,MATCH('001_population_health_zone_zs'!$B268,[1]ratio_ins!$B:$B,0))</f>
        <v>15569.793092000002</v>
      </c>
      <c r="AF268" s="10">
        <f>INDEX([1]ratio_ins!AC:AC,MATCH('001_population_health_zone_zs'!$B$2,[1]ratio_ins!$B:$B,0))*$G268*INDEX([1]ratio_ins!$D:$D,MATCH('001_population_health_zone_zs'!$B268,[1]ratio_ins!$B:$B,0))</f>
        <v>12329.836147999999</v>
      </c>
      <c r="AG268" s="10">
        <f>INDEX([1]ratio_ins!AD:AD,MATCH('001_population_health_zone_zs'!$B$2,[1]ratio_ins!$B:$B,0))*$G268*INDEX([1]ratio_ins!$D:$D,MATCH('001_population_health_zone_zs'!$B268,[1]ratio_ins!$B:$B,0))</f>
        <v>7469.9007320000001</v>
      </c>
      <c r="AH268" s="10">
        <f>INDEX([1]ratio_ins!AE:AE,MATCH('001_population_health_zone_zs'!$B$2,[1]ratio_ins!$B:$B,0))*$G268*INDEX([1]ratio_ins!$D:$D,MATCH('001_population_health_zone_zs'!$B268,[1]ratio_ins!$B:$B,0))</f>
        <v>4481.9404391999997</v>
      </c>
      <c r="AI268" s="13">
        <f>INDEX([1]ratio_ins!AF:AF,MATCH('001_population_health_zone_zs'!$B$2,[1]ratio_ins!$B:$B,0))*$G268*INDEX([1]ratio_ins!$D:$D,MATCH('001_population_health_zone_zs'!$B268,[1]ratio_ins!$B:$B,0))</f>
        <v>51281.318519199995</v>
      </c>
      <c r="AJ268" s="10">
        <f>INDEX([1]ratio_ins!AG:AG,MATCH('001_population_health_zone_zs'!$B$2,[1]ratio_ins!$B:$B,0))*$G268*INDEX([1]ratio_ins!$D:$D,MATCH('001_population_health_zone_zs'!$B268,[1]ratio_ins!$B:$B,0))</f>
        <v>2987.9602927999999</v>
      </c>
      <c r="AK268" s="10">
        <f>INDEX([1]ratio_ins!AH:AH,MATCH('001_population_health_zone_zs'!$B$2,[1]ratio_ins!$B:$B,0))*$G268*INDEX([1]ratio_ins!$D:$D,MATCH('001_population_health_zone_zs'!$B268,[1]ratio_ins!$B:$B,0))</f>
        <v>6659.9114960000006</v>
      </c>
      <c r="AL268" s="10">
        <f>INDEX([1]ratio_ins!AI:AI,MATCH('001_population_health_zone_zs'!$B$2,[1]ratio_ins!$B:$B,0))*$G268*INDEX([1]ratio_ins!$D:$D,MATCH('001_population_health_zone_zs'!$B268,[1]ratio_ins!$B:$B,0))</f>
        <v>6299.9162800000013</v>
      </c>
      <c r="AM268" s="10">
        <f>INDEX([1]ratio_ins!AJ:AJ,MATCH('001_population_health_zone_zs'!$B$2,[1]ratio_ins!$B:$B,0))*$G268*INDEX([1]ratio_ins!$D:$D,MATCH('001_population_health_zone_zs'!$B268,[1]ratio_ins!$B:$B,0))</f>
        <v>5759.9234560000004</v>
      </c>
      <c r="AN268" s="10">
        <f>INDEX([1]ratio_ins!AK:AK,MATCH('001_population_health_zone_zs'!$B$2,[1]ratio_ins!$B:$B,0))*$G268*INDEX([1]ratio_ins!$D:$D,MATCH('001_population_health_zone_zs'!$B268,[1]ratio_ins!$B:$B,0))</f>
        <v>5399.9282399999993</v>
      </c>
      <c r="AO268" s="10">
        <f>INDEX([1]ratio_ins!AL:AL,MATCH('001_population_health_zone_zs'!$B$2,[1]ratio_ins!$B:$B,0))*$G268*INDEX([1]ratio_ins!$D:$D,MATCH('001_population_health_zone_zs'!$B268,[1]ratio_ins!$B:$B,0))</f>
        <v>4049.9461799999999</v>
      </c>
      <c r="AP268" s="10">
        <f>INDEX([1]ratio_ins!AM:AM,MATCH('001_population_health_zone_zs'!$B$2,[1]ratio_ins!$B:$B,0))*$G268*INDEX([1]ratio_ins!$D:$D,MATCH('001_population_health_zone_zs'!$B268,[1]ratio_ins!$B:$B,0))</f>
        <v>2609.9653159999998</v>
      </c>
      <c r="AQ268" s="10">
        <f>INDEX([1]ratio_ins!AN:AN,MATCH('001_population_health_zone_zs'!$B$2,[1]ratio_ins!$B:$B,0))*$G268*INDEX([1]ratio_ins!$D:$D,MATCH('001_population_health_zone_zs'!$B268,[1]ratio_ins!$B:$B,0))</f>
        <v>2069.9724919999999</v>
      </c>
      <c r="AR268" s="10">
        <f>INDEX([1]ratio_ins!AO:AO,MATCH('001_population_health_zone_zs'!$B$2,[1]ratio_ins!$B:$B,0))*$G268*INDEX([1]ratio_ins!$D:$D,MATCH('001_population_health_zone_zs'!$B268,[1]ratio_ins!$B:$B,0))</f>
        <v>989.98684400000002</v>
      </c>
      <c r="AS268" s="13">
        <f>INDEX([1]ratio_ins!AP:AP,MATCH('001_population_health_zone_zs'!$B$2,[1]ratio_ins!$B:$B,0))*$G268*INDEX([1]ratio_ins!$D:$D,MATCH('001_population_health_zone_zs'!$B268,[1]ratio_ins!$B:$B,0))</f>
        <v>36827.510596799999</v>
      </c>
      <c r="AT268" s="10">
        <f>INDEX([1]ratio_ins!AQ:AQ,MATCH('001_population_health_zone_zs'!$B$2,[1]ratio_ins!$B:$B,0))*$G268*INDEX([1]ratio_ins!$D:$D,MATCH('001_population_health_zone_zs'!$B268,[1]ratio_ins!$B:$B,0))</f>
        <v>899.98804000000007</v>
      </c>
      <c r="AU268" s="10">
        <f>INDEX([1]ratio_ins!AR:AR,MATCH('001_population_health_zone_zs'!$B$2,[1]ratio_ins!$B:$B,0))*$G268*INDEX([1]ratio_ins!$D:$D,MATCH('001_population_health_zone_zs'!$B268,[1]ratio_ins!$B:$B,0))</f>
        <v>539.99282400000004</v>
      </c>
      <c r="AV268" s="10">
        <f>INDEX([1]ratio_ins!AS:AS,MATCH('001_population_health_zone_zs'!$B$2,[1]ratio_ins!$B:$B,0))*$G268*INDEX([1]ratio_ins!$D:$D,MATCH('001_population_health_zone_zs'!$B268,[1]ratio_ins!$B:$B,0))</f>
        <v>269.99641200000002</v>
      </c>
      <c r="AW268" s="10">
        <f>INDEX([1]ratio_ins!AT:AT,MATCH('001_population_health_zone_zs'!$B$2,[1]ratio_ins!$B:$B,0))*$G268*INDEX([1]ratio_ins!$D:$D,MATCH('001_population_health_zone_zs'!$B268,[1]ratio_ins!$B:$B,0))</f>
        <v>179.99760800000001</v>
      </c>
      <c r="AX268" s="13">
        <f>INDEX([1]ratio_ins!AU:AU,MATCH('001_population_health_zone_zs'!$B$2,[1]ratio_ins!$B:$B,0))*$G268*INDEX([1]ratio_ins!$D:$D,MATCH('001_population_health_zone_zs'!$B268,[1]ratio_ins!$B:$B,0))</f>
        <v>1889.974884</v>
      </c>
      <c r="AY268" s="14">
        <f t="shared" si="25"/>
        <v>89998.803999999989</v>
      </c>
      <c r="AZ268" s="15">
        <f t="shared" si="26"/>
        <v>177163</v>
      </c>
      <c r="BA268" s="16">
        <v>172345.12537388309</v>
      </c>
      <c r="BB268" s="10">
        <f t="shared" si="27"/>
        <v>38249.491699999999</v>
      </c>
      <c r="BC268" s="17">
        <f t="shared" si="28"/>
        <v>0.21589999999999998</v>
      </c>
      <c r="BD268" s="10">
        <f t="shared" si="29"/>
        <v>36347.469732000012</v>
      </c>
    </row>
    <row r="269" spans="1:56" x14ac:dyDescent="0.25">
      <c r="A269" s="8" t="s">
        <v>590</v>
      </c>
      <c r="B269" s="8" t="s">
        <v>591</v>
      </c>
      <c r="C269" s="8" t="s">
        <v>658</v>
      </c>
      <c r="D269" s="8" t="s">
        <v>659</v>
      </c>
      <c r="E269" s="8" t="s">
        <v>658</v>
      </c>
      <c r="F269" s="8" t="s">
        <v>666</v>
      </c>
      <c r="G269" s="9">
        <v>159415</v>
      </c>
      <c r="H269" s="10">
        <f>INDEX([1]ratio_ins!F:F,MATCH('001_population_health_zone_zs'!$B$2,[1]ratio_ins!$B:$B,0))*$G269*INDEX([1]ratio_ins!$C:$C,MATCH('001_population_health_zone_zs'!$B269,[1]ratio_ins!$B:$B,0))</f>
        <v>16392.325620000003</v>
      </c>
      <c r="I269" s="10">
        <f>INDEX([1]ratio_ins!G:G,MATCH('001_population_health_zone_zs'!$B$2,[1]ratio_ins!$B:$B,0))*$G269*INDEX([1]ratio_ins!$C:$C,MATCH('001_population_health_zone_zs'!$B269,[1]ratio_ins!$B:$B,0))</f>
        <v>13411.902780000004</v>
      </c>
      <c r="J269" s="10">
        <f>INDEX([1]ratio_ins!H:H,MATCH('001_population_health_zone_zs'!$B$2,[1]ratio_ins!$B:$B,0))*$G269*INDEX([1]ratio_ins!$C:$C,MATCH('001_population_health_zone_zs'!$B269,[1]ratio_ins!$B:$B,0))</f>
        <v>10588.344300000002</v>
      </c>
      <c r="K269" s="10">
        <f>INDEX([1]ratio_ins!I:I,MATCH('001_population_health_zone_zs'!$B$2,[1]ratio_ins!$B:$B,0))*$G269*INDEX([1]ratio_ins!$C:$C,MATCH('001_population_health_zone_zs'!$B269,[1]ratio_ins!$B:$B,0))</f>
        <v>6509.8709400000016</v>
      </c>
      <c r="L269" s="10">
        <f>INDEX([1]ratio_ins!J:J,MATCH('001_population_health_zone_zs'!$B$2,[1]ratio_ins!$B:$B,0))*$G269*INDEX([1]ratio_ins!$C:$C,MATCH('001_population_health_zone_zs'!$B269,[1]ratio_ins!$B:$B,0))</f>
        <v>3905.922564</v>
      </c>
      <c r="M269" s="11">
        <f>INDEX([1]ratio_ins!K:K,MATCH('001_population_health_zone_zs'!$B$2,[1]ratio_ins!$B:$B,0))*$G269*INDEX([1]ratio_ins!$C:$C,MATCH('001_population_health_zone_zs'!$B269,[1]ratio_ins!$B:$B,0))</f>
        <v>44298.495263999997</v>
      </c>
      <c r="N269" s="10">
        <f>INDEX([1]ratio_ins!L:L,MATCH('001_population_health_zone_zs'!$B$2,[1]ratio_ins!$B:$B,0))*$G269*INDEX([1]ratio_ins!$C:$C,MATCH('001_population_health_zone_zs'!$B269,[1]ratio_ins!$B:$B,0))</f>
        <v>2603.9483760000003</v>
      </c>
      <c r="O269" s="10">
        <f>INDEX([1]ratio_ins!M:M,MATCH('001_population_health_zone_zs'!$B$2,[1]ratio_ins!$B:$B,0))*$G269*INDEX([1]ratio_ins!$C:$C,MATCH('001_population_health_zone_zs'!$B269,[1]ratio_ins!$B:$B,0))</f>
        <v>5647.1169600000012</v>
      </c>
      <c r="P269" s="10">
        <f>INDEX([1]ratio_ins!N:N,MATCH('001_population_health_zone_zs'!$B$2,[1]ratio_ins!$B:$B,0))*$G269*INDEX([1]ratio_ins!$C:$C,MATCH('001_population_health_zone_zs'!$B269,[1]ratio_ins!$B:$B,0))</f>
        <v>5098.0917000000009</v>
      </c>
      <c r="Q269" s="10">
        <f>INDEX([1]ratio_ins!O:O,MATCH('001_population_health_zone_zs'!$B$2,[1]ratio_ins!$B:$B,0))*$G269*INDEX([1]ratio_ins!$C:$C,MATCH('001_population_health_zone_zs'!$B269,[1]ratio_ins!$B:$B,0))</f>
        <v>4549.0664400000005</v>
      </c>
      <c r="R269" s="10">
        <f>INDEX([1]ratio_ins!P:P,MATCH('001_population_health_zone_zs'!$B$2,[1]ratio_ins!$B:$B,0))*$G269*INDEX([1]ratio_ins!$C:$C,MATCH('001_population_health_zone_zs'!$B269,[1]ratio_ins!$B:$B,0))</f>
        <v>4470.6342600000007</v>
      </c>
      <c r="S269" s="10">
        <f>INDEX([1]ratio_ins!Q:Q,MATCH('001_population_health_zone_zs'!$B$2,[1]ratio_ins!$B:$B,0))*$G269*INDEX([1]ratio_ins!$C:$C,MATCH('001_population_health_zone_zs'!$B269,[1]ratio_ins!$B:$B,0))</f>
        <v>3764.7446400000003</v>
      </c>
      <c r="T269" s="10">
        <f>INDEX([1]ratio_ins!R:R,MATCH('001_population_health_zone_zs'!$B$2,[1]ratio_ins!$B:$B,0))*$G269*INDEX([1]ratio_ins!$C:$C,MATCH('001_population_health_zone_zs'!$B269,[1]ratio_ins!$B:$B,0))</f>
        <v>2666.6941200000006</v>
      </c>
      <c r="U269" s="10">
        <f>INDEX([1]ratio_ins!S:S,MATCH('001_population_health_zone_zs'!$B$2,[1]ratio_ins!$B:$B,0))*$G269*INDEX([1]ratio_ins!$C:$C,MATCH('001_population_health_zone_zs'!$B269,[1]ratio_ins!$B:$B,0))</f>
        <v>2117.6688600000007</v>
      </c>
      <c r="V269" s="10">
        <f>INDEX([1]ratio_ins!T:T,MATCH('001_population_health_zone_zs'!$B$2,[1]ratio_ins!$B:$B,0))*$G269*INDEX([1]ratio_ins!$C:$C,MATCH('001_population_health_zone_zs'!$B269,[1]ratio_ins!$B:$B,0))</f>
        <v>1176.4827</v>
      </c>
      <c r="W269" s="11">
        <f>INDEX([1]ratio_ins!U:U,MATCH('001_population_health_zone_zs'!$B$2,[1]ratio_ins!$B:$B,0))*$G269*INDEX([1]ratio_ins!$C:$C,MATCH('001_population_health_zone_zs'!$B269,[1]ratio_ins!$B:$B,0))</f>
        <v>32094.448056000005</v>
      </c>
      <c r="X269" s="10">
        <f>INDEX([1]ratio_ins!V:V,MATCH('001_population_health_zone_zs'!$B$2,[1]ratio_ins!$B:$B,0))*$G269*INDEX([1]ratio_ins!$C:$C,MATCH('001_population_health_zone_zs'!$B269,[1]ratio_ins!$B:$B,0))</f>
        <v>941.18616000000009</v>
      </c>
      <c r="Y269" s="10">
        <f>INDEX([1]ratio_ins!W:W,MATCH('001_population_health_zone_zs'!$B$2,[1]ratio_ins!$B:$B,0))*$G269*INDEX([1]ratio_ins!$C:$C,MATCH('001_population_health_zone_zs'!$B269,[1]ratio_ins!$B:$B,0))</f>
        <v>627.45744000000002</v>
      </c>
      <c r="Z269" s="10">
        <f>INDEX([1]ratio_ins!X:X,MATCH('001_population_health_zone_zs'!$B$2,[1]ratio_ins!$B:$B,0))*$G269*INDEX([1]ratio_ins!$C:$C,MATCH('001_population_health_zone_zs'!$B269,[1]ratio_ins!$B:$B,0))</f>
        <v>313.72872000000001</v>
      </c>
      <c r="AA269" s="10">
        <f>INDEX([1]ratio_ins!Y:Y,MATCH('001_population_health_zone_zs'!$B$2,[1]ratio_ins!$B:$B,0))*$G269*INDEX([1]ratio_ins!$C:$C,MATCH('001_population_health_zone_zs'!$B269,[1]ratio_ins!$B:$B,0))</f>
        <v>156.86436</v>
      </c>
      <c r="AB269" s="11">
        <f>INDEX([1]ratio_ins!Z:Z,MATCH('001_population_health_zone_zs'!$B$2,[1]ratio_ins!$B:$B,0))*$G269*INDEX([1]ratio_ins!$C:$C,MATCH('001_population_health_zone_zs'!$B269,[1]ratio_ins!$B:$B,0))</f>
        <v>2039.2366800000002</v>
      </c>
      <c r="AC269" s="12">
        <f t="shared" si="24"/>
        <v>78432.180000000008</v>
      </c>
      <c r="AD269" s="10">
        <f>INDEX([1]ratio_ins!AA:AA,MATCH('001_population_health_zone_zs'!$B$2,[1]ratio_ins!$B:$B,0))*$G269*INDEX([1]ratio_ins!$D:$D,MATCH('001_population_health_zone_zs'!$B269,[1]ratio_ins!$B:$B,0))</f>
        <v>17006.392200000002</v>
      </c>
      <c r="AE269" s="10">
        <f>INDEX([1]ratio_ins!AB:AB,MATCH('001_population_health_zone_zs'!$B$2,[1]ratio_ins!$B:$B,0))*$G269*INDEX([1]ratio_ins!$D:$D,MATCH('001_population_health_zone_zs'!$B269,[1]ratio_ins!$B:$B,0))</f>
        <v>14010.027860000002</v>
      </c>
      <c r="AF269" s="10">
        <f>INDEX([1]ratio_ins!AC:AC,MATCH('001_population_health_zone_zs'!$B$2,[1]ratio_ins!$B:$B,0))*$G269*INDEX([1]ratio_ins!$D:$D,MATCH('001_population_health_zone_zs'!$B269,[1]ratio_ins!$B:$B,0))</f>
        <v>11094.646339999998</v>
      </c>
      <c r="AG269" s="10">
        <f>INDEX([1]ratio_ins!AD:AD,MATCH('001_population_health_zone_zs'!$B$2,[1]ratio_ins!$B:$B,0))*$G269*INDEX([1]ratio_ins!$D:$D,MATCH('001_population_health_zone_zs'!$B269,[1]ratio_ins!$B:$B,0))</f>
        <v>6721.5740600000008</v>
      </c>
      <c r="AH269" s="10">
        <f>INDEX([1]ratio_ins!AE:AE,MATCH('001_population_health_zone_zs'!$B$2,[1]ratio_ins!$B:$B,0))*$G269*INDEX([1]ratio_ins!$D:$D,MATCH('001_population_health_zone_zs'!$B269,[1]ratio_ins!$B:$B,0))</f>
        <v>4032.9444359999998</v>
      </c>
      <c r="AI269" s="13">
        <f>INDEX([1]ratio_ins!AF:AF,MATCH('001_population_health_zone_zs'!$B$2,[1]ratio_ins!$B:$B,0))*$G269*INDEX([1]ratio_ins!$D:$D,MATCH('001_population_health_zone_zs'!$B269,[1]ratio_ins!$B:$B,0))</f>
        <v>46144.010836000001</v>
      </c>
      <c r="AJ269" s="10">
        <f>INDEX([1]ratio_ins!AG:AG,MATCH('001_population_health_zone_zs'!$B$2,[1]ratio_ins!$B:$B,0))*$G269*INDEX([1]ratio_ins!$D:$D,MATCH('001_population_health_zone_zs'!$B269,[1]ratio_ins!$B:$B,0))</f>
        <v>2688.6296240000001</v>
      </c>
      <c r="AK269" s="10">
        <f>INDEX([1]ratio_ins!AH:AH,MATCH('001_population_health_zone_zs'!$B$2,[1]ratio_ins!$B:$B,0))*$G269*INDEX([1]ratio_ins!$D:$D,MATCH('001_population_health_zone_zs'!$B269,[1]ratio_ins!$B:$B,0))</f>
        <v>5992.7286800000002</v>
      </c>
      <c r="AL269" s="10">
        <f>INDEX([1]ratio_ins!AI:AI,MATCH('001_population_health_zone_zs'!$B$2,[1]ratio_ins!$B:$B,0))*$G269*INDEX([1]ratio_ins!$D:$D,MATCH('001_population_health_zone_zs'!$B269,[1]ratio_ins!$B:$B,0))</f>
        <v>5668.7974000000004</v>
      </c>
      <c r="AM269" s="10">
        <f>INDEX([1]ratio_ins!AJ:AJ,MATCH('001_population_health_zone_zs'!$B$2,[1]ratio_ins!$B:$B,0))*$G269*INDEX([1]ratio_ins!$D:$D,MATCH('001_population_health_zone_zs'!$B269,[1]ratio_ins!$B:$B,0))</f>
        <v>5182.9004800000002</v>
      </c>
      <c r="AN269" s="10">
        <f>INDEX([1]ratio_ins!AK:AK,MATCH('001_population_health_zone_zs'!$B$2,[1]ratio_ins!$B:$B,0))*$G269*INDEX([1]ratio_ins!$D:$D,MATCH('001_population_health_zone_zs'!$B269,[1]ratio_ins!$B:$B,0))</f>
        <v>4858.9691999999995</v>
      </c>
      <c r="AO269" s="10">
        <f>INDEX([1]ratio_ins!AL:AL,MATCH('001_population_health_zone_zs'!$B$2,[1]ratio_ins!$B:$B,0))*$G269*INDEX([1]ratio_ins!$D:$D,MATCH('001_population_health_zone_zs'!$B269,[1]ratio_ins!$B:$B,0))</f>
        <v>3644.2269000000001</v>
      </c>
      <c r="AP269" s="10">
        <f>INDEX([1]ratio_ins!AM:AM,MATCH('001_population_health_zone_zs'!$B$2,[1]ratio_ins!$B:$B,0))*$G269*INDEX([1]ratio_ins!$D:$D,MATCH('001_population_health_zone_zs'!$B269,[1]ratio_ins!$B:$B,0))</f>
        <v>2348.5017800000001</v>
      </c>
      <c r="AQ269" s="10">
        <f>INDEX([1]ratio_ins!AN:AN,MATCH('001_population_health_zone_zs'!$B$2,[1]ratio_ins!$B:$B,0))*$G269*INDEX([1]ratio_ins!$D:$D,MATCH('001_population_health_zone_zs'!$B269,[1]ratio_ins!$B:$B,0))</f>
        <v>1862.6048600000001</v>
      </c>
      <c r="AR269" s="10">
        <f>INDEX([1]ratio_ins!AO:AO,MATCH('001_population_health_zone_zs'!$B$2,[1]ratio_ins!$B:$B,0))*$G269*INDEX([1]ratio_ins!$D:$D,MATCH('001_population_health_zone_zs'!$B269,[1]ratio_ins!$B:$B,0))</f>
        <v>890.81102000000021</v>
      </c>
      <c r="AS269" s="13">
        <f>INDEX([1]ratio_ins!AP:AP,MATCH('001_population_health_zone_zs'!$B$2,[1]ratio_ins!$B:$B,0))*$G269*INDEX([1]ratio_ins!$D:$D,MATCH('001_population_health_zone_zs'!$B269,[1]ratio_ins!$B:$B,0))</f>
        <v>33138.169944000001</v>
      </c>
      <c r="AT269" s="10">
        <f>INDEX([1]ratio_ins!AQ:AQ,MATCH('001_population_health_zone_zs'!$B$2,[1]ratio_ins!$B:$B,0))*$G269*INDEX([1]ratio_ins!$D:$D,MATCH('001_population_health_zone_zs'!$B269,[1]ratio_ins!$B:$B,0))</f>
        <v>809.82820000000004</v>
      </c>
      <c r="AU269" s="10">
        <f>INDEX([1]ratio_ins!AR:AR,MATCH('001_population_health_zone_zs'!$B$2,[1]ratio_ins!$B:$B,0))*$G269*INDEX([1]ratio_ins!$D:$D,MATCH('001_population_health_zone_zs'!$B269,[1]ratio_ins!$B:$B,0))</f>
        <v>485.89692000000002</v>
      </c>
      <c r="AV269" s="10">
        <f>INDEX([1]ratio_ins!AS:AS,MATCH('001_population_health_zone_zs'!$B$2,[1]ratio_ins!$B:$B,0))*$G269*INDEX([1]ratio_ins!$D:$D,MATCH('001_population_health_zone_zs'!$B269,[1]ratio_ins!$B:$B,0))</f>
        <v>242.94846000000001</v>
      </c>
      <c r="AW269" s="10">
        <f>INDEX([1]ratio_ins!AT:AT,MATCH('001_population_health_zone_zs'!$B$2,[1]ratio_ins!$B:$B,0))*$G269*INDEX([1]ratio_ins!$D:$D,MATCH('001_population_health_zone_zs'!$B269,[1]ratio_ins!$B:$B,0))</f>
        <v>161.96564000000001</v>
      </c>
      <c r="AX269" s="13">
        <f>INDEX([1]ratio_ins!AU:AU,MATCH('001_population_health_zone_zs'!$B$2,[1]ratio_ins!$B:$B,0))*$G269*INDEX([1]ratio_ins!$D:$D,MATCH('001_population_health_zone_zs'!$B269,[1]ratio_ins!$B:$B,0))</f>
        <v>1700.6392199999998</v>
      </c>
      <c r="AY269" s="14">
        <f t="shared" si="25"/>
        <v>80982.819999999992</v>
      </c>
      <c r="AZ269" s="15">
        <f t="shared" si="26"/>
        <v>159415</v>
      </c>
      <c r="BA269" s="16">
        <v>155079.659419865</v>
      </c>
      <c r="BB269" s="10">
        <f t="shared" si="27"/>
        <v>34417.698499999999</v>
      </c>
      <c r="BC269" s="17">
        <f t="shared" si="28"/>
        <v>0.21589999999999998</v>
      </c>
      <c r="BD269" s="10">
        <f t="shared" si="29"/>
        <v>32706.219060000007</v>
      </c>
    </row>
    <row r="270" spans="1:56" x14ac:dyDescent="0.25">
      <c r="A270" s="8" t="s">
        <v>590</v>
      </c>
      <c r="B270" s="8" t="s">
        <v>591</v>
      </c>
      <c r="C270" s="8" t="s">
        <v>658</v>
      </c>
      <c r="D270" s="8" t="s">
        <v>659</v>
      </c>
      <c r="E270" s="8" t="s">
        <v>667</v>
      </c>
      <c r="F270" s="8" t="s">
        <v>668</v>
      </c>
      <c r="G270" s="9">
        <v>107854</v>
      </c>
      <c r="H270" s="10">
        <f>INDEX([1]ratio_ins!F:F,MATCH('001_population_health_zone_zs'!$B$2,[1]ratio_ins!$B:$B,0))*$G270*INDEX([1]ratio_ins!$C:$C,MATCH('001_population_health_zone_zs'!$B270,[1]ratio_ins!$B:$B,0))</f>
        <v>11090.411112000002</v>
      </c>
      <c r="I270" s="10">
        <f>INDEX([1]ratio_ins!G:G,MATCH('001_population_health_zone_zs'!$B$2,[1]ratio_ins!$B:$B,0))*$G270*INDEX([1]ratio_ins!$C:$C,MATCH('001_population_health_zone_zs'!$B270,[1]ratio_ins!$B:$B,0))</f>
        <v>9073.9727280000006</v>
      </c>
      <c r="J270" s="10">
        <f>INDEX([1]ratio_ins!H:H,MATCH('001_population_health_zone_zs'!$B$2,[1]ratio_ins!$B:$B,0))*$G270*INDEX([1]ratio_ins!$C:$C,MATCH('001_population_health_zone_zs'!$B270,[1]ratio_ins!$B:$B,0))</f>
        <v>7163.6626800000013</v>
      </c>
      <c r="K270" s="10">
        <f>INDEX([1]ratio_ins!I:I,MATCH('001_population_health_zone_zs'!$B$2,[1]ratio_ins!$B:$B,0))*$G270*INDEX([1]ratio_ins!$C:$C,MATCH('001_population_health_zone_zs'!$B270,[1]ratio_ins!$B:$B,0))</f>
        <v>4404.3259440000002</v>
      </c>
      <c r="L270" s="10">
        <f>INDEX([1]ratio_ins!J:J,MATCH('001_population_health_zone_zs'!$B$2,[1]ratio_ins!$B:$B,0))*$G270*INDEX([1]ratio_ins!$C:$C,MATCH('001_population_health_zone_zs'!$B270,[1]ratio_ins!$B:$B,0))</f>
        <v>2642.5955663999998</v>
      </c>
      <c r="M270" s="11">
        <f>INDEX([1]ratio_ins!K:K,MATCH('001_population_health_zone_zs'!$B$2,[1]ratio_ins!$B:$B,0))*$G270*INDEX([1]ratio_ins!$C:$C,MATCH('001_population_health_zone_zs'!$B270,[1]ratio_ins!$B:$B,0))</f>
        <v>29970.642086399999</v>
      </c>
      <c r="N270" s="10">
        <f>INDEX([1]ratio_ins!L:L,MATCH('001_population_health_zone_zs'!$B$2,[1]ratio_ins!$B:$B,0))*$G270*INDEX([1]ratio_ins!$C:$C,MATCH('001_population_health_zone_zs'!$B270,[1]ratio_ins!$B:$B,0))</f>
        <v>1761.7303776000003</v>
      </c>
      <c r="O270" s="10">
        <f>INDEX([1]ratio_ins!M:M,MATCH('001_population_health_zone_zs'!$B$2,[1]ratio_ins!$B:$B,0))*$G270*INDEX([1]ratio_ins!$C:$C,MATCH('001_population_health_zone_zs'!$B270,[1]ratio_ins!$B:$B,0))</f>
        <v>3820.620096000001</v>
      </c>
      <c r="P270" s="10">
        <f>INDEX([1]ratio_ins!N:N,MATCH('001_population_health_zone_zs'!$B$2,[1]ratio_ins!$B:$B,0))*$G270*INDEX([1]ratio_ins!$C:$C,MATCH('001_population_health_zone_zs'!$B270,[1]ratio_ins!$B:$B,0))</f>
        <v>3449.1709200000005</v>
      </c>
      <c r="Q270" s="10">
        <f>INDEX([1]ratio_ins!O:O,MATCH('001_population_health_zone_zs'!$B$2,[1]ratio_ins!$B:$B,0))*$G270*INDEX([1]ratio_ins!$C:$C,MATCH('001_population_health_zone_zs'!$B270,[1]ratio_ins!$B:$B,0))</f>
        <v>3077.7217439999999</v>
      </c>
      <c r="R270" s="10">
        <f>INDEX([1]ratio_ins!P:P,MATCH('001_population_health_zone_zs'!$B$2,[1]ratio_ins!$B:$B,0))*$G270*INDEX([1]ratio_ins!$C:$C,MATCH('001_population_health_zone_zs'!$B270,[1]ratio_ins!$B:$B,0))</f>
        <v>3024.6575760000001</v>
      </c>
      <c r="S270" s="10">
        <f>INDEX([1]ratio_ins!Q:Q,MATCH('001_population_health_zone_zs'!$B$2,[1]ratio_ins!$B:$B,0))*$G270*INDEX([1]ratio_ins!$C:$C,MATCH('001_population_health_zone_zs'!$B270,[1]ratio_ins!$B:$B,0))</f>
        <v>2547.0800640000002</v>
      </c>
      <c r="T270" s="10">
        <f>INDEX([1]ratio_ins!R:R,MATCH('001_population_health_zone_zs'!$B$2,[1]ratio_ins!$B:$B,0))*$G270*INDEX([1]ratio_ins!$C:$C,MATCH('001_population_health_zone_zs'!$B270,[1]ratio_ins!$B:$B,0))</f>
        <v>1804.1817120000003</v>
      </c>
      <c r="U270" s="10">
        <f>INDEX([1]ratio_ins!S:S,MATCH('001_population_health_zone_zs'!$B$2,[1]ratio_ins!$B:$B,0))*$G270*INDEX([1]ratio_ins!$C:$C,MATCH('001_population_health_zone_zs'!$B270,[1]ratio_ins!$B:$B,0))</f>
        <v>1432.7325360000004</v>
      </c>
      <c r="V270" s="10">
        <f>INDEX([1]ratio_ins!T:T,MATCH('001_population_health_zone_zs'!$B$2,[1]ratio_ins!$B:$B,0))*$G270*INDEX([1]ratio_ins!$C:$C,MATCH('001_population_health_zone_zs'!$B270,[1]ratio_ins!$B:$B,0))</f>
        <v>795.96252000000004</v>
      </c>
      <c r="W270" s="11">
        <f>INDEX([1]ratio_ins!U:U,MATCH('001_population_health_zone_zs'!$B$2,[1]ratio_ins!$B:$B,0))*$G270*INDEX([1]ratio_ins!$C:$C,MATCH('001_population_health_zone_zs'!$B270,[1]ratio_ins!$B:$B,0))</f>
        <v>21713.857545600004</v>
      </c>
      <c r="X270" s="10">
        <f>INDEX([1]ratio_ins!V:V,MATCH('001_population_health_zone_zs'!$B$2,[1]ratio_ins!$B:$B,0))*$G270*INDEX([1]ratio_ins!$C:$C,MATCH('001_population_health_zone_zs'!$B270,[1]ratio_ins!$B:$B,0))</f>
        <v>636.77001600000006</v>
      </c>
      <c r="Y270" s="10">
        <f>INDEX([1]ratio_ins!W:W,MATCH('001_population_health_zone_zs'!$B$2,[1]ratio_ins!$B:$B,0))*$G270*INDEX([1]ratio_ins!$C:$C,MATCH('001_population_health_zone_zs'!$B270,[1]ratio_ins!$B:$B,0))</f>
        <v>424.51334400000002</v>
      </c>
      <c r="Z270" s="10">
        <f>INDEX([1]ratio_ins!X:X,MATCH('001_population_health_zone_zs'!$B$2,[1]ratio_ins!$B:$B,0))*$G270*INDEX([1]ratio_ins!$C:$C,MATCH('001_population_health_zone_zs'!$B270,[1]ratio_ins!$B:$B,0))</f>
        <v>212.25667200000001</v>
      </c>
      <c r="AA270" s="10">
        <f>INDEX([1]ratio_ins!Y:Y,MATCH('001_population_health_zone_zs'!$B$2,[1]ratio_ins!$B:$B,0))*$G270*INDEX([1]ratio_ins!$C:$C,MATCH('001_population_health_zone_zs'!$B270,[1]ratio_ins!$B:$B,0))</f>
        <v>106.128336</v>
      </c>
      <c r="AB270" s="11">
        <f>INDEX([1]ratio_ins!Z:Z,MATCH('001_population_health_zone_zs'!$B$2,[1]ratio_ins!$B:$B,0))*$G270*INDEX([1]ratio_ins!$C:$C,MATCH('001_population_health_zone_zs'!$B270,[1]ratio_ins!$B:$B,0))</f>
        <v>1379.6683680000003</v>
      </c>
      <c r="AC270" s="12">
        <f t="shared" si="24"/>
        <v>53064.168000000005</v>
      </c>
      <c r="AD270" s="10">
        <f>INDEX([1]ratio_ins!AA:AA,MATCH('001_population_health_zone_zs'!$B$2,[1]ratio_ins!$B:$B,0))*$G270*INDEX([1]ratio_ins!$D:$D,MATCH('001_population_health_zone_zs'!$B270,[1]ratio_ins!$B:$B,0))</f>
        <v>11505.86472</v>
      </c>
      <c r="AE270" s="10">
        <f>INDEX([1]ratio_ins!AB:AB,MATCH('001_population_health_zone_zs'!$B$2,[1]ratio_ins!$B:$B,0))*$G270*INDEX([1]ratio_ins!$D:$D,MATCH('001_population_health_zone_zs'!$B270,[1]ratio_ins!$B:$B,0))</f>
        <v>9478.6409360000016</v>
      </c>
      <c r="AF270" s="10">
        <f>INDEX([1]ratio_ins!AC:AC,MATCH('001_population_health_zone_zs'!$B$2,[1]ratio_ins!$B:$B,0))*$G270*INDEX([1]ratio_ins!$D:$D,MATCH('001_population_health_zone_zs'!$B270,[1]ratio_ins!$B:$B,0))</f>
        <v>7506.2069839999986</v>
      </c>
      <c r="AG270" s="10">
        <f>INDEX([1]ratio_ins!AD:AD,MATCH('001_population_health_zone_zs'!$B$2,[1]ratio_ins!$B:$B,0))*$G270*INDEX([1]ratio_ins!$D:$D,MATCH('001_population_health_zone_zs'!$B270,[1]ratio_ins!$B:$B,0))</f>
        <v>4547.5560559999994</v>
      </c>
      <c r="AH270" s="10">
        <f>INDEX([1]ratio_ins!AE:AE,MATCH('001_population_health_zone_zs'!$B$2,[1]ratio_ins!$B:$B,0))*$G270*INDEX([1]ratio_ins!$D:$D,MATCH('001_population_health_zone_zs'!$B270,[1]ratio_ins!$B:$B,0))</f>
        <v>2728.5336335999996</v>
      </c>
      <c r="AI270" s="13">
        <f>INDEX([1]ratio_ins!AF:AF,MATCH('001_population_health_zone_zs'!$B$2,[1]ratio_ins!$B:$B,0))*$G270*INDEX([1]ratio_ins!$D:$D,MATCH('001_population_health_zone_zs'!$B270,[1]ratio_ins!$B:$B,0))</f>
        <v>31219.246273599998</v>
      </c>
      <c r="AJ270" s="10">
        <f>INDEX([1]ratio_ins!AG:AG,MATCH('001_population_health_zone_zs'!$B$2,[1]ratio_ins!$B:$B,0))*$G270*INDEX([1]ratio_ins!$D:$D,MATCH('001_population_health_zone_zs'!$B270,[1]ratio_ins!$B:$B,0))</f>
        <v>1819.0224224000001</v>
      </c>
      <c r="AK270" s="10">
        <f>INDEX([1]ratio_ins!AH:AH,MATCH('001_population_health_zone_zs'!$B$2,[1]ratio_ins!$B:$B,0))*$G270*INDEX([1]ratio_ins!$D:$D,MATCH('001_population_health_zone_zs'!$B270,[1]ratio_ins!$B:$B,0))</f>
        <v>4054.4475680000005</v>
      </c>
      <c r="AL270" s="10">
        <f>INDEX([1]ratio_ins!AI:AI,MATCH('001_population_health_zone_zs'!$B$2,[1]ratio_ins!$B:$B,0))*$G270*INDEX([1]ratio_ins!$D:$D,MATCH('001_population_health_zone_zs'!$B270,[1]ratio_ins!$B:$B,0))</f>
        <v>3835.2882400000003</v>
      </c>
      <c r="AM270" s="10">
        <f>INDEX([1]ratio_ins!AJ:AJ,MATCH('001_population_health_zone_zs'!$B$2,[1]ratio_ins!$B:$B,0))*$G270*INDEX([1]ratio_ins!$D:$D,MATCH('001_population_health_zone_zs'!$B270,[1]ratio_ins!$B:$B,0))</f>
        <v>3506.5492479999998</v>
      </c>
      <c r="AN270" s="10">
        <f>INDEX([1]ratio_ins!AK:AK,MATCH('001_population_health_zone_zs'!$B$2,[1]ratio_ins!$B:$B,0))*$G270*INDEX([1]ratio_ins!$D:$D,MATCH('001_population_health_zone_zs'!$B270,[1]ratio_ins!$B:$B,0))</f>
        <v>3287.3899200000001</v>
      </c>
      <c r="AO270" s="10">
        <f>INDEX([1]ratio_ins!AL:AL,MATCH('001_population_health_zone_zs'!$B$2,[1]ratio_ins!$B:$B,0))*$G270*INDEX([1]ratio_ins!$D:$D,MATCH('001_population_health_zone_zs'!$B270,[1]ratio_ins!$B:$B,0))</f>
        <v>2465.5424399999997</v>
      </c>
      <c r="AP270" s="10">
        <f>INDEX([1]ratio_ins!AM:AM,MATCH('001_population_health_zone_zs'!$B$2,[1]ratio_ins!$B:$B,0))*$G270*INDEX([1]ratio_ins!$D:$D,MATCH('001_population_health_zone_zs'!$B270,[1]ratio_ins!$B:$B,0))</f>
        <v>1588.9051279999999</v>
      </c>
      <c r="AQ270" s="10">
        <f>INDEX([1]ratio_ins!AN:AN,MATCH('001_population_health_zone_zs'!$B$2,[1]ratio_ins!$B:$B,0))*$G270*INDEX([1]ratio_ins!$D:$D,MATCH('001_population_health_zone_zs'!$B270,[1]ratio_ins!$B:$B,0))</f>
        <v>1260.1661359999998</v>
      </c>
      <c r="AR270" s="10">
        <f>INDEX([1]ratio_ins!AO:AO,MATCH('001_population_health_zone_zs'!$B$2,[1]ratio_ins!$B:$B,0))*$G270*INDEX([1]ratio_ins!$D:$D,MATCH('001_population_health_zone_zs'!$B270,[1]ratio_ins!$B:$B,0))</f>
        <v>602.68815200000006</v>
      </c>
      <c r="AS270" s="13">
        <f>INDEX([1]ratio_ins!AP:AP,MATCH('001_population_health_zone_zs'!$B$2,[1]ratio_ins!$B:$B,0))*$G270*INDEX([1]ratio_ins!$D:$D,MATCH('001_population_health_zone_zs'!$B270,[1]ratio_ins!$B:$B,0))</f>
        <v>22419.999254400002</v>
      </c>
      <c r="AT270" s="10">
        <f>INDEX([1]ratio_ins!AQ:AQ,MATCH('001_population_health_zone_zs'!$B$2,[1]ratio_ins!$B:$B,0))*$G270*INDEX([1]ratio_ins!$D:$D,MATCH('001_population_health_zone_zs'!$B270,[1]ratio_ins!$B:$B,0))</f>
        <v>547.89832000000001</v>
      </c>
      <c r="AU270" s="10">
        <f>INDEX([1]ratio_ins!AR:AR,MATCH('001_population_health_zone_zs'!$B$2,[1]ratio_ins!$B:$B,0))*$G270*INDEX([1]ratio_ins!$D:$D,MATCH('001_population_health_zone_zs'!$B270,[1]ratio_ins!$B:$B,0))</f>
        <v>328.738992</v>
      </c>
      <c r="AV270" s="10">
        <f>INDEX([1]ratio_ins!AS:AS,MATCH('001_population_health_zone_zs'!$B$2,[1]ratio_ins!$B:$B,0))*$G270*INDEX([1]ratio_ins!$D:$D,MATCH('001_population_health_zone_zs'!$B270,[1]ratio_ins!$B:$B,0))</f>
        <v>164.369496</v>
      </c>
      <c r="AW270" s="10">
        <f>INDEX([1]ratio_ins!AT:AT,MATCH('001_population_health_zone_zs'!$B$2,[1]ratio_ins!$B:$B,0))*$G270*INDEX([1]ratio_ins!$D:$D,MATCH('001_population_health_zone_zs'!$B270,[1]ratio_ins!$B:$B,0))</f>
        <v>109.57966399999999</v>
      </c>
      <c r="AX270" s="13">
        <f>INDEX([1]ratio_ins!AU:AU,MATCH('001_population_health_zone_zs'!$B$2,[1]ratio_ins!$B:$B,0))*$G270*INDEX([1]ratio_ins!$D:$D,MATCH('001_population_health_zone_zs'!$B270,[1]ratio_ins!$B:$B,0))</f>
        <v>1150.586472</v>
      </c>
      <c r="AY270" s="14">
        <f t="shared" si="25"/>
        <v>54789.832000000002</v>
      </c>
      <c r="AZ270" s="15">
        <f t="shared" si="26"/>
        <v>107854</v>
      </c>
      <c r="BA270" s="16">
        <v>104920.6744817383</v>
      </c>
      <c r="BB270" s="10">
        <f t="shared" si="27"/>
        <v>23285.678599999999</v>
      </c>
      <c r="BC270" s="17">
        <f t="shared" si="28"/>
        <v>0.21589999999999998</v>
      </c>
      <c r="BD270" s="10">
        <f t="shared" si="29"/>
        <v>22127.758056000006</v>
      </c>
    </row>
    <row r="271" spans="1:56" x14ac:dyDescent="0.25">
      <c r="A271" s="8" t="s">
        <v>590</v>
      </c>
      <c r="B271" s="8" t="s">
        <v>591</v>
      </c>
      <c r="C271" s="8" t="s">
        <v>658</v>
      </c>
      <c r="D271" s="8" t="s">
        <v>659</v>
      </c>
      <c r="E271" s="8" t="s">
        <v>669</v>
      </c>
      <c r="F271" s="8" t="s">
        <v>670</v>
      </c>
      <c r="G271" s="9">
        <v>124735</v>
      </c>
      <c r="H271" s="10">
        <f>INDEX([1]ratio_ins!F:F,MATCH('001_population_health_zone_zs'!$B$2,[1]ratio_ins!$B:$B,0))*$G271*INDEX([1]ratio_ins!$C:$C,MATCH('001_population_health_zone_zs'!$B271,[1]ratio_ins!$B:$B,0))</f>
        <v>12826.25058</v>
      </c>
      <c r="I271" s="10">
        <f>INDEX([1]ratio_ins!G:G,MATCH('001_population_health_zone_zs'!$B$2,[1]ratio_ins!$B:$B,0))*$G271*INDEX([1]ratio_ins!$C:$C,MATCH('001_population_health_zone_zs'!$B271,[1]ratio_ins!$B:$B,0))</f>
        <v>10494.205020000001</v>
      </c>
      <c r="J271" s="10">
        <f>INDEX([1]ratio_ins!H:H,MATCH('001_population_health_zone_zs'!$B$2,[1]ratio_ins!$B:$B,0))*$G271*INDEX([1]ratio_ins!$C:$C,MATCH('001_population_health_zone_zs'!$B271,[1]ratio_ins!$B:$B,0))</f>
        <v>8284.8987000000016</v>
      </c>
      <c r="K271" s="10">
        <f>INDEX([1]ratio_ins!I:I,MATCH('001_population_health_zone_zs'!$B$2,[1]ratio_ins!$B:$B,0))*$G271*INDEX([1]ratio_ins!$C:$C,MATCH('001_population_health_zone_zs'!$B271,[1]ratio_ins!$B:$B,0))</f>
        <v>5093.678460000001</v>
      </c>
      <c r="L271" s="10">
        <f>INDEX([1]ratio_ins!J:J,MATCH('001_population_health_zone_zs'!$B$2,[1]ratio_ins!$B:$B,0))*$G271*INDEX([1]ratio_ins!$C:$C,MATCH('001_population_health_zone_zs'!$B271,[1]ratio_ins!$B:$B,0))</f>
        <v>3056.2070760000001</v>
      </c>
      <c r="M271" s="11">
        <f>INDEX([1]ratio_ins!K:K,MATCH('001_population_health_zone_zs'!$B$2,[1]ratio_ins!$B:$B,0))*$G271*INDEX([1]ratio_ins!$C:$C,MATCH('001_population_health_zone_zs'!$B271,[1]ratio_ins!$B:$B,0))</f>
        <v>34661.561375999998</v>
      </c>
      <c r="N271" s="10">
        <f>INDEX([1]ratio_ins!L:L,MATCH('001_population_health_zone_zs'!$B$2,[1]ratio_ins!$B:$B,0))*$G271*INDEX([1]ratio_ins!$C:$C,MATCH('001_population_health_zone_zs'!$B271,[1]ratio_ins!$B:$B,0))</f>
        <v>2037.4713840000004</v>
      </c>
      <c r="O271" s="10">
        <f>INDEX([1]ratio_ins!M:M,MATCH('001_population_health_zone_zs'!$B$2,[1]ratio_ins!$B:$B,0))*$G271*INDEX([1]ratio_ins!$C:$C,MATCH('001_population_health_zone_zs'!$B271,[1]ratio_ins!$B:$B,0))</f>
        <v>4418.6126400000012</v>
      </c>
      <c r="P271" s="10">
        <f>INDEX([1]ratio_ins!N:N,MATCH('001_population_health_zone_zs'!$B$2,[1]ratio_ins!$B:$B,0))*$G271*INDEX([1]ratio_ins!$C:$C,MATCH('001_population_health_zone_zs'!$B271,[1]ratio_ins!$B:$B,0))</f>
        <v>3989.0253000000007</v>
      </c>
      <c r="Q271" s="10">
        <f>INDEX([1]ratio_ins!O:O,MATCH('001_population_health_zone_zs'!$B$2,[1]ratio_ins!$B:$B,0))*$G271*INDEX([1]ratio_ins!$C:$C,MATCH('001_population_health_zone_zs'!$B271,[1]ratio_ins!$B:$B,0))</f>
        <v>3559.4379599999997</v>
      </c>
      <c r="R271" s="10">
        <f>INDEX([1]ratio_ins!P:P,MATCH('001_population_health_zone_zs'!$B$2,[1]ratio_ins!$B:$B,0))*$G271*INDEX([1]ratio_ins!$C:$C,MATCH('001_population_health_zone_zs'!$B271,[1]ratio_ins!$B:$B,0))</f>
        <v>3498.0683400000007</v>
      </c>
      <c r="S271" s="10">
        <f>INDEX([1]ratio_ins!Q:Q,MATCH('001_population_health_zone_zs'!$B$2,[1]ratio_ins!$B:$B,0))*$G271*INDEX([1]ratio_ins!$C:$C,MATCH('001_population_health_zone_zs'!$B271,[1]ratio_ins!$B:$B,0))</f>
        <v>2945.7417600000003</v>
      </c>
      <c r="T271" s="10">
        <f>INDEX([1]ratio_ins!R:R,MATCH('001_population_health_zone_zs'!$B$2,[1]ratio_ins!$B:$B,0))*$G271*INDEX([1]ratio_ins!$C:$C,MATCH('001_population_health_zone_zs'!$B271,[1]ratio_ins!$B:$B,0))</f>
        <v>2086.5670800000007</v>
      </c>
      <c r="U271" s="10">
        <f>INDEX([1]ratio_ins!S:S,MATCH('001_population_health_zone_zs'!$B$2,[1]ratio_ins!$B:$B,0))*$G271*INDEX([1]ratio_ins!$C:$C,MATCH('001_population_health_zone_zs'!$B271,[1]ratio_ins!$B:$B,0))</f>
        <v>1656.9797400000002</v>
      </c>
      <c r="V271" s="10">
        <f>INDEX([1]ratio_ins!T:T,MATCH('001_population_health_zone_zs'!$B$2,[1]ratio_ins!$B:$B,0))*$G271*INDEX([1]ratio_ins!$C:$C,MATCH('001_population_health_zone_zs'!$B271,[1]ratio_ins!$B:$B,0))</f>
        <v>920.54430000000002</v>
      </c>
      <c r="W271" s="11">
        <f>INDEX([1]ratio_ins!U:U,MATCH('001_population_health_zone_zs'!$B$2,[1]ratio_ins!$B:$B,0))*$G271*INDEX([1]ratio_ins!$C:$C,MATCH('001_population_health_zone_zs'!$B271,[1]ratio_ins!$B:$B,0))</f>
        <v>25112.448504</v>
      </c>
      <c r="X271" s="10">
        <f>INDEX([1]ratio_ins!V:V,MATCH('001_population_health_zone_zs'!$B$2,[1]ratio_ins!$B:$B,0))*$G271*INDEX([1]ratio_ins!$C:$C,MATCH('001_population_health_zone_zs'!$B271,[1]ratio_ins!$B:$B,0))</f>
        <v>736.43544000000009</v>
      </c>
      <c r="Y271" s="10">
        <f>INDEX([1]ratio_ins!W:W,MATCH('001_population_health_zone_zs'!$B$2,[1]ratio_ins!$B:$B,0))*$G271*INDEX([1]ratio_ins!$C:$C,MATCH('001_population_health_zone_zs'!$B271,[1]ratio_ins!$B:$B,0))</f>
        <v>490.95696000000004</v>
      </c>
      <c r="Z271" s="10">
        <f>INDEX([1]ratio_ins!X:X,MATCH('001_population_health_zone_zs'!$B$2,[1]ratio_ins!$B:$B,0))*$G271*INDEX([1]ratio_ins!$C:$C,MATCH('001_population_health_zone_zs'!$B271,[1]ratio_ins!$B:$B,0))</f>
        <v>245.47848000000002</v>
      </c>
      <c r="AA271" s="10">
        <f>INDEX([1]ratio_ins!Y:Y,MATCH('001_population_health_zone_zs'!$B$2,[1]ratio_ins!$B:$B,0))*$G271*INDEX([1]ratio_ins!$C:$C,MATCH('001_population_health_zone_zs'!$B271,[1]ratio_ins!$B:$B,0))</f>
        <v>122.73924000000001</v>
      </c>
      <c r="AB271" s="11">
        <f>INDEX([1]ratio_ins!Z:Z,MATCH('001_population_health_zone_zs'!$B$2,[1]ratio_ins!$B:$B,0))*$G271*INDEX([1]ratio_ins!$C:$C,MATCH('001_population_health_zone_zs'!$B271,[1]ratio_ins!$B:$B,0))</f>
        <v>1595.6101200000003</v>
      </c>
      <c r="AC271" s="12">
        <f t="shared" si="24"/>
        <v>61369.619999999995</v>
      </c>
      <c r="AD271" s="10">
        <f>INDEX([1]ratio_ins!AA:AA,MATCH('001_population_health_zone_zs'!$B$2,[1]ratio_ins!$B:$B,0))*$G271*INDEX([1]ratio_ins!$D:$D,MATCH('001_population_health_zone_zs'!$B271,[1]ratio_ins!$B:$B,0))</f>
        <v>13306.729799999999</v>
      </c>
      <c r="AE271" s="10">
        <f>INDEX([1]ratio_ins!AB:AB,MATCH('001_population_health_zone_zs'!$B$2,[1]ratio_ins!$B:$B,0))*$G271*INDEX([1]ratio_ins!$D:$D,MATCH('001_population_health_zone_zs'!$B271,[1]ratio_ins!$B:$B,0))</f>
        <v>10962.210740000002</v>
      </c>
      <c r="AF271" s="10">
        <f>INDEX([1]ratio_ins!AC:AC,MATCH('001_population_health_zone_zs'!$B$2,[1]ratio_ins!$B:$B,0))*$G271*INDEX([1]ratio_ins!$D:$D,MATCH('001_population_health_zone_zs'!$B271,[1]ratio_ins!$B:$B,0))</f>
        <v>8681.0570599999974</v>
      </c>
      <c r="AG271" s="10">
        <f>INDEX([1]ratio_ins!AD:AD,MATCH('001_population_health_zone_zs'!$B$2,[1]ratio_ins!$B:$B,0))*$G271*INDEX([1]ratio_ins!$D:$D,MATCH('001_population_health_zone_zs'!$B271,[1]ratio_ins!$B:$B,0))</f>
        <v>5259.3265400000009</v>
      </c>
      <c r="AH271" s="10">
        <f>INDEX([1]ratio_ins!AE:AE,MATCH('001_population_health_zone_zs'!$B$2,[1]ratio_ins!$B:$B,0))*$G271*INDEX([1]ratio_ins!$D:$D,MATCH('001_population_health_zone_zs'!$B271,[1]ratio_ins!$B:$B,0))</f>
        <v>3155.5959240000002</v>
      </c>
      <c r="AI271" s="13">
        <f>INDEX([1]ratio_ins!AF:AF,MATCH('001_population_health_zone_zs'!$B$2,[1]ratio_ins!$B:$B,0))*$G271*INDEX([1]ratio_ins!$D:$D,MATCH('001_population_health_zone_zs'!$B271,[1]ratio_ins!$B:$B,0))</f>
        <v>36105.593523999996</v>
      </c>
      <c r="AJ271" s="10">
        <f>INDEX([1]ratio_ins!AG:AG,MATCH('001_population_health_zone_zs'!$B$2,[1]ratio_ins!$B:$B,0))*$G271*INDEX([1]ratio_ins!$D:$D,MATCH('001_population_health_zone_zs'!$B271,[1]ratio_ins!$B:$B,0))</f>
        <v>2103.7306160000003</v>
      </c>
      <c r="AK271" s="10">
        <f>INDEX([1]ratio_ins!AH:AH,MATCH('001_population_health_zone_zs'!$B$2,[1]ratio_ins!$B:$B,0))*$G271*INDEX([1]ratio_ins!$D:$D,MATCH('001_population_health_zone_zs'!$B271,[1]ratio_ins!$B:$B,0))</f>
        <v>4689.0381200000011</v>
      </c>
      <c r="AL271" s="10">
        <f>INDEX([1]ratio_ins!AI:AI,MATCH('001_population_health_zone_zs'!$B$2,[1]ratio_ins!$B:$B,0))*$G271*INDEX([1]ratio_ins!$D:$D,MATCH('001_population_health_zone_zs'!$B271,[1]ratio_ins!$B:$B,0))</f>
        <v>4435.5766000000003</v>
      </c>
      <c r="AM271" s="10">
        <f>INDEX([1]ratio_ins!AJ:AJ,MATCH('001_population_health_zone_zs'!$B$2,[1]ratio_ins!$B:$B,0))*$G271*INDEX([1]ratio_ins!$D:$D,MATCH('001_population_health_zone_zs'!$B271,[1]ratio_ins!$B:$B,0))</f>
        <v>4055.3843200000001</v>
      </c>
      <c r="AN271" s="10">
        <f>INDEX([1]ratio_ins!AK:AK,MATCH('001_population_health_zone_zs'!$B$2,[1]ratio_ins!$B:$B,0))*$G271*INDEX([1]ratio_ins!$D:$D,MATCH('001_population_health_zone_zs'!$B271,[1]ratio_ins!$B:$B,0))</f>
        <v>3801.9227999999998</v>
      </c>
      <c r="AO271" s="10">
        <f>INDEX([1]ratio_ins!AL:AL,MATCH('001_population_health_zone_zs'!$B$2,[1]ratio_ins!$B:$B,0))*$G271*INDEX([1]ratio_ins!$D:$D,MATCH('001_population_health_zone_zs'!$B271,[1]ratio_ins!$B:$B,0))</f>
        <v>2851.4420999999998</v>
      </c>
      <c r="AP271" s="10">
        <f>INDEX([1]ratio_ins!AM:AM,MATCH('001_population_health_zone_zs'!$B$2,[1]ratio_ins!$B:$B,0))*$G271*INDEX([1]ratio_ins!$D:$D,MATCH('001_population_health_zone_zs'!$B271,[1]ratio_ins!$B:$B,0))</f>
        <v>1837.5960199999997</v>
      </c>
      <c r="AQ271" s="10">
        <f>INDEX([1]ratio_ins!AN:AN,MATCH('001_population_health_zone_zs'!$B$2,[1]ratio_ins!$B:$B,0))*$G271*INDEX([1]ratio_ins!$D:$D,MATCH('001_population_health_zone_zs'!$B271,[1]ratio_ins!$B:$B,0))</f>
        <v>1457.40374</v>
      </c>
      <c r="AR271" s="10">
        <f>INDEX([1]ratio_ins!AO:AO,MATCH('001_population_health_zone_zs'!$B$2,[1]ratio_ins!$B:$B,0))*$G271*INDEX([1]ratio_ins!$D:$D,MATCH('001_population_health_zone_zs'!$B271,[1]ratio_ins!$B:$B,0))</f>
        <v>697.01918000000001</v>
      </c>
      <c r="AS271" s="13">
        <f>INDEX([1]ratio_ins!AP:AP,MATCH('001_population_health_zone_zs'!$B$2,[1]ratio_ins!$B:$B,0))*$G271*INDEX([1]ratio_ins!$D:$D,MATCH('001_population_health_zone_zs'!$B271,[1]ratio_ins!$B:$B,0))</f>
        <v>25929.113495999998</v>
      </c>
      <c r="AT271" s="10">
        <f>INDEX([1]ratio_ins!AQ:AQ,MATCH('001_population_health_zone_zs'!$B$2,[1]ratio_ins!$B:$B,0))*$G271*INDEX([1]ratio_ins!$D:$D,MATCH('001_population_health_zone_zs'!$B271,[1]ratio_ins!$B:$B,0))</f>
        <v>633.65380000000005</v>
      </c>
      <c r="AU271" s="10">
        <f>INDEX([1]ratio_ins!AR:AR,MATCH('001_population_health_zone_zs'!$B$2,[1]ratio_ins!$B:$B,0))*$G271*INDEX([1]ratio_ins!$D:$D,MATCH('001_population_health_zone_zs'!$B271,[1]ratio_ins!$B:$B,0))</f>
        <v>380.19227999999998</v>
      </c>
      <c r="AV271" s="10">
        <f>INDEX([1]ratio_ins!AS:AS,MATCH('001_population_health_zone_zs'!$B$2,[1]ratio_ins!$B:$B,0))*$G271*INDEX([1]ratio_ins!$D:$D,MATCH('001_population_health_zone_zs'!$B271,[1]ratio_ins!$B:$B,0))</f>
        <v>190.09613999999999</v>
      </c>
      <c r="AW271" s="10">
        <f>INDEX([1]ratio_ins!AT:AT,MATCH('001_population_health_zone_zs'!$B$2,[1]ratio_ins!$B:$B,0))*$G271*INDEX([1]ratio_ins!$D:$D,MATCH('001_population_health_zone_zs'!$B271,[1]ratio_ins!$B:$B,0))</f>
        <v>126.73076</v>
      </c>
      <c r="AX271" s="13">
        <f>INDEX([1]ratio_ins!AU:AU,MATCH('001_population_health_zone_zs'!$B$2,[1]ratio_ins!$B:$B,0))*$G271*INDEX([1]ratio_ins!$D:$D,MATCH('001_population_health_zone_zs'!$B271,[1]ratio_ins!$B:$B,0))</f>
        <v>1330.6729800000001</v>
      </c>
      <c r="AY271" s="14">
        <f t="shared" si="25"/>
        <v>63365.38</v>
      </c>
      <c r="AZ271" s="15">
        <f t="shared" si="26"/>
        <v>124735</v>
      </c>
      <c r="BA271" s="16">
        <v>121342.71687206125</v>
      </c>
      <c r="BB271" s="10">
        <f t="shared" si="27"/>
        <v>26930.286500000002</v>
      </c>
      <c r="BC271" s="17">
        <f t="shared" si="28"/>
        <v>0.21590000000000001</v>
      </c>
      <c r="BD271" s="10">
        <f t="shared" si="29"/>
        <v>25591.131540000006</v>
      </c>
    </row>
    <row r="272" spans="1:56" x14ac:dyDescent="0.25">
      <c r="A272" s="8" t="s">
        <v>671</v>
      </c>
      <c r="B272" s="8" t="s">
        <v>672</v>
      </c>
      <c r="C272" s="8" t="s">
        <v>673</v>
      </c>
      <c r="D272" s="8" t="s">
        <v>674</v>
      </c>
      <c r="E272" s="8" t="s">
        <v>673</v>
      </c>
      <c r="F272" s="8" t="s">
        <v>675</v>
      </c>
      <c r="G272" s="9">
        <v>252395</v>
      </c>
      <c r="H272" s="10">
        <f>INDEX([1]ratio_ins!F:F,MATCH('001_population_health_zone_zs'!$B$2,[1]ratio_ins!$B:$B,0))*$G272*INDEX([1]ratio_ins!$C:$C,MATCH('001_population_health_zone_zs'!$B272,[1]ratio_ins!$B:$B,0))</f>
        <v>25689.520285000002</v>
      </c>
      <c r="I272" s="10">
        <f>INDEX([1]ratio_ins!G:G,MATCH('001_population_health_zone_zs'!$B$2,[1]ratio_ins!$B:$B,0))*$G272*INDEX([1]ratio_ins!$C:$C,MATCH('001_population_health_zone_zs'!$B272,[1]ratio_ins!$B:$B,0))</f>
        <v>21018.698415000006</v>
      </c>
      <c r="J272" s="10">
        <f>INDEX([1]ratio_ins!H:H,MATCH('001_population_health_zone_zs'!$B$2,[1]ratio_ins!$B:$B,0))*$G272*INDEX([1]ratio_ins!$C:$C,MATCH('001_population_health_zone_zs'!$B272,[1]ratio_ins!$B:$B,0))</f>
        <v>16593.709275000005</v>
      </c>
      <c r="K272" s="10">
        <f>INDEX([1]ratio_ins!I:I,MATCH('001_population_health_zone_zs'!$B$2,[1]ratio_ins!$B:$B,0))*$G272*INDEX([1]ratio_ins!$C:$C,MATCH('001_population_health_zone_zs'!$B272,[1]ratio_ins!$B:$B,0))</f>
        <v>10202.058295000001</v>
      </c>
      <c r="L272" s="10">
        <f>INDEX([1]ratio_ins!J:J,MATCH('001_population_health_zone_zs'!$B$2,[1]ratio_ins!$B:$B,0))*$G272*INDEX([1]ratio_ins!$C:$C,MATCH('001_population_health_zone_zs'!$B272,[1]ratio_ins!$B:$B,0))</f>
        <v>6121.2349770000001</v>
      </c>
      <c r="M272" s="11">
        <f>INDEX([1]ratio_ins!K:K,MATCH('001_population_health_zone_zs'!$B$2,[1]ratio_ins!$B:$B,0))*$G272*INDEX([1]ratio_ins!$C:$C,MATCH('001_population_health_zone_zs'!$B272,[1]ratio_ins!$B:$B,0))</f>
        <v>69423.162951999999</v>
      </c>
      <c r="N272" s="10">
        <f>INDEX([1]ratio_ins!L:L,MATCH('001_population_health_zone_zs'!$B$2,[1]ratio_ins!$B:$B,0))*$G272*INDEX([1]ratio_ins!$C:$C,MATCH('001_population_health_zone_zs'!$B272,[1]ratio_ins!$B:$B,0))</f>
        <v>4080.8233180000002</v>
      </c>
      <c r="O272" s="10">
        <f>INDEX([1]ratio_ins!M:M,MATCH('001_population_health_zone_zs'!$B$2,[1]ratio_ins!$B:$B,0))*$G272*INDEX([1]ratio_ins!$C:$C,MATCH('001_population_health_zone_zs'!$B272,[1]ratio_ins!$B:$B,0))</f>
        <v>8849.9782800000012</v>
      </c>
      <c r="P272" s="10">
        <f>INDEX([1]ratio_ins!N:N,MATCH('001_population_health_zone_zs'!$B$2,[1]ratio_ins!$B:$B,0))*$G272*INDEX([1]ratio_ins!$C:$C,MATCH('001_population_health_zone_zs'!$B272,[1]ratio_ins!$B:$B,0))</f>
        <v>7989.563725</v>
      </c>
      <c r="Q272" s="10">
        <f>INDEX([1]ratio_ins!O:O,MATCH('001_population_health_zone_zs'!$B$2,[1]ratio_ins!$B:$B,0))*$G272*INDEX([1]ratio_ins!$C:$C,MATCH('001_population_health_zone_zs'!$B272,[1]ratio_ins!$B:$B,0))</f>
        <v>7129.1491700000006</v>
      </c>
      <c r="R272" s="10">
        <f>INDEX([1]ratio_ins!P:P,MATCH('001_population_health_zone_zs'!$B$2,[1]ratio_ins!$B:$B,0))*$G272*INDEX([1]ratio_ins!$C:$C,MATCH('001_population_health_zone_zs'!$B272,[1]ratio_ins!$B:$B,0))</f>
        <v>7006.2328050000015</v>
      </c>
      <c r="S272" s="10">
        <f>INDEX([1]ratio_ins!Q:Q,MATCH('001_population_health_zone_zs'!$B$2,[1]ratio_ins!$B:$B,0))*$G272*INDEX([1]ratio_ins!$C:$C,MATCH('001_population_health_zone_zs'!$B272,[1]ratio_ins!$B:$B,0))</f>
        <v>5899.9855200000011</v>
      </c>
      <c r="T272" s="10">
        <f>INDEX([1]ratio_ins!R:R,MATCH('001_population_health_zone_zs'!$B$2,[1]ratio_ins!$B:$B,0))*$G272*INDEX([1]ratio_ins!$C:$C,MATCH('001_population_health_zone_zs'!$B272,[1]ratio_ins!$B:$B,0))</f>
        <v>4179.1564100000005</v>
      </c>
      <c r="U272" s="10">
        <f>INDEX([1]ratio_ins!S:S,MATCH('001_population_health_zone_zs'!$B$2,[1]ratio_ins!$B:$B,0))*$G272*INDEX([1]ratio_ins!$C:$C,MATCH('001_population_health_zone_zs'!$B272,[1]ratio_ins!$B:$B,0))</f>
        <v>3318.7418550000007</v>
      </c>
      <c r="V272" s="10">
        <f>INDEX([1]ratio_ins!T:T,MATCH('001_population_health_zone_zs'!$B$2,[1]ratio_ins!$B:$B,0))*$G272*INDEX([1]ratio_ins!$C:$C,MATCH('001_population_health_zone_zs'!$B272,[1]ratio_ins!$B:$B,0))</f>
        <v>1843.7454749999999</v>
      </c>
      <c r="W272" s="11">
        <f>INDEX([1]ratio_ins!U:U,MATCH('001_population_health_zone_zs'!$B$2,[1]ratio_ins!$B:$B,0))*$G272*INDEX([1]ratio_ins!$C:$C,MATCH('001_population_health_zone_zs'!$B272,[1]ratio_ins!$B:$B,0))</f>
        <v>50297.376558000004</v>
      </c>
      <c r="X272" s="10">
        <f>INDEX([1]ratio_ins!V:V,MATCH('001_population_health_zone_zs'!$B$2,[1]ratio_ins!$B:$B,0))*$G272*INDEX([1]ratio_ins!$C:$C,MATCH('001_population_health_zone_zs'!$B272,[1]ratio_ins!$B:$B,0))</f>
        <v>1474.9963800000003</v>
      </c>
      <c r="Y272" s="10">
        <f>INDEX([1]ratio_ins!W:W,MATCH('001_population_health_zone_zs'!$B$2,[1]ratio_ins!$B:$B,0))*$G272*INDEX([1]ratio_ins!$C:$C,MATCH('001_population_health_zone_zs'!$B272,[1]ratio_ins!$B:$B,0))</f>
        <v>983.33092000000011</v>
      </c>
      <c r="Z272" s="10">
        <f>INDEX([1]ratio_ins!X:X,MATCH('001_population_health_zone_zs'!$B$2,[1]ratio_ins!$B:$B,0))*$G272*INDEX([1]ratio_ins!$C:$C,MATCH('001_population_health_zone_zs'!$B272,[1]ratio_ins!$B:$B,0))</f>
        <v>491.66546000000005</v>
      </c>
      <c r="AA272" s="10">
        <f>INDEX([1]ratio_ins!Y:Y,MATCH('001_population_health_zone_zs'!$B$2,[1]ratio_ins!$B:$B,0))*$G272*INDEX([1]ratio_ins!$C:$C,MATCH('001_population_health_zone_zs'!$B272,[1]ratio_ins!$B:$B,0))</f>
        <v>245.83273000000003</v>
      </c>
      <c r="AB272" s="11">
        <f>INDEX([1]ratio_ins!Z:Z,MATCH('001_population_health_zone_zs'!$B$2,[1]ratio_ins!$B:$B,0))*$G272*INDEX([1]ratio_ins!$C:$C,MATCH('001_population_health_zone_zs'!$B272,[1]ratio_ins!$B:$B,0))</f>
        <v>3195.8254900000006</v>
      </c>
      <c r="AC272" s="12">
        <f t="shared" si="24"/>
        <v>122916.36500000001</v>
      </c>
      <c r="AD272" s="10">
        <f>INDEX([1]ratio_ins!AA:AA,MATCH('001_population_health_zone_zs'!$B$2,[1]ratio_ins!$B:$B,0))*$G272*INDEX([1]ratio_ins!$D:$D,MATCH('001_population_health_zone_zs'!$B272,[1]ratio_ins!$B:$B,0))</f>
        <v>27190.513349999997</v>
      </c>
      <c r="AE272" s="10">
        <f>INDEX([1]ratio_ins!AB:AB,MATCH('001_population_health_zone_zs'!$B$2,[1]ratio_ins!$B:$B,0))*$G272*INDEX([1]ratio_ins!$D:$D,MATCH('001_population_health_zone_zs'!$B272,[1]ratio_ins!$B:$B,0))</f>
        <v>22399.803855000006</v>
      </c>
      <c r="AF272" s="10">
        <f>INDEX([1]ratio_ins!AC:AC,MATCH('001_population_health_zone_zs'!$B$2,[1]ratio_ins!$B:$B,0))*$G272*INDEX([1]ratio_ins!$D:$D,MATCH('001_population_health_zone_zs'!$B272,[1]ratio_ins!$B:$B,0))</f>
        <v>17738.572994999999</v>
      </c>
      <c r="AG272" s="10">
        <f>INDEX([1]ratio_ins!AD:AD,MATCH('001_population_health_zone_zs'!$B$2,[1]ratio_ins!$B:$B,0))*$G272*INDEX([1]ratio_ins!$D:$D,MATCH('001_population_health_zone_zs'!$B272,[1]ratio_ins!$B:$B,0))</f>
        <v>10746.726705000001</v>
      </c>
      <c r="AH272" s="10">
        <f>INDEX([1]ratio_ins!AE:AE,MATCH('001_population_health_zone_zs'!$B$2,[1]ratio_ins!$B:$B,0))*$G272*INDEX([1]ratio_ins!$D:$D,MATCH('001_population_health_zone_zs'!$B272,[1]ratio_ins!$B:$B,0))</f>
        <v>6448.0360229999997</v>
      </c>
      <c r="AI272" s="13">
        <f>INDEX([1]ratio_ins!AF:AF,MATCH('001_population_health_zone_zs'!$B$2,[1]ratio_ins!$B:$B,0))*$G272*INDEX([1]ratio_ins!$D:$D,MATCH('001_population_health_zone_zs'!$B272,[1]ratio_ins!$B:$B,0))</f>
        <v>73776.926223000002</v>
      </c>
      <c r="AJ272" s="10">
        <f>INDEX([1]ratio_ins!AG:AG,MATCH('001_population_health_zone_zs'!$B$2,[1]ratio_ins!$B:$B,0))*$G272*INDEX([1]ratio_ins!$D:$D,MATCH('001_population_health_zone_zs'!$B272,[1]ratio_ins!$B:$B,0))</f>
        <v>4298.6906819999995</v>
      </c>
      <c r="AK272" s="10">
        <f>INDEX([1]ratio_ins!AH:AH,MATCH('001_population_health_zone_zs'!$B$2,[1]ratio_ins!$B:$B,0))*$G272*INDEX([1]ratio_ins!$D:$D,MATCH('001_population_health_zone_zs'!$B272,[1]ratio_ins!$B:$B,0))</f>
        <v>9581.4189900000019</v>
      </c>
      <c r="AL272" s="10">
        <f>INDEX([1]ratio_ins!AI:AI,MATCH('001_population_health_zone_zs'!$B$2,[1]ratio_ins!$B:$B,0))*$G272*INDEX([1]ratio_ins!$D:$D,MATCH('001_population_health_zone_zs'!$B272,[1]ratio_ins!$B:$B,0))</f>
        <v>9063.5044500000004</v>
      </c>
      <c r="AM272" s="10">
        <f>INDEX([1]ratio_ins!AJ:AJ,MATCH('001_population_health_zone_zs'!$B$2,[1]ratio_ins!$B:$B,0))*$G272*INDEX([1]ratio_ins!$D:$D,MATCH('001_population_health_zone_zs'!$B272,[1]ratio_ins!$B:$B,0))</f>
        <v>8286.6326399999998</v>
      </c>
      <c r="AN272" s="10">
        <f>INDEX([1]ratio_ins!AK:AK,MATCH('001_population_health_zone_zs'!$B$2,[1]ratio_ins!$B:$B,0))*$G272*INDEX([1]ratio_ins!$D:$D,MATCH('001_population_health_zone_zs'!$B272,[1]ratio_ins!$B:$B,0))</f>
        <v>7768.7181</v>
      </c>
      <c r="AO272" s="10">
        <f>INDEX([1]ratio_ins!AL:AL,MATCH('001_population_health_zone_zs'!$B$2,[1]ratio_ins!$B:$B,0))*$G272*INDEX([1]ratio_ins!$D:$D,MATCH('001_population_health_zone_zs'!$B272,[1]ratio_ins!$B:$B,0))</f>
        <v>5826.5385749999996</v>
      </c>
      <c r="AP272" s="10">
        <f>INDEX([1]ratio_ins!AM:AM,MATCH('001_population_health_zone_zs'!$B$2,[1]ratio_ins!$B:$B,0))*$G272*INDEX([1]ratio_ins!$D:$D,MATCH('001_population_health_zone_zs'!$B272,[1]ratio_ins!$B:$B,0))</f>
        <v>3754.8804150000001</v>
      </c>
      <c r="AQ272" s="10">
        <f>INDEX([1]ratio_ins!AN:AN,MATCH('001_population_health_zone_zs'!$B$2,[1]ratio_ins!$B:$B,0))*$G272*INDEX([1]ratio_ins!$D:$D,MATCH('001_population_health_zone_zs'!$B272,[1]ratio_ins!$B:$B,0))</f>
        <v>2978.008605</v>
      </c>
      <c r="AR272" s="10">
        <f>INDEX([1]ratio_ins!AO:AO,MATCH('001_population_health_zone_zs'!$B$2,[1]ratio_ins!$B:$B,0))*$G272*INDEX([1]ratio_ins!$D:$D,MATCH('001_population_health_zone_zs'!$B272,[1]ratio_ins!$B:$B,0))</f>
        <v>1424.2649850000003</v>
      </c>
      <c r="AS272" s="13">
        <f>INDEX([1]ratio_ins!AP:AP,MATCH('001_population_health_zone_zs'!$B$2,[1]ratio_ins!$B:$B,0))*$G272*INDEX([1]ratio_ins!$D:$D,MATCH('001_population_health_zone_zs'!$B272,[1]ratio_ins!$B:$B,0))</f>
        <v>52982.657442000003</v>
      </c>
      <c r="AT272" s="10">
        <f>INDEX([1]ratio_ins!AQ:AQ,MATCH('001_population_health_zone_zs'!$B$2,[1]ratio_ins!$B:$B,0))*$G272*INDEX([1]ratio_ins!$D:$D,MATCH('001_population_health_zone_zs'!$B272,[1]ratio_ins!$B:$B,0))</f>
        <v>1294.7863500000001</v>
      </c>
      <c r="AU272" s="10">
        <f>INDEX([1]ratio_ins!AR:AR,MATCH('001_population_health_zone_zs'!$B$2,[1]ratio_ins!$B:$B,0))*$G272*INDEX([1]ratio_ins!$D:$D,MATCH('001_population_health_zone_zs'!$B272,[1]ratio_ins!$B:$B,0))</f>
        <v>776.8718100000001</v>
      </c>
      <c r="AV272" s="10">
        <f>INDEX([1]ratio_ins!AS:AS,MATCH('001_population_health_zone_zs'!$B$2,[1]ratio_ins!$B:$B,0))*$G272*INDEX([1]ratio_ins!$D:$D,MATCH('001_population_health_zone_zs'!$B272,[1]ratio_ins!$B:$B,0))</f>
        <v>388.43590500000005</v>
      </c>
      <c r="AW272" s="10">
        <f>INDEX([1]ratio_ins!AT:AT,MATCH('001_population_health_zone_zs'!$B$2,[1]ratio_ins!$B:$B,0))*$G272*INDEX([1]ratio_ins!$D:$D,MATCH('001_population_health_zone_zs'!$B272,[1]ratio_ins!$B:$B,0))</f>
        <v>258.95726999999999</v>
      </c>
      <c r="AX272" s="13">
        <f>INDEX([1]ratio_ins!AU:AU,MATCH('001_population_health_zone_zs'!$B$2,[1]ratio_ins!$B:$B,0))*$G272*INDEX([1]ratio_ins!$D:$D,MATCH('001_population_health_zone_zs'!$B272,[1]ratio_ins!$B:$B,0))</f>
        <v>2719.0513349999997</v>
      </c>
      <c r="AY272" s="14">
        <f t="shared" si="25"/>
        <v>129478.63500000001</v>
      </c>
      <c r="AZ272" s="15">
        <f t="shared" si="26"/>
        <v>252395</v>
      </c>
      <c r="BA272" s="16">
        <v>242164.33560041897</v>
      </c>
      <c r="BB272" s="10">
        <f t="shared" si="27"/>
        <v>55028.419875</v>
      </c>
      <c r="BC272" s="17">
        <f t="shared" si="28"/>
        <v>0.218025</v>
      </c>
      <c r="BD272" s="10">
        <f t="shared" si="29"/>
        <v>51256.124205000007</v>
      </c>
    </row>
    <row r="273" spans="1:56" x14ac:dyDescent="0.25">
      <c r="A273" s="8" t="s">
        <v>671</v>
      </c>
      <c r="B273" s="8" t="s">
        <v>672</v>
      </c>
      <c r="C273" s="8" t="s">
        <v>673</v>
      </c>
      <c r="D273" s="8" t="s">
        <v>674</v>
      </c>
      <c r="E273" s="8" t="s">
        <v>676</v>
      </c>
      <c r="F273" s="8" t="s">
        <v>677</v>
      </c>
      <c r="G273" s="9">
        <v>616487</v>
      </c>
      <c r="H273" s="10">
        <f>INDEX([1]ratio_ins!F:F,MATCH('001_population_health_zone_zs'!$B$2,[1]ratio_ins!$B:$B,0))*$G273*INDEX([1]ratio_ins!$C:$C,MATCH('001_population_health_zone_zs'!$B273,[1]ratio_ins!$B:$B,0))</f>
        <v>62747.896321</v>
      </c>
      <c r="I273" s="10">
        <f>INDEX([1]ratio_ins!G:G,MATCH('001_population_health_zone_zs'!$B$2,[1]ratio_ins!$B:$B,0))*$G273*INDEX([1]ratio_ins!$C:$C,MATCH('001_population_health_zone_zs'!$B273,[1]ratio_ins!$B:$B,0))</f>
        <v>51339.187899000004</v>
      </c>
      <c r="J273" s="10">
        <f>INDEX([1]ratio_ins!H:H,MATCH('001_population_health_zone_zs'!$B$2,[1]ratio_ins!$B:$B,0))*$G273*INDEX([1]ratio_ins!$C:$C,MATCH('001_population_health_zone_zs'!$B273,[1]ratio_ins!$B:$B,0))</f>
        <v>40530.937815000012</v>
      </c>
      <c r="K273" s="10">
        <f>INDEX([1]ratio_ins!I:I,MATCH('001_population_health_zone_zs'!$B$2,[1]ratio_ins!$B:$B,0))*$G273*INDEX([1]ratio_ins!$C:$C,MATCH('001_population_health_zone_zs'!$B273,[1]ratio_ins!$B:$B,0))</f>
        <v>24919.021027000003</v>
      </c>
      <c r="L273" s="10">
        <f>INDEX([1]ratio_ins!J:J,MATCH('001_population_health_zone_zs'!$B$2,[1]ratio_ins!$B:$B,0))*$G273*INDEX([1]ratio_ins!$C:$C,MATCH('001_population_health_zone_zs'!$B273,[1]ratio_ins!$B:$B,0))</f>
        <v>14951.412616200001</v>
      </c>
      <c r="M273" s="11">
        <f>INDEX([1]ratio_ins!K:K,MATCH('001_population_health_zone_zs'!$B$2,[1]ratio_ins!$B:$B,0))*$G273*INDEX([1]ratio_ins!$C:$C,MATCH('001_population_health_zone_zs'!$B273,[1]ratio_ins!$B:$B,0))</f>
        <v>169569.43465120002</v>
      </c>
      <c r="N273" s="10">
        <f>INDEX([1]ratio_ins!L:L,MATCH('001_population_health_zone_zs'!$B$2,[1]ratio_ins!$B:$B,0))*$G273*INDEX([1]ratio_ins!$C:$C,MATCH('001_population_health_zone_zs'!$B273,[1]ratio_ins!$B:$B,0))</f>
        <v>9967.6084108000014</v>
      </c>
      <c r="O273" s="10">
        <f>INDEX([1]ratio_ins!M:M,MATCH('001_population_health_zone_zs'!$B$2,[1]ratio_ins!$B:$B,0))*$G273*INDEX([1]ratio_ins!$C:$C,MATCH('001_population_health_zone_zs'!$B273,[1]ratio_ins!$B:$B,0))</f>
        <v>21616.500168000006</v>
      </c>
      <c r="P273" s="10">
        <f>INDEX([1]ratio_ins!N:N,MATCH('001_population_health_zone_zs'!$B$2,[1]ratio_ins!$B:$B,0))*$G273*INDEX([1]ratio_ins!$C:$C,MATCH('001_population_health_zone_zs'!$B273,[1]ratio_ins!$B:$B,0))</f>
        <v>19514.895985000003</v>
      </c>
      <c r="Q273" s="10">
        <f>INDEX([1]ratio_ins!O:O,MATCH('001_population_health_zone_zs'!$B$2,[1]ratio_ins!$B:$B,0))*$G273*INDEX([1]ratio_ins!$C:$C,MATCH('001_population_health_zone_zs'!$B273,[1]ratio_ins!$B:$B,0))</f>
        <v>17413.291802</v>
      </c>
      <c r="R273" s="10">
        <f>INDEX([1]ratio_ins!P:P,MATCH('001_population_health_zone_zs'!$B$2,[1]ratio_ins!$B:$B,0))*$G273*INDEX([1]ratio_ins!$C:$C,MATCH('001_population_health_zone_zs'!$B273,[1]ratio_ins!$B:$B,0))</f>
        <v>17113.062633000001</v>
      </c>
      <c r="S273" s="10">
        <f>INDEX([1]ratio_ins!Q:Q,MATCH('001_population_health_zone_zs'!$B$2,[1]ratio_ins!$B:$B,0))*$G273*INDEX([1]ratio_ins!$C:$C,MATCH('001_population_health_zone_zs'!$B273,[1]ratio_ins!$B:$B,0))</f>
        <v>14411.000112000002</v>
      </c>
      <c r="T273" s="10">
        <f>INDEX([1]ratio_ins!R:R,MATCH('001_population_health_zone_zs'!$B$2,[1]ratio_ins!$B:$B,0))*$G273*INDEX([1]ratio_ins!$C:$C,MATCH('001_population_health_zone_zs'!$B273,[1]ratio_ins!$B:$B,0))</f>
        <v>10207.791746000001</v>
      </c>
      <c r="U273" s="10">
        <f>INDEX([1]ratio_ins!S:S,MATCH('001_population_health_zone_zs'!$B$2,[1]ratio_ins!$B:$B,0))*$G273*INDEX([1]ratio_ins!$C:$C,MATCH('001_population_health_zone_zs'!$B273,[1]ratio_ins!$B:$B,0))</f>
        <v>8106.1875630000013</v>
      </c>
      <c r="V273" s="10">
        <f>INDEX([1]ratio_ins!T:T,MATCH('001_population_health_zone_zs'!$B$2,[1]ratio_ins!$B:$B,0))*$G273*INDEX([1]ratio_ins!$C:$C,MATCH('001_population_health_zone_zs'!$B273,[1]ratio_ins!$B:$B,0))</f>
        <v>4503.4375350000009</v>
      </c>
      <c r="W273" s="11">
        <f>INDEX([1]ratio_ins!U:U,MATCH('001_population_health_zone_zs'!$B$2,[1]ratio_ins!$B:$B,0))*$G273*INDEX([1]ratio_ins!$C:$C,MATCH('001_population_health_zone_zs'!$B273,[1]ratio_ins!$B:$B,0))</f>
        <v>122853.77595480002</v>
      </c>
      <c r="X273" s="10">
        <f>INDEX([1]ratio_ins!V:V,MATCH('001_population_health_zone_zs'!$B$2,[1]ratio_ins!$B:$B,0))*$G273*INDEX([1]ratio_ins!$C:$C,MATCH('001_population_health_zone_zs'!$B273,[1]ratio_ins!$B:$B,0))</f>
        <v>3602.7500280000004</v>
      </c>
      <c r="Y273" s="10">
        <f>INDEX([1]ratio_ins!W:W,MATCH('001_population_health_zone_zs'!$B$2,[1]ratio_ins!$B:$B,0))*$G273*INDEX([1]ratio_ins!$C:$C,MATCH('001_population_health_zone_zs'!$B273,[1]ratio_ins!$B:$B,0))</f>
        <v>2401.8333520000001</v>
      </c>
      <c r="Z273" s="10">
        <f>INDEX([1]ratio_ins!X:X,MATCH('001_population_health_zone_zs'!$B$2,[1]ratio_ins!$B:$B,0))*$G273*INDEX([1]ratio_ins!$C:$C,MATCH('001_population_health_zone_zs'!$B273,[1]ratio_ins!$B:$B,0))</f>
        <v>1200.9166760000001</v>
      </c>
      <c r="AA273" s="10">
        <f>INDEX([1]ratio_ins!Y:Y,MATCH('001_population_health_zone_zs'!$B$2,[1]ratio_ins!$B:$B,0))*$G273*INDEX([1]ratio_ins!$C:$C,MATCH('001_population_health_zone_zs'!$B273,[1]ratio_ins!$B:$B,0))</f>
        <v>600.45833800000003</v>
      </c>
      <c r="AB273" s="11">
        <f>INDEX([1]ratio_ins!Z:Z,MATCH('001_population_health_zone_zs'!$B$2,[1]ratio_ins!$B:$B,0))*$G273*INDEX([1]ratio_ins!$C:$C,MATCH('001_population_health_zone_zs'!$B273,[1]ratio_ins!$B:$B,0))</f>
        <v>7805.958394000002</v>
      </c>
      <c r="AC273" s="12">
        <f t="shared" si="24"/>
        <v>300229.16900000005</v>
      </c>
      <c r="AD273" s="10">
        <f>INDEX([1]ratio_ins!AA:AA,MATCH('001_population_health_zone_zs'!$B$2,[1]ratio_ins!$B:$B,0))*$G273*INDEX([1]ratio_ins!$D:$D,MATCH('001_population_health_zone_zs'!$B273,[1]ratio_ins!$B:$B,0))</f>
        <v>66414.144509999998</v>
      </c>
      <c r="AE273" s="10">
        <f>INDEX([1]ratio_ins!AB:AB,MATCH('001_population_health_zone_zs'!$B$2,[1]ratio_ins!$B:$B,0))*$G273*INDEX([1]ratio_ins!$D:$D,MATCH('001_population_health_zone_zs'!$B273,[1]ratio_ins!$B:$B,0))</f>
        <v>54712.604763000003</v>
      </c>
      <c r="AF273" s="10">
        <f>INDEX([1]ratio_ins!AC:AC,MATCH('001_population_health_zone_zs'!$B$2,[1]ratio_ins!$B:$B,0))*$G273*INDEX([1]ratio_ins!$D:$D,MATCH('001_population_health_zone_zs'!$B273,[1]ratio_ins!$B:$B,0))</f>
        <v>43327.322846999989</v>
      </c>
      <c r="AG273" s="10">
        <f>INDEX([1]ratio_ins!AD:AD,MATCH('001_population_health_zone_zs'!$B$2,[1]ratio_ins!$B:$B,0))*$G273*INDEX([1]ratio_ins!$D:$D,MATCH('001_population_health_zone_zs'!$B273,[1]ratio_ins!$B:$B,0))</f>
        <v>26249.399973000003</v>
      </c>
      <c r="AH273" s="10">
        <f>INDEX([1]ratio_ins!AE:AE,MATCH('001_population_health_zone_zs'!$B$2,[1]ratio_ins!$B:$B,0))*$G273*INDEX([1]ratio_ins!$D:$D,MATCH('001_population_health_zone_zs'!$B273,[1]ratio_ins!$B:$B,0))</f>
        <v>15749.6399838</v>
      </c>
      <c r="AI273" s="13">
        <f>INDEX([1]ratio_ins!AF:AF,MATCH('001_population_health_zone_zs'!$B$2,[1]ratio_ins!$B:$B,0))*$G273*INDEX([1]ratio_ins!$D:$D,MATCH('001_population_health_zone_zs'!$B273,[1]ratio_ins!$B:$B,0))</f>
        <v>180203.7121038</v>
      </c>
      <c r="AJ273" s="10">
        <f>INDEX([1]ratio_ins!AG:AG,MATCH('001_population_health_zone_zs'!$B$2,[1]ratio_ins!$B:$B,0))*$G273*INDEX([1]ratio_ins!$D:$D,MATCH('001_population_health_zone_zs'!$B273,[1]ratio_ins!$B:$B,0))</f>
        <v>10499.7599892</v>
      </c>
      <c r="AK273" s="10">
        <f>INDEX([1]ratio_ins!AH:AH,MATCH('001_population_health_zone_zs'!$B$2,[1]ratio_ins!$B:$B,0))*$G273*INDEX([1]ratio_ins!$D:$D,MATCH('001_population_health_zone_zs'!$B273,[1]ratio_ins!$B:$B,0))</f>
        <v>23403.079494000005</v>
      </c>
      <c r="AL273" s="10">
        <f>INDEX([1]ratio_ins!AI:AI,MATCH('001_population_health_zone_zs'!$B$2,[1]ratio_ins!$B:$B,0))*$G273*INDEX([1]ratio_ins!$D:$D,MATCH('001_population_health_zone_zs'!$B273,[1]ratio_ins!$B:$B,0))</f>
        <v>22138.048170000002</v>
      </c>
      <c r="AM273" s="10">
        <f>INDEX([1]ratio_ins!AJ:AJ,MATCH('001_population_health_zone_zs'!$B$2,[1]ratio_ins!$B:$B,0))*$G273*INDEX([1]ratio_ins!$D:$D,MATCH('001_population_health_zone_zs'!$B273,[1]ratio_ins!$B:$B,0))</f>
        <v>20240.501184000001</v>
      </c>
      <c r="AN273" s="10">
        <f>INDEX([1]ratio_ins!AK:AK,MATCH('001_population_health_zone_zs'!$B$2,[1]ratio_ins!$B:$B,0))*$G273*INDEX([1]ratio_ins!$D:$D,MATCH('001_population_health_zone_zs'!$B273,[1]ratio_ins!$B:$B,0))</f>
        <v>18975.469860000001</v>
      </c>
      <c r="AO273" s="10">
        <f>INDEX([1]ratio_ins!AL:AL,MATCH('001_population_health_zone_zs'!$B$2,[1]ratio_ins!$B:$B,0))*$G273*INDEX([1]ratio_ins!$D:$D,MATCH('001_population_health_zone_zs'!$B273,[1]ratio_ins!$B:$B,0))</f>
        <v>14231.602394999998</v>
      </c>
      <c r="AP273" s="10">
        <f>INDEX([1]ratio_ins!AM:AM,MATCH('001_population_health_zone_zs'!$B$2,[1]ratio_ins!$B:$B,0))*$G273*INDEX([1]ratio_ins!$D:$D,MATCH('001_population_health_zone_zs'!$B273,[1]ratio_ins!$B:$B,0))</f>
        <v>9171.4770989999997</v>
      </c>
      <c r="AQ273" s="10">
        <f>INDEX([1]ratio_ins!AN:AN,MATCH('001_population_health_zone_zs'!$B$2,[1]ratio_ins!$B:$B,0))*$G273*INDEX([1]ratio_ins!$D:$D,MATCH('001_population_health_zone_zs'!$B273,[1]ratio_ins!$B:$B,0))</f>
        <v>7273.9301129999994</v>
      </c>
      <c r="AR273" s="10">
        <f>INDEX([1]ratio_ins!AO:AO,MATCH('001_population_health_zone_zs'!$B$2,[1]ratio_ins!$B:$B,0))*$G273*INDEX([1]ratio_ins!$D:$D,MATCH('001_population_health_zone_zs'!$B273,[1]ratio_ins!$B:$B,0))</f>
        <v>3478.8361410000007</v>
      </c>
      <c r="AS273" s="13">
        <f>INDEX([1]ratio_ins!AP:AP,MATCH('001_population_health_zone_zs'!$B$2,[1]ratio_ins!$B:$B,0))*$G273*INDEX([1]ratio_ins!$D:$D,MATCH('001_population_health_zone_zs'!$B273,[1]ratio_ins!$B:$B,0))</f>
        <v>129412.7044452</v>
      </c>
      <c r="AT273" s="10">
        <f>INDEX([1]ratio_ins!AQ:AQ,MATCH('001_population_health_zone_zs'!$B$2,[1]ratio_ins!$B:$B,0))*$G273*INDEX([1]ratio_ins!$D:$D,MATCH('001_population_health_zone_zs'!$B273,[1]ratio_ins!$B:$B,0))</f>
        <v>3162.5783099999999</v>
      </c>
      <c r="AU273" s="10">
        <f>INDEX([1]ratio_ins!AR:AR,MATCH('001_population_health_zone_zs'!$B$2,[1]ratio_ins!$B:$B,0))*$G273*INDEX([1]ratio_ins!$D:$D,MATCH('001_population_health_zone_zs'!$B273,[1]ratio_ins!$B:$B,0))</f>
        <v>1897.5469860000001</v>
      </c>
      <c r="AV273" s="10">
        <f>INDEX([1]ratio_ins!AS:AS,MATCH('001_population_health_zone_zs'!$B$2,[1]ratio_ins!$B:$B,0))*$G273*INDEX([1]ratio_ins!$D:$D,MATCH('001_population_health_zone_zs'!$B273,[1]ratio_ins!$B:$B,0))</f>
        <v>948.77349300000003</v>
      </c>
      <c r="AW273" s="10">
        <f>INDEX([1]ratio_ins!AT:AT,MATCH('001_population_health_zone_zs'!$B$2,[1]ratio_ins!$B:$B,0))*$G273*INDEX([1]ratio_ins!$D:$D,MATCH('001_population_health_zone_zs'!$B273,[1]ratio_ins!$B:$B,0))</f>
        <v>632.51566200000002</v>
      </c>
      <c r="AX273" s="13">
        <f>INDEX([1]ratio_ins!AU:AU,MATCH('001_population_health_zone_zs'!$B$2,[1]ratio_ins!$B:$B,0))*$G273*INDEX([1]ratio_ins!$D:$D,MATCH('001_population_health_zone_zs'!$B273,[1]ratio_ins!$B:$B,0))</f>
        <v>6641.4144509999996</v>
      </c>
      <c r="AY273" s="14">
        <f t="shared" si="25"/>
        <v>316257.83100000001</v>
      </c>
      <c r="AZ273" s="15">
        <f t="shared" si="26"/>
        <v>616487</v>
      </c>
      <c r="BA273" s="16">
        <v>591499.08285249048</v>
      </c>
      <c r="BB273" s="10">
        <f t="shared" si="27"/>
        <v>134409.578175</v>
      </c>
      <c r="BC273" s="17">
        <f t="shared" si="28"/>
        <v>0.218025</v>
      </c>
      <c r="BD273" s="10">
        <f t="shared" si="29"/>
        <v>125195.56347300002</v>
      </c>
    </row>
    <row r="274" spans="1:56" x14ac:dyDescent="0.25">
      <c r="A274" s="8" t="s">
        <v>671</v>
      </c>
      <c r="B274" s="8" t="s">
        <v>672</v>
      </c>
      <c r="C274" s="8" t="s">
        <v>678</v>
      </c>
      <c r="D274" s="8" t="s">
        <v>679</v>
      </c>
      <c r="E274" s="8" t="s">
        <v>678</v>
      </c>
      <c r="F274" s="8" t="s">
        <v>680</v>
      </c>
      <c r="G274" s="9">
        <v>434441</v>
      </c>
      <c r="H274" s="10">
        <f>INDEX([1]ratio_ins!F:F,MATCH('001_population_health_zone_zs'!$B$2,[1]ratio_ins!$B:$B,0))*$G274*INDEX([1]ratio_ins!$C:$C,MATCH('001_population_health_zone_zs'!$B274,[1]ratio_ins!$B:$B,0))</f>
        <v>44218.708302999999</v>
      </c>
      <c r="I274" s="10">
        <f>INDEX([1]ratio_ins!G:G,MATCH('001_population_health_zone_zs'!$B$2,[1]ratio_ins!$B:$B,0))*$G274*INDEX([1]ratio_ins!$C:$C,MATCH('001_population_health_zone_zs'!$B274,[1]ratio_ins!$B:$B,0))</f>
        <v>36178.943157000009</v>
      </c>
      <c r="J274" s="10">
        <f>INDEX([1]ratio_ins!H:H,MATCH('001_population_health_zone_zs'!$B$2,[1]ratio_ins!$B:$B,0))*$G274*INDEX([1]ratio_ins!$C:$C,MATCH('001_population_health_zone_zs'!$B274,[1]ratio_ins!$B:$B,0))</f>
        <v>28562.323545000003</v>
      </c>
      <c r="K274" s="10">
        <f>INDEX([1]ratio_ins!I:I,MATCH('001_population_health_zone_zs'!$B$2,[1]ratio_ins!$B:$B,0))*$G274*INDEX([1]ratio_ins!$C:$C,MATCH('001_population_health_zone_zs'!$B274,[1]ratio_ins!$B:$B,0))</f>
        <v>17560.539661000003</v>
      </c>
      <c r="L274" s="10">
        <f>INDEX([1]ratio_ins!J:J,MATCH('001_population_health_zone_zs'!$B$2,[1]ratio_ins!$B:$B,0))*$G274*INDEX([1]ratio_ins!$C:$C,MATCH('001_population_health_zone_zs'!$B274,[1]ratio_ins!$B:$B,0))</f>
        <v>10536.3237966</v>
      </c>
      <c r="M274" s="11">
        <f>INDEX([1]ratio_ins!K:K,MATCH('001_population_health_zone_zs'!$B$2,[1]ratio_ins!$B:$B,0))*$G274*INDEX([1]ratio_ins!$C:$C,MATCH('001_population_health_zone_zs'!$B274,[1]ratio_ins!$B:$B,0))</f>
        <v>119496.2988016</v>
      </c>
      <c r="N274" s="10">
        <f>INDEX([1]ratio_ins!L:L,MATCH('001_population_health_zone_zs'!$B$2,[1]ratio_ins!$B:$B,0))*$G274*INDEX([1]ratio_ins!$C:$C,MATCH('001_population_health_zone_zs'!$B274,[1]ratio_ins!$B:$B,0))</f>
        <v>7024.2158644000001</v>
      </c>
      <c r="O274" s="10">
        <f>INDEX([1]ratio_ins!M:M,MATCH('001_population_health_zone_zs'!$B$2,[1]ratio_ins!$B:$B,0))*$G274*INDEX([1]ratio_ins!$C:$C,MATCH('001_population_health_zone_zs'!$B274,[1]ratio_ins!$B:$B,0))</f>
        <v>15233.239224000003</v>
      </c>
      <c r="P274" s="10">
        <f>INDEX([1]ratio_ins!N:N,MATCH('001_population_health_zone_zs'!$B$2,[1]ratio_ins!$B:$B,0))*$G274*INDEX([1]ratio_ins!$C:$C,MATCH('001_population_health_zone_zs'!$B274,[1]ratio_ins!$B:$B,0))</f>
        <v>13752.229855000001</v>
      </c>
      <c r="Q274" s="10">
        <f>INDEX([1]ratio_ins!O:O,MATCH('001_population_health_zone_zs'!$B$2,[1]ratio_ins!$B:$B,0))*$G274*INDEX([1]ratio_ins!$C:$C,MATCH('001_population_health_zone_zs'!$B274,[1]ratio_ins!$B:$B,0))</f>
        <v>12271.220486</v>
      </c>
      <c r="R274" s="10">
        <f>INDEX([1]ratio_ins!P:P,MATCH('001_population_health_zone_zs'!$B$2,[1]ratio_ins!$B:$B,0))*$G274*INDEX([1]ratio_ins!$C:$C,MATCH('001_population_health_zone_zs'!$B274,[1]ratio_ins!$B:$B,0))</f>
        <v>12059.647719000002</v>
      </c>
      <c r="S274" s="10">
        <f>INDEX([1]ratio_ins!Q:Q,MATCH('001_population_health_zone_zs'!$B$2,[1]ratio_ins!$B:$B,0))*$G274*INDEX([1]ratio_ins!$C:$C,MATCH('001_population_health_zone_zs'!$B274,[1]ratio_ins!$B:$B,0))</f>
        <v>10155.492816000002</v>
      </c>
      <c r="T274" s="10">
        <f>INDEX([1]ratio_ins!R:R,MATCH('001_population_health_zone_zs'!$B$2,[1]ratio_ins!$B:$B,0))*$G274*INDEX([1]ratio_ins!$C:$C,MATCH('001_population_health_zone_zs'!$B274,[1]ratio_ins!$B:$B,0))</f>
        <v>7193.4740780000011</v>
      </c>
      <c r="U274" s="10">
        <f>INDEX([1]ratio_ins!S:S,MATCH('001_population_health_zone_zs'!$B$2,[1]ratio_ins!$B:$B,0))*$G274*INDEX([1]ratio_ins!$C:$C,MATCH('001_population_health_zone_zs'!$B274,[1]ratio_ins!$B:$B,0))</f>
        <v>5712.4647090000008</v>
      </c>
      <c r="V274" s="10">
        <f>INDEX([1]ratio_ins!T:T,MATCH('001_population_health_zone_zs'!$B$2,[1]ratio_ins!$B:$B,0))*$G274*INDEX([1]ratio_ins!$C:$C,MATCH('001_population_health_zone_zs'!$B274,[1]ratio_ins!$B:$B,0))</f>
        <v>3173.5915050000003</v>
      </c>
      <c r="W274" s="11">
        <f>INDEX([1]ratio_ins!U:U,MATCH('001_population_health_zone_zs'!$B$2,[1]ratio_ins!$B:$B,0))*$G274*INDEX([1]ratio_ins!$C:$C,MATCH('001_population_health_zone_zs'!$B274,[1]ratio_ins!$B:$B,0))</f>
        <v>86575.576256400003</v>
      </c>
      <c r="X274" s="10">
        <f>INDEX([1]ratio_ins!V:V,MATCH('001_population_health_zone_zs'!$B$2,[1]ratio_ins!$B:$B,0))*$G274*INDEX([1]ratio_ins!$C:$C,MATCH('001_population_health_zone_zs'!$B274,[1]ratio_ins!$B:$B,0))</f>
        <v>2538.8732040000004</v>
      </c>
      <c r="Y274" s="10">
        <f>INDEX([1]ratio_ins!W:W,MATCH('001_population_health_zone_zs'!$B$2,[1]ratio_ins!$B:$B,0))*$G274*INDEX([1]ratio_ins!$C:$C,MATCH('001_population_health_zone_zs'!$B274,[1]ratio_ins!$B:$B,0))</f>
        <v>1692.5821360000002</v>
      </c>
      <c r="Z274" s="10">
        <f>INDEX([1]ratio_ins!X:X,MATCH('001_population_health_zone_zs'!$B$2,[1]ratio_ins!$B:$B,0))*$G274*INDEX([1]ratio_ins!$C:$C,MATCH('001_population_health_zone_zs'!$B274,[1]ratio_ins!$B:$B,0))</f>
        <v>846.29106800000011</v>
      </c>
      <c r="AA274" s="10">
        <f>INDEX([1]ratio_ins!Y:Y,MATCH('001_population_health_zone_zs'!$B$2,[1]ratio_ins!$B:$B,0))*$G274*INDEX([1]ratio_ins!$C:$C,MATCH('001_population_health_zone_zs'!$B274,[1]ratio_ins!$B:$B,0))</f>
        <v>423.14553400000005</v>
      </c>
      <c r="AB274" s="11">
        <f>INDEX([1]ratio_ins!Z:Z,MATCH('001_population_health_zone_zs'!$B$2,[1]ratio_ins!$B:$B,0))*$G274*INDEX([1]ratio_ins!$C:$C,MATCH('001_population_health_zone_zs'!$B274,[1]ratio_ins!$B:$B,0))</f>
        <v>5500.8919420000011</v>
      </c>
      <c r="AC274" s="12">
        <f t="shared" si="24"/>
        <v>211572.76699999999</v>
      </c>
      <c r="AD274" s="10">
        <f>INDEX([1]ratio_ins!AA:AA,MATCH('001_population_health_zone_zs'!$B$2,[1]ratio_ins!$B:$B,0))*$G274*INDEX([1]ratio_ins!$D:$D,MATCH('001_population_health_zone_zs'!$B274,[1]ratio_ins!$B:$B,0))</f>
        <v>46802.328930000003</v>
      </c>
      <c r="AE274" s="10">
        <f>INDEX([1]ratio_ins!AB:AB,MATCH('001_population_health_zone_zs'!$B$2,[1]ratio_ins!$B:$B,0))*$G274*INDEX([1]ratio_ins!$D:$D,MATCH('001_population_health_zone_zs'!$B274,[1]ratio_ins!$B:$B,0))</f>
        <v>38556.204309000001</v>
      </c>
      <c r="AF274" s="10">
        <f>INDEX([1]ratio_ins!AC:AC,MATCH('001_population_health_zone_zs'!$B$2,[1]ratio_ins!$B:$B,0))*$G274*INDEX([1]ratio_ins!$D:$D,MATCH('001_population_health_zone_zs'!$B274,[1]ratio_ins!$B:$B,0))</f>
        <v>30532.947920999999</v>
      </c>
      <c r="AG274" s="10">
        <f>INDEX([1]ratio_ins!AD:AD,MATCH('001_population_health_zone_zs'!$B$2,[1]ratio_ins!$B:$B,0))*$G274*INDEX([1]ratio_ins!$D:$D,MATCH('001_population_health_zone_zs'!$B274,[1]ratio_ins!$B:$B,0))</f>
        <v>18498.063339</v>
      </c>
      <c r="AH274" s="10">
        <f>INDEX([1]ratio_ins!AE:AE,MATCH('001_population_health_zone_zs'!$B$2,[1]ratio_ins!$B:$B,0))*$G274*INDEX([1]ratio_ins!$D:$D,MATCH('001_population_health_zone_zs'!$B274,[1]ratio_ins!$B:$B,0))</f>
        <v>11098.838003399998</v>
      </c>
      <c r="AI274" s="13">
        <f>INDEX([1]ratio_ins!AF:AF,MATCH('001_population_health_zone_zs'!$B$2,[1]ratio_ins!$B:$B,0))*$G274*INDEX([1]ratio_ins!$D:$D,MATCH('001_population_health_zone_zs'!$B274,[1]ratio_ins!$B:$B,0))</f>
        <v>126990.3191634</v>
      </c>
      <c r="AJ274" s="10">
        <f>INDEX([1]ratio_ins!AG:AG,MATCH('001_population_health_zone_zs'!$B$2,[1]ratio_ins!$B:$B,0))*$G274*INDEX([1]ratio_ins!$D:$D,MATCH('001_population_health_zone_zs'!$B274,[1]ratio_ins!$B:$B,0))</f>
        <v>7399.2253356000001</v>
      </c>
      <c r="AK274" s="10">
        <f>INDEX([1]ratio_ins!AH:AH,MATCH('001_population_health_zone_zs'!$B$2,[1]ratio_ins!$B:$B,0))*$G274*INDEX([1]ratio_ins!$D:$D,MATCH('001_population_health_zone_zs'!$B274,[1]ratio_ins!$B:$B,0))</f>
        <v>16492.249242000002</v>
      </c>
      <c r="AL274" s="10">
        <f>INDEX([1]ratio_ins!AI:AI,MATCH('001_population_health_zone_zs'!$B$2,[1]ratio_ins!$B:$B,0))*$G274*INDEX([1]ratio_ins!$D:$D,MATCH('001_population_health_zone_zs'!$B274,[1]ratio_ins!$B:$B,0))</f>
        <v>15600.776310000001</v>
      </c>
      <c r="AM274" s="10">
        <f>INDEX([1]ratio_ins!AJ:AJ,MATCH('001_population_health_zone_zs'!$B$2,[1]ratio_ins!$B:$B,0))*$G274*INDEX([1]ratio_ins!$D:$D,MATCH('001_population_health_zone_zs'!$B274,[1]ratio_ins!$B:$B,0))</f>
        <v>14263.566912000002</v>
      </c>
      <c r="AN274" s="10">
        <f>INDEX([1]ratio_ins!AK:AK,MATCH('001_population_health_zone_zs'!$B$2,[1]ratio_ins!$B:$B,0))*$G274*INDEX([1]ratio_ins!$D:$D,MATCH('001_population_health_zone_zs'!$B274,[1]ratio_ins!$B:$B,0))</f>
        <v>13372.09398</v>
      </c>
      <c r="AO274" s="10">
        <f>INDEX([1]ratio_ins!AL:AL,MATCH('001_population_health_zone_zs'!$B$2,[1]ratio_ins!$B:$B,0))*$G274*INDEX([1]ratio_ins!$D:$D,MATCH('001_population_health_zone_zs'!$B274,[1]ratio_ins!$B:$B,0))</f>
        <v>10029.070484999998</v>
      </c>
      <c r="AP274" s="10">
        <f>INDEX([1]ratio_ins!AM:AM,MATCH('001_population_health_zone_zs'!$B$2,[1]ratio_ins!$B:$B,0))*$G274*INDEX([1]ratio_ins!$D:$D,MATCH('001_population_health_zone_zs'!$B274,[1]ratio_ins!$B:$B,0))</f>
        <v>6463.1787569999997</v>
      </c>
      <c r="AQ274" s="10">
        <f>INDEX([1]ratio_ins!AN:AN,MATCH('001_population_health_zone_zs'!$B$2,[1]ratio_ins!$B:$B,0))*$G274*INDEX([1]ratio_ins!$D:$D,MATCH('001_population_health_zone_zs'!$B274,[1]ratio_ins!$B:$B,0))</f>
        <v>5125.9693589999997</v>
      </c>
      <c r="AR274" s="10">
        <f>INDEX([1]ratio_ins!AO:AO,MATCH('001_population_health_zone_zs'!$B$2,[1]ratio_ins!$B:$B,0))*$G274*INDEX([1]ratio_ins!$D:$D,MATCH('001_population_health_zone_zs'!$B274,[1]ratio_ins!$B:$B,0))</f>
        <v>2451.5505630000002</v>
      </c>
      <c r="AS274" s="13">
        <f>INDEX([1]ratio_ins!AP:AP,MATCH('001_population_health_zone_zs'!$B$2,[1]ratio_ins!$B:$B,0))*$G274*INDEX([1]ratio_ins!$D:$D,MATCH('001_population_health_zone_zs'!$B274,[1]ratio_ins!$B:$B,0))</f>
        <v>91197.680943600004</v>
      </c>
      <c r="AT274" s="10">
        <f>INDEX([1]ratio_ins!AQ:AQ,MATCH('001_population_health_zone_zs'!$B$2,[1]ratio_ins!$B:$B,0))*$G274*INDEX([1]ratio_ins!$D:$D,MATCH('001_population_health_zone_zs'!$B274,[1]ratio_ins!$B:$B,0))</f>
        <v>2228.6823300000001</v>
      </c>
      <c r="AU274" s="10">
        <f>INDEX([1]ratio_ins!AR:AR,MATCH('001_population_health_zone_zs'!$B$2,[1]ratio_ins!$B:$B,0))*$G274*INDEX([1]ratio_ins!$D:$D,MATCH('001_population_health_zone_zs'!$B274,[1]ratio_ins!$B:$B,0))</f>
        <v>1337.2093980000002</v>
      </c>
      <c r="AV274" s="10">
        <f>INDEX([1]ratio_ins!AS:AS,MATCH('001_population_health_zone_zs'!$B$2,[1]ratio_ins!$B:$B,0))*$G274*INDEX([1]ratio_ins!$D:$D,MATCH('001_population_health_zone_zs'!$B274,[1]ratio_ins!$B:$B,0))</f>
        <v>668.6046990000001</v>
      </c>
      <c r="AW274" s="10">
        <f>INDEX([1]ratio_ins!AT:AT,MATCH('001_population_health_zone_zs'!$B$2,[1]ratio_ins!$B:$B,0))*$G274*INDEX([1]ratio_ins!$D:$D,MATCH('001_population_health_zone_zs'!$B274,[1]ratio_ins!$B:$B,0))</f>
        <v>445.73646600000006</v>
      </c>
      <c r="AX274" s="13">
        <f>INDEX([1]ratio_ins!AU:AU,MATCH('001_population_health_zone_zs'!$B$2,[1]ratio_ins!$B:$B,0))*$G274*INDEX([1]ratio_ins!$D:$D,MATCH('001_population_health_zone_zs'!$B274,[1]ratio_ins!$B:$B,0))</f>
        <v>4680.2328929999994</v>
      </c>
      <c r="AY274" s="14">
        <f t="shared" si="25"/>
        <v>222868.23300000001</v>
      </c>
      <c r="AZ274" s="15">
        <f t="shared" si="26"/>
        <v>434441</v>
      </c>
      <c r="BA274" s="16">
        <v>416831.70922645467</v>
      </c>
      <c r="BB274" s="10">
        <f t="shared" si="27"/>
        <v>94718.999025000012</v>
      </c>
      <c r="BC274" s="17">
        <f t="shared" si="28"/>
        <v>0.21802500000000002</v>
      </c>
      <c r="BD274" s="10">
        <f t="shared" si="29"/>
        <v>88225.843839000008</v>
      </c>
    </row>
    <row r="275" spans="1:56" x14ac:dyDescent="0.25">
      <c r="A275" s="8" t="s">
        <v>671</v>
      </c>
      <c r="B275" s="8" t="s">
        <v>672</v>
      </c>
      <c r="C275" s="8" t="s">
        <v>681</v>
      </c>
      <c r="D275" s="8" t="s">
        <v>682</v>
      </c>
      <c r="E275" s="8" t="s">
        <v>683</v>
      </c>
      <c r="F275" s="8" t="s">
        <v>684</v>
      </c>
      <c r="G275" s="9">
        <v>634495</v>
      </c>
      <c r="H275" s="10">
        <f>INDEX([1]ratio_ins!F:F,MATCH('001_population_health_zone_zs'!$B$2,[1]ratio_ins!$B:$B,0))*$G275*INDEX([1]ratio_ins!$C:$C,MATCH('001_population_health_zone_zs'!$B275,[1]ratio_ins!$B:$B,0))</f>
        <v>64580.804584999998</v>
      </c>
      <c r="I275" s="10">
        <f>INDEX([1]ratio_ins!G:G,MATCH('001_population_health_zone_zs'!$B$2,[1]ratio_ins!$B:$B,0))*$G275*INDEX([1]ratio_ins!$C:$C,MATCH('001_population_health_zone_zs'!$B275,[1]ratio_ins!$B:$B,0))</f>
        <v>52838.840115000006</v>
      </c>
      <c r="J275" s="10">
        <f>INDEX([1]ratio_ins!H:H,MATCH('001_population_health_zone_zs'!$B$2,[1]ratio_ins!$B:$B,0))*$G275*INDEX([1]ratio_ins!$C:$C,MATCH('001_population_health_zone_zs'!$B275,[1]ratio_ins!$B:$B,0))</f>
        <v>41714.873775000007</v>
      </c>
      <c r="K275" s="10">
        <f>INDEX([1]ratio_ins!I:I,MATCH('001_population_health_zone_zs'!$B$2,[1]ratio_ins!$B:$B,0))*$G275*INDEX([1]ratio_ins!$C:$C,MATCH('001_population_health_zone_zs'!$B275,[1]ratio_ins!$B:$B,0))</f>
        <v>25646.922395000001</v>
      </c>
      <c r="L275" s="10">
        <f>INDEX([1]ratio_ins!J:J,MATCH('001_population_health_zone_zs'!$B$2,[1]ratio_ins!$B:$B,0))*$G275*INDEX([1]ratio_ins!$C:$C,MATCH('001_population_health_zone_zs'!$B275,[1]ratio_ins!$B:$B,0))</f>
        <v>15388.153437000001</v>
      </c>
      <c r="M275" s="11">
        <f>INDEX([1]ratio_ins!K:K,MATCH('001_population_health_zone_zs'!$B$2,[1]ratio_ins!$B:$B,0))*$G275*INDEX([1]ratio_ins!$C:$C,MATCH('001_population_health_zone_zs'!$B275,[1]ratio_ins!$B:$B,0))</f>
        <v>174522.67191199999</v>
      </c>
      <c r="N275" s="10">
        <f>INDEX([1]ratio_ins!L:L,MATCH('001_population_health_zone_zs'!$B$2,[1]ratio_ins!$B:$B,0))*$G275*INDEX([1]ratio_ins!$C:$C,MATCH('001_population_health_zone_zs'!$B275,[1]ratio_ins!$B:$B,0))</f>
        <v>10258.768958000001</v>
      </c>
      <c r="O275" s="10">
        <f>INDEX([1]ratio_ins!M:M,MATCH('001_population_health_zone_zs'!$B$2,[1]ratio_ins!$B:$B,0))*$G275*INDEX([1]ratio_ins!$C:$C,MATCH('001_population_health_zone_zs'!$B275,[1]ratio_ins!$B:$B,0))</f>
        <v>22247.932680000005</v>
      </c>
      <c r="P275" s="10">
        <f>INDEX([1]ratio_ins!N:N,MATCH('001_population_health_zone_zs'!$B$2,[1]ratio_ins!$B:$B,0))*$G275*INDEX([1]ratio_ins!$C:$C,MATCH('001_population_health_zone_zs'!$B275,[1]ratio_ins!$B:$B,0))</f>
        <v>20084.939225000002</v>
      </c>
      <c r="Q275" s="10">
        <f>INDEX([1]ratio_ins!O:O,MATCH('001_population_health_zone_zs'!$B$2,[1]ratio_ins!$B:$B,0))*$G275*INDEX([1]ratio_ins!$C:$C,MATCH('001_population_health_zone_zs'!$B275,[1]ratio_ins!$B:$B,0))</f>
        <v>17921.945770000002</v>
      </c>
      <c r="R275" s="10">
        <f>INDEX([1]ratio_ins!P:P,MATCH('001_population_health_zone_zs'!$B$2,[1]ratio_ins!$B:$B,0))*$G275*INDEX([1]ratio_ins!$C:$C,MATCH('001_population_health_zone_zs'!$B275,[1]ratio_ins!$B:$B,0))</f>
        <v>17612.946705000002</v>
      </c>
      <c r="S275" s="10">
        <f>INDEX([1]ratio_ins!Q:Q,MATCH('001_population_health_zone_zs'!$B$2,[1]ratio_ins!$B:$B,0))*$G275*INDEX([1]ratio_ins!$C:$C,MATCH('001_population_health_zone_zs'!$B275,[1]ratio_ins!$B:$B,0))</f>
        <v>14831.955120000002</v>
      </c>
      <c r="T275" s="10">
        <f>INDEX([1]ratio_ins!R:R,MATCH('001_population_health_zone_zs'!$B$2,[1]ratio_ins!$B:$B,0))*$G275*INDEX([1]ratio_ins!$C:$C,MATCH('001_population_health_zone_zs'!$B275,[1]ratio_ins!$B:$B,0))</f>
        <v>10505.968210000001</v>
      </c>
      <c r="U275" s="10">
        <f>INDEX([1]ratio_ins!S:S,MATCH('001_population_health_zone_zs'!$B$2,[1]ratio_ins!$B:$B,0))*$G275*INDEX([1]ratio_ins!$C:$C,MATCH('001_population_health_zone_zs'!$B275,[1]ratio_ins!$B:$B,0))</f>
        <v>8342.9747550000011</v>
      </c>
      <c r="V275" s="10">
        <f>INDEX([1]ratio_ins!T:T,MATCH('001_population_health_zone_zs'!$B$2,[1]ratio_ins!$B:$B,0))*$G275*INDEX([1]ratio_ins!$C:$C,MATCH('001_population_health_zone_zs'!$B275,[1]ratio_ins!$B:$B,0))</f>
        <v>4634.9859750000005</v>
      </c>
      <c r="W275" s="11">
        <f>INDEX([1]ratio_ins!U:U,MATCH('001_population_health_zone_zs'!$B$2,[1]ratio_ins!$B:$B,0))*$G275*INDEX([1]ratio_ins!$C:$C,MATCH('001_population_health_zone_zs'!$B275,[1]ratio_ins!$B:$B,0))</f>
        <v>126442.41739800001</v>
      </c>
      <c r="X275" s="10">
        <f>INDEX([1]ratio_ins!V:V,MATCH('001_population_health_zone_zs'!$B$2,[1]ratio_ins!$B:$B,0))*$G275*INDEX([1]ratio_ins!$C:$C,MATCH('001_population_health_zone_zs'!$B275,[1]ratio_ins!$B:$B,0))</f>
        <v>3707.9887800000006</v>
      </c>
      <c r="Y275" s="10">
        <f>INDEX([1]ratio_ins!W:W,MATCH('001_population_health_zone_zs'!$B$2,[1]ratio_ins!$B:$B,0))*$G275*INDEX([1]ratio_ins!$C:$C,MATCH('001_population_health_zone_zs'!$B275,[1]ratio_ins!$B:$B,0))</f>
        <v>2471.9925200000002</v>
      </c>
      <c r="Z275" s="10">
        <f>INDEX([1]ratio_ins!X:X,MATCH('001_population_health_zone_zs'!$B$2,[1]ratio_ins!$B:$B,0))*$G275*INDEX([1]ratio_ins!$C:$C,MATCH('001_population_health_zone_zs'!$B275,[1]ratio_ins!$B:$B,0))</f>
        <v>1235.9962600000001</v>
      </c>
      <c r="AA275" s="10">
        <f>INDEX([1]ratio_ins!Y:Y,MATCH('001_population_health_zone_zs'!$B$2,[1]ratio_ins!$B:$B,0))*$G275*INDEX([1]ratio_ins!$C:$C,MATCH('001_population_health_zone_zs'!$B275,[1]ratio_ins!$B:$B,0))</f>
        <v>617.99813000000006</v>
      </c>
      <c r="AB275" s="11">
        <f>INDEX([1]ratio_ins!Z:Z,MATCH('001_population_health_zone_zs'!$B$2,[1]ratio_ins!$B:$B,0))*$G275*INDEX([1]ratio_ins!$C:$C,MATCH('001_population_health_zone_zs'!$B275,[1]ratio_ins!$B:$B,0))</f>
        <v>8033.975690000002</v>
      </c>
      <c r="AC275" s="12">
        <f t="shared" si="24"/>
        <v>308999.065</v>
      </c>
      <c r="AD275" s="10">
        <f>INDEX([1]ratio_ins!AA:AA,MATCH('001_population_health_zone_zs'!$B$2,[1]ratio_ins!$B:$B,0))*$G275*INDEX([1]ratio_ins!$D:$D,MATCH('001_population_health_zone_zs'!$B275,[1]ratio_ins!$B:$B,0))</f>
        <v>68354.146349999995</v>
      </c>
      <c r="AE275" s="10">
        <f>INDEX([1]ratio_ins!AB:AB,MATCH('001_population_health_zone_zs'!$B$2,[1]ratio_ins!$B:$B,0))*$G275*INDEX([1]ratio_ins!$D:$D,MATCH('001_population_health_zone_zs'!$B275,[1]ratio_ins!$B:$B,0))</f>
        <v>56310.796755000003</v>
      </c>
      <c r="AF275" s="10">
        <f>INDEX([1]ratio_ins!AC:AC,MATCH('001_population_health_zone_zs'!$B$2,[1]ratio_ins!$B:$B,0))*$G275*INDEX([1]ratio_ins!$D:$D,MATCH('001_population_health_zone_zs'!$B275,[1]ratio_ins!$B:$B,0))</f>
        <v>44592.943094999995</v>
      </c>
      <c r="AG275" s="10">
        <f>INDEX([1]ratio_ins!AD:AD,MATCH('001_population_health_zone_zs'!$B$2,[1]ratio_ins!$B:$B,0))*$G275*INDEX([1]ratio_ins!$D:$D,MATCH('001_population_health_zone_zs'!$B275,[1]ratio_ins!$B:$B,0))</f>
        <v>27016.162605000001</v>
      </c>
      <c r="AH275" s="10">
        <f>INDEX([1]ratio_ins!AE:AE,MATCH('001_population_health_zone_zs'!$B$2,[1]ratio_ins!$B:$B,0))*$G275*INDEX([1]ratio_ins!$D:$D,MATCH('001_population_health_zone_zs'!$B275,[1]ratio_ins!$B:$B,0))</f>
        <v>16209.697563</v>
      </c>
      <c r="AI275" s="13">
        <f>INDEX([1]ratio_ins!AF:AF,MATCH('001_population_health_zone_zs'!$B$2,[1]ratio_ins!$B:$B,0))*$G275*INDEX([1]ratio_ins!$D:$D,MATCH('001_population_health_zone_zs'!$B275,[1]ratio_ins!$B:$B,0))</f>
        <v>185467.583763</v>
      </c>
      <c r="AJ275" s="10">
        <f>INDEX([1]ratio_ins!AG:AG,MATCH('001_population_health_zone_zs'!$B$2,[1]ratio_ins!$B:$B,0))*$G275*INDEX([1]ratio_ins!$D:$D,MATCH('001_population_health_zone_zs'!$B275,[1]ratio_ins!$B:$B,0))</f>
        <v>10806.465042</v>
      </c>
      <c r="AK275" s="10">
        <f>INDEX([1]ratio_ins!AH:AH,MATCH('001_population_health_zone_zs'!$B$2,[1]ratio_ins!$B:$B,0))*$G275*INDEX([1]ratio_ins!$D:$D,MATCH('001_population_health_zone_zs'!$B275,[1]ratio_ins!$B:$B,0))</f>
        <v>24086.699190000003</v>
      </c>
      <c r="AL275" s="10">
        <f>INDEX([1]ratio_ins!AI:AI,MATCH('001_population_health_zone_zs'!$B$2,[1]ratio_ins!$B:$B,0))*$G275*INDEX([1]ratio_ins!$D:$D,MATCH('001_population_health_zone_zs'!$B275,[1]ratio_ins!$B:$B,0))</f>
        <v>22784.71545</v>
      </c>
      <c r="AM275" s="10">
        <f>INDEX([1]ratio_ins!AJ:AJ,MATCH('001_population_health_zone_zs'!$B$2,[1]ratio_ins!$B:$B,0))*$G275*INDEX([1]ratio_ins!$D:$D,MATCH('001_population_health_zone_zs'!$B275,[1]ratio_ins!$B:$B,0))</f>
        <v>20831.739840000002</v>
      </c>
      <c r="AN275" s="10">
        <f>INDEX([1]ratio_ins!AK:AK,MATCH('001_population_health_zone_zs'!$B$2,[1]ratio_ins!$B:$B,0))*$G275*INDEX([1]ratio_ins!$D:$D,MATCH('001_population_health_zone_zs'!$B275,[1]ratio_ins!$B:$B,0))</f>
        <v>19529.756099999999</v>
      </c>
      <c r="AO275" s="10">
        <f>INDEX([1]ratio_ins!AL:AL,MATCH('001_population_health_zone_zs'!$B$2,[1]ratio_ins!$B:$B,0))*$G275*INDEX([1]ratio_ins!$D:$D,MATCH('001_population_health_zone_zs'!$B275,[1]ratio_ins!$B:$B,0))</f>
        <v>14647.317074999999</v>
      </c>
      <c r="AP275" s="10">
        <f>INDEX([1]ratio_ins!AM:AM,MATCH('001_population_health_zone_zs'!$B$2,[1]ratio_ins!$B:$B,0))*$G275*INDEX([1]ratio_ins!$D:$D,MATCH('001_population_health_zone_zs'!$B275,[1]ratio_ins!$B:$B,0))</f>
        <v>9439.3821150000003</v>
      </c>
      <c r="AQ275" s="10">
        <f>INDEX([1]ratio_ins!AN:AN,MATCH('001_population_health_zone_zs'!$B$2,[1]ratio_ins!$B:$B,0))*$G275*INDEX([1]ratio_ins!$D:$D,MATCH('001_population_health_zone_zs'!$B275,[1]ratio_ins!$B:$B,0))</f>
        <v>7486.4065049999999</v>
      </c>
      <c r="AR275" s="10">
        <f>INDEX([1]ratio_ins!AO:AO,MATCH('001_population_health_zone_zs'!$B$2,[1]ratio_ins!$B:$B,0))*$G275*INDEX([1]ratio_ins!$D:$D,MATCH('001_population_health_zone_zs'!$B275,[1]ratio_ins!$B:$B,0))</f>
        <v>3580.4552850000005</v>
      </c>
      <c r="AS275" s="13">
        <f>INDEX([1]ratio_ins!AP:AP,MATCH('001_population_health_zone_zs'!$B$2,[1]ratio_ins!$B:$B,0))*$G275*INDEX([1]ratio_ins!$D:$D,MATCH('001_population_health_zone_zs'!$B275,[1]ratio_ins!$B:$B,0))</f>
        <v>133192.936602</v>
      </c>
      <c r="AT275" s="10">
        <f>INDEX([1]ratio_ins!AQ:AQ,MATCH('001_population_health_zone_zs'!$B$2,[1]ratio_ins!$B:$B,0))*$G275*INDEX([1]ratio_ins!$D:$D,MATCH('001_population_health_zone_zs'!$B275,[1]ratio_ins!$B:$B,0))</f>
        <v>3254.9593500000001</v>
      </c>
      <c r="AU275" s="10">
        <f>INDEX([1]ratio_ins!AR:AR,MATCH('001_population_health_zone_zs'!$B$2,[1]ratio_ins!$B:$B,0))*$G275*INDEX([1]ratio_ins!$D:$D,MATCH('001_population_health_zone_zs'!$B275,[1]ratio_ins!$B:$B,0))</f>
        <v>1952.9756100000002</v>
      </c>
      <c r="AV275" s="10">
        <f>INDEX([1]ratio_ins!AS:AS,MATCH('001_population_health_zone_zs'!$B$2,[1]ratio_ins!$B:$B,0))*$G275*INDEX([1]ratio_ins!$D:$D,MATCH('001_population_health_zone_zs'!$B275,[1]ratio_ins!$B:$B,0))</f>
        <v>976.48780500000009</v>
      </c>
      <c r="AW275" s="10">
        <f>INDEX([1]ratio_ins!AT:AT,MATCH('001_population_health_zone_zs'!$B$2,[1]ratio_ins!$B:$B,0))*$G275*INDEX([1]ratio_ins!$D:$D,MATCH('001_population_health_zone_zs'!$B275,[1]ratio_ins!$B:$B,0))</f>
        <v>650.99187000000006</v>
      </c>
      <c r="AX275" s="13">
        <f>INDEX([1]ratio_ins!AU:AU,MATCH('001_population_health_zone_zs'!$B$2,[1]ratio_ins!$B:$B,0))*$G275*INDEX([1]ratio_ins!$D:$D,MATCH('001_population_health_zone_zs'!$B275,[1]ratio_ins!$B:$B,0))</f>
        <v>6835.4146349999992</v>
      </c>
      <c r="AY275" s="14">
        <f t="shared" si="25"/>
        <v>325495.935</v>
      </c>
      <c r="AZ275" s="15">
        <f t="shared" si="26"/>
        <v>634495</v>
      </c>
      <c r="BA275" s="16">
        <v>608776.3226313421</v>
      </c>
      <c r="BB275" s="10">
        <f t="shared" si="27"/>
        <v>138335.772375</v>
      </c>
      <c r="BC275" s="17">
        <f t="shared" si="28"/>
        <v>0.218025</v>
      </c>
      <c r="BD275" s="10">
        <f t="shared" si="29"/>
        <v>128852.61010500001</v>
      </c>
    </row>
    <row r="276" spans="1:56" x14ac:dyDescent="0.25">
      <c r="A276" s="8" t="s">
        <v>671</v>
      </c>
      <c r="B276" s="8" t="s">
        <v>672</v>
      </c>
      <c r="C276" s="8" t="s">
        <v>681</v>
      </c>
      <c r="D276" s="8" t="s">
        <v>682</v>
      </c>
      <c r="E276" s="8" t="s">
        <v>685</v>
      </c>
      <c r="F276" s="8" t="s">
        <v>686</v>
      </c>
      <c r="G276" s="9">
        <v>439622</v>
      </c>
      <c r="H276" s="10">
        <f>INDEX([1]ratio_ins!F:F,MATCH('001_population_health_zone_zs'!$B$2,[1]ratio_ins!$B:$B,0))*$G276*INDEX([1]ratio_ins!$C:$C,MATCH('001_population_health_zone_zs'!$B276,[1]ratio_ins!$B:$B,0))</f>
        <v>44746.046026000004</v>
      </c>
      <c r="I276" s="10">
        <f>INDEX([1]ratio_ins!G:G,MATCH('001_population_health_zone_zs'!$B$2,[1]ratio_ins!$B:$B,0))*$G276*INDEX([1]ratio_ins!$C:$C,MATCH('001_population_health_zone_zs'!$B276,[1]ratio_ins!$B:$B,0))</f>
        <v>36610.40129400001</v>
      </c>
      <c r="J276" s="10">
        <f>INDEX([1]ratio_ins!H:H,MATCH('001_population_health_zone_zs'!$B$2,[1]ratio_ins!$B:$B,0))*$G276*INDEX([1]ratio_ins!$C:$C,MATCH('001_population_health_zone_zs'!$B276,[1]ratio_ins!$B:$B,0))</f>
        <v>28902.948390000001</v>
      </c>
      <c r="K276" s="10">
        <f>INDEX([1]ratio_ins!I:I,MATCH('001_population_health_zone_zs'!$B$2,[1]ratio_ins!$B:$B,0))*$G276*INDEX([1]ratio_ins!$C:$C,MATCH('001_population_health_zone_zs'!$B276,[1]ratio_ins!$B:$B,0))</f>
        <v>17769.960862000004</v>
      </c>
      <c r="L276" s="10">
        <f>INDEX([1]ratio_ins!J:J,MATCH('001_population_health_zone_zs'!$B$2,[1]ratio_ins!$B:$B,0))*$G276*INDEX([1]ratio_ins!$C:$C,MATCH('001_population_health_zone_zs'!$B276,[1]ratio_ins!$B:$B,0))</f>
        <v>10661.976517200001</v>
      </c>
      <c r="M276" s="11">
        <f>INDEX([1]ratio_ins!K:K,MATCH('001_population_health_zone_zs'!$B$2,[1]ratio_ins!$B:$B,0))*$G276*INDEX([1]ratio_ins!$C:$C,MATCH('001_population_health_zone_zs'!$B276,[1]ratio_ins!$B:$B,0))</f>
        <v>120921.3722272</v>
      </c>
      <c r="N276" s="10">
        <f>INDEX([1]ratio_ins!L:L,MATCH('001_population_health_zone_zs'!$B$2,[1]ratio_ins!$B:$B,0))*$G276*INDEX([1]ratio_ins!$C:$C,MATCH('001_population_health_zone_zs'!$B276,[1]ratio_ins!$B:$B,0))</f>
        <v>7107.9843448000001</v>
      </c>
      <c r="O276" s="10">
        <f>INDEX([1]ratio_ins!M:M,MATCH('001_population_health_zone_zs'!$B$2,[1]ratio_ins!$B:$B,0))*$G276*INDEX([1]ratio_ins!$C:$C,MATCH('001_population_health_zone_zs'!$B276,[1]ratio_ins!$B:$B,0))</f>
        <v>15414.905808000003</v>
      </c>
      <c r="P276" s="10">
        <f>INDEX([1]ratio_ins!N:N,MATCH('001_population_health_zone_zs'!$B$2,[1]ratio_ins!$B:$B,0))*$G276*INDEX([1]ratio_ins!$C:$C,MATCH('001_population_health_zone_zs'!$B276,[1]ratio_ins!$B:$B,0))</f>
        <v>13916.234410000001</v>
      </c>
      <c r="Q276" s="10">
        <f>INDEX([1]ratio_ins!O:O,MATCH('001_population_health_zone_zs'!$B$2,[1]ratio_ins!$B:$B,0))*$G276*INDEX([1]ratio_ins!$C:$C,MATCH('001_population_health_zone_zs'!$B276,[1]ratio_ins!$B:$B,0))</f>
        <v>12417.563012000001</v>
      </c>
      <c r="R276" s="10">
        <f>INDEX([1]ratio_ins!P:P,MATCH('001_population_health_zone_zs'!$B$2,[1]ratio_ins!$B:$B,0))*$G276*INDEX([1]ratio_ins!$C:$C,MATCH('001_population_health_zone_zs'!$B276,[1]ratio_ins!$B:$B,0))</f>
        <v>12203.467098000001</v>
      </c>
      <c r="S276" s="10">
        <f>INDEX([1]ratio_ins!Q:Q,MATCH('001_population_health_zone_zs'!$B$2,[1]ratio_ins!$B:$B,0))*$G276*INDEX([1]ratio_ins!$C:$C,MATCH('001_population_health_zone_zs'!$B276,[1]ratio_ins!$B:$B,0))</f>
        <v>10276.603872000002</v>
      </c>
      <c r="T276" s="10">
        <f>INDEX([1]ratio_ins!R:R,MATCH('001_population_health_zone_zs'!$B$2,[1]ratio_ins!$B:$B,0))*$G276*INDEX([1]ratio_ins!$C:$C,MATCH('001_population_health_zone_zs'!$B276,[1]ratio_ins!$B:$B,0))</f>
        <v>7279.2610760000016</v>
      </c>
      <c r="U276" s="10">
        <f>INDEX([1]ratio_ins!S:S,MATCH('001_population_health_zone_zs'!$B$2,[1]ratio_ins!$B:$B,0))*$G276*INDEX([1]ratio_ins!$C:$C,MATCH('001_population_health_zone_zs'!$B276,[1]ratio_ins!$B:$B,0))</f>
        <v>5780.5896780000012</v>
      </c>
      <c r="V276" s="10">
        <f>INDEX([1]ratio_ins!T:T,MATCH('001_population_health_zone_zs'!$B$2,[1]ratio_ins!$B:$B,0))*$G276*INDEX([1]ratio_ins!$C:$C,MATCH('001_population_health_zone_zs'!$B276,[1]ratio_ins!$B:$B,0))</f>
        <v>3211.4387100000004</v>
      </c>
      <c r="W276" s="11">
        <f>INDEX([1]ratio_ins!U:U,MATCH('001_population_health_zone_zs'!$B$2,[1]ratio_ins!$B:$B,0))*$G276*INDEX([1]ratio_ins!$C:$C,MATCH('001_population_health_zone_zs'!$B276,[1]ratio_ins!$B:$B,0))</f>
        <v>87608.048008800004</v>
      </c>
      <c r="X276" s="10">
        <f>INDEX([1]ratio_ins!V:V,MATCH('001_population_health_zone_zs'!$B$2,[1]ratio_ins!$B:$B,0))*$G276*INDEX([1]ratio_ins!$C:$C,MATCH('001_population_health_zone_zs'!$B276,[1]ratio_ins!$B:$B,0))</f>
        <v>2569.1509680000004</v>
      </c>
      <c r="Y276" s="10">
        <f>INDEX([1]ratio_ins!W:W,MATCH('001_population_health_zone_zs'!$B$2,[1]ratio_ins!$B:$B,0))*$G276*INDEX([1]ratio_ins!$C:$C,MATCH('001_population_health_zone_zs'!$B276,[1]ratio_ins!$B:$B,0))</f>
        <v>1712.7673120000002</v>
      </c>
      <c r="Z276" s="10">
        <f>INDEX([1]ratio_ins!X:X,MATCH('001_population_health_zone_zs'!$B$2,[1]ratio_ins!$B:$B,0))*$G276*INDEX([1]ratio_ins!$C:$C,MATCH('001_population_health_zone_zs'!$B276,[1]ratio_ins!$B:$B,0))</f>
        <v>856.38365600000009</v>
      </c>
      <c r="AA276" s="10">
        <f>INDEX([1]ratio_ins!Y:Y,MATCH('001_population_health_zone_zs'!$B$2,[1]ratio_ins!$B:$B,0))*$G276*INDEX([1]ratio_ins!$C:$C,MATCH('001_population_health_zone_zs'!$B276,[1]ratio_ins!$B:$B,0))</f>
        <v>428.19182800000004</v>
      </c>
      <c r="AB276" s="11">
        <f>INDEX([1]ratio_ins!Z:Z,MATCH('001_population_health_zone_zs'!$B$2,[1]ratio_ins!$B:$B,0))*$G276*INDEX([1]ratio_ins!$C:$C,MATCH('001_population_health_zone_zs'!$B276,[1]ratio_ins!$B:$B,0))</f>
        <v>5566.4937640000007</v>
      </c>
      <c r="AC276" s="12">
        <f t="shared" si="24"/>
        <v>214095.91400000002</v>
      </c>
      <c r="AD276" s="10">
        <f>INDEX([1]ratio_ins!AA:AA,MATCH('001_population_health_zone_zs'!$B$2,[1]ratio_ins!$B:$B,0))*$G276*INDEX([1]ratio_ins!$D:$D,MATCH('001_population_health_zone_zs'!$B276,[1]ratio_ins!$B:$B,0))</f>
        <v>47360.478060000001</v>
      </c>
      <c r="AE276" s="10">
        <f>INDEX([1]ratio_ins!AB:AB,MATCH('001_population_health_zone_zs'!$B$2,[1]ratio_ins!$B:$B,0))*$G276*INDEX([1]ratio_ins!$D:$D,MATCH('001_population_health_zone_zs'!$B276,[1]ratio_ins!$B:$B,0))</f>
        <v>39016.012878000001</v>
      </c>
      <c r="AF276" s="10">
        <f>INDEX([1]ratio_ins!AC:AC,MATCH('001_population_health_zone_zs'!$B$2,[1]ratio_ins!$B:$B,0))*$G276*INDEX([1]ratio_ins!$D:$D,MATCH('001_population_health_zone_zs'!$B276,[1]ratio_ins!$B:$B,0))</f>
        <v>30897.073781999996</v>
      </c>
      <c r="AG276" s="10">
        <f>INDEX([1]ratio_ins!AD:AD,MATCH('001_population_health_zone_zs'!$B$2,[1]ratio_ins!$B:$B,0))*$G276*INDEX([1]ratio_ins!$D:$D,MATCH('001_population_health_zone_zs'!$B276,[1]ratio_ins!$B:$B,0))</f>
        <v>18718.665138000004</v>
      </c>
      <c r="AH276" s="10">
        <f>INDEX([1]ratio_ins!AE:AE,MATCH('001_population_health_zone_zs'!$B$2,[1]ratio_ins!$B:$B,0))*$G276*INDEX([1]ratio_ins!$D:$D,MATCH('001_population_health_zone_zs'!$B276,[1]ratio_ins!$B:$B,0))</f>
        <v>11231.1990828</v>
      </c>
      <c r="AI276" s="13">
        <f>INDEX([1]ratio_ins!AF:AF,MATCH('001_population_health_zone_zs'!$B$2,[1]ratio_ins!$B:$B,0))*$G276*INDEX([1]ratio_ins!$D:$D,MATCH('001_population_health_zone_zs'!$B276,[1]ratio_ins!$B:$B,0))</f>
        <v>128504.76380279999</v>
      </c>
      <c r="AJ276" s="10">
        <f>INDEX([1]ratio_ins!AG:AG,MATCH('001_population_health_zone_zs'!$B$2,[1]ratio_ins!$B:$B,0))*$G276*INDEX([1]ratio_ins!$D:$D,MATCH('001_population_health_zone_zs'!$B276,[1]ratio_ins!$B:$B,0))</f>
        <v>7487.4660551999996</v>
      </c>
      <c r="AK276" s="10">
        <f>INDEX([1]ratio_ins!AH:AH,MATCH('001_population_health_zone_zs'!$B$2,[1]ratio_ins!$B:$B,0))*$G276*INDEX([1]ratio_ins!$D:$D,MATCH('001_population_health_zone_zs'!$B276,[1]ratio_ins!$B:$B,0))</f>
        <v>16688.930364000003</v>
      </c>
      <c r="AL276" s="10">
        <f>INDEX([1]ratio_ins!AI:AI,MATCH('001_population_health_zone_zs'!$B$2,[1]ratio_ins!$B:$B,0))*$G276*INDEX([1]ratio_ins!$D:$D,MATCH('001_population_health_zone_zs'!$B276,[1]ratio_ins!$B:$B,0))</f>
        <v>15786.826020000002</v>
      </c>
      <c r="AM276" s="10">
        <f>INDEX([1]ratio_ins!AJ:AJ,MATCH('001_population_health_zone_zs'!$B$2,[1]ratio_ins!$B:$B,0))*$G276*INDEX([1]ratio_ins!$D:$D,MATCH('001_population_health_zone_zs'!$B276,[1]ratio_ins!$B:$B,0))</f>
        <v>14433.669504000001</v>
      </c>
      <c r="AN276" s="10">
        <f>INDEX([1]ratio_ins!AK:AK,MATCH('001_population_health_zone_zs'!$B$2,[1]ratio_ins!$B:$B,0))*$G276*INDEX([1]ratio_ins!$D:$D,MATCH('001_population_health_zone_zs'!$B276,[1]ratio_ins!$B:$B,0))</f>
        <v>13531.56516</v>
      </c>
      <c r="AO276" s="10">
        <f>INDEX([1]ratio_ins!AL:AL,MATCH('001_population_health_zone_zs'!$B$2,[1]ratio_ins!$B:$B,0))*$G276*INDEX([1]ratio_ins!$D:$D,MATCH('001_population_health_zone_zs'!$B276,[1]ratio_ins!$B:$B,0))</f>
        <v>10148.673869999999</v>
      </c>
      <c r="AP276" s="10">
        <f>INDEX([1]ratio_ins!AM:AM,MATCH('001_population_health_zone_zs'!$B$2,[1]ratio_ins!$B:$B,0))*$G276*INDEX([1]ratio_ins!$D:$D,MATCH('001_population_health_zone_zs'!$B276,[1]ratio_ins!$B:$B,0))</f>
        <v>6540.2564939999993</v>
      </c>
      <c r="AQ276" s="10">
        <f>INDEX([1]ratio_ins!AN:AN,MATCH('001_population_health_zone_zs'!$B$2,[1]ratio_ins!$B:$B,0))*$G276*INDEX([1]ratio_ins!$D:$D,MATCH('001_population_health_zone_zs'!$B276,[1]ratio_ins!$B:$B,0))</f>
        <v>5187.0999780000002</v>
      </c>
      <c r="AR276" s="10">
        <f>INDEX([1]ratio_ins!AO:AO,MATCH('001_population_health_zone_zs'!$B$2,[1]ratio_ins!$B:$B,0))*$G276*INDEX([1]ratio_ins!$D:$D,MATCH('001_population_health_zone_zs'!$B276,[1]ratio_ins!$B:$B,0))</f>
        <v>2480.7869460000002</v>
      </c>
      <c r="AS276" s="13">
        <f>INDEX([1]ratio_ins!AP:AP,MATCH('001_population_health_zone_zs'!$B$2,[1]ratio_ins!$B:$B,0))*$G276*INDEX([1]ratio_ins!$D:$D,MATCH('001_population_health_zone_zs'!$B276,[1]ratio_ins!$B:$B,0))</f>
        <v>92285.274391200001</v>
      </c>
      <c r="AT276" s="10">
        <f>INDEX([1]ratio_ins!AQ:AQ,MATCH('001_population_health_zone_zs'!$B$2,[1]ratio_ins!$B:$B,0))*$G276*INDEX([1]ratio_ins!$D:$D,MATCH('001_population_health_zone_zs'!$B276,[1]ratio_ins!$B:$B,0))</f>
        <v>2255.2608600000003</v>
      </c>
      <c r="AU276" s="10">
        <f>INDEX([1]ratio_ins!AR:AR,MATCH('001_population_health_zone_zs'!$B$2,[1]ratio_ins!$B:$B,0))*$G276*INDEX([1]ratio_ins!$D:$D,MATCH('001_population_health_zone_zs'!$B276,[1]ratio_ins!$B:$B,0))</f>
        <v>1353.156516</v>
      </c>
      <c r="AV276" s="10">
        <f>INDEX([1]ratio_ins!AS:AS,MATCH('001_population_health_zone_zs'!$B$2,[1]ratio_ins!$B:$B,0))*$G276*INDEX([1]ratio_ins!$D:$D,MATCH('001_population_health_zone_zs'!$B276,[1]ratio_ins!$B:$B,0))</f>
        <v>676.57825800000001</v>
      </c>
      <c r="AW276" s="10">
        <f>INDEX([1]ratio_ins!AT:AT,MATCH('001_population_health_zone_zs'!$B$2,[1]ratio_ins!$B:$B,0))*$G276*INDEX([1]ratio_ins!$D:$D,MATCH('001_population_health_zone_zs'!$B276,[1]ratio_ins!$B:$B,0))</f>
        <v>451.05217200000004</v>
      </c>
      <c r="AX276" s="13">
        <f>INDEX([1]ratio_ins!AU:AU,MATCH('001_population_health_zone_zs'!$B$2,[1]ratio_ins!$B:$B,0))*$G276*INDEX([1]ratio_ins!$D:$D,MATCH('001_population_health_zone_zs'!$B276,[1]ratio_ins!$B:$B,0))</f>
        <v>4736.0478060000005</v>
      </c>
      <c r="AY276" s="14">
        <f t="shared" si="25"/>
        <v>225526.08599999998</v>
      </c>
      <c r="AZ276" s="15">
        <f t="shared" si="26"/>
        <v>439622</v>
      </c>
      <c r="BA276" s="16">
        <v>421802.64713773801</v>
      </c>
      <c r="BB276" s="10">
        <f t="shared" si="27"/>
        <v>95848.586550000007</v>
      </c>
      <c r="BC276" s="17">
        <f t="shared" si="28"/>
        <v>0.21802500000000002</v>
      </c>
      <c r="BD276" s="10">
        <f t="shared" si="29"/>
        <v>89277.996138000017</v>
      </c>
    </row>
    <row r="277" spans="1:56" x14ac:dyDescent="0.25">
      <c r="A277" s="8" t="s">
        <v>671</v>
      </c>
      <c r="B277" s="8" t="s">
        <v>672</v>
      </c>
      <c r="C277" s="8" t="s">
        <v>681</v>
      </c>
      <c r="D277" s="8" t="s">
        <v>682</v>
      </c>
      <c r="E277" s="8" t="s">
        <v>681</v>
      </c>
      <c r="F277" s="8" t="s">
        <v>687</v>
      </c>
      <c r="G277" s="9">
        <v>410864</v>
      </c>
      <c r="H277" s="10">
        <f>INDEX([1]ratio_ins!F:F,MATCH('001_population_health_zone_zs'!$B$2,[1]ratio_ins!$B:$B,0))*$G277*INDEX([1]ratio_ins!$C:$C,MATCH('001_population_health_zone_zs'!$B277,[1]ratio_ins!$B:$B,0))</f>
        <v>41818.970512000007</v>
      </c>
      <c r="I277" s="10">
        <f>INDEX([1]ratio_ins!G:G,MATCH('001_population_health_zone_zs'!$B$2,[1]ratio_ins!$B:$B,0))*$G277*INDEX([1]ratio_ins!$C:$C,MATCH('001_population_health_zone_zs'!$B277,[1]ratio_ins!$B:$B,0))</f>
        <v>34215.521328000003</v>
      </c>
      <c r="J277" s="10">
        <f>INDEX([1]ratio_ins!H:H,MATCH('001_population_health_zone_zs'!$B$2,[1]ratio_ins!$B:$B,0))*$G277*INDEX([1]ratio_ins!$C:$C,MATCH('001_population_health_zone_zs'!$B277,[1]ratio_ins!$B:$B,0))</f>
        <v>27012.253680000005</v>
      </c>
      <c r="K277" s="10">
        <f>INDEX([1]ratio_ins!I:I,MATCH('001_population_health_zone_zs'!$B$2,[1]ratio_ins!$B:$B,0))*$G277*INDEX([1]ratio_ins!$C:$C,MATCH('001_population_health_zone_zs'!$B277,[1]ratio_ins!$B:$B,0))</f>
        <v>16607.533744</v>
      </c>
      <c r="L277" s="10">
        <f>INDEX([1]ratio_ins!J:J,MATCH('001_population_health_zone_zs'!$B$2,[1]ratio_ins!$B:$B,0))*$G277*INDEX([1]ratio_ins!$C:$C,MATCH('001_population_health_zone_zs'!$B277,[1]ratio_ins!$B:$B,0))</f>
        <v>9964.5202464000013</v>
      </c>
      <c r="M277" s="11">
        <f>INDEX([1]ratio_ins!K:K,MATCH('001_population_health_zone_zs'!$B$2,[1]ratio_ins!$B:$B,0))*$G277*INDEX([1]ratio_ins!$C:$C,MATCH('001_population_health_zone_zs'!$B277,[1]ratio_ins!$B:$B,0))</f>
        <v>113011.2657664</v>
      </c>
      <c r="N277" s="10">
        <f>INDEX([1]ratio_ins!L:L,MATCH('001_population_health_zone_zs'!$B$2,[1]ratio_ins!$B:$B,0))*$G277*INDEX([1]ratio_ins!$C:$C,MATCH('001_population_health_zone_zs'!$B277,[1]ratio_ins!$B:$B,0))</f>
        <v>6643.0134976000008</v>
      </c>
      <c r="O277" s="10">
        <f>INDEX([1]ratio_ins!M:M,MATCH('001_population_health_zone_zs'!$B$2,[1]ratio_ins!$B:$B,0))*$G277*INDEX([1]ratio_ins!$C:$C,MATCH('001_population_health_zone_zs'!$B277,[1]ratio_ins!$B:$B,0))</f>
        <v>14406.535296000002</v>
      </c>
      <c r="P277" s="10">
        <f>INDEX([1]ratio_ins!N:N,MATCH('001_population_health_zone_zs'!$B$2,[1]ratio_ins!$B:$B,0))*$G277*INDEX([1]ratio_ins!$C:$C,MATCH('001_population_health_zone_zs'!$B277,[1]ratio_ins!$B:$B,0))</f>
        <v>13005.899920000002</v>
      </c>
      <c r="Q277" s="10">
        <f>INDEX([1]ratio_ins!O:O,MATCH('001_population_health_zone_zs'!$B$2,[1]ratio_ins!$B:$B,0))*$G277*INDEX([1]ratio_ins!$C:$C,MATCH('001_population_health_zone_zs'!$B277,[1]ratio_ins!$B:$B,0))</f>
        <v>11605.264544</v>
      </c>
      <c r="R277" s="10">
        <f>INDEX([1]ratio_ins!P:P,MATCH('001_population_health_zone_zs'!$B$2,[1]ratio_ins!$B:$B,0))*$G277*INDEX([1]ratio_ins!$C:$C,MATCH('001_population_health_zone_zs'!$B277,[1]ratio_ins!$B:$B,0))</f>
        <v>11405.173776000001</v>
      </c>
      <c r="S277" s="10">
        <f>INDEX([1]ratio_ins!Q:Q,MATCH('001_population_health_zone_zs'!$B$2,[1]ratio_ins!$B:$B,0))*$G277*INDEX([1]ratio_ins!$C:$C,MATCH('001_population_health_zone_zs'!$B277,[1]ratio_ins!$B:$B,0))</f>
        <v>9604.3568640000012</v>
      </c>
      <c r="T277" s="10">
        <f>INDEX([1]ratio_ins!R:R,MATCH('001_population_health_zone_zs'!$B$2,[1]ratio_ins!$B:$B,0))*$G277*INDEX([1]ratio_ins!$C:$C,MATCH('001_population_health_zone_zs'!$B277,[1]ratio_ins!$B:$B,0))</f>
        <v>6803.0861120000009</v>
      </c>
      <c r="U277" s="10">
        <f>INDEX([1]ratio_ins!S:S,MATCH('001_population_health_zone_zs'!$B$2,[1]ratio_ins!$B:$B,0))*$G277*INDEX([1]ratio_ins!$C:$C,MATCH('001_population_health_zone_zs'!$B277,[1]ratio_ins!$B:$B,0))</f>
        <v>5402.4507360000007</v>
      </c>
      <c r="V277" s="10">
        <f>INDEX([1]ratio_ins!T:T,MATCH('001_population_health_zone_zs'!$B$2,[1]ratio_ins!$B:$B,0))*$G277*INDEX([1]ratio_ins!$C:$C,MATCH('001_population_health_zone_zs'!$B277,[1]ratio_ins!$B:$B,0))</f>
        <v>3001.3615200000004</v>
      </c>
      <c r="W277" s="11">
        <f>INDEX([1]ratio_ins!U:U,MATCH('001_population_health_zone_zs'!$B$2,[1]ratio_ins!$B:$B,0))*$G277*INDEX([1]ratio_ins!$C:$C,MATCH('001_population_health_zone_zs'!$B277,[1]ratio_ins!$B:$B,0))</f>
        <v>81877.142265600007</v>
      </c>
      <c r="X277" s="10">
        <f>INDEX([1]ratio_ins!V:V,MATCH('001_population_health_zone_zs'!$B$2,[1]ratio_ins!$B:$B,0))*$G277*INDEX([1]ratio_ins!$C:$C,MATCH('001_population_health_zone_zs'!$B277,[1]ratio_ins!$B:$B,0))</f>
        <v>2401.0892160000003</v>
      </c>
      <c r="Y277" s="10">
        <f>INDEX([1]ratio_ins!W:W,MATCH('001_population_health_zone_zs'!$B$2,[1]ratio_ins!$B:$B,0))*$G277*INDEX([1]ratio_ins!$C:$C,MATCH('001_population_health_zone_zs'!$B277,[1]ratio_ins!$B:$B,0))</f>
        <v>1600.7261440000002</v>
      </c>
      <c r="Z277" s="10">
        <f>INDEX([1]ratio_ins!X:X,MATCH('001_population_health_zone_zs'!$B$2,[1]ratio_ins!$B:$B,0))*$G277*INDEX([1]ratio_ins!$C:$C,MATCH('001_population_health_zone_zs'!$B277,[1]ratio_ins!$B:$B,0))</f>
        <v>800.3630720000001</v>
      </c>
      <c r="AA277" s="10">
        <f>INDEX([1]ratio_ins!Y:Y,MATCH('001_population_health_zone_zs'!$B$2,[1]ratio_ins!$B:$B,0))*$G277*INDEX([1]ratio_ins!$C:$C,MATCH('001_population_health_zone_zs'!$B277,[1]ratio_ins!$B:$B,0))</f>
        <v>400.18153600000005</v>
      </c>
      <c r="AB277" s="11">
        <f>INDEX([1]ratio_ins!Z:Z,MATCH('001_population_health_zone_zs'!$B$2,[1]ratio_ins!$B:$B,0))*$G277*INDEX([1]ratio_ins!$C:$C,MATCH('001_population_health_zone_zs'!$B277,[1]ratio_ins!$B:$B,0))</f>
        <v>5202.3599680000016</v>
      </c>
      <c r="AC277" s="12">
        <f t="shared" si="24"/>
        <v>200090.76800000001</v>
      </c>
      <c r="AD277" s="10">
        <f>INDEX([1]ratio_ins!AA:AA,MATCH('001_population_health_zone_zs'!$B$2,[1]ratio_ins!$B:$B,0))*$G277*INDEX([1]ratio_ins!$D:$D,MATCH('001_population_health_zone_zs'!$B277,[1]ratio_ins!$B:$B,0))</f>
        <v>44262.378720000001</v>
      </c>
      <c r="AE277" s="10">
        <f>INDEX([1]ratio_ins!AB:AB,MATCH('001_population_health_zone_zs'!$B$2,[1]ratio_ins!$B:$B,0))*$G277*INDEX([1]ratio_ins!$D:$D,MATCH('001_population_health_zone_zs'!$B277,[1]ratio_ins!$B:$B,0))</f>
        <v>36463.769136000003</v>
      </c>
      <c r="AF277" s="10">
        <f>INDEX([1]ratio_ins!AC:AC,MATCH('001_population_health_zone_zs'!$B$2,[1]ratio_ins!$B:$B,0))*$G277*INDEX([1]ratio_ins!$D:$D,MATCH('001_population_health_zone_zs'!$B277,[1]ratio_ins!$B:$B,0))</f>
        <v>28875.932783999997</v>
      </c>
      <c r="AG277" s="10">
        <f>INDEX([1]ratio_ins!AD:AD,MATCH('001_population_health_zone_zs'!$B$2,[1]ratio_ins!$B:$B,0))*$G277*INDEX([1]ratio_ins!$D:$D,MATCH('001_population_health_zone_zs'!$B277,[1]ratio_ins!$B:$B,0))</f>
        <v>17494.178255999999</v>
      </c>
      <c r="AH277" s="10">
        <f>INDEX([1]ratio_ins!AE:AE,MATCH('001_population_health_zone_zs'!$B$2,[1]ratio_ins!$B:$B,0))*$G277*INDEX([1]ratio_ins!$D:$D,MATCH('001_population_health_zone_zs'!$B277,[1]ratio_ins!$B:$B,0))</f>
        <v>10496.506953600001</v>
      </c>
      <c r="AI277" s="13">
        <f>INDEX([1]ratio_ins!AF:AF,MATCH('001_population_health_zone_zs'!$B$2,[1]ratio_ins!$B:$B,0))*$G277*INDEX([1]ratio_ins!$D:$D,MATCH('001_population_health_zone_zs'!$B277,[1]ratio_ins!$B:$B,0))</f>
        <v>120098.58759359999</v>
      </c>
      <c r="AJ277" s="10">
        <f>INDEX([1]ratio_ins!AG:AG,MATCH('001_population_health_zone_zs'!$B$2,[1]ratio_ins!$B:$B,0))*$G277*INDEX([1]ratio_ins!$D:$D,MATCH('001_population_health_zone_zs'!$B277,[1]ratio_ins!$B:$B,0))</f>
        <v>6997.671302400001</v>
      </c>
      <c r="AK277" s="10">
        <f>INDEX([1]ratio_ins!AH:AH,MATCH('001_population_health_zone_zs'!$B$2,[1]ratio_ins!$B:$B,0))*$G277*INDEX([1]ratio_ins!$D:$D,MATCH('001_population_health_zone_zs'!$B277,[1]ratio_ins!$B:$B,0))</f>
        <v>15597.219168000003</v>
      </c>
      <c r="AL277" s="10">
        <f>INDEX([1]ratio_ins!AI:AI,MATCH('001_population_health_zone_zs'!$B$2,[1]ratio_ins!$B:$B,0))*$G277*INDEX([1]ratio_ins!$D:$D,MATCH('001_population_health_zone_zs'!$B277,[1]ratio_ins!$B:$B,0))</f>
        <v>14754.126240000001</v>
      </c>
      <c r="AM277" s="10">
        <f>INDEX([1]ratio_ins!AJ:AJ,MATCH('001_population_health_zone_zs'!$B$2,[1]ratio_ins!$B:$B,0))*$G277*INDEX([1]ratio_ins!$D:$D,MATCH('001_population_health_zone_zs'!$B277,[1]ratio_ins!$B:$B,0))</f>
        <v>13489.486848000002</v>
      </c>
      <c r="AN277" s="10">
        <f>INDEX([1]ratio_ins!AK:AK,MATCH('001_population_health_zone_zs'!$B$2,[1]ratio_ins!$B:$B,0))*$G277*INDEX([1]ratio_ins!$D:$D,MATCH('001_population_health_zone_zs'!$B277,[1]ratio_ins!$B:$B,0))</f>
        <v>12646.39392</v>
      </c>
      <c r="AO277" s="10">
        <f>INDEX([1]ratio_ins!AL:AL,MATCH('001_population_health_zone_zs'!$B$2,[1]ratio_ins!$B:$B,0))*$G277*INDEX([1]ratio_ins!$D:$D,MATCH('001_population_health_zone_zs'!$B277,[1]ratio_ins!$B:$B,0))</f>
        <v>9484.7954399999999</v>
      </c>
      <c r="AP277" s="10">
        <f>INDEX([1]ratio_ins!AM:AM,MATCH('001_population_health_zone_zs'!$B$2,[1]ratio_ins!$B:$B,0))*$G277*INDEX([1]ratio_ins!$D:$D,MATCH('001_population_health_zone_zs'!$B277,[1]ratio_ins!$B:$B,0))</f>
        <v>6112.4237279999998</v>
      </c>
      <c r="AQ277" s="10">
        <f>INDEX([1]ratio_ins!AN:AN,MATCH('001_population_health_zone_zs'!$B$2,[1]ratio_ins!$B:$B,0))*$G277*INDEX([1]ratio_ins!$D:$D,MATCH('001_population_health_zone_zs'!$B277,[1]ratio_ins!$B:$B,0))</f>
        <v>4847.7843359999997</v>
      </c>
      <c r="AR277" s="10">
        <f>INDEX([1]ratio_ins!AO:AO,MATCH('001_population_health_zone_zs'!$B$2,[1]ratio_ins!$B:$B,0))*$G277*INDEX([1]ratio_ins!$D:$D,MATCH('001_population_health_zone_zs'!$B277,[1]ratio_ins!$B:$B,0))</f>
        <v>2318.5055520000005</v>
      </c>
      <c r="AS277" s="13">
        <f>INDEX([1]ratio_ins!AP:AP,MATCH('001_population_health_zone_zs'!$B$2,[1]ratio_ins!$B:$B,0))*$G277*INDEX([1]ratio_ins!$D:$D,MATCH('001_population_health_zone_zs'!$B277,[1]ratio_ins!$B:$B,0))</f>
        <v>86248.406534399997</v>
      </c>
      <c r="AT277" s="10">
        <f>INDEX([1]ratio_ins!AQ:AQ,MATCH('001_population_health_zone_zs'!$B$2,[1]ratio_ins!$B:$B,0))*$G277*INDEX([1]ratio_ins!$D:$D,MATCH('001_population_health_zone_zs'!$B277,[1]ratio_ins!$B:$B,0))</f>
        <v>2107.7323200000001</v>
      </c>
      <c r="AU277" s="10">
        <f>INDEX([1]ratio_ins!AR:AR,MATCH('001_population_health_zone_zs'!$B$2,[1]ratio_ins!$B:$B,0))*$G277*INDEX([1]ratio_ins!$D:$D,MATCH('001_population_health_zone_zs'!$B277,[1]ratio_ins!$B:$B,0))</f>
        <v>1264.639392</v>
      </c>
      <c r="AV277" s="10">
        <f>INDEX([1]ratio_ins!AS:AS,MATCH('001_population_health_zone_zs'!$B$2,[1]ratio_ins!$B:$B,0))*$G277*INDEX([1]ratio_ins!$D:$D,MATCH('001_population_health_zone_zs'!$B277,[1]ratio_ins!$B:$B,0))</f>
        <v>632.31969600000002</v>
      </c>
      <c r="AW277" s="10">
        <f>INDEX([1]ratio_ins!AT:AT,MATCH('001_population_health_zone_zs'!$B$2,[1]ratio_ins!$B:$B,0))*$G277*INDEX([1]ratio_ins!$D:$D,MATCH('001_population_health_zone_zs'!$B277,[1]ratio_ins!$B:$B,0))</f>
        <v>421.54646400000007</v>
      </c>
      <c r="AX277" s="13">
        <f>INDEX([1]ratio_ins!AU:AU,MATCH('001_population_health_zone_zs'!$B$2,[1]ratio_ins!$B:$B,0))*$G277*INDEX([1]ratio_ins!$D:$D,MATCH('001_population_health_zone_zs'!$B277,[1]ratio_ins!$B:$B,0))</f>
        <v>4426.2378719999997</v>
      </c>
      <c r="AY277" s="14">
        <f t="shared" si="25"/>
        <v>210773.23199999999</v>
      </c>
      <c r="AZ277" s="15">
        <f t="shared" si="26"/>
        <v>410864</v>
      </c>
      <c r="BA277" s="16">
        <v>394210.58851434785</v>
      </c>
      <c r="BB277" s="10">
        <f t="shared" si="27"/>
        <v>89578.623600000006</v>
      </c>
      <c r="BC277" s="17">
        <f t="shared" si="28"/>
        <v>0.21802500000000002</v>
      </c>
      <c r="BD277" s="10">
        <f t="shared" si="29"/>
        <v>83437.850256000005</v>
      </c>
    </row>
    <row r="278" spans="1:56" x14ac:dyDescent="0.25">
      <c r="A278" s="8" t="s">
        <v>671</v>
      </c>
      <c r="B278" s="8" t="s">
        <v>672</v>
      </c>
      <c r="C278" s="8" t="s">
        <v>681</v>
      </c>
      <c r="D278" s="8" t="s">
        <v>682</v>
      </c>
      <c r="E278" s="8" t="s">
        <v>688</v>
      </c>
      <c r="F278" s="8" t="s">
        <v>689</v>
      </c>
      <c r="G278" s="9">
        <v>392737</v>
      </c>
      <c r="H278" s="10">
        <f>INDEX([1]ratio_ins!F:F,MATCH('001_population_health_zone_zs'!$B$2,[1]ratio_ins!$B:$B,0))*$G278*INDEX([1]ratio_ins!$C:$C,MATCH('001_population_health_zone_zs'!$B278,[1]ratio_ins!$B:$B,0))</f>
        <v>39973.950070999999</v>
      </c>
      <c r="I278" s="10">
        <f>INDEX([1]ratio_ins!G:G,MATCH('001_population_health_zone_zs'!$B$2,[1]ratio_ins!$B:$B,0))*$G278*INDEX([1]ratio_ins!$C:$C,MATCH('001_population_health_zone_zs'!$B278,[1]ratio_ins!$B:$B,0))</f>
        <v>32705.959149000002</v>
      </c>
      <c r="J278" s="10">
        <f>INDEX([1]ratio_ins!H:H,MATCH('001_population_health_zone_zs'!$B$2,[1]ratio_ins!$B:$B,0))*$G278*INDEX([1]ratio_ins!$C:$C,MATCH('001_population_health_zone_zs'!$B278,[1]ratio_ins!$B:$B,0))</f>
        <v>25820.494065000003</v>
      </c>
      <c r="K278" s="10">
        <f>INDEX([1]ratio_ins!I:I,MATCH('001_population_health_zone_zs'!$B$2,[1]ratio_ins!$B:$B,0))*$G278*INDEX([1]ratio_ins!$C:$C,MATCH('001_population_health_zone_zs'!$B278,[1]ratio_ins!$B:$B,0))</f>
        <v>15874.822277000003</v>
      </c>
      <c r="L278" s="10">
        <f>INDEX([1]ratio_ins!J:J,MATCH('001_population_health_zone_zs'!$B$2,[1]ratio_ins!$B:$B,0))*$G278*INDEX([1]ratio_ins!$C:$C,MATCH('001_population_health_zone_zs'!$B278,[1]ratio_ins!$B:$B,0))</f>
        <v>9524.8933661999999</v>
      </c>
      <c r="M278" s="11">
        <f>INDEX([1]ratio_ins!K:K,MATCH('001_population_health_zone_zs'!$B$2,[1]ratio_ins!$B:$B,0))*$G278*INDEX([1]ratio_ins!$C:$C,MATCH('001_population_health_zone_zs'!$B278,[1]ratio_ins!$B:$B,0))</f>
        <v>108025.2966512</v>
      </c>
      <c r="N278" s="10">
        <f>INDEX([1]ratio_ins!L:L,MATCH('001_population_health_zone_zs'!$B$2,[1]ratio_ins!$B:$B,0))*$G278*INDEX([1]ratio_ins!$C:$C,MATCH('001_population_health_zone_zs'!$B278,[1]ratio_ins!$B:$B,0))</f>
        <v>6349.9289108000003</v>
      </c>
      <c r="O278" s="10">
        <f>INDEX([1]ratio_ins!M:M,MATCH('001_population_health_zone_zs'!$B$2,[1]ratio_ins!$B:$B,0))*$G278*INDEX([1]ratio_ins!$C:$C,MATCH('001_population_health_zone_zs'!$B278,[1]ratio_ins!$B:$B,0))</f>
        <v>13770.930168000003</v>
      </c>
      <c r="P278" s="10">
        <f>INDEX([1]ratio_ins!N:N,MATCH('001_population_health_zone_zs'!$B$2,[1]ratio_ins!$B:$B,0))*$G278*INDEX([1]ratio_ins!$C:$C,MATCH('001_population_health_zone_zs'!$B278,[1]ratio_ins!$B:$B,0))</f>
        <v>12432.089735000003</v>
      </c>
      <c r="Q278" s="10">
        <f>INDEX([1]ratio_ins!O:O,MATCH('001_population_health_zone_zs'!$B$2,[1]ratio_ins!$B:$B,0))*$G278*INDEX([1]ratio_ins!$C:$C,MATCH('001_population_health_zone_zs'!$B278,[1]ratio_ins!$B:$B,0))</f>
        <v>11093.249302</v>
      </c>
      <c r="R278" s="10">
        <f>INDEX([1]ratio_ins!P:P,MATCH('001_population_health_zone_zs'!$B$2,[1]ratio_ins!$B:$B,0))*$G278*INDEX([1]ratio_ins!$C:$C,MATCH('001_population_health_zone_zs'!$B278,[1]ratio_ins!$B:$B,0))</f>
        <v>10901.986383000001</v>
      </c>
      <c r="S278" s="10">
        <f>INDEX([1]ratio_ins!Q:Q,MATCH('001_population_health_zone_zs'!$B$2,[1]ratio_ins!$B:$B,0))*$G278*INDEX([1]ratio_ins!$C:$C,MATCH('001_population_health_zone_zs'!$B278,[1]ratio_ins!$B:$B,0))</f>
        <v>9180.6201120000005</v>
      </c>
      <c r="T278" s="10">
        <f>INDEX([1]ratio_ins!R:R,MATCH('001_population_health_zone_zs'!$B$2,[1]ratio_ins!$B:$B,0))*$G278*INDEX([1]ratio_ins!$C:$C,MATCH('001_population_health_zone_zs'!$B278,[1]ratio_ins!$B:$B,0))</f>
        <v>6502.9392460000008</v>
      </c>
      <c r="U278" s="10">
        <f>INDEX([1]ratio_ins!S:S,MATCH('001_population_health_zone_zs'!$B$2,[1]ratio_ins!$B:$B,0))*$G278*INDEX([1]ratio_ins!$C:$C,MATCH('001_population_health_zone_zs'!$B278,[1]ratio_ins!$B:$B,0))</f>
        <v>5164.0988130000014</v>
      </c>
      <c r="V278" s="10">
        <f>INDEX([1]ratio_ins!T:T,MATCH('001_population_health_zone_zs'!$B$2,[1]ratio_ins!$B:$B,0))*$G278*INDEX([1]ratio_ins!$C:$C,MATCH('001_population_health_zone_zs'!$B278,[1]ratio_ins!$B:$B,0))</f>
        <v>2868.9437849999999</v>
      </c>
      <c r="W278" s="11">
        <f>INDEX([1]ratio_ins!U:U,MATCH('001_population_health_zone_zs'!$B$2,[1]ratio_ins!$B:$B,0))*$G278*INDEX([1]ratio_ins!$C:$C,MATCH('001_population_health_zone_zs'!$B278,[1]ratio_ins!$B:$B,0))</f>
        <v>78264.786454800007</v>
      </c>
      <c r="X278" s="10">
        <f>INDEX([1]ratio_ins!V:V,MATCH('001_population_health_zone_zs'!$B$2,[1]ratio_ins!$B:$B,0))*$G278*INDEX([1]ratio_ins!$C:$C,MATCH('001_population_health_zone_zs'!$B278,[1]ratio_ins!$B:$B,0))</f>
        <v>2295.1550280000001</v>
      </c>
      <c r="Y278" s="10">
        <f>INDEX([1]ratio_ins!W:W,MATCH('001_population_health_zone_zs'!$B$2,[1]ratio_ins!$B:$B,0))*$G278*INDEX([1]ratio_ins!$C:$C,MATCH('001_population_health_zone_zs'!$B278,[1]ratio_ins!$B:$B,0))</f>
        <v>1530.1033520000003</v>
      </c>
      <c r="Z278" s="10">
        <f>INDEX([1]ratio_ins!X:X,MATCH('001_population_health_zone_zs'!$B$2,[1]ratio_ins!$B:$B,0))*$G278*INDEX([1]ratio_ins!$C:$C,MATCH('001_population_health_zone_zs'!$B278,[1]ratio_ins!$B:$B,0))</f>
        <v>765.05167600000016</v>
      </c>
      <c r="AA278" s="10">
        <f>INDEX([1]ratio_ins!Y:Y,MATCH('001_population_health_zone_zs'!$B$2,[1]ratio_ins!$B:$B,0))*$G278*INDEX([1]ratio_ins!$C:$C,MATCH('001_population_health_zone_zs'!$B278,[1]ratio_ins!$B:$B,0))</f>
        <v>382.52583800000008</v>
      </c>
      <c r="AB278" s="11">
        <f>INDEX([1]ratio_ins!Z:Z,MATCH('001_population_health_zone_zs'!$B$2,[1]ratio_ins!$B:$B,0))*$G278*INDEX([1]ratio_ins!$C:$C,MATCH('001_population_health_zone_zs'!$B278,[1]ratio_ins!$B:$B,0))</f>
        <v>4972.8358940000007</v>
      </c>
      <c r="AC278" s="12">
        <f t="shared" si="24"/>
        <v>191262.91899999999</v>
      </c>
      <c r="AD278" s="10">
        <f>INDEX([1]ratio_ins!AA:AA,MATCH('001_population_health_zone_zs'!$B$2,[1]ratio_ins!$B:$B,0))*$G278*INDEX([1]ratio_ins!$D:$D,MATCH('001_population_health_zone_zs'!$B278,[1]ratio_ins!$B:$B,0))</f>
        <v>42309.557010000004</v>
      </c>
      <c r="AE278" s="10">
        <f>INDEX([1]ratio_ins!AB:AB,MATCH('001_population_health_zone_zs'!$B$2,[1]ratio_ins!$B:$B,0))*$G278*INDEX([1]ratio_ins!$D:$D,MATCH('001_population_health_zone_zs'!$B278,[1]ratio_ins!$B:$B,0))</f>
        <v>34855.016013</v>
      </c>
      <c r="AF278" s="10">
        <f>INDEX([1]ratio_ins!AC:AC,MATCH('001_population_health_zone_zs'!$B$2,[1]ratio_ins!$B:$B,0))*$G278*INDEX([1]ratio_ins!$D:$D,MATCH('001_population_health_zone_zs'!$B278,[1]ratio_ins!$B:$B,0))</f>
        <v>27601.949096999997</v>
      </c>
      <c r="AG278" s="10">
        <f>INDEX([1]ratio_ins!AD:AD,MATCH('001_population_health_zone_zs'!$B$2,[1]ratio_ins!$B:$B,0))*$G278*INDEX([1]ratio_ins!$D:$D,MATCH('001_population_health_zone_zs'!$B278,[1]ratio_ins!$B:$B,0))</f>
        <v>16722.348723000003</v>
      </c>
      <c r="AH278" s="10">
        <f>INDEX([1]ratio_ins!AE:AE,MATCH('001_population_health_zone_zs'!$B$2,[1]ratio_ins!$B:$B,0))*$G278*INDEX([1]ratio_ins!$D:$D,MATCH('001_population_health_zone_zs'!$B278,[1]ratio_ins!$B:$B,0))</f>
        <v>10033.409233799999</v>
      </c>
      <c r="AI278" s="13">
        <f>INDEX([1]ratio_ins!AF:AF,MATCH('001_population_health_zone_zs'!$B$2,[1]ratio_ins!$B:$B,0))*$G278*INDEX([1]ratio_ins!$D:$D,MATCH('001_population_health_zone_zs'!$B278,[1]ratio_ins!$B:$B,0))</f>
        <v>114799.9313538</v>
      </c>
      <c r="AJ278" s="10">
        <f>INDEX([1]ratio_ins!AG:AG,MATCH('001_population_health_zone_zs'!$B$2,[1]ratio_ins!$B:$B,0))*$G278*INDEX([1]ratio_ins!$D:$D,MATCH('001_population_health_zone_zs'!$B278,[1]ratio_ins!$B:$B,0))</f>
        <v>6688.9394892</v>
      </c>
      <c r="AK278" s="10">
        <f>INDEX([1]ratio_ins!AH:AH,MATCH('001_population_health_zone_zs'!$B$2,[1]ratio_ins!$B:$B,0))*$G278*INDEX([1]ratio_ins!$D:$D,MATCH('001_population_health_zone_zs'!$B278,[1]ratio_ins!$B:$B,0))</f>
        <v>14909.081994000002</v>
      </c>
      <c r="AL278" s="10">
        <f>INDEX([1]ratio_ins!AI:AI,MATCH('001_population_health_zone_zs'!$B$2,[1]ratio_ins!$B:$B,0))*$G278*INDEX([1]ratio_ins!$D:$D,MATCH('001_population_health_zone_zs'!$B278,[1]ratio_ins!$B:$B,0))</f>
        <v>14103.185670000003</v>
      </c>
      <c r="AM278" s="10">
        <f>INDEX([1]ratio_ins!AJ:AJ,MATCH('001_population_health_zone_zs'!$B$2,[1]ratio_ins!$B:$B,0))*$G278*INDEX([1]ratio_ins!$D:$D,MATCH('001_population_health_zone_zs'!$B278,[1]ratio_ins!$B:$B,0))</f>
        <v>12894.341184000001</v>
      </c>
      <c r="AN278" s="10">
        <f>INDEX([1]ratio_ins!AK:AK,MATCH('001_population_health_zone_zs'!$B$2,[1]ratio_ins!$B:$B,0))*$G278*INDEX([1]ratio_ins!$D:$D,MATCH('001_population_health_zone_zs'!$B278,[1]ratio_ins!$B:$B,0))</f>
        <v>12088.44486</v>
      </c>
      <c r="AO278" s="10">
        <f>INDEX([1]ratio_ins!AL:AL,MATCH('001_population_health_zone_zs'!$B$2,[1]ratio_ins!$B:$B,0))*$G278*INDEX([1]ratio_ins!$D:$D,MATCH('001_population_health_zone_zs'!$B278,[1]ratio_ins!$B:$B,0))</f>
        <v>9066.3336450000006</v>
      </c>
      <c r="AP278" s="10">
        <f>INDEX([1]ratio_ins!AM:AM,MATCH('001_population_health_zone_zs'!$B$2,[1]ratio_ins!$B:$B,0))*$G278*INDEX([1]ratio_ins!$D:$D,MATCH('001_population_health_zone_zs'!$B278,[1]ratio_ins!$B:$B,0))</f>
        <v>5842.7483489999995</v>
      </c>
      <c r="AQ278" s="10">
        <f>INDEX([1]ratio_ins!AN:AN,MATCH('001_population_health_zone_zs'!$B$2,[1]ratio_ins!$B:$B,0))*$G278*INDEX([1]ratio_ins!$D:$D,MATCH('001_population_health_zone_zs'!$B278,[1]ratio_ins!$B:$B,0))</f>
        <v>4633.9038629999995</v>
      </c>
      <c r="AR278" s="10">
        <f>INDEX([1]ratio_ins!AO:AO,MATCH('001_population_health_zone_zs'!$B$2,[1]ratio_ins!$B:$B,0))*$G278*INDEX([1]ratio_ins!$D:$D,MATCH('001_population_health_zone_zs'!$B278,[1]ratio_ins!$B:$B,0))</f>
        <v>2216.2148910000005</v>
      </c>
      <c r="AS278" s="13">
        <f>INDEX([1]ratio_ins!AP:AP,MATCH('001_population_health_zone_zs'!$B$2,[1]ratio_ins!$B:$B,0))*$G278*INDEX([1]ratio_ins!$D:$D,MATCH('001_population_health_zone_zs'!$B278,[1]ratio_ins!$B:$B,0))</f>
        <v>82443.193945200008</v>
      </c>
      <c r="AT278" s="10">
        <f>INDEX([1]ratio_ins!AQ:AQ,MATCH('001_population_health_zone_zs'!$B$2,[1]ratio_ins!$B:$B,0))*$G278*INDEX([1]ratio_ins!$D:$D,MATCH('001_population_health_zone_zs'!$B278,[1]ratio_ins!$B:$B,0))</f>
        <v>2014.74081</v>
      </c>
      <c r="AU278" s="10">
        <f>INDEX([1]ratio_ins!AR:AR,MATCH('001_population_health_zone_zs'!$B$2,[1]ratio_ins!$B:$B,0))*$G278*INDEX([1]ratio_ins!$D:$D,MATCH('001_population_health_zone_zs'!$B278,[1]ratio_ins!$B:$B,0))</f>
        <v>1208.844486</v>
      </c>
      <c r="AV278" s="10">
        <f>INDEX([1]ratio_ins!AS:AS,MATCH('001_population_health_zone_zs'!$B$2,[1]ratio_ins!$B:$B,0))*$G278*INDEX([1]ratio_ins!$D:$D,MATCH('001_population_health_zone_zs'!$B278,[1]ratio_ins!$B:$B,0))</f>
        <v>604.42224299999998</v>
      </c>
      <c r="AW278" s="10">
        <f>INDEX([1]ratio_ins!AT:AT,MATCH('001_population_health_zone_zs'!$B$2,[1]ratio_ins!$B:$B,0))*$G278*INDEX([1]ratio_ins!$D:$D,MATCH('001_population_health_zone_zs'!$B278,[1]ratio_ins!$B:$B,0))</f>
        <v>402.94816200000002</v>
      </c>
      <c r="AX278" s="13">
        <f>INDEX([1]ratio_ins!AU:AU,MATCH('001_population_health_zone_zs'!$B$2,[1]ratio_ins!$B:$B,0))*$G278*INDEX([1]ratio_ins!$D:$D,MATCH('001_population_health_zone_zs'!$B278,[1]ratio_ins!$B:$B,0))</f>
        <v>4230.9557009999999</v>
      </c>
      <c r="AY278" s="14">
        <f t="shared" si="25"/>
        <v>201474.08100000001</v>
      </c>
      <c r="AZ278" s="15">
        <f t="shared" si="26"/>
        <v>392737</v>
      </c>
      <c r="BA278" s="16">
        <v>376818.03082738654</v>
      </c>
      <c r="BB278" s="10">
        <f t="shared" si="27"/>
        <v>85626.484425000017</v>
      </c>
      <c r="BC278" s="17">
        <f t="shared" si="28"/>
        <v>0.21802500000000005</v>
      </c>
      <c r="BD278" s="10">
        <f t="shared" si="29"/>
        <v>79756.637222999998</v>
      </c>
    </row>
    <row r="279" spans="1:56" x14ac:dyDescent="0.25">
      <c r="A279" s="8" t="s">
        <v>671</v>
      </c>
      <c r="B279" s="8" t="s">
        <v>672</v>
      </c>
      <c r="C279" s="8" t="s">
        <v>690</v>
      </c>
      <c r="D279" s="8" t="s">
        <v>691</v>
      </c>
      <c r="E279" s="8" t="s">
        <v>692</v>
      </c>
      <c r="F279" s="8" t="s">
        <v>693</v>
      </c>
      <c r="G279" s="9">
        <v>178509</v>
      </c>
      <c r="H279" s="10">
        <f>INDEX([1]ratio_ins!F:F,MATCH('001_population_health_zone_zs'!$B$2,[1]ratio_ins!$B:$B,0))*$G279*INDEX([1]ratio_ins!$C:$C,MATCH('001_population_health_zone_zs'!$B279,[1]ratio_ins!$B:$B,0))</f>
        <v>18169.181547000004</v>
      </c>
      <c r="I279" s="10">
        <f>INDEX([1]ratio_ins!G:G,MATCH('001_population_health_zone_zs'!$B$2,[1]ratio_ins!$B:$B,0))*$G279*INDEX([1]ratio_ins!$C:$C,MATCH('001_population_health_zone_zs'!$B279,[1]ratio_ins!$B:$B,0))</f>
        <v>14865.693993000001</v>
      </c>
      <c r="J279" s="10">
        <f>INDEX([1]ratio_ins!H:H,MATCH('001_population_health_zone_zs'!$B$2,[1]ratio_ins!$B:$B,0))*$G279*INDEX([1]ratio_ins!$C:$C,MATCH('001_population_health_zone_zs'!$B279,[1]ratio_ins!$B:$B,0))</f>
        <v>11736.074205000001</v>
      </c>
      <c r="K279" s="10">
        <f>INDEX([1]ratio_ins!I:I,MATCH('001_population_health_zone_zs'!$B$2,[1]ratio_ins!$B:$B,0))*$G279*INDEX([1]ratio_ins!$C:$C,MATCH('001_population_health_zone_zs'!$B279,[1]ratio_ins!$B:$B,0))</f>
        <v>7215.5122890000011</v>
      </c>
      <c r="L279" s="10">
        <f>INDEX([1]ratio_ins!J:J,MATCH('001_population_health_zone_zs'!$B$2,[1]ratio_ins!$B:$B,0))*$G279*INDEX([1]ratio_ins!$C:$C,MATCH('001_population_health_zone_zs'!$B279,[1]ratio_ins!$B:$B,0))</f>
        <v>4329.3073734</v>
      </c>
      <c r="M279" s="11">
        <f>INDEX([1]ratio_ins!K:K,MATCH('001_population_health_zone_zs'!$B$2,[1]ratio_ins!$B:$B,0))*$G279*INDEX([1]ratio_ins!$C:$C,MATCH('001_population_health_zone_zs'!$B279,[1]ratio_ins!$B:$B,0))</f>
        <v>49100.257118400004</v>
      </c>
      <c r="N279" s="10">
        <f>INDEX([1]ratio_ins!L:L,MATCH('001_population_health_zone_zs'!$B$2,[1]ratio_ins!$B:$B,0))*$G279*INDEX([1]ratio_ins!$C:$C,MATCH('001_population_health_zone_zs'!$B279,[1]ratio_ins!$B:$B,0))</f>
        <v>2886.2049156000003</v>
      </c>
      <c r="O279" s="10">
        <f>INDEX([1]ratio_ins!M:M,MATCH('001_population_health_zone_zs'!$B$2,[1]ratio_ins!$B:$B,0))*$G279*INDEX([1]ratio_ins!$C:$C,MATCH('001_population_health_zone_zs'!$B279,[1]ratio_ins!$B:$B,0))</f>
        <v>6259.2395760000009</v>
      </c>
      <c r="P279" s="10">
        <f>INDEX([1]ratio_ins!N:N,MATCH('001_population_health_zone_zs'!$B$2,[1]ratio_ins!$B:$B,0))*$G279*INDEX([1]ratio_ins!$C:$C,MATCH('001_population_health_zone_zs'!$B279,[1]ratio_ins!$B:$B,0))</f>
        <v>5650.7023950000012</v>
      </c>
      <c r="Q279" s="10">
        <f>INDEX([1]ratio_ins!O:O,MATCH('001_population_health_zone_zs'!$B$2,[1]ratio_ins!$B:$B,0))*$G279*INDEX([1]ratio_ins!$C:$C,MATCH('001_population_health_zone_zs'!$B279,[1]ratio_ins!$B:$B,0))</f>
        <v>5042.1652139999997</v>
      </c>
      <c r="R279" s="10">
        <f>INDEX([1]ratio_ins!P:P,MATCH('001_population_health_zone_zs'!$B$2,[1]ratio_ins!$B:$B,0))*$G279*INDEX([1]ratio_ins!$C:$C,MATCH('001_population_health_zone_zs'!$B279,[1]ratio_ins!$B:$B,0))</f>
        <v>4955.2313310000009</v>
      </c>
      <c r="S279" s="10">
        <f>INDEX([1]ratio_ins!Q:Q,MATCH('001_population_health_zone_zs'!$B$2,[1]ratio_ins!$B:$B,0))*$G279*INDEX([1]ratio_ins!$C:$C,MATCH('001_population_health_zone_zs'!$B279,[1]ratio_ins!$B:$B,0))</f>
        <v>4172.8263840000009</v>
      </c>
      <c r="T279" s="10">
        <f>INDEX([1]ratio_ins!R:R,MATCH('001_population_health_zone_zs'!$B$2,[1]ratio_ins!$B:$B,0))*$G279*INDEX([1]ratio_ins!$C:$C,MATCH('001_population_health_zone_zs'!$B279,[1]ratio_ins!$B:$B,0))</f>
        <v>2955.7520220000006</v>
      </c>
      <c r="U279" s="10">
        <f>INDEX([1]ratio_ins!S:S,MATCH('001_population_health_zone_zs'!$B$2,[1]ratio_ins!$B:$B,0))*$G279*INDEX([1]ratio_ins!$C:$C,MATCH('001_population_health_zone_zs'!$B279,[1]ratio_ins!$B:$B,0))</f>
        <v>2347.2148410000004</v>
      </c>
      <c r="V279" s="10">
        <f>INDEX([1]ratio_ins!T:T,MATCH('001_population_health_zone_zs'!$B$2,[1]ratio_ins!$B:$B,0))*$G279*INDEX([1]ratio_ins!$C:$C,MATCH('001_population_health_zone_zs'!$B279,[1]ratio_ins!$B:$B,0))</f>
        <v>1304.008245</v>
      </c>
      <c r="W279" s="11">
        <f>INDEX([1]ratio_ins!U:U,MATCH('001_population_health_zone_zs'!$B$2,[1]ratio_ins!$B:$B,0))*$G279*INDEX([1]ratio_ins!$C:$C,MATCH('001_population_health_zone_zs'!$B279,[1]ratio_ins!$B:$B,0))</f>
        <v>35573.344923600009</v>
      </c>
      <c r="X279" s="10">
        <f>INDEX([1]ratio_ins!V:V,MATCH('001_population_health_zone_zs'!$B$2,[1]ratio_ins!$B:$B,0))*$G279*INDEX([1]ratio_ins!$C:$C,MATCH('001_population_health_zone_zs'!$B279,[1]ratio_ins!$B:$B,0))</f>
        <v>1043.2065960000002</v>
      </c>
      <c r="Y279" s="10">
        <f>INDEX([1]ratio_ins!W:W,MATCH('001_population_health_zone_zs'!$B$2,[1]ratio_ins!$B:$B,0))*$G279*INDEX([1]ratio_ins!$C:$C,MATCH('001_population_health_zone_zs'!$B279,[1]ratio_ins!$B:$B,0))</f>
        <v>695.47106400000007</v>
      </c>
      <c r="Z279" s="10">
        <f>INDEX([1]ratio_ins!X:X,MATCH('001_population_health_zone_zs'!$B$2,[1]ratio_ins!$B:$B,0))*$G279*INDEX([1]ratio_ins!$C:$C,MATCH('001_population_health_zone_zs'!$B279,[1]ratio_ins!$B:$B,0))</f>
        <v>347.73553200000003</v>
      </c>
      <c r="AA279" s="10">
        <f>INDEX([1]ratio_ins!Y:Y,MATCH('001_population_health_zone_zs'!$B$2,[1]ratio_ins!$B:$B,0))*$G279*INDEX([1]ratio_ins!$C:$C,MATCH('001_population_health_zone_zs'!$B279,[1]ratio_ins!$B:$B,0))</f>
        <v>173.86776600000002</v>
      </c>
      <c r="AB279" s="11">
        <f>INDEX([1]ratio_ins!Z:Z,MATCH('001_population_health_zone_zs'!$B$2,[1]ratio_ins!$B:$B,0))*$G279*INDEX([1]ratio_ins!$C:$C,MATCH('001_population_health_zone_zs'!$B279,[1]ratio_ins!$B:$B,0))</f>
        <v>2260.2809580000003</v>
      </c>
      <c r="AC279" s="12">
        <f t="shared" si="24"/>
        <v>86933.883000000016</v>
      </c>
      <c r="AD279" s="10">
        <f>INDEX([1]ratio_ins!AA:AA,MATCH('001_population_health_zone_zs'!$B$2,[1]ratio_ins!$B:$B,0))*$G279*INDEX([1]ratio_ins!$D:$D,MATCH('001_population_health_zone_zs'!$B279,[1]ratio_ins!$B:$B,0))</f>
        <v>19230.774570000001</v>
      </c>
      <c r="AE279" s="10">
        <f>INDEX([1]ratio_ins!AB:AB,MATCH('001_population_health_zone_zs'!$B$2,[1]ratio_ins!$B:$B,0))*$G279*INDEX([1]ratio_ins!$D:$D,MATCH('001_population_health_zone_zs'!$B279,[1]ratio_ins!$B:$B,0))</f>
        <v>15842.495241000002</v>
      </c>
      <c r="AF279" s="10">
        <f>INDEX([1]ratio_ins!AC:AC,MATCH('001_population_health_zone_zs'!$B$2,[1]ratio_ins!$B:$B,0))*$G279*INDEX([1]ratio_ins!$D:$D,MATCH('001_population_health_zone_zs'!$B279,[1]ratio_ins!$B:$B,0))</f>
        <v>12545.791028999998</v>
      </c>
      <c r="AG279" s="10">
        <f>INDEX([1]ratio_ins!AD:AD,MATCH('001_population_health_zone_zs'!$B$2,[1]ratio_ins!$B:$B,0))*$G279*INDEX([1]ratio_ins!$D:$D,MATCH('001_population_health_zone_zs'!$B279,[1]ratio_ins!$B:$B,0))</f>
        <v>7600.734711000001</v>
      </c>
      <c r="AH279" s="10">
        <f>INDEX([1]ratio_ins!AE:AE,MATCH('001_population_health_zone_zs'!$B$2,[1]ratio_ins!$B:$B,0))*$G279*INDEX([1]ratio_ins!$D:$D,MATCH('001_population_health_zone_zs'!$B279,[1]ratio_ins!$B:$B,0))</f>
        <v>4560.4408266</v>
      </c>
      <c r="AI279" s="13">
        <f>INDEX([1]ratio_ins!AF:AF,MATCH('001_population_health_zone_zs'!$B$2,[1]ratio_ins!$B:$B,0))*$G279*INDEX([1]ratio_ins!$D:$D,MATCH('001_population_health_zone_zs'!$B279,[1]ratio_ins!$B:$B,0))</f>
        <v>52179.501666600001</v>
      </c>
      <c r="AJ279" s="10">
        <f>INDEX([1]ratio_ins!AG:AG,MATCH('001_population_health_zone_zs'!$B$2,[1]ratio_ins!$B:$B,0))*$G279*INDEX([1]ratio_ins!$D:$D,MATCH('001_population_health_zone_zs'!$B279,[1]ratio_ins!$B:$B,0))</f>
        <v>3040.2938844</v>
      </c>
      <c r="AK279" s="10">
        <f>INDEX([1]ratio_ins!AH:AH,MATCH('001_population_health_zone_zs'!$B$2,[1]ratio_ins!$B:$B,0))*$G279*INDEX([1]ratio_ins!$D:$D,MATCH('001_population_health_zone_zs'!$B279,[1]ratio_ins!$B:$B,0))</f>
        <v>6776.5586580000008</v>
      </c>
      <c r="AL279" s="10">
        <f>INDEX([1]ratio_ins!AI:AI,MATCH('001_population_health_zone_zs'!$B$2,[1]ratio_ins!$B:$B,0))*$G279*INDEX([1]ratio_ins!$D:$D,MATCH('001_population_health_zone_zs'!$B279,[1]ratio_ins!$B:$B,0))</f>
        <v>6410.2581900000005</v>
      </c>
      <c r="AM279" s="10">
        <f>INDEX([1]ratio_ins!AJ:AJ,MATCH('001_population_health_zone_zs'!$B$2,[1]ratio_ins!$B:$B,0))*$G279*INDEX([1]ratio_ins!$D:$D,MATCH('001_population_health_zone_zs'!$B279,[1]ratio_ins!$B:$B,0))</f>
        <v>5860.8074880000004</v>
      </c>
      <c r="AN279" s="10">
        <f>INDEX([1]ratio_ins!AK:AK,MATCH('001_population_health_zone_zs'!$B$2,[1]ratio_ins!$B:$B,0))*$G279*INDEX([1]ratio_ins!$D:$D,MATCH('001_population_health_zone_zs'!$B279,[1]ratio_ins!$B:$B,0))</f>
        <v>5494.50702</v>
      </c>
      <c r="AO279" s="10">
        <f>INDEX([1]ratio_ins!AL:AL,MATCH('001_population_health_zone_zs'!$B$2,[1]ratio_ins!$B:$B,0))*$G279*INDEX([1]ratio_ins!$D:$D,MATCH('001_population_health_zone_zs'!$B279,[1]ratio_ins!$B:$B,0))</f>
        <v>4120.8802649999998</v>
      </c>
      <c r="AP279" s="10">
        <f>INDEX([1]ratio_ins!AM:AM,MATCH('001_population_health_zone_zs'!$B$2,[1]ratio_ins!$B:$B,0))*$G279*INDEX([1]ratio_ins!$D:$D,MATCH('001_population_health_zone_zs'!$B279,[1]ratio_ins!$B:$B,0))</f>
        <v>2655.6783929999997</v>
      </c>
      <c r="AQ279" s="10">
        <f>INDEX([1]ratio_ins!AN:AN,MATCH('001_population_health_zone_zs'!$B$2,[1]ratio_ins!$B:$B,0))*$G279*INDEX([1]ratio_ins!$D:$D,MATCH('001_population_health_zone_zs'!$B279,[1]ratio_ins!$B:$B,0))</f>
        <v>2106.227691</v>
      </c>
      <c r="AR279" s="10">
        <f>INDEX([1]ratio_ins!AO:AO,MATCH('001_population_health_zone_zs'!$B$2,[1]ratio_ins!$B:$B,0))*$G279*INDEX([1]ratio_ins!$D:$D,MATCH('001_population_health_zone_zs'!$B279,[1]ratio_ins!$B:$B,0))</f>
        <v>1007.3262870000001</v>
      </c>
      <c r="AS279" s="13">
        <f>INDEX([1]ratio_ins!AP:AP,MATCH('001_population_health_zone_zs'!$B$2,[1]ratio_ins!$B:$B,0))*$G279*INDEX([1]ratio_ins!$D:$D,MATCH('001_population_health_zone_zs'!$B279,[1]ratio_ins!$B:$B,0))</f>
        <v>37472.537876400005</v>
      </c>
      <c r="AT279" s="10">
        <f>INDEX([1]ratio_ins!AQ:AQ,MATCH('001_population_health_zone_zs'!$B$2,[1]ratio_ins!$B:$B,0))*$G279*INDEX([1]ratio_ins!$D:$D,MATCH('001_population_health_zone_zs'!$B279,[1]ratio_ins!$B:$B,0))</f>
        <v>915.75117000000012</v>
      </c>
      <c r="AU279" s="10">
        <f>INDEX([1]ratio_ins!AR:AR,MATCH('001_population_health_zone_zs'!$B$2,[1]ratio_ins!$B:$B,0))*$G279*INDEX([1]ratio_ins!$D:$D,MATCH('001_population_health_zone_zs'!$B279,[1]ratio_ins!$B:$B,0))</f>
        <v>549.45070200000009</v>
      </c>
      <c r="AV279" s="10">
        <f>INDEX([1]ratio_ins!AS:AS,MATCH('001_population_health_zone_zs'!$B$2,[1]ratio_ins!$B:$B,0))*$G279*INDEX([1]ratio_ins!$D:$D,MATCH('001_population_health_zone_zs'!$B279,[1]ratio_ins!$B:$B,0))</f>
        <v>274.72535100000005</v>
      </c>
      <c r="AW279" s="10">
        <f>INDEX([1]ratio_ins!AT:AT,MATCH('001_population_health_zone_zs'!$B$2,[1]ratio_ins!$B:$B,0))*$G279*INDEX([1]ratio_ins!$D:$D,MATCH('001_population_health_zone_zs'!$B279,[1]ratio_ins!$B:$B,0))</f>
        <v>183.15023400000001</v>
      </c>
      <c r="AX279" s="13">
        <f>INDEX([1]ratio_ins!AU:AU,MATCH('001_population_health_zone_zs'!$B$2,[1]ratio_ins!$B:$B,0))*$G279*INDEX([1]ratio_ins!$D:$D,MATCH('001_population_health_zone_zs'!$B279,[1]ratio_ins!$B:$B,0))</f>
        <v>1923.0774569999996</v>
      </c>
      <c r="AY279" s="14">
        <f t="shared" si="25"/>
        <v>91575.117000000013</v>
      </c>
      <c r="AZ279" s="15">
        <f t="shared" si="26"/>
        <v>178509.00000000003</v>
      </c>
      <c r="BA279" s="16">
        <v>171273.26498308976</v>
      </c>
      <c r="BB279" s="10">
        <f t="shared" si="27"/>
        <v>38919.424724999997</v>
      </c>
      <c r="BC279" s="17">
        <f t="shared" si="28"/>
        <v>0.218025</v>
      </c>
      <c r="BD279" s="10">
        <f t="shared" si="29"/>
        <v>36251.429211000002</v>
      </c>
    </row>
    <row r="280" spans="1:56" x14ac:dyDescent="0.25">
      <c r="A280" s="8" t="s">
        <v>671</v>
      </c>
      <c r="B280" s="8" t="s">
        <v>672</v>
      </c>
      <c r="C280" s="8" t="s">
        <v>690</v>
      </c>
      <c r="D280" s="8" t="s">
        <v>691</v>
      </c>
      <c r="E280" s="8" t="s">
        <v>694</v>
      </c>
      <c r="F280" s="8" t="s">
        <v>695</v>
      </c>
      <c r="G280" s="9">
        <v>101836</v>
      </c>
      <c r="H280" s="10">
        <f>INDEX([1]ratio_ins!F:F,MATCH('001_population_health_zone_zs'!$B$2,[1]ratio_ins!$B:$B,0))*$G280*INDEX([1]ratio_ins!$C:$C,MATCH('001_population_health_zone_zs'!$B280,[1]ratio_ins!$B:$B,0))</f>
        <v>10365.173588</v>
      </c>
      <c r="I280" s="10">
        <f>INDEX([1]ratio_ins!G:G,MATCH('001_population_health_zone_zs'!$B$2,[1]ratio_ins!$B:$B,0))*$G280*INDEX([1]ratio_ins!$C:$C,MATCH('001_population_health_zone_zs'!$B280,[1]ratio_ins!$B:$B,0))</f>
        <v>8480.5965720000022</v>
      </c>
      <c r="J280" s="10">
        <f>INDEX([1]ratio_ins!H:H,MATCH('001_population_health_zone_zs'!$B$2,[1]ratio_ins!$B:$B,0))*$G280*INDEX([1]ratio_ins!$C:$C,MATCH('001_population_health_zone_zs'!$B280,[1]ratio_ins!$B:$B,0))</f>
        <v>6695.2078200000005</v>
      </c>
      <c r="K280" s="10">
        <f>INDEX([1]ratio_ins!I:I,MATCH('001_population_health_zone_zs'!$B$2,[1]ratio_ins!$B:$B,0))*$G280*INDEX([1]ratio_ins!$C:$C,MATCH('001_population_health_zone_zs'!$B280,[1]ratio_ins!$B:$B,0))</f>
        <v>4116.3129560000007</v>
      </c>
      <c r="L280" s="10">
        <f>INDEX([1]ratio_ins!J:J,MATCH('001_population_health_zone_zs'!$B$2,[1]ratio_ins!$B:$B,0))*$G280*INDEX([1]ratio_ins!$C:$C,MATCH('001_population_health_zone_zs'!$B280,[1]ratio_ins!$B:$B,0))</f>
        <v>2469.7877736</v>
      </c>
      <c r="M280" s="11">
        <f>INDEX([1]ratio_ins!K:K,MATCH('001_population_health_zone_zs'!$B$2,[1]ratio_ins!$B:$B,0))*$G280*INDEX([1]ratio_ins!$C:$C,MATCH('001_population_health_zone_zs'!$B280,[1]ratio_ins!$B:$B,0))</f>
        <v>28010.765753600001</v>
      </c>
      <c r="N280" s="10">
        <f>INDEX([1]ratio_ins!L:L,MATCH('001_population_health_zone_zs'!$B$2,[1]ratio_ins!$B:$B,0))*$G280*INDEX([1]ratio_ins!$C:$C,MATCH('001_population_health_zone_zs'!$B280,[1]ratio_ins!$B:$B,0))</f>
        <v>1646.5251824000002</v>
      </c>
      <c r="O280" s="10">
        <f>INDEX([1]ratio_ins!M:M,MATCH('001_population_health_zone_zs'!$B$2,[1]ratio_ins!$B:$B,0))*$G280*INDEX([1]ratio_ins!$C:$C,MATCH('001_population_health_zone_zs'!$B280,[1]ratio_ins!$B:$B,0))</f>
        <v>3570.7775040000006</v>
      </c>
      <c r="P280" s="10">
        <f>INDEX([1]ratio_ins!N:N,MATCH('001_population_health_zone_zs'!$B$2,[1]ratio_ins!$B:$B,0))*$G280*INDEX([1]ratio_ins!$C:$C,MATCH('001_population_health_zone_zs'!$B280,[1]ratio_ins!$B:$B,0))</f>
        <v>3223.6185800000003</v>
      </c>
      <c r="Q280" s="10">
        <f>INDEX([1]ratio_ins!O:O,MATCH('001_population_health_zone_zs'!$B$2,[1]ratio_ins!$B:$B,0))*$G280*INDEX([1]ratio_ins!$C:$C,MATCH('001_population_health_zone_zs'!$B280,[1]ratio_ins!$B:$B,0))</f>
        <v>2876.459656</v>
      </c>
      <c r="R280" s="10">
        <f>INDEX([1]ratio_ins!P:P,MATCH('001_population_health_zone_zs'!$B$2,[1]ratio_ins!$B:$B,0))*$G280*INDEX([1]ratio_ins!$C:$C,MATCH('001_population_health_zone_zs'!$B280,[1]ratio_ins!$B:$B,0))</f>
        <v>2826.8655240000003</v>
      </c>
      <c r="S280" s="10">
        <f>INDEX([1]ratio_ins!Q:Q,MATCH('001_population_health_zone_zs'!$B$2,[1]ratio_ins!$B:$B,0))*$G280*INDEX([1]ratio_ins!$C:$C,MATCH('001_population_health_zone_zs'!$B280,[1]ratio_ins!$B:$B,0))</f>
        <v>2380.5183360000001</v>
      </c>
      <c r="T280" s="10">
        <f>INDEX([1]ratio_ins!R:R,MATCH('001_population_health_zone_zs'!$B$2,[1]ratio_ins!$B:$B,0))*$G280*INDEX([1]ratio_ins!$C:$C,MATCH('001_population_health_zone_zs'!$B280,[1]ratio_ins!$B:$B,0))</f>
        <v>1686.2004880000004</v>
      </c>
      <c r="U280" s="10">
        <f>INDEX([1]ratio_ins!S:S,MATCH('001_population_health_zone_zs'!$B$2,[1]ratio_ins!$B:$B,0))*$G280*INDEX([1]ratio_ins!$C:$C,MATCH('001_population_health_zone_zs'!$B280,[1]ratio_ins!$B:$B,0))</f>
        <v>1339.0415640000001</v>
      </c>
      <c r="V280" s="10">
        <f>INDEX([1]ratio_ins!T:T,MATCH('001_population_health_zone_zs'!$B$2,[1]ratio_ins!$B:$B,0))*$G280*INDEX([1]ratio_ins!$C:$C,MATCH('001_population_health_zone_zs'!$B280,[1]ratio_ins!$B:$B,0))</f>
        <v>743.91198000000009</v>
      </c>
      <c r="W280" s="11">
        <f>INDEX([1]ratio_ins!U:U,MATCH('001_population_health_zone_zs'!$B$2,[1]ratio_ins!$B:$B,0))*$G280*INDEX([1]ratio_ins!$C:$C,MATCH('001_population_health_zone_zs'!$B280,[1]ratio_ins!$B:$B,0))</f>
        <v>20293.9188144</v>
      </c>
      <c r="X280" s="10">
        <f>INDEX([1]ratio_ins!V:V,MATCH('001_population_health_zone_zs'!$B$2,[1]ratio_ins!$B:$B,0))*$G280*INDEX([1]ratio_ins!$C:$C,MATCH('001_population_health_zone_zs'!$B280,[1]ratio_ins!$B:$B,0))</f>
        <v>595.12958400000002</v>
      </c>
      <c r="Y280" s="10">
        <f>INDEX([1]ratio_ins!W:W,MATCH('001_population_health_zone_zs'!$B$2,[1]ratio_ins!$B:$B,0))*$G280*INDEX([1]ratio_ins!$C:$C,MATCH('001_population_health_zone_zs'!$B280,[1]ratio_ins!$B:$B,0))</f>
        <v>396.75305600000002</v>
      </c>
      <c r="Z280" s="10">
        <f>INDEX([1]ratio_ins!X:X,MATCH('001_population_health_zone_zs'!$B$2,[1]ratio_ins!$B:$B,0))*$G280*INDEX([1]ratio_ins!$C:$C,MATCH('001_population_health_zone_zs'!$B280,[1]ratio_ins!$B:$B,0))</f>
        <v>198.37652800000001</v>
      </c>
      <c r="AA280" s="10">
        <f>INDEX([1]ratio_ins!Y:Y,MATCH('001_population_health_zone_zs'!$B$2,[1]ratio_ins!$B:$B,0))*$G280*INDEX([1]ratio_ins!$C:$C,MATCH('001_population_health_zone_zs'!$B280,[1]ratio_ins!$B:$B,0))</f>
        <v>99.188264000000004</v>
      </c>
      <c r="AB280" s="11">
        <f>INDEX([1]ratio_ins!Z:Z,MATCH('001_population_health_zone_zs'!$B$2,[1]ratio_ins!$B:$B,0))*$G280*INDEX([1]ratio_ins!$C:$C,MATCH('001_population_health_zone_zs'!$B280,[1]ratio_ins!$B:$B,0))</f>
        <v>1289.4474320000004</v>
      </c>
      <c r="AC280" s="12">
        <f t="shared" si="24"/>
        <v>49594.131999999998</v>
      </c>
      <c r="AD280" s="10">
        <f>INDEX([1]ratio_ins!AA:AA,MATCH('001_population_health_zone_zs'!$B$2,[1]ratio_ins!$B:$B,0))*$G280*INDEX([1]ratio_ins!$D:$D,MATCH('001_population_health_zone_zs'!$B280,[1]ratio_ins!$B:$B,0))</f>
        <v>10970.79228</v>
      </c>
      <c r="AE280" s="10">
        <f>INDEX([1]ratio_ins!AB:AB,MATCH('001_population_health_zone_zs'!$B$2,[1]ratio_ins!$B:$B,0))*$G280*INDEX([1]ratio_ins!$D:$D,MATCH('001_population_health_zone_zs'!$B280,[1]ratio_ins!$B:$B,0))</f>
        <v>9037.8431639999999</v>
      </c>
      <c r="AF280" s="10">
        <f>INDEX([1]ratio_ins!AC:AC,MATCH('001_population_health_zone_zs'!$B$2,[1]ratio_ins!$B:$B,0))*$G280*INDEX([1]ratio_ins!$D:$D,MATCH('001_population_health_zone_zs'!$B280,[1]ratio_ins!$B:$B,0))</f>
        <v>7157.1359159999993</v>
      </c>
      <c r="AG280" s="10">
        <f>INDEX([1]ratio_ins!AD:AD,MATCH('001_population_health_zone_zs'!$B$2,[1]ratio_ins!$B:$B,0))*$G280*INDEX([1]ratio_ins!$D:$D,MATCH('001_population_health_zone_zs'!$B280,[1]ratio_ins!$B:$B,0))</f>
        <v>4336.0750440000002</v>
      </c>
      <c r="AH280" s="10">
        <f>INDEX([1]ratio_ins!AE:AE,MATCH('001_population_health_zone_zs'!$B$2,[1]ratio_ins!$B:$B,0))*$G280*INDEX([1]ratio_ins!$D:$D,MATCH('001_population_health_zone_zs'!$B280,[1]ratio_ins!$B:$B,0))</f>
        <v>2601.6450264</v>
      </c>
      <c r="AI280" s="13">
        <f>INDEX([1]ratio_ins!AF:AF,MATCH('001_population_health_zone_zs'!$B$2,[1]ratio_ins!$B:$B,0))*$G280*INDEX([1]ratio_ins!$D:$D,MATCH('001_population_health_zone_zs'!$B280,[1]ratio_ins!$B:$B,0))</f>
        <v>29767.4163864</v>
      </c>
      <c r="AJ280" s="10">
        <f>INDEX([1]ratio_ins!AG:AG,MATCH('001_population_health_zone_zs'!$B$2,[1]ratio_ins!$B:$B,0))*$G280*INDEX([1]ratio_ins!$D:$D,MATCH('001_population_health_zone_zs'!$B280,[1]ratio_ins!$B:$B,0))</f>
        <v>1734.4300175999999</v>
      </c>
      <c r="AK280" s="10">
        <f>INDEX([1]ratio_ins!AH:AH,MATCH('001_population_health_zone_zs'!$B$2,[1]ratio_ins!$B:$B,0))*$G280*INDEX([1]ratio_ins!$D:$D,MATCH('001_population_health_zone_zs'!$B280,[1]ratio_ins!$B:$B,0))</f>
        <v>3865.8982320000009</v>
      </c>
      <c r="AL280" s="10">
        <f>INDEX([1]ratio_ins!AI:AI,MATCH('001_population_health_zone_zs'!$B$2,[1]ratio_ins!$B:$B,0))*$G280*INDEX([1]ratio_ins!$D:$D,MATCH('001_population_health_zone_zs'!$B280,[1]ratio_ins!$B:$B,0))</f>
        <v>3656.9307600000002</v>
      </c>
      <c r="AM280" s="10">
        <f>INDEX([1]ratio_ins!AJ:AJ,MATCH('001_population_health_zone_zs'!$B$2,[1]ratio_ins!$B:$B,0))*$G280*INDEX([1]ratio_ins!$D:$D,MATCH('001_population_health_zone_zs'!$B280,[1]ratio_ins!$B:$B,0))</f>
        <v>3343.4795520000002</v>
      </c>
      <c r="AN280" s="10">
        <f>INDEX([1]ratio_ins!AK:AK,MATCH('001_population_health_zone_zs'!$B$2,[1]ratio_ins!$B:$B,0))*$G280*INDEX([1]ratio_ins!$D:$D,MATCH('001_population_health_zone_zs'!$B280,[1]ratio_ins!$B:$B,0))</f>
        <v>3134.51208</v>
      </c>
      <c r="AO280" s="10">
        <f>INDEX([1]ratio_ins!AL:AL,MATCH('001_population_health_zone_zs'!$B$2,[1]ratio_ins!$B:$B,0))*$G280*INDEX([1]ratio_ins!$D:$D,MATCH('001_population_health_zone_zs'!$B280,[1]ratio_ins!$B:$B,0))</f>
        <v>2350.8840599999999</v>
      </c>
      <c r="AP280" s="10">
        <f>INDEX([1]ratio_ins!AM:AM,MATCH('001_population_health_zone_zs'!$B$2,[1]ratio_ins!$B:$B,0))*$G280*INDEX([1]ratio_ins!$D:$D,MATCH('001_population_health_zone_zs'!$B280,[1]ratio_ins!$B:$B,0))</f>
        <v>1515.0141719999999</v>
      </c>
      <c r="AQ280" s="10">
        <f>INDEX([1]ratio_ins!AN:AN,MATCH('001_population_health_zone_zs'!$B$2,[1]ratio_ins!$B:$B,0))*$G280*INDEX([1]ratio_ins!$D:$D,MATCH('001_population_health_zone_zs'!$B280,[1]ratio_ins!$B:$B,0))</f>
        <v>1201.562964</v>
      </c>
      <c r="AR280" s="10">
        <f>INDEX([1]ratio_ins!AO:AO,MATCH('001_population_health_zone_zs'!$B$2,[1]ratio_ins!$B:$B,0))*$G280*INDEX([1]ratio_ins!$D:$D,MATCH('001_population_health_zone_zs'!$B280,[1]ratio_ins!$B:$B,0))</f>
        <v>574.66054800000006</v>
      </c>
      <c r="AS280" s="13">
        <f>INDEX([1]ratio_ins!AP:AP,MATCH('001_population_health_zone_zs'!$B$2,[1]ratio_ins!$B:$B,0))*$G280*INDEX([1]ratio_ins!$D:$D,MATCH('001_population_health_zone_zs'!$B280,[1]ratio_ins!$B:$B,0))</f>
        <v>21377.3723856</v>
      </c>
      <c r="AT280" s="10">
        <f>INDEX([1]ratio_ins!AQ:AQ,MATCH('001_population_health_zone_zs'!$B$2,[1]ratio_ins!$B:$B,0))*$G280*INDEX([1]ratio_ins!$D:$D,MATCH('001_population_health_zone_zs'!$B280,[1]ratio_ins!$B:$B,0))</f>
        <v>522.41867999999999</v>
      </c>
      <c r="AU280" s="10">
        <f>INDEX([1]ratio_ins!AR:AR,MATCH('001_population_health_zone_zs'!$B$2,[1]ratio_ins!$B:$B,0))*$G280*INDEX([1]ratio_ins!$D:$D,MATCH('001_population_health_zone_zs'!$B280,[1]ratio_ins!$B:$B,0))</f>
        <v>313.45120800000001</v>
      </c>
      <c r="AV280" s="10">
        <f>INDEX([1]ratio_ins!AS:AS,MATCH('001_population_health_zone_zs'!$B$2,[1]ratio_ins!$B:$B,0))*$G280*INDEX([1]ratio_ins!$D:$D,MATCH('001_population_health_zone_zs'!$B280,[1]ratio_ins!$B:$B,0))</f>
        <v>156.725604</v>
      </c>
      <c r="AW280" s="10">
        <f>INDEX([1]ratio_ins!AT:AT,MATCH('001_population_health_zone_zs'!$B$2,[1]ratio_ins!$B:$B,0))*$G280*INDEX([1]ratio_ins!$D:$D,MATCH('001_population_health_zone_zs'!$B280,[1]ratio_ins!$B:$B,0))</f>
        <v>104.48373600000001</v>
      </c>
      <c r="AX280" s="13">
        <f>INDEX([1]ratio_ins!AU:AU,MATCH('001_population_health_zone_zs'!$B$2,[1]ratio_ins!$B:$B,0))*$G280*INDEX([1]ratio_ins!$D:$D,MATCH('001_population_health_zone_zs'!$B280,[1]ratio_ins!$B:$B,0))</f>
        <v>1097.0792279999998</v>
      </c>
      <c r="AY280" s="14">
        <f t="shared" si="25"/>
        <v>52241.868000000002</v>
      </c>
      <c r="AZ280" s="15">
        <f t="shared" si="26"/>
        <v>101836</v>
      </c>
      <c r="BA280" s="16">
        <v>97708.618184124251</v>
      </c>
      <c r="BB280" s="10">
        <f t="shared" si="27"/>
        <v>22202.793900000001</v>
      </c>
      <c r="BC280" s="17">
        <f t="shared" si="28"/>
        <v>0.218025</v>
      </c>
      <c r="BD280" s="10">
        <f t="shared" si="29"/>
        <v>20680.753044000005</v>
      </c>
    </row>
    <row r="281" spans="1:56" x14ac:dyDescent="0.25">
      <c r="A281" s="8" t="s">
        <v>671</v>
      </c>
      <c r="B281" s="8" t="s">
        <v>672</v>
      </c>
      <c r="C281" s="8" t="s">
        <v>690</v>
      </c>
      <c r="D281" s="8" t="s">
        <v>691</v>
      </c>
      <c r="E281" s="8" t="s">
        <v>696</v>
      </c>
      <c r="F281" s="8" t="s">
        <v>697</v>
      </c>
      <c r="G281" s="9">
        <v>151496</v>
      </c>
      <c r="H281" s="10">
        <f>INDEX([1]ratio_ins!F:F,MATCH('001_population_health_zone_zs'!$B$2,[1]ratio_ins!$B:$B,0))*$G281*INDEX([1]ratio_ins!$C:$C,MATCH('001_population_health_zone_zs'!$B281,[1]ratio_ins!$B:$B,0))</f>
        <v>15419.717368</v>
      </c>
      <c r="I281" s="10">
        <f>INDEX([1]ratio_ins!G:G,MATCH('001_population_health_zone_zs'!$B$2,[1]ratio_ins!$B:$B,0))*$G281*INDEX([1]ratio_ins!$C:$C,MATCH('001_population_health_zone_zs'!$B281,[1]ratio_ins!$B:$B,0))</f>
        <v>12616.132392000003</v>
      </c>
      <c r="J281" s="10">
        <f>INDEX([1]ratio_ins!H:H,MATCH('001_population_health_zone_zs'!$B$2,[1]ratio_ins!$B:$B,0))*$G281*INDEX([1]ratio_ins!$C:$C,MATCH('001_population_health_zone_zs'!$B281,[1]ratio_ins!$B:$B,0))</f>
        <v>9960.1045200000026</v>
      </c>
      <c r="K281" s="10">
        <f>INDEX([1]ratio_ins!I:I,MATCH('001_population_health_zone_zs'!$B$2,[1]ratio_ins!$B:$B,0))*$G281*INDEX([1]ratio_ins!$C:$C,MATCH('001_population_health_zone_zs'!$B281,[1]ratio_ins!$B:$B,0))</f>
        <v>6123.6198160000013</v>
      </c>
      <c r="L281" s="10">
        <f>INDEX([1]ratio_ins!J:J,MATCH('001_population_health_zone_zs'!$B$2,[1]ratio_ins!$B:$B,0))*$G281*INDEX([1]ratio_ins!$C:$C,MATCH('001_population_health_zone_zs'!$B281,[1]ratio_ins!$B:$B,0))</f>
        <v>3674.1718896000002</v>
      </c>
      <c r="M281" s="11">
        <f>INDEX([1]ratio_ins!K:K,MATCH('001_population_health_zone_zs'!$B$2,[1]ratio_ins!$B:$B,0))*$G281*INDEX([1]ratio_ins!$C:$C,MATCH('001_population_health_zone_zs'!$B281,[1]ratio_ins!$B:$B,0))</f>
        <v>41670.1261696</v>
      </c>
      <c r="N281" s="10">
        <f>INDEX([1]ratio_ins!L:L,MATCH('001_population_health_zone_zs'!$B$2,[1]ratio_ins!$B:$B,0))*$G281*INDEX([1]ratio_ins!$C:$C,MATCH('001_population_health_zone_zs'!$B281,[1]ratio_ins!$B:$B,0))</f>
        <v>2449.4479264000001</v>
      </c>
      <c r="O281" s="10">
        <f>INDEX([1]ratio_ins!M:M,MATCH('001_population_health_zone_zs'!$B$2,[1]ratio_ins!$B:$B,0))*$G281*INDEX([1]ratio_ins!$C:$C,MATCH('001_population_health_zone_zs'!$B281,[1]ratio_ins!$B:$B,0))</f>
        <v>5312.0557440000011</v>
      </c>
      <c r="P281" s="10">
        <f>INDEX([1]ratio_ins!N:N,MATCH('001_population_health_zone_zs'!$B$2,[1]ratio_ins!$B:$B,0))*$G281*INDEX([1]ratio_ins!$C:$C,MATCH('001_population_health_zone_zs'!$B281,[1]ratio_ins!$B:$B,0))</f>
        <v>4795.6058800000001</v>
      </c>
      <c r="Q281" s="10">
        <f>INDEX([1]ratio_ins!O:O,MATCH('001_population_health_zone_zs'!$B$2,[1]ratio_ins!$B:$B,0))*$G281*INDEX([1]ratio_ins!$C:$C,MATCH('001_population_health_zone_zs'!$B281,[1]ratio_ins!$B:$B,0))</f>
        <v>4279.1560160000008</v>
      </c>
      <c r="R281" s="10">
        <f>INDEX([1]ratio_ins!P:P,MATCH('001_population_health_zone_zs'!$B$2,[1]ratio_ins!$B:$B,0))*$G281*INDEX([1]ratio_ins!$C:$C,MATCH('001_population_health_zone_zs'!$B281,[1]ratio_ins!$B:$B,0))</f>
        <v>4205.3774640000011</v>
      </c>
      <c r="S281" s="10">
        <f>INDEX([1]ratio_ins!Q:Q,MATCH('001_population_health_zone_zs'!$B$2,[1]ratio_ins!$B:$B,0))*$G281*INDEX([1]ratio_ins!$C:$C,MATCH('001_population_health_zone_zs'!$B281,[1]ratio_ins!$B:$B,0))</f>
        <v>3541.3704960000005</v>
      </c>
      <c r="T281" s="10">
        <f>INDEX([1]ratio_ins!R:R,MATCH('001_population_health_zone_zs'!$B$2,[1]ratio_ins!$B:$B,0))*$G281*INDEX([1]ratio_ins!$C:$C,MATCH('001_population_health_zone_zs'!$B281,[1]ratio_ins!$B:$B,0))</f>
        <v>2508.4707680000006</v>
      </c>
      <c r="U281" s="10">
        <f>INDEX([1]ratio_ins!S:S,MATCH('001_population_health_zone_zs'!$B$2,[1]ratio_ins!$B:$B,0))*$G281*INDEX([1]ratio_ins!$C:$C,MATCH('001_population_health_zone_zs'!$B281,[1]ratio_ins!$B:$B,0))</f>
        <v>1992.0209040000004</v>
      </c>
      <c r="V281" s="10">
        <f>INDEX([1]ratio_ins!T:T,MATCH('001_population_health_zone_zs'!$B$2,[1]ratio_ins!$B:$B,0))*$G281*INDEX([1]ratio_ins!$C:$C,MATCH('001_population_health_zone_zs'!$B281,[1]ratio_ins!$B:$B,0))</f>
        <v>1106.6782800000001</v>
      </c>
      <c r="W281" s="11">
        <f>INDEX([1]ratio_ins!U:U,MATCH('001_population_health_zone_zs'!$B$2,[1]ratio_ins!$B:$B,0))*$G281*INDEX([1]ratio_ins!$C:$C,MATCH('001_population_health_zone_zs'!$B281,[1]ratio_ins!$B:$B,0))</f>
        <v>30190.183478400006</v>
      </c>
      <c r="X281" s="10">
        <f>INDEX([1]ratio_ins!V:V,MATCH('001_population_health_zone_zs'!$B$2,[1]ratio_ins!$B:$B,0))*$G281*INDEX([1]ratio_ins!$C:$C,MATCH('001_population_health_zone_zs'!$B281,[1]ratio_ins!$B:$B,0))</f>
        <v>885.34262400000011</v>
      </c>
      <c r="Y281" s="10">
        <f>INDEX([1]ratio_ins!W:W,MATCH('001_population_health_zone_zs'!$B$2,[1]ratio_ins!$B:$B,0))*$G281*INDEX([1]ratio_ins!$C:$C,MATCH('001_population_health_zone_zs'!$B281,[1]ratio_ins!$B:$B,0))</f>
        <v>590.22841600000004</v>
      </c>
      <c r="Z281" s="10">
        <f>INDEX([1]ratio_ins!X:X,MATCH('001_population_health_zone_zs'!$B$2,[1]ratio_ins!$B:$B,0))*$G281*INDEX([1]ratio_ins!$C:$C,MATCH('001_population_health_zone_zs'!$B281,[1]ratio_ins!$B:$B,0))</f>
        <v>295.11420800000002</v>
      </c>
      <c r="AA281" s="10">
        <f>INDEX([1]ratio_ins!Y:Y,MATCH('001_population_health_zone_zs'!$B$2,[1]ratio_ins!$B:$B,0))*$G281*INDEX([1]ratio_ins!$C:$C,MATCH('001_population_health_zone_zs'!$B281,[1]ratio_ins!$B:$B,0))</f>
        <v>147.55710400000001</v>
      </c>
      <c r="AB281" s="11">
        <f>INDEX([1]ratio_ins!Z:Z,MATCH('001_population_health_zone_zs'!$B$2,[1]ratio_ins!$B:$B,0))*$G281*INDEX([1]ratio_ins!$C:$C,MATCH('001_population_health_zone_zs'!$B281,[1]ratio_ins!$B:$B,0))</f>
        <v>1918.2423520000002</v>
      </c>
      <c r="AC281" s="12">
        <f t="shared" si="24"/>
        <v>73778.552000000011</v>
      </c>
      <c r="AD281" s="10">
        <f>INDEX([1]ratio_ins!AA:AA,MATCH('001_population_health_zone_zs'!$B$2,[1]ratio_ins!$B:$B,0))*$G281*INDEX([1]ratio_ins!$D:$D,MATCH('001_population_health_zone_zs'!$B281,[1]ratio_ins!$B:$B,0))</f>
        <v>16320.66408</v>
      </c>
      <c r="AE281" s="10">
        <f>INDEX([1]ratio_ins!AB:AB,MATCH('001_population_health_zone_zs'!$B$2,[1]ratio_ins!$B:$B,0))*$G281*INDEX([1]ratio_ins!$D:$D,MATCH('001_population_health_zone_zs'!$B281,[1]ratio_ins!$B:$B,0))</f>
        <v>13445.118504</v>
      </c>
      <c r="AF281" s="10">
        <f>INDEX([1]ratio_ins!AC:AC,MATCH('001_population_health_zone_zs'!$B$2,[1]ratio_ins!$B:$B,0))*$G281*INDEX([1]ratio_ins!$D:$D,MATCH('001_population_health_zone_zs'!$B281,[1]ratio_ins!$B:$B,0))</f>
        <v>10647.290375999999</v>
      </c>
      <c r="AG281" s="10">
        <f>INDEX([1]ratio_ins!AD:AD,MATCH('001_population_health_zone_zs'!$B$2,[1]ratio_ins!$B:$B,0))*$G281*INDEX([1]ratio_ins!$D:$D,MATCH('001_population_health_zone_zs'!$B281,[1]ratio_ins!$B:$B,0))</f>
        <v>6450.5481840000011</v>
      </c>
      <c r="AH281" s="10">
        <f>INDEX([1]ratio_ins!AE:AE,MATCH('001_population_health_zone_zs'!$B$2,[1]ratio_ins!$B:$B,0))*$G281*INDEX([1]ratio_ins!$D:$D,MATCH('001_population_health_zone_zs'!$B281,[1]ratio_ins!$B:$B,0))</f>
        <v>3870.3289104</v>
      </c>
      <c r="AI281" s="13">
        <f>INDEX([1]ratio_ins!AF:AF,MATCH('001_population_health_zone_zs'!$B$2,[1]ratio_ins!$B:$B,0))*$G281*INDEX([1]ratio_ins!$D:$D,MATCH('001_population_health_zone_zs'!$B281,[1]ratio_ins!$B:$B,0))</f>
        <v>44283.401870399997</v>
      </c>
      <c r="AJ281" s="10">
        <f>INDEX([1]ratio_ins!AG:AG,MATCH('001_population_health_zone_zs'!$B$2,[1]ratio_ins!$B:$B,0))*$G281*INDEX([1]ratio_ins!$D:$D,MATCH('001_population_health_zone_zs'!$B281,[1]ratio_ins!$B:$B,0))</f>
        <v>2580.2192736000002</v>
      </c>
      <c r="AK281" s="10">
        <f>INDEX([1]ratio_ins!AH:AH,MATCH('001_population_health_zone_zs'!$B$2,[1]ratio_ins!$B:$B,0))*$G281*INDEX([1]ratio_ins!$D:$D,MATCH('001_population_health_zone_zs'!$B281,[1]ratio_ins!$B:$B,0))</f>
        <v>5751.0911520000009</v>
      </c>
      <c r="AL281" s="10">
        <f>INDEX([1]ratio_ins!AI:AI,MATCH('001_population_health_zone_zs'!$B$2,[1]ratio_ins!$B:$B,0))*$G281*INDEX([1]ratio_ins!$D:$D,MATCH('001_population_health_zone_zs'!$B281,[1]ratio_ins!$B:$B,0))</f>
        <v>5440.2213600000005</v>
      </c>
      <c r="AM281" s="10">
        <f>INDEX([1]ratio_ins!AJ:AJ,MATCH('001_population_health_zone_zs'!$B$2,[1]ratio_ins!$B:$B,0))*$G281*INDEX([1]ratio_ins!$D:$D,MATCH('001_population_health_zone_zs'!$B281,[1]ratio_ins!$B:$B,0))</f>
        <v>4973.9166720000003</v>
      </c>
      <c r="AN281" s="10">
        <f>INDEX([1]ratio_ins!AK:AK,MATCH('001_population_health_zone_zs'!$B$2,[1]ratio_ins!$B:$B,0))*$G281*INDEX([1]ratio_ins!$D:$D,MATCH('001_population_health_zone_zs'!$B281,[1]ratio_ins!$B:$B,0))</f>
        <v>4663.0468799999999</v>
      </c>
      <c r="AO281" s="10">
        <f>INDEX([1]ratio_ins!AL:AL,MATCH('001_population_health_zone_zs'!$B$2,[1]ratio_ins!$B:$B,0))*$G281*INDEX([1]ratio_ins!$D:$D,MATCH('001_population_health_zone_zs'!$B281,[1]ratio_ins!$B:$B,0))</f>
        <v>3497.2851599999999</v>
      </c>
      <c r="AP281" s="10">
        <f>INDEX([1]ratio_ins!AM:AM,MATCH('001_population_health_zone_zs'!$B$2,[1]ratio_ins!$B:$B,0))*$G281*INDEX([1]ratio_ins!$D:$D,MATCH('001_population_health_zone_zs'!$B281,[1]ratio_ins!$B:$B,0))</f>
        <v>2253.8059920000001</v>
      </c>
      <c r="AQ281" s="10">
        <f>INDEX([1]ratio_ins!AN:AN,MATCH('001_population_health_zone_zs'!$B$2,[1]ratio_ins!$B:$B,0))*$G281*INDEX([1]ratio_ins!$D:$D,MATCH('001_population_health_zone_zs'!$B281,[1]ratio_ins!$B:$B,0))</f>
        <v>1787.5013039999999</v>
      </c>
      <c r="AR281" s="10">
        <f>INDEX([1]ratio_ins!AO:AO,MATCH('001_population_health_zone_zs'!$B$2,[1]ratio_ins!$B:$B,0))*$G281*INDEX([1]ratio_ins!$D:$D,MATCH('001_population_health_zone_zs'!$B281,[1]ratio_ins!$B:$B,0))</f>
        <v>854.89192800000012</v>
      </c>
      <c r="AS281" s="13">
        <f>INDEX([1]ratio_ins!AP:AP,MATCH('001_population_health_zone_zs'!$B$2,[1]ratio_ins!$B:$B,0))*$G281*INDEX([1]ratio_ins!$D:$D,MATCH('001_population_health_zone_zs'!$B281,[1]ratio_ins!$B:$B,0))</f>
        <v>31801.979721600001</v>
      </c>
      <c r="AT281" s="10">
        <f>INDEX([1]ratio_ins!AQ:AQ,MATCH('001_population_health_zone_zs'!$B$2,[1]ratio_ins!$B:$B,0))*$G281*INDEX([1]ratio_ins!$D:$D,MATCH('001_population_health_zone_zs'!$B281,[1]ratio_ins!$B:$B,0))</f>
        <v>777.17448000000002</v>
      </c>
      <c r="AU281" s="10">
        <f>INDEX([1]ratio_ins!AR:AR,MATCH('001_population_health_zone_zs'!$B$2,[1]ratio_ins!$B:$B,0))*$G281*INDEX([1]ratio_ins!$D:$D,MATCH('001_population_health_zone_zs'!$B281,[1]ratio_ins!$B:$B,0))</f>
        <v>466.304688</v>
      </c>
      <c r="AV281" s="10">
        <f>INDEX([1]ratio_ins!AS:AS,MATCH('001_population_health_zone_zs'!$B$2,[1]ratio_ins!$B:$B,0))*$G281*INDEX([1]ratio_ins!$D:$D,MATCH('001_population_health_zone_zs'!$B281,[1]ratio_ins!$B:$B,0))</f>
        <v>233.152344</v>
      </c>
      <c r="AW281" s="10">
        <f>INDEX([1]ratio_ins!AT:AT,MATCH('001_population_health_zone_zs'!$B$2,[1]ratio_ins!$B:$B,0))*$G281*INDEX([1]ratio_ins!$D:$D,MATCH('001_population_health_zone_zs'!$B281,[1]ratio_ins!$B:$B,0))</f>
        <v>155.43489600000001</v>
      </c>
      <c r="AX281" s="13">
        <f>INDEX([1]ratio_ins!AU:AU,MATCH('001_population_health_zone_zs'!$B$2,[1]ratio_ins!$B:$B,0))*$G281*INDEX([1]ratio_ins!$D:$D,MATCH('001_population_health_zone_zs'!$B281,[1]ratio_ins!$B:$B,0))</f>
        <v>1632.0664079999999</v>
      </c>
      <c r="AY281" s="14">
        <f t="shared" si="25"/>
        <v>77717.447999999989</v>
      </c>
      <c r="AZ281" s="15">
        <f t="shared" si="26"/>
        <v>151496</v>
      </c>
      <c r="BA281" s="16">
        <v>145355.36067105149</v>
      </c>
      <c r="BB281" s="10">
        <f t="shared" si="27"/>
        <v>33029.915399999998</v>
      </c>
      <c r="BC281" s="17">
        <f t="shared" si="28"/>
        <v>0.218025</v>
      </c>
      <c r="BD281" s="10">
        <f t="shared" si="29"/>
        <v>30765.656184000003</v>
      </c>
    </row>
    <row r="282" spans="1:56" x14ac:dyDescent="0.25">
      <c r="A282" s="8" t="s">
        <v>671</v>
      </c>
      <c r="B282" s="8" t="s">
        <v>672</v>
      </c>
      <c r="C282" s="8" t="s">
        <v>690</v>
      </c>
      <c r="D282" s="8" t="s">
        <v>691</v>
      </c>
      <c r="E282" s="8" t="s">
        <v>690</v>
      </c>
      <c r="F282" s="8" t="s">
        <v>698</v>
      </c>
      <c r="G282" s="9">
        <v>157748</v>
      </c>
      <c r="H282" s="10">
        <f>INDEX([1]ratio_ins!F:F,MATCH('001_population_health_zone_zs'!$B$2,[1]ratio_ins!$B:$B,0))*$G282*INDEX([1]ratio_ins!$C:$C,MATCH('001_population_health_zone_zs'!$B282,[1]ratio_ins!$B:$B,0))</f>
        <v>16056.064684000003</v>
      </c>
      <c r="I282" s="10">
        <f>INDEX([1]ratio_ins!G:G,MATCH('001_population_health_zone_zs'!$B$2,[1]ratio_ins!$B:$B,0))*$G282*INDEX([1]ratio_ins!$C:$C,MATCH('001_population_health_zone_zs'!$B282,[1]ratio_ins!$B:$B,0))</f>
        <v>13136.780196000003</v>
      </c>
      <c r="J282" s="10">
        <f>INDEX([1]ratio_ins!H:H,MATCH('001_population_health_zone_zs'!$B$2,[1]ratio_ins!$B:$B,0))*$G282*INDEX([1]ratio_ins!$C:$C,MATCH('001_population_health_zone_zs'!$B282,[1]ratio_ins!$B:$B,0))</f>
        <v>10371.142260000002</v>
      </c>
      <c r="K282" s="10">
        <f>INDEX([1]ratio_ins!I:I,MATCH('001_population_health_zone_zs'!$B$2,[1]ratio_ins!$B:$B,0))*$G282*INDEX([1]ratio_ins!$C:$C,MATCH('001_population_health_zone_zs'!$B282,[1]ratio_ins!$B:$B,0))</f>
        <v>6376.331908000001</v>
      </c>
      <c r="L282" s="10">
        <f>INDEX([1]ratio_ins!J:J,MATCH('001_population_health_zone_zs'!$B$2,[1]ratio_ins!$B:$B,0))*$G282*INDEX([1]ratio_ins!$C:$C,MATCH('001_population_health_zone_zs'!$B282,[1]ratio_ins!$B:$B,0))</f>
        <v>3825.7991448000002</v>
      </c>
      <c r="M282" s="11">
        <f>INDEX([1]ratio_ins!K:K,MATCH('001_population_health_zone_zs'!$B$2,[1]ratio_ins!$B:$B,0))*$G282*INDEX([1]ratio_ins!$C:$C,MATCH('001_population_health_zone_zs'!$B282,[1]ratio_ins!$B:$B,0))</f>
        <v>43389.7862848</v>
      </c>
      <c r="N282" s="10">
        <f>INDEX([1]ratio_ins!L:L,MATCH('001_population_health_zone_zs'!$B$2,[1]ratio_ins!$B:$B,0))*$G282*INDEX([1]ratio_ins!$C:$C,MATCH('001_population_health_zone_zs'!$B282,[1]ratio_ins!$B:$B,0))</f>
        <v>2550.5327632000003</v>
      </c>
      <c r="O282" s="10">
        <f>INDEX([1]ratio_ins!M:M,MATCH('001_population_health_zone_zs'!$B$2,[1]ratio_ins!$B:$B,0))*$G282*INDEX([1]ratio_ins!$C:$C,MATCH('001_population_health_zone_zs'!$B282,[1]ratio_ins!$B:$B,0))</f>
        <v>5531.2758720000011</v>
      </c>
      <c r="P282" s="10">
        <f>INDEX([1]ratio_ins!N:N,MATCH('001_population_health_zone_zs'!$B$2,[1]ratio_ins!$B:$B,0))*$G282*INDEX([1]ratio_ins!$C:$C,MATCH('001_population_health_zone_zs'!$B282,[1]ratio_ins!$B:$B,0))</f>
        <v>4993.5129400000005</v>
      </c>
      <c r="Q282" s="10">
        <f>INDEX([1]ratio_ins!O:O,MATCH('001_population_health_zone_zs'!$B$2,[1]ratio_ins!$B:$B,0))*$G282*INDEX([1]ratio_ins!$C:$C,MATCH('001_population_health_zone_zs'!$B282,[1]ratio_ins!$B:$B,0))</f>
        <v>4455.750008</v>
      </c>
      <c r="R282" s="10">
        <f>INDEX([1]ratio_ins!P:P,MATCH('001_population_health_zone_zs'!$B$2,[1]ratio_ins!$B:$B,0))*$G282*INDEX([1]ratio_ins!$C:$C,MATCH('001_population_health_zone_zs'!$B282,[1]ratio_ins!$B:$B,0))</f>
        <v>4378.9267320000008</v>
      </c>
      <c r="S282" s="10">
        <f>INDEX([1]ratio_ins!Q:Q,MATCH('001_population_health_zone_zs'!$B$2,[1]ratio_ins!$B:$B,0))*$G282*INDEX([1]ratio_ins!$C:$C,MATCH('001_population_health_zone_zs'!$B282,[1]ratio_ins!$B:$B,0))</f>
        <v>3687.5172480000006</v>
      </c>
      <c r="T282" s="10">
        <f>INDEX([1]ratio_ins!R:R,MATCH('001_population_health_zone_zs'!$B$2,[1]ratio_ins!$B:$B,0))*$G282*INDEX([1]ratio_ins!$C:$C,MATCH('001_population_health_zone_zs'!$B282,[1]ratio_ins!$B:$B,0))</f>
        <v>2611.9913840000004</v>
      </c>
      <c r="U282" s="10">
        <f>INDEX([1]ratio_ins!S:S,MATCH('001_population_health_zone_zs'!$B$2,[1]ratio_ins!$B:$B,0))*$G282*INDEX([1]ratio_ins!$C:$C,MATCH('001_population_health_zone_zs'!$B282,[1]ratio_ins!$B:$B,0))</f>
        <v>2074.2284520000007</v>
      </c>
      <c r="V282" s="10">
        <f>INDEX([1]ratio_ins!T:T,MATCH('001_population_health_zone_zs'!$B$2,[1]ratio_ins!$B:$B,0))*$G282*INDEX([1]ratio_ins!$C:$C,MATCH('001_population_health_zone_zs'!$B282,[1]ratio_ins!$B:$B,0))</f>
        <v>1152.34914</v>
      </c>
      <c r="W282" s="11">
        <f>INDEX([1]ratio_ins!U:U,MATCH('001_population_health_zone_zs'!$B$2,[1]ratio_ins!$B:$B,0))*$G282*INDEX([1]ratio_ins!$C:$C,MATCH('001_population_health_zone_zs'!$B282,[1]ratio_ins!$B:$B,0))</f>
        <v>31436.084539200001</v>
      </c>
      <c r="X282" s="10">
        <f>INDEX([1]ratio_ins!V:V,MATCH('001_population_health_zone_zs'!$B$2,[1]ratio_ins!$B:$B,0))*$G282*INDEX([1]ratio_ins!$C:$C,MATCH('001_population_health_zone_zs'!$B282,[1]ratio_ins!$B:$B,0))</f>
        <v>921.87931200000014</v>
      </c>
      <c r="Y282" s="10">
        <f>INDEX([1]ratio_ins!W:W,MATCH('001_population_health_zone_zs'!$B$2,[1]ratio_ins!$B:$B,0))*$G282*INDEX([1]ratio_ins!$C:$C,MATCH('001_population_health_zone_zs'!$B282,[1]ratio_ins!$B:$B,0))</f>
        <v>614.58620800000006</v>
      </c>
      <c r="Z282" s="10">
        <f>INDEX([1]ratio_ins!X:X,MATCH('001_population_health_zone_zs'!$B$2,[1]ratio_ins!$B:$B,0))*$G282*INDEX([1]ratio_ins!$C:$C,MATCH('001_population_health_zone_zs'!$B282,[1]ratio_ins!$B:$B,0))</f>
        <v>307.29310400000003</v>
      </c>
      <c r="AA282" s="10">
        <f>INDEX([1]ratio_ins!Y:Y,MATCH('001_population_health_zone_zs'!$B$2,[1]ratio_ins!$B:$B,0))*$G282*INDEX([1]ratio_ins!$C:$C,MATCH('001_population_health_zone_zs'!$B282,[1]ratio_ins!$B:$B,0))</f>
        <v>153.64655200000001</v>
      </c>
      <c r="AB282" s="11">
        <f>INDEX([1]ratio_ins!Z:Z,MATCH('001_population_health_zone_zs'!$B$2,[1]ratio_ins!$B:$B,0))*$G282*INDEX([1]ratio_ins!$C:$C,MATCH('001_population_health_zone_zs'!$B282,[1]ratio_ins!$B:$B,0))</f>
        <v>1997.4051760000004</v>
      </c>
      <c r="AC282" s="12">
        <f t="shared" si="24"/>
        <v>76823.275999999998</v>
      </c>
      <c r="AD282" s="10">
        <f>INDEX([1]ratio_ins!AA:AA,MATCH('001_population_health_zone_zs'!$B$2,[1]ratio_ins!$B:$B,0))*$G282*INDEX([1]ratio_ins!$D:$D,MATCH('001_population_health_zone_zs'!$B282,[1]ratio_ins!$B:$B,0))</f>
        <v>16994.192040000002</v>
      </c>
      <c r="AE282" s="10">
        <f>INDEX([1]ratio_ins!AB:AB,MATCH('001_population_health_zone_zs'!$B$2,[1]ratio_ins!$B:$B,0))*$G282*INDEX([1]ratio_ins!$D:$D,MATCH('001_population_health_zone_zs'!$B282,[1]ratio_ins!$B:$B,0))</f>
        <v>13999.977252000001</v>
      </c>
      <c r="AF282" s="10">
        <f>INDEX([1]ratio_ins!AC:AC,MATCH('001_population_health_zone_zs'!$B$2,[1]ratio_ins!$B:$B,0))*$G282*INDEX([1]ratio_ins!$D:$D,MATCH('001_population_health_zone_zs'!$B282,[1]ratio_ins!$B:$B,0))</f>
        <v>11086.687188</v>
      </c>
      <c r="AG282" s="10">
        <f>INDEX([1]ratio_ins!AD:AD,MATCH('001_population_health_zone_zs'!$B$2,[1]ratio_ins!$B:$B,0))*$G282*INDEX([1]ratio_ins!$D:$D,MATCH('001_population_health_zone_zs'!$B282,[1]ratio_ins!$B:$B,0))</f>
        <v>6716.7520920000006</v>
      </c>
      <c r="AH282" s="10">
        <f>INDEX([1]ratio_ins!AE:AE,MATCH('001_population_health_zone_zs'!$B$2,[1]ratio_ins!$B:$B,0))*$G282*INDEX([1]ratio_ins!$D:$D,MATCH('001_population_health_zone_zs'!$B282,[1]ratio_ins!$B:$B,0))</f>
        <v>4030.0512551999996</v>
      </c>
      <c r="AI282" s="13">
        <f>INDEX([1]ratio_ins!AF:AF,MATCH('001_population_health_zone_zs'!$B$2,[1]ratio_ins!$B:$B,0))*$G282*INDEX([1]ratio_ins!$D:$D,MATCH('001_population_health_zone_zs'!$B282,[1]ratio_ins!$B:$B,0))</f>
        <v>46110.907735200002</v>
      </c>
      <c r="AJ282" s="10">
        <f>INDEX([1]ratio_ins!AG:AG,MATCH('001_population_health_zone_zs'!$B$2,[1]ratio_ins!$B:$B,0))*$G282*INDEX([1]ratio_ins!$D:$D,MATCH('001_population_health_zone_zs'!$B282,[1]ratio_ins!$B:$B,0))</f>
        <v>2686.7008368000002</v>
      </c>
      <c r="AK282" s="10">
        <f>INDEX([1]ratio_ins!AH:AH,MATCH('001_population_health_zone_zs'!$B$2,[1]ratio_ins!$B:$B,0))*$G282*INDEX([1]ratio_ins!$D:$D,MATCH('001_population_health_zone_zs'!$B282,[1]ratio_ins!$B:$B,0))</f>
        <v>5988.4295760000005</v>
      </c>
      <c r="AL282" s="10">
        <f>INDEX([1]ratio_ins!AI:AI,MATCH('001_population_health_zone_zs'!$B$2,[1]ratio_ins!$B:$B,0))*$G282*INDEX([1]ratio_ins!$D:$D,MATCH('001_population_health_zone_zs'!$B282,[1]ratio_ins!$B:$B,0))</f>
        <v>5664.7306800000006</v>
      </c>
      <c r="AM282" s="10">
        <f>INDEX([1]ratio_ins!AJ:AJ,MATCH('001_population_health_zone_zs'!$B$2,[1]ratio_ins!$B:$B,0))*$G282*INDEX([1]ratio_ins!$D:$D,MATCH('001_population_health_zone_zs'!$B282,[1]ratio_ins!$B:$B,0))</f>
        <v>5179.1823359999999</v>
      </c>
      <c r="AN282" s="10">
        <f>INDEX([1]ratio_ins!AK:AK,MATCH('001_population_health_zone_zs'!$B$2,[1]ratio_ins!$B:$B,0))*$G282*INDEX([1]ratio_ins!$D:$D,MATCH('001_population_health_zone_zs'!$B282,[1]ratio_ins!$B:$B,0))</f>
        <v>4855.48344</v>
      </c>
      <c r="AO282" s="10">
        <f>INDEX([1]ratio_ins!AL:AL,MATCH('001_population_health_zone_zs'!$B$2,[1]ratio_ins!$B:$B,0))*$G282*INDEX([1]ratio_ins!$D:$D,MATCH('001_population_health_zone_zs'!$B282,[1]ratio_ins!$B:$B,0))</f>
        <v>3641.61258</v>
      </c>
      <c r="AP282" s="10">
        <f>INDEX([1]ratio_ins!AM:AM,MATCH('001_population_health_zone_zs'!$B$2,[1]ratio_ins!$B:$B,0))*$G282*INDEX([1]ratio_ins!$D:$D,MATCH('001_population_health_zone_zs'!$B282,[1]ratio_ins!$B:$B,0))</f>
        <v>2346.816996</v>
      </c>
      <c r="AQ282" s="10">
        <f>INDEX([1]ratio_ins!AN:AN,MATCH('001_population_health_zone_zs'!$B$2,[1]ratio_ins!$B:$B,0))*$G282*INDEX([1]ratio_ins!$D:$D,MATCH('001_population_health_zone_zs'!$B282,[1]ratio_ins!$B:$B,0))</f>
        <v>1861.268652</v>
      </c>
      <c r="AR282" s="10">
        <f>INDEX([1]ratio_ins!AO:AO,MATCH('001_population_health_zone_zs'!$B$2,[1]ratio_ins!$B:$B,0))*$G282*INDEX([1]ratio_ins!$D:$D,MATCH('001_population_health_zone_zs'!$B282,[1]ratio_ins!$B:$B,0))</f>
        <v>890.171964</v>
      </c>
      <c r="AS282" s="13">
        <f>INDEX([1]ratio_ins!AP:AP,MATCH('001_population_health_zone_zs'!$B$2,[1]ratio_ins!$B:$B,0))*$G282*INDEX([1]ratio_ins!$D:$D,MATCH('001_population_health_zone_zs'!$B282,[1]ratio_ins!$B:$B,0))</f>
        <v>33114.397060800002</v>
      </c>
      <c r="AT282" s="10">
        <f>INDEX([1]ratio_ins!AQ:AQ,MATCH('001_population_health_zone_zs'!$B$2,[1]ratio_ins!$B:$B,0))*$G282*INDEX([1]ratio_ins!$D:$D,MATCH('001_population_health_zone_zs'!$B282,[1]ratio_ins!$B:$B,0))</f>
        <v>809.24724000000003</v>
      </c>
      <c r="AU282" s="10">
        <f>INDEX([1]ratio_ins!AR:AR,MATCH('001_population_health_zone_zs'!$B$2,[1]ratio_ins!$B:$B,0))*$G282*INDEX([1]ratio_ins!$D:$D,MATCH('001_population_health_zone_zs'!$B282,[1]ratio_ins!$B:$B,0))</f>
        <v>485.54834400000004</v>
      </c>
      <c r="AV282" s="10">
        <f>INDEX([1]ratio_ins!AS:AS,MATCH('001_population_health_zone_zs'!$B$2,[1]ratio_ins!$B:$B,0))*$G282*INDEX([1]ratio_ins!$D:$D,MATCH('001_population_health_zone_zs'!$B282,[1]ratio_ins!$B:$B,0))</f>
        <v>242.77417200000002</v>
      </c>
      <c r="AW282" s="10">
        <f>INDEX([1]ratio_ins!AT:AT,MATCH('001_population_health_zone_zs'!$B$2,[1]ratio_ins!$B:$B,0))*$G282*INDEX([1]ratio_ins!$D:$D,MATCH('001_population_health_zone_zs'!$B282,[1]ratio_ins!$B:$B,0))</f>
        <v>161.849448</v>
      </c>
      <c r="AX282" s="13">
        <f>INDEX([1]ratio_ins!AU:AU,MATCH('001_population_health_zone_zs'!$B$2,[1]ratio_ins!$B:$B,0))*$G282*INDEX([1]ratio_ins!$D:$D,MATCH('001_population_health_zone_zs'!$B282,[1]ratio_ins!$B:$B,0))</f>
        <v>1699.4192039999998</v>
      </c>
      <c r="AY282" s="14">
        <f t="shared" si="25"/>
        <v>80924.724000000017</v>
      </c>
      <c r="AZ282" s="15">
        <f t="shared" si="26"/>
        <v>157748</v>
      </c>
      <c r="BA282" s="16">
        <v>151353.52760776618</v>
      </c>
      <c r="BB282" s="10">
        <f t="shared" si="27"/>
        <v>34393.007700000002</v>
      </c>
      <c r="BC282" s="17">
        <f t="shared" si="28"/>
        <v>0.21802500000000002</v>
      </c>
      <c r="BD282" s="10">
        <f t="shared" si="29"/>
        <v>32035.306092000003</v>
      </c>
    </row>
    <row r="283" spans="1:56" x14ac:dyDescent="0.25">
      <c r="A283" s="8" t="s">
        <v>671</v>
      </c>
      <c r="B283" s="8" t="s">
        <v>672</v>
      </c>
      <c r="C283" s="8" t="s">
        <v>699</v>
      </c>
      <c r="D283" s="8" t="s">
        <v>700</v>
      </c>
      <c r="E283" s="8" t="s">
        <v>701</v>
      </c>
      <c r="F283" s="8" t="s">
        <v>702</v>
      </c>
      <c r="G283" s="9">
        <v>221094</v>
      </c>
      <c r="H283" s="10">
        <f>INDEX([1]ratio_ins!F:F,MATCH('001_population_health_zone_zs'!$B$2,[1]ratio_ins!$B:$B,0))*$G283*INDEX([1]ratio_ins!$C:$C,MATCH('001_population_health_zone_zs'!$B283,[1]ratio_ins!$B:$B,0))</f>
        <v>22503.610602000001</v>
      </c>
      <c r="I283" s="10">
        <f>INDEX([1]ratio_ins!G:G,MATCH('001_population_health_zone_zs'!$B$2,[1]ratio_ins!$B:$B,0))*$G283*INDEX([1]ratio_ins!$C:$C,MATCH('001_population_health_zone_zs'!$B283,[1]ratio_ins!$B:$B,0))</f>
        <v>18412.045038</v>
      </c>
      <c r="J283" s="10">
        <f>INDEX([1]ratio_ins!H:H,MATCH('001_population_health_zone_zs'!$B$2,[1]ratio_ins!$B:$B,0))*$G283*INDEX([1]ratio_ins!$C:$C,MATCH('001_population_health_zone_zs'!$B283,[1]ratio_ins!$B:$B,0))</f>
        <v>14535.825030000002</v>
      </c>
      <c r="K283" s="10">
        <f>INDEX([1]ratio_ins!I:I,MATCH('001_population_health_zone_zs'!$B$2,[1]ratio_ins!$B:$B,0))*$G283*INDEX([1]ratio_ins!$C:$C,MATCH('001_population_health_zone_zs'!$B283,[1]ratio_ins!$B:$B,0))</f>
        <v>8936.8405739999998</v>
      </c>
      <c r="L283" s="10">
        <f>INDEX([1]ratio_ins!J:J,MATCH('001_population_health_zone_zs'!$B$2,[1]ratio_ins!$B:$B,0))*$G283*INDEX([1]ratio_ins!$C:$C,MATCH('001_population_health_zone_zs'!$B283,[1]ratio_ins!$B:$B,0))</f>
        <v>5362.1043444000006</v>
      </c>
      <c r="M283" s="11">
        <f>INDEX([1]ratio_ins!K:K,MATCH('001_population_health_zone_zs'!$B$2,[1]ratio_ins!$B:$B,0))*$G283*INDEX([1]ratio_ins!$C:$C,MATCH('001_population_health_zone_zs'!$B283,[1]ratio_ins!$B:$B,0))</f>
        <v>60813.585014400007</v>
      </c>
      <c r="N283" s="10">
        <f>INDEX([1]ratio_ins!L:L,MATCH('001_population_health_zone_zs'!$B$2,[1]ratio_ins!$B:$B,0))*$G283*INDEX([1]ratio_ins!$C:$C,MATCH('001_population_health_zone_zs'!$B283,[1]ratio_ins!$B:$B,0))</f>
        <v>3574.7362296000006</v>
      </c>
      <c r="O283" s="10">
        <f>INDEX([1]ratio_ins!M:M,MATCH('001_population_health_zone_zs'!$B$2,[1]ratio_ins!$B:$B,0))*$G283*INDEX([1]ratio_ins!$C:$C,MATCH('001_population_health_zone_zs'!$B283,[1]ratio_ins!$B:$B,0))</f>
        <v>7752.4400160000014</v>
      </c>
      <c r="P283" s="10">
        <f>INDEX([1]ratio_ins!N:N,MATCH('001_population_health_zone_zs'!$B$2,[1]ratio_ins!$B:$B,0))*$G283*INDEX([1]ratio_ins!$C:$C,MATCH('001_population_health_zone_zs'!$B283,[1]ratio_ins!$B:$B,0))</f>
        <v>6998.7305700000006</v>
      </c>
      <c r="Q283" s="10">
        <f>INDEX([1]ratio_ins!O:O,MATCH('001_population_health_zone_zs'!$B$2,[1]ratio_ins!$B:$B,0))*$G283*INDEX([1]ratio_ins!$C:$C,MATCH('001_population_health_zone_zs'!$B283,[1]ratio_ins!$B:$B,0))</f>
        <v>6245.0211239999999</v>
      </c>
      <c r="R283" s="10">
        <f>INDEX([1]ratio_ins!P:P,MATCH('001_population_health_zone_zs'!$B$2,[1]ratio_ins!$B:$B,0))*$G283*INDEX([1]ratio_ins!$C:$C,MATCH('001_population_health_zone_zs'!$B283,[1]ratio_ins!$B:$B,0))</f>
        <v>6137.3483460000007</v>
      </c>
      <c r="S283" s="10">
        <f>INDEX([1]ratio_ins!Q:Q,MATCH('001_population_health_zone_zs'!$B$2,[1]ratio_ins!$B:$B,0))*$G283*INDEX([1]ratio_ins!$C:$C,MATCH('001_population_health_zone_zs'!$B283,[1]ratio_ins!$B:$B,0))</f>
        <v>5168.2933440000006</v>
      </c>
      <c r="T283" s="10">
        <f>INDEX([1]ratio_ins!R:R,MATCH('001_population_health_zone_zs'!$B$2,[1]ratio_ins!$B:$B,0))*$G283*INDEX([1]ratio_ins!$C:$C,MATCH('001_population_health_zone_zs'!$B283,[1]ratio_ins!$B:$B,0))</f>
        <v>3660.8744520000009</v>
      </c>
      <c r="U283" s="10">
        <f>INDEX([1]ratio_ins!S:S,MATCH('001_population_health_zone_zs'!$B$2,[1]ratio_ins!$B:$B,0))*$G283*INDEX([1]ratio_ins!$C:$C,MATCH('001_population_health_zone_zs'!$B283,[1]ratio_ins!$B:$B,0))</f>
        <v>2907.1650060000006</v>
      </c>
      <c r="V283" s="10">
        <f>INDEX([1]ratio_ins!T:T,MATCH('001_population_health_zone_zs'!$B$2,[1]ratio_ins!$B:$B,0))*$G283*INDEX([1]ratio_ins!$C:$C,MATCH('001_population_health_zone_zs'!$B283,[1]ratio_ins!$B:$B,0))</f>
        <v>1615.09167</v>
      </c>
      <c r="W283" s="11">
        <f>INDEX([1]ratio_ins!U:U,MATCH('001_population_health_zone_zs'!$B$2,[1]ratio_ins!$B:$B,0))*$G283*INDEX([1]ratio_ins!$C:$C,MATCH('001_population_health_zone_zs'!$B283,[1]ratio_ins!$B:$B,0))</f>
        <v>44059.700757600003</v>
      </c>
      <c r="X283" s="10">
        <f>INDEX([1]ratio_ins!V:V,MATCH('001_population_health_zone_zs'!$B$2,[1]ratio_ins!$B:$B,0))*$G283*INDEX([1]ratio_ins!$C:$C,MATCH('001_population_health_zone_zs'!$B283,[1]ratio_ins!$B:$B,0))</f>
        <v>1292.0733360000002</v>
      </c>
      <c r="Y283" s="10">
        <f>INDEX([1]ratio_ins!W:W,MATCH('001_population_health_zone_zs'!$B$2,[1]ratio_ins!$B:$B,0))*$G283*INDEX([1]ratio_ins!$C:$C,MATCH('001_population_health_zone_zs'!$B283,[1]ratio_ins!$B:$B,0))</f>
        <v>861.38222400000006</v>
      </c>
      <c r="Z283" s="10">
        <f>INDEX([1]ratio_ins!X:X,MATCH('001_population_health_zone_zs'!$B$2,[1]ratio_ins!$B:$B,0))*$G283*INDEX([1]ratio_ins!$C:$C,MATCH('001_population_health_zone_zs'!$B283,[1]ratio_ins!$B:$B,0))</f>
        <v>430.69111200000003</v>
      </c>
      <c r="AA283" s="10">
        <f>INDEX([1]ratio_ins!Y:Y,MATCH('001_population_health_zone_zs'!$B$2,[1]ratio_ins!$B:$B,0))*$G283*INDEX([1]ratio_ins!$C:$C,MATCH('001_population_health_zone_zs'!$B283,[1]ratio_ins!$B:$B,0))</f>
        <v>215.34555600000002</v>
      </c>
      <c r="AB283" s="11">
        <f>INDEX([1]ratio_ins!Z:Z,MATCH('001_population_health_zone_zs'!$B$2,[1]ratio_ins!$B:$B,0))*$G283*INDEX([1]ratio_ins!$C:$C,MATCH('001_population_health_zone_zs'!$B283,[1]ratio_ins!$B:$B,0))</f>
        <v>2799.4922280000005</v>
      </c>
      <c r="AC283" s="12">
        <f t="shared" si="24"/>
        <v>107672.77800000001</v>
      </c>
      <c r="AD283" s="10">
        <f>INDEX([1]ratio_ins!AA:AA,MATCH('001_population_health_zone_zs'!$B$2,[1]ratio_ins!$B:$B,0))*$G283*INDEX([1]ratio_ins!$D:$D,MATCH('001_population_health_zone_zs'!$B283,[1]ratio_ins!$B:$B,0))</f>
        <v>23818.456620000001</v>
      </c>
      <c r="AE283" s="10">
        <f>INDEX([1]ratio_ins!AB:AB,MATCH('001_population_health_zone_zs'!$B$2,[1]ratio_ins!$B:$B,0))*$G283*INDEX([1]ratio_ins!$D:$D,MATCH('001_population_health_zone_zs'!$B283,[1]ratio_ins!$B:$B,0))</f>
        <v>19621.871406000002</v>
      </c>
      <c r="AF283" s="10">
        <f>INDEX([1]ratio_ins!AC:AC,MATCH('001_population_health_zone_zs'!$B$2,[1]ratio_ins!$B:$B,0))*$G283*INDEX([1]ratio_ins!$D:$D,MATCH('001_population_health_zone_zs'!$B283,[1]ratio_ins!$B:$B,0))</f>
        <v>15538.707413999999</v>
      </c>
      <c r="AG283" s="10">
        <f>INDEX([1]ratio_ins!AD:AD,MATCH('001_population_health_zone_zs'!$B$2,[1]ratio_ins!$B:$B,0))*$G283*INDEX([1]ratio_ins!$D:$D,MATCH('001_population_health_zone_zs'!$B283,[1]ratio_ins!$B:$B,0))</f>
        <v>9413.9614259999998</v>
      </c>
      <c r="AH283" s="10">
        <f>INDEX([1]ratio_ins!AE:AE,MATCH('001_population_health_zone_zs'!$B$2,[1]ratio_ins!$B:$B,0))*$G283*INDEX([1]ratio_ins!$D:$D,MATCH('001_population_health_zone_zs'!$B283,[1]ratio_ins!$B:$B,0))</f>
        <v>5648.3768556000005</v>
      </c>
      <c r="AI283" s="13">
        <f>INDEX([1]ratio_ins!AF:AF,MATCH('001_population_health_zone_zs'!$B$2,[1]ratio_ins!$B:$B,0))*$G283*INDEX([1]ratio_ins!$D:$D,MATCH('001_population_health_zone_zs'!$B283,[1]ratio_ins!$B:$B,0))</f>
        <v>64627.412295599999</v>
      </c>
      <c r="AJ283" s="10">
        <f>INDEX([1]ratio_ins!AG:AG,MATCH('001_population_health_zone_zs'!$B$2,[1]ratio_ins!$B:$B,0))*$G283*INDEX([1]ratio_ins!$D:$D,MATCH('001_population_health_zone_zs'!$B283,[1]ratio_ins!$B:$B,0))</f>
        <v>3765.5845704000003</v>
      </c>
      <c r="AK283" s="10">
        <f>INDEX([1]ratio_ins!AH:AH,MATCH('001_population_health_zone_zs'!$B$2,[1]ratio_ins!$B:$B,0))*$G283*INDEX([1]ratio_ins!$D:$D,MATCH('001_population_health_zone_zs'!$B283,[1]ratio_ins!$B:$B,0))</f>
        <v>8393.1704280000013</v>
      </c>
      <c r="AL283" s="10">
        <f>INDEX([1]ratio_ins!AI:AI,MATCH('001_population_health_zone_zs'!$B$2,[1]ratio_ins!$B:$B,0))*$G283*INDEX([1]ratio_ins!$D:$D,MATCH('001_population_health_zone_zs'!$B283,[1]ratio_ins!$B:$B,0))</f>
        <v>7939.4855400000015</v>
      </c>
      <c r="AM283" s="10">
        <f>INDEX([1]ratio_ins!AJ:AJ,MATCH('001_population_health_zone_zs'!$B$2,[1]ratio_ins!$B:$B,0))*$G283*INDEX([1]ratio_ins!$D:$D,MATCH('001_population_health_zone_zs'!$B283,[1]ratio_ins!$B:$B,0))</f>
        <v>7258.958208</v>
      </c>
      <c r="AN283" s="10">
        <f>INDEX([1]ratio_ins!AK:AK,MATCH('001_population_health_zone_zs'!$B$2,[1]ratio_ins!$B:$B,0))*$G283*INDEX([1]ratio_ins!$D:$D,MATCH('001_population_health_zone_zs'!$B283,[1]ratio_ins!$B:$B,0))</f>
        <v>6805.2733200000002</v>
      </c>
      <c r="AO283" s="10">
        <f>INDEX([1]ratio_ins!AL:AL,MATCH('001_population_health_zone_zs'!$B$2,[1]ratio_ins!$B:$B,0))*$G283*INDEX([1]ratio_ins!$D:$D,MATCH('001_population_health_zone_zs'!$B283,[1]ratio_ins!$B:$B,0))</f>
        <v>5103.9549900000002</v>
      </c>
      <c r="AP283" s="10">
        <f>INDEX([1]ratio_ins!AM:AM,MATCH('001_population_health_zone_zs'!$B$2,[1]ratio_ins!$B:$B,0))*$G283*INDEX([1]ratio_ins!$D:$D,MATCH('001_population_health_zone_zs'!$B283,[1]ratio_ins!$B:$B,0))</f>
        <v>3289.2154379999997</v>
      </c>
      <c r="AQ283" s="10">
        <f>INDEX([1]ratio_ins!AN:AN,MATCH('001_population_health_zone_zs'!$B$2,[1]ratio_ins!$B:$B,0))*$G283*INDEX([1]ratio_ins!$D:$D,MATCH('001_population_health_zone_zs'!$B283,[1]ratio_ins!$B:$B,0))</f>
        <v>2608.6881060000001</v>
      </c>
      <c r="AR283" s="10">
        <f>INDEX([1]ratio_ins!AO:AO,MATCH('001_population_health_zone_zs'!$B$2,[1]ratio_ins!$B:$B,0))*$G283*INDEX([1]ratio_ins!$D:$D,MATCH('001_population_health_zone_zs'!$B283,[1]ratio_ins!$B:$B,0))</f>
        <v>1247.6334420000001</v>
      </c>
      <c r="AS283" s="13">
        <f>INDEX([1]ratio_ins!AP:AP,MATCH('001_population_health_zone_zs'!$B$2,[1]ratio_ins!$B:$B,0))*$G283*INDEX([1]ratio_ins!$D:$D,MATCH('001_population_health_zone_zs'!$B283,[1]ratio_ins!$B:$B,0))</f>
        <v>46411.964042400003</v>
      </c>
      <c r="AT283" s="10">
        <f>INDEX([1]ratio_ins!AQ:AQ,MATCH('001_population_health_zone_zs'!$B$2,[1]ratio_ins!$B:$B,0))*$G283*INDEX([1]ratio_ins!$D:$D,MATCH('001_population_health_zone_zs'!$B283,[1]ratio_ins!$B:$B,0))</f>
        <v>1134.2122200000001</v>
      </c>
      <c r="AU283" s="10">
        <f>INDEX([1]ratio_ins!AR:AR,MATCH('001_population_health_zone_zs'!$B$2,[1]ratio_ins!$B:$B,0))*$G283*INDEX([1]ratio_ins!$D:$D,MATCH('001_population_health_zone_zs'!$B283,[1]ratio_ins!$B:$B,0))</f>
        <v>680.527332</v>
      </c>
      <c r="AV283" s="10">
        <f>INDEX([1]ratio_ins!AS:AS,MATCH('001_population_health_zone_zs'!$B$2,[1]ratio_ins!$B:$B,0))*$G283*INDEX([1]ratio_ins!$D:$D,MATCH('001_population_health_zone_zs'!$B283,[1]ratio_ins!$B:$B,0))</f>
        <v>340.263666</v>
      </c>
      <c r="AW283" s="10">
        <f>INDEX([1]ratio_ins!AT:AT,MATCH('001_population_health_zone_zs'!$B$2,[1]ratio_ins!$B:$B,0))*$G283*INDEX([1]ratio_ins!$D:$D,MATCH('001_population_health_zone_zs'!$B283,[1]ratio_ins!$B:$B,0))</f>
        <v>226.842444</v>
      </c>
      <c r="AX283" s="13">
        <f>INDEX([1]ratio_ins!AU:AU,MATCH('001_population_health_zone_zs'!$B$2,[1]ratio_ins!$B:$B,0))*$G283*INDEX([1]ratio_ins!$D:$D,MATCH('001_population_health_zone_zs'!$B283,[1]ratio_ins!$B:$B,0))</f>
        <v>2381.8456619999997</v>
      </c>
      <c r="AY283" s="14">
        <f t="shared" si="25"/>
        <v>113421.22200000001</v>
      </c>
      <c r="AZ283" s="15">
        <f t="shared" si="26"/>
        <v>221094</v>
      </c>
      <c r="BA283" s="16">
        <v>212132.60804162931</v>
      </c>
      <c r="BB283" s="10">
        <f t="shared" si="27"/>
        <v>48204.019350000002</v>
      </c>
      <c r="BC283" s="17">
        <f t="shared" si="28"/>
        <v>0.218025</v>
      </c>
      <c r="BD283" s="10">
        <f t="shared" si="29"/>
        <v>44899.548426000001</v>
      </c>
    </row>
    <row r="284" spans="1:56" x14ac:dyDescent="0.25">
      <c r="A284" s="8" t="s">
        <v>671</v>
      </c>
      <c r="B284" s="8" t="s">
        <v>672</v>
      </c>
      <c r="C284" s="8" t="s">
        <v>699</v>
      </c>
      <c r="D284" s="8" t="s">
        <v>700</v>
      </c>
      <c r="E284" s="8" t="s">
        <v>703</v>
      </c>
      <c r="F284" s="8" t="s">
        <v>704</v>
      </c>
      <c r="G284" s="9">
        <v>119121</v>
      </c>
      <c r="H284" s="10">
        <f>INDEX([1]ratio_ins!F:F,MATCH('001_population_health_zone_zs'!$B$2,[1]ratio_ins!$B:$B,0))*$G284*INDEX([1]ratio_ins!$C:$C,MATCH('001_population_health_zone_zs'!$B284,[1]ratio_ins!$B:$B,0))</f>
        <v>12124.492743000001</v>
      </c>
      <c r="I284" s="10">
        <f>INDEX([1]ratio_ins!G:G,MATCH('001_population_health_zone_zs'!$B$2,[1]ratio_ins!$B:$B,0))*$G284*INDEX([1]ratio_ins!$C:$C,MATCH('001_population_health_zone_zs'!$B284,[1]ratio_ins!$B:$B,0))</f>
        <v>9920.0395170000029</v>
      </c>
      <c r="J284" s="10">
        <f>INDEX([1]ratio_ins!H:H,MATCH('001_population_health_zone_zs'!$B$2,[1]ratio_ins!$B:$B,0))*$G284*INDEX([1]ratio_ins!$C:$C,MATCH('001_population_health_zone_zs'!$B284,[1]ratio_ins!$B:$B,0))</f>
        <v>7831.6101450000015</v>
      </c>
      <c r="K284" s="10">
        <f>INDEX([1]ratio_ins!I:I,MATCH('001_population_health_zone_zs'!$B$2,[1]ratio_ins!$B:$B,0))*$G284*INDEX([1]ratio_ins!$C:$C,MATCH('001_population_health_zone_zs'!$B284,[1]ratio_ins!$B:$B,0))</f>
        <v>4814.9899409999998</v>
      </c>
      <c r="L284" s="10">
        <f>INDEX([1]ratio_ins!J:J,MATCH('001_population_health_zone_zs'!$B$2,[1]ratio_ins!$B:$B,0))*$G284*INDEX([1]ratio_ins!$C:$C,MATCH('001_population_health_zone_zs'!$B284,[1]ratio_ins!$B:$B,0))</f>
        <v>2888.9939645999998</v>
      </c>
      <c r="M284" s="11">
        <f>INDEX([1]ratio_ins!K:K,MATCH('001_population_health_zone_zs'!$B$2,[1]ratio_ins!$B:$B,0))*$G284*INDEX([1]ratio_ins!$C:$C,MATCH('001_population_health_zone_zs'!$B284,[1]ratio_ins!$B:$B,0))</f>
        <v>32765.136369600004</v>
      </c>
      <c r="N284" s="10">
        <f>INDEX([1]ratio_ins!L:L,MATCH('001_population_health_zone_zs'!$B$2,[1]ratio_ins!$B:$B,0))*$G284*INDEX([1]ratio_ins!$C:$C,MATCH('001_population_health_zone_zs'!$B284,[1]ratio_ins!$B:$B,0))</f>
        <v>1925.9959764000002</v>
      </c>
      <c r="O284" s="10">
        <f>INDEX([1]ratio_ins!M:M,MATCH('001_population_health_zone_zs'!$B$2,[1]ratio_ins!$B:$B,0))*$G284*INDEX([1]ratio_ins!$C:$C,MATCH('001_population_health_zone_zs'!$B284,[1]ratio_ins!$B:$B,0))</f>
        <v>4176.858744000001</v>
      </c>
      <c r="P284" s="10">
        <f>INDEX([1]ratio_ins!N:N,MATCH('001_population_health_zone_zs'!$B$2,[1]ratio_ins!$B:$B,0))*$G284*INDEX([1]ratio_ins!$C:$C,MATCH('001_population_health_zone_zs'!$B284,[1]ratio_ins!$B:$B,0))</f>
        <v>3770.7752550000005</v>
      </c>
      <c r="Q284" s="10">
        <f>INDEX([1]ratio_ins!O:O,MATCH('001_population_health_zone_zs'!$B$2,[1]ratio_ins!$B:$B,0))*$G284*INDEX([1]ratio_ins!$C:$C,MATCH('001_population_health_zone_zs'!$B284,[1]ratio_ins!$B:$B,0))</f>
        <v>3364.6917659999999</v>
      </c>
      <c r="R284" s="10">
        <f>INDEX([1]ratio_ins!P:P,MATCH('001_population_health_zone_zs'!$B$2,[1]ratio_ins!$B:$B,0))*$G284*INDEX([1]ratio_ins!$C:$C,MATCH('001_population_health_zone_zs'!$B284,[1]ratio_ins!$B:$B,0))</f>
        <v>3306.6798390000004</v>
      </c>
      <c r="S284" s="10">
        <f>INDEX([1]ratio_ins!Q:Q,MATCH('001_population_health_zone_zs'!$B$2,[1]ratio_ins!$B:$B,0))*$G284*INDEX([1]ratio_ins!$C:$C,MATCH('001_population_health_zone_zs'!$B284,[1]ratio_ins!$B:$B,0))</f>
        <v>2784.5724960000002</v>
      </c>
      <c r="T284" s="10">
        <f>INDEX([1]ratio_ins!R:R,MATCH('001_population_health_zone_zs'!$B$2,[1]ratio_ins!$B:$B,0))*$G284*INDEX([1]ratio_ins!$C:$C,MATCH('001_population_health_zone_zs'!$B284,[1]ratio_ins!$B:$B,0))</f>
        <v>1972.4055180000005</v>
      </c>
      <c r="U284" s="10">
        <f>INDEX([1]ratio_ins!S:S,MATCH('001_population_health_zone_zs'!$B$2,[1]ratio_ins!$B:$B,0))*$G284*INDEX([1]ratio_ins!$C:$C,MATCH('001_population_health_zone_zs'!$B284,[1]ratio_ins!$B:$B,0))</f>
        <v>1566.3220290000004</v>
      </c>
      <c r="V284" s="10">
        <f>INDEX([1]ratio_ins!T:T,MATCH('001_population_health_zone_zs'!$B$2,[1]ratio_ins!$B:$B,0))*$G284*INDEX([1]ratio_ins!$C:$C,MATCH('001_population_health_zone_zs'!$B284,[1]ratio_ins!$B:$B,0))</f>
        <v>870.17890499999999</v>
      </c>
      <c r="W284" s="11">
        <f>INDEX([1]ratio_ins!U:U,MATCH('001_population_health_zone_zs'!$B$2,[1]ratio_ins!$B:$B,0))*$G284*INDEX([1]ratio_ins!$C:$C,MATCH('001_population_health_zone_zs'!$B284,[1]ratio_ins!$B:$B,0))</f>
        <v>23738.480528400003</v>
      </c>
      <c r="X284" s="10">
        <f>INDEX([1]ratio_ins!V:V,MATCH('001_population_health_zone_zs'!$B$2,[1]ratio_ins!$B:$B,0))*$G284*INDEX([1]ratio_ins!$C:$C,MATCH('001_population_health_zone_zs'!$B284,[1]ratio_ins!$B:$B,0))</f>
        <v>696.14312400000006</v>
      </c>
      <c r="Y284" s="10">
        <f>INDEX([1]ratio_ins!W:W,MATCH('001_population_health_zone_zs'!$B$2,[1]ratio_ins!$B:$B,0))*$G284*INDEX([1]ratio_ins!$C:$C,MATCH('001_population_health_zone_zs'!$B284,[1]ratio_ins!$B:$B,0))</f>
        <v>464.09541600000006</v>
      </c>
      <c r="Z284" s="10">
        <f>INDEX([1]ratio_ins!X:X,MATCH('001_population_health_zone_zs'!$B$2,[1]ratio_ins!$B:$B,0))*$G284*INDEX([1]ratio_ins!$C:$C,MATCH('001_population_health_zone_zs'!$B284,[1]ratio_ins!$B:$B,0))</f>
        <v>232.04770800000003</v>
      </c>
      <c r="AA284" s="10">
        <f>INDEX([1]ratio_ins!Y:Y,MATCH('001_population_health_zone_zs'!$B$2,[1]ratio_ins!$B:$B,0))*$G284*INDEX([1]ratio_ins!$C:$C,MATCH('001_population_health_zone_zs'!$B284,[1]ratio_ins!$B:$B,0))</f>
        <v>116.02385400000001</v>
      </c>
      <c r="AB284" s="11">
        <f>INDEX([1]ratio_ins!Z:Z,MATCH('001_population_health_zone_zs'!$B$2,[1]ratio_ins!$B:$B,0))*$G284*INDEX([1]ratio_ins!$C:$C,MATCH('001_population_health_zone_zs'!$B284,[1]ratio_ins!$B:$B,0))</f>
        <v>1508.3101020000001</v>
      </c>
      <c r="AC284" s="12">
        <f t="shared" si="24"/>
        <v>58011.927000000011</v>
      </c>
      <c r="AD284" s="10">
        <f>INDEX([1]ratio_ins!AA:AA,MATCH('001_population_health_zone_zs'!$B$2,[1]ratio_ins!$B:$B,0))*$G284*INDEX([1]ratio_ins!$D:$D,MATCH('001_population_health_zone_zs'!$B284,[1]ratio_ins!$B:$B,0))</f>
        <v>12832.90533</v>
      </c>
      <c r="AE284" s="10">
        <f>INDEX([1]ratio_ins!AB:AB,MATCH('001_population_health_zone_zs'!$B$2,[1]ratio_ins!$B:$B,0))*$G284*INDEX([1]ratio_ins!$D:$D,MATCH('001_population_health_zone_zs'!$B284,[1]ratio_ins!$B:$B,0))</f>
        <v>10571.869629000001</v>
      </c>
      <c r="AF284" s="10">
        <f>INDEX([1]ratio_ins!AC:AC,MATCH('001_population_health_zone_zs'!$B$2,[1]ratio_ins!$B:$B,0))*$G284*INDEX([1]ratio_ins!$D:$D,MATCH('001_population_health_zone_zs'!$B284,[1]ratio_ins!$B:$B,0))</f>
        <v>8371.9430009999996</v>
      </c>
      <c r="AG284" s="10">
        <f>INDEX([1]ratio_ins!AD:AD,MATCH('001_population_health_zone_zs'!$B$2,[1]ratio_ins!$B:$B,0))*$G284*INDEX([1]ratio_ins!$D:$D,MATCH('001_population_health_zone_zs'!$B284,[1]ratio_ins!$B:$B,0))</f>
        <v>5072.0530589999998</v>
      </c>
      <c r="AH284" s="10">
        <f>INDEX([1]ratio_ins!AE:AE,MATCH('001_population_health_zone_zs'!$B$2,[1]ratio_ins!$B:$B,0))*$G284*INDEX([1]ratio_ins!$D:$D,MATCH('001_population_health_zone_zs'!$B284,[1]ratio_ins!$B:$B,0))</f>
        <v>3043.2318353999999</v>
      </c>
      <c r="AI284" s="13">
        <f>INDEX([1]ratio_ins!AF:AF,MATCH('001_population_health_zone_zs'!$B$2,[1]ratio_ins!$B:$B,0))*$G284*INDEX([1]ratio_ins!$D:$D,MATCH('001_population_health_zone_zs'!$B284,[1]ratio_ins!$B:$B,0))</f>
        <v>34819.949795400003</v>
      </c>
      <c r="AJ284" s="10">
        <f>INDEX([1]ratio_ins!AG:AG,MATCH('001_population_health_zone_zs'!$B$2,[1]ratio_ins!$B:$B,0))*$G284*INDEX([1]ratio_ins!$D:$D,MATCH('001_population_health_zone_zs'!$B284,[1]ratio_ins!$B:$B,0))</f>
        <v>2028.8212235999999</v>
      </c>
      <c r="AK284" s="10">
        <f>INDEX([1]ratio_ins!AH:AH,MATCH('001_population_health_zone_zs'!$B$2,[1]ratio_ins!$B:$B,0))*$G284*INDEX([1]ratio_ins!$D:$D,MATCH('001_population_health_zone_zs'!$B284,[1]ratio_ins!$B:$B,0))</f>
        <v>4522.0714020000005</v>
      </c>
      <c r="AL284" s="10">
        <f>INDEX([1]ratio_ins!AI:AI,MATCH('001_population_health_zone_zs'!$B$2,[1]ratio_ins!$B:$B,0))*$G284*INDEX([1]ratio_ins!$D:$D,MATCH('001_population_health_zone_zs'!$B284,[1]ratio_ins!$B:$B,0))</f>
        <v>4277.6351100000011</v>
      </c>
      <c r="AM284" s="10">
        <f>INDEX([1]ratio_ins!AJ:AJ,MATCH('001_population_health_zone_zs'!$B$2,[1]ratio_ins!$B:$B,0))*$G284*INDEX([1]ratio_ins!$D:$D,MATCH('001_population_health_zone_zs'!$B284,[1]ratio_ins!$B:$B,0))</f>
        <v>3910.9806720000006</v>
      </c>
      <c r="AN284" s="10">
        <f>INDEX([1]ratio_ins!AK:AK,MATCH('001_population_health_zone_zs'!$B$2,[1]ratio_ins!$B:$B,0))*$G284*INDEX([1]ratio_ins!$D:$D,MATCH('001_population_health_zone_zs'!$B284,[1]ratio_ins!$B:$B,0))</f>
        <v>3666.5443799999998</v>
      </c>
      <c r="AO284" s="10">
        <f>INDEX([1]ratio_ins!AL:AL,MATCH('001_population_health_zone_zs'!$B$2,[1]ratio_ins!$B:$B,0))*$G284*INDEX([1]ratio_ins!$D:$D,MATCH('001_population_health_zone_zs'!$B284,[1]ratio_ins!$B:$B,0))</f>
        <v>2749.908285</v>
      </c>
      <c r="AP284" s="10">
        <f>INDEX([1]ratio_ins!AM:AM,MATCH('001_population_health_zone_zs'!$B$2,[1]ratio_ins!$B:$B,0))*$G284*INDEX([1]ratio_ins!$D:$D,MATCH('001_population_health_zone_zs'!$B284,[1]ratio_ins!$B:$B,0))</f>
        <v>1772.1631169999998</v>
      </c>
      <c r="AQ284" s="10">
        <f>INDEX([1]ratio_ins!AN:AN,MATCH('001_population_health_zone_zs'!$B$2,[1]ratio_ins!$B:$B,0))*$G284*INDEX([1]ratio_ins!$D:$D,MATCH('001_population_health_zone_zs'!$B284,[1]ratio_ins!$B:$B,0))</f>
        <v>1405.508679</v>
      </c>
      <c r="AR284" s="10">
        <f>INDEX([1]ratio_ins!AO:AO,MATCH('001_population_health_zone_zs'!$B$2,[1]ratio_ins!$B:$B,0))*$G284*INDEX([1]ratio_ins!$D:$D,MATCH('001_population_health_zone_zs'!$B284,[1]ratio_ins!$B:$B,0))</f>
        <v>672.19980300000009</v>
      </c>
      <c r="AS284" s="13">
        <f>INDEX([1]ratio_ins!AP:AP,MATCH('001_population_health_zone_zs'!$B$2,[1]ratio_ins!$B:$B,0))*$G284*INDEX([1]ratio_ins!$D:$D,MATCH('001_population_health_zone_zs'!$B284,[1]ratio_ins!$B:$B,0))</f>
        <v>25005.832671600001</v>
      </c>
      <c r="AT284" s="10">
        <f>INDEX([1]ratio_ins!AQ:AQ,MATCH('001_population_health_zone_zs'!$B$2,[1]ratio_ins!$B:$B,0))*$G284*INDEX([1]ratio_ins!$D:$D,MATCH('001_population_health_zone_zs'!$B284,[1]ratio_ins!$B:$B,0))</f>
        <v>611.09073000000001</v>
      </c>
      <c r="AU284" s="10">
        <f>INDEX([1]ratio_ins!AR:AR,MATCH('001_population_health_zone_zs'!$B$2,[1]ratio_ins!$B:$B,0))*$G284*INDEX([1]ratio_ins!$D:$D,MATCH('001_population_health_zone_zs'!$B284,[1]ratio_ins!$B:$B,0))</f>
        <v>366.65443800000003</v>
      </c>
      <c r="AV284" s="10">
        <f>INDEX([1]ratio_ins!AS:AS,MATCH('001_population_health_zone_zs'!$B$2,[1]ratio_ins!$B:$B,0))*$G284*INDEX([1]ratio_ins!$D:$D,MATCH('001_population_health_zone_zs'!$B284,[1]ratio_ins!$B:$B,0))</f>
        <v>183.32721900000001</v>
      </c>
      <c r="AW284" s="10">
        <f>INDEX([1]ratio_ins!AT:AT,MATCH('001_population_health_zone_zs'!$B$2,[1]ratio_ins!$B:$B,0))*$G284*INDEX([1]ratio_ins!$D:$D,MATCH('001_population_health_zone_zs'!$B284,[1]ratio_ins!$B:$B,0))</f>
        <v>122.21814600000002</v>
      </c>
      <c r="AX284" s="13">
        <f>INDEX([1]ratio_ins!AU:AU,MATCH('001_population_health_zone_zs'!$B$2,[1]ratio_ins!$B:$B,0))*$G284*INDEX([1]ratio_ins!$D:$D,MATCH('001_population_health_zone_zs'!$B284,[1]ratio_ins!$B:$B,0))</f>
        <v>1283.2905329999999</v>
      </c>
      <c r="AY284" s="14">
        <f t="shared" si="25"/>
        <v>61109.073000000004</v>
      </c>
      <c r="AZ284" s="15">
        <f t="shared" si="26"/>
        <v>119121.00000000001</v>
      </c>
      <c r="BA284" s="16">
        <v>114292.31479930884</v>
      </c>
      <c r="BB284" s="10">
        <f t="shared" si="27"/>
        <v>25971.356025000001</v>
      </c>
      <c r="BC284" s="17">
        <f t="shared" si="28"/>
        <v>0.218025</v>
      </c>
      <c r="BD284" s="10">
        <f t="shared" si="29"/>
        <v>24190.973559000002</v>
      </c>
    </row>
    <row r="285" spans="1:56" x14ac:dyDescent="0.25">
      <c r="A285" s="8" t="s">
        <v>671</v>
      </c>
      <c r="B285" s="8" t="s">
        <v>672</v>
      </c>
      <c r="C285" s="8" t="s">
        <v>699</v>
      </c>
      <c r="D285" s="8" t="s">
        <v>700</v>
      </c>
      <c r="E285" s="8" t="s">
        <v>705</v>
      </c>
      <c r="F285" s="8" t="s">
        <v>706</v>
      </c>
      <c r="G285" s="9">
        <v>352190</v>
      </c>
      <c r="H285" s="10">
        <f>INDEX([1]ratio_ins!F:F,MATCH('001_population_health_zone_zs'!$B$2,[1]ratio_ins!$B:$B,0))*$G285*INDEX([1]ratio_ins!$C:$C,MATCH('001_population_health_zone_zs'!$B285,[1]ratio_ins!$B:$B,0))</f>
        <v>35846.954769999997</v>
      </c>
      <c r="I285" s="10">
        <f>INDEX([1]ratio_ins!G:G,MATCH('001_population_health_zone_zs'!$B$2,[1]ratio_ins!$B:$B,0))*$G285*INDEX([1]ratio_ins!$C:$C,MATCH('001_population_health_zone_zs'!$B285,[1]ratio_ins!$B:$B,0))</f>
        <v>29329.326630000007</v>
      </c>
      <c r="J285" s="10">
        <f>INDEX([1]ratio_ins!H:H,MATCH('001_population_health_zone_zs'!$B$2,[1]ratio_ins!$B:$B,0))*$G285*INDEX([1]ratio_ins!$C:$C,MATCH('001_population_health_zone_zs'!$B285,[1]ratio_ins!$B:$B,0))</f>
        <v>23154.731550000004</v>
      </c>
      <c r="K285" s="10">
        <f>INDEX([1]ratio_ins!I:I,MATCH('001_population_health_zone_zs'!$B$2,[1]ratio_ins!$B:$B,0))*$G285*INDEX([1]ratio_ins!$C:$C,MATCH('001_population_health_zone_zs'!$B285,[1]ratio_ins!$B:$B,0))</f>
        <v>14235.871990000001</v>
      </c>
      <c r="L285" s="10">
        <f>INDEX([1]ratio_ins!J:J,MATCH('001_population_health_zone_zs'!$B$2,[1]ratio_ins!$B:$B,0))*$G285*INDEX([1]ratio_ins!$C:$C,MATCH('001_population_health_zone_zs'!$B285,[1]ratio_ins!$B:$B,0))</f>
        <v>8541.5231939999994</v>
      </c>
      <c r="M285" s="11">
        <f>INDEX([1]ratio_ins!K:K,MATCH('001_population_health_zone_zs'!$B$2,[1]ratio_ins!$B:$B,0))*$G285*INDEX([1]ratio_ins!$C:$C,MATCH('001_population_health_zone_zs'!$B285,[1]ratio_ins!$B:$B,0))</f>
        <v>96872.536143999998</v>
      </c>
      <c r="N285" s="10">
        <f>INDEX([1]ratio_ins!L:L,MATCH('001_population_health_zone_zs'!$B$2,[1]ratio_ins!$B:$B,0))*$G285*INDEX([1]ratio_ins!$C:$C,MATCH('001_population_health_zone_zs'!$B285,[1]ratio_ins!$B:$B,0))</f>
        <v>5694.3487960000011</v>
      </c>
      <c r="O285" s="10">
        <f>INDEX([1]ratio_ins!M:M,MATCH('001_population_health_zone_zs'!$B$2,[1]ratio_ins!$B:$B,0))*$G285*INDEX([1]ratio_ins!$C:$C,MATCH('001_population_health_zone_zs'!$B285,[1]ratio_ins!$B:$B,0))</f>
        <v>12349.190160000004</v>
      </c>
      <c r="P285" s="10">
        <f>INDEX([1]ratio_ins!N:N,MATCH('001_population_health_zone_zs'!$B$2,[1]ratio_ins!$B:$B,0))*$G285*INDEX([1]ratio_ins!$C:$C,MATCH('001_population_health_zone_zs'!$B285,[1]ratio_ins!$B:$B,0))</f>
        <v>11148.574450000002</v>
      </c>
      <c r="Q285" s="10">
        <f>INDEX([1]ratio_ins!O:O,MATCH('001_population_health_zone_zs'!$B$2,[1]ratio_ins!$B:$B,0))*$G285*INDEX([1]ratio_ins!$C:$C,MATCH('001_population_health_zone_zs'!$B285,[1]ratio_ins!$B:$B,0))</f>
        <v>9947.95874</v>
      </c>
      <c r="R285" s="10">
        <f>INDEX([1]ratio_ins!P:P,MATCH('001_population_health_zone_zs'!$B$2,[1]ratio_ins!$B:$B,0))*$G285*INDEX([1]ratio_ins!$C:$C,MATCH('001_population_health_zone_zs'!$B285,[1]ratio_ins!$B:$B,0))</f>
        <v>9776.4422100000011</v>
      </c>
      <c r="S285" s="10">
        <f>INDEX([1]ratio_ins!Q:Q,MATCH('001_population_health_zone_zs'!$B$2,[1]ratio_ins!$B:$B,0))*$G285*INDEX([1]ratio_ins!$C:$C,MATCH('001_population_health_zone_zs'!$B285,[1]ratio_ins!$B:$B,0))</f>
        <v>8232.7934399999995</v>
      </c>
      <c r="T285" s="10">
        <f>INDEX([1]ratio_ins!R:R,MATCH('001_population_health_zone_zs'!$B$2,[1]ratio_ins!$B:$B,0))*$G285*INDEX([1]ratio_ins!$C:$C,MATCH('001_population_health_zone_zs'!$B285,[1]ratio_ins!$B:$B,0))</f>
        <v>5831.5620200000012</v>
      </c>
      <c r="U285" s="10">
        <f>INDEX([1]ratio_ins!S:S,MATCH('001_population_health_zone_zs'!$B$2,[1]ratio_ins!$B:$B,0))*$G285*INDEX([1]ratio_ins!$C:$C,MATCH('001_population_health_zone_zs'!$B285,[1]ratio_ins!$B:$B,0))</f>
        <v>4630.9463100000012</v>
      </c>
      <c r="V285" s="10">
        <f>INDEX([1]ratio_ins!T:T,MATCH('001_population_health_zone_zs'!$B$2,[1]ratio_ins!$B:$B,0))*$G285*INDEX([1]ratio_ins!$C:$C,MATCH('001_population_health_zone_zs'!$B285,[1]ratio_ins!$B:$B,0))</f>
        <v>2572.7479499999999</v>
      </c>
      <c r="W285" s="11">
        <f>INDEX([1]ratio_ins!U:U,MATCH('001_population_health_zone_zs'!$B$2,[1]ratio_ins!$B:$B,0))*$G285*INDEX([1]ratio_ins!$C:$C,MATCH('001_population_health_zone_zs'!$B285,[1]ratio_ins!$B:$B,0))</f>
        <v>70184.56407600001</v>
      </c>
      <c r="X285" s="10">
        <f>INDEX([1]ratio_ins!V:V,MATCH('001_population_health_zone_zs'!$B$2,[1]ratio_ins!$B:$B,0))*$G285*INDEX([1]ratio_ins!$C:$C,MATCH('001_population_health_zone_zs'!$B285,[1]ratio_ins!$B:$B,0))</f>
        <v>2058.1983599999999</v>
      </c>
      <c r="Y285" s="10">
        <f>INDEX([1]ratio_ins!W:W,MATCH('001_population_health_zone_zs'!$B$2,[1]ratio_ins!$B:$B,0))*$G285*INDEX([1]ratio_ins!$C:$C,MATCH('001_population_health_zone_zs'!$B285,[1]ratio_ins!$B:$B,0))</f>
        <v>1372.1322400000001</v>
      </c>
      <c r="Z285" s="10">
        <f>INDEX([1]ratio_ins!X:X,MATCH('001_population_health_zone_zs'!$B$2,[1]ratio_ins!$B:$B,0))*$G285*INDEX([1]ratio_ins!$C:$C,MATCH('001_population_health_zone_zs'!$B285,[1]ratio_ins!$B:$B,0))</f>
        <v>686.06612000000007</v>
      </c>
      <c r="AA285" s="10">
        <f>INDEX([1]ratio_ins!Y:Y,MATCH('001_population_health_zone_zs'!$B$2,[1]ratio_ins!$B:$B,0))*$G285*INDEX([1]ratio_ins!$C:$C,MATCH('001_population_health_zone_zs'!$B285,[1]ratio_ins!$B:$B,0))</f>
        <v>343.03306000000003</v>
      </c>
      <c r="AB285" s="11">
        <f>INDEX([1]ratio_ins!Z:Z,MATCH('001_population_health_zone_zs'!$B$2,[1]ratio_ins!$B:$B,0))*$G285*INDEX([1]ratio_ins!$C:$C,MATCH('001_population_health_zone_zs'!$B285,[1]ratio_ins!$B:$B,0))</f>
        <v>4459.4297800000004</v>
      </c>
      <c r="AC285" s="12">
        <f t="shared" si="24"/>
        <v>171516.53000000003</v>
      </c>
      <c r="AD285" s="10">
        <f>INDEX([1]ratio_ins!AA:AA,MATCH('001_population_health_zone_zs'!$B$2,[1]ratio_ins!$B:$B,0))*$G285*INDEX([1]ratio_ins!$D:$D,MATCH('001_population_health_zone_zs'!$B285,[1]ratio_ins!$B:$B,0))</f>
        <v>37941.428699999997</v>
      </c>
      <c r="AE285" s="10">
        <f>INDEX([1]ratio_ins!AB:AB,MATCH('001_population_health_zone_zs'!$B$2,[1]ratio_ins!$B:$B,0))*$G285*INDEX([1]ratio_ins!$D:$D,MATCH('001_population_health_zone_zs'!$B285,[1]ratio_ins!$B:$B,0))</f>
        <v>31256.510310000001</v>
      </c>
      <c r="AF285" s="10">
        <f>INDEX([1]ratio_ins!AC:AC,MATCH('001_population_health_zone_zs'!$B$2,[1]ratio_ins!$B:$B,0))*$G285*INDEX([1]ratio_ins!$D:$D,MATCH('001_population_health_zone_zs'!$B285,[1]ratio_ins!$B:$B,0))</f>
        <v>24752.265389999997</v>
      </c>
      <c r="AG285" s="10">
        <f>INDEX([1]ratio_ins!AD:AD,MATCH('001_population_health_zone_zs'!$B$2,[1]ratio_ins!$B:$B,0))*$G285*INDEX([1]ratio_ins!$D:$D,MATCH('001_population_health_zone_zs'!$B285,[1]ratio_ins!$B:$B,0))</f>
        <v>14995.898010000001</v>
      </c>
      <c r="AH285" s="10">
        <f>INDEX([1]ratio_ins!AE:AE,MATCH('001_population_health_zone_zs'!$B$2,[1]ratio_ins!$B:$B,0))*$G285*INDEX([1]ratio_ins!$D:$D,MATCH('001_population_health_zone_zs'!$B285,[1]ratio_ins!$B:$B,0))</f>
        <v>8997.5388059999987</v>
      </c>
      <c r="AI285" s="13">
        <f>INDEX([1]ratio_ins!AF:AF,MATCH('001_population_health_zone_zs'!$B$2,[1]ratio_ins!$B:$B,0))*$G285*INDEX([1]ratio_ins!$D:$D,MATCH('001_population_health_zone_zs'!$B285,[1]ratio_ins!$B:$B,0))</f>
        <v>102947.743206</v>
      </c>
      <c r="AJ285" s="10">
        <f>INDEX([1]ratio_ins!AG:AG,MATCH('001_population_health_zone_zs'!$B$2,[1]ratio_ins!$B:$B,0))*$G285*INDEX([1]ratio_ins!$D:$D,MATCH('001_population_health_zone_zs'!$B285,[1]ratio_ins!$B:$B,0))</f>
        <v>5998.3592040000003</v>
      </c>
      <c r="AK285" s="10">
        <f>INDEX([1]ratio_ins!AH:AH,MATCH('001_population_health_zone_zs'!$B$2,[1]ratio_ins!$B:$B,0))*$G285*INDEX([1]ratio_ins!$D:$D,MATCH('001_population_health_zone_zs'!$B285,[1]ratio_ins!$B:$B,0))</f>
        <v>13369.836780000003</v>
      </c>
      <c r="AL285" s="10">
        <f>INDEX([1]ratio_ins!AI:AI,MATCH('001_population_health_zone_zs'!$B$2,[1]ratio_ins!$B:$B,0))*$G285*INDEX([1]ratio_ins!$D:$D,MATCH('001_population_health_zone_zs'!$B285,[1]ratio_ins!$B:$B,0))</f>
        <v>12647.142900000003</v>
      </c>
      <c r="AM285" s="10">
        <f>INDEX([1]ratio_ins!AJ:AJ,MATCH('001_population_health_zone_zs'!$B$2,[1]ratio_ins!$B:$B,0))*$G285*INDEX([1]ratio_ins!$D:$D,MATCH('001_population_health_zone_zs'!$B285,[1]ratio_ins!$B:$B,0))</f>
        <v>11563.102080000001</v>
      </c>
      <c r="AN285" s="10">
        <f>INDEX([1]ratio_ins!AK:AK,MATCH('001_population_health_zone_zs'!$B$2,[1]ratio_ins!$B:$B,0))*$G285*INDEX([1]ratio_ins!$D:$D,MATCH('001_population_health_zone_zs'!$B285,[1]ratio_ins!$B:$B,0))</f>
        <v>10840.4082</v>
      </c>
      <c r="AO285" s="10">
        <f>INDEX([1]ratio_ins!AL:AL,MATCH('001_population_health_zone_zs'!$B$2,[1]ratio_ins!$B:$B,0))*$G285*INDEX([1]ratio_ins!$D:$D,MATCH('001_population_health_zone_zs'!$B285,[1]ratio_ins!$B:$B,0))</f>
        <v>8130.3061499999994</v>
      </c>
      <c r="AP285" s="10">
        <f>INDEX([1]ratio_ins!AM:AM,MATCH('001_population_health_zone_zs'!$B$2,[1]ratio_ins!$B:$B,0))*$G285*INDEX([1]ratio_ins!$D:$D,MATCH('001_population_health_zone_zs'!$B285,[1]ratio_ins!$B:$B,0))</f>
        <v>5239.5306299999993</v>
      </c>
      <c r="AQ285" s="10">
        <f>INDEX([1]ratio_ins!AN:AN,MATCH('001_population_health_zone_zs'!$B$2,[1]ratio_ins!$B:$B,0))*$G285*INDEX([1]ratio_ins!$D:$D,MATCH('001_population_health_zone_zs'!$B285,[1]ratio_ins!$B:$B,0))</f>
        <v>4155.48981</v>
      </c>
      <c r="AR285" s="10">
        <f>INDEX([1]ratio_ins!AO:AO,MATCH('001_population_health_zone_zs'!$B$2,[1]ratio_ins!$B:$B,0))*$G285*INDEX([1]ratio_ins!$D:$D,MATCH('001_population_health_zone_zs'!$B285,[1]ratio_ins!$B:$B,0))</f>
        <v>1987.4081700000004</v>
      </c>
      <c r="AS285" s="13">
        <f>INDEX([1]ratio_ins!AP:AP,MATCH('001_population_health_zone_zs'!$B$2,[1]ratio_ins!$B:$B,0))*$G285*INDEX([1]ratio_ins!$D:$D,MATCH('001_population_health_zone_zs'!$B285,[1]ratio_ins!$B:$B,0))</f>
        <v>73931.583924000006</v>
      </c>
      <c r="AT285" s="10">
        <f>INDEX([1]ratio_ins!AQ:AQ,MATCH('001_population_health_zone_zs'!$B$2,[1]ratio_ins!$B:$B,0))*$G285*INDEX([1]ratio_ins!$D:$D,MATCH('001_population_health_zone_zs'!$B285,[1]ratio_ins!$B:$B,0))</f>
        <v>1806.7347</v>
      </c>
      <c r="AU285" s="10">
        <f>INDEX([1]ratio_ins!AR:AR,MATCH('001_population_health_zone_zs'!$B$2,[1]ratio_ins!$B:$B,0))*$G285*INDEX([1]ratio_ins!$D:$D,MATCH('001_population_health_zone_zs'!$B285,[1]ratio_ins!$B:$B,0))</f>
        <v>1084.0408199999999</v>
      </c>
      <c r="AV285" s="10">
        <f>INDEX([1]ratio_ins!AS:AS,MATCH('001_population_health_zone_zs'!$B$2,[1]ratio_ins!$B:$B,0))*$G285*INDEX([1]ratio_ins!$D:$D,MATCH('001_population_health_zone_zs'!$B285,[1]ratio_ins!$B:$B,0))</f>
        <v>542.02040999999997</v>
      </c>
      <c r="AW285" s="10">
        <f>INDEX([1]ratio_ins!AT:AT,MATCH('001_population_health_zone_zs'!$B$2,[1]ratio_ins!$B:$B,0))*$G285*INDEX([1]ratio_ins!$D:$D,MATCH('001_population_health_zone_zs'!$B285,[1]ratio_ins!$B:$B,0))</f>
        <v>361.34694000000002</v>
      </c>
      <c r="AX285" s="13">
        <f>INDEX([1]ratio_ins!AU:AU,MATCH('001_population_health_zone_zs'!$B$2,[1]ratio_ins!$B:$B,0))*$G285*INDEX([1]ratio_ins!$D:$D,MATCH('001_population_health_zone_zs'!$B285,[1]ratio_ins!$B:$B,0))</f>
        <v>3794.1428699999997</v>
      </c>
      <c r="AY285" s="14">
        <f t="shared" si="25"/>
        <v>180673.47</v>
      </c>
      <c r="AZ285" s="15">
        <f t="shared" si="26"/>
        <v>352190</v>
      </c>
      <c r="BA285" s="16">
        <v>337914.18506168644</v>
      </c>
      <c r="BB285" s="10">
        <f t="shared" si="27"/>
        <v>76786.224749999994</v>
      </c>
      <c r="BC285" s="17">
        <f t="shared" si="28"/>
        <v>0.218025</v>
      </c>
      <c r="BD285" s="10">
        <f t="shared" si="29"/>
        <v>71522.39301</v>
      </c>
    </row>
    <row r="286" spans="1:56" x14ac:dyDescent="0.25">
      <c r="A286" s="8" t="s">
        <v>671</v>
      </c>
      <c r="B286" s="8" t="s">
        <v>672</v>
      </c>
      <c r="C286" s="8" t="s">
        <v>699</v>
      </c>
      <c r="D286" s="8" t="s">
        <v>700</v>
      </c>
      <c r="E286" s="8" t="s">
        <v>699</v>
      </c>
      <c r="F286" s="8" t="s">
        <v>707</v>
      </c>
      <c r="G286" s="9">
        <v>266916</v>
      </c>
      <c r="H286" s="10">
        <f>INDEX([1]ratio_ins!F:F,MATCH('001_population_health_zone_zs'!$B$2,[1]ratio_ins!$B:$B,0))*$G286*INDEX([1]ratio_ins!$C:$C,MATCH('001_population_health_zone_zs'!$B286,[1]ratio_ins!$B:$B,0))</f>
        <v>27167.511227999999</v>
      </c>
      <c r="I286" s="10">
        <f>INDEX([1]ratio_ins!G:G,MATCH('001_population_health_zone_zs'!$B$2,[1]ratio_ins!$B:$B,0))*$G286*INDEX([1]ratio_ins!$C:$C,MATCH('001_population_health_zone_zs'!$B286,[1]ratio_ins!$B:$B,0))</f>
        <v>22227.963732000004</v>
      </c>
      <c r="J286" s="10">
        <f>INDEX([1]ratio_ins!H:H,MATCH('001_population_health_zone_zs'!$B$2,[1]ratio_ins!$B:$B,0))*$G286*INDEX([1]ratio_ins!$C:$C,MATCH('001_population_health_zone_zs'!$B286,[1]ratio_ins!$B:$B,0))</f>
        <v>17548.392420000004</v>
      </c>
      <c r="K286" s="10">
        <f>INDEX([1]ratio_ins!I:I,MATCH('001_population_health_zone_zs'!$B$2,[1]ratio_ins!$B:$B,0))*$G286*INDEX([1]ratio_ins!$C:$C,MATCH('001_population_health_zone_zs'!$B286,[1]ratio_ins!$B:$B,0))</f>
        <v>10789.011636000001</v>
      </c>
      <c r="L286" s="10">
        <f>INDEX([1]ratio_ins!J:J,MATCH('001_population_health_zone_zs'!$B$2,[1]ratio_ins!$B:$B,0))*$G286*INDEX([1]ratio_ins!$C:$C,MATCH('001_population_health_zone_zs'!$B286,[1]ratio_ins!$B:$B,0))</f>
        <v>6473.4069816000001</v>
      </c>
      <c r="M286" s="11">
        <f>INDEX([1]ratio_ins!K:K,MATCH('001_population_health_zone_zs'!$B$2,[1]ratio_ins!$B:$B,0))*$G286*INDEX([1]ratio_ins!$C:$C,MATCH('001_population_health_zone_zs'!$B286,[1]ratio_ins!$B:$B,0))</f>
        <v>73417.274361600008</v>
      </c>
      <c r="N286" s="10">
        <f>INDEX([1]ratio_ins!L:L,MATCH('001_population_health_zone_zs'!$B$2,[1]ratio_ins!$B:$B,0))*$G286*INDEX([1]ratio_ins!$C:$C,MATCH('001_population_health_zone_zs'!$B286,[1]ratio_ins!$B:$B,0))</f>
        <v>4315.6046544000001</v>
      </c>
      <c r="O286" s="10">
        <f>INDEX([1]ratio_ins!M:M,MATCH('001_population_health_zone_zs'!$B$2,[1]ratio_ins!$B:$B,0))*$G286*INDEX([1]ratio_ins!$C:$C,MATCH('001_population_health_zone_zs'!$B286,[1]ratio_ins!$B:$B,0))</f>
        <v>9359.1426240000019</v>
      </c>
      <c r="P286" s="10">
        <f>INDEX([1]ratio_ins!N:N,MATCH('001_population_health_zone_zs'!$B$2,[1]ratio_ins!$B:$B,0))*$G286*INDEX([1]ratio_ins!$C:$C,MATCH('001_population_health_zone_zs'!$B286,[1]ratio_ins!$B:$B,0))</f>
        <v>8449.2259800000011</v>
      </c>
      <c r="Q286" s="10">
        <f>INDEX([1]ratio_ins!O:O,MATCH('001_population_health_zone_zs'!$B$2,[1]ratio_ins!$B:$B,0))*$G286*INDEX([1]ratio_ins!$C:$C,MATCH('001_population_health_zone_zs'!$B286,[1]ratio_ins!$B:$B,0))</f>
        <v>7539.3093360000003</v>
      </c>
      <c r="R286" s="10">
        <f>INDEX([1]ratio_ins!P:P,MATCH('001_population_health_zone_zs'!$B$2,[1]ratio_ins!$B:$B,0))*$G286*INDEX([1]ratio_ins!$C:$C,MATCH('001_population_health_zone_zs'!$B286,[1]ratio_ins!$B:$B,0))</f>
        <v>7409.3212440000016</v>
      </c>
      <c r="S286" s="10">
        <f>INDEX([1]ratio_ins!Q:Q,MATCH('001_population_health_zone_zs'!$B$2,[1]ratio_ins!$B:$B,0))*$G286*INDEX([1]ratio_ins!$C:$C,MATCH('001_population_health_zone_zs'!$B286,[1]ratio_ins!$B:$B,0))</f>
        <v>6239.4284160000007</v>
      </c>
      <c r="T286" s="10">
        <f>INDEX([1]ratio_ins!R:R,MATCH('001_population_health_zone_zs'!$B$2,[1]ratio_ins!$B:$B,0))*$G286*INDEX([1]ratio_ins!$C:$C,MATCH('001_population_health_zone_zs'!$B286,[1]ratio_ins!$B:$B,0))</f>
        <v>4419.5951280000008</v>
      </c>
      <c r="U286" s="10">
        <f>INDEX([1]ratio_ins!S:S,MATCH('001_population_health_zone_zs'!$B$2,[1]ratio_ins!$B:$B,0))*$G286*INDEX([1]ratio_ins!$C:$C,MATCH('001_population_health_zone_zs'!$B286,[1]ratio_ins!$B:$B,0))</f>
        <v>3509.6784840000009</v>
      </c>
      <c r="V286" s="10">
        <f>INDEX([1]ratio_ins!T:T,MATCH('001_population_health_zone_zs'!$B$2,[1]ratio_ins!$B:$B,0))*$G286*INDEX([1]ratio_ins!$C:$C,MATCH('001_population_health_zone_zs'!$B286,[1]ratio_ins!$B:$B,0))</f>
        <v>1949.8213800000001</v>
      </c>
      <c r="W286" s="11">
        <f>INDEX([1]ratio_ins!U:U,MATCH('001_population_health_zone_zs'!$B$2,[1]ratio_ins!$B:$B,0))*$G286*INDEX([1]ratio_ins!$C:$C,MATCH('001_population_health_zone_zs'!$B286,[1]ratio_ins!$B:$B,0))</f>
        <v>53191.127246400007</v>
      </c>
      <c r="X286" s="10">
        <f>INDEX([1]ratio_ins!V:V,MATCH('001_population_health_zone_zs'!$B$2,[1]ratio_ins!$B:$B,0))*$G286*INDEX([1]ratio_ins!$C:$C,MATCH('001_population_health_zone_zs'!$B286,[1]ratio_ins!$B:$B,0))</f>
        <v>1559.8571040000002</v>
      </c>
      <c r="Y286" s="10">
        <f>INDEX([1]ratio_ins!W:W,MATCH('001_population_health_zone_zs'!$B$2,[1]ratio_ins!$B:$B,0))*$G286*INDEX([1]ratio_ins!$C:$C,MATCH('001_population_health_zone_zs'!$B286,[1]ratio_ins!$B:$B,0))</f>
        <v>1039.9047360000002</v>
      </c>
      <c r="Z286" s="10">
        <f>INDEX([1]ratio_ins!X:X,MATCH('001_population_health_zone_zs'!$B$2,[1]ratio_ins!$B:$B,0))*$G286*INDEX([1]ratio_ins!$C:$C,MATCH('001_population_health_zone_zs'!$B286,[1]ratio_ins!$B:$B,0))</f>
        <v>519.95236800000009</v>
      </c>
      <c r="AA286" s="10">
        <f>INDEX([1]ratio_ins!Y:Y,MATCH('001_population_health_zone_zs'!$B$2,[1]ratio_ins!$B:$B,0))*$G286*INDEX([1]ratio_ins!$C:$C,MATCH('001_population_health_zone_zs'!$B286,[1]ratio_ins!$B:$B,0))</f>
        <v>259.97618400000005</v>
      </c>
      <c r="AB286" s="11">
        <f>INDEX([1]ratio_ins!Z:Z,MATCH('001_population_health_zone_zs'!$B$2,[1]ratio_ins!$B:$B,0))*$G286*INDEX([1]ratio_ins!$C:$C,MATCH('001_population_health_zone_zs'!$B286,[1]ratio_ins!$B:$B,0))</f>
        <v>3379.6903920000004</v>
      </c>
      <c r="AC286" s="12">
        <f t="shared" si="24"/>
        <v>129988.09200000002</v>
      </c>
      <c r="AD286" s="10">
        <f>INDEX([1]ratio_ins!AA:AA,MATCH('001_population_health_zone_zs'!$B$2,[1]ratio_ins!$B:$B,0))*$G286*INDEX([1]ratio_ins!$D:$D,MATCH('001_population_health_zone_zs'!$B286,[1]ratio_ins!$B:$B,0))</f>
        <v>28754.860680000002</v>
      </c>
      <c r="AE286" s="10">
        <f>INDEX([1]ratio_ins!AB:AB,MATCH('001_population_health_zone_zs'!$B$2,[1]ratio_ins!$B:$B,0))*$G286*INDEX([1]ratio_ins!$D:$D,MATCH('001_population_health_zone_zs'!$B286,[1]ratio_ins!$B:$B,0))</f>
        <v>23688.528084000001</v>
      </c>
      <c r="AF286" s="10">
        <f>INDEX([1]ratio_ins!AC:AC,MATCH('001_population_health_zone_zs'!$B$2,[1]ratio_ins!$B:$B,0))*$G286*INDEX([1]ratio_ins!$D:$D,MATCH('001_population_health_zone_zs'!$B286,[1]ratio_ins!$B:$B,0))</f>
        <v>18759.123395999999</v>
      </c>
      <c r="AG286" s="10">
        <f>INDEX([1]ratio_ins!AD:AD,MATCH('001_population_health_zone_zs'!$B$2,[1]ratio_ins!$B:$B,0))*$G286*INDEX([1]ratio_ins!$D:$D,MATCH('001_population_health_zone_zs'!$B286,[1]ratio_ins!$B:$B,0))</f>
        <v>11365.016364000001</v>
      </c>
      <c r="AH286" s="10">
        <f>INDEX([1]ratio_ins!AE:AE,MATCH('001_population_health_zone_zs'!$B$2,[1]ratio_ins!$B:$B,0))*$G286*INDEX([1]ratio_ins!$D:$D,MATCH('001_population_health_zone_zs'!$B286,[1]ratio_ins!$B:$B,0))</f>
        <v>6819.0098183999999</v>
      </c>
      <c r="AI286" s="13">
        <f>INDEX([1]ratio_ins!AF:AF,MATCH('001_population_health_zone_zs'!$B$2,[1]ratio_ins!$B:$B,0))*$G286*INDEX([1]ratio_ins!$D:$D,MATCH('001_population_health_zone_zs'!$B286,[1]ratio_ins!$B:$B,0))</f>
        <v>78021.521978399993</v>
      </c>
      <c r="AJ286" s="10">
        <f>INDEX([1]ratio_ins!AG:AG,MATCH('001_population_health_zone_zs'!$B$2,[1]ratio_ins!$B:$B,0))*$G286*INDEX([1]ratio_ins!$D:$D,MATCH('001_population_health_zone_zs'!$B286,[1]ratio_ins!$B:$B,0))</f>
        <v>4546.0065456000002</v>
      </c>
      <c r="AK286" s="10">
        <f>INDEX([1]ratio_ins!AH:AH,MATCH('001_population_health_zone_zs'!$B$2,[1]ratio_ins!$B:$B,0))*$G286*INDEX([1]ratio_ins!$D:$D,MATCH('001_population_health_zone_zs'!$B286,[1]ratio_ins!$B:$B,0))</f>
        <v>10132.665192000002</v>
      </c>
      <c r="AL286" s="10">
        <f>INDEX([1]ratio_ins!AI:AI,MATCH('001_population_health_zone_zs'!$B$2,[1]ratio_ins!$B:$B,0))*$G286*INDEX([1]ratio_ins!$D:$D,MATCH('001_population_health_zone_zs'!$B286,[1]ratio_ins!$B:$B,0))</f>
        <v>9584.9535600000017</v>
      </c>
      <c r="AM286" s="10">
        <f>INDEX([1]ratio_ins!AJ:AJ,MATCH('001_population_health_zone_zs'!$B$2,[1]ratio_ins!$B:$B,0))*$G286*INDEX([1]ratio_ins!$D:$D,MATCH('001_population_health_zone_zs'!$B286,[1]ratio_ins!$B:$B,0))</f>
        <v>8763.3861120000001</v>
      </c>
      <c r="AN286" s="10">
        <f>INDEX([1]ratio_ins!AK:AK,MATCH('001_population_health_zone_zs'!$B$2,[1]ratio_ins!$B:$B,0))*$G286*INDEX([1]ratio_ins!$D:$D,MATCH('001_population_health_zone_zs'!$B286,[1]ratio_ins!$B:$B,0))</f>
        <v>8215.6744799999997</v>
      </c>
      <c r="AO286" s="10">
        <f>INDEX([1]ratio_ins!AL:AL,MATCH('001_population_health_zone_zs'!$B$2,[1]ratio_ins!$B:$B,0))*$G286*INDEX([1]ratio_ins!$D:$D,MATCH('001_population_health_zone_zs'!$B286,[1]ratio_ins!$B:$B,0))</f>
        <v>6161.7558600000002</v>
      </c>
      <c r="AP286" s="10">
        <f>INDEX([1]ratio_ins!AM:AM,MATCH('001_population_health_zone_zs'!$B$2,[1]ratio_ins!$B:$B,0))*$G286*INDEX([1]ratio_ins!$D:$D,MATCH('001_population_health_zone_zs'!$B286,[1]ratio_ins!$B:$B,0))</f>
        <v>3970.9093319999997</v>
      </c>
      <c r="AQ286" s="10">
        <f>INDEX([1]ratio_ins!AN:AN,MATCH('001_population_health_zone_zs'!$B$2,[1]ratio_ins!$B:$B,0))*$G286*INDEX([1]ratio_ins!$D:$D,MATCH('001_population_health_zone_zs'!$B286,[1]ratio_ins!$B:$B,0))</f>
        <v>3149.3418840000004</v>
      </c>
      <c r="AR286" s="10">
        <f>INDEX([1]ratio_ins!AO:AO,MATCH('001_population_health_zone_zs'!$B$2,[1]ratio_ins!$B:$B,0))*$G286*INDEX([1]ratio_ins!$D:$D,MATCH('001_population_health_zone_zs'!$B286,[1]ratio_ins!$B:$B,0))</f>
        <v>1506.2069880000004</v>
      </c>
      <c r="AS286" s="13">
        <f>INDEX([1]ratio_ins!AP:AP,MATCH('001_population_health_zone_zs'!$B$2,[1]ratio_ins!$B:$B,0))*$G286*INDEX([1]ratio_ins!$D:$D,MATCH('001_population_health_zone_zs'!$B286,[1]ratio_ins!$B:$B,0))</f>
        <v>56030.899953599997</v>
      </c>
      <c r="AT286" s="10">
        <f>INDEX([1]ratio_ins!AQ:AQ,MATCH('001_population_health_zone_zs'!$B$2,[1]ratio_ins!$B:$B,0))*$G286*INDEX([1]ratio_ins!$D:$D,MATCH('001_population_health_zone_zs'!$B286,[1]ratio_ins!$B:$B,0))</f>
        <v>1369.27908</v>
      </c>
      <c r="AU286" s="10">
        <f>INDEX([1]ratio_ins!AR:AR,MATCH('001_population_health_zone_zs'!$B$2,[1]ratio_ins!$B:$B,0))*$G286*INDEX([1]ratio_ins!$D:$D,MATCH('001_population_health_zone_zs'!$B286,[1]ratio_ins!$B:$B,0))</f>
        <v>821.56744800000001</v>
      </c>
      <c r="AV286" s="10">
        <f>INDEX([1]ratio_ins!AS:AS,MATCH('001_population_health_zone_zs'!$B$2,[1]ratio_ins!$B:$B,0))*$G286*INDEX([1]ratio_ins!$D:$D,MATCH('001_population_health_zone_zs'!$B286,[1]ratio_ins!$B:$B,0))</f>
        <v>410.78372400000001</v>
      </c>
      <c r="AW286" s="10">
        <f>INDEX([1]ratio_ins!AT:AT,MATCH('001_population_health_zone_zs'!$B$2,[1]ratio_ins!$B:$B,0))*$G286*INDEX([1]ratio_ins!$D:$D,MATCH('001_population_health_zone_zs'!$B286,[1]ratio_ins!$B:$B,0))</f>
        <v>273.855816</v>
      </c>
      <c r="AX286" s="13">
        <f>INDEX([1]ratio_ins!AU:AU,MATCH('001_population_health_zone_zs'!$B$2,[1]ratio_ins!$B:$B,0))*$G286*INDEX([1]ratio_ins!$D:$D,MATCH('001_population_health_zone_zs'!$B286,[1]ratio_ins!$B:$B,0))</f>
        <v>2875.4860680000002</v>
      </c>
      <c r="AY286" s="14">
        <f t="shared" si="25"/>
        <v>136927.908</v>
      </c>
      <c r="AZ286" s="15">
        <f t="shared" si="26"/>
        <v>266916</v>
      </c>
      <c r="BA286" s="16">
        <v>256097.35604408837</v>
      </c>
      <c r="BB286" s="10">
        <f t="shared" si="27"/>
        <v>58194.360900000007</v>
      </c>
      <c r="BC286" s="17">
        <f t="shared" si="28"/>
        <v>0.21802500000000002</v>
      </c>
      <c r="BD286" s="10">
        <f t="shared" si="29"/>
        <v>54205.034364000006</v>
      </c>
    </row>
    <row r="287" spans="1:56" x14ac:dyDescent="0.25">
      <c r="A287" s="8" t="s">
        <v>671</v>
      </c>
      <c r="B287" s="8" t="s">
        <v>672</v>
      </c>
      <c r="C287" s="8" t="s">
        <v>699</v>
      </c>
      <c r="D287" s="8" t="s">
        <v>700</v>
      </c>
      <c r="E287" s="8" t="s">
        <v>708</v>
      </c>
      <c r="F287" s="8" t="s">
        <v>709</v>
      </c>
      <c r="G287" s="9">
        <v>72629</v>
      </c>
      <c r="H287" s="10">
        <f>INDEX([1]ratio_ins!F:F,MATCH('001_population_health_zone_zs'!$B$2,[1]ratio_ins!$B:$B,0))*$G287*INDEX([1]ratio_ins!$C:$C,MATCH('001_population_health_zone_zs'!$B287,[1]ratio_ins!$B:$B,0))</f>
        <v>7392.3975070000006</v>
      </c>
      <c r="I287" s="10">
        <f>INDEX([1]ratio_ins!G:G,MATCH('001_population_health_zone_zs'!$B$2,[1]ratio_ins!$B:$B,0))*$G287*INDEX([1]ratio_ins!$C:$C,MATCH('001_population_health_zone_zs'!$B287,[1]ratio_ins!$B:$B,0))</f>
        <v>6048.3252330000014</v>
      </c>
      <c r="J287" s="10">
        <f>INDEX([1]ratio_ins!H:H,MATCH('001_population_health_zone_zs'!$B$2,[1]ratio_ins!$B:$B,0))*$G287*INDEX([1]ratio_ins!$C:$C,MATCH('001_population_health_zone_zs'!$B287,[1]ratio_ins!$B:$B,0))</f>
        <v>4774.9936050000006</v>
      </c>
      <c r="K287" s="10">
        <f>INDEX([1]ratio_ins!I:I,MATCH('001_population_health_zone_zs'!$B$2,[1]ratio_ins!$B:$B,0))*$G287*INDEX([1]ratio_ins!$C:$C,MATCH('001_population_health_zone_zs'!$B287,[1]ratio_ins!$B:$B,0))</f>
        <v>2935.7368090000004</v>
      </c>
      <c r="L287" s="10">
        <f>INDEX([1]ratio_ins!J:J,MATCH('001_population_health_zone_zs'!$B$2,[1]ratio_ins!$B:$B,0))*$G287*INDEX([1]ratio_ins!$C:$C,MATCH('001_population_health_zone_zs'!$B287,[1]ratio_ins!$B:$B,0))</f>
        <v>1761.4420854000002</v>
      </c>
      <c r="M287" s="11">
        <f>INDEX([1]ratio_ins!K:K,MATCH('001_population_health_zone_zs'!$B$2,[1]ratio_ins!$B:$B,0))*$G287*INDEX([1]ratio_ins!$C:$C,MATCH('001_population_health_zone_zs'!$B287,[1]ratio_ins!$B:$B,0))</f>
        <v>19977.158430400003</v>
      </c>
      <c r="N287" s="10">
        <f>INDEX([1]ratio_ins!L:L,MATCH('001_population_health_zone_zs'!$B$2,[1]ratio_ins!$B:$B,0))*$G287*INDEX([1]ratio_ins!$C:$C,MATCH('001_population_health_zone_zs'!$B287,[1]ratio_ins!$B:$B,0))</f>
        <v>1174.2947236</v>
      </c>
      <c r="O287" s="10">
        <f>INDEX([1]ratio_ins!M:M,MATCH('001_population_health_zone_zs'!$B$2,[1]ratio_ins!$B:$B,0))*$G287*INDEX([1]ratio_ins!$C:$C,MATCH('001_population_health_zone_zs'!$B287,[1]ratio_ins!$B:$B,0))</f>
        <v>2546.6632560000003</v>
      </c>
      <c r="P287" s="10">
        <f>INDEX([1]ratio_ins!N:N,MATCH('001_population_health_zone_zs'!$B$2,[1]ratio_ins!$B:$B,0))*$G287*INDEX([1]ratio_ins!$C:$C,MATCH('001_population_health_zone_zs'!$B287,[1]ratio_ins!$B:$B,0))</f>
        <v>2299.0709950000005</v>
      </c>
      <c r="Q287" s="10">
        <f>INDEX([1]ratio_ins!O:O,MATCH('001_population_health_zone_zs'!$B$2,[1]ratio_ins!$B:$B,0))*$G287*INDEX([1]ratio_ins!$C:$C,MATCH('001_population_health_zone_zs'!$B287,[1]ratio_ins!$B:$B,0))</f>
        <v>2051.4787340000003</v>
      </c>
      <c r="R287" s="10">
        <f>INDEX([1]ratio_ins!P:P,MATCH('001_population_health_zone_zs'!$B$2,[1]ratio_ins!$B:$B,0))*$G287*INDEX([1]ratio_ins!$C:$C,MATCH('001_population_health_zone_zs'!$B287,[1]ratio_ins!$B:$B,0))</f>
        <v>2016.1084110000002</v>
      </c>
      <c r="S287" s="10">
        <f>INDEX([1]ratio_ins!Q:Q,MATCH('001_population_health_zone_zs'!$B$2,[1]ratio_ins!$B:$B,0))*$G287*INDEX([1]ratio_ins!$C:$C,MATCH('001_population_health_zone_zs'!$B287,[1]ratio_ins!$B:$B,0))</f>
        <v>1697.7755040000002</v>
      </c>
      <c r="T287" s="10">
        <f>INDEX([1]ratio_ins!R:R,MATCH('001_population_health_zone_zs'!$B$2,[1]ratio_ins!$B:$B,0))*$G287*INDEX([1]ratio_ins!$C:$C,MATCH('001_population_health_zone_zs'!$B287,[1]ratio_ins!$B:$B,0))</f>
        <v>1202.5909820000002</v>
      </c>
      <c r="U287" s="10">
        <f>INDEX([1]ratio_ins!S:S,MATCH('001_population_health_zone_zs'!$B$2,[1]ratio_ins!$B:$B,0))*$G287*INDEX([1]ratio_ins!$C:$C,MATCH('001_population_health_zone_zs'!$B287,[1]ratio_ins!$B:$B,0))</f>
        <v>954.99872100000016</v>
      </c>
      <c r="V287" s="10">
        <f>INDEX([1]ratio_ins!T:T,MATCH('001_population_health_zone_zs'!$B$2,[1]ratio_ins!$B:$B,0))*$G287*INDEX([1]ratio_ins!$C:$C,MATCH('001_population_health_zone_zs'!$B287,[1]ratio_ins!$B:$B,0))</f>
        <v>530.554845</v>
      </c>
      <c r="W287" s="11">
        <f>INDEX([1]ratio_ins!U:U,MATCH('001_population_health_zone_zs'!$B$2,[1]ratio_ins!$B:$B,0))*$G287*INDEX([1]ratio_ins!$C:$C,MATCH('001_population_health_zone_zs'!$B287,[1]ratio_ins!$B:$B,0))</f>
        <v>14473.536171600002</v>
      </c>
      <c r="X287" s="10">
        <f>INDEX([1]ratio_ins!V:V,MATCH('001_population_health_zone_zs'!$B$2,[1]ratio_ins!$B:$B,0))*$G287*INDEX([1]ratio_ins!$C:$C,MATCH('001_population_health_zone_zs'!$B287,[1]ratio_ins!$B:$B,0))</f>
        <v>424.44387600000005</v>
      </c>
      <c r="Y287" s="10">
        <f>INDEX([1]ratio_ins!W:W,MATCH('001_population_health_zone_zs'!$B$2,[1]ratio_ins!$B:$B,0))*$G287*INDEX([1]ratio_ins!$C:$C,MATCH('001_population_health_zone_zs'!$B287,[1]ratio_ins!$B:$B,0))</f>
        <v>282.96258400000005</v>
      </c>
      <c r="Z287" s="10">
        <f>INDEX([1]ratio_ins!X:X,MATCH('001_population_health_zone_zs'!$B$2,[1]ratio_ins!$B:$B,0))*$G287*INDEX([1]ratio_ins!$C:$C,MATCH('001_population_health_zone_zs'!$B287,[1]ratio_ins!$B:$B,0))</f>
        <v>141.48129200000002</v>
      </c>
      <c r="AA287" s="10">
        <f>INDEX([1]ratio_ins!Y:Y,MATCH('001_population_health_zone_zs'!$B$2,[1]ratio_ins!$B:$B,0))*$G287*INDEX([1]ratio_ins!$C:$C,MATCH('001_population_health_zone_zs'!$B287,[1]ratio_ins!$B:$B,0))</f>
        <v>70.740646000000012</v>
      </c>
      <c r="AB287" s="11">
        <f>INDEX([1]ratio_ins!Z:Z,MATCH('001_population_health_zone_zs'!$B$2,[1]ratio_ins!$B:$B,0))*$G287*INDEX([1]ratio_ins!$C:$C,MATCH('001_population_health_zone_zs'!$B287,[1]ratio_ins!$B:$B,0))</f>
        <v>919.62839800000017</v>
      </c>
      <c r="AC287" s="12">
        <f t="shared" si="24"/>
        <v>35370.323000000004</v>
      </c>
      <c r="AD287" s="10">
        <f>INDEX([1]ratio_ins!AA:AA,MATCH('001_population_health_zone_zs'!$B$2,[1]ratio_ins!$B:$B,0))*$G287*INDEX([1]ratio_ins!$D:$D,MATCH('001_population_health_zone_zs'!$B287,[1]ratio_ins!$B:$B,0))</f>
        <v>7824.3221700000004</v>
      </c>
      <c r="AE287" s="10">
        <f>INDEX([1]ratio_ins!AB:AB,MATCH('001_population_health_zone_zs'!$B$2,[1]ratio_ins!$B:$B,0))*$G287*INDEX([1]ratio_ins!$D:$D,MATCH('001_population_health_zone_zs'!$B287,[1]ratio_ins!$B:$B,0))</f>
        <v>6445.7511210000002</v>
      </c>
      <c r="AF287" s="10">
        <f>INDEX([1]ratio_ins!AC:AC,MATCH('001_population_health_zone_zs'!$B$2,[1]ratio_ins!$B:$B,0))*$G287*INDEX([1]ratio_ins!$D:$D,MATCH('001_population_health_zone_zs'!$B287,[1]ratio_ins!$B:$B,0))</f>
        <v>5104.4387489999999</v>
      </c>
      <c r="AG287" s="10">
        <f>INDEX([1]ratio_ins!AD:AD,MATCH('001_population_health_zone_zs'!$B$2,[1]ratio_ins!$B:$B,0))*$G287*INDEX([1]ratio_ins!$D:$D,MATCH('001_population_health_zone_zs'!$B287,[1]ratio_ins!$B:$B,0))</f>
        <v>3092.4701910000003</v>
      </c>
      <c r="AH287" s="10">
        <f>INDEX([1]ratio_ins!AE:AE,MATCH('001_population_health_zone_zs'!$B$2,[1]ratio_ins!$B:$B,0))*$G287*INDEX([1]ratio_ins!$D:$D,MATCH('001_population_health_zone_zs'!$B287,[1]ratio_ins!$B:$B,0))</f>
        <v>1855.4821145999999</v>
      </c>
      <c r="AI287" s="13">
        <f>INDEX([1]ratio_ins!AF:AF,MATCH('001_population_health_zone_zs'!$B$2,[1]ratio_ins!$B:$B,0))*$G287*INDEX([1]ratio_ins!$D:$D,MATCH('001_population_health_zone_zs'!$B287,[1]ratio_ins!$B:$B,0))</f>
        <v>21229.994154599997</v>
      </c>
      <c r="AJ287" s="10">
        <f>INDEX([1]ratio_ins!AG:AG,MATCH('001_population_health_zone_zs'!$B$2,[1]ratio_ins!$B:$B,0))*$G287*INDEX([1]ratio_ins!$D:$D,MATCH('001_population_health_zone_zs'!$B287,[1]ratio_ins!$B:$B,0))</f>
        <v>1236.9880764</v>
      </c>
      <c r="AK287" s="10">
        <f>INDEX([1]ratio_ins!AH:AH,MATCH('001_population_health_zone_zs'!$B$2,[1]ratio_ins!$B:$B,0))*$G287*INDEX([1]ratio_ins!$D:$D,MATCH('001_population_health_zone_zs'!$B287,[1]ratio_ins!$B:$B,0))</f>
        <v>2757.1420980000007</v>
      </c>
      <c r="AL287" s="10">
        <f>INDEX([1]ratio_ins!AI:AI,MATCH('001_population_health_zone_zs'!$B$2,[1]ratio_ins!$B:$B,0))*$G287*INDEX([1]ratio_ins!$D:$D,MATCH('001_population_health_zone_zs'!$B287,[1]ratio_ins!$B:$B,0))</f>
        <v>2608.1073900000006</v>
      </c>
      <c r="AM287" s="10">
        <f>INDEX([1]ratio_ins!AJ:AJ,MATCH('001_population_health_zone_zs'!$B$2,[1]ratio_ins!$B:$B,0))*$G287*INDEX([1]ratio_ins!$D:$D,MATCH('001_population_health_zone_zs'!$B287,[1]ratio_ins!$B:$B,0))</f>
        <v>2384.5553280000004</v>
      </c>
      <c r="AN287" s="10">
        <f>INDEX([1]ratio_ins!AK:AK,MATCH('001_population_health_zone_zs'!$B$2,[1]ratio_ins!$B:$B,0))*$G287*INDEX([1]ratio_ins!$D:$D,MATCH('001_population_health_zone_zs'!$B287,[1]ratio_ins!$B:$B,0))</f>
        <v>2235.5206199999998</v>
      </c>
      <c r="AO287" s="10">
        <f>INDEX([1]ratio_ins!AL:AL,MATCH('001_population_health_zone_zs'!$B$2,[1]ratio_ins!$B:$B,0))*$G287*INDEX([1]ratio_ins!$D:$D,MATCH('001_population_health_zone_zs'!$B287,[1]ratio_ins!$B:$B,0))</f>
        <v>1676.6404649999999</v>
      </c>
      <c r="AP287" s="10">
        <f>INDEX([1]ratio_ins!AM:AM,MATCH('001_population_health_zone_zs'!$B$2,[1]ratio_ins!$B:$B,0))*$G287*INDEX([1]ratio_ins!$D:$D,MATCH('001_population_health_zone_zs'!$B287,[1]ratio_ins!$B:$B,0))</f>
        <v>1080.5016330000001</v>
      </c>
      <c r="AQ287" s="10">
        <f>INDEX([1]ratio_ins!AN:AN,MATCH('001_population_health_zone_zs'!$B$2,[1]ratio_ins!$B:$B,0))*$G287*INDEX([1]ratio_ins!$D:$D,MATCH('001_population_health_zone_zs'!$B287,[1]ratio_ins!$B:$B,0))</f>
        <v>856.94957099999999</v>
      </c>
      <c r="AR287" s="10">
        <f>INDEX([1]ratio_ins!AO:AO,MATCH('001_population_health_zone_zs'!$B$2,[1]ratio_ins!$B:$B,0))*$G287*INDEX([1]ratio_ins!$D:$D,MATCH('001_population_health_zone_zs'!$B287,[1]ratio_ins!$B:$B,0))</f>
        <v>409.84544700000004</v>
      </c>
      <c r="AS287" s="13">
        <f>INDEX([1]ratio_ins!AP:AP,MATCH('001_population_health_zone_zs'!$B$2,[1]ratio_ins!$B:$B,0))*$G287*INDEX([1]ratio_ins!$D:$D,MATCH('001_population_health_zone_zs'!$B287,[1]ratio_ins!$B:$B,0))</f>
        <v>15246.250628400001</v>
      </c>
      <c r="AT287" s="10">
        <f>INDEX([1]ratio_ins!AQ:AQ,MATCH('001_population_health_zone_zs'!$B$2,[1]ratio_ins!$B:$B,0))*$G287*INDEX([1]ratio_ins!$D:$D,MATCH('001_population_health_zone_zs'!$B287,[1]ratio_ins!$B:$B,0))</f>
        <v>372.58677</v>
      </c>
      <c r="AU287" s="10">
        <f>INDEX([1]ratio_ins!AR:AR,MATCH('001_population_health_zone_zs'!$B$2,[1]ratio_ins!$B:$B,0))*$G287*INDEX([1]ratio_ins!$D:$D,MATCH('001_population_health_zone_zs'!$B287,[1]ratio_ins!$B:$B,0))</f>
        <v>223.55206200000001</v>
      </c>
      <c r="AV287" s="10">
        <f>INDEX([1]ratio_ins!AS:AS,MATCH('001_population_health_zone_zs'!$B$2,[1]ratio_ins!$B:$B,0))*$G287*INDEX([1]ratio_ins!$D:$D,MATCH('001_population_health_zone_zs'!$B287,[1]ratio_ins!$B:$B,0))</f>
        <v>111.776031</v>
      </c>
      <c r="AW287" s="10">
        <f>INDEX([1]ratio_ins!AT:AT,MATCH('001_population_health_zone_zs'!$B$2,[1]ratio_ins!$B:$B,0))*$G287*INDEX([1]ratio_ins!$D:$D,MATCH('001_population_health_zone_zs'!$B287,[1]ratio_ins!$B:$B,0))</f>
        <v>74.517354000000012</v>
      </c>
      <c r="AX287" s="13">
        <f>INDEX([1]ratio_ins!AU:AU,MATCH('001_population_health_zone_zs'!$B$2,[1]ratio_ins!$B:$B,0))*$G287*INDEX([1]ratio_ins!$D:$D,MATCH('001_population_health_zone_zs'!$B287,[1]ratio_ins!$B:$B,0))</f>
        <v>782.43221699999992</v>
      </c>
      <c r="AY287" s="14">
        <f t="shared" si="25"/>
        <v>37258.677000000003</v>
      </c>
      <c r="AZ287" s="15">
        <f t="shared" si="26"/>
        <v>72629</v>
      </c>
      <c r="BA287" s="16">
        <v>69685.548655955165</v>
      </c>
      <c r="BB287" s="10">
        <f t="shared" si="27"/>
        <v>15834.937725000002</v>
      </c>
      <c r="BC287" s="17">
        <f t="shared" si="28"/>
        <v>0.21802500000000002</v>
      </c>
      <c r="BD287" s="10">
        <f t="shared" si="29"/>
        <v>14749.424691000002</v>
      </c>
    </row>
    <row r="288" spans="1:56" x14ac:dyDescent="0.25">
      <c r="A288" s="8" t="s">
        <v>671</v>
      </c>
      <c r="B288" s="8" t="s">
        <v>672</v>
      </c>
      <c r="C288" s="8" t="s">
        <v>699</v>
      </c>
      <c r="D288" s="8" t="s">
        <v>700</v>
      </c>
      <c r="E288" s="8" t="s">
        <v>710</v>
      </c>
      <c r="F288" s="8" t="s">
        <v>711</v>
      </c>
      <c r="G288" s="9">
        <v>178135</v>
      </c>
      <c r="H288" s="10">
        <f>INDEX([1]ratio_ins!F:F,MATCH('001_population_health_zone_zs'!$B$2,[1]ratio_ins!$B:$B,0))*$G288*INDEX([1]ratio_ins!$C:$C,MATCH('001_population_health_zone_zs'!$B288,[1]ratio_ins!$B:$B,0))</f>
        <v>18131.114705</v>
      </c>
      <c r="I288" s="10">
        <f>INDEX([1]ratio_ins!G:G,MATCH('001_population_health_zone_zs'!$B$2,[1]ratio_ins!$B:$B,0))*$G288*INDEX([1]ratio_ins!$C:$C,MATCH('001_population_health_zone_zs'!$B288,[1]ratio_ins!$B:$B,0))</f>
        <v>14834.548395000003</v>
      </c>
      <c r="J288" s="10">
        <f>INDEX([1]ratio_ins!H:H,MATCH('001_population_health_zone_zs'!$B$2,[1]ratio_ins!$B:$B,0))*$G288*INDEX([1]ratio_ins!$C:$C,MATCH('001_population_health_zone_zs'!$B288,[1]ratio_ins!$B:$B,0))</f>
        <v>11711.485575000002</v>
      </c>
      <c r="K288" s="10">
        <f>INDEX([1]ratio_ins!I:I,MATCH('001_population_health_zone_zs'!$B$2,[1]ratio_ins!$B:$B,0))*$G288*INDEX([1]ratio_ins!$C:$C,MATCH('001_population_health_zone_zs'!$B288,[1]ratio_ins!$B:$B,0))</f>
        <v>7200.394835000001</v>
      </c>
      <c r="L288" s="10">
        <f>INDEX([1]ratio_ins!J:J,MATCH('001_population_health_zone_zs'!$B$2,[1]ratio_ins!$B:$B,0))*$G288*INDEX([1]ratio_ins!$C:$C,MATCH('001_population_health_zone_zs'!$B288,[1]ratio_ins!$B:$B,0))</f>
        <v>4320.2369010000002</v>
      </c>
      <c r="M288" s="11">
        <f>INDEX([1]ratio_ins!K:K,MATCH('001_population_health_zone_zs'!$B$2,[1]ratio_ins!$B:$B,0))*$G288*INDEX([1]ratio_ins!$C:$C,MATCH('001_population_health_zone_zs'!$B288,[1]ratio_ins!$B:$B,0))</f>
        <v>48997.385576000008</v>
      </c>
      <c r="N288" s="10">
        <f>INDEX([1]ratio_ins!L:L,MATCH('001_population_health_zone_zs'!$B$2,[1]ratio_ins!$B:$B,0))*$G288*INDEX([1]ratio_ins!$C:$C,MATCH('001_population_health_zone_zs'!$B288,[1]ratio_ins!$B:$B,0))</f>
        <v>2880.1579340000003</v>
      </c>
      <c r="O288" s="10">
        <f>INDEX([1]ratio_ins!M:M,MATCH('001_population_health_zone_zs'!$B$2,[1]ratio_ins!$B:$B,0))*$G288*INDEX([1]ratio_ins!$C:$C,MATCH('001_population_health_zone_zs'!$B288,[1]ratio_ins!$B:$B,0))</f>
        <v>6246.1256400000011</v>
      </c>
      <c r="P288" s="10">
        <f>INDEX([1]ratio_ins!N:N,MATCH('001_population_health_zone_zs'!$B$2,[1]ratio_ins!$B:$B,0))*$G288*INDEX([1]ratio_ins!$C:$C,MATCH('001_population_health_zone_zs'!$B288,[1]ratio_ins!$B:$B,0))</f>
        <v>5638.8634250000005</v>
      </c>
      <c r="Q288" s="10">
        <f>INDEX([1]ratio_ins!O:O,MATCH('001_population_health_zone_zs'!$B$2,[1]ratio_ins!$B:$B,0))*$G288*INDEX([1]ratio_ins!$C:$C,MATCH('001_population_health_zone_zs'!$B288,[1]ratio_ins!$B:$B,0))</f>
        <v>5031.6012100000007</v>
      </c>
      <c r="R288" s="10">
        <f>INDEX([1]ratio_ins!P:P,MATCH('001_population_health_zone_zs'!$B$2,[1]ratio_ins!$B:$B,0))*$G288*INDEX([1]ratio_ins!$C:$C,MATCH('001_population_health_zone_zs'!$B288,[1]ratio_ins!$B:$B,0))</f>
        <v>4944.8494650000002</v>
      </c>
      <c r="S288" s="10">
        <f>INDEX([1]ratio_ins!Q:Q,MATCH('001_population_health_zone_zs'!$B$2,[1]ratio_ins!$B:$B,0))*$G288*INDEX([1]ratio_ins!$C:$C,MATCH('001_population_health_zone_zs'!$B288,[1]ratio_ins!$B:$B,0))</f>
        <v>4164.0837600000004</v>
      </c>
      <c r="T288" s="10">
        <f>INDEX([1]ratio_ins!R:R,MATCH('001_population_health_zone_zs'!$B$2,[1]ratio_ins!$B:$B,0))*$G288*INDEX([1]ratio_ins!$C:$C,MATCH('001_population_health_zone_zs'!$B288,[1]ratio_ins!$B:$B,0))</f>
        <v>2949.5593300000005</v>
      </c>
      <c r="U288" s="10">
        <f>INDEX([1]ratio_ins!S:S,MATCH('001_population_health_zone_zs'!$B$2,[1]ratio_ins!$B:$B,0))*$G288*INDEX([1]ratio_ins!$C:$C,MATCH('001_population_health_zone_zs'!$B288,[1]ratio_ins!$B:$B,0))</f>
        <v>2342.2971150000003</v>
      </c>
      <c r="V288" s="10">
        <f>INDEX([1]ratio_ins!T:T,MATCH('001_population_health_zone_zs'!$B$2,[1]ratio_ins!$B:$B,0))*$G288*INDEX([1]ratio_ins!$C:$C,MATCH('001_population_health_zone_zs'!$B288,[1]ratio_ins!$B:$B,0))</f>
        <v>1301.2761750000002</v>
      </c>
      <c r="W288" s="11">
        <f>INDEX([1]ratio_ins!U:U,MATCH('001_population_health_zone_zs'!$B$2,[1]ratio_ins!$B:$B,0))*$G288*INDEX([1]ratio_ins!$C:$C,MATCH('001_population_health_zone_zs'!$B288,[1]ratio_ins!$B:$B,0))</f>
        <v>35498.814054000002</v>
      </c>
      <c r="X288" s="10">
        <f>INDEX([1]ratio_ins!V:V,MATCH('001_population_health_zone_zs'!$B$2,[1]ratio_ins!$B:$B,0))*$G288*INDEX([1]ratio_ins!$C:$C,MATCH('001_population_health_zone_zs'!$B288,[1]ratio_ins!$B:$B,0))</f>
        <v>1041.0209400000001</v>
      </c>
      <c r="Y288" s="10">
        <f>INDEX([1]ratio_ins!W:W,MATCH('001_population_health_zone_zs'!$B$2,[1]ratio_ins!$B:$B,0))*$G288*INDEX([1]ratio_ins!$C:$C,MATCH('001_population_health_zone_zs'!$B288,[1]ratio_ins!$B:$B,0))</f>
        <v>694.01396</v>
      </c>
      <c r="Z288" s="10">
        <f>INDEX([1]ratio_ins!X:X,MATCH('001_population_health_zone_zs'!$B$2,[1]ratio_ins!$B:$B,0))*$G288*INDEX([1]ratio_ins!$C:$C,MATCH('001_population_health_zone_zs'!$B288,[1]ratio_ins!$B:$B,0))</f>
        <v>347.00698</v>
      </c>
      <c r="AA288" s="10">
        <f>INDEX([1]ratio_ins!Y:Y,MATCH('001_population_health_zone_zs'!$B$2,[1]ratio_ins!$B:$B,0))*$G288*INDEX([1]ratio_ins!$C:$C,MATCH('001_population_health_zone_zs'!$B288,[1]ratio_ins!$B:$B,0))</f>
        <v>173.50349</v>
      </c>
      <c r="AB288" s="11">
        <f>INDEX([1]ratio_ins!Z:Z,MATCH('001_population_health_zone_zs'!$B$2,[1]ratio_ins!$B:$B,0))*$G288*INDEX([1]ratio_ins!$C:$C,MATCH('001_population_health_zone_zs'!$B288,[1]ratio_ins!$B:$B,0))</f>
        <v>2255.5453700000003</v>
      </c>
      <c r="AC288" s="12">
        <f t="shared" si="24"/>
        <v>86751.745000000024</v>
      </c>
      <c r="AD288" s="10">
        <f>INDEX([1]ratio_ins!AA:AA,MATCH('001_population_health_zone_zs'!$B$2,[1]ratio_ins!$B:$B,0))*$G288*INDEX([1]ratio_ins!$D:$D,MATCH('001_population_health_zone_zs'!$B288,[1]ratio_ins!$B:$B,0))</f>
        <v>19190.483550000001</v>
      </c>
      <c r="AE288" s="10">
        <f>INDEX([1]ratio_ins!AB:AB,MATCH('001_population_health_zone_zs'!$B$2,[1]ratio_ins!$B:$B,0))*$G288*INDEX([1]ratio_ins!$D:$D,MATCH('001_population_health_zone_zs'!$B288,[1]ratio_ins!$B:$B,0))</f>
        <v>15809.303115000002</v>
      </c>
      <c r="AF288" s="10">
        <f>INDEX([1]ratio_ins!AC:AC,MATCH('001_population_health_zone_zs'!$B$2,[1]ratio_ins!$B:$B,0))*$G288*INDEX([1]ratio_ins!$D:$D,MATCH('001_population_health_zone_zs'!$B288,[1]ratio_ins!$B:$B,0))</f>
        <v>12519.505934999997</v>
      </c>
      <c r="AG288" s="10">
        <f>INDEX([1]ratio_ins!AD:AD,MATCH('001_population_health_zone_zs'!$B$2,[1]ratio_ins!$B:$B,0))*$G288*INDEX([1]ratio_ins!$D:$D,MATCH('001_population_health_zone_zs'!$B288,[1]ratio_ins!$B:$B,0))</f>
        <v>7584.8101649999999</v>
      </c>
      <c r="AH288" s="10">
        <f>INDEX([1]ratio_ins!AE:AE,MATCH('001_population_health_zone_zs'!$B$2,[1]ratio_ins!$B:$B,0))*$G288*INDEX([1]ratio_ins!$D:$D,MATCH('001_population_health_zone_zs'!$B288,[1]ratio_ins!$B:$B,0))</f>
        <v>4550.8860990000003</v>
      </c>
      <c r="AI288" s="13">
        <f>INDEX([1]ratio_ins!AF:AF,MATCH('001_population_health_zone_zs'!$B$2,[1]ratio_ins!$B:$B,0))*$G288*INDEX([1]ratio_ins!$D:$D,MATCH('001_population_health_zone_zs'!$B288,[1]ratio_ins!$B:$B,0))</f>
        <v>52070.178698999996</v>
      </c>
      <c r="AJ288" s="10">
        <f>INDEX([1]ratio_ins!AG:AG,MATCH('001_population_health_zone_zs'!$B$2,[1]ratio_ins!$B:$B,0))*$G288*INDEX([1]ratio_ins!$D:$D,MATCH('001_population_health_zone_zs'!$B288,[1]ratio_ins!$B:$B,0))</f>
        <v>3033.924066</v>
      </c>
      <c r="AK288" s="10">
        <f>INDEX([1]ratio_ins!AH:AH,MATCH('001_population_health_zone_zs'!$B$2,[1]ratio_ins!$B:$B,0))*$G288*INDEX([1]ratio_ins!$D:$D,MATCH('001_population_health_zone_zs'!$B288,[1]ratio_ins!$B:$B,0))</f>
        <v>6762.3608700000013</v>
      </c>
      <c r="AL288" s="10">
        <f>INDEX([1]ratio_ins!AI:AI,MATCH('001_population_health_zone_zs'!$B$2,[1]ratio_ins!$B:$B,0))*$G288*INDEX([1]ratio_ins!$D:$D,MATCH('001_population_health_zone_zs'!$B288,[1]ratio_ins!$B:$B,0))</f>
        <v>6396.8278500000006</v>
      </c>
      <c r="AM288" s="10">
        <f>INDEX([1]ratio_ins!AJ:AJ,MATCH('001_population_health_zone_zs'!$B$2,[1]ratio_ins!$B:$B,0))*$G288*INDEX([1]ratio_ins!$D:$D,MATCH('001_population_health_zone_zs'!$B288,[1]ratio_ins!$B:$B,0))</f>
        <v>5848.5283199999994</v>
      </c>
      <c r="AN288" s="10">
        <f>INDEX([1]ratio_ins!AK:AK,MATCH('001_population_health_zone_zs'!$B$2,[1]ratio_ins!$B:$B,0))*$G288*INDEX([1]ratio_ins!$D:$D,MATCH('001_population_health_zone_zs'!$B288,[1]ratio_ins!$B:$B,0))</f>
        <v>5482.9953000000005</v>
      </c>
      <c r="AO288" s="10">
        <f>INDEX([1]ratio_ins!AL:AL,MATCH('001_population_health_zone_zs'!$B$2,[1]ratio_ins!$B:$B,0))*$G288*INDEX([1]ratio_ins!$D:$D,MATCH('001_population_health_zone_zs'!$B288,[1]ratio_ins!$B:$B,0))</f>
        <v>4112.2464749999999</v>
      </c>
      <c r="AP288" s="10">
        <f>INDEX([1]ratio_ins!AM:AM,MATCH('001_population_health_zone_zs'!$B$2,[1]ratio_ins!$B:$B,0))*$G288*INDEX([1]ratio_ins!$D:$D,MATCH('001_population_health_zone_zs'!$B288,[1]ratio_ins!$B:$B,0))</f>
        <v>2650.1143950000001</v>
      </c>
      <c r="AQ288" s="10">
        <f>INDEX([1]ratio_ins!AN:AN,MATCH('001_population_health_zone_zs'!$B$2,[1]ratio_ins!$B:$B,0))*$G288*INDEX([1]ratio_ins!$D:$D,MATCH('001_population_health_zone_zs'!$B288,[1]ratio_ins!$B:$B,0))</f>
        <v>2101.8148649999998</v>
      </c>
      <c r="AR288" s="10">
        <f>INDEX([1]ratio_ins!AO:AO,MATCH('001_population_health_zone_zs'!$B$2,[1]ratio_ins!$B:$B,0))*$G288*INDEX([1]ratio_ins!$D:$D,MATCH('001_population_health_zone_zs'!$B288,[1]ratio_ins!$B:$B,0))</f>
        <v>1005.215805</v>
      </c>
      <c r="AS288" s="13">
        <f>INDEX([1]ratio_ins!AP:AP,MATCH('001_population_health_zone_zs'!$B$2,[1]ratio_ins!$B:$B,0))*$G288*INDEX([1]ratio_ins!$D:$D,MATCH('001_population_health_zone_zs'!$B288,[1]ratio_ins!$B:$B,0))</f>
        <v>37394.027946000002</v>
      </c>
      <c r="AT288" s="10">
        <f>INDEX([1]ratio_ins!AQ:AQ,MATCH('001_population_health_zone_zs'!$B$2,[1]ratio_ins!$B:$B,0))*$G288*INDEX([1]ratio_ins!$D:$D,MATCH('001_population_health_zone_zs'!$B288,[1]ratio_ins!$B:$B,0))</f>
        <v>913.83255000000008</v>
      </c>
      <c r="AU288" s="10">
        <f>INDEX([1]ratio_ins!AR:AR,MATCH('001_population_health_zone_zs'!$B$2,[1]ratio_ins!$B:$B,0))*$G288*INDEX([1]ratio_ins!$D:$D,MATCH('001_population_health_zone_zs'!$B288,[1]ratio_ins!$B:$B,0))</f>
        <v>548.29953</v>
      </c>
      <c r="AV288" s="10">
        <f>INDEX([1]ratio_ins!AS:AS,MATCH('001_population_health_zone_zs'!$B$2,[1]ratio_ins!$B:$B,0))*$G288*INDEX([1]ratio_ins!$D:$D,MATCH('001_population_health_zone_zs'!$B288,[1]ratio_ins!$B:$B,0))</f>
        <v>274.149765</v>
      </c>
      <c r="AW288" s="10">
        <f>INDEX([1]ratio_ins!AT:AT,MATCH('001_population_health_zone_zs'!$B$2,[1]ratio_ins!$B:$B,0))*$G288*INDEX([1]ratio_ins!$D:$D,MATCH('001_population_health_zone_zs'!$B288,[1]ratio_ins!$B:$B,0))</f>
        <v>182.76650999999998</v>
      </c>
      <c r="AX288" s="13">
        <f>INDEX([1]ratio_ins!AU:AU,MATCH('001_population_health_zone_zs'!$B$2,[1]ratio_ins!$B:$B,0))*$G288*INDEX([1]ratio_ins!$D:$D,MATCH('001_population_health_zone_zs'!$B288,[1]ratio_ins!$B:$B,0))</f>
        <v>1919.0483549999999</v>
      </c>
      <c r="AY288" s="14">
        <f t="shared" si="25"/>
        <v>91383.255000000005</v>
      </c>
      <c r="AZ288" s="15">
        <f t="shared" si="26"/>
        <v>178135.00000000003</v>
      </c>
      <c r="BA288" s="16">
        <v>170914.22553869136</v>
      </c>
      <c r="BB288" s="10">
        <f t="shared" si="27"/>
        <v>38837.883375000005</v>
      </c>
      <c r="BC288" s="17">
        <f t="shared" si="28"/>
        <v>0.21802500000000002</v>
      </c>
      <c r="BD288" s="10">
        <f t="shared" si="29"/>
        <v>36175.477665000006</v>
      </c>
    </row>
    <row r="289" spans="1:56" x14ac:dyDescent="0.25">
      <c r="A289" s="8" t="s">
        <v>671</v>
      </c>
      <c r="B289" s="8" t="s">
        <v>672</v>
      </c>
      <c r="C289" s="8" t="s">
        <v>699</v>
      </c>
      <c r="D289" s="8" t="s">
        <v>700</v>
      </c>
      <c r="E289" s="8" t="s">
        <v>712</v>
      </c>
      <c r="F289" s="8" t="s">
        <v>713</v>
      </c>
      <c r="G289" s="9">
        <v>250030</v>
      </c>
      <c r="H289" s="10">
        <f>INDEX([1]ratio_ins!F:F,MATCH('001_population_health_zone_zs'!$B$2,[1]ratio_ins!$B:$B,0))*$G289*INDEX([1]ratio_ins!$C:$C,MATCH('001_population_health_zone_zs'!$B289,[1]ratio_ins!$B:$B,0))</f>
        <v>25448.803490000002</v>
      </c>
      <c r="I289" s="10">
        <f>INDEX([1]ratio_ins!G:G,MATCH('001_population_health_zone_zs'!$B$2,[1]ratio_ins!$B:$B,0))*$G289*INDEX([1]ratio_ins!$C:$C,MATCH('001_population_health_zone_zs'!$B289,[1]ratio_ins!$B:$B,0))</f>
        <v>20821.748310000003</v>
      </c>
      <c r="J289" s="10">
        <f>INDEX([1]ratio_ins!H:H,MATCH('001_population_health_zone_zs'!$B$2,[1]ratio_ins!$B:$B,0))*$G289*INDEX([1]ratio_ins!$C:$C,MATCH('001_population_health_zone_zs'!$B289,[1]ratio_ins!$B:$B,0))</f>
        <v>16438.222350000004</v>
      </c>
      <c r="K289" s="10">
        <f>INDEX([1]ratio_ins!I:I,MATCH('001_population_health_zone_zs'!$B$2,[1]ratio_ins!$B:$B,0))*$G289*INDEX([1]ratio_ins!$C:$C,MATCH('001_population_health_zone_zs'!$B289,[1]ratio_ins!$B:$B,0))</f>
        <v>10106.462630000002</v>
      </c>
      <c r="L289" s="10">
        <f>INDEX([1]ratio_ins!J:J,MATCH('001_population_health_zone_zs'!$B$2,[1]ratio_ins!$B:$B,0))*$G289*INDEX([1]ratio_ins!$C:$C,MATCH('001_population_health_zone_zs'!$B289,[1]ratio_ins!$B:$B,0))</f>
        <v>6063.8775779999996</v>
      </c>
      <c r="M289" s="11">
        <f>INDEX([1]ratio_ins!K:K,MATCH('001_population_health_zone_zs'!$B$2,[1]ratio_ins!$B:$B,0))*$G289*INDEX([1]ratio_ins!$C:$C,MATCH('001_population_health_zone_zs'!$B289,[1]ratio_ins!$B:$B,0))</f>
        <v>68772.651727999997</v>
      </c>
      <c r="N289" s="10">
        <f>INDEX([1]ratio_ins!L:L,MATCH('001_population_health_zone_zs'!$B$2,[1]ratio_ins!$B:$B,0))*$G289*INDEX([1]ratio_ins!$C:$C,MATCH('001_population_health_zone_zs'!$B289,[1]ratio_ins!$B:$B,0))</f>
        <v>4042.5850519999999</v>
      </c>
      <c r="O289" s="10">
        <f>INDEX([1]ratio_ins!M:M,MATCH('001_population_health_zone_zs'!$B$2,[1]ratio_ins!$B:$B,0))*$G289*INDEX([1]ratio_ins!$C:$C,MATCH('001_population_health_zone_zs'!$B289,[1]ratio_ins!$B:$B,0))</f>
        <v>8767.0519200000017</v>
      </c>
      <c r="P289" s="10">
        <f>INDEX([1]ratio_ins!N:N,MATCH('001_population_health_zone_zs'!$B$2,[1]ratio_ins!$B:$B,0))*$G289*INDEX([1]ratio_ins!$C:$C,MATCH('001_population_health_zone_zs'!$B289,[1]ratio_ins!$B:$B,0))</f>
        <v>7914.6996500000014</v>
      </c>
      <c r="Q289" s="10">
        <f>INDEX([1]ratio_ins!O:O,MATCH('001_population_health_zone_zs'!$B$2,[1]ratio_ins!$B:$B,0))*$G289*INDEX([1]ratio_ins!$C:$C,MATCH('001_population_health_zone_zs'!$B289,[1]ratio_ins!$B:$B,0))</f>
        <v>7062.3473800000002</v>
      </c>
      <c r="R289" s="10">
        <f>INDEX([1]ratio_ins!P:P,MATCH('001_population_health_zone_zs'!$B$2,[1]ratio_ins!$B:$B,0))*$G289*INDEX([1]ratio_ins!$C:$C,MATCH('001_population_health_zone_zs'!$B289,[1]ratio_ins!$B:$B,0))</f>
        <v>6940.5827700000009</v>
      </c>
      <c r="S289" s="10">
        <f>INDEX([1]ratio_ins!Q:Q,MATCH('001_population_health_zone_zs'!$B$2,[1]ratio_ins!$B:$B,0))*$G289*INDEX([1]ratio_ins!$C:$C,MATCH('001_population_health_zone_zs'!$B289,[1]ratio_ins!$B:$B,0))</f>
        <v>5844.7012800000011</v>
      </c>
      <c r="T289" s="10">
        <f>INDEX([1]ratio_ins!R:R,MATCH('001_population_health_zone_zs'!$B$2,[1]ratio_ins!$B:$B,0))*$G289*INDEX([1]ratio_ins!$C:$C,MATCH('001_population_health_zone_zs'!$B289,[1]ratio_ins!$B:$B,0))</f>
        <v>4139.9967400000005</v>
      </c>
      <c r="U289" s="10">
        <f>INDEX([1]ratio_ins!S:S,MATCH('001_population_health_zone_zs'!$B$2,[1]ratio_ins!$B:$B,0))*$G289*INDEX([1]ratio_ins!$C:$C,MATCH('001_population_health_zone_zs'!$B289,[1]ratio_ins!$B:$B,0))</f>
        <v>3287.6444700000006</v>
      </c>
      <c r="V289" s="10">
        <f>INDEX([1]ratio_ins!T:T,MATCH('001_population_health_zone_zs'!$B$2,[1]ratio_ins!$B:$B,0))*$G289*INDEX([1]ratio_ins!$C:$C,MATCH('001_population_health_zone_zs'!$B289,[1]ratio_ins!$B:$B,0))</f>
        <v>1826.4691500000001</v>
      </c>
      <c r="W289" s="11">
        <f>INDEX([1]ratio_ins!U:U,MATCH('001_population_health_zone_zs'!$B$2,[1]ratio_ins!$B:$B,0))*$G289*INDEX([1]ratio_ins!$C:$C,MATCH('001_population_health_zone_zs'!$B289,[1]ratio_ins!$B:$B,0))</f>
        <v>49826.078412000003</v>
      </c>
      <c r="X289" s="10">
        <f>INDEX([1]ratio_ins!V:V,MATCH('001_population_health_zone_zs'!$B$2,[1]ratio_ins!$B:$B,0))*$G289*INDEX([1]ratio_ins!$C:$C,MATCH('001_population_health_zone_zs'!$B289,[1]ratio_ins!$B:$B,0))</f>
        <v>1461.1753200000003</v>
      </c>
      <c r="Y289" s="10">
        <f>INDEX([1]ratio_ins!W:W,MATCH('001_population_health_zone_zs'!$B$2,[1]ratio_ins!$B:$B,0))*$G289*INDEX([1]ratio_ins!$C:$C,MATCH('001_population_health_zone_zs'!$B289,[1]ratio_ins!$B:$B,0))</f>
        <v>974.11688000000004</v>
      </c>
      <c r="Z289" s="10">
        <f>INDEX([1]ratio_ins!X:X,MATCH('001_population_health_zone_zs'!$B$2,[1]ratio_ins!$B:$B,0))*$G289*INDEX([1]ratio_ins!$C:$C,MATCH('001_population_health_zone_zs'!$B289,[1]ratio_ins!$B:$B,0))</f>
        <v>487.05844000000002</v>
      </c>
      <c r="AA289" s="10">
        <f>INDEX([1]ratio_ins!Y:Y,MATCH('001_population_health_zone_zs'!$B$2,[1]ratio_ins!$B:$B,0))*$G289*INDEX([1]ratio_ins!$C:$C,MATCH('001_population_health_zone_zs'!$B289,[1]ratio_ins!$B:$B,0))</f>
        <v>243.52922000000001</v>
      </c>
      <c r="AB289" s="11">
        <f>INDEX([1]ratio_ins!Z:Z,MATCH('001_population_health_zone_zs'!$B$2,[1]ratio_ins!$B:$B,0))*$G289*INDEX([1]ratio_ins!$C:$C,MATCH('001_population_health_zone_zs'!$B289,[1]ratio_ins!$B:$B,0))</f>
        <v>3165.8798600000005</v>
      </c>
      <c r="AC289" s="12">
        <f t="shared" si="24"/>
        <v>121764.61</v>
      </c>
      <c r="AD289" s="10">
        <f>INDEX([1]ratio_ins!AA:AA,MATCH('001_population_health_zone_zs'!$B$2,[1]ratio_ins!$B:$B,0))*$G289*INDEX([1]ratio_ins!$D:$D,MATCH('001_population_health_zone_zs'!$B289,[1]ratio_ins!$B:$B,0))</f>
        <v>26935.731899999999</v>
      </c>
      <c r="AE289" s="10">
        <f>INDEX([1]ratio_ins!AB:AB,MATCH('001_population_health_zone_zs'!$B$2,[1]ratio_ins!$B:$B,0))*$G289*INDEX([1]ratio_ins!$D:$D,MATCH('001_population_health_zone_zs'!$B289,[1]ratio_ins!$B:$B,0))</f>
        <v>22189.912470000003</v>
      </c>
      <c r="AF289" s="10">
        <f>INDEX([1]ratio_ins!AC:AC,MATCH('001_population_health_zone_zs'!$B$2,[1]ratio_ins!$B:$B,0))*$G289*INDEX([1]ratio_ins!$D:$D,MATCH('001_population_health_zone_zs'!$B289,[1]ratio_ins!$B:$B,0))</f>
        <v>17572.358429999997</v>
      </c>
      <c r="AG289" s="10">
        <f>INDEX([1]ratio_ins!AD:AD,MATCH('001_population_health_zone_zs'!$B$2,[1]ratio_ins!$B:$B,0))*$G289*INDEX([1]ratio_ins!$D:$D,MATCH('001_population_health_zone_zs'!$B289,[1]ratio_ins!$B:$B,0))</f>
        <v>10646.027370000002</v>
      </c>
      <c r="AH289" s="10">
        <f>INDEX([1]ratio_ins!AE:AE,MATCH('001_population_health_zone_zs'!$B$2,[1]ratio_ins!$B:$B,0))*$G289*INDEX([1]ratio_ins!$D:$D,MATCH('001_population_health_zone_zs'!$B289,[1]ratio_ins!$B:$B,0))</f>
        <v>6387.6164219999991</v>
      </c>
      <c r="AI289" s="13">
        <f>INDEX([1]ratio_ins!AF:AF,MATCH('001_population_health_zone_zs'!$B$2,[1]ratio_ins!$B:$B,0))*$G289*INDEX([1]ratio_ins!$D:$D,MATCH('001_population_health_zone_zs'!$B289,[1]ratio_ins!$B:$B,0))</f>
        <v>73085.619221999994</v>
      </c>
      <c r="AJ289" s="10">
        <f>INDEX([1]ratio_ins!AG:AG,MATCH('001_population_health_zone_zs'!$B$2,[1]ratio_ins!$B:$B,0))*$G289*INDEX([1]ratio_ins!$D:$D,MATCH('001_population_health_zone_zs'!$B289,[1]ratio_ins!$B:$B,0))</f>
        <v>4258.4109479999997</v>
      </c>
      <c r="AK289" s="10">
        <f>INDEX([1]ratio_ins!AH:AH,MATCH('001_population_health_zone_zs'!$B$2,[1]ratio_ins!$B:$B,0))*$G289*INDEX([1]ratio_ins!$D:$D,MATCH('001_population_health_zone_zs'!$B289,[1]ratio_ins!$B:$B,0))</f>
        <v>9491.6388600000009</v>
      </c>
      <c r="AL289" s="10">
        <f>INDEX([1]ratio_ins!AI:AI,MATCH('001_population_health_zone_zs'!$B$2,[1]ratio_ins!$B:$B,0))*$G289*INDEX([1]ratio_ins!$D:$D,MATCH('001_population_health_zone_zs'!$B289,[1]ratio_ins!$B:$B,0))</f>
        <v>8978.5773000000008</v>
      </c>
      <c r="AM289" s="10">
        <f>INDEX([1]ratio_ins!AJ:AJ,MATCH('001_population_health_zone_zs'!$B$2,[1]ratio_ins!$B:$B,0))*$G289*INDEX([1]ratio_ins!$D:$D,MATCH('001_population_health_zone_zs'!$B289,[1]ratio_ins!$B:$B,0))</f>
        <v>8208.9849599999998</v>
      </c>
      <c r="AN289" s="10">
        <f>INDEX([1]ratio_ins!AK:AK,MATCH('001_population_health_zone_zs'!$B$2,[1]ratio_ins!$B:$B,0))*$G289*INDEX([1]ratio_ins!$D:$D,MATCH('001_population_health_zone_zs'!$B289,[1]ratio_ins!$B:$B,0))</f>
        <v>7695.9233999999997</v>
      </c>
      <c r="AO289" s="10">
        <f>INDEX([1]ratio_ins!AL:AL,MATCH('001_population_health_zone_zs'!$B$2,[1]ratio_ins!$B:$B,0))*$G289*INDEX([1]ratio_ins!$D:$D,MATCH('001_population_health_zone_zs'!$B289,[1]ratio_ins!$B:$B,0))</f>
        <v>5771.9425500000007</v>
      </c>
      <c r="AP289" s="10">
        <f>INDEX([1]ratio_ins!AM:AM,MATCH('001_population_health_zone_zs'!$B$2,[1]ratio_ins!$B:$B,0))*$G289*INDEX([1]ratio_ins!$D:$D,MATCH('001_population_health_zone_zs'!$B289,[1]ratio_ins!$B:$B,0))</f>
        <v>3719.6963099999998</v>
      </c>
      <c r="AQ289" s="10">
        <f>INDEX([1]ratio_ins!AN:AN,MATCH('001_population_health_zone_zs'!$B$2,[1]ratio_ins!$B:$B,0))*$G289*INDEX([1]ratio_ins!$D:$D,MATCH('001_population_health_zone_zs'!$B289,[1]ratio_ins!$B:$B,0))</f>
        <v>2950.1039699999997</v>
      </c>
      <c r="AR289" s="10">
        <f>INDEX([1]ratio_ins!AO:AO,MATCH('001_population_health_zone_zs'!$B$2,[1]ratio_ins!$B:$B,0))*$G289*INDEX([1]ratio_ins!$D:$D,MATCH('001_population_health_zone_zs'!$B289,[1]ratio_ins!$B:$B,0))</f>
        <v>1410.9192900000003</v>
      </c>
      <c r="AS289" s="13">
        <f>INDEX([1]ratio_ins!AP:AP,MATCH('001_population_health_zone_zs'!$B$2,[1]ratio_ins!$B:$B,0))*$G289*INDEX([1]ratio_ins!$D:$D,MATCH('001_population_health_zone_zs'!$B289,[1]ratio_ins!$B:$B,0))</f>
        <v>52486.197588000003</v>
      </c>
      <c r="AT289" s="10">
        <f>INDEX([1]ratio_ins!AQ:AQ,MATCH('001_population_health_zone_zs'!$B$2,[1]ratio_ins!$B:$B,0))*$G289*INDEX([1]ratio_ins!$D:$D,MATCH('001_population_health_zone_zs'!$B289,[1]ratio_ins!$B:$B,0))</f>
        <v>1282.6539</v>
      </c>
      <c r="AU289" s="10">
        <f>INDEX([1]ratio_ins!AR:AR,MATCH('001_population_health_zone_zs'!$B$2,[1]ratio_ins!$B:$B,0))*$G289*INDEX([1]ratio_ins!$D:$D,MATCH('001_population_health_zone_zs'!$B289,[1]ratio_ins!$B:$B,0))</f>
        <v>769.59234000000004</v>
      </c>
      <c r="AV289" s="10">
        <f>INDEX([1]ratio_ins!AS:AS,MATCH('001_population_health_zone_zs'!$B$2,[1]ratio_ins!$B:$B,0))*$G289*INDEX([1]ratio_ins!$D:$D,MATCH('001_population_health_zone_zs'!$B289,[1]ratio_ins!$B:$B,0))</f>
        <v>384.79617000000002</v>
      </c>
      <c r="AW289" s="10">
        <f>INDEX([1]ratio_ins!AT:AT,MATCH('001_population_health_zone_zs'!$B$2,[1]ratio_ins!$B:$B,0))*$G289*INDEX([1]ratio_ins!$D:$D,MATCH('001_population_health_zone_zs'!$B289,[1]ratio_ins!$B:$B,0))</f>
        <v>256.53077999999999</v>
      </c>
      <c r="AX289" s="13">
        <f>INDEX([1]ratio_ins!AU:AU,MATCH('001_population_health_zone_zs'!$B$2,[1]ratio_ins!$B:$B,0))*$G289*INDEX([1]ratio_ins!$D:$D,MATCH('001_population_health_zone_zs'!$B289,[1]ratio_ins!$B:$B,0))</f>
        <v>2693.5731899999996</v>
      </c>
      <c r="AY289" s="14">
        <f t="shared" si="25"/>
        <v>128265.38999999998</v>
      </c>
      <c r="AZ289" s="15">
        <f t="shared" si="26"/>
        <v>250030</v>
      </c>
      <c r="BA289" s="16">
        <v>239895.59888342328</v>
      </c>
      <c r="BB289" s="10">
        <f t="shared" si="27"/>
        <v>54512.79075</v>
      </c>
      <c r="BC289" s="17">
        <f t="shared" si="28"/>
        <v>0.218025</v>
      </c>
      <c r="BD289" s="10">
        <f t="shared" si="29"/>
        <v>50775.842370000006</v>
      </c>
    </row>
    <row r="290" spans="1:56" x14ac:dyDescent="0.25">
      <c r="A290" s="8" t="s">
        <v>671</v>
      </c>
      <c r="B290" s="8" t="s">
        <v>672</v>
      </c>
      <c r="C290" s="8" t="s">
        <v>714</v>
      </c>
      <c r="D290" s="8" t="s">
        <v>715</v>
      </c>
      <c r="E290" s="8" t="s">
        <v>716</v>
      </c>
      <c r="F290" s="8" t="s">
        <v>717</v>
      </c>
      <c r="G290" s="9">
        <v>200088</v>
      </c>
      <c r="H290" s="10">
        <f>INDEX([1]ratio_ins!F:F,MATCH('001_population_health_zone_zs'!$B$2,[1]ratio_ins!$B:$B,0))*$G290*INDEX([1]ratio_ins!$C:$C,MATCH('001_population_health_zone_zs'!$B290,[1]ratio_ins!$B:$B,0))</f>
        <v>20365.556904000001</v>
      </c>
      <c r="I290" s="10">
        <f>INDEX([1]ratio_ins!G:G,MATCH('001_population_health_zone_zs'!$B$2,[1]ratio_ins!$B:$B,0))*$G290*INDEX([1]ratio_ins!$C:$C,MATCH('001_population_health_zone_zs'!$B290,[1]ratio_ins!$B:$B,0))</f>
        <v>16662.728376000003</v>
      </c>
      <c r="J290" s="10">
        <f>INDEX([1]ratio_ins!H:H,MATCH('001_population_health_zone_zs'!$B$2,[1]ratio_ins!$B:$B,0))*$G290*INDEX([1]ratio_ins!$C:$C,MATCH('001_population_health_zone_zs'!$B290,[1]ratio_ins!$B:$B,0))</f>
        <v>13154.785560000002</v>
      </c>
      <c r="K290" s="10">
        <f>INDEX([1]ratio_ins!I:I,MATCH('001_population_health_zone_zs'!$B$2,[1]ratio_ins!$B:$B,0))*$G290*INDEX([1]ratio_ins!$C:$C,MATCH('001_population_health_zone_zs'!$B290,[1]ratio_ins!$B:$B,0))</f>
        <v>8087.7570480000004</v>
      </c>
      <c r="L290" s="10">
        <f>INDEX([1]ratio_ins!J:J,MATCH('001_population_health_zone_zs'!$B$2,[1]ratio_ins!$B:$B,0))*$G290*INDEX([1]ratio_ins!$C:$C,MATCH('001_population_health_zone_zs'!$B290,[1]ratio_ins!$B:$B,0))</f>
        <v>4852.6542288000001</v>
      </c>
      <c r="M290" s="11">
        <f>INDEX([1]ratio_ins!K:K,MATCH('001_population_health_zone_zs'!$B$2,[1]ratio_ins!$B:$B,0))*$G290*INDEX([1]ratio_ins!$C:$C,MATCH('001_population_health_zone_zs'!$B290,[1]ratio_ins!$B:$B,0))</f>
        <v>55035.725068800006</v>
      </c>
      <c r="N290" s="10">
        <f>INDEX([1]ratio_ins!L:L,MATCH('001_population_health_zone_zs'!$B$2,[1]ratio_ins!$B:$B,0))*$G290*INDEX([1]ratio_ins!$C:$C,MATCH('001_population_health_zone_zs'!$B290,[1]ratio_ins!$B:$B,0))</f>
        <v>3235.1028192000003</v>
      </c>
      <c r="O290" s="10">
        <f>INDEX([1]ratio_ins!M:M,MATCH('001_population_health_zone_zs'!$B$2,[1]ratio_ins!$B:$B,0))*$G290*INDEX([1]ratio_ins!$C:$C,MATCH('001_population_health_zone_zs'!$B290,[1]ratio_ins!$B:$B,0))</f>
        <v>7015.8856320000014</v>
      </c>
      <c r="P290" s="10">
        <f>INDEX([1]ratio_ins!N:N,MATCH('001_population_health_zone_zs'!$B$2,[1]ratio_ins!$B:$B,0))*$G290*INDEX([1]ratio_ins!$C:$C,MATCH('001_population_health_zone_zs'!$B290,[1]ratio_ins!$B:$B,0))</f>
        <v>6333.785640000001</v>
      </c>
      <c r="Q290" s="10">
        <f>INDEX([1]ratio_ins!O:O,MATCH('001_population_health_zone_zs'!$B$2,[1]ratio_ins!$B:$B,0))*$G290*INDEX([1]ratio_ins!$C:$C,MATCH('001_population_health_zone_zs'!$B290,[1]ratio_ins!$B:$B,0))</f>
        <v>5651.6856480000006</v>
      </c>
      <c r="R290" s="10">
        <f>INDEX([1]ratio_ins!P:P,MATCH('001_population_health_zone_zs'!$B$2,[1]ratio_ins!$B:$B,0))*$G290*INDEX([1]ratio_ins!$C:$C,MATCH('001_population_health_zone_zs'!$B290,[1]ratio_ins!$B:$B,0))</f>
        <v>5554.242792</v>
      </c>
      <c r="S290" s="10">
        <f>INDEX([1]ratio_ins!Q:Q,MATCH('001_population_health_zone_zs'!$B$2,[1]ratio_ins!$B:$B,0))*$G290*INDEX([1]ratio_ins!$C:$C,MATCH('001_population_health_zone_zs'!$B290,[1]ratio_ins!$B:$B,0))</f>
        <v>4677.2570880000003</v>
      </c>
      <c r="T290" s="10">
        <f>INDEX([1]ratio_ins!R:R,MATCH('001_population_health_zone_zs'!$B$2,[1]ratio_ins!$B:$B,0))*$G290*INDEX([1]ratio_ins!$C:$C,MATCH('001_population_health_zone_zs'!$B290,[1]ratio_ins!$B:$B,0))</f>
        <v>3313.0571040000004</v>
      </c>
      <c r="U290" s="10">
        <f>INDEX([1]ratio_ins!S:S,MATCH('001_population_health_zone_zs'!$B$2,[1]ratio_ins!$B:$B,0))*$G290*INDEX([1]ratio_ins!$C:$C,MATCH('001_population_health_zone_zs'!$B290,[1]ratio_ins!$B:$B,0))</f>
        <v>2630.9571120000005</v>
      </c>
      <c r="V290" s="10">
        <f>INDEX([1]ratio_ins!T:T,MATCH('001_population_health_zone_zs'!$B$2,[1]ratio_ins!$B:$B,0))*$G290*INDEX([1]ratio_ins!$C:$C,MATCH('001_population_health_zone_zs'!$B290,[1]ratio_ins!$B:$B,0))</f>
        <v>1461.64284</v>
      </c>
      <c r="W290" s="11">
        <f>INDEX([1]ratio_ins!U:U,MATCH('001_population_health_zone_zs'!$B$2,[1]ratio_ins!$B:$B,0))*$G290*INDEX([1]ratio_ins!$C:$C,MATCH('001_population_health_zone_zs'!$B290,[1]ratio_ins!$B:$B,0))</f>
        <v>39873.616675200006</v>
      </c>
      <c r="X290" s="10">
        <f>INDEX([1]ratio_ins!V:V,MATCH('001_population_health_zone_zs'!$B$2,[1]ratio_ins!$B:$B,0))*$G290*INDEX([1]ratio_ins!$C:$C,MATCH('001_population_health_zone_zs'!$B290,[1]ratio_ins!$B:$B,0))</f>
        <v>1169.3142720000001</v>
      </c>
      <c r="Y290" s="10">
        <f>INDEX([1]ratio_ins!W:W,MATCH('001_population_health_zone_zs'!$B$2,[1]ratio_ins!$B:$B,0))*$G290*INDEX([1]ratio_ins!$C:$C,MATCH('001_population_health_zone_zs'!$B290,[1]ratio_ins!$B:$B,0))</f>
        <v>779.54284800000005</v>
      </c>
      <c r="Z290" s="10">
        <f>INDEX([1]ratio_ins!X:X,MATCH('001_population_health_zone_zs'!$B$2,[1]ratio_ins!$B:$B,0))*$G290*INDEX([1]ratio_ins!$C:$C,MATCH('001_population_health_zone_zs'!$B290,[1]ratio_ins!$B:$B,0))</f>
        <v>389.77142400000002</v>
      </c>
      <c r="AA290" s="10">
        <f>INDEX([1]ratio_ins!Y:Y,MATCH('001_population_health_zone_zs'!$B$2,[1]ratio_ins!$B:$B,0))*$G290*INDEX([1]ratio_ins!$C:$C,MATCH('001_population_health_zone_zs'!$B290,[1]ratio_ins!$B:$B,0))</f>
        <v>194.88571200000001</v>
      </c>
      <c r="AB290" s="11">
        <f>INDEX([1]ratio_ins!Z:Z,MATCH('001_population_health_zone_zs'!$B$2,[1]ratio_ins!$B:$B,0))*$G290*INDEX([1]ratio_ins!$C:$C,MATCH('001_population_health_zone_zs'!$B290,[1]ratio_ins!$B:$B,0))</f>
        <v>2533.5142560000004</v>
      </c>
      <c r="AC290" s="12">
        <f t="shared" si="24"/>
        <v>97442.856</v>
      </c>
      <c r="AD290" s="10">
        <f>INDEX([1]ratio_ins!AA:AA,MATCH('001_population_health_zone_zs'!$B$2,[1]ratio_ins!$B:$B,0))*$G290*INDEX([1]ratio_ins!$D:$D,MATCH('001_population_health_zone_zs'!$B290,[1]ratio_ins!$B:$B,0))</f>
        <v>21555.480239999997</v>
      </c>
      <c r="AE290" s="10">
        <f>INDEX([1]ratio_ins!AB:AB,MATCH('001_population_health_zone_zs'!$B$2,[1]ratio_ins!$B:$B,0))*$G290*INDEX([1]ratio_ins!$D:$D,MATCH('001_population_health_zone_zs'!$B290,[1]ratio_ins!$B:$B,0))</f>
        <v>17757.609912</v>
      </c>
      <c r="AF290" s="10">
        <f>INDEX([1]ratio_ins!AC:AC,MATCH('001_population_health_zone_zs'!$B$2,[1]ratio_ins!$B:$B,0))*$G290*INDEX([1]ratio_ins!$D:$D,MATCH('001_population_health_zone_zs'!$B290,[1]ratio_ins!$B:$B,0))</f>
        <v>14062.384727999999</v>
      </c>
      <c r="AG290" s="10">
        <f>INDEX([1]ratio_ins!AD:AD,MATCH('001_population_health_zone_zs'!$B$2,[1]ratio_ins!$B:$B,0))*$G290*INDEX([1]ratio_ins!$D:$D,MATCH('001_population_health_zone_zs'!$B290,[1]ratio_ins!$B:$B,0))</f>
        <v>8519.5469520000006</v>
      </c>
      <c r="AH290" s="10">
        <f>INDEX([1]ratio_ins!AE:AE,MATCH('001_population_health_zone_zs'!$B$2,[1]ratio_ins!$B:$B,0))*$G290*INDEX([1]ratio_ins!$D:$D,MATCH('001_population_health_zone_zs'!$B290,[1]ratio_ins!$B:$B,0))</f>
        <v>5111.7281711999995</v>
      </c>
      <c r="AI290" s="13">
        <f>INDEX([1]ratio_ins!AF:AF,MATCH('001_population_health_zone_zs'!$B$2,[1]ratio_ins!$B:$B,0))*$G290*INDEX([1]ratio_ins!$D:$D,MATCH('001_population_health_zone_zs'!$B290,[1]ratio_ins!$B:$B,0))</f>
        <v>58487.203051199998</v>
      </c>
      <c r="AJ290" s="10">
        <f>INDEX([1]ratio_ins!AG:AG,MATCH('001_population_health_zone_zs'!$B$2,[1]ratio_ins!$B:$B,0))*$G290*INDEX([1]ratio_ins!$D:$D,MATCH('001_population_health_zone_zs'!$B290,[1]ratio_ins!$B:$B,0))</f>
        <v>3407.8187807999998</v>
      </c>
      <c r="AK290" s="10">
        <f>INDEX([1]ratio_ins!AH:AH,MATCH('001_population_health_zone_zs'!$B$2,[1]ratio_ins!$B:$B,0))*$G290*INDEX([1]ratio_ins!$D:$D,MATCH('001_population_health_zone_zs'!$B290,[1]ratio_ins!$B:$B,0))</f>
        <v>7595.7406560000018</v>
      </c>
      <c r="AL290" s="10">
        <f>INDEX([1]ratio_ins!AI:AI,MATCH('001_population_health_zone_zs'!$B$2,[1]ratio_ins!$B:$B,0))*$G290*INDEX([1]ratio_ins!$D:$D,MATCH('001_population_health_zone_zs'!$B290,[1]ratio_ins!$B:$B,0))</f>
        <v>7185.1600800000015</v>
      </c>
      <c r="AM290" s="10">
        <f>INDEX([1]ratio_ins!AJ:AJ,MATCH('001_population_health_zone_zs'!$B$2,[1]ratio_ins!$B:$B,0))*$G290*INDEX([1]ratio_ins!$D:$D,MATCH('001_population_health_zone_zs'!$B290,[1]ratio_ins!$B:$B,0))</f>
        <v>6569.2892160000001</v>
      </c>
      <c r="AN290" s="10">
        <f>INDEX([1]ratio_ins!AK:AK,MATCH('001_population_health_zone_zs'!$B$2,[1]ratio_ins!$B:$B,0))*$G290*INDEX([1]ratio_ins!$D:$D,MATCH('001_population_health_zone_zs'!$B290,[1]ratio_ins!$B:$B,0))</f>
        <v>6158.7086399999998</v>
      </c>
      <c r="AO290" s="10">
        <f>INDEX([1]ratio_ins!AL:AL,MATCH('001_population_health_zone_zs'!$B$2,[1]ratio_ins!$B:$B,0))*$G290*INDEX([1]ratio_ins!$D:$D,MATCH('001_population_health_zone_zs'!$B290,[1]ratio_ins!$B:$B,0))</f>
        <v>4619.0314799999996</v>
      </c>
      <c r="AP290" s="10">
        <f>INDEX([1]ratio_ins!AM:AM,MATCH('001_population_health_zone_zs'!$B$2,[1]ratio_ins!$B:$B,0))*$G290*INDEX([1]ratio_ins!$D:$D,MATCH('001_population_health_zone_zs'!$B290,[1]ratio_ins!$B:$B,0))</f>
        <v>2976.7091759999998</v>
      </c>
      <c r="AQ290" s="10">
        <f>INDEX([1]ratio_ins!AN:AN,MATCH('001_population_health_zone_zs'!$B$2,[1]ratio_ins!$B:$B,0))*$G290*INDEX([1]ratio_ins!$D:$D,MATCH('001_population_health_zone_zs'!$B290,[1]ratio_ins!$B:$B,0))</f>
        <v>2360.8383120000003</v>
      </c>
      <c r="AR290" s="10">
        <f>INDEX([1]ratio_ins!AO:AO,MATCH('001_population_health_zone_zs'!$B$2,[1]ratio_ins!$B:$B,0))*$G290*INDEX([1]ratio_ins!$D:$D,MATCH('001_population_health_zone_zs'!$B290,[1]ratio_ins!$B:$B,0))</f>
        <v>1129.0965840000001</v>
      </c>
      <c r="AS290" s="13">
        <f>INDEX([1]ratio_ins!AP:AP,MATCH('001_population_health_zone_zs'!$B$2,[1]ratio_ins!$B:$B,0))*$G290*INDEX([1]ratio_ins!$D:$D,MATCH('001_population_health_zone_zs'!$B290,[1]ratio_ins!$B:$B,0))</f>
        <v>42002.392924800006</v>
      </c>
      <c r="AT290" s="10">
        <f>INDEX([1]ratio_ins!AQ:AQ,MATCH('001_population_health_zone_zs'!$B$2,[1]ratio_ins!$B:$B,0))*$G290*INDEX([1]ratio_ins!$D:$D,MATCH('001_population_health_zone_zs'!$B290,[1]ratio_ins!$B:$B,0))</f>
        <v>1026.45144</v>
      </c>
      <c r="AU290" s="10">
        <f>INDEX([1]ratio_ins!AR:AR,MATCH('001_population_health_zone_zs'!$B$2,[1]ratio_ins!$B:$B,0))*$G290*INDEX([1]ratio_ins!$D:$D,MATCH('001_population_health_zone_zs'!$B290,[1]ratio_ins!$B:$B,0))</f>
        <v>615.87086399999998</v>
      </c>
      <c r="AV290" s="10">
        <f>INDEX([1]ratio_ins!AS:AS,MATCH('001_population_health_zone_zs'!$B$2,[1]ratio_ins!$B:$B,0))*$G290*INDEX([1]ratio_ins!$D:$D,MATCH('001_population_health_zone_zs'!$B290,[1]ratio_ins!$B:$B,0))</f>
        <v>307.93543199999999</v>
      </c>
      <c r="AW290" s="10">
        <f>INDEX([1]ratio_ins!AT:AT,MATCH('001_population_health_zone_zs'!$B$2,[1]ratio_ins!$B:$B,0))*$G290*INDEX([1]ratio_ins!$D:$D,MATCH('001_population_health_zone_zs'!$B290,[1]ratio_ins!$B:$B,0))</f>
        <v>205.290288</v>
      </c>
      <c r="AX290" s="13">
        <f>INDEX([1]ratio_ins!AU:AU,MATCH('001_population_health_zone_zs'!$B$2,[1]ratio_ins!$B:$B,0))*$G290*INDEX([1]ratio_ins!$D:$D,MATCH('001_population_health_zone_zs'!$B290,[1]ratio_ins!$B:$B,0))</f>
        <v>2155.5480240000002</v>
      </c>
      <c r="AY290" s="14">
        <f t="shared" si="25"/>
        <v>102645.14400000001</v>
      </c>
      <c r="AZ290" s="15">
        <f t="shared" si="26"/>
        <v>200088</v>
      </c>
      <c r="BA290" s="16">
        <v>191977.32770506034</v>
      </c>
      <c r="BB290" s="10">
        <f t="shared" si="27"/>
        <v>43624.186199999996</v>
      </c>
      <c r="BC290" s="17">
        <f t="shared" si="28"/>
        <v>0.21802499999999997</v>
      </c>
      <c r="BD290" s="10">
        <f t="shared" si="29"/>
        <v>40633.670952000008</v>
      </c>
    </row>
    <row r="291" spans="1:56" x14ac:dyDescent="0.25">
      <c r="A291" s="8" t="s">
        <v>671</v>
      </c>
      <c r="B291" s="8" t="s">
        <v>672</v>
      </c>
      <c r="C291" s="8" t="s">
        <v>714</v>
      </c>
      <c r="D291" s="8" t="s">
        <v>715</v>
      </c>
      <c r="E291" s="8" t="s">
        <v>718</v>
      </c>
      <c r="F291" s="8" t="s">
        <v>719</v>
      </c>
      <c r="G291" s="9">
        <v>105933</v>
      </c>
      <c r="H291" s="10">
        <f>INDEX([1]ratio_ins!F:F,MATCH('001_population_health_zone_zs'!$B$2,[1]ratio_ins!$B:$B,0))*$G291*INDEX([1]ratio_ins!$C:$C,MATCH('001_population_health_zone_zs'!$B291,[1]ratio_ins!$B:$B,0))</f>
        <v>10782.178539</v>
      </c>
      <c r="I291" s="10">
        <f>INDEX([1]ratio_ins!G:G,MATCH('001_population_health_zone_zs'!$B$2,[1]ratio_ins!$B:$B,0))*$G291*INDEX([1]ratio_ins!$C:$C,MATCH('001_population_health_zone_zs'!$B291,[1]ratio_ins!$B:$B,0))</f>
        <v>8821.7824410000012</v>
      </c>
      <c r="J291" s="10">
        <f>INDEX([1]ratio_ins!H:H,MATCH('001_population_health_zone_zs'!$B$2,[1]ratio_ins!$B:$B,0))*$G291*INDEX([1]ratio_ins!$C:$C,MATCH('001_population_health_zone_zs'!$B291,[1]ratio_ins!$B:$B,0))</f>
        <v>6964.5650850000011</v>
      </c>
      <c r="K291" s="10">
        <f>INDEX([1]ratio_ins!I:I,MATCH('001_population_health_zone_zs'!$B$2,[1]ratio_ins!$B:$B,0))*$G291*INDEX([1]ratio_ins!$C:$C,MATCH('001_population_health_zone_zs'!$B291,[1]ratio_ins!$B:$B,0))</f>
        <v>4281.9177930000005</v>
      </c>
      <c r="L291" s="10">
        <f>INDEX([1]ratio_ins!J:J,MATCH('001_population_health_zone_zs'!$B$2,[1]ratio_ins!$B:$B,0))*$G291*INDEX([1]ratio_ins!$C:$C,MATCH('001_population_health_zone_zs'!$B291,[1]ratio_ins!$B:$B,0))</f>
        <v>2569.1506758</v>
      </c>
      <c r="M291" s="11">
        <f>INDEX([1]ratio_ins!K:K,MATCH('001_population_health_zone_zs'!$B$2,[1]ratio_ins!$B:$B,0))*$G291*INDEX([1]ratio_ins!$C:$C,MATCH('001_population_health_zone_zs'!$B291,[1]ratio_ins!$B:$B,0))</f>
        <v>29137.676740800001</v>
      </c>
      <c r="N291" s="10">
        <f>INDEX([1]ratio_ins!L:L,MATCH('001_population_health_zone_zs'!$B$2,[1]ratio_ins!$B:$B,0))*$G291*INDEX([1]ratio_ins!$C:$C,MATCH('001_population_health_zone_zs'!$B291,[1]ratio_ins!$B:$B,0))</f>
        <v>1712.7671172000003</v>
      </c>
      <c r="O291" s="10">
        <f>INDEX([1]ratio_ins!M:M,MATCH('001_population_health_zone_zs'!$B$2,[1]ratio_ins!$B:$B,0))*$G291*INDEX([1]ratio_ins!$C:$C,MATCH('001_population_health_zone_zs'!$B291,[1]ratio_ins!$B:$B,0))</f>
        <v>3714.4347120000011</v>
      </c>
      <c r="P291" s="10">
        <f>INDEX([1]ratio_ins!N:N,MATCH('001_population_health_zone_zs'!$B$2,[1]ratio_ins!$B:$B,0))*$G291*INDEX([1]ratio_ins!$C:$C,MATCH('001_population_health_zone_zs'!$B291,[1]ratio_ins!$B:$B,0))</f>
        <v>3353.3091150000005</v>
      </c>
      <c r="Q291" s="10">
        <f>INDEX([1]ratio_ins!O:O,MATCH('001_population_health_zone_zs'!$B$2,[1]ratio_ins!$B:$B,0))*$G291*INDEX([1]ratio_ins!$C:$C,MATCH('001_population_health_zone_zs'!$B291,[1]ratio_ins!$B:$B,0))</f>
        <v>2992.1835180000003</v>
      </c>
      <c r="R291" s="10">
        <f>INDEX([1]ratio_ins!P:P,MATCH('001_population_health_zone_zs'!$B$2,[1]ratio_ins!$B:$B,0))*$G291*INDEX([1]ratio_ins!$C:$C,MATCH('001_population_health_zone_zs'!$B291,[1]ratio_ins!$B:$B,0))</f>
        <v>2940.5941470000007</v>
      </c>
      <c r="S291" s="10">
        <f>INDEX([1]ratio_ins!Q:Q,MATCH('001_population_health_zone_zs'!$B$2,[1]ratio_ins!$B:$B,0))*$G291*INDEX([1]ratio_ins!$C:$C,MATCH('001_population_health_zone_zs'!$B291,[1]ratio_ins!$B:$B,0))</f>
        <v>2476.2898080000004</v>
      </c>
      <c r="T291" s="10">
        <f>INDEX([1]ratio_ins!R:R,MATCH('001_population_health_zone_zs'!$B$2,[1]ratio_ins!$B:$B,0))*$G291*INDEX([1]ratio_ins!$C:$C,MATCH('001_population_health_zone_zs'!$B291,[1]ratio_ins!$B:$B,0))</f>
        <v>1754.0386140000003</v>
      </c>
      <c r="U291" s="10">
        <f>INDEX([1]ratio_ins!S:S,MATCH('001_population_health_zone_zs'!$B$2,[1]ratio_ins!$B:$B,0))*$G291*INDEX([1]ratio_ins!$C:$C,MATCH('001_population_health_zone_zs'!$B291,[1]ratio_ins!$B:$B,0))</f>
        <v>1392.9130170000003</v>
      </c>
      <c r="V291" s="10">
        <f>INDEX([1]ratio_ins!T:T,MATCH('001_population_health_zone_zs'!$B$2,[1]ratio_ins!$B:$B,0))*$G291*INDEX([1]ratio_ins!$C:$C,MATCH('001_population_health_zone_zs'!$B291,[1]ratio_ins!$B:$B,0))</f>
        <v>773.84056499999997</v>
      </c>
      <c r="W291" s="11">
        <f>INDEX([1]ratio_ins!U:U,MATCH('001_population_health_zone_zs'!$B$2,[1]ratio_ins!$B:$B,0))*$G291*INDEX([1]ratio_ins!$C:$C,MATCH('001_population_health_zone_zs'!$B291,[1]ratio_ins!$B:$B,0))</f>
        <v>21110.370613200004</v>
      </c>
      <c r="X291" s="10">
        <f>INDEX([1]ratio_ins!V:V,MATCH('001_population_health_zone_zs'!$B$2,[1]ratio_ins!$B:$B,0))*$G291*INDEX([1]ratio_ins!$C:$C,MATCH('001_population_health_zone_zs'!$B291,[1]ratio_ins!$B:$B,0))</f>
        <v>619.07245200000011</v>
      </c>
      <c r="Y291" s="10">
        <f>INDEX([1]ratio_ins!W:W,MATCH('001_population_health_zone_zs'!$B$2,[1]ratio_ins!$B:$B,0))*$G291*INDEX([1]ratio_ins!$C:$C,MATCH('001_population_health_zone_zs'!$B291,[1]ratio_ins!$B:$B,0))</f>
        <v>412.71496800000006</v>
      </c>
      <c r="Z291" s="10">
        <f>INDEX([1]ratio_ins!X:X,MATCH('001_population_health_zone_zs'!$B$2,[1]ratio_ins!$B:$B,0))*$G291*INDEX([1]ratio_ins!$C:$C,MATCH('001_population_health_zone_zs'!$B291,[1]ratio_ins!$B:$B,0))</f>
        <v>206.35748400000003</v>
      </c>
      <c r="AA291" s="10">
        <f>INDEX([1]ratio_ins!Y:Y,MATCH('001_population_health_zone_zs'!$B$2,[1]ratio_ins!$B:$B,0))*$G291*INDEX([1]ratio_ins!$C:$C,MATCH('001_population_health_zone_zs'!$B291,[1]ratio_ins!$B:$B,0))</f>
        <v>103.17874200000001</v>
      </c>
      <c r="AB291" s="11">
        <f>INDEX([1]ratio_ins!Z:Z,MATCH('001_population_health_zone_zs'!$B$2,[1]ratio_ins!$B:$B,0))*$G291*INDEX([1]ratio_ins!$C:$C,MATCH('001_population_health_zone_zs'!$B291,[1]ratio_ins!$B:$B,0))</f>
        <v>1341.3236460000003</v>
      </c>
      <c r="AC291" s="12">
        <f t="shared" si="24"/>
        <v>51589.371000000006</v>
      </c>
      <c r="AD291" s="10">
        <f>INDEX([1]ratio_ins!AA:AA,MATCH('001_population_health_zone_zs'!$B$2,[1]ratio_ins!$B:$B,0))*$G291*INDEX([1]ratio_ins!$D:$D,MATCH('001_population_health_zone_zs'!$B291,[1]ratio_ins!$B:$B,0))</f>
        <v>11412.16209</v>
      </c>
      <c r="AE291" s="10">
        <f>INDEX([1]ratio_ins!AB:AB,MATCH('001_population_health_zone_zs'!$B$2,[1]ratio_ins!$B:$B,0))*$G291*INDEX([1]ratio_ins!$D:$D,MATCH('001_population_health_zone_zs'!$B291,[1]ratio_ins!$B:$B,0))</f>
        <v>9401.447817000002</v>
      </c>
      <c r="AF291" s="10">
        <f>INDEX([1]ratio_ins!AC:AC,MATCH('001_population_health_zone_zs'!$B$2,[1]ratio_ins!$B:$B,0))*$G291*INDEX([1]ratio_ins!$D:$D,MATCH('001_population_health_zone_zs'!$B291,[1]ratio_ins!$B:$B,0))</f>
        <v>7445.0771729999988</v>
      </c>
      <c r="AG291" s="10">
        <f>INDEX([1]ratio_ins!AD:AD,MATCH('001_population_health_zone_zs'!$B$2,[1]ratio_ins!$B:$B,0))*$G291*INDEX([1]ratio_ins!$D:$D,MATCH('001_population_health_zone_zs'!$B291,[1]ratio_ins!$B:$B,0))</f>
        <v>4510.5212070000007</v>
      </c>
      <c r="AH291" s="10">
        <f>INDEX([1]ratio_ins!AE:AE,MATCH('001_population_health_zone_zs'!$B$2,[1]ratio_ins!$B:$B,0))*$G291*INDEX([1]ratio_ins!$D:$D,MATCH('001_population_health_zone_zs'!$B291,[1]ratio_ins!$B:$B,0))</f>
        <v>2706.3127242</v>
      </c>
      <c r="AI291" s="13">
        <f>INDEX([1]ratio_ins!AF:AF,MATCH('001_population_health_zone_zs'!$B$2,[1]ratio_ins!$B:$B,0))*$G291*INDEX([1]ratio_ins!$D:$D,MATCH('001_population_health_zone_zs'!$B291,[1]ratio_ins!$B:$B,0))</f>
        <v>30964.999804200001</v>
      </c>
      <c r="AJ291" s="10">
        <f>INDEX([1]ratio_ins!AG:AG,MATCH('001_population_health_zone_zs'!$B$2,[1]ratio_ins!$B:$B,0))*$G291*INDEX([1]ratio_ins!$D:$D,MATCH('001_population_health_zone_zs'!$B291,[1]ratio_ins!$B:$B,0))</f>
        <v>1804.2084828000002</v>
      </c>
      <c r="AK291" s="10">
        <f>INDEX([1]ratio_ins!AH:AH,MATCH('001_population_health_zone_zs'!$B$2,[1]ratio_ins!$B:$B,0))*$G291*INDEX([1]ratio_ins!$D:$D,MATCH('001_population_health_zone_zs'!$B291,[1]ratio_ins!$B:$B,0))</f>
        <v>4021.4285460000006</v>
      </c>
      <c r="AL291" s="10">
        <f>INDEX([1]ratio_ins!AI:AI,MATCH('001_population_health_zone_zs'!$B$2,[1]ratio_ins!$B:$B,0))*$G291*INDEX([1]ratio_ins!$D:$D,MATCH('001_population_health_zone_zs'!$B291,[1]ratio_ins!$B:$B,0))</f>
        <v>3804.0540300000002</v>
      </c>
      <c r="AM291" s="10">
        <f>INDEX([1]ratio_ins!AJ:AJ,MATCH('001_population_health_zone_zs'!$B$2,[1]ratio_ins!$B:$B,0))*$G291*INDEX([1]ratio_ins!$D:$D,MATCH('001_population_health_zone_zs'!$B291,[1]ratio_ins!$B:$B,0))</f>
        <v>3477.9922560000005</v>
      </c>
      <c r="AN291" s="10">
        <f>INDEX([1]ratio_ins!AK:AK,MATCH('001_population_health_zone_zs'!$B$2,[1]ratio_ins!$B:$B,0))*$G291*INDEX([1]ratio_ins!$D:$D,MATCH('001_population_health_zone_zs'!$B291,[1]ratio_ins!$B:$B,0))</f>
        <v>3260.6177399999997</v>
      </c>
      <c r="AO291" s="10">
        <f>INDEX([1]ratio_ins!AL:AL,MATCH('001_population_health_zone_zs'!$B$2,[1]ratio_ins!$B:$B,0))*$G291*INDEX([1]ratio_ins!$D:$D,MATCH('001_population_health_zone_zs'!$B291,[1]ratio_ins!$B:$B,0))</f>
        <v>2445.4633049999998</v>
      </c>
      <c r="AP291" s="10">
        <f>INDEX([1]ratio_ins!AM:AM,MATCH('001_population_health_zone_zs'!$B$2,[1]ratio_ins!$B:$B,0))*$G291*INDEX([1]ratio_ins!$D:$D,MATCH('001_population_health_zone_zs'!$B291,[1]ratio_ins!$B:$B,0))</f>
        <v>1575.9652409999999</v>
      </c>
      <c r="AQ291" s="10">
        <f>INDEX([1]ratio_ins!AN:AN,MATCH('001_population_health_zone_zs'!$B$2,[1]ratio_ins!$B:$B,0))*$G291*INDEX([1]ratio_ins!$D:$D,MATCH('001_population_health_zone_zs'!$B291,[1]ratio_ins!$B:$B,0))</f>
        <v>1249.9034669999999</v>
      </c>
      <c r="AR291" s="10">
        <f>INDEX([1]ratio_ins!AO:AO,MATCH('001_population_health_zone_zs'!$B$2,[1]ratio_ins!$B:$B,0))*$G291*INDEX([1]ratio_ins!$D:$D,MATCH('001_population_health_zone_zs'!$B291,[1]ratio_ins!$B:$B,0))</f>
        <v>597.77991900000006</v>
      </c>
      <c r="AS291" s="13">
        <f>INDEX([1]ratio_ins!AP:AP,MATCH('001_population_health_zone_zs'!$B$2,[1]ratio_ins!$B:$B,0))*$G291*INDEX([1]ratio_ins!$D:$D,MATCH('001_population_health_zone_zs'!$B291,[1]ratio_ins!$B:$B,0))</f>
        <v>22237.412986800002</v>
      </c>
      <c r="AT291" s="10">
        <f>INDEX([1]ratio_ins!AQ:AQ,MATCH('001_population_health_zone_zs'!$B$2,[1]ratio_ins!$B:$B,0))*$G291*INDEX([1]ratio_ins!$D:$D,MATCH('001_population_health_zone_zs'!$B291,[1]ratio_ins!$B:$B,0))</f>
        <v>543.43628999999999</v>
      </c>
      <c r="AU291" s="10">
        <f>INDEX([1]ratio_ins!AR:AR,MATCH('001_population_health_zone_zs'!$B$2,[1]ratio_ins!$B:$B,0))*$G291*INDEX([1]ratio_ins!$D:$D,MATCH('001_population_health_zone_zs'!$B291,[1]ratio_ins!$B:$B,0))</f>
        <v>326.06177400000007</v>
      </c>
      <c r="AV291" s="10">
        <f>INDEX([1]ratio_ins!AS:AS,MATCH('001_population_health_zone_zs'!$B$2,[1]ratio_ins!$B:$B,0))*$G291*INDEX([1]ratio_ins!$D:$D,MATCH('001_population_health_zone_zs'!$B291,[1]ratio_ins!$B:$B,0))</f>
        <v>163.03088700000004</v>
      </c>
      <c r="AW291" s="10">
        <f>INDEX([1]ratio_ins!AT:AT,MATCH('001_population_health_zone_zs'!$B$2,[1]ratio_ins!$B:$B,0))*$G291*INDEX([1]ratio_ins!$D:$D,MATCH('001_population_health_zone_zs'!$B291,[1]ratio_ins!$B:$B,0))</f>
        <v>108.68725800000001</v>
      </c>
      <c r="AX291" s="13">
        <f>INDEX([1]ratio_ins!AU:AU,MATCH('001_population_health_zone_zs'!$B$2,[1]ratio_ins!$B:$B,0))*$G291*INDEX([1]ratio_ins!$D:$D,MATCH('001_population_health_zone_zs'!$B291,[1]ratio_ins!$B:$B,0))</f>
        <v>1141.2162089999999</v>
      </c>
      <c r="AY291" s="14">
        <f t="shared" si="25"/>
        <v>54343.629000000001</v>
      </c>
      <c r="AZ291" s="15">
        <f t="shared" si="26"/>
        <v>105933</v>
      </c>
      <c r="BA291" s="16">
        <v>101639.24134990702</v>
      </c>
      <c r="BB291" s="10">
        <f t="shared" si="27"/>
        <v>23096.042325000002</v>
      </c>
      <c r="BC291" s="17">
        <f t="shared" si="28"/>
        <v>0.21802500000000002</v>
      </c>
      <c r="BD291" s="10">
        <f t="shared" si="29"/>
        <v>21512.767707000006</v>
      </c>
    </row>
    <row r="292" spans="1:56" x14ac:dyDescent="0.25">
      <c r="A292" s="8" t="s">
        <v>671</v>
      </c>
      <c r="B292" s="8" t="s">
        <v>672</v>
      </c>
      <c r="C292" s="8" t="s">
        <v>714</v>
      </c>
      <c r="D292" s="8" t="s">
        <v>715</v>
      </c>
      <c r="E292" s="8" t="s">
        <v>720</v>
      </c>
      <c r="F292" s="8" t="s">
        <v>721</v>
      </c>
      <c r="G292" s="9">
        <v>215724</v>
      </c>
      <c r="H292" s="10">
        <f>INDEX([1]ratio_ins!F:F,MATCH('001_population_health_zone_zs'!$B$2,[1]ratio_ins!$B:$B,0))*$G292*INDEX([1]ratio_ins!$C:$C,MATCH('001_population_health_zone_zs'!$B292,[1]ratio_ins!$B:$B,0))</f>
        <v>21957.035892</v>
      </c>
      <c r="I292" s="10">
        <f>INDEX([1]ratio_ins!G:G,MATCH('001_population_health_zone_zs'!$B$2,[1]ratio_ins!$B:$B,0))*$G292*INDEX([1]ratio_ins!$C:$C,MATCH('001_population_health_zone_zs'!$B292,[1]ratio_ins!$B:$B,0))</f>
        <v>17964.847548000005</v>
      </c>
      <c r="J292" s="10">
        <f>INDEX([1]ratio_ins!H:H,MATCH('001_population_health_zone_zs'!$B$2,[1]ratio_ins!$B:$B,0))*$G292*INDEX([1]ratio_ins!$C:$C,MATCH('001_population_health_zone_zs'!$B292,[1]ratio_ins!$B:$B,0))</f>
        <v>14182.774380000003</v>
      </c>
      <c r="K292" s="10">
        <f>INDEX([1]ratio_ins!I:I,MATCH('001_population_health_zone_zs'!$B$2,[1]ratio_ins!$B:$B,0))*$G292*INDEX([1]ratio_ins!$C:$C,MATCH('001_population_health_zone_zs'!$B292,[1]ratio_ins!$B:$B,0))</f>
        <v>8719.7798040000016</v>
      </c>
      <c r="L292" s="10">
        <f>INDEX([1]ratio_ins!J:J,MATCH('001_population_health_zone_zs'!$B$2,[1]ratio_ins!$B:$B,0))*$G292*INDEX([1]ratio_ins!$C:$C,MATCH('001_population_health_zone_zs'!$B292,[1]ratio_ins!$B:$B,0))</f>
        <v>5231.8678823999999</v>
      </c>
      <c r="M292" s="11">
        <f>INDEX([1]ratio_ins!K:K,MATCH('001_population_health_zone_zs'!$B$2,[1]ratio_ins!$B:$B,0))*$G292*INDEX([1]ratio_ins!$C:$C,MATCH('001_population_health_zone_zs'!$B292,[1]ratio_ins!$B:$B,0))</f>
        <v>59336.525702400002</v>
      </c>
      <c r="N292" s="10">
        <f>INDEX([1]ratio_ins!L:L,MATCH('001_population_health_zone_zs'!$B$2,[1]ratio_ins!$B:$B,0))*$G292*INDEX([1]ratio_ins!$C:$C,MATCH('001_population_health_zone_zs'!$B292,[1]ratio_ins!$B:$B,0))</f>
        <v>3487.9119216000004</v>
      </c>
      <c r="O292" s="10">
        <f>INDEX([1]ratio_ins!M:M,MATCH('001_population_health_zone_zs'!$B$2,[1]ratio_ins!$B:$B,0))*$G292*INDEX([1]ratio_ins!$C:$C,MATCH('001_population_health_zone_zs'!$B292,[1]ratio_ins!$B:$B,0))</f>
        <v>7564.1463360000016</v>
      </c>
      <c r="P292" s="10">
        <f>INDEX([1]ratio_ins!N:N,MATCH('001_population_health_zone_zs'!$B$2,[1]ratio_ins!$B:$B,0))*$G292*INDEX([1]ratio_ins!$C:$C,MATCH('001_population_health_zone_zs'!$B292,[1]ratio_ins!$B:$B,0))</f>
        <v>6828.7432200000012</v>
      </c>
      <c r="Q292" s="10">
        <f>INDEX([1]ratio_ins!O:O,MATCH('001_population_health_zone_zs'!$B$2,[1]ratio_ins!$B:$B,0))*$G292*INDEX([1]ratio_ins!$C:$C,MATCH('001_population_health_zone_zs'!$B292,[1]ratio_ins!$B:$B,0))</f>
        <v>6093.3401039999999</v>
      </c>
      <c r="R292" s="10">
        <f>INDEX([1]ratio_ins!P:P,MATCH('001_population_health_zone_zs'!$B$2,[1]ratio_ins!$B:$B,0))*$G292*INDEX([1]ratio_ins!$C:$C,MATCH('001_population_health_zone_zs'!$B292,[1]ratio_ins!$B:$B,0))</f>
        <v>5988.2825160000002</v>
      </c>
      <c r="S292" s="10">
        <f>INDEX([1]ratio_ins!Q:Q,MATCH('001_population_health_zone_zs'!$B$2,[1]ratio_ins!$B:$B,0))*$G292*INDEX([1]ratio_ins!$C:$C,MATCH('001_population_health_zone_zs'!$B292,[1]ratio_ins!$B:$B,0))</f>
        <v>5042.7642240000005</v>
      </c>
      <c r="T292" s="10">
        <f>INDEX([1]ratio_ins!R:R,MATCH('001_population_health_zone_zs'!$B$2,[1]ratio_ins!$B:$B,0))*$G292*INDEX([1]ratio_ins!$C:$C,MATCH('001_population_health_zone_zs'!$B292,[1]ratio_ins!$B:$B,0))</f>
        <v>3571.9579920000006</v>
      </c>
      <c r="U292" s="10">
        <f>INDEX([1]ratio_ins!S:S,MATCH('001_population_health_zone_zs'!$B$2,[1]ratio_ins!$B:$B,0))*$G292*INDEX([1]ratio_ins!$C:$C,MATCH('001_population_health_zone_zs'!$B292,[1]ratio_ins!$B:$B,0))</f>
        <v>2836.5548760000006</v>
      </c>
      <c r="V292" s="10">
        <f>INDEX([1]ratio_ins!T:T,MATCH('001_population_health_zone_zs'!$B$2,[1]ratio_ins!$B:$B,0))*$G292*INDEX([1]ratio_ins!$C:$C,MATCH('001_population_health_zone_zs'!$B292,[1]ratio_ins!$B:$B,0))</f>
        <v>1575.86382</v>
      </c>
      <c r="W292" s="11">
        <f>INDEX([1]ratio_ins!U:U,MATCH('001_population_health_zone_zs'!$B$2,[1]ratio_ins!$B:$B,0))*$G292*INDEX([1]ratio_ins!$C:$C,MATCH('001_population_health_zone_zs'!$B292,[1]ratio_ins!$B:$B,0))</f>
        <v>42989.565009600003</v>
      </c>
      <c r="X292" s="10">
        <f>INDEX([1]ratio_ins!V:V,MATCH('001_population_health_zone_zs'!$B$2,[1]ratio_ins!$B:$B,0))*$G292*INDEX([1]ratio_ins!$C:$C,MATCH('001_population_health_zone_zs'!$B292,[1]ratio_ins!$B:$B,0))</f>
        <v>1260.6910560000001</v>
      </c>
      <c r="Y292" s="10">
        <f>INDEX([1]ratio_ins!W:W,MATCH('001_population_health_zone_zs'!$B$2,[1]ratio_ins!$B:$B,0))*$G292*INDEX([1]ratio_ins!$C:$C,MATCH('001_population_health_zone_zs'!$B292,[1]ratio_ins!$B:$B,0))</f>
        <v>840.46070400000019</v>
      </c>
      <c r="Z292" s="10">
        <f>INDEX([1]ratio_ins!X:X,MATCH('001_population_health_zone_zs'!$B$2,[1]ratio_ins!$B:$B,0))*$G292*INDEX([1]ratio_ins!$C:$C,MATCH('001_population_health_zone_zs'!$B292,[1]ratio_ins!$B:$B,0))</f>
        <v>420.2303520000001</v>
      </c>
      <c r="AA292" s="10">
        <f>INDEX([1]ratio_ins!Y:Y,MATCH('001_population_health_zone_zs'!$B$2,[1]ratio_ins!$B:$B,0))*$G292*INDEX([1]ratio_ins!$C:$C,MATCH('001_population_health_zone_zs'!$B292,[1]ratio_ins!$B:$B,0))</f>
        <v>210.11517600000005</v>
      </c>
      <c r="AB292" s="11">
        <f>INDEX([1]ratio_ins!Z:Z,MATCH('001_population_health_zone_zs'!$B$2,[1]ratio_ins!$B:$B,0))*$G292*INDEX([1]ratio_ins!$C:$C,MATCH('001_population_health_zone_zs'!$B292,[1]ratio_ins!$B:$B,0))</f>
        <v>2731.4972880000005</v>
      </c>
      <c r="AC292" s="12">
        <f t="shared" si="24"/>
        <v>105057.588</v>
      </c>
      <c r="AD292" s="10">
        <f>INDEX([1]ratio_ins!AA:AA,MATCH('001_population_health_zone_zs'!$B$2,[1]ratio_ins!$B:$B,0))*$G292*INDEX([1]ratio_ins!$D:$D,MATCH('001_population_health_zone_zs'!$B292,[1]ratio_ins!$B:$B,0))</f>
        <v>23239.946520000001</v>
      </c>
      <c r="AE292" s="10">
        <f>INDEX([1]ratio_ins!AB:AB,MATCH('001_population_health_zone_zs'!$B$2,[1]ratio_ins!$B:$B,0))*$G292*INDEX([1]ratio_ins!$D:$D,MATCH('001_population_health_zone_zs'!$B292,[1]ratio_ins!$B:$B,0))</f>
        <v>19145.289276</v>
      </c>
      <c r="AF292" s="10">
        <f>INDEX([1]ratio_ins!AC:AC,MATCH('001_population_health_zone_zs'!$B$2,[1]ratio_ins!$B:$B,0))*$G292*INDEX([1]ratio_ins!$D:$D,MATCH('001_population_health_zone_zs'!$B292,[1]ratio_ins!$B:$B,0))</f>
        <v>15161.298443999998</v>
      </c>
      <c r="AG292" s="10">
        <f>INDEX([1]ratio_ins!AD:AD,MATCH('001_population_health_zone_zs'!$B$2,[1]ratio_ins!$B:$B,0))*$G292*INDEX([1]ratio_ins!$D:$D,MATCH('001_population_health_zone_zs'!$B292,[1]ratio_ins!$B:$B,0))</f>
        <v>9185.3121960000008</v>
      </c>
      <c r="AH292" s="10">
        <f>INDEX([1]ratio_ins!AE:AE,MATCH('001_population_health_zone_zs'!$B$2,[1]ratio_ins!$B:$B,0))*$G292*INDEX([1]ratio_ins!$D:$D,MATCH('001_population_health_zone_zs'!$B292,[1]ratio_ins!$B:$B,0))</f>
        <v>5511.1873175999999</v>
      </c>
      <c r="AI292" s="13">
        <f>INDEX([1]ratio_ins!AF:AF,MATCH('001_population_health_zone_zs'!$B$2,[1]ratio_ins!$B:$B,0))*$G292*INDEX([1]ratio_ins!$D:$D,MATCH('001_population_health_zone_zs'!$B292,[1]ratio_ins!$B:$B,0))</f>
        <v>63057.721557600002</v>
      </c>
      <c r="AJ292" s="10">
        <f>INDEX([1]ratio_ins!AG:AG,MATCH('001_population_health_zone_zs'!$B$2,[1]ratio_ins!$B:$B,0))*$G292*INDEX([1]ratio_ins!$D:$D,MATCH('001_population_health_zone_zs'!$B292,[1]ratio_ins!$B:$B,0))</f>
        <v>3674.1248783999999</v>
      </c>
      <c r="AK292" s="10">
        <f>INDEX([1]ratio_ins!AH:AH,MATCH('001_population_health_zone_zs'!$B$2,[1]ratio_ins!$B:$B,0))*$G292*INDEX([1]ratio_ins!$D:$D,MATCH('001_population_health_zone_zs'!$B292,[1]ratio_ins!$B:$B,0))</f>
        <v>8189.3144880000018</v>
      </c>
      <c r="AL292" s="10">
        <f>INDEX([1]ratio_ins!AI:AI,MATCH('001_population_health_zone_zs'!$B$2,[1]ratio_ins!$B:$B,0))*$G292*INDEX([1]ratio_ins!$D:$D,MATCH('001_population_health_zone_zs'!$B292,[1]ratio_ins!$B:$B,0))</f>
        <v>7746.6488400000017</v>
      </c>
      <c r="AM292" s="10">
        <f>INDEX([1]ratio_ins!AJ:AJ,MATCH('001_population_health_zone_zs'!$B$2,[1]ratio_ins!$B:$B,0))*$G292*INDEX([1]ratio_ins!$D:$D,MATCH('001_population_health_zone_zs'!$B292,[1]ratio_ins!$B:$B,0))</f>
        <v>7082.6503680000005</v>
      </c>
      <c r="AN292" s="10">
        <f>INDEX([1]ratio_ins!AK:AK,MATCH('001_population_health_zone_zs'!$B$2,[1]ratio_ins!$B:$B,0))*$G292*INDEX([1]ratio_ins!$D:$D,MATCH('001_population_health_zone_zs'!$B292,[1]ratio_ins!$B:$B,0))</f>
        <v>6639.9847199999995</v>
      </c>
      <c r="AO292" s="10">
        <f>INDEX([1]ratio_ins!AL:AL,MATCH('001_population_health_zone_zs'!$B$2,[1]ratio_ins!$B:$B,0))*$G292*INDEX([1]ratio_ins!$D:$D,MATCH('001_population_health_zone_zs'!$B292,[1]ratio_ins!$B:$B,0))</f>
        <v>4979.9885400000003</v>
      </c>
      <c r="AP292" s="10">
        <f>INDEX([1]ratio_ins!AM:AM,MATCH('001_population_health_zone_zs'!$B$2,[1]ratio_ins!$B:$B,0))*$G292*INDEX([1]ratio_ins!$D:$D,MATCH('001_population_health_zone_zs'!$B292,[1]ratio_ins!$B:$B,0))</f>
        <v>3209.3259479999997</v>
      </c>
      <c r="AQ292" s="10">
        <f>INDEX([1]ratio_ins!AN:AN,MATCH('001_population_health_zone_zs'!$B$2,[1]ratio_ins!$B:$B,0))*$G292*INDEX([1]ratio_ins!$D:$D,MATCH('001_population_health_zone_zs'!$B292,[1]ratio_ins!$B:$B,0))</f>
        <v>2545.3274759999999</v>
      </c>
      <c r="AR292" s="10">
        <f>INDEX([1]ratio_ins!AO:AO,MATCH('001_population_health_zone_zs'!$B$2,[1]ratio_ins!$B:$B,0))*$G292*INDEX([1]ratio_ins!$D:$D,MATCH('001_population_health_zone_zs'!$B292,[1]ratio_ins!$B:$B,0))</f>
        <v>1217.3305320000002</v>
      </c>
      <c r="AS292" s="13">
        <f>INDEX([1]ratio_ins!AP:AP,MATCH('001_population_health_zone_zs'!$B$2,[1]ratio_ins!$B:$B,0))*$G292*INDEX([1]ratio_ins!$D:$D,MATCH('001_population_health_zone_zs'!$B292,[1]ratio_ins!$B:$B,0))</f>
        <v>45284.695790400001</v>
      </c>
      <c r="AT292" s="10">
        <f>INDEX([1]ratio_ins!AQ:AQ,MATCH('001_population_health_zone_zs'!$B$2,[1]ratio_ins!$B:$B,0))*$G292*INDEX([1]ratio_ins!$D:$D,MATCH('001_population_health_zone_zs'!$B292,[1]ratio_ins!$B:$B,0))</f>
        <v>1106.6641200000001</v>
      </c>
      <c r="AU292" s="10">
        <f>INDEX([1]ratio_ins!AR:AR,MATCH('001_population_health_zone_zs'!$B$2,[1]ratio_ins!$B:$B,0))*$G292*INDEX([1]ratio_ins!$D:$D,MATCH('001_population_health_zone_zs'!$B292,[1]ratio_ins!$B:$B,0))</f>
        <v>663.99847199999999</v>
      </c>
      <c r="AV292" s="10">
        <f>INDEX([1]ratio_ins!AS:AS,MATCH('001_population_health_zone_zs'!$B$2,[1]ratio_ins!$B:$B,0))*$G292*INDEX([1]ratio_ins!$D:$D,MATCH('001_population_health_zone_zs'!$B292,[1]ratio_ins!$B:$B,0))</f>
        <v>331.999236</v>
      </c>
      <c r="AW292" s="10">
        <f>INDEX([1]ratio_ins!AT:AT,MATCH('001_population_health_zone_zs'!$B$2,[1]ratio_ins!$B:$B,0))*$G292*INDEX([1]ratio_ins!$D:$D,MATCH('001_population_health_zone_zs'!$B292,[1]ratio_ins!$B:$B,0))</f>
        <v>221.33282400000002</v>
      </c>
      <c r="AX292" s="13">
        <f>INDEX([1]ratio_ins!AU:AU,MATCH('001_population_health_zone_zs'!$B$2,[1]ratio_ins!$B:$B,0))*$G292*INDEX([1]ratio_ins!$D:$D,MATCH('001_population_health_zone_zs'!$B292,[1]ratio_ins!$B:$B,0))</f>
        <v>2323.9946519999999</v>
      </c>
      <c r="AY292" s="14">
        <f t="shared" si="25"/>
        <v>110666.412</v>
      </c>
      <c r="AZ292" s="15">
        <f t="shared" si="26"/>
        <v>215724</v>
      </c>
      <c r="BA292" s="16">
        <v>206980.10576438598</v>
      </c>
      <c r="BB292" s="10">
        <f t="shared" si="27"/>
        <v>47033.225100000003</v>
      </c>
      <c r="BC292" s="17">
        <f t="shared" si="28"/>
        <v>0.21802500000000002</v>
      </c>
      <c r="BD292" s="10">
        <f t="shared" si="29"/>
        <v>43809.014196000004</v>
      </c>
    </row>
    <row r="293" spans="1:56" x14ac:dyDescent="0.25">
      <c r="A293" s="8" t="s">
        <v>671</v>
      </c>
      <c r="B293" s="8" t="s">
        <v>672</v>
      </c>
      <c r="C293" s="8" t="s">
        <v>714</v>
      </c>
      <c r="D293" s="8" t="s">
        <v>715</v>
      </c>
      <c r="E293" s="8" t="s">
        <v>722</v>
      </c>
      <c r="F293" s="8" t="s">
        <v>723</v>
      </c>
      <c r="G293" s="9">
        <v>186641</v>
      </c>
      <c r="H293" s="10">
        <f>INDEX([1]ratio_ins!F:F,MATCH('001_population_health_zone_zs'!$B$2,[1]ratio_ins!$B:$B,0))*$G293*INDEX([1]ratio_ins!$C:$C,MATCH('001_population_health_zone_zs'!$B293,[1]ratio_ins!$B:$B,0))</f>
        <v>18996.880903000001</v>
      </c>
      <c r="I293" s="10">
        <f>INDEX([1]ratio_ins!G:G,MATCH('001_population_health_zone_zs'!$B$2,[1]ratio_ins!$B:$B,0))*$G293*INDEX([1]ratio_ins!$C:$C,MATCH('001_population_health_zone_zs'!$B293,[1]ratio_ins!$B:$B,0))</f>
        <v>15542.902557000001</v>
      </c>
      <c r="J293" s="10">
        <f>INDEX([1]ratio_ins!H:H,MATCH('001_population_health_zone_zs'!$B$2,[1]ratio_ins!$B:$B,0))*$G293*INDEX([1]ratio_ins!$C:$C,MATCH('001_population_health_zone_zs'!$B293,[1]ratio_ins!$B:$B,0))</f>
        <v>12270.712545</v>
      </c>
      <c r="K293" s="10">
        <f>INDEX([1]ratio_ins!I:I,MATCH('001_population_health_zone_zs'!$B$2,[1]ratio_ins!$B:$B,0))*$G293*INDEX([1]ratio_ins!$C:$C,MATCH('001_population_health_zone_zs'!$B293,[1]ratio_ins!$B:$B,0))</f>
        <v>7544.2158610000015</v>
      </c>
      <c r="L293" s="10">
        <f>INDEX([1]ratio_ins!J:J,MATCH('001_population_health_zone_zs'!$B$2,[1]ratio_ins!$B:$B,0))*$G293*INDEX([1]ratio_ins!$C:$C,MATCH('001_population_health_zone_zs'!$B293,[1]ratio_ins!$B:$B,0))</f>
        <v>4526.5295166000005</v>
      </c>
      <c r="M293" s="11">
        <f>INDEX([1]ratio_ins!K:K,MATCH('001_population_health_zone_zs'!$B$2,[1]ratio_ins!$B:$B,0))*$G293*INDEX([1]ratio_ins!$C:$C,MATCH('001_population_health_zone_zs'!$B293,[1]ratio_ins!$B:$B,0))</f>
        <v>51337.025521600001</v>
      </c>
      <c r="N293" s="10">
        <f>INDEX([1]ratio_ins!L:L,MATCH('001_population_health_zone_zs'!$B$2,[1]ratio_ins!$B:$B,0))*$G293*INDEX([1]ratio_ins!$C:$C,MATCH('001_population_health_zone_zs'!$B293,[1]ratio_ins!$B:$B,0))</f>
        <v>3017.6863444000005</v>
      </c>
      <c r="O293" s="10">
        <f>INDEX([1]ratio_ins!M:M,MATCH('001_population_health_zone_zs'!$B$2,[1]ratio_ins!$B:$B,0))*$G293*INDEX([1]ratio_ins!$C:$C,MATCH('001_population_health_zone_zs'!$B293,[1]ratio_ins!$B:$B,0))</f>
        <v>6544.3800240000019</v>
      </c>
      <c r="P293" s="10">
        <f>INDEX([1]ratio_ins!N:N,MATCH('001_population_health_zone_zs'!$B$2,[1]ratio_ins!$B:$B,0))*$G293*INDEX([1]ratio_ins!$C:$C,MATCH('001_population_health_zone_zs'!$B293,[1]ratio_ins!$B:$B,0))</f>
        <v>5908.120855000001</v>
      </c>
      <c r="Q293" s="10">
        <f>INDEX([1]ratio_ins!O:O,MATCH('001_population_health_zone_zs'!$B$2,[1]ratio_ins!$B:$B,0))*$G293*INDEX([1]ratio_ins!$C:$C,MATCH('001_population_health_zone_zs'!$B293,[1]ratio_ins!$B:$B,0))</f>
        <v>5271.8616860000002</v>
      </c>
      <c r="R293" s="10">
        <f>INDEX([1]ratio_ins!P:P,MATCH('001_population_health_zone_zs'!$B$2,[1]ratio_ins!$B:$B,0))*$G293*INDEX([1]ratio_ins!$C:$C,MATCH('001_population_health_zone_zs'!$B293,[1]ratio_ins!$B:$B,0))</f>
        <v>5180.9675190000007</v>
      </c>
      <c r="S293" s="10">
        <f>INDEX([1]ratio_ins!Q:Q,MATCH('001_population_health_zone_zs'!$B$2,[1]ratio_ins!$B:$B,0))*$G293*INDEX([1]ratio_ins!$C:$C,MATCH('001_population_health_zone_zs'!$B293,[1]ratio_ins!$B:$B,0))</f>
        <v>4362.920016</v>
      </c>
      <c r="T293" s="10">
        <f>INDEX([1]ratio_ins!R:R,MATCH('001_population_health_zone_zs'!$B$2,[1]ratio_ins!$B:$B,0))*$G293*INDEX([1]ratio_ins!$C:$C,MATCH('001_population_health_zone_zs'!$B293,[1]ratio_ins!$B:$B,0))</f>
        <v>3090.4016780000006</v>
      </c>
      <c r="U293" s="10">
        <f>INDEX([1]ratio_ins!S:S,MATCH('001_population_health_zone_zs'!$B$2,[1]ratio_ins!$B:$B,0))*$G293*INDEX([1]ratio_ins!$C:$C,MATCH('001_population_health_zone_zs'!$B293,[1]ratio_ins!$B:$B,0))</f>
        <v>2454.1425090000007</v>
      </c>
      <c r="V293" s="10">
        <f>INDEX([1]ratio_ins!T:T,MATCH('001_population_health_zone_zs'!$B$2,[1]ratio_ins!$B:$B,0))*$G293*INDEX([1]ratio_ins!$C:$C,MATCH('001_population_health_zone_zs'!$B293,[1]ratio_ins!$B:$B,0))</f>
        <v>1363.412505</v>
      </c>
      <c r="W293" s="11">
        <f>INDEX([1]ratio_ins!U:U,MATCH('001_population_health_zone_zs'!$B$2,[1]ratio_ins!$B:$B,0))*$G293*INDEX([1]ratio_ins!$C:$C,MATCH('001_population_health_zone_zs'!$B293,[1]ratio_ins!$B:$B,0))</f>
        <v>37193.893136400002</v>
      </c>
      <c r="X293" s="10">
        <f>INDEX([1]ratio_ins!V:V,MATCH('001_population_health_zone_zs'!$B$2,[1]ratio_ins!$B:$B,0))*$G293*INDEX([1]ratio_ins!$C:$C,MATCH('001_population_health_zone_zs'!$B293,[1]ratio_ins!$B:$B,0))</f>
        <v>1090.730004</v>
      </c>
      <c r="Y293" s="10">
        <f>INDEX([1]ratio_ins!W:W,MATCH('001_population_health_zone_zs'!$B$2,[1]ratio_ins!$B:$B,0))*$G293*INDEX([1]ratio_ins!$C:$C,MATCH('001_population_health_zone_zs'!$B293,[1]ratio_ins!$B:$B,0))</f>
        <v>727.15333600000008</v>
      </c>
      <c r="Z293" s="10">
        <f>INDEX([1]ratio_ins!X:X,MATCH('001_population_health_zone_zs'!$B$2,[1]ratio_ins!$B:$B,0))*$G293*INDEX([1]ratio_ins!$C:$C,MATCH('001_population_health_zone_zs'!$B293,[1]ratio_ins!$B:$B,0))</f>
        <v>363.57666800000004</v>
      </c>
      <c r="AA293" s="10">
        <f>INDEX([1]ratio_ins!Y:Y,MATCH('001_population_health_zone_zs'!$B$2,[1]ratio_ins!$B:$B,0))*$G293*INDEX([1]ratio_ins!$C:$C,MATCH('001_population_health_zone_zs'!$B293,[1]ratio_ins!$B:$B,0))</f>
        <v>181.78833400000002</v>
      </c>
      <c r="AB293" s="11">
        <f>INDEX([1]ratio_ins!Z:Z,MATCH('001_population_health_zone_zs'!$B$2,[1]ratio_ins!$B:$B,0))*$G293*INDEX([1]ratio_ins!$C:$C,MATCH('001_population_health_zone_zs'!$B293,[1]ratio_ins!$B:$B,0))</f>
        <v>2363.2483420000003</v>
      </c>
      <c r="AC293" s="12">
        <f t="shared" si="24"/>
        <v>90894.167000000016</v>
      </c>
      <c r="AD293" s="10">
        <f>INDEX([1]ratio_ins!AA:AA,MATCH('001_population_health_zone_zs'!$B$2,[1]ratio_ins!$B:$B,0))*$G293*INDEX([1]ratio_ins!$D:$D,MATCH('001_population_health_zone_zs'!$B293,[1]ratio_ins!$B:$B,0))</f>
        <v>20106.834930000001</v>
      </c>
      <c r="AE293" s="10">
        <f>INDEX([1]ratio_ins!AB:AB,MATCH('001_population_health_zone_zs'!$B$2,[1]ratio_ins!$B:$B,0))*$G293*INDEX([1]ratio_ins!$D:$D,MATCH('001_population_health_zone_zs'!$B293,[1]ratio_ins!$B:$B,0))</f>
        <v>16564.202109000002</v>
      </c>
      <c r="AF293" s="10">
        <f>INDEX([1]ratio_ins!AC:AC,MATCH('001_population_health_zone_zs'!$B$2,[1]ratio_ins!$B:$B,0))*$G293*INDEX([1]ratio_ins!$D:$D,MATCH('001_population_health_zone_zs'!$B293,[1]ratio_ins!$B:$B,0))</f>
        <v>13117.316120999998</v>
      </c>
      <c r="AG293" s="10">
        <f>INDEX([1]ratio_ins!AD:AD,MATCH('001_population_health_zone_zs'!$B$2,[1]ratio_ins!$B:$B,0))*$G293*INDEX([1]ratio_ins!$D:$D,MATCH('001_population_health_zone_zs'!$B293,[1]ratio_ins!$B:$B,0))</f>
        <v>7946.9871390000008</v>
      </c>
      <c r="AH293" s="10">
        <f>INDEX([1]ratio_ins!AE:AE,MATCH('001_population_health_zone_zs'!$B$2,[1]ratio_ins!$B:$B,0))*$G293*INDEX([1]ratio_ins!$D:$D,MATCH('001_population_health_zone_zs'!$B293,[1]ratio_ins!$B:$B,0))</f>
        <v>4768.1922833999997</v>
      </c>
      <c r="AI293" s="13">
        <f>INDEX([1]ratio_ins!AF:AF,MATCH('001_population_health_zone_zs'!$B$2,[1]ratio_ins!$B:$B,0))*$G293*INDEX([1]ratio_ins!$D:$D,MATCH('001_population_health_zone_zs'!$B293,[1]ratio_ins!$B:$B,0))</f>
        <v>54556.545443399998</v>
      </c>
      <c r="AJ293" s="10">
        <f>INDEX([1]ratio_ins!AG:AG,MATCH('001_population_health_zone_zs'!$B$2,[1]ratio_ins!$B:$B,0))*$G293*INDEX([1]ratio_ins!$D:$D,MATCH('001_population_health_zone_zs'!$B293,[1]ratio_ins!$B:$B,0))</f>
        <v>3178.7948556000001</v>
      </c>
      <c r="AK293" s="10">
        <f>INDEX([1]ratio_ins!AH:AH,MATCH('001_population_health_zone_zs'!$B$2,[1]ratio_ins!$B:$B,0))*$G293*INDEX([1]ratio_ins!$D:$D,MATCH('001_population_health_zone_zs'!$B293,[1]ratio_ins!$B:$B,0))</f>
        <v>7085.2656420000003</v>
      </c>
      <c r="AL293" s="10">
        <f>INDEX([1]ratio_ins!AI:AI,MATCH('001_population_health_zone_zs'!$B$2,[1]ratio_ins!$B:$B,0))*$G293*INDEX([1]ratio_ins!$D:$D,MATCH('001_population_health_zone_zs'!$B293,[1]ratio_ins!$B:$B,0))</f>
        <v>6702.2783100000006</v>
      </c>
      <c r="AM293" s="10">
        <f>INDEX([1]ratio_ins!AJ:AJ,MATCH('001_population_health_zone_zs'!$B$2,[1]ratio_ins!$B:$B,0))*$G293*INDEX([1]ratio_ins!$D:$D,MATCH('001_population_health_zone_zs'!$B293,[1]ratio_ins!$B:$B,0))</f>
        <v>6127.7973119999997</v>
      </c>
      <c r="AN293" s="10">
        <f>INDEX([1]ratio_ins!AK:AK,MATCH('001_population_health_zone_zs'!$B$2,[1]ratio_ins!$B:$B,0))*$G293*INDEX([1]ratio_ins!$D:$D,MATCH('001_population_health_zone_zs'!$B293,[1]ratio_ins!$B:$B,0))</f>
        <v>5744.80998</v>
      </c>
      <c r="AO293" s="10">
        <f>INDEX([1]ratio_ins!AL:AL,MATCH('001_population_health_zone_zs'!$B$2,[1]ratio_ins!$B:$B,0))*$G293*INDEX([1]ratio_ins!$D:$D,MATCH('001_population_health_zone_zs'!$B293,[1]ratio_ins!$B:$B,0))</f>
        <v>4308.6074849999995</v>
      </c>
      <c r="AP293" s="10">
        <f>INDEX([1]ratio_ins!AM:AM,MATCH('001_population_health_zone_zs'!$B$2,[1]ratio_ins!$B:$B,0))*$G293*INDEX([1]ratio_ins!$D:$D,MATCH('001_population_health_zone_zs'!$B293,[1]ratio_ins!$B:$B,0))</f>
        <v>2776.6581569999998</v>
      </c>
      <c r="AQ293" s="10">
        <f>INDEX([1]ratio_ins!AN:AN,MATCH('001_population_health_zone_zs'!$B$2,[1]ratio_ins!$B:$B,0))*$G293*INDEX([1]ratio_ins!$D:$D,MATCH('001_population_health_zone_zs'!$B293,[1]ratio_ins!$B:$B,0))</f>
        <v>2202.1771589999998</v>
      </c>
      <c r="AR293" s="10">
        <f>INDEX([1]ratio_ins!AO:AO,MATCH('001_population_health_zone_zs'!$B$2,[1]ratio_ins!$B:$B,0))*$G293*INDEX([1]ratio_ins!$D:$D,MATCH('001_population_health_zone_zs'!$B293,[1]ratio_ins!$B:$B,0))</f>
        <v>1053.2151630000003</v>
      </c>
      <c r="AS293" s="13">
        <f>INDEX([1]ratio_ins!AP:AP,MATCH('001_population_health_zone_zs'!$B$2,[1]ratio_ins!$B:$B,0))*$G293*INDEX([1]ratio_ins!$D:$D,MATCH('001_population_health_zone_zs'!$B293,[1]ratio_ins!$B:$B,0))</f>
        <v>39179.604063600003</v>
      </c>
      <c r="AT293" s="10">
        <f>INDEX([1]ratio_ins!AQ:AQ,MATCH('001_population_health_zone_zs'!$B$2,[1]ratio_ins!$B:$B,0))*$G293*INDEX([1]ratio_ins!$D:$D,MATCH('001_population_health_zone_zs'!$B293,[1]ratio_ins!$B:$B,0))</f>
        <v>957.46833000000004</v>
      </c>
      <c r="AU293" s="10">
        <f>INDEX([1]ratio_ins!AR:AR,MATCH('001_population_health_zone_zs'!$B$2,[1]ratio_ins!$B:$B,0))*$G293*INDEX([1]ratio_ins!$D:$D,MATCH('001_population_health_zone_zs'!$B293,[1]ratio_ins!$B:$B,0))</f>
        <v>574.480998</v>
      </c>
      <c r="AV293" s="10">
        <f>INDEX([1]ratio_ins!AS:AS,MATCH('001_population_health_zone_zs'!$B$2,[1]ratio_ins!$B:$B,0))*$G293*INDEX([1]ratio_ins!$D:$D,MATCH('001_population_health_zone_zs'!$B293,[1]ratio_ins!$B:$B,0))</f>
        <v>287.240499</v>
      </c>
      <c r="AW293" s="10">
        <f>INDEX([1]ratio_ins!AT:AT,MATCH('001_population_health_zone_zs'!$B$2,[1]ratio_ins!$B:$B,0))*$G293*INDEX([1]ratio_ins!$D:$D,MATCH('001_population_health_zone_zs'!$B293,[1]ratio_ins!$B:$B,0))</f>
        <v>191.49366599999999</v>
      </c>
      <c r="AX293" s="13">
        <f>INDEX([1]ratio_ins!AU:AU,MATCH('001_population_health_zone_zs'!$B$2,[1]ratio_ins!$B:$B,0))*$G293*INDEX([1]ratio_ins!$D:$D,MATCH('001_population_health_zone_zs'!$B293,[1]ratio_ins!$B:$B,0))</f>
        <v>2010.683493</v>
      </c>
      <c r="AY293" s="14">
        <f t="shared" si="25"/>
        <v>95746.832999999999</v>
      </c>
      <c r="AZ293" s="15">
        <f t="shared" si="26"/>
        <v>186641</v>
      </c>
      <c r="BA293" s="16">
        <v>179075.62557434393</v>
      </c>
      <c r="BB293" s="10">
        <f t="shared" si="27"/>
        <v>40692.404024999996</v>
      </c>
      <c r="BC293" s="17">
        <f t="shared" si="28"/>
        <v>0.21802499999999997</v>
      </c>
      <c r="BD293" s="10">
        <f t="shared" si="29"/>
        <v>37902.867639000011</v>
      </c>
    </row>
    <row r="294" spans="1:56" x14ac:dyDescent="0.25">
      <c r="A294" s="8" t="s">
        <v>671</v>
      </c>
      <c r="B294" s="8" t="s">
        <v>672</v>
      </c>
      <c r="C294" s="8" t="s">
        <v>714</v>
      </c>
      <c r="D294" s="8" t="s">
        <v>715</v>
      </c>
      <c r="E294" s="8" t="s">
        <v>724</v>
      </c>
      <c r="F294" s="8" t="s">
        <v>725</v>
      </c>
      <c r="G294" s="9">
        <v>248653</v>
      </c>
      <c r="H294" s="10">
        <f>INDEX([1]ratio_ins!F:F,MATCH('001_population_health_zone_zs'!$B$2,[1]ratio_ins!$B:$B,0))*$G294*INDEX([1]ratio_ins!$C:$C,MATCH('001_population_health_zone_zs'!$B294,[1]ratio_ins!$B:$B,0))</f>
        <v>25308.648299</v>
      </c>
      <c r="I294" s="10">
        <f>INDEX([1]ratio_ins!G:G,MATCH('001_population_health_zone_zs'!$B$2,[1]ratio_ins!$B:$B,0))*$G294*INDEX([1]ratio_ins!$C:$C,MATCH('001_population_health_zone_zs'!$B294,[1]ratio_ins!$B:$B,0))</f>
        <v>20707.075881000001</v>
      </c>
      <c r="J294" s="10">
        <f>INDEX([1]ratio_ins!H:H,MATCH('001_population_health_zone_zs'!$B$2,[1]ratio_ins!$B:$B,0))*$G294*INDEX([1]ratio_ins!$C:$C,MATCH('001_population_health_zone_zs'!$B294,[1]ratio_ins!$B:$B,0))</f>
        <v>16347.691485000001</v>
      </c>
      <c r="K294" s="10">
        <f>INDEX([1]ratio_ins!I:I,MATCH('001_population_health_zone_zs'!$B$2,[1]ratio_ins!$B:$B,0))*$G294*INDEX([1]ratio_ins!$C:$C,MATCH('001_population_health_zone_zs'!$B294,[1]ratio_ins!$B:$B,0))</f>
        <v>10050.802913000001</v>
      </c>
      <c r="L294" s="10">
        <f>INDEX([1]ratio_ins!J:J,MATCH('001_population_health_zone_zs'!$B$2,[1]ratio_ins!$B:$B,0))*$G294*INDEX([1]ratio_ins!$C:$C,MATCH('001_population_health_zone_zs'!$B294,[1]ratio_ins!$B:$B,0))</f>
        <v>6030.4817477999995</v>
      </c>
      <c r="M294" s="11">
        <f>INDEX([1]ratio_ins!K:K,MATCH('001_population_health_zone_zs'!$B$2,[1]ratio_ins!$B:$B,0))*$G294*INDEX([1]ratio_ins!$C:$C,MATCH('001_population_health_zone_zs'!$B294,[1]ratio_ins!$B:$B,0))</f>
        <v>68393.897412800012</v>
      </c>
      <c r="N294" s="10">
        <f>INDEX([1]ratio_ins!L:L,MATCH('001_population_health_zone_zs'!$B$2,[1]ratio_ins!$B:$B,0))*$G294*INDEX([1]ratio_ins!$C:$C,MATCH('001_population_health_zone_zs'!$B294,[1]ratio_ins!$B:$B,0))</f>
        <v>4020.3211652000005</v>
      </c>
      <c r="O294" s="10">
        <f>INDEX([1]ratio_ins!M:M,MATCH('001_population_health_zone_zs'!$B$2,[1]ratio_ins!$B:$B,0))*$G294*INDEX([1]ratio_ins!$C:$C,MATCH('001_population_health_zone_zs'!$B294,[1]ratio_ins!$B:$B,0))</f>
        <v>8718.7687920000026</v>
      </c>
      <c r="P294" s="10">
        <f>INDEX([1]ratio_ins!N:N,MATCH('001_population_health_zone_zs'!$B$2,[1]ratio_ins!$B:$B,0))*$G294*INDEX([1]ratio_ins!$C:$C,MATCH('001_population_health_zone_zs'!$B294,[1]ratio_ins!$B:$B,0))</f>
        <v>7871.1107150000007</v>
      </c>
      <c r="Q294" s="10">
        <f>INDEX([1]ratio_ins!O:O,MATCH('001_population_health_zone_zs'!$B$2,[1]ratio_ins!$B:$B,0))*$G294*INDEX([1]ratio_ins!$C:$C,MATCH('001_population_health_zone_zs'!$B294,[1]ratio_ins!$B:$B,0))</f>
        <v>7023.4526380000007</v>
      </c>
      <c r="R294" s="10">
        <f>INDEX([1]ratio_ins!P:P,MATCH('001_population_health_zone_zs'!$B$2,[1]ratio_ins!$B:$B,0))*$G294*INDEX([1]ratio_ins!$C:$C,MATCH('001_population_health_zone_zs'!$B294,[1]ratio_ins!$B:$B,0))</f>
        <v>6902.3586270000014</v>
      </c>
      <c r="S294" s="10">
        <f>INDEX([1]ratio_ins!Q:Q,MATCH('001_population_health_zone_zs'!$B$2,[1]ratio_ins!$B:$B,0))*$G294*INDEX([1]ratio_ins!$C:$C,MATCH('001_population_health_zone_zs'!$B294,[1]ratio_ins!$B:$B,0))</f>
        <v>5812.5125280000011</v>
      </c>
      <c r="T294" s="10">
        <f>INDEX([1]ratio_ins!R:R,MATCH('001_population_health_zone_zs'!$B$2,[1]ratio_ins!$B:$B,0))*$G294*INDEX([1]ratio_ins!$C:$C,MATCH('001_population_health_zone_zs'!$B294,[1]ratio_ins!$B:$B,0))</f>
        <v>4117.196374000001</v>
      </c>
      <c r="U294" s="10">
        <f>INDEX([1]ratio_ins!S:S,MATCH('001_population_health_zone_zs'!$B$2,[1]ratio_ins!$B:$B,0))*$G294*INDEX([1]ratio_ins!$C:$C,MATCH('001_population_health_zone_zs'!$B294,[1]ratio_ins!$B:$B,0))</f>
        <v>3269.538297000001</v>
      </c>
      <c r="V294" s="10">
        <f>INDEX([1]ratio_ins!T:T,MATCH('001_population_health_zone_zs'!$B$2,[1]ratio_ins!$B:$B,0))*$G294*INDEX([1]ratio_ins!$C:$C,MATCH('001_population_health_zone_zs'!$B294,[1]ratio_ins!$B:$B,0))</f>
        <v>1816.4101650000002</v>
      </c>
      <c r="W294" s="11">
        <f>INDEX([1]ratio_ins!U:U,MATCH('001_population_health_zone_zs'!$B$2,[1]ratio_ins!$B:$B,0))*$G294*INDEX([1]ratio_ins!$C:$C,MATCH('001_population_health_zone_zs'!$B294,[1]ratio_ins!$B:$B,0))</f>
        <v>49551.669301200003</v>
      </c>
      <c r="X294" s="10">
        <f>INDEX([1]ratio_ins!V:V,MATCH('001_population_health_zone_zs'!$B$2,[1]ratio_ins!$B:$B,0))*$G294*INDEX([1]ratio_ins!$C:$C,MATCH('001_population_health_zone_zs'!$B294,[1]ratio_ins!$B:$B,0))</f>
        <v>1453.1281320000003</v>
      </c>
      <c r="Y294" s="10">
        <f>INDEX([1]ratio_ins!W:W,MATCH('001_population_health_zone_zs'!$B$2,[1]ratio_ins!$B:$B,0))*$G294*INDEX([1]ratio_ins!$C:$C,MATCH('001_population_health_zone_zs'!$B294,[1]ratio_ins!$B:$B,0))</f>
        <v>968.75208800000007</v>
      </c>
      <c r="Z294" s="10">
        <f>INDEX([1]ratio_ins!X:X,MATCH('001_population_health_zone_zs'!$B$2,[1]ratio_ins!$B:$B,0))*$G294*INDEX([1]ratio_ins!$C:$C,MATCH('001_population_health_zone_zs'!$B294,[1]ratio_ins!$B:$B,0))</f>
        <v>484.37604400000004</v>
      </c>
      <c r="AA294" s="10">
        <f>INDEX([1]ratio_ins!Y:Y,MATCH('001_population_health_zone_zs'!$B$2,[1]ratio_ins!$B:$B,0))*$G294*INDEX([1]ratio_ins!$C:$C,MATCH('001_population_health_zone_zs'!$B294,[1]ratio_ins!$B:$B,0))</f>
        <v>242.18802200000002</v>
      </c>
      <c r="AB294" s="11">
        <f>INDEX([1]ratio_ins!Z:Z,MATCH('001_population_health_zone_zs'!$B$2,[1]ratio_ins!$B:$B,0))*$G294*INDEX([1]ratio_ins!$C:$C,MATCH('001_population_health_zone_zs'!$B294,[1]ratio_ins!$B:$B,0))</f>
        <v>3148.4442860000008</v>
      </c>
      <c r="AC294" s="12">
        <f t="shared" si="24"/>
        <v>121094.01100000001</v>
      </c>
      <c r="AD294" s="10">
        <f>INDEX([1]ratio_ins!AA:AA,MATCH('001_population_health_zone_zs'!$B$2,[1]ratio_ins!$B:$B,0))*$G294*INDEX([1]ratio_ins!$D:$D,MATCH('001_population_health_zone_zs'!$B294,[1]ratio_ins!$B:$B,0))</f>
        <v>26787.38769</v>
      </c>
      <c r="AE294" s="10">
        <f>INDEX([1]ratio_ins!AB:AB,MATCH('001_population_health_zone_zs'!$B$2,[1]ratio_ins!$B:$B,0))*$G294*INDEX([1]ratio_ins!$D:$D,MATCH('001_population_health_zone_zs'!$B294,[1]ratio_ins!$B:$B,0))</f>
        <v>22067.705097000002</v>
      </c>
      <c r="AF294" s="10">
        <f>INDEX([1]ratio_ins!AC:AC,MATCH('001_population_health_zone_zs'!$B$2,[1]ratio_ins!$B:$B,0))*$G294*INDEX([1]ratio_ins!$D:$D,MATCH('001_population_health_zone_zs'!$B294,[1]ratio_ins!$B:$B,0))</f>
        <v>17475.581492999998</v>
      </c>
      <c r="AG294" s="10">
        <f>INDEX([1]ratio_ins!AD:AD,MATCH('001_population_health_zone_zs'!$B$2,[1]ratio_ins!$B:$B,0))*$G294*INDEX([1]ratio_ins!$D:$D,MATCH('001_population_health_zone_zs'!$B294,[1]ratio_ins!$B:$B,0))</f>
        <v>10587.396087000001</v>
      </c>
      <c r="AH294" s="10">
        <f>INDEX([1]ratio_ins!AE:AE,MATCH('001_population_health_zone_zs'!$B$2,[1]ratio_ins!$B:$B,0))*$G294*INDEX([1]ratio_ins!$D:$D,MATCH('001_population_health_zone_zs'!$B294,[1]ratio_ins!$B:$B,0))</f>
        <v>6352.4376521999993</v>
      </c>
      <c r="AI294" s="13">
        <f>INDEX([1]ratio_ins!AF:AF,MATCH('001_population_health_zone_zs'!$B$2,[1]ratio_ins!$B:$B,0))*$G294*INDEX([1]ratio_ins!$D:$D,MATCH('001_population_health_zone_zs'!$B294,[1]ratio_ins!$B:$B,0))</f>
        <v>72683.111932199987</v>
      </c>
      <c r="AJ294" s="10">
        <f>INDEX([1]ratio_ins!AG:AG,MATCH('001_population_health_zone_zs'!$B$2,[1]ratio_ins!$B:$B,0))*$G294*INDEX([1]ratio_ins!$D:$D,MATCH('001_population_health_zone_zs'!$B294,[1]ratio_ins!$B:$B,0))</f>
        <v>4234.9584347999998</v>
      </c>
      <c r="AK294" s="10">
        <f>INDEX([1]ratio_ins!AH:AH,MATCH('001_population_health_zone_zs'!$B$2,[1]ratio_ins!$B:$B,0))*$G294*INDEX([1]ratio_ins!$D:$D,MATCH('001_population_health_zone_zs'!$B294,[1]ratio_ins!$B:$B,0))</f>
        <v>9439.3651860000027</v>
      </c>
      <c r="AL294" s="10">
        <f>INDEX([1]ratio_ins!AI:AI,MATCH('001_population_health_zone_zs'!$B$2,[1]ratio_ins!$B:$B,0))*$G294*INDEX([1]ratio_ins!$D:$D,MATCH('001_population_health_zone_zs'!$B294,[1]ratio_ins!$B:$B,0))</f>
        <v>8929.1292300000023</v>
      </c>
      <c r="AM294" s="10">
        <f>INDEX([1]ratio_ins!AJ:AJ,MATCH('001_population_health_zone_zs'!$B$2,[1]ratio_ins!$B:$B,0))*$G294*INDEX([1]ratio_ins!$D:$D,MATCH('001_population_health_zone_zs'!$B294,[1]ratio_ins!$B:$B,0))</f>
        <v>8163.7752959999998</v>
      </c>
      <c r="AN294" s="10">
        <f>INDEX([1]ratio_ins!AK:AK,MATCH('001_population_health_zone_zs'!$B$2,[1]ratio_ins!$B:$B,0))*$G294*INDEX([1]ratio_ins!$D:$D,MATCH('001_population_health_zone_zs'!$B294,[1]ratio_ins!$B:$B,0))</f>
        <v>7653.5393400000003</v>
      </c>
      <c r="AO294" s="10">
        <f>INDEX([1]ratio_ins!AL:AL,MATCH('001_population_health_zone_zs'!$B$2,[1]ratio_ins!$B:$B,0))*$G294*INDEX([1]ratio_ins!$D:$D,MATCH('001_population_health_zone_zs'!$B294,[1]ratio_ins!$B:$B,0))</f>
        <v>5740.1545050000004</v>
      </c>
      <c r="AP294" s="10">
        <f>INDEX([1]ratio_ins!AM:AM,MATCH('001_population_health_zone_zs'!$B$2,[1]ratio_ins!$B:$B,0))*$G294*INDEX([1]ratio_ins!$D:$D,MATCH('001_population_health_zone_zs'!$B294,[1]ratio_ins!$B:$B,0))</f>
        <v>3699.210681</v>
      </c>
      <c r="AQ294" s="10">
        <f>INDEX([1]ratio_ins!AN:AN,MATCH('001_population_health_zone_zs'!$B$2,[1]ratio_ins!$B:$B,0))*$G294*INDEX([1]ratio_ins!$D:$D,MATCH('001_population_health_zone_zs'!$B294,[1]ratio_ins!$B:$B,0))</f>
        <v>2933.8567470000003</v>
      </c>
      <c r="AR294" s="10">
        <f>INDEX([1]ratio_ins!AO:AO,MATCH('001_population_health_zone_zs'!$B$2,[1]ratio_ins!$B:$B,0))*$G294*INDEX([1]ratio_ins!$D:$D,MATCH('001_population_health_zone_zs'!$B294,[1]ratio_ins!$B:$B,0))</f>
        <v>1403.1488790000003</v>
      </c>
      <c r="AS294" s="13">
        <f>INDEX([1]ratio_ins!AP:AP,MATCH('001_population_health_zone_zs'!$B$2,[1]ratio_ins!$B:$B,0))*$G294*INDEX([1]ratio_ins!$D:$D,MATCH('001_population_health_zone_zs'!$B294,[1]ratio_ins!$B:$B,0))</f>
        <v>52197.138298800004</v>
      </c>
      <c r="AT294" s="10">
        <f>INDEX([1]ratio_ins!AQ:AQ,MATCH('001_population_health_zone_zs'!$B$2,[1]ratio_ins!$B:$B,0))*$G294*INDEX([1]ratio_ins!$D:$D,MATCH('001_population_health_zone_zs'!$B294,[1]ratio_ins!$B:$B,0))</f>
        <v>1275.5898900000002</v>
      </c>
      <c r="AU294" s="10">
        <f>INDEX([1]ratio_ins!AR:AR,MATCH('001_population_health_zone_zs'!$B$2,[1]ratio_ins!$B:$B,0))*$G294*INDEX([1]ratio_ins!$D:$D,MATCH('001_population_health_zone_zs'!$B294,[1]ratio_ins!$B:$B,0))</f>
        <v>765.35393400000009</v>
      </c>
      <c r="AV294" s="10">
        <f>INDEX([1]ratio_ins!AS:AS,MATCH('001_population_health_zone_zs'!$B$2,[1]ratio_ins!$B:$B,0))*$G294*INDEX([1]ratio_ins!$D:$D,MATCH('001_population_health_zone_zs'!$B294,[1]ratio_ins!$B:$B,0))</f>
        <v>382.67696700000005</v>
      </c>
      <c r="AW294" s="10">
        <f>INDEX([1]ratio_ins!AT:AT,MATCH('001_population_health_zone_zs'!$B$2,[1]ratio_ins!$B:$B,0))*$G294*INDEX([1]ratio_ins!$D:$D,MATCH('001_population_health_zone_zs'!$B294,[1]ratio_ins!$B:$B,0))</f>
        <v>255.11797799999999</v>
      </c>
      <c r="AX294" s="13">
        <f>INDEX([1]ratio_ins!AU:AU,MATCH('001_population_health_zone_zs'!$B$2,[1]ratio_ins!$B:$B,0))*$G294*INDEX([1]ratio_ins!$D:$D,MATCH('001_population_health_zone_zs'!$B294,[1]ratio_ins!$B:$B,0))</f>
        <v>2678.738769</v>
      </c>
      <c r="AY294" s="14">
        <f t="shared" si="25"/>
        <v>127558.98899999999</v>
      </c>
      <c r="AZ294" s="15">
        <f t="shared" si="26"/>
        <v>248653</v>
      </c>
      <c r="BA294" s="16">
        <v>238573.94115643512</v>
      </c>
      <c r="BB294" s="10">
        <f t="shared" si="27"/>
        <v>54212.570325000008</v>
      </c>
      <c r="BC294" s="17">
        <f t="shared" si="28"/>
        <v>0.21802500000000002</v>
      </c>
      <c r="BD294" s="10">
        <f t="shared" si="29"/>
        <v>50496.202587000007</v>
      </c>
    </row>
    <row r="295" spans="1:56" x14ac:dyDescent="0.25">
      <c r="A295" s="8" t="s">
        <v>671</v>
      </c>
      <c r="B295" s="8" t="s">
        <v>672</v>
      </c>
      <c r="C295" s="8" t="s">
        <v>714</v>
      </c>
      <c r="D295" s="8" t="s">
        <v>715</v>
      </c>
      <c r="E295" s="8" t="s">
        <v>726</v>
      </c>
      <c r="F295" s="8" t="s">
        <v>727</v>
      </c>
      <c r="G295" s="9">
        <v>337052</v>
      </c>
      <c r="H295" s="10">
        <f>INDEX([1]ratio_ins!F:F,MATCH('001_population_health_zone_zs'!$B$2,[1]ratio_ins!$B:$B,0))*$G295*INDEX([1]ratio_ins!$C:$C,MATCH('001_population_health_zone_zs'!$B295,[1]ratio_ins!$B:$B,0))</f>
        <v>34306.163716000003</v>
      </c>
      <c r="I295" s="10">
        <f>INDEX([1]ratio_ins!G:G,MATCH('001_population_health_zone_zs'!$B$2,[1]ratio_ins!$B:$B,0))*$G295*INDEX([1]ratio_ins!$C:$C,MATCH('001_population_health_zone_zs'!$B295,[1]ratio_ins!$B:$B,0))</f>
        <v>28068.679404000006</v>
      </c>
      <c r="J295" s="10">
        <f>INDEX([1]ratio_ins!H:H,MATCH('001_population_health_zone_zs'!$B$2,[1]ratio_ins!$B:$B,0))*$G295*INDEX([1]ratio_ins!$C:$C,MATCH('001_population_health_zone_zs'!$B295,[1]ratio_ins!$B:$B,0))</f>
        <v>22159.483740000003</v>
      </c>
      <c r="K295" s="10">
        <f>INDEX([1]ratio_ins!I:I,MATCH('001_population_health_zone_zs'!$B$2,[1]ratio_ins!$B:$B,0))*$G295*INDEX([1]ratio_ins!$C:$C,MATCH('001_population_health_zone_zs'!$B295,[1]ratio_ins!$B:$B,0))</f>
        <v>13623.978892000003</v>
      </c>
      <c r="L295" s="10">
        <f>INDEX([1]ratio_ins!J:J,MATCH('001_population_health_zone_zs'!$B$2,[1]ratio_ins!$B:$B,0))*$G295*INDEX([1]ratio_ins!$C:$C,MATCH('001_population_health_zone_zs'!$B295,[1]ratio_ins!$B:$B,0))</f>
        <v>8174.3873352000001</v>
      </c>
      <c r="M295" s="11">
        <f>INDEX([1]ratio_ins!K:K,MATCH('001_population_health_zone_zs'!$B$2,[1]ratio_ins!$B:$B,0))*$G295*INDEX([1]ratio_ins!$C:$C,MATCH('001_population_health_zone_zs'!$B295,[1]ratio_ins!$B:$B,0))</f>
        <v>92708.714195199995</v>
      </c>
      <c r="N295" s="10">
        <f>INDEX([1]ratio_ins!L:L,MATCH('001_population_health_zone_zs'!$B$2,[1]ratio_ins!$B:$B,0))*$G295*INDEX([1]ratio_ins!$C:$C,MATCH('001_population_health_zone_zs'!$B295,[1]ratio_ins!$B:$B,0))</f>
        <v>5449.5915568000009</v>
      </c>
      <c r="O295" s="10">
        <f>INDEX([1]ratio_ins!M:M,MATCH('001_population_health_zone_zs'!$B$2,[1]ratio_ins!$B:$B,0))*$G295*INDEX([1]ratio_ins!$C:$C,MATCH('001_population_health_zone_zs'!$B295,[1]ratio_ins!$B:$B,0))</f>
        <v>11818.391328000002</v>
      </c>
      <c r="P295" s="10">
        <f>INDEX([1]ratio_ins!N:N,MATCH('001_population_health_zone_zs'!$B$2,[1]ratio_ins!$B:$B,0))*$G295*INDEX([1]ratio_ins!$C:$C,MATCH('001_population_health_zone_zs'!$B295,[1]ratio_ins!$B:$B,0))</f>
        <v>10669.381060000002</v>
      </c>
      <c r="Q295" s="10">
        <f>INDEX([1]ratio_ins!O:O,MATCH('001_population_health_zone_zs'!$B$2,[1]ratio_ins!$B:$B,0))*$G295*INDEX([1]ratio_ins!$C:$C,MATCH('001_population_health_zone_zs'!$B295,[1]ratio_ins!$B:$B,0))</f>
        <v>9520.3707920000015</v>
      </c>
      <c r="R295" s="10">
        <f>INDEX([1]ratio_ins!P:P,MATCH('001_population_health_zone_zs'!$B$2,[1]ratio_ins!$B:$B,0))*$G295*INDEX([1]ratio_ins!$C:$C,MATCH('001_population_health_zone_zs'!$B295,[1]ratio_ins!$B:$B,0))</f>
        <v>9356.2264680000008</v>
      </c>
      <c r="S295" s="10">
        <f>INDEX([1]ratio_ins!Q:Q,MATCH('001_population_health_zone_zs'!$B$2,[1]ratio_ins!$B:$B,0))*$G295*INDEX([1]ratio_ins!$C:$C,MATCH('001_population_health_zone_zs'!$B295,[1]ratio_ins!$B:$B,0))</f>
        <v>7878.927552000001</v>
      </c>
      <c r="T295" s="10">
        <f>INDEX([1]ratio_ins!R:R,MATCH('001_population_health_zone_zs'!$B$2,[1]ratio_ins!$B:$B,0))*$G295*INDEX([1]ratio_ins!$C:$C,MATCH('001_population_health_zone_zs'!$B295,[1]ratio_ins!$B:$B,0))</f>
        <v>5580.9070160000001</v>
      </c>
      <c r="U295" s="10">
        <f>INDEX([1]ratio_ins!S:S,MATCH('001_population_health_zone_zs'!$B$2,[1]ratio_ins!$B:$B,0))*$G295*INDEX([1]ratio_ins!$C:$C,MATCH('001_population_health_zone_zs'!$B295,[1]ratio_ins!$B:$B,0))</f>
        <v>4431.896748000001</v>
      </c>
      <c r="V295" s="10">
        <f>INDEX([1]ratio_ins!T:T,MATCH('001_population_health_zone_zs'!$B$2,[1]ratio_ins!$B:$B,0))*$G295*INDEX([1]ratio_ins!$C:$C,MATCH('001_population_health_zone_zs'!$B295,[1]ratio_ins!$B:$B,0))</f>
        <v>2462.1648600000003</v>
      </c>
      <c r="W295" s="11">
        <f>INDEX([1]ratio_ins!U:U,MATCH('001_population_health_zone_zs'!$B$2,[1]ratio_ins!$B:$B,0))*$G295*INDEX([1]ratio_ins!$C:$C,MATCH('001_population_health_zone_zs'!$B295,[1]ratio_ins!$B:$B,0))</f>
        <v>67167.857380800007</v>
      </c>
      <c r="X295" s="10">
        <f>INDEX([1]ratio_ins!V:V,MATCH('001_population_health_zone_zs'!$B$2,[1]ratio_ins!$B:$B,0))*$G295*INDEX([1]ratio_ins!$C:$C,MATCH('001_population_health_zone_zs'!$B295,[1]ratio_ins!$B:$B,0))</f>
        <v>1969.7318880000003</v>
      </c>
      <c r="Y295" s="10">
        <f>INDEX([1]ratio_ins!W:W,MATCH('001_population_health_zone_zs'!$B$2,[1]ratio_ins!$B:$B,0))*$G295*INDEX([1]ratio_ins!$C:$C,MATCH('001_population_health_zone_zs'!$B295,[1]ratio_ins!$B:$B,0))</f>
        <v>1313.1545920000001</v>
      </c>
      <c r="Z295" s="10">
        <f>INDEX([1]ratio_ins!X:X,MATCH('001_population_health_zone_zs'!$B$2,[1]ratio_ins!$B:$B,0))*$G295*INDEX([1]ratio_ins!$C:$C,MATCH('001_population_health_zone_zs'!$B295,[1]ratio_ins!$B:$B,0))</f>
        <v>656.57729600000005</v>
      </c>
      <c r="AA295" s="10">
        <f>INDEX([1]ratio_ins!Y:Y,MATCH('001_population_health_zone_zs'!$B$2,[1]ratio_ins!$B:$B,0))*$G295*INDEX([1]ratio_ins!$C:$C,MATCH('001_population_health_zone_zs'!$B295,[1]ratio_ins!$B:$B,0))</f>
        <v>328.28864800000002</v>
      </c>
      <c r="AB295" s="11">
        <f>INDEX([1]ratio_ins!Z:Z,MATCH('001_population_health_zone_zs'!$B$2,[1]ratio_ins!$B:$B,0))*$G295*INDEX([1]ratio_ins!$C:$C,MATCH('001_population_health_zone_zs'!$B295,[1]ratio_ins!$B:$B,0))</f>
        <v>4267.7524240000012</v>
      </c>
      <c r="AC295" s="12">
        <f t="shared" si="24"/>
        <v>164144.32400000002</v>
      </c>
      <c r="AD295" s="10">
        <f>INDEX([1]ratio_ins!AA:AA,MATCH('001_population_health_zone_zs'!$B$2,[1]ratio_ins!$B:$B,0))*$G295*INDEX([1]ratio_ins!$D:$D,MATCH('001_population_health_zone_zs'!$B295,[1]ratio_ins!$B:$B,0))</f>
        <v>36310.611960000002</v>
      </c>
      <c r="AE295" s="10">
        <f>INDEX([1]ratio_ins!AB:AB,MATCH('001_population_health_zone_zs'!$B$2,[1]ratio_ins!$B:$B,0))*$G295*INDEX([1]ratio_ins!$D:$D,MATCH('001_population_health_zone_zs'!$B295,[1]ratio_ins!$B:$B,0))</f>
        <v>29913.027948000003</v>
      </c>
      <c r="AF295" s="10">
        <f>INDEX([1]ratio_ins!AC:AC,MATCH('001_population_health_zone_zs'!$B$2,[1]ratio_ins!$B:$B,0))*$G295*INDEX([1]ratio_ins!$D:$D,MATCH('001_population_health_zone_zs'!$B295,[1]ratio_ins!$B:$B,0))</f>
        <v>23688.351611999999</v>
      </c>
      <c r="AG295" s="10">
        <f>INDEX([1]ratio_ins!AD:AD,MATCH('001_population_health_zone_zs'!$B$2,[1]ratio_ins!$B:$B,0))*$G295*INDEX([1]ratio_ins!$D:$D,MATCH('001_population_health_zone_zs'!$B295,[1]ratio_ins!$B:$B,0))</f>
        <v>14351.337108000002</v>
      </c>
      <c r="AH295" s="10">
        <f>INDEX([1]ratio_ins!AE:AE,MATCH('001_population_health_zone_zs'!$B$2,[1]ratio_ins!$B:$B,0))*$G295*INDEX([1]ratio_ins!$D:$D,MATCH('001_population_health_zone_zs'!$B295,[1]ratio_ins!$B:$B,0))</f>
        <v>8610.8022647999987</v>
      </c>
      <c r="AI295" s="13">
        <f>INDEX([1]ratio_ins!AF:AF,MATCH('001_population_health_zone_zs'!$B$2,[1]ratio_ins!$B:$B,0))*$G295*INDEX([1]ratio_ins!$D:$D,MATCH('001_population_health_zone_zs'!$B295,[1]ratio_ins!$B:$B,0))</f>
        <v>98522.7937848</v>
      </c>
      <c r="AJ295" s="10">
        <f>INDEX([1]ratio_ins!AG:AG,MATCH('001_population_health_zone_zs'!$B$2,[1]ratio_ins!$B:$B,0))*$G295*INDEX([1]ratio_ins!$D:$D,MATCH('001_population_health_zone_zs'!$B295,[1]ratio_ins!$B:$B,0))</f>
        <v>5740.534843200001</v>
      </c>
      <c r="AK295" s="10">
        <f>INDEX([1]ratio_ins!AH:AH,MATCH('001_population_health_zone_zs'!$B$2,[1]ratio_ins!$B:$B,0))*$G295*INDEX([1]ratio_ins!$D:$D,MATCH('001_population_health_zone_zs'!$B295,[1]ratio_ins!$B:$B,0))</f>
        <v>12795.168024000001</v>
      </c>
      <c r="AL295" s="10">
        <f>INDEX([1]ratio_ins!AI:AI,MATCH('001_population_health_zone_zs'!$B$2,[1]ratio_ins!$B:$B,0))*$G295*INDEX([1]ratio_ins!$D:$D,MATCH('001_population_health_zone_zs'!$B295,[1]ratio_ins!$B:$B,0))</f>
        <v>12103.537320000001</v>
      </c>
      <c r="AM295" s="10">
        <f>INDEX([1]ratio_ins!AJ:AJ,MATCH('001_population_health_zone_zs'!$B$2,[1]ratio_ins!$B:$B,0))*$G295*INDEX([1]ratio_ins!$D:$D,MATCH('001_population_health_zone_zs'!$B295,[1]ratio_ins!$B:$B,0))</f>
        <v>11066.091264000001</v>
      </c>
      <c r="AN295" s="10">
        <f>INDEX([1]ratio_ins!AK:AK,MATCH('001_population_health_zone_zs'!$B$2,[1]ratio_ins!$B:$B,0))*$G295*INDEX([1]ratio_ins!$D:$D,MATCH('001_population_health_zone_zs'!$B295,[1]ratio_ins!$B:$B,0))</f>
        <v>10374.46056</v>
      </c>
      <c r="AO295" s="10">
        <f>INDEX([1]ratio_ins!AL:AL,MATCH('001_population_health_zone_zs'!$B$2,[1]ratio_ins!$B:$B,0))*$G295*INDEX([1]ratio_ins!$D:$D,MATCH('001_population_health_zone_zs'!$B295,[1]ratio_ins!$B:$B,0))</f>
        <v>7780.8454200000006</v>
      </c>
      <c r="AP295" s="10">
        <f>INDEX([1]ratio_ins!AM:AM,MATCH('001_population_health_zone_zs'!$B$2,[1]ratio_ins!$B:$B,0))*$G295*INDEX([1]ratio_ins!$D:$D,MATCH('001_population_health_zone_zs'!$B295,[1]ratio_ins!$B:$B,0))</f>
        <v>5014.322604</v>
      </c>
      <c r="AQ295" s="10">
        <f>INDEX([1]ratio_ins!AN:AN,MATCH('001_population_health_zone_zs'!$B$2,[1]ratio_ins!$B:$B,0))*$G295*INDEX([1]ratio_ins!$D:$D,MATCH('001_population_health_zone_zs'!$B295,[1]ratio_ins!$B:$B,0))</f>
        <v>3976.8765480000002</v>
      </c>
      <c r="AR295" s="10">
        <f>INDEX([1]ratio_ins!AO:AO,MATCH('001_population_health_zone_zs'!$B$2,[1]ratio_ins!$B:$B,0))*$G295*INDEX([1]ratio_ins!$D:$D,MATCH('001_population_health_zone_zs'!$B295,[1]ratio_ins!$B:$B,0))</f>
        <v>1901.9844360000004</v>
      </c>
      <c r="AS295" s="13">
        <f>INDEX([1]ratio_ins!AP:AP,MATCH('001_population_health_zone_zs'!$B$2,[1]ratio_ins!$B:$B,0))*$G295*INDEX([1]ratio_ins!$D:$D,MATCH('001_population_health_zone_zs'!$B295,[1]ratio_ins!$B:$B,0))</f>
        <v>70753.821019199997</v>
      </c>
      <c r="AT295" s="10">
        <f>INDEX([1]ratio_ins!AQ:AQ,MATCH('001_population_health_zone_zs'!$B$2,[1]ratio_ins!$B:$B,0))*$G295*INDEX([1]ratio_ins!$D:$D,MATCH('001_population_health_zone_zs'!$B295,[1]ratio_ins!$B:$B,0))</f>
        <v>1729.0767599999999</v>
      </c>
      <c r="AU295" s="10">
        <f>INDEX([1]ratio_ins!AR:AR,MATCH('001_population_health_zone_zs'!$B$2,[1]ratio_ins!$B:$B,0))*$G295*INDEX([1]ratio_ins!$D:$D,MATCH('001_population_health_zone_zs'!$B295,[1]ratio_ins!$B:$B,0))</f>
        <v>1037.446056</v>
      </c>
      <c r="AV295" s="10">
        <f>INDEX([1]ratio_ins!AS:AS,MATCH('001_population_health_zone_zs'!$B$2,[1]ratio_ins!$B:$B,0))*$G295*INDEX([1]ratio_ins!$D:$D,MATCH('001_population_health_zone_zs'!$B295,[1]ratio_ins!$B:$B,0))</f>
        <v>518.723028</v>
      </c>
      <c r="AW295" s="10">
        <f>INDEX([1]ratio_ins!AT:AT,MATCH('001_population_health_zone_zs'!$B$2,[1]ratio_ins!$B:$B,0))*$G295*INDEX([1]ratio_ins!$D:$D,MATCH('001_population_health_zone_zs'!$B295,[1]ratio_ins!$B:$B,0))</f>
        <v>345.81535200000002</v>
      </c>
      <c r="AX295" s="13">
        <f>INDEX([1]ratio_ins!AU:AU,MATCH('001_population_health_zone_zs'!$B$2,[1]ratio_ins!$B:$B,0))*$G295*INDEX([1]ratio_ins!$D:$D,MATCH('001_population_health_zone_zs'!$B295,[1]ratio_ins!$B:$B,0))</f>
        <v>3631.0611960000001</v>
      </c>
      <c r="AY295" s="14">
        <f t="shared" si="25"/>
        <v>172907.67600000001</v>
      </c>
      <c r="AZ295" s="15">
        <f t="shared" si="26"/>
        <v>337052</v>
      </c>
      <c r="BA295" s="16">
        <v>323389.85364239058</v>
      </c>
      <c r="BB295" s="10">
        <f t="shared" si="27"/>
        <v>73485.762300000002</v>
      </c>
      <c r="BC295" s="17">
        <f t="shared" si="28"/>
        <v>0.218025</v>
      </c>
      <c r="BD295" s="10">
        <f t="shared" si="29"/>
        <v>68448.183108000012</v>
      </c>
    </row>
    <row r="296" spans="1:56" x14ac:dyDescent="0.25">
      <c r="A296" s="8" t="s">
        <v>671</v>
      </c>
      <c r="B296" s="8" t="s">
        <v>672</v>
      </c>
      <c r="C296" s="8" t="s">
        <v>714</v>
      </c>
      <c r="D296" s="8" t="s">
        <v>715</v>
      </c>
      <c r="E296" s="8" t="s">
        <v>728</v>
      </c>
      <c r="F296" s="8" t="s">
        <v>729</v>
      </c>
      <c r="G296" s="9">
        <v>121842</v>
      </c>
      <c r="H296" s="10">
        <f>INDEX([1]ratio_ins!F:F,MATCH('001_population_health_zone_zs'!$B$2,[1]ratio_ins!$B:$B,0))*$G296*INDEX([1]ratio_ins!$C:$C,MATCH('001_population_health_zone_zs'!$B296,[1]ratio_ins!$B:$B,0))</f>
        <v>12401.444286</v>
      </c>
      <c r="I296" s="10">
        <f>INDEX([1]ratio_ins!G:G,MATCH('001_population_health_zone_zs'!$B$2,[1]ratio_ins!$B:$B,0))*$G296*INDEX([1]ratio_ins!$C:$C,MATCH('001_population_health_zone_zs'!$B296,[1]ratio_ins!$B:$B,0))</f>
        <v>10146.636234000001</v>
      </c>
      <c r="J296" s="10">
        <f>INDEX([1]ratio_ins!H:H,MATCH('001_population_health_zone_zs'!$B$2,[1]ratio_ins!$B:$B,0))*$G296*INDEX([1]ratio_ins!$C:$C,MATCH('001_population_health_zone_zs'!$B296,[1]ratio_ins!$B:$B,0))</f>
        <v>8010.5022900000013</v>
      </c>
      <c r="K296" s="10">
        <f>INDEX([1]ratio_ins!I:I,MATCH('001_population_health_zone_zs'!$B$2,[1]ratio_ins!$B:$B,0))*$G296*INDEX([1]ratio_ins!$C:$C,MATCH('001_population_health_zone_zs'!$B296,[1]ratio_ins!$B:$B,0))</f>
        <v>4924.9754820000007</v>
      </c>
      <c r="L296" s="10">
        <f>INDEX([1]ratio_ins!J:J,MATCH('001_population_health_zone_zs'!$B$2,[1]ratio_ins!$B:$B,0))*$G296*INDEX([1]ratio_ins!$C:$C,MATCH('001_population_health_zone_zs'!$B296,[1]ratio_ins!$B:$B,0))</f>
        <v>2954.9852892000004</v>
      </c>
      <c r="M296" s="11">
        <f>INDEX([1]ratio_ins!K:K,MATCH('001_population_health_zone_zs'!$B$2,[1]ratio_ins!$B:$B,0))*$G296*INDEX([1]ratio_ins!$C:$C,MATCH('001_population_health_zone_zs'!$B296,[1]ratio_ins!$B:$B,0))</f>
        <v>33513.568099199998</v>
      </c>
      <c r="N296" s="10">
        <f>INDEX([1]ratio_ins!L:L,MATCH('001_population_health_zone_zs'!$B$2,[1]ratio_ins!$B:$B,0))*$G296*INDEX([1]ratio_ins!$C:$C,MATCH('001_population_health_zone_zs'!$B296,[1]ratio_ins!$B:$B,0))</f>
        <v>1969.9901928000002</v>
      </c>
      <c r="O296" s="10">
        <f>INDEX([1]ratio_ins!M:M,MATCH('001_population_health_zone_zs'!$B$2,[1]ratio_ins!$B:$B,0))*$G296*INDEX([1]ratio_ins!$C:$C,MATCH('001_population_health_zone_zs'!$B296,[1]ratio_ins!$B:$B,0))</f>
        <v>4272.2678880000012</v>
      </c>
      <c r="P296" s="10">
        <f>INDEX([1]ratio_ins!N:N,MATCH('001_population_health_zone_zs'!$B$2,[1]ratio_ins!$B:$B,0))*$G296*INDEX([1]ratio_ins!$C:$C,MATCH('001_population_health_zone_zs'!$B296,[1]ratio_ins!$B:$B,0))</f>
        <v>3856.9085100000007</v>
      </c>
      <c r="Q296" s="10">
        <f>INDEX([1]ratio_ins!O:O,MATCH('001_population_health_zone_zs'!$B$2,[1]ratio_ins!$B:$B,0))*$G296*INDEX([1]ratio_ins!$C:$C,MATCH('001_population_health_zone_zs'!$B296,[1]ratio_ins!$B:$B,0))</f>
        <v>3441.5491320000001</v>
      </c>
      <c r="R296" s="10">
        <f>INDEX([1]ratio_ins!P:P,MATCH('001_population_health_zone_zs'!$B$2,[1]ratio_ins!$B:$B,0))*$G296*INDEX([1]ratio_ins!$C:$C,MATCH('001_population_health_zone_zs'!$B296,[1]ratio_ins!$B:$B,0))</f>
        <v>3382.2120780000005</v>
      </c>
      <c r="S296" s="10">
        <f>INDEX([1]ratio_ins!Q:Q,MATCH('001_population_health_zone_zs'!$B$2,[1]ratio_ins!$B:$B,0))*$G296*INDEX([1]ratio_ins!$C:$C,MATCH('001_population_health_zone_zs'!$B296,[1]ratio_ins!$B:$B,0))</f>
        <v>2848.1785920000002</v>
      </c>
      <c r="T296" s="10">
        <f>INDEX([1]ratio_ins!R:R,MATCH('001_population_health_zone_zs'!$B$2,[1]ratio_ins!$B:$B,0))*$G296*INDEX([1]ratio_ins!$C:$C,MATCH('001_population_health_zone_zs'!$B296,[1]ratio_ins!$B:$B,0))</f>
        <v>2017.4598360000005</v>
      </c>
      <c r="U296" s="10">
        <f>INDEX([1]ratio_ins!S:S,MATCH('001_population_health_zone_zs'!$B$2,[1]ratio_ins!$B:$B,0))*$G296*INDEX([1]ratio_ins!$C:$C,MATCH('001_population_health_zone_zs'!$B296,[1]ratio_ins!$B:$B,0))</f>
        <v>1602.1004580000003</v>
      </c>
      <c r="V296" s="10">
        <f>INDEX([1]ratio_ins!T:T,MATCH('001_population_health_zone_zs'!$B$2,[1]ratio_ins!$B:$B,0))*$G296*INDEX([1]ratio_ins!$C:$C,MATCH('001_population_health_zone_zs'!$B296,[1]ratio_ins!$B:$B,0))</f>
        <v>890.05581000000006</v>
      </c>
      <c r="W296" s="11">
        <f>INDEX([1]ratio_ins!U:U,MATCH('001_population_health_zone_zs'!$B$2,[1]ratio_ins!$B:$B,0))*$G296*INDEX([1]ratio_ins!$C:$C,MATCH('001_population_health_zone_zs'!$B296,[1]ratio_ins!$B:$B,0))</f>
        <v>24280.722496800005</v>
      </c>
      <c r="X296" s="10">
        <f>INDEX([1]ratio_ins!V:V,MATCH('001_population_health_zone_zs'!$B$2,[1]ratio_ins!$B:$B,0))*$G296*INDEX([1]ratio_ins!$C:$C,MATCH('001_population_health_zone_zs'!$B296,[1]ratio_ins!$B:$B,0))</f>
        <v>712.04464800000005</v>
      </c>
      <c r="Y296" s="10">
        <f>INDEX([1]ratio_ins!W:W,MATCH('001_population_health_zone_zs'!$B$2,[1]ratio_ins!$B:$B,0))*$G296*INDEX([1]ratio_ins!$C:$C,MATCH('001_population_health_zone_zs'!$B296,[1]ratio_ins!$B:$B,0))</f>
        <v>474.69643200000002</v>
      </c>
      <c r="Z296" s="10">
        <f>INDEX([1]ratio_ins!X:X,MATCH('001_population_health_zone_zs'!$B$2,[1]ratio_ins!$B:$B,0))*$G296*INDEX([1]ratio_ins!$C:$C,MATCH('001_population_health_zone_zs'!$B296,[1]ratio_ins!$B:$B,0))</f>
        <v>237.34821600000001</v>
      </c>
      <c r="AA296" s="10">
        <f>INDEX([1]ratio_ins!Y:Y,MATCH('001_population_health_zone_zs'!$B$2,[1]ratio_ins!$B:$B,0))*$G296*INDEX([1]ratio_ins!$C:$C,MATCH('001_population_health_zone_zs'!$B296,[1]ratio_ins!$B:$B,0))</f>
        <v>118.674108</v>
      </c>
      <c r="AB296" s="11">
        <f>INDEX([1]ratio_ins!Z:Z,MATCH('001_population_health_zone_zs'!$B$2,[1]ratio_ins!$B:$B,0))*$G296*INDEX([1]ratio_ins!$C:$C,MATCH('001_population_health_zone_zs'!$B296,[1]ratio_ins!$B:$B,0))</f>
        <v>1542.7634040000003</v>
      </c>
      <c r="AC296" s="12">
        <f t="shared" si="24"/>
        <v>59337.054000000004</v>
      </c>
      <c r="AD296" s="10">
        <f>INDEX([1]ratio_ins!AA:AA,MATCH('001_population_health_zone_zs'!$B$2,[1]ratio_ins!$B:$B,0))*$G296*INDEX([1]ratio_ins!$D:$D,MATCH('001_population_health_zone_zs'!$B296,[1]ratio_ins!$B:$B,0))</f>
        <v>13126.03866</v>
      </c>
      <c r="AE296" s="10">
        <f>INDEX([1]ratio_ins!AB:AB,MATCH('001_population_health_zone_zs'!$B$2,[1]ratio_ins!$B:$B,0))*$G296*INDEX([1]ratio_ins!$D:$D,MATCH('001_population_health_zone_zs'!$B296,[1]ratio_ins!$B:$B,0))</f>
        <v>10813.355658</v>
      </c>
      <c r="AF296" s="10">
        <f>INDEX([1]ratio_ins!AC:AC,MATCH('001_population_health_zone_zs'!$B$2,[1]ratio_ins!$B:$B,0))*$G296*INDEX([1]ratio_ins!$D:$D,MATCH('001_population_health_zone_zs'!$B296,[1]ratio_ins!$B:$B,0))</f>
        <v>8563.1776019999998</v>
      </c>
      <c r="AG296" s="10">
        <f>INDEX([1]ratio_ins!AD:AD,MATCH('001_population_health_zone_zs'!$B$2,[1]ratio_ins!$B:$B,0))*$G296*INDEX([1]ratio_ins!$D:$D,MATCH('001_population_health_zone_zs'!$B296,[1]ratio_ins!$B:$B,0))</f>
        <v>5187.9105180000006</v>
      </c>
      <c r="AH296" s="10">
        <f>INDEX([1]ratio_ins!AE:AE,MATCH('001_population_health_zone_zs'!$B$2,[1]ratio_ins!$B:$B,0))*$G296*INDEX([1]ratio_ins!$D:$D,MATCH('001_population_health_zone_zs'!$B296,[1]ratio_ins!$B:$B,0))</f>
        <v>3112.7463108000002</v>
      </c>
      <c r="AI296" s="13">
        <f>INDEX([1]ratio_ins!AF:AF,MATCH('001_population_health_zone_zs'!$B$2,[1]ratio_ins!$B:$B,0))*$G296*INDEX([1]ratio_ins!$D:$D,MATCH('001_population_health_zone_zs'!$B296,[1]ratio_ins!$B:$B,0))</f>
        <v>35615.318230799996</v>
      </c>
      <c r="AJ296" s="10">
        <f>INDEX([1]ratio_ins!AG:AG,MATCH('001_population_health_zone_zs'!$B$2,[1]ratio_ins!$B:$B,0))*$G296*INDEX([1]ratio_ins!$D:$D,MATCH('001_population_health_zone_zs'!$B296,[1]ratio_ins!$B:$B,0))</f>
        <v>2075.1642072</v>
      </c>
      <c r="AK296" s="10">
        <f>INDEX([1]ratio_ins!AH:AH,MATCH('001_population_health_zone_zs'!$B$2,[1]ratio_ins!$B:$B,0))*$G296*INDEX([1]ratio_ins!$D:$D,MATCH('001_population_health_zone_zs'!$B296,[1]ratio_ins!$B:$B,0))</f>
        <v>4625.3660040000004</v>
      </c>
      <c r="AL296" s="10">
        <f>INDEX([1]ratio_ins!AI:AI,MATCH('001_population_health_zone_zs'!$B$2,[1]ratio_ins!$B:$B,0))*$G296*INDEX([1]ratio_ins!$D:$D,MATCH('001_population_health_zone_zs'!$B296,[1]ratio_ins!$B:$B,0))</f>
        <v>4375.3462200000004</v>
      </c>
      <c r="AM296" s="10">
        <f>INDEX([1]ratio_ins!AJ:AJ,MATCH('001_population_health_zone_zs'!$B$2,[1]ratio_ins!$B:$B,0))*$G296*INDEX([1]ratio_ins!$D:$D,MATCH('001_population_health_zone_zs'!$B296,[1]ratio_ins!$B:$B,0))</f>
        <v>4000.3165440000002</v>
      </c>
      <c r="AN296" s="10">
        <f>INDEX([1]ratio_ins!AK:AK,MATCH('001_population_health_zone_zs'!$B$2,[1]ratio_ins!$B:$B,0))*$G296*INDEX([1]ratio_ins!$D:$D,MATCH('001_population_health_zone_zs'!$B296,[1]ratio_ins!$B:$B,0))</f>
        <v>3750.2967599999997</v>
      </c>
      <c r="AO296" s="10">
        <f>INDEX([1]ratio_ins!AL:AL,MATCH('001_population_health_zone_zs'!$B$2,[1]ratio_ins!$B:$B,0))*$G296*INDEX([1]ratio_ins!$D:$D,MATCH('001_population_health_zone_zs'!$B296,[1]ratio_ins!$B:$B,0))</f>
        <v>2812.7225699999999</v>
      </c>
      <c r="AP296" s="10">
        <f>INDEX([1]ratio_ins!AM:AM,MATCH('001_population_health_zone_zs'!$B$2,[1]ratio_ins!$B:$B,0))*$G296*INDEX([1]ratio_ins!$D:$D,MATCH('001_population_health_zone_zs'!$B296,[1]ratio_ins!$B:$B,0))</f>
        <v>1812.6434339999998</v>
      </c>
      <c r="AQ296" s="10">
        <f>INDEX([1]ratio_ins!AN:AN,MATCH('001_population_health_zone_zs'!$B$2,[1]ratio_ins!$B:$B,0))*$G296*INDEX([1]ratio_ins!$D:$D,MATCH('001_population_health_zone_zs'!$B296,[1]ratio_ins!$B:$B,0))</f>
        <v>1437.613758</v>
      </c>
      <c r="AR296" s="10">
        <f>INDEX([1]ratio_ins!AO:AO,MATCH('001_population_health_zone_zs'!$B$2,[1]ratio_ins!$B:$B,0))*$G296*INDEX([1]ratio_ins!$D:$D,MATCH('001_population_health_zone_zs'!$B296,[1]ratio_ins!$B:$B,0))</f>
        <v>687.55440600000009</v>
      </c>
      <c r="AS296" s="13">
        <f>INDEX([1]ratio_ins!AP:AP,MATCH('001_population_health_zone_zs'!$B$2,[1]ratio_ins!$B:$B,0))*$G296*INDEX([1]ratio_ins!$D:$D,MATCH('001_population_health_zone_zs'!$B296,[1]ratio_ins!$B:$B,0))</f>
        <v>25577.023903200003</v>
      </c>
      <c r="AT296" s="10">
        <f>INDEX([1]ratio_ins!AQ:AQ,MATCH('001_population_health_zone_zs'!$B$2,[1]ratio_ins!$B:$B,0))*$G296*INDEX([1]ratio_ins!$D:$D,MATCH('001_population_health_zone_zs'!$B296,[1]ratio_ins!$B:$B,0))</f>
        <v>625.04946000000007</v>
      </c>
      <c r="AU296" s="10">
        <f>INDEX([1]ratio_ins!AR:AR,MATCH('001_population_health_zone_zs'!$B$2,[1]ratio_ins!$B:$B,0))*$G296*INDEX([1]ratio_ins!$D:$D,MATCH('001_population_health_zone_zs'!$B296,[1]ratio_ins!$B:$B,0))</f>
        <v>375.02967599999999</v>
      </c>
      <c r="AV296" s="10">
        <f>INDEX([1]ratio_ins!AS:AS,MATCH('001_population_health_zone_zs'!$B$2,[1]ratio_ins!$B:$B,0))*$G296*INDEX([1]ratio_ins!$D:$D,MATCH('001_population_health_zone_zs'!$B296,[1]ratio_ins!$B:$B,0))</f>
        <v>187.514838</v>
      </c>
      <c r="AW296" s="10">
        <f>INDEX([1]ratio_ins!AT:AT,MATCH('001_population_health_zone_zs'!$B$2,[1]ratio_ins!$B:$B,0))*$G296*INDEX([1]ratio_ins!$D:$D,MATCH('001_population_health_zone_zs'!$B296,[1]ratio_ins!$B:$B,0))</f>
        <v>125.00989200000001</v>
      </c>
      <c r="AX296" s="13">
        <f>INDEX([1]ratio_ins!AU:AU,MATCH('001_population_health_zone_zs'!$B$2,[1]ratio_ins!$B:$B,0))*$G296*INDEX([1]ratio_ins!$D:$D,MATCH('001_population_health_zone_zs'!$B296,[1]ratio_ins!$B:$B,0))</f>
        <v>1312.6038659999999</v>
      </c>
      <c r="AY296" s="14">
        <f t="shared" si="25"/>
        <v>62504.945999999996</v>
      </c>
      <c r="AZ296" s="15">
        <f t="shared" si="26"/>
        <v>121842</v>
      </c>
      <c r="BA296" s="16">
        <v>116902.91595311211</v>
      </c>
      <c r="BB296" s="10">
        <f t="shared" si="27"/>
        <v>26564.602050000005</v>
      </c>
      <c r="BC296" s="17">
        <f t="shared" si="28"/>
        <v>0.21802500000000005</v>
      </c>
      <c r="BD296" s="10">
        <f t="shared" si="29"/>
        <v>24743.551518000007</v>
      </c>
    </row>
    <row r="297" spans="1:56" x14ac:dyDescent="0.25">
      <c r="A297" s="8" t="s">
        <v>671</v>
      </c>
      <c r="B297" s="8" t="s">
        <v>672</v>
      </c>
      <c r="C297" s="8" t="s">
        <v>730</v>
      </c>
      <c r="D297" s="8" t="s">
        <v>731</v>
      </c>
      <c r="E297" s="8" t="s">
        <v>730</v>
      </c>
      <c r="F297" s="8" t="s">
        <v>732</v>
      </c>
      <c r="G297" s="9">
        <v>383424</v>
      </c>
      <c r="H297" s="10">
        <f>INDEX([1]ratio_ins!F:F,MATCH('001_population_health_zone_zs'!$B$2,[1]ratio_ins!$B:$B,0))*$G297*INDEX([1]ratio_ins!$C:$C,MATCH('001_population_health_zone_zs'!$B297,[1]ratio_ins!$B:$B,0))</f>
        <v>39026.044992000003</v>
      </c>
      <c r="I297" s="10">
        <f>INDEX([1]ratio_ins!G:G,MATCH('001_population_health_zone_zs'!$B$2,[1]ratio_ins!$B:$B,0))*$G297*INDEX([1]ratio_ins!$C:$C,MATCH('001_population_health_zone_zs'!$B297,[1]ratio_ins!$B:$B,0))</f>
        <v>31930.400448000004</v>
      </c>
      <c r="J297" s="10">
        <f>INDEX([1]ratio_ins!H:H,MATCH('001_population_health_zone_zs'!$B$2,[1]ratio_ins!$B:$B,0))*$G297*INDEX([1]ratio_ins!$C:$C,MATCH('001_population_health_zone_zs'!$B297,[1]ratio_ins!$B:$B,0))</f>
        <v>25208.210880000006</v>
      </c>
      <c r="K297" s="10">
        <f>INDEX([1]ratio_ins!I:I,MATCH('001_population_health_zone_zs'!$B$2,[1]ratio_ins!$B:$B,0))*$G297*INDEX([1]ratio_ins!$C:$C,MATCH('001_population_health_zone_zs'!$B297,[1]ratio_ins!$B:$B,0))</f>
        <v>15498.381504000003</v>
      </c>
      <c r="L297" s="10">
        <f>INDEX([1]ratio_ins!J:J,MATCH('001_population_health_zone_zs'!$B$2,[1]ratio_ins!$B:$B,0))*$G297*INDEX([1]ratio_ins!$C:$C,MATCH('001_population_health_zone_zs'!$B297,[1]ratio_ins!$B:$B,0))</f>
        <v>9299.0289023999994</v>
      </c>
      <c r="M297" s="11">
        <f>INDEX([1]ratio_ins!K:K,MATCH('001_population_health_zone_zs'!$B$2,[1]ratio_ins!$B:$B,0))*$G297*INDEX([1]ratio_ins!$C:$C,MATCH('001_population_health_zone_zs'!$B297,[1]ratio_ins!$B:$B,0))</f>
        <v>105463.6852224</v>
      </c>
      <c r="N297" s="10">
        <f>INDEX([1]ratio_ins!L:L,MATCH('001_population_health_zone_zs'!$B$2,[1]ratio_ins!$B:$B,0))*$G297*INDEX([1]ratio_ins!$C:$C,MATCH('001_population_health_zone_zs'!$B297,[1]ratio_ins!$B:$B,0))</f>
        <v>6199.3526016000005</v>
      </c>
      <c r="O297" s="10">
        <f>INDEX([1]ratio_ins!M:M,MATCH('001_population_health_zone_zs'!$B$2,[1]ratio_ins!$B:$B,0))*$G297*INDEX([1]ratio_ins!$C:$C,MATCH('001_population_health_zone_zs'!$B297,[1]ratio_ins!$B:$B,0))</f>
        <v>13444.379136000001</v>
      </c>
      <c r="P297" s="10">
        <f>INDEX([1]ratio_ins!N:N,MATCH('001_population_health_zone_zs'!$B$2,[1]ratio_ins!$B:$B,0))*$G297*INDEX([1]ratio_ins!$C:$C,MATCH('001_population_health_zone_zs'!$B297,[1]ratio_ins!$B:$B,0))</f>
        <v>12137.286720000002</v>
      </c>
      <c r="Q297" s="10">
        <f>INDEX([1]ratio_ins!O:O,MATCH('001_population_health_zone_zs'!$B$2,[1]ratio_ins!$B:$B,0))*$G297*INDEX([1]ratio_ins!$C:$C,MATCH('001_population_health_zone_zs'!$B297,[1]ratio_ins!$B:$B,0))</f>
        <v>10830.194303999999</v>
      </c>
      <c r="R297" s="10">
        <f>INDEX([1]ratio_ins!P:P,MATCH('001_population_health_zone_zs'!$B$2,[1]ratio_ins!$B:$B,0))*$G297*INDEX([1]ratio_ins!$C:$C,MATCH('001_population_health_zone_zs'!$B297,[1]ratio_ins!$B:$B,0))</f>
        <v>10643.466816000002</v>
      </c>
      <c r="S297" s="10">
        <f>INDEX([1]ratio_ins!Q:Q,MATCH('001_population_health_zone_zs'!$B$2,[1]ratio_ins!$B:$B,0))*$G297*INDEX([1]ratio_ins!$C:$C,MATCH('001_population_health_zone_zs'!$B297,[1]ratio_ins!$B:$B,0))</f>
        <v>8962.9194239999997</v>
      </c>
      <c r="T297" s="10">
        <f>INDEX([1]ratio_ins!R:R,MATCH('001_population_health_zone_zs'!$B$2,[1]ratio_ins!$B:$B,0))*$G297*INDEX([1]ratio_ins!$C:$C,MATCH('001_population_health_zone_zs'!$B297,[1]ratio_ins!$B:$B,0))</f>
        <v>6348.7345920000007</v>
      </c>
      <c r="U297" s="10">
        <f>INDEX([1]ratio_ins!S:S,MATCH('001_population_health_zone_zs'!$B$2,[1]ratio_ins!$B:$B,0))*$G297*INDEX([1]ratio_ins!$C:$C,MATCH('001_population_health_zone_zs'!$B297,[1]ratio_ins!$B:$B,0))</f>
        <v>5041.6421760000003</v>
      </c>
      <c r="V297" s="10">
        <f>INDEX([1]ratio_ins!T:T,MATCH('001_population_health_zone_zs'!$B$2,[1]ratio_ins!$B:$B,0))*$G297*INDEX([1]ratio_ins!$C:$C,MATCH('001_population_health_zone_zs'!$B297,[1]ratio_ins!$B:$B,0))</f>
        <v>2800.9123199999999</v>
      </c>
      <c r="W297" s="11">
        <f>INDEX([1]ratio_ins!U:U,MATCH('001_population_health_zone_zs'!$B$2,[1]ratio_ins!$B:$B,0))*$G297*INDEX([1]ratio_ins!$C:$C,MATCH('001_population_health_zone_zs'!$B297,[1]ratio_ins!$B:$B,0))</f>
        <v>76408.888089600019</v>
      </c>
      <c r="X297" s="10">
        <f>INDEX([1]ratio_ins!V:V,MATCH('001_population_health_zone_zs'!$B$2,[1]ratio_ins!$B:$B,0))*$G297*INDEX([1]ratio_ins!$C:$C,MATCH('001_population_health_zone_zs'!$B297,[1]ratio_ins!$B:$B,0))</f>
        <v>2240.7298559999999</v>
      </c>
      <c r="Y297" s="10">
        <f>INDEX([1]ratio_ins!W:W,MATCH('001_population_health_zone_zs'!$B$2,[1]ratio_ins!$B:$B,0))*$G297*INDEX([1]ratio_ins!$C:$C,MATCH('001_population_health_zone_zs'!$B297,[1]ratio_ins!$B:$B,0))</f>
        <v>1493.8199040000002</v>
      </c>
      <c r="Z297" s="10">
        <f>INDEX([1]ratio_ins!X:X,MATCH('001_population_health_zone_zs'!$B$2,[1]ratio_ins!$B:$B,0))*$G297*INDEX([1]ratio_ins!$C:$C,MATCH('001_population_health_zone_zs'!$B297,[1]ratio_ins!$B:$B,0))</f>
        <v>746.90995200000009</v>
      </c>
      <c r="AA297" s="10">
        <f>INDEX([1]ratio_ins!Y:Y,MATCH('001_population_health_zone_zs'!$B$2,[1]ratio_ins!$B:$B,0))*$G297*INDEX([1]ratio_ins!$C:$C,MATCH('001_population_health_zone_zs'!$B297,[1]ratio_ins!$B:$B,0))</f>
        <v>373.45497600000004</v>
      </c>
      <c r="AB297" s="11">
        <f>INDEX([1]ratio_ins!Z:Z,MATCH('001_population_health_zone_zs'!$B$2,[1]ratio_ins!$B:$B,0))*$G297*INDEX([1]ratio_ins!$C:$C,MATCH('001_population_health_zone_zs'!$B297,[1]ratio_ins!$B:$B,0))</f>
        <v>4854.9146880000008</v>
      </c>
      <c r="AC297" s="12">
        <f t="shared" si="24"/>
        <v>186727.48800000001</v>
      </c>
      <c r="AD297" s="10">
        <f>INDEX([1]ratio_ins!AA:AA,MATCH('001_population_health_zone_zs'!$B$2,[1]ratio_ins!$B:$B,0))*$G297*INDEX([1]ratio_ins!$D:$D,MATCH('001_population_health_zone_zs'!$B297,[1]ratio_ins!$B:$B,0))</f>
        <v>41306.267520000001</v>
      </c>
      <c r="AE297" s="10">
        <f>INDEX([1]ratio_ins!AB:AB,MATCH('001_population_health_zone_zs'!$B$2,[1]ratio_ins!$B:$B,0))*$G297*INDEX([1]ratio_ins!$D:$D,MATCH('001_population_health_zone_zs'!$B297,[1]ratio_ins!$B:$B,0))</f>
        <v>34028.496575999998</v>
      </c>
      <c r="AF297" s="10">
        <f>INDEX([1]ratio_ins!AC:AC,MATCH('001_population_health_zone_zs'!$B$2,[1]ratio_ins!$B:$B,0))*$G297*INDEX([1]ratio_ins!$D:$D,MATCH('001_population_health_zone_zs'!$B297,[1]ratio_ins!$B:$B,0))</f>
        <v>26947.422144</v>
      </c>
      <c r="AG297" s="10">
        <f>INDEX([1]ratio_ins!AD:AD,MATCH('001_population_health_zone_zs'!$B$2,[1]ratio_ins!$B:$B,0))*$G297*INDEX([1]ratio_ins!$D:$D,MATCH('001_population_health_zone_zs'!$B297,[1]ratio_ins!$B:$B,0))</f>
        <v>16325.810496000002</v>
      </c>
      <c r="AH297" s="10">
        <f>INDEX([1]ratio_ins!AE:AE,MATCH('001_population_health_zone_zs'!$B$2,[1]ratio_ins!$B:$B,0))*$G297*INDEX([1]ratio_ins!$D:$D,MATCH('001_population_health_zone_zs'!$B297,[1]ratio_ins!$B:$B,0))</f>
        <v>9795.4862975999986</v>
      </c>
      <c r="AI297" s="13">
        <f>INDEX([1]ratio_ins!AF:AF,MATCH('001_population_health_zone_zs'!$B$2,[1]ratio_ins!$B:$B,0))*$G297*INDEX([1]ratio_ins!$D:$D,MATCH('001_population_health_zone_zs'!$B297,[1]ratio_ins!$B:$B,0))</f>
        <v>112077.6725376</v>
      </c>
      <c r="AJ297" s="10">
        <f>INDEX([1]ratio_ins!AG:AG,MATCH('001_population_health_zone_zs'!$B$2,[1]ratio_ins!$B:$B,0))*$G297*INDEX([1]ratio_ins!$D:$D,MATCH('001_population_health_zone_zs'!$B297,[1]ratio_ins!$B:$B,0))</f>
        <v>6530.3241983999997</v>
      </c>
      <c r="AK297" s="10">
        <f>INDEX([1]ratio_ins!AH:AH,MATCH('001_population_health_zone_zs'!$B$2,[1]ratio_ins!$B:$B,0))*$G297*INDEX([1]ratio_ins!$D:$D,MATCH('001_population_health_zone_zs'!$B297,[1]ratio_ins!$B:$B,0))</f>
        <v>14555.541888000002</v>
      </c>
      <c r="AL297" s="10">
        <f>INDEX([1]ratio_ins!AI:AI,MATCH('001_population_health_zone_zs'!$B$2,[1]ratio_ins!$B:$B,0))*$G297*INDEX([1]ratio_ins!$D:$D,MATCH('001_population_health_zone_zs'!$B297,[1]ratio_ins!$B:$B,0))</f>
        <v>13768.755840000002</v>
      </c>
      <c r="AM297" s="10">
        <f>INDEX([1]ratio_ins!AJ:AJ,MATCH('001_population_health_zone_zs'!$B$2,[1]ratio_ins!$B:$B,0))*$G297*INDEX([1]ratio_ins!$D:$D,MATCH('001_population_health_zone_zs'!$B297,[1]ratio_ins!$B:$B,0))</f>
        <v>12588.576768000001</v>
      </c>
      <c r="AN297" s="10">
        <f>INDEX([1]ratio_ins!AK:AK,MATCH('001_population_health_zone_zs'!$B$2,[1]ratio_ins!$B:$B,0))*$G297*INDEX([1]ratio_ins!$D:$D,MATCH('001_population_health_zone_zs'!$B297,[1]ratio_ins!$B:$B,0))</f>
        <v>11801.790719999999</v>
      </c>
      <c r="AO297" s="10">
        <f>INDEX([1]ratio_ins!AL:AL,MATCH('001_population_health_zone_zs'!$B$2,[1]ratio_ins!$B:$B,0))*$G297*INDEX([1]ratio_ins!$D:$D,MATCH('001_population_health_zone_zs'!$B297,[1]ratio_ins!$B:$B,0))</f>
        <v>8851.3430399999997</v>
      </c>
      <c r="AP297" s="10">
        <f>INDEX([1]ratio_ins!AM:AM,MATCH('001_population_health_zone_zs'!$B$2,[1]ratio_ins!$B:$B,0))*$G297*INDEX([1]ratio_ins!$D:$D,MATCH('001_population_health_zone_zs'!$B297,[1]ratio_ins!$B:$B,0))</f>
        <v>5704.1988479999991</v>
      </c>
      <c r="AQ297" s="10">
        <f>INDEX([1]ratio_ins!AN:AN,MATCH('001_population_health_zone_zs'!$B$2,[1]ratio_ins!$B:$B,0))*$G297*INDEX([1]ratio_ins!$D:$D,MATCH('001_population_health_zone_zs'!$B297,[1]ratio_ins!$B:$B,0))</f>
        <v>4524.0197760000001</v>
      </c>
      <c r="AR297" s="10">
        <f>INDEX([1]ratio_ins!AO:AO,MATCH('001_population_health_zone_zs'!$B$2,[1]ratio_ins!$B:$B,0))*$G297*INDEX([1]ratio_ins!$D:$D,MATCH('001_population_health_zone_zs'!$B297,[1]ratio_ins!$B:$B,0))</f>
        <v>2163.6616320000003</v>
      </c>
      <c r="AS297" s="13">
        <f>INDEX([1]ratio_ins!AP:AP,MATCH('001_population_health_zone_zs'!$B$2,[1]ratio_ins!$B:$B,0))*$G297*INDEX([1]ratio_ins!$D:$D,MATCH('001_population_health_zone_zs'!$B297,[1]ratio_ins!$B:$B,0))</f>
        <v>80488.21271040001</v>
      </c>
      <c r="AT297" s="10">
        <f>INDEX([1]ratio_ins!AQ:AQ,MATCH('001_population_health_zone_zs'!$B$2,[1]ratio_ins!$B:$B,0))*$G297*INDEX([1]ratio_ins!$D:$D,MATCH('001_population_health_zone_zs'!$B297,[1]ratio_ins!$B:$B,0))</f>
        <v>1966.9651200000001</v>
      </c>
      <c r="AU297" s="10">
        <f>INDEX([1]ratio_ins!AR:AR,MATCH('001_population_health_zone_zs'!$B$2,[1]ratio_ins!$B:$B,0))*$G297*INDEX([1]ratio_ins!$D:$D,MATCH('001_population_health_zone_zs'!$B297,[1]ratio_ins!$B:$B,0))</f>
        <v>1180.1790719999999</v>
      </c>
      <c r="AV297" s="10">
        <f>INDEX([1]ratio_ins!AS:AS,MATCH('001_population_health_zone_zs'!$B$2,[1]ratio_ins!$B:$B,0))*$G297*INDEX([1]ratio_ins!$D:$D,MATCH('001_population_health_zone_zs'!$B297,[1]ratio_ins!$B:$B,0))</f>
        <v>590.08953599999995</v>
      </c>
      <c r="AW297" s="10">
        <f>INDEX([1]ratio_ins!AT:AT,MATCH('001_population_health_zone_zs'!$B$2,[1]ratio_ins!$B:$B,0))*$G297*INDEX([1]ratio_ins!$D:$D,MATCH('001_population_health_zone_zs'!$B297,[1]ratio_ins!$B:$B,0))</f>
        <v>393.39302400000003</v>
      </c>
      <c r="AX297" s="13">
        <f>INDEX([1]ratio_ins!AU:AU,MATCH('001_population_health_zone_zs'!$B$2,[1]ratio_ins!$B:$B,0))*$G297*INDEX([1]ratio_ins!$D:$D,MATCH('001_population_health_zone_zs'!$B297,[1]ratio_ins!$B:$B,0))</f>
        <v>4130.6267520000001</v>
      </c>
      <c r="AY297" s="14">
        <f t="shared" si="25"/>
        <v>196696.51200000002</v>
      </c>
      <c r="AZ297" s="15">
        <f t="shared" si="26"/>
        <v>383424</v>
      </c>
      <c r="BA297" s="16">
        <v>367882.11973513884</v>
      </c>
      <c r="BB297" s="10">
        <f t="shared" si="27"/>
        <v>83596.017599999992</v>
      </c>
      <c r="BC297" s="17">
        <f t="shared" si="28"/>
        <v>0.21802499999999997</v>
      </c>
      <c r="BD297" s="10">
        <f t="shared" si="29"/>
        <v>77865.362495999987</v>
      </c>
    </row>
    <row r="298" spans="1:56" x14ac:dyDescent="0.25">
      <c r="A298" s="8" t="s">
        <v>671</v>
      </c>
      <c r="B298" s="8" t="s">
        <v>672</v>
      </c>
      <c r="C298" s="8" t="s">
        <v>733</v>
      </c>
      <c r="D298" s="8" t="s">
        <v>734</v>
      </c>
      <c r="E298" s="8" t="s">
        <v>733</v>
      </c>
      <c r="F298" s="8" t="s">
        <v>735</v>
      </c>
      <c r="G298" s="9">
        <v>317019</v>
      </c>
      <c r="H298" s="10">
        <f>INDEX([1]ratio_ins!F:F,MATCH('001_population_health_zone_zs'!$B$2,[1]ratio_ins!$B:$B,0))*$G298*INDEX([1]ratio_ins!$C:$C,MATCH('001_population_health_zone_zs'!$B298,[1]ratio_ins!$B:$B,0))</f>
        <v>32267.144876999999</v>
      </c>
      <c r="I298" s="10">
        <f>INDEX([1]ratio_ins!G:G,MATCH('001_population_health_zone_zs'!$B$2,[1]ratio_ins!$B:$B,0))*$G298*INDEX([1]ratio_ins!$C:$C,MATCH('001_population_health_zone_zs'!$B298,[1]ratio_ins!$B:$B,0))</f>
        <v>26400.391263000005</v>
      </c>
      <c r="J298" s="10">
        <f>INDEX([1]ratio_ins!H:H,MATCH('001_population_health_zone_zs'!$B$2,[1]ratio_ins!$B:$B,0))*$G298*INDEX([1]ratio_ins!$C:$C,MATCH('001_population_health_zone_zs'!$B298,[1]ratio_ins!$B:$B,0))</f>
        <v>20842.414155000002</v>
      </c>
      <c r="K298" s="10">
        <f>INDEX([1]ratio_ins!I:I,MATCH('001_population_health_zone_zs'!$B$2,[1]ratio_ins!$B:$B,0))*$G298*INDEX([1]ratio_ins!$C:$C,MATCH('001_population_health_zone_zs'!$B298,[1]ratio_ins!$B:$B,0))</f>
        <v>12814.224999000002</v>
      </c>
      <c r="L298" s="10">
        <f>INDEX([1]ratio_ins!J:J,MATCH('001_population_health_zone_zs'!$B$2,[1]ratio_ins!$B:$B,0))*$G298*INDEX([1]ratio_ins!$C:$C,MATCH('001_population_health_zone_zs'!$B298,[1]ratio_ins!$B:$B,0))</f>
        <v>7688.5349993999998</v>
      </c>
      <c r="M298" s="11">
        <f>INDEX([1]ratio_ins!K:K,MATCH('001_population_health_zone_zs'!$B$2,[1]ratio_ins!$B:$B,0))*$G298*INDEX([1]ratio_ins!$C:$C,MATCH('001_population_health_zone_zs'!$B298,[1]ratio_ins!$B:$B,0))</f>
        <v>87198.485294400001</v>
      </c>
      <c r="N298" s="10">
        <f>INDEX([1]ratio_ins!L:L,MATCH('001_population_health_zone_zs'!$B$2,[1]ratio_ins!$B:$B,0))*$G298*INDEX([1]ratio_ins!$C:$C,MATCH('001_population_health_zone_zs'!$B298,[1]ratio_ins!$B:$B,0))</f>
        <v>5125.6899996000011</v>
      </c>
      <c r="O298" s="10">
        <f>INDEX([1]ratio_ins!M:M,MATCH('001_population_health_zone_zs'!$B$2,[1]ratio_ins!$B:$B,0))*$G298*INDEX([1]ratio_ins!$C:$C,MATCH('001_population_health_zone_zs'!$B298,[1]ratio_ins!$B:$B,0))</f>
        <v>11115.954216000002</v>
      </c>
      <c r="P298" s="10">
        <f>INDEX([1]ratio_ins!N:N,MATCH('001_population_health_zone_zs'!$B$2,[1]ratio_ins!$B:$B,0))*$G298*INDEX([1]ratio_ins!$C:$C,MATCH('001_population_health_zone_zs'!$B298,[1]ratio_ins!$B:$B,0))</f>
        <v>10035.236445</v>
      </c>
      <c r="Q298" s="10">
        <f>INDEX([1]ratio_ins!O:O,MATCH('001_population_health_zone_zs'!$B$2,[1]ratio_ins!$B:$B,0))*$G298*INDEX([1]ratio_ins!$C:$C,MATCH('001_population_health_zone_zs'!$B298,[1]ratio_ins!$B:$B,0))</f>
        <v>8954.5186740000008</v>
      </c>
      <c r="R298" s="10">
        <f>INDEX([1]ratio_ins!P:P,MATCH('001_population_health_zone_zs'!$B$2,[1]ratio_ins!$B:$B,0))*$G298*INDEX([1]ratio_ins!$C:$C,MATCH('001_population_health_zone_zs'!$B298,[1]ratio_ins!$B:$B,0))</f>
        <v>8800.1304210000017</v>
      </c>
      <c r="S298" s="10">
        <f>INDEX([1]ratio_ins!Q:Q,MATCH('001_population_health_zone_zs'!$B$2,[1]ratio_ins!$B:$B,0))*$G298*INDEX([1]ratio_ins!$C:$C,MATCH('001_population_health_zone_zs'!$B298,[1]ratio_ins!$B:$B,0))</f>
        <v>7410.636144000001</v>
      </c>
      <c r="T298" s="10">
        <f>INDEX([1]ratio_ins!R:R,MATCH('001_population_health_zone_zs'!$B$2,[1]ratio_ins!$B:$B,0))*$G298*INDEX([1]ratio_ins!$C:$C,MATCH('001_population_health_zone_zs'!$B298,[1]ratio_ins!$B:$B,0))</f>
        <v>5249.2006020000008</v>
      </c>
      <c r="U298" s="10">
        <f>INDEX([1]ratio_ins!S:S,MATCH('001_population_health_zone_zs'!$B$2,[1]ratio_ins!$B:$B,0))*$G298*INDEX([1]ratio_ins!$C:$C,MATCH('001_population_health_zone_zs'!$B298,[1]ratio_ins!$B:$B,0))</f>
        <v>4168.4828310000012</v>
      </c>
      <c r="V298" s="10">
        <f>INDEX([1]ratio_ins!T:T,MATCH('001_population_health_zone_zs'!$B$2,[1]ratio_ins!$B:$B,0))*$G298*INDEX([1]ratio_ins!$C:$C,MATCH('001_population_health_zone_zs'!$B298,[1]ratio_ins!$B:$B,0))</f>
        <v>2315.8237950000002</v>
      </c>
      <c r="W298" s="11">
        <f>INDEX([1]ratio_ins!U:U,MATCH('001_population_health_zone_zs'!$B$2,[1]ratio_ins!$B:$B,0))*$G298*INDEX([1]ratio_ins!$C:$C,MATCH('001_population_health_zone_zs'!$B298,[1]ratio_ins!$B:$B,0))</f>
        <v>63175.673127600006</v>
      </c>
      <c r="X298" s="10">
        <f>INDEX([1]ratio_ins!V:V,MATCH('001_population_health_zone_zs'!$B$2,[1]ratio_ins!$B:$B,0))*$G298*INDEX([1]ratio_ins!$C:$C,MATCH('001_population_health_zone_zs'!$B298,[1]ratio_ins!$B:$B,0))</f>
        <v>1852.6590360000002</v>
      </c>
      <c r="Y298" s="10">
        <f>INDEX([1]ratio_ins!W:W,MATCH('001_population_health_zone_zs'!$B$2,[1]ratio_ins!$B:$B,0))*$G298*INDEX([1]ratio_ins!$C:$C,MATCH('001_population_health_zone_zs'!$B298,[1]ratio_ins!$B:$B,0))</f>
        <v>1235.1060240000002</v>
      </c>
      <c r="Z298" s="10">
        <f>INDEX([1]ratio_ins!X:X,MATCH('001_population_health_zone_zs'!$B$2,[1]ratio_ins!$B:$B,0))*$G298*INDEX([1]ratio_ins!$C:$C,MATCH('001_population_health_zone_zs'!$B298,[1]ratio_ins!$B:$B,0))</f>
        <v>617.55301200000008</v>
      </c>
      <c r="AA298" s="10">
        <f>INDEX([1]ratio_ins!Y:Y,MATCH('001_population_health_zone_zs'!$B$2,[1]ratio_ins!$B:$B,0))*$G298*INDEX([1]ratio_ins!$C:$C,MATCH('001_population_health_zone_zs'!$B298,[1]ratio_ins!$B:$B,0))</f>
        <v>308.77650600000004</v>
      </c>
      <c r="AB298" s="11">
        <f>INDEX([1]ratio_ins!Z:Z,MATCH('001_population_health_zone_zs'!$B$2,[1]ratio_ins!$B:$B,0))*$G298*INDEX([1]ratio_ins!$C:$C,MATCH('001_population_health_zone_zs'!$B298,[1]ratio_ins!$B:$B,0))</f>
        <v>4014.0945780000006</v>
      </c>
      <c r="AC298" s="12">
        <f t="shared" si="24"/>
        <v>154388.253</v>
      </c>
      <c r="AD298" s="10">
        <f>INDEX([1]ratio_ins!AA:AA,MATCH('001_population_health_zone_zs'!$B$2,[1]ratio_ins!$B:$B,0))*$G298*INDEX([1]ratio_ins!$D:$D,MATCH('001_population_health_zone_zs'!$B298,[1]ratio_ins!$B:$B,0))</f>
        <v>34152.456869999995</v>
      </c>
      <c r="AE298" s="10">
        <f>INDEX([1]ratio_ins!AB:AB,MATCH('001_population_health_zone_zs'!$B$2,[1]ratio_ins!$B:$B,0))*$G298*INDEX([1]ratio_ins!$D:$D,MATCH('001_population_health_zone_zs'!$B298,[1]ratio_ins!$B:$B,0))</f>
        <v>28135.119231000004</v>
      </c>
      <c r="AF298" s="10">
        <f>INDEX([1]ratio_ins!AC:AC,MATCH('001_population_health_zone_zs'!$B$2,[1]ratio_ins!$B:$B,0))*$G298*INDEX([1]ratio_ins!$D:$D,MATCH('001_population_health_zone_zs'!$B298,[1]ratio_ins!$B:$B,0))</f>
        <v>22280.412338999999</v>
      </c>
      <c r="AG298" s="10">
        <f>INDEX([1]ratio_ins!AD:AD,MATCH('001_population_health_zone_zs'!$B$2,[1]ratio_ins!$B:$B,0))*$G298*INDEX([1]ratio_ins!$D:$D,MATCH('001_population_health_zone_zs'!$B298,[1]ratio_ins!$B:$B,0))</f>
        <v>13498.352001000001</v>
      </c>
      <c r="AH298" s="10">
        <f>INDEX([1]ratio_ins!AE:AE,MATCH('001_population_health_zone_zs'!$B$2,[1]ratio_ins!$B:$B,0))*$G298*INDEX([1]ratio_ins!$D:$D,MATCH('001_population_health_zone_zs'!$B298,[1]ratio_ins!$B:$B,0))</f>
        <v>8099.0112005999999</v>
      </c>
      <c r="AI298" s="13">
        <f>INDEX([1]ratio_ins!AF:AF,MATCH('001_population_health_zone_zs'!$B$2,[1]ratio_ins!$B:$B,0))*$G298*INDEX([1]ratio_ins!$D:$D,MATCH('001_population_health_zone_zs'!$B298,[1]ratio_ins!$B:$B,0))</f>
        <v>92666.999640599999</v>
      </c>
      <c r="AJ298" s="10">
        <f>INDEX([1]ratio_ins!AG:AG,MATCH('001_population_health_zone_zs'!$B$2,[1]ratio_ins!$B:$B,0))*$G298*INDEX([1]ratio_ins!$D:$D,MATCH('001_population_health_zone_zs'!$B298,[1]ratio_ins!$B:$B,0))</f>
        <v>5399.3408004000003</v>
      </c>
      <c r="AK298" s="10">
        <f>INDEX([1]ratio_ins!AH:AH,MATCH('001_population_health_zone_zs'!$B$2,[1]ratio_ins!$B:$B,0))*$G298*INDEX([1]ratio_ins!$D:$D,MATCH('001_population_health_zone_zs'!$B298,[1]ratio_ins!$B:$B,0))</f>
        <v>12034.675278000002</v>
      </c>
      <c r="AL298" s="10">
        <f>INDEX([1]ratio_ins!AI:AI,MATCH('001_population_health_zone_zs'!$B$2,[1]ratio_ins!$B:$B,0))*$G298*INDEX([1]ratio_ins!$D:$D,MATCH('001_population_health_zone_zs'!$B298,[1]ratio_ins!$B:$B,0))</f>
        <v>11384.152290000002</v>
      </c>
      <c r="AM298" s="10">
        <f>INDEX([1]ratio_ins!AJ:AJ,MATCH('001_population_health_zone_zs'!$B$2,[1]ratio_ins!$B:$B,0))*$G298*INDEX([1]ratio_ins!$D:$D,MATCH('001_population_health_zone_zs'!$B298,[1]ratio_ins!$B:$B,0))</f>
        <v>10408.367808000001</v>
      </c>
      <c r="AN298" s="10">
        <f>INDEX([1]ratio_ins!AK:AK,MATCH('001_population_health_zone_zs'!$B$2,[1]ratio_ins!$B:$B,0))*$G298*INDEX([1]ratio_ins!$D:$D,MATCH('001_population_health_zone_zs'!$B298,[1]ratio_ins!$B:$B,0))</f>
        <v>9757.8448200000003</v>
      </c>
      <c r="AO298" s="10">
        <f>INDEX([1]ratio_ins!AL:AL,MATCH('001_population_health_zone_zs'!$B$2,[1]ratio_ins!$B:$B,0))*$G298*INDEX([1]ratio_ins!$D:$D,MATCH('001_population_health_zone_zs'!$B298,[1]ratio_ins!$B:$B,0))</f>
        <v>7318.3836149999997</v>
      </c>
      <c r="AP298" s="10">
        <f>INDEX([1]ratio_ins!AM:AM,MATCH('001_population_health_zone_zs'!$B$2,[1]ratio_ins!$B:$B,0))*$G298*INDEX([1]ratio_ins!$D:$D,MATCH('001_population_health_zone_zs'!$B298,[1]ratio_ins!$B:$B,0))</f>
        <v>4716.291663</v>
      </c>
      <c r="AQ298" s="10">
        <f>INDEX([1]ratio_ins!AN:AN,MATCH('001_population_health_zone_zs'!$B$2,[1]ratio_ins!$B:$B,0))*$G298*INDEX([1]ratio_ins!$D:$D,MATCH('001_population_health_zone_zs'!$B298,[1]ratio_ins!$B:$B,0))</f>
        <v>3740.5071809999999</v>
      </c>
      <c r="AR298" s="10">
        <f>INDEX([1]ratio_ins!AO:AO,MATCH('001_population_health_zone_zs'!$B$2,[1]ratio_ins!$B:$B,0))*$G298*INDEX([1]ratio_ins!$D:$D,MATCH('001_population_health_zone_zs'!$B298,[1]ratio_ins!$B:$B,0))</f>
        <v>1788.9382170000001</v>
      </c>
      <c r="AS298" s="13">
        <f>INDEX([1]ratio_ins!AP:AP,MATCH('001_population_health_zone_zs'!$B$2,[1]ratio_ins!$B:$B,0))*$G298*INDEX([1]ratio_ins!$D:$D,MATCH('001_population_health_zone_zs'!$B298,[1]ratio_ins!$B:$B,0))</f>
        <v>66548.501672400002</v>
      </c>
      <c r="AT298" s="10">
        <f>INDEX([1]ratio_ins!AQ:AQ,MATCH('001_population_health_zone_zs'!$B$2,[1]ratio_ins!$B:$B,0))*$G298*INDEX([1]ratio_ins!$D:$D,MATCH('001_population_health_zone_zs'!$B298,[1]ratio_ins!$B:$B,0))</f>
        <v>1626.30747</v>
      </c>
      <c r="AU298" s="10">
        <f>INDEX([1]ratio_ins!AR:AR,MATCH('001_population_health_zone_zs'!$B$2,[1]ratio_ins!$B:$B,0))*$G298*INDEX([1]ratio_ins!$D:$D,MATCH('001_population_health_zone_zs'!$B298,[1]ratio_ins!$B:$B,0))</f>
        <v>975.78448200000003</v>
      </c>
      <c r="AV298" s="10">
        <f>INDEX([1]ratio_ins!AS:AS,MATCH('001_population_health_zone_zs'!$B$2,[1]ratio_ins!$B:$B,0))*$G298*INDEX([1]ratio_ins!$D:$D,MATCH('001_population_health_zone_zs'!$B298,[1]ratio_ins!$B:$B,0))</f>
        <v>487.89224100000001</v>
      </c>
      <c r="AW298" s="10">
        <f>INDEX([1]ratio_ins!AT:AT,MATCH('001_population_health_zone_zs'!$B$2,[1]ratio_ins!$B:$B,0))*$G298*INDEX([1]ratio_ins!$D:$D,MATCH('001_population_health_zone_zs'!$B298,[1]ratio_ins!$B:$B,0))</f>
        <v>325.26149400000003</v>
      </c>
      <c r="AX298" s="13">
        <f>INDEX([1]ratio_ins!AU:AU,MATCH('001_population_health_zone_zs'!$B$2,[1]ratio_ins!$B:$B,0))*$G298*INDEX([1]ratio_ins!$D:$D,MATCH('001_population_health_zone_zs'!$B298,[1]ratio_ins!$B:$B,0))</f>
        <v>3415.2456869999996</v>
      </c>
      <c r="AY298" s="14">
        <f t="shared" si="25"/>
        <v>162630.74699999997</v>
      </c>
      <c r="AZ298" s="15">
        <f t="shared" si="26"/>
        <v>317019</v>
      </c>
      <c r="BA298" s="16">
        <v>304169.38443326432</v>
      </c>
      <c r="BB298" s="10">
        <f t="shared" si="27"/>
        <v>69118.067475000003</v>
      </c>
      <c r="BC298" s="17">
        <f t="shared" si="28"/>
        <v>0.21802500000000002</v>
      </c>
      <c r="BD298" s="10">
        <f t="shared" si="29"/>
        <v>64379.901501000015</v>
      </c>
    </row>
    <row r="299" spans="1:56" x14ac:dyDescent="0.25">
      <c r="A299" s="8" t="s">
        <v>671</v>
      </c>
      <c r="B299" s="8" t="s">
        <v>672</v>
      </c>
      <c r="C299" s="8" t="s">
        <v>733</v>
      </c>
      <c r="D299" s="8" t="s">
        <v>734</v>
      </c>
      <c r="E299" s="8" t="s">
        <v>736</v>
      </c>
      <c r="F299" s="8" t="s">
        <v>737</v>
      </c>
      <c r="G299" s="9">
        <v>412436</v>
      </c>
      <c r="H299" s="10">
        <f>INDEX([1]ratio_ins!F:F,MATCH('001_population_health_zone_zs'!$B$2,[1]ratio_ins!$B:$B,0))*$G299*INDEX([1]ratio_ins!$C:$C,MATCH('001_population_health_zone_zs'!$B299,[1]ratio_ins!$B:$B,0))</f>
        <v>41978.973387999999</v>
      </c>
      <c r="I299" s="10">
        <f>INDEX([1]ratio_ins!G:G,MATCH('001_population_health_zone_zs'!$B$2,[1]ratio_ins!$B:$B,0))*$G299*INDEX([1]ratio_ins!$C:$C,MATCH('001_population_health_zone_zs'!$B299,[1]ratio_ins!$B:$B,0))</f>
        <v>34346.432772000007</v>
      </c>
      <c r="J299" s="10">
        <f>INDEX([1]ratio_ins!H:H,MATCH('001_population_health_zone_zs'!$B$2,[1]ratio_ins!$B:$B,0))*$G299*INDEX([1]ratio_ins!$C:$C,MATCH('001_population_health_zone_zs'!$B299,[1]ratio_ins!$B:$B,0))</f>
        <v>27115.604820000004</v>
      </c>
      <c r="K299" s="10">
        <f>INDEX([1]ratio_ins!I:I,MATCH('001_population_health_zone_zs'!$B$2,[1]ratio_ins!$B:$B,0))*$G299*INDEX([1]ratio_ins!$C:$C,MATCH('001_population_health_zone_zs'!$B299,[1]ratio_ins!$B:$B,0))</f>
        <v>16671.075556000003</v>
      </c>
      <c r="L299" s="10">
        <f>INDEX([1]ratio_ins!J:J,MATCH('001_population_health_zone_zs'!$B$2,[1]ratio_ins!$B:$B,0))*$G299*INDEX([1]ratio_ins!$C:$C,MATCH('001_population_health_zone_zs'!$B299,[1]ratio_ins!$B:$B,0))</f>
        <v>10002.645333600001</v>
      </c>
      <c r="M299" s="11">
        <f>INDEX([1]ratio_ins!K:K,MATCH('001_population_health_zone_zs'!$B$2,[1]ratio_ins!$B:$B,0))*$G299*INDEX([1]ratio_ins!$C:$C,MATCH('001_population_health_zone_zs'!$B299,[1]ratio_ins!$B:$B,0))</f>
        <v>113443.6563136</v>
      </c>
      <c r="N299" s="10">
        <f>INDEX([1]ratio_ins!L:L,MATCH('001_population_health_zone_zs'!$B$2,[1]ratio_ins!$B:$B,0))*$G299*INDEX([1]ratio_ins!$C:$C,MATCH('001_population_health_zone_zs'!$B299,[1]ratio_ins!$B:$B,0))</f>
        <v>6668.4302224000012</v>
      </c>
      <c r="O299" s="10">
        <f>INDEX([1]ratio_ins!M:M,MATCH('001_population_health_zone_zs'!$B$2,[1]ratio_ins!$B:$B,0))*$G299*INDEX([1]ratio_ins!$C:$C,MATCH('001_population_health_zone_zs'!$B299,[1]ratio_ins!$B:$B,0))</f>
        <v>14461.655904000003</v>
      </c>
      <c r="P299" s="10">
        <f>INDEX([1]ratio_ins!N:N,MATCH('001_population_health_zone_zs'!$B$2,[1]ratio_ins!$B:$B,0))*$G299*INDEX([1]ratio_ins!$C:$C,MATCH('001_population_health_zone_zs'!$B299,[1]ratio_ins!$B:$B,0))</f>
        <v>13055.661580000002</v>
      </c>
      <c r="Q299" s="10">
        <f>INDEX([1]ratio_ins!O:O,MATCH('001_population_health_zone_zs'!$B$2,[1]ratio_ins!$B:$B,0))*$G299*INDEX([1]ratio_ins!$C:$C,MATCH('001_population_health_zone_zs'!$B299,[1]ratio_ins!$B:$B,0))</f>
        <v>11649.667255999999</v>
      </c>
      <c r="R299" s="10">
        <f>INDEX([1]ratio_ins!P:P,MATCH('001_population_health_zone_zs'!$B$2,[1]ratio_ins!$B:$B,0))*$G299*INDEX([1]ratio_ins!$C:$C,MATCH('001_population_health_zone_zs'!$B299,[1]ratio_ins!$B:$B,0))</f>
        <v>11448.810924000003</v>
      </c>
      <c r="S299" s="10">
        <f>INDEX([1]ratio_ins!Q:Q,MATCH('001_population_health_zone_zs'!$B$2,[1]ratio_ins!$B:$B,0))*$G299*INDEX([1]ratio_ins!$C:$C,MATCH('001_population_health_zone_zs'!$B299,[1]ratio_ins!$B:$B,0))</f>
        <v>9641.1039360000013</v>
      </c>
      <c r="T299" s="10">
        <f>INDEX([1]ratio_ins!R:R,MATCH('001_population_health_zone_zs'!$B$2,[1]ratio_ins!$B:$B,0))*$G299*INDEX([1]ratio_ins!$C:$C,MATCH('001_population_health_zone_zs'!$B299,[1]ratio_ins!$B:$B,0))</f>
        <v>6829.1152880000009</v>
      </c>
      <c r="U299" s="10">
        <f>INDEX([1]ratio_ins!S:S,MATCH('001_population_health_zone_zs'!$B$2,[1]ratio_ins!$B:$B,0))*$G299*INDEX([1]ratio_ins!$C:$C,MATCH('001_population_health_zone_zs'!$B299,[1]ratio_ins!$B:$B,0))</f>
        <v>5423.1209640000006</v>
      </c>
      <c r="V299" s="10">
        <f>INDEX([1]ratio_ins!T:T,MATCH('001_population_health_zone_zs'!$B$2,[1]ratio_ins!$B:$B,0))*$G299*INDEX([1]ratio_ins!$C:$C,MATCH('001_population_health_zone_zs'!$B299,[1]ratio_ins!$B:$B,0))</f>
        <v>3012.8449800000003</v>
      </c>
      <c r="W299" s="11">
        <f>INDEX([1]ratio_ins!U:U,MATCH('001_population_health_zone_zs'!$B$2,[1]ratio_ins!$B:$B,0))*$G299*INDEX([1]ratio_ins!$C:$C,MATCH('001_population_health_zone_zs'!$B299,[1]ratio_ins!$B:$B,0))</f>
        <v>82190.4110544</v>
      </c>
      <c r="X299" s="10">
        <f>INDEX([1]ratio_ins!V:V,MATCH('001_population_health_zone_zs'!$B$2,[1]ratio_ins!$B:$B,0))*$G299*INDEX([1]ratio_ins!$C:$C,MATCH('001_population_health_zone_zs'!$B299,[1]ratio_ins!$B:$B,0))</f>
        <v>2410.2759840000003</v>
      </c>
      <c r="Y299" s="10">
        <f>INDEX([1]ratio_ins!W:W,MATCH('001_population_health_zone_zs'!$B$2,[1]ratio_ins!$B:$B,0))*$G299*INDEX([1]ratio_ins!$C:$C,MATCH('001_population_health_zone_zs'!$B299,[1]ratio_ins!$B:$B,0))</f>
        <v>1606.8506560000003</v>
      </c>
      <c r="Z299" s="10">
        <f>INDEX([1]ratio_ins!X:X,MATCH('001_population_health_zone_zs'!$B$2,[1]ratio_ins!$B:$B,0))*$G299*INDEX([1]ratio_ins!$C:$C,MATCH('001_population_health_zone_zs'!$B299,[1]ratio_ins!$B:$B,0))</f>
        <v>803.42532800000015</v>
      </c>
      <c r="AA299" s="10">
        <f>INDEX([1]ratio_ins!Y:Y,MATCH('001_population_health_zone_zs'!$B$2,[1]ratio_ins!$B:$B,0))*$G299*INDEX([1]ratio_ins!$C:$C,MATCH('001_population_health_zone_zs'!$B299,[1]ratio_ins!$B:$B,0))</f>
        <v>401.71266400000007</v>
      </c>
      <c r="AB299" s="11">
        <f>INDEX([1]ratio_ins!Z:Z,MATCH('001_population_health_zone_zs'!$B$2,[1]ratio_ins!$B:$B,0))*$G299*INDEX([1]ratio_ins!$C:$C,MATCH('001_population_health_zone_zs'!$B299,[1]ratio_ins!$B:$B,0))</f>
        <v>5222.2646320000013</v>
      </c>
      <c r="AC299" s="12">
        <f t="shared" si="24"/>
        <v>200856.33199999999</v>
      </c>
      <c r="AD299" s="10">
        <f>INDEX([1]ratio_ins!AA:AA,MATCH('001_population_health_zone_zs'!$B$2,[1]ratio_ins!$B:$B,0))*$G299*INDEX([1]ratio_ins!$D:$D,MATCH('001_population_health_zone_zs'!$B299,[1]ratio_ins!$B:$B,0))</f>
        <v>44431.730280000003</v>
      </c>
      <c r="AE299" s="10">
        <f>INDEX([1]ratio_ins!AB:AB,MATCH('001_population_health_zone_zs'!$B$2,[1]ratio_ins!$B:$B,0))*$G299*INDEX([1]ratio_ins!$D:$D,MATCH('001_population_health_zone_zs'!$B299,[1]ratio_ins!$B:$B,0))</f>
        <v>36603.282564000001</v>
      </c>
      <c r="AF299" s="10">
        <f>INDEX([1]ratio_ins!AC:AC,MATCH('001_population_health_zone_zs'!$B$2,[1]ratio_ins!$B:$B,0))*$G299*INDEX([1]ratio_ins!$D:$D,MATCH('001_population_health_zone_zs'!$B299,[1]ratio_ins!$B:$B,0))</f>
        <v>28986.414515999997</v>
      </c>
      <c r="AG299" s="10">
        <f>INDEX([1]ratio_ins!AD:AD,MATCH('001_population_health_zone_zs'!$B$2,[1]ratio_ins!$B:$B,0))*$G299*INDEX([1]ratio_ins!$D:$D,MATCH('001_population_health_zone_zs'!$B299,[1]ratio_ins!$B:$B,0))</f>
        <v>17561.112444000002</v>
      </c>
      <c r="AH299" s="10">
        <f>INDEX([1]ratio_ins!AE:AE,MATCH('001_population_health_zone_zs'!$B$2,[1]ratio_ins!$B:$B,0))*$G299*INDEX([1]ratio_ins!$D:$D,MATCH('001_population_health_zone_zs'!$B299,[1]ratio_ins!$B:$B,0))</f>
        <v>10536.6674664</v>
      </c>
      <c r="AI299" s="13">
        <f>INDEX([1]ratio_ins!AF:AF,MATCH('001_population_health_zone_zs'!$B$2,[1]ratio_ins!$B:$B,0))*$G299*INDEX([1]ratio_ins!$D:$D,MATCH('001_population_health_zone_zs'!$B299,[1]ratio_ins!$B:$B,0))</f>
        <v>120558.09482639999</v>
      </c>
      <c r="AJ299" s="10">
        <f>INDEX([1]ratio_ins!AG:AG,MATCH('001_population_health_zone_zs'!$B$2,[1]ratio_ins!$B:$B,0))*$G299*INDEX([1]ratio_ins!$D:$D,MATCH('001_population_health_zone_zs'!$B299,[1]ratio_ins!$B:$B,0))</f>
        <v>7024.4449776000001</v>
      </c>
      <c r="AK299" s="10">
        <f>INDEX([1]ratio_ins!AH:AH,MATCH('001_population_health_zone_zs'!$B$2,[1]ratio_ins!$B:$B,0))*$G299*INDEX([1]ratio_ins!$D:$D,MATCH('001_population_health_zone_zs'!$B299,[1]ratio_ins!$B:$B,0))</f>
        <v>15656.895432000001</v>
      </c>
      <c r="AL299" s="10">
        <f>INDEX([1]ratio_ins!AI:AI,MATCH('001_population_health_zone_zs'!$B$2,[1]ratio_ins!$B:$B,0))*$G299*INDEX([1]ratio_ins!$D:$D,MATCH('001_population_health_zone_zs'!$B299,[1]ratio_ins!$B:$B,0))</f>
        <v>14810.576760000002</v>
      </c>
      <c r="AM299" s="10">
        <f>INDEX([1]ratio_ins!AJ:AJ,MATCH('001_population_health_zone_zs'!$B$2,[1]ratio_ins!$B:$B,0))*$G299*INDEX([1]ratio_ins!$D:$D,MATCH('001_population_health_zone_zs'!$B299,[1]ratio_ins!$B:$B,0))</f>
        <v>13541.098752000002</v>
      </c>
      <c r="AN299" s="10">
        <f>INDEX([1]ratio_ins!AK:AK,MATCH('001_population_health_zone_zs'!$B$2,[1]ratio_ins!$B:$B,0))*$G299*INDEX([1]ratio_ins!$D:$D,MATCH('001_population_health_zone_zs'!$B299,[1]ratio_ins!$B:$B,0))</f>
        <v>12694.78008</v>
      </c>
      <c r="AO299" s="10">
        <f>INDEX([1]ratio_ins!AL:AL,MATCH('001_population_health_zone_zs'!$B$2,[1]ratio_ins!$B:$B,0))*$G299*INDEX([1]ratio_ins!$D:$D,MATCH('001_population_health_zone_zs'!$B299,[1]ratio_ins!$B:$B,0))</f>
        <v>9521.0850599999994</v>
      </c>
      <c r="AP299" s="10">
        <f>INDEX([1]ratio_ins!AM:AM,MATCH('001_population_health_zone_zs'!$B$2,[1]ratio_ins!$B:$B,0))*$G299*INDEX([1]ratio_ins!$D:$D,MATCH('001_population_health_zone_zs'!$B299,[1]ratio_ins!$B:$B,0))</f>
        <v>6135.810371999999</v>
      </c>
      <c r="AQ299" s="10">
        <f>INDEX([1]ratio_ins!AN:AN,MATCH('001_population_health_zone_zs'!$B$2,[1]ratio_ins!$B:$B,0))*$G299*INDEX([1]ratio_ins!$D:$D,MATCH('001_population_health_zone_zs'!$B299,[1]ratio_ins!$B:$B,0))</f>
        <v>4866.3323639999999</v>
      </c>
      <c r="AR299" s="10">
        <f>INDEX([1]ratio_ins!AO:AO,MATCH('001_population_health_zone_zs'!$B$2,[1]ratio_ins!$B:$B,0))*$G299*INDEX([1]ratio_ins!$D:$D,MATCH('001_population_health_zone_zs'!$B299,[1]ratio_ins!$B:$B,0))</f>
        <v>2327.3763480000002</v>
      </c>
      <c r="AS299" s="13">
        <f>INDEX([1]ratio_ins!AP:AP,MATCH('001_population_health_zone_zs'!$B$2,[1]ratio_ins!$B:$B,0))*$G299*INDEX([1]ratio_ins!$D:$D,MATCH('001_population_health_zone_zs'!$B299,[1]ratio_ins!$B:$B,0))</f>
        <v>86578.400145599997</v>
      </c>
      <c r="AT299" s="10">
        <f>INDEX([1]ratio_ins!AQ:AQ,MATCH('001_population_health_zone_zs'!$B$2,[1]ratio_ins!$B:$B,0))*$G299*INDEX([1]ratio_ins!$D:$D,MATCH('001_population_health_zone_zs'!$B299,[1]ratio_ins!$B:$B,0))</f>
        <v>2115.7966799999999</v>
      </c>
      <c r="AU299" s="10">
        <f>INDEX([1]ratio_ins!AR:AR,MATCH('001_population_health_zone_zs'!$B$2,[1]ratio_ins!$B:$B,0))*$G299*INDEX([1]ratio_ins!$D:$D,MATCH('001_population_health_zone_zs'!$B299,[1]ratio_ins!$B:$B,0))</f>
        <v>1269.478008</v>
      </c>
      <c r="AV299" s="10">
        <f>INDEX([1]ratio_ins!AS:AS,MATCH('001_population_health_zone_zs'!$B$2,[1]ratio_ins!$B:$B,0))*$G299*INDEX([1]ratio_ins!$D:$D,MATCH('001_population_health_zone_zs'!$B299,[1]ratio_ins!$B:$B,0))</f>
        <v>634.73900400000002</v>
      </c>
      <c r="AW299" s="10">
        <f>INDEX([1]ratio_ins!AT:AT,MATCH('001_population_health_zone_zs'!$B$2,[1]ratio_ins!$B:$B,0))*$G299*INDEX([1]ratio_ins!$D:$D,MATCH('001_population_health_zone_zs'!$B299,[1]ratio_ins!$B:$B,0))</f>
        <v>423.15933600000005</v>
      </c>
      <c r="AX299" s="13">
        <f>INDEX([1]ratio_ins!AU:AU,MATCH('001_population_health_zone_zs'!$B$2,[1]ratio_ins!$B:$B,0))*$G299*INDEX([1]ratio_ins!$D:$D,MATCH('001_population_health_zone_zs'!$B299,[1]ratio_ins!$B:$B,0))</f>
        <v>4443.1730279999992</v>
      </c>
      <c r="AY299" s="14">
        <f t="shared" si="25"/>
        <v>211579.66799999998</v>
      </c>
      <c r="AZ299" s="15">
        <f t="shared" si="26"/>
        <v>412436</v>
      </c>
      <c r="BA299" s="16">
        <v>395718.71775232197</v>
      </c>
      <c r="BB299" s="10">
        <f t="shared" si="27"/>
        <v>89921.358899999992</v>
      </c>
      <c r="BC299" s="17">
        <f t="shared" si="28"/>
        <v>0.21802499999999997</v>
      </c>
      <c r="BD299" s="10">
        <f t="shared" si="29"/>
        <v>83757.090444000016</v>
      </c>
    </row>
    <row r="300" spans="1:56" x14ac:dyDescent="0.25">
      <c r="A300" s="8" t="s">
        <v>671</v>
      </c>
      <c r="B300" s="8" t="s">
        <v>672</v>
      </c>
      <c r="C300" s="8" t="s">
        <v>738</v>
      </c>
      <c r="D300" s="8" t="s">
        <v>739</v>
      </c>
      <c r="E300" s="8" t="s">
        <v>740</v>
      </c>
      <c r="F300" s="8" t="s">
        <v>741</v>
      </c>
      <c r="G300" s="9">
        <v>151799</v>
      </c>
      <c r="H300" s="10">
        <f>INDEX([1]ratio_ins!F:F,MATCH('001_population_health_zone_zs'!$B$2,[1]ratio_ins!$B:$B,0))*$G300*INDEX([1]ratio_ins!$C:$C,MATCH('001_population_health_zone_zs'!$B300,[1]ratio_ins!$B:$B,0))</f>
        <v>15450.557617</v>
      </c>
      <c r="I300" s="10">
        <f>INDEX([1]ratio_ins!G:G,MATCH('001_population_health_zone_zs'!$B$2,[1]ratio_ins!$B:$B,0))*$G300*INDEX([1]ratio_ins!$C:$C,MATCH('001_population_health_zone_zs'!$B300,[1]ratio_ins!$B:$B,0))</f>
        <v>12641.365323000002</v>
      </c>
      <c r="J300" s="10">
        <f>INDEX([1]ratio_ins!H:H,MATCH('001_population_health_zone_zs'!$B$2,[1]ratio_ins!$B:$B,0))*$G300*INDEX([1]ratio_ins!$C:$C,MATCH('001_population_health_zone_zs'!$B300,[1]ratio_ins!$B:$B,0))</f>
        <v>9980.0252550000023</v>
      </c>
      <c r="K300" s="10">
        <f>INDEX([1]ratio_ins!I:I,MATCH('001_population_health_zone_zs'!$B$2,[1]ratio_ins!$B:$B,0))*$G300*INDEX([1]ratio_ins!$C:$C,MATCH('001_population_health_zone_zs'!$B300,[1]ratio_ins!$B:$B,0))</f>
        <v>6135.8673790000012</v>
      </c>
      <c r="L300" s="10">
        <f>INDEX([1]ratio_ins!J:J,MATCH('001_population_health_zone_zs'!$B$2,[1]ratio_ins!$B:$B,0))*$G300*INDEX([1]ratio_ins!$C:$C,MATCH('001_population_health_zone_zs'!$B300,[1]ratio_ins!$B:$B,0))</f>
        <v>3681.5204274000002</v>
      </c>
      <c r="M300" s="11">
        <f>INDEX([1]ratio_ins!K:K,MATCH('001_population_health_zone_zs'!$B$2,[1]ratio_ins!$B:$B,0))*$G300*INDEX([1]ratio_ins!$C:$C,MATCH('001_population_health_zone_zs'!$B300,[1]ratio_ins!$B:$B,0))</f>
        <v>41753.468622400003</v>
      </c>
      <c r="N300" s="10">
        <f>INDEX([1]ratio_ins!L:L,MATCH('001_population_health_zone_zs'!$B$2,[1]ratio_ins!$B:$B,0))*$G300*INDEX([1]ratio_ins!$C:$C,MATCH('001_population_health_zone_zs'!$B300,[1]ratio_ins!$B:$B,0))</f>
        <v>2454.3469516000005</v>
      </c>
      <c r="O300" s="10">
        <f>INDEX([1]ratio_ins!M:M,MATCH('001_population_health_zone_zs'!$B$2,[1]ratio_ins!$B:$B,0))*$G300*INDEX([1]ratio_ins!$C:$C,MATCH('001_population_health_zone_zs'!$B300,[1]ratio_ins!$B:$B,0))</f>
        <v>5322.6801360000018</v>
      </c>
      <c r="P300" s="10">
        <f>INDEX([1]ratio_ins!N:N,MATCH('001_population_health_zone_zs'!$B$2,[1]ratio_ins!$B:$B,0))*$G300*INDEX([1]ratio_ins!$C:$C,MATCH('001_population_health_zone_zs'!$B300,[1]ratio_ins!$B:$B,0))</f>
        <v>4805.1973450000005</v>
      </c>
      <c r="Q300" s="10">
        <f>INDEX([1]ratio_ins!O:O,MATCH('001_population_health_zone_zs'!$B$2,[1]ratio_ins!$B:$B,0))*$G300*INDEX([1]ratio_ins!$C:$C,MATCH('001_population_health_zone_zs'!$B300,[1]ratio_ins!$B:$B,0))</f>
        <v>4287.7145540000001</v>
      </c>
      <c r="R300" s="10">
        <f>INDEX([1]ratio_ins!P:P,MATCH('001_population_health_zone_zs'!$B$2,[1]ratio_ins!$B:$B,0))*$G300*INDEX([1]ratio_ins!$C:$C,MATCH('001_population_health_zone_zs'!$B300,[1]ratio_ins!$B:$B,0))</f>
        <v>4213.7884410000006</v>
      </c>
      <c r="S300" s="10">
        <f>INDEX([1]ratio_ins!Q:Q,MATCH('001_population_health_zone_zs'!$B$2,[1]ratio_ins!$B:$B,0))*$G300*INDEX([1]ratio_ins!$C:$C,MATCH('001_population_health_zone_zs'!$B300,[1]ratio_ins!$B:$B,0))</f>
        <v>3548.4534240000003</v>
      </c>
      <c r="T300" s="10">
        <f>INDEX([1]ratio_ins!R:R,MATCH('001_population_health_zone_zs'!$B$2,[1]ratio_ins!$B:$B,0))*$G300*INDEX([1]ratio_ins!$C:$C,MATCH('001_population_health_zone_zs'!$B300,[1]ratio_ins!$B:$B,0))</f>
        <v>2513.4878420000005</v>
      </c>
      <c r="U300" s="10">
        <f>INDEX([1]ratio_ins!S:S,MATCH('001_population_health_zone_zs'!$B$2,[1]ratio_ins!$B:$B,0))*$G300*INDEX([1]ratio_ins!$C:$C,MATCH('001_population_health_zone_zs'!$B300,[1]ratio_ins!$B:$B,0))</f>
        <v>1996.0050510000003</v>
      </c>
      <c r="V300" s="10">
        <f>INDEX([1]ratio_ins!T:T,MATCH('001_population_health_zone_zs'!$B$2,[1]ratio_ins!$B:$B,0))*$G300*INDEX([1]ratio_ins!$C:$C,MATCH('001_population_health_zone_zs'!$B300,[1]ratio_ins!$B:$B,0))</f>
        <v>1108.8916950000003</v>
      </c>
      <c r="W300" s="11">
        <f>INDEX([1]ratio_ins!U:U,MATCH('001_population_health_zone_zs'!$B$2,[1]ratio_ins!$B:$B,0))*$G300*INDEX([1]ratio_ins!$C:$C,MATCH('001_population_health_zone_zs'!$B300,[1]ratio_ins!$B:$B,0))</f>
        <v>30250.565439600003</v>
      </c>
      <c r="X300" s="10">
        <f>INDEX([1]ratio_ins!V:V,MATCH('001_population_health_zone_zs'!$B$2,[1]ratio_ins!$B:$B,0))*$G300*INDEX([1]ratio_ins!$C:$C,MATCH('001_population_health_zone_zs'!$B300,[1]ratio_ins!$B:$B,0))</f>
        <v>887.11335600000007</v>
      </c>
      <c r="Y300" s="10">
        <f>INDEX([1]ratio_ins!W:W,MATCH('001_population_health_zone_zs'!$B$2,[1]ratio_ins!$B:$B,0))*$G300*INDEX([1]ratio_ins!$C:$C,MATCH('001_population_health_zone_zs'!$B300,[1]ratio_ins!$B:$B,0))</f>
        <v>591.40890400000012</v>
      </c>
      <c r="Z300" s="10">
        <f>INDEX([1]ratio_ins!X:X,MATCH('001_population_health_zone_zs'!$B$2,[1]ratio_ins!$B:$B,0))*$G300*INDEX([1]ratio_ins!$C:$C,MATCH('001_population_health_zone_zs'!$B300,[1]ratio_ins!$B:$B,0))</f>
        <v>295.70445200000006</v>
      </c>
      <c r="AA300" s="10">
        <f>INDEX([1]ratio_ins!Y:Y,MATCH('001_population_health_zone_zs'!$B$2,[1]ratio_ins!$B:$B,0))*$G300*INDEX([1]ratio_ins!$C:$C,MATCH('001_population_health_zone_zs'!$B300,[1]ratio_ins!$B:$B,0))</f>
        <v>147.85222600000003</v>
      </c>
      <c r="AB300" s="11">
        <f>INDEX([1]ratio_ins!Z:Z,MATCH('001_population_health_zone_zs'!$B$2,[1]ratio_ins!$B:$B,0))*$G300*INDEX([1]ratio_ins!$C:$C,MATCH('001_population_health_zone_zs'!$B300,[1]ratio_ins!$B:$B,0))</f>
        <v>1922.0789380000003</v>
      </c>
      <c r="AC300" s="12">
        <f t="shared" si="24"/>
        <v>73926.113000000012</v>
      </c>
      <c r="AD300" s="10">
        <f>INDEX([1]ratio_ins!AA:AA,MATCH('001_population_health_zone_zs'!$B$2,[1]ratio_ins!$B:$B,0))*$G300*INDEX([1]ratio_ins!$D:$D,MATCH('001_population_health_zone_zs'!$B300,[1]ratio_ins!$B:$B,0))</f>
        <v>16353.306269999999</v>
      </c>
      <c r="AE300" s="10">
        <f>INDEX([1]ratio_ins!AB:AB,MATCH('001_population_health_zone_zs'!$B$2,[1]ratio_ins!$B:$B,0))*$G300*INDEX([1]ratio_ins!$D:$D,MATCH('001_population_health_zone_zs'!$B300,[1]ratio_ins!$B:$B,0))</f>
        <v>13472.009451000002</v>
      </c>
      <c r="AF300" s="10">
        <f>INDEX([1]ratio_ins!AC:AC,MATCH('001_population_health_zone_zs'!$B$2,[1]ratio_ins!$B:$B,0))*$G300*INDEX([1]ratio_ins!$D:$D,MATCH('001_population_health_zone_zs'!$B300,[1]ratio_ins!$B:$B,0))</f>
        <v>10668.585518999998</v>
      </c>
      <c r="AG300" s="10">
        <f>INDEX([1]ratio_ins!AD:AD,MATCH('001_population_health_zone_zs'!$B$2,[1]ratio_ins!$B:$B,0))*$G300*INDEX([1]ratio_ins!$D:$D,MATCH('001_population_health_zone_zs'!$B300,[1]ratio_ins!$B:$B,0))</f>
        <v>6463.4496210000007</v>
      </c>
      <c r="AH300" s="10">
        <f>INDEX([1]ratio_ins!AE:AE,MATCH('001_population_health_zone_zs'!$B$2,[1]ratio_ins!$B:$B,0))*$G300*INDEX([1]ratio_ins!$D:$D,MATCH('001_population_health_zone_zs'!$B300,[1]ratio_ins!$B:$B,0))</f>
        <v>3878.0697725999999</v>
      </c>
      <c r="AI300" s="13">
        <f>INDEX([1]ratio_ins!AF:AF,MATCH('001_population_health_zone_zs'!$B$2,[1]ratio_ins!$B:$B,0))*$G300*INDEX([1]ratio_ins!$D:$D,MATCH('001_population_health_zone_zs'!$B300,[1]ratio_ins!$B:$B,0))</f>
        <v>44371.971012599999</v>
      </c>
      <c r="AJ300" s="10">
        <f>INDEX([1]ratio_ins!AG:AG,MATCH('001_population_health_zone_zs'!$B$2,[1]ratio_ins!$B:$B,0))*$G300*INDEX([1]ratio_ins!$D:$D,MATCH('001_population_health_zone_zs'!$B300,[1]ratio_ins!$B:$B,0))</f>
        <v>2585.3798484000004</v>
      </c>
      <c r="AK300" s="10">
        <f>INDEX([1]ratio_ins!AH:AH,MATCH('001_population_health_zone_zs'!$B$2,[1]ratio_ins!$B:$B,0))*$G300*INDEX([1]ratio_ins!$D:$D,MATCH('001_population_health_zone_zs'!$B300,[1]ratio_ins!$B:$B,0))</f>
        <v>5762.5936380000012</v>
      </c>
      <c r="AL300" s="10">
        <f>INDEX([1]ratio_ins!AI:AI,MATCH('001_population_health_zone_zs'!$B$2,[1]ratio_ins!$B:$B,0))*$G300*INDEX([1]ratio_ins!$D:$D,MATCH('001_population_health_zone_zs'!$B300,[1]ratio_ins!$B:$B,0))</f>
        <v>5451.1020900000003</v>
      </c>
      <c r="AM300" s="10">
        <f>INDEX([1]ratio_ins!AJ:AJ,MATCH('001_population_health_zone_zs'!$B$2,[1]ratio_ins!$B:$B,0))*$G300*INDEX([1]ratio_ins!$D:$D,MATCH('001_population_health_zone_zs'!$B300,[1]ratio_ins!$B:$B,0))</f>
        <v>4983.8647680000004</v>
      </c>
      <c r="AN300" s="10">
        <f>INDEX([1]ratio_ins!AK:AK,MATCH('001_population_health_zone_zs'!$B$2,[1]ratio_ins!$B:$B,0))*$G300*INDEX([1]ratio_ins!$D:$D,MATCH('001_population_health_zone_zs'!$B300,[1]ratio_ins!$B:$B,0))</f>
        <v>4672.3732200000004</v>
      </c>
      <c r="AO300" s="10">
        <f>INDEX([1]ratio_ins!AL:AL,MATCH('001_population_health_zone_zs'!$B$2,[1]ratio_ins!$B:$B,0))*$G300*INDEX([1]ratio_ins!$D:$D,MATCH('001_population_health_zone_zs'!$B300,[1]ratio_ins!$B:$B,0))</f>
        <v>3504.2799150000001</v>
      </c>
      <c r="AP300" s="10">
        <f>INDEX([1]ratio_ins!AM:AM,MATCH('001_population_health_zone_zs'!$B$2,[1]ratio_ins!$B:$B,0))*$G300*INDEX([1]ratio_ins!$D:$D,MATCH('001_population_health_zone_zs'!$B300,[1]ratio_ins!$B:$B,0))</f>
        <v>2258.3137229999998</v>
      </c>
      <c r="AQ300" s="10">
        <f>INDEX([1]ratio_ins!AN:AN,MATCH('001_population_health_zone_zs'!$B$2,[1]ratio_ins!$B:$B,0))*$G300*INDEX([1]ratio_ins!$D:$D,MATCH('001_population_health_zone_zs'!$B300,[1]ratio_ins!$B:$B,0))</f>
        <v>1791.076401</v>
      </c>
      <c r="AR300" s="10">
        <f>INDEX([1]ratio_ins!AO:AO,MATCH('001_population_health_zone_zs'!$B$2,[1]ratio_ins!$B:$B,0))*$G300*INDEX([1]ratio_ins!$D:$D,MATCH('001_population_health_zone_zs'!$B300,[1]ratio_ins!$B:$B,0))</f>
        <v>856.60175700000013</v>
      </c>
      <c r="AS300" s="13">
        <f>INDEX([1]ratio_ins!AP:AP,MATCH('001_population_health_zone_zs'!$B$2,[1]ratio_ins!$B:$B,0))*$G300*INDEX([1]ratio_ins!$D:$D,MATCH('001_population_health_zone_zs'!$B300,[1]ratio_ins!$B:$B,0))</f>
        <v>31865.585360400004</v>
      </c>
      <c r="AT300" s="10">
        <f>INDEX([1]ratio_ins!AQ:AQ,MATCH('001_population_health_zone_zs'!$B$2,[1]ratio_ins!$B:$B,0))*$G300*INDEX([1]ratio_ins!$D:$D,MATCH('001_population_health_zone_zs'!$B300,[1]ratio_ins!$B:$B,0))</f>
        <v>778.72887000000003</v>
      </c>
      <c r="AU300" s="10">
        <f>INDEX([1]ratio_ins!AR:AR,MATCH('001_population_health_zone_zs'!$B$2,[1]ratio_ins!$B:$B,0))*$G300*INDEX([1]ratio_ins!$D:$D,MATCH('001_population_health_zone_zs'!$B300,[1]ratio_ins!$B:$B,0))</f>
        <v>467.23732200000001</v>
      </c>
      <c r="AV300" s="10">
        <f>INDEX([1]ratio_ins!AS:AS,MATCH('001_population_health_zone_zs'!$B$2,[1]ratio_ins!$B:$B,0))*$G300*INDEX([1]ratio_ins!$D:$D,MATCH('001_population_health_zone_zs'!$B300,[1]ratio_ins!$B:$B,0))</f>
        <v>233.618661</v>
      </c>
      <c r="AW300" s="10">
        <f>INDEX([1]ratio_ins!AT:AT,MATCH('001_population_health_zone_zs'!$B$2,[1]ratio_ins!$B:$B,0))*$G300*INDEX([1]ratio_ins!$D:$D,MATCH('001_population_health_zone_zs'!$B300,[1]ratio_ins!$B:$B,0))</f>
        <v>155.74577400000001</v>
      </c>
      <c r="AX300" s="13">
        <f>INDEX([1]ratio_ins!AU:AU,MATCH('001_population_health_zone_zs'!$B$2,[1]ratio_ins!$B:$B,0))*$G300*INDEX([1]ratio_ins!$D:$D,MATCH('001_population_health_zone_zs'!$B300,[1]ratio_ins!$B:$B,0))</f>
        <v>1635.3306269999998</v>
      </c>
      <c r="AY300" s="14">
        <f t="shared" si="25"/>
        <v>77872.887000000002</v>
      </c>
      <c r="AZ300" s="15">
        <f t="shared" si="26"/>
        <v>151799</v>
      </c>
      <c r="BA300" s="16">
        <v>145646.51794259096</v>
      </c>
      <c r="BB300" s="10">
        <f t="shared" si="27"/>
        <v>33095.976975000005</v>
      </c>
      <c r="BC300" s="17">
        <f t="shared" si="28"/>
        <v>0.21802500000000002</v>
      </c>
      <c r="BD300" s="10">
        <f t="shared" si="29"/>
        <v>30827.189121000003</v>
      </c>
    </row>
    <row r="301" spans="1:56" x14ac:dyDescent="0.25">
      <c r="A301" s="8" t="s">
        <v>671</v>
      </c>
      <c r="B301" s="8" t="s">
        <v>672</v>
      </c>
      <c r="C301" s="8" t="s">
        <v>738</v>
      </c>
      <c r="D301" s="8" t="s">
        <v>739</v>
      </c>
      <c r="E301" s="8" t="s">
        <v>742</v>
      </c>
      <c r="F301" s="8" t="s">
        <v>743</v>
      </c>
      <c r="G301" s="9">
        <v>184897</v>
      </c>
      <c r="H301" s="10">
        <f>INDEX([1]ratio_ins!F:F,MATCH('001_population_health_zone_zs'!$B$2,[1]ratio_ins!$B:$B,0))*$G301*INDEX([1]ratio_ins!$C:$C,MATCH('001_population_health_zone_zs'!$B301,[1]ratio_ins!$B:$B,0))</f>
        <v>18819.371351000002</v>
      </c>
      <c r="I301" s="10">
        <f>INDEX([1]ratio_ins!G:G,MATCH('001_population_health_zone_zs'!$B$2,[1]ratio_ins!$B:$B,0))*$G301*INDEX([1]ratio_ins!$C:$C,MATCH('001_population_health_zone_zs'!$B301,[1]ratio_ins!$B:$B,0))</f>
        <v>15397.667469000002</v>
      </c>
      <c r="J301" s="10">
        <f>INDEX([1]ratio_ins!H:H,MATCH('001_population_health_zone_zs'!$B$2,[1]ratio_ins!$B:$B,0))*$G301*INDEX([1]ratio_ins!$C:$C,MATCH('001_population_health_zone_zs'!$B301,[1]ratio_ins!$B:$B,0))</f>
        <v>12156.053265000002</v>
      </c>
      <c r="K301" s="10">
        <f>INDEX([1]ratio_ins!I:I,MATCH('001_population_health_zone_zs'!$B$2,[1]ratio_ins!$B:$B,0))*$G301*INDEX([1]ratio_ins!$C:$C,MATCH('001_population_health_zone_zs'!$B301,[1]ratio_ins!$B:$B,0))</f>
        <v>7473.7216370000015</v>
      </c>
      <c r="L301" s="10">
        <f>INDEX([1]ratio_ins!J:J,MATCH('001_population_health_zone_zs'!$B$2,[1]ratio_ins!$B:$B,0))*$G301*INDEX([1]ratio_ins!$C:$C,MATCH('001_population_health_zone_zs'!$B301,[1]ratio_ins!$B:$B,0))</f>
        <v>4484.2329822000002</v>
      </c>
      <c r="M301" s="11">
        <f>INDEX([1]ratio_ins!K:K,MATCH('001_population_health_zone_zs'!$B$2,[1]ratio_ins!$B:$B,0))*$G301*INDEX([1]ratio_ins!$C:$C,MATCH('001_population_health_zone_zs'!$B301,[1]ratio_ins!$B:$B,0))</f>
        <v>50857.325067199999</v>
      </c>
      <c r="N301" s="10">
        <f>INDEX([1]ratio_ins!L:L,MATCH('001_population_health_zone_zs'!$B$2,[1]ratio_ins!$B:$B,0))*$G301*INDEX([1]ratio_ins!$C:$C,MATCH('001_population_health_zone_zs'!$B301,[1]ratio_ins!$B:$B,0))</f>
        <v>2989.4886548000004</v>
      </c>
      <c r="O301" s="10">
        <f>INDEX([1]ratio_ins!M:M,MATCH('001_population_health_zone_zs'!$B$2,[1]ratio_ins!$B:$B,0))*$G301*INDEX([1]ratio_ins!$C:$C,MATCH('001_population_health_zone_zs'!$B301,[1]ratio_ins!$B:$B,0))</f>
        <v>6483.2284080000009</v>
      </c>
      <c r="P301" s="10">
        <f>INDEX([1]ratio_ins!N:N,MATCH('001_population_health_zone_zs'!$B$2,[1]ratio_ins!$B:$B,0))*$G301*INDEX([1]ratio_ins!$C:$C,MATCH('001_population_health_zone_zs'!$B301,[1]ratio_ins!$B:$B,0))</f>
        <v>5852.9145350000008</v>
      </c>
      <c r="Q301" s="10">
        <f>INDEX([1]ratio_ins!O:O,MATCH('001_population_health_zone_zs'!$B$2,[1]ratio_ins!$B:$B,0))*$G301*INDEX([1]ratio_ins!$C:$C,MATCH('001_population_health_zone_zs'!$B301,[1]ratio_ins!$B:$B,0))</f>
        <v>5222.6006620000007</v>
      </c>
      <c r="R301" s="10">
        <f>INDEX([1]ratio_ins!P:P,MATCH('001_population_health_zone_zs'!$B$2,[1]ratio_ins!$B:$B,0))*$G301*INDEX([1]ratio_ins!$C:$C,MATCH('001_population_health_zone_zs'!$B301,[1]ratio_ins!$B:$B,0))</f>
        <v>5132.5558230000006</v>
      </c>
      <c r="S301" s="10">
        <f>INDEX([1]ratio_ins!Q:Q,MATCH('001_population_health_zone_zs'!$B$2,[1]ratio_ins!$B:$B,0))*$G301*INDEX([1]ratio_ins!$C:$C,MATCH('001_population_health_zone_zs'!$B301,[1]ratio_ins!$B:$B,0))</f>
        <v>4322.1522720000003</v>
      </c>
      <c r="T301" s="10">
        <f>INDEX([1]ratio_ins!R:R,MATCH('001_population_health_zone_zs'!$B$2,[1]ratio_ins!$B:$B,0))*$G301*INDEX([1]ratio_ins!$C:$C,MATCH('001_population_health_zone_zs'!$B301,[1]ratio_ins!$B:$B,0))</f>
        <v>3061.5245260000006</v>
      </c>
      <c r="U301" s="10">
        <f>INDEX([1]ratio_ins!S:S,MATCH('001_population_health_zone_zs'!$B$2,[1]ratio_ins!$B:$B,0))*$G301*INDEX([1]ratio_ins!$C:$C,MATCH('001_population_health_zone_zs'!$B301,[1]ratio_ins!$B:$B,0))</f>
        <v>2431.2106530000005</v>
      </c>
      <c r="V301" s="10">
        <f>INDEX([1]ratio_ins!T:T,MATCH('001_population_health_zone_zs'!$B$2,[1]ratio_ins!$B:$B,0))*$G301*INDEX([1]ratio_ins!$C:$C,MATCH('001_population_health_zone_zs'!$B301,[1]ratio_ins!$B:$B,0))</f>
        <v>1350.672585</v>
      </c>
      <c r="W301" s="11">
        <f>INDEX([1]ratio_ins!U:U,MATCH('001_population_health_zone_zs'!$B$2,[1]ratio_ins!$B:$B,0))*$G301*INDEX([1]ratio_ins!$C:$C,MATCH('001_population_health_zone_zs'!$B301,[1]ratio_ins!$B:$B,0))</f>
        <v>36846.348118800008</v>
      </c>
      <c r="X301" s="10">
        <f>INDEX([1]ratio_ins!V:V,MATCH('001_population_health_zone_zs'!$B$2,[1]ratio_ins!$B:$B,0))*$G301*INDEX([1]ratio_ins!$C:$C,MATCH('001_population_health_zone_zs'!$B301,[1]ratio_ins!$B:$B,0))</f>
        <v>1080.5380680000001</v>
      </c>
      <c r="Y301" s="10">
        <f>INDEX([1]ratio_ins!W:W,MATCH('001_population_health_zone_zs'!$B$2,[1]ratio_ins!$B:$B,0))*$G301*INDEX([1]ratio_ins!$C:$C,MATCH('001_population_health_zone_zs'!$B301,[1]ratio_ins!$B:$B,0))</f>
        <v>720.35871200000008</v>
      </c>
      <c r="Z301" s="10">
        <f>INDEX([1]ratio_ins!X:X,MATCH('001_population_health_zone_zs'!$B$2,[1]ratio_ins!$B:$B,0))*$G301*INDEX([1]ratio_ins!$C:$C,MATCH('001_population_health_zone_zs'!$B301,[1]ratio_ins!$B:$B,0))</f>
        <v>360.17935600000004</v>
      </c>
      <c r="AA301" s="10">
        <f>INDEX([1]ratio_ins!Y:Y,MATCH('001_population_health_zone_zs'!$B$2,[1]ratio_ins!$B:$B,0))*$G301*INDEX([1]ratio_ins!$C:$C,MATCH('001_population_health_zone_zs'!$B301,[1]ratio_ins!$B:$B,0))</f>
        <v>180.08967800000002</v>
      </c>
      <c r="AB301" s="11">
        <f>INDEX([1]ratio_ins!Z:Z,MATCH('001_population_health_zone_zs'!$B$2,[1]ratio_ins!$B:$B,0))*$G301*INDEX([1]ratio_ins!$C:$C,MATCH('001_population_health_zone_zs'!$B301,[1]ratio_ins!$B:$B,0))</f>
        <v>2341.1658140000004</v>
      </c>
      <c r="AC301" s="12">
        <f t="shared" si="24"/>
        <v>90044.839000000007</v>
      </c>
      <c r="AD301" s="10">
        <f>INDEX([1]ratio_ins!AA:AA,MATCH('001_population_health_zone_zs'!$B$2,[1]ratio_ins!$B:$B,0))*$G301*INDEX([1]ratio_ins!$D:$D,MATCH('001_population_health_zone_zs'!$B301,[1]ratio_ins!$B:$B,0))</f>
        <v>19918.953809999999</v>
      </c>
      <c r="AE301" s="10">
        <f>INDEX([1]ratio_ins!AB:AB,MATCH('001_population_health_zone_zs'!$B$2,[1]ratio_ins!$B:$B,0))*$G301*INDEX([1]ratio_ins!$D:$D,MATCH('001_population_health_zone_zs'!$B301,[1]ratio_ins!$B:$B,0))</f>
        <v>16409.423853000004</v>
      </c>
      <c r="AF301" s="10">
        <f>INDEX([1]ratio_ins!AC:AC,MATCH('001_population_health_zone_zs'!$B$2,[1]ratio_ins!$B:$B,0))*$G301*INDEX([1]ratio_ins!$D:$D,MATCH('001_population_health_zone_zs'!$B301,[1]ratio_ins!$B:$B,0))</f>
        <v>12994.746056999998</v>
      </c>
      <c r="AG301" s="10">
        <f>INDEX([1]ratio_ins!AD:AD,MATCH('001_population_health_zone_zs'!$B$2,[1]ratio_ins!$B:$B,0))*$G301*INDEX([1]ratio_ins!$D:$D,MATCH('001_population_health_zone_zs'!$B301,[1]ratio_ins!$B:$B,0))</f>
        <v>7872.7293630000004</v>
      </c>
      <c r="AH301" s="10">
        <f>INDEX([1]ratio_ins!AE:AE,MATCH('001_population_health_zone_zs'!$B$2,[1]ratio_ins!$B:$B,0))*$G301*INDEX([1]ratio_ins!$D:$D,MATCH('001_population_health_zone_zs'!$B301,[1]ratio_ins!$B:$B,0))</f>
        <v>4723.6376178</v>
      </c>
      <c r="AI301" s="13">
        <f>INDEX([1]ratio_ins!AF:AF,MATCH('001_population_health_zone_zs'!$B$2,[1]ratio_ins!$B:$B,0))*$G301*INDEX([1]ratio_ins!$D:$D,MATCH('001_population_health_zone_zs'!$B301,[1]ratio_ins!$B:$B,0))</f>
        <v>54046.761337800002</v>
      </c>
      <c r="AJ301" s="10">
        <f>INDEX([1]ratio_ins!AG:AG,MATCH('001_population_health_zone_zs'!$B$2,[1]ratio_ins!$B:$B,0))*$G301*INDEX([1]ratio_ins!$D:$D,MATCH('001_population_health_zone_zs'!$B301,[1]ratio_ins!$B:$B,0))</f>
        <v>3149.0917451999999</v>
      </c>
      <c r="AK301" s="10">
        <f>INDEX([1]ratio_ins!AH:AH,MATCH('001_population_health_zone_zs'!$B$2,[1]ratio_ins!$B:$B,0))*$G301*INDEX([1]ratio_ins!$D:$D,MATCH('001_population_health_zone_zs'!$B301,[1]ratio_ins!$B:$B,0))</f>
        <v>7019.0599140000013</v>
      </c>
      <c r="AL301" s="10">
        <f>INDEX([1]ratio_ins!AI:AI,MATCH('001_population_health_zone_zs'!$B$2,[1]ratio_ins!$B:$B,0))*$G301*INDEX([1]ratio_ins!$D:$D,MATCH('001_population_health_zone_zs'!$B301,[1]ratio_ins!$B:$B,0))</f>
        <v>6639.6512700000003</v>
      </c>
      <c r="AM301" s="10">
        <f>INDEX([1]ratio_ins!AJ:AJ,MATCH('001_population_health_zone_zs'!$B$2,[1]ratio_ins!$B:$B,0))*$G301*INDEX([1]ratio_ins!$D:$D,MATCH('001_population_health_zone_zs'!$B301,[1]ratio_ins!$B:$B,0))</f>
        <v>6070.5383039999997</v>
      </c>
      <c r="AN301" s="10">
        <f>INDEX([1]ratio_ins!AK:AK,MATCH('001_population_health_zone_zs'!$B$2,[1]ratio_ins!$B:$B,0))*$G301*INDEX([1]ratio_ins!$D:$D,MATCH('001_population_health_zone_zs'!$B301,[1]ratio_ins!$B:$B,0))</f>
        <v>5691.1296599999996</v>
      </c>
      <c r="AO301" s="10">
        <f>INDEX([1]ratio_ins!AL:AL,MATCH('001_population_health_zone_zs'!$B$2,[1]ratio_ins!$B:$B,0))*$G301*INDEX([1]ratio_ins!$D:$D,MATCH('001_population_health_zone_zs'!$B301,[1]ratio_ins!$B:$B,0))</f>
        <v>4268.3472449999999</v>
      </c>
      <c r="AP301" s="10">
        <f>INDEX([1]ratio_ins!AM:AM,MATCH('001_population_health_zone_zs'!$B$2,[1]ratio_ins!$B:$B,0))*$G301*INDEX([1]ratio_ins!$D:$D,MATCH('001_population_health_zone_zs'!$B301,[1]ratio_ins!$B:$B,0))</f>
        <v>2750.712669</v>
      </c>
      <c r="AQ301" s="10">
        <f>INDEX([1]ratio_ins!AN:AN,MATCH('001_population_health_zone_zs'!$B$2,[1]ratio_ins!$B:$B,0))*$G301*INDEX([1]ratio_ins!$D:$D,MATCH('001_population_health_zone_zs'!$B301,[1]ratio_ins!$B:$B,0))</f>
        <v>2181.5997030000003</v>
      </c>
      <c r="AR301" s="10">
        <f>INDEX([1]ratio_ins!AO:AO,MATCH('001_population_health_zone_zs'!$B$2,[1]ratio_ins!$B:$B,0))*$G301*INDEX([1]ratio_ins!$D:$D,MATCH('001_population_health_zone_zs'!$B301,[1]ratio_ins!$B:$B,0))</f>
        <v>1043.373771</v>
      </c>
      <c r="AS301" s="13">
        <f>INDEX([1]ratio_ins!AP:AP,MATCH('001_population_health_zone_zs'!$B$2,[1]ratio_ins!$B:$B,0))*$G301*INDEX([1]ratio_ins!$D:$D,MATCH('001_population_health_zone_zs'!$B301,[1]ratio_ins!$B:$B,0))</f>
        <v>38813.504281200003</v>
      </c>
      <c r="AT301" s="10">
        <f>INDEX([1]ratio_ins!AQ:AQ,MATCH('001_population_health_zone_zs'!$B$2,[1]ratio_ins!$B:$B,0))*$G301*INDEX([1]ratio_ins!$D:$D,MATCH('001_population_health_zone_zs'!$B301,[1]ratio_ins!$B:$B,0))</f>
        <v>948.52161000000001</v>
      </c>
      <c r="AU301" s="10">
        <f>INDEX([1]ratio_ins!AR:AR,MATCH('001_population_health_zone_zs'!$B$2,[1]ratio_ins!$B:$B,0))*$G301*INDEX([1]ratio_ins!$D:$D,MATCH('001_population_health_zone_zs'!$B301,[1]ratio_ins!$B:$B,0))</f>
        <v>569.11296600000003</v>
      </c>
      <c r="AV301" s="10">
        <f>INDEX([1]ratio_ins!AS:AS,MATCH('001_population_health_zone_zs'!$B$2,[1]ratio_ins!$B:$B,0))*$G301*INDEX([1]ratio_ins!$D:$D,MATCH('001_population_health_zone_zs'!$B301,[1]ratio_ins!$B:$B,0))</f>
        <v>284.55648300000001</v>
      </c>
      <c r="AW301" s="10">
        <f>INDEX([1]ratio_ins!AT:AT,MATCH('001_population_health_zone_zs'!$B$2,[1]ratio_ins!$B:$B,0))*$G301*INDEX([1]ratio_ins!$D:$D,MATCH('001_population_health_zone_zs'!$B301,[1]ratio_ins!$B:$B,0))</f>
        <v>189.70432199999999</v>
      </c>
      <c r="AX301" s="13">
        <f>INDEX([1]ratio_ins!AU:AU,MATCH('001_population_health_zone_zs'!$B$2,[1]ratio_ins!$B:$B,0))*$G301*INDEX([1]ratio_ins!$D:$D,MATCH('001_population_health_zone_zs'!$B301,[1]ratio_ins!$B:$B,0))</f>
        <v>1991.8953809999998</v>
      </c>
      <c r="AY301" s="14">
        <f t="shared" si="25"/>
        <v>94852.161000000007</v>
      </c>
      <c r="AZ301" s="15">
        <f t="shared" si="26"/>
        <v>184897</v>
      </c>
      <c r="BA301" s="16">
        <v>177402.28912049634</v>
      </c>
      <c r="BB301" s="10">
        <f t="shared" si="27"/>
        <v>40312.168424999996</v>
      </c>
      <c r="BC301" s="17">
        <f t="shared" si="28"/>
        <v>0.21802499999999997</v>
      </c>
      <c r="BD301" s="10">
        <f t="shared" si="29"/>
        <v>37548.697863000001</v>
      </c>
    </row>
    <row r="302" spans="1:56" x14ac:dyDescent="0.25">
      <c r="A302" s="8" t="s">
        <v>671</v>
      </c>
      <c r="B302" s="8" t="s">
        <v>672</v>
      </c>
      <c r="C302" s="8" t="s">
        <v>738</v>
      </c>
      <c r="D302" s="8" t="s">
        <v>739</v>
      </c>
      <c r="E302" s="8" t="s">
        <v>744</v>
      </c>
      <c r="F302" s="8" t="s">
        <v>745</v>
      </c>
      <c r="G302" s="9">
        <v>386733</v>
      </c>
      <c r="H302" s="10">
        <f>INDEX([1]ratio_ins!F:F,MATCH('001_population_health_zone_zs'!$B$2,[1]ratio_ins!$B:$B,0))*$G302*INDEX([1]ratio_ins!$C:$C,MATCH('001_population_health_zone_zs'!$B302,[1]ratio_ins!$B:$B,0))</f>
        <v>39362.844939000002</v>
      </c>
      <c r="I302" s="10">
        <f>INDEX([1]ratio_ins!G:G,MATCH('001_population_health_zone_zs'!$B$2,[1]ratio_ins!$B:$B,0))*$G302*INDEX([1]ratio_ins!$C:$C,MATCH('001_population_health_zone_zs'!$B302,[1]ratio_ins!$B:$B,0))</f>
        <v>32205.964041000007</v>
      </c>
      <c r="J302" s="10">
        <f>INDEX([1]ratio_ins!H:H,MATCH('001_population_health_zone_zs'!$B$2,[1]ratio_ins!$B:$B,0))*$G302*INDEX([1]ratio_ins!$C:$C,MATCH('001_population_health_zone_zs'!$B302,[1]ratio_ins!$B:$B,0))</f>
        <v>25425.761085000002</v>
      </c>
      <c r="K302" s="10">
        <f>INDEX([1]ratio_ins!I:I,MATCH('001_population_health_zone_zs'!$B$2,[1]ratio_ins!$B:$B,0))*$G302*INDEX([1]ratio_ins!$C:$C,MATCH('001_population_health_zone_zs'!$B302,[1]ratio_ins!$B:$B,0))</f>
        <v>15632.134593000001</v>
      </c>
      <c r="L302" s="10">
        <f>INDEX([1]ratio_ins!J:J,MATCH('001_population_health_zone_zs'!$B$2,[1]ratio_ins!$B:$B,0))*$G302*INDEX([1]ratio_ins!$C:$C,MATCH('001_population_health_zone_zs'!$B302,[1]ratio_ins!$B:$B,0))</f>
        <v>9379.2807557999986</v>
      </c>
      <c r="M302" s="11">
        <f>INDEX([1]ratio_ins!K:K,MATCH('001_population_health_zone_zs'!$B$2,[1]ratio_ins!$B:$B,0))*$G302*INDEX([1]ratio_ins!$C:$C,MATCH('001_population_health_zone_zs'!$B302,[1]ratio_ins!$B:$B,0))</f>
        <v>106373.85082080001</v>
      </c>
      <c r="N302" s="10">
        <f>INDEX([1]ratio_ins!L:L,MATCH('001_population_health_zone_zs'!$B$2,[1]ratio_ins!$B:$B,0))*$G302*INDEX([1]ratio_ins!$C:$C,MATCH('001_population_health_zone_zs'!$B302,[1]ratio_ins!$B:$B,0))</f>
        <v>6252.8538372000003</v>
      </c>
      <c r="O302" s="10">
        <f>INDEX([1]ratio_ins!M:M,MATCH('001_population_health_zone_zs'!$B$2,[1]ratio_ins!$B:$B,0))*$G302*INDEX([1]ratio_ins!$C:$C,MATCH('001_population_health_zone_zs'!$B302,[1]ratio_ins!$B:$B,0))</f>
        <v>13560.405912000002</v>
      </c>
      <c r="P302" s="10">
        <f>INDEX([1]ratio_ins!N:N,MATCH('001_population_health_zone_zs'!$B$2,[1]ratio_ins!$B:$B,0))*$G302*INDEX([1]ratio_ins!$C:$C,MATCH('001_population_health_zone_zs'!$B302,[1]ratio_ins!$B:$B,0))</f>
        <v>12242.033115000002</v>
      </c>
      <c r="Q302" s="10">
        <f>INDEX([1]ratio_ins!O:O,MATCH('001_population_health_zone_zs'!$B$2,[1]ratio_ins!$B:$B,0))*$G302*INDEX([1]ratio_ins!$C:$C,MATCH('001_population_health_zone_zs'!$B302,[1]ratio_ins!$B:$B,0))</f>
        <v>10923.660318</v>
      </c>
      <c r="R302" s="10">
        <f>INDEX([1]ratio_ins!P:P,MATCH('001_population_health_zone_zs'!$B$2,[1]ratio_ins!$B:$B,0))*$G302*INDEX([1]ratio_ins!$C:$C,MATCH('001_population_health_zone_zs'!$B302,[1]ratio_ins!$B:$B,0))</f>
        <v>10735.321347000001</v>
      </c>
      <c r="S302" s="10">
        <f>INDEX([1]ratio_ins!Q:Q,MATCH('001_population_health_zone_zs'!$B$2,[1]ratio_ins!$B:$B,0))*$G302*INDEX([1]ratio_ins!$C:$C,MATCH('001_population_health_zone_zs'!$B302,[1]ratio_ins!$B:$B,0))</f>
        <v>9040.2706080000007</v>
      </c>
      <c r="T302" s="10">
        <f>INDEX([1]ratio_ins!R:R,MATCH('001_population_health_zone_zs'!$B$2,[1]ratio_ins!$B:$B,0))*$G302*INDEX([1]ratio_ins!$C:$C,MATCH('001_population_health_zone_zs'!$B302,[1]ratio_ins!$B:$B,0))</f>
        <v>6403.5250140000007</v>
      </c>
      <c r="U302" s="10">
        <f>INDEX([1]ratio_ins!S:S,MATCH('001_population_health_zone_zs'!$B$2,[1]ratio_ins!$B:$B,0))*$G302*INDEX([1]ratio_ins!$C:$C,MATCH('001_population_health_zone_zs'!$B302,[1]ratio_ins!$B:$B,0))</f>
        <v>5085.1522170000007</v>
      </c>
      <c r="V302" s="10">
        <f>INDEX([1]ratio_ins!T:T,MATCH('001_population_health_zone_zs'!$B$2,[1]ratio_ins!$B:$B,0))*$G302*INDEX([1]ratio_ins!$C:$C,MATCH('001_population_health_zone_zs'!$B302,[1]ratio_ins!$B:$B,0))</f>
        <v>2825.0845650000001</v>
      </c>
      <c r="W302" s="11">
        <f>INDEX([1]ratio_ins!U:U,MATCH('001_population_health_zone_zs'!$B$2,[1]ratio_ins!$B:$B,0))*$G302*INDEX([1]ratio_ins!$C:$C,MATCH('001_population_health_zone_zs'!$B302,[1]ratio_ins!$B:$B,0))</f>
        <v>77068.306933200016</v>
      </c>
      <c r="X302" s="10">
        <f>INDEX([1]ratio_ins!V:V,MATCH('001_population_health_zone_zs'!$B$2,[1]ratio_ins!$B:$B,0))*$G302*INDEX([1]ratio_ins!$C:$C,MATCH('001_population_health_zone_zs'!$B302,[1]ratio_ins!$B:$B,0))</f>
        <v>2260.0676520000002</v>
      </c>
      <c r="Y302" s="10">
        <f>INDEX([1]ratio_ins!W:W,MATCH('001_population_health_zone_zs'!$B$2,[1]ratio_ins!$B:$B,0))*$G302*INDEX([1]ratio_ins!$C:$C,MATCH('001_population_health_zone_zs'!$B302,[1]ratio_ins!$B:$B,0))</f>
        <v>1506.7117680000001</v>
      </c>
      <c r="Z302" s="10">
        <f>INDEX([1]ratio_ins!X:X,MATCH('001_population_health_zone_zs'!$B$2,[1]ratio_ins!$B:$B,0))*$G302*INDEX([1]ratio_ins!$C:$C,MATCH('001_population_health_zone_zs'!$B302,[1]ratio_ins!$B:$B,0))</f>
        <v>753.35588400000006</v>
      </c>
      <c r="AA302" s="10">
        <f>INDEX([1]ratio_ins!Y:Y,MATCH('001_population_health_zone_zs'!$B$2,[1]ratio_ins!$B:$B,0))*$G302*INDEX([1]ratio_ins!$C:$C,MATCH('001_population_health_zone_zs'!$B302,[1]ratio_ins!$B:$B,0))</f>
        <v>376.67794200000003</v>
      </c>
      <c r="AB302" s="11">
        <f>INDEX([1]ratio_ins!Z:Z,MATCH('001_population_health_zone_zs'!$B$2,[1]ratio_ins!$B:$B,0))*$G302*INDEX([1]ratio_ins!$C:$C,MATCH('001_population_health_zone_zs'!$B302,[1]ratio_ins!$B:$B,0))</f>
        <v>4896.8132460000006</v>
      </c>
      <c r="AC302" s="12">
        <f t="shared" si="24"/>
        <v>188338.97100000005</v>
      </c>
      <c r="AD302" s="10">
        <f>INDEX([1]ratio_ins!AA:AA,MATCH('001_population_health_zone_zs'!$B$2,[1]ratio_ins!$B:$B,0))*$G302*INDEX([1]ratio_ins!$D:$D,MATCH('001_population_health_zone_zs'!$B302,[1]ratio_ins!$B:$B,0))</f>
        <v>41662.746090000001</v>
      </c>
      <c r="AE302" s="10">
        <f>INDEX([1]ratio_ins!AB:AB,MATCH('001_population_health_zone_zs'!$B$2,[1]ratio_ins!$B:$B,0))*$G302*INDEX([1]ratio_ins!$D:$D,MATCH('001_population_health_zone_zs'!$B302,[1]ratio_ins!$B:$B,0))</f>
        <v>34322.167017000007</v>
      </c>
      <c r="AF302" s="10">
        <f>INDEX([1]ratio_ins!AC:AC,MATCH('001_population_health_zone_zs'!$B$2,[1]ratio_ins!$B:$B,0))*$G302*INDEX([1]ratio_ins!$D:$D,MATCH('001_population_health_zone_zs'!$B302,[1]ratio_ins!$B:$B,0))</f>
        <v>27179.981972999998</v>
      </c>
      <c r="AG302" s="10">
        <f>INDEX([1]ratio_ins!AD:AD,MATCH('001_population_health_zone_zs'!$B$2,[1]ratio_ins!$B:$B,0))*$G302*INDEX([1]ratio_ins!$D:$D,MATCH('001_population_health_zone_zs'!$B302,[1]ratio_ins!$B:$B,0))</f>
        <v>16466.704407000001</v>
      </c>
      <c r="AH302" s="10">
        <f>INDEX([1]ratio_ins!AE:AE,MATCH('001_population_health_zone_zs'!$B$2,[1]ratio_ins!$B:$B,0))*$G302*INDEX([1]ratio_ins!$D:$D,MATCH('001_population_health_zone_zs'!$B302,[1]ratio_ins!$B:$B,0))</f>
        <v>9880.0226441999985</v>
      </c>
      <c r="AI302" s="13">
        <f>INDEX([1]ratio_ins!AF:AF,MATCH('001_population_health_zone_zs'!$B$2,[1]ratio_ins!$B:$B,0))*$G302*INDEX([1]ratio_ins!$D:$D,MATCH('001_population_health_zone_zs'!$B302,[1]ratio_ins!$B:$B,0))</f>
        <v>113044.91772419999</v>
      </c>
      <c r="AJ302" s="10">
        <f>INDEX([1]ratio_ins!AG:AG,MATCH('001_population_health_zone_zs'!$B$2,[1]ratio_ins!$B:$B,0))*$G302*INDEX([1]ratio_ins!$D:$D,MATCH('001_population_health_zone_zs'!$B302,[1]ratio_ins!$B:$B,0))</f>
        <v>6586.6817627999999</v>
      </c>
      <c r="AK302" s="10">
        <f>INDEX([1]ratio_ins!AH:AH,MATCH('001_population_health_zone_zs'!$B$2,[1]ratio_ins!$B:$B,0))*$G302*INDEX([1]ratio_ins!$D:$D,MATCH('001_population_health_zone_zs'!$B302,[1]ratio_ins!$B:$B,0))</f>
        <v>14681.158146000003</v>
      </c>
      <c r="AL302" s="10">
        <f>INDEX([1]ratio_ins!AI:AI,MATCH('001_population_health_zone_zs'!$B$2,[1]ratio_ins!$B:$B,0))*$G302*INDEX([1]ratio_ins!$D:$D,MATCH('001_population_health_zone_zs'!$B302,[1]ratio_ins!$B:$B,0))</f>
        <v>13887.582030000001</v>
      </c>
      <c r="AM302" s="10">
        <f>INDEX([1]ratio_ins!AJ:AJ,MATCH('001_population_health_zone_zs'!$B$2,[1]ratio_ins!$B:$B,0))*$G302*INDEX([1]ratio_ins!$D:$D,MATCH('001_population_health_zone_zs'!$B302,[1]ratio_ins!$B:$B,0))</f>
        <v>12697.217856000001</v>
      </c>
      <c r="AN302" s="10">
        <f>INDEX([1]ratio_ins!AK:AK,MATCH('001_population_health_zone_zs'!$B$2,[1]ratio_ins!$B:$B,0))*$G302*INDEX([1]ratio_ins!$D:$D,MATCH('001_population_health_zone_zs'!$B302,[1]ratio_ins!$B:$B,0))</f>
        <v>11903.641740000001</v>
      </c>
      <c r="AO302" s="10">
        <f>INDEX([1]ratio_ins!AL:AL,MATCH('001_population_health_zone_zs'!$B$2,[1]ratio_ins!$B:$B,0))*$G302*INDEX([1]ratio_ins!$D:$D,MATCH('001_population_health_zone_zs'!$B302,[1]ratio_ins!$B:$B,0))</f>
        <v>8927.7313050000012</v>
      </c>
      <c r="AP302" s="10">
        <f>INDEX([1]ratio_ins!AM:AM,MATCH('001_population_health_zone_zs'!$B$2,[1]ratio_ins!$B:$B,0))*$G302*INDEX([1]ratio_ins!$D:$D,MATCH('001_population_health_zone_zs'!$B302,[1]ratio_ins!$B:$B,0))</f>
        <v>5753.4268409999995</v>
      </c>
      <c r="AQ302" s="10">
        <f>INDEX([1]ratio_ins!AN:AN,MATCH('001_population_health_zone_zs'!$B$2,[1]ratio_ins!$B:$B,0))*$G302*INDEX([1]ratio_ins!$D:$D,MATCH('001_population_health_zone_zs'!$B302,[1]ratio_ins!$B:$B,0))</f>
        <v>4563.0626670000001</v>
      </c>
      <c r="AR302" s="10">
        <f>INDEX([1]ratio_ins!AO:AO,MATCH('001_population_health_zone_zs'!$B$2,[1]ratio_ins!$B:$B,0))*$G302*INDEX([1]ratio_ins!$D:$D,MATCH('001_population_health_zone_zs'!$B302,[1]ratio_ins!$B:$B,0))</f>
        <v>2182.3343190000001</v>
      </c>
      <c r="AS302" s="13">
        <f>INDEX([1]ratio_ins!AP:AP,MATCH('001_population_health_zone_zs'!$B$2,[1]ratio_ins!$B:$B,0))*$G302*INDEX([1]ratio_ins!$D:$D,MATCH('001_population_health_zone_zs'!$B302,[1]ratio_ins!$B:$B,0))</f>
        <v>81182.836666800009</v>
      </c>
      <c r="AT302" s="10">
        <f>INDEX([1]ratio_ins!AQ:AQ,MATCH('001_population_health_zone_zs'!$B$2,[1]ratio_ins!$B:$B,0))*$G302*INDEX([1]ratio_ins!$D:$D,MATCH('001_population_health_zone_zs'!$B302,[1]ratio_ins!$B:$B,0))</f>
        <v>1983.94029</v>
      </c>
      <c r="AU302" s="10">
        <f>INDEX([1]ratio_ins!AR:AR,MATCH('001_population_health_zone_zs'!$B$2,[1]ratio_ins!$B:$B,0))*$G302*INDEX([1]ratio_ins!$D:$D,MATCH('001_population_health_zone_zs'!$B302,[1]ratio_ins!$B:$B,0))</f>
        <v>1190.364174</v>
      </c>
      <c r="AV302" s="10">
        <f>INDEX([1]ratio_ins!AS:AS,MATCH('001_population_health_zone_zs'!$B$2,[1]ratio_ins!$B:$B,0))*$G302*INDEX([1]ratio_ins!$D:$D,MATCH('001_population_health_zone_zs'!$B302,[1]ratio_ins!$B:$B,0))</f>
        <v>595.18208700000002</v>
      </c>
      <c r="AW302" s="10">
        <f>INDEX([1]ratio_ins!AT:AT,MATCH('001_population_health_zone_zs'!$B$2,[1]ratio_ins!$B:$B,0))*$G302*INDEX([1]ratio_ins!$D:$D,MATCH('001_population_health_zone_zs'!$B302,[1]ratio_ins!$B:$B,0))</f>
        <v>396.78805800000004</v>
      </c>
      <c r="AX302" s="13">
        <f>INDEX([1]ratio_ins!AU:AU,MATCH('001_population_health_zone_zs'!$B$2,[1]ratio_ins!$B:$B,0))*$G302*INDEX([1]ratio_ins!$D:$D,MATCH('001_population_health_zone_zs'!$B302,[1]ratio_ins!$B:$B,0))</f>
        <v>4166.2746090000001</v>
      </c>
      <c r="AY302" s="14">
        <f t="shared" si="25"/>
        <v>198394.02899999998</v>
      </c>
      <c r="AZ302" s="15">
        <f t="shared" si="26"/>
        <v>386733</v>
      </c>
      <c r="BA302" s="16">
        <v>371057.04256692587</v>
      </c>
      <c r="BB302" s="10">
        <f t="shared" si="27"/>
        <v>84317.462325000015</v>
      </c>
      <c r="BC302" s="17">
        <f t="shared" si="28"/>
        <v>0.21802500000000005</v>
      </c>
      <c r="BD302" s="10">
        <f t="shared" si="29"/>
        <v>78537.350907000015</v>
      </c>
    </row>
    <row r="303" spans="1:56" x14ac:dyDescent="0.25">
      <c r="A303" s="8" t="s">
        <v>671</v>
      </c>
      <c r="B303" s="8" t="s">
        <v>672</v>
      </c>
      <c r="C303" s="8" t="s">
        <v>738</v>
      </c>
      <c r="D303" s="8" t="s">
        <v>739</v>
      </c>
      <c r="E303" s="8" t="s">
        <v>746</v>
      </c>
      <c r="F303" s="8" t="s">
        <v>747</v>
      </c>
      <c r="G303" s="9">
        <v>285815</v>
      </c>
      <c r="H303" s="10">
        <f>INDEX([1]ratio_ins!F:F,MATCH('001_population_health_zone_zs'!$B$2,[1]ratio_ins!$B:$B,0))*$G303*INDEX([1]ratio_ins!$C:$C,MATCH('001_population_health_zone_zs'!$B303,[1]ratio_ins!$B:$B,0))</f>
        <v>29091.108145000002</v>
      </c>
      <c r="I303" s="10">
        <f>INDEX([1]ratio_ins!G:G,MATCH('001_population_health_zone_zs'!$B$2,[1]ratio_ins!$B:$B,0))*$G303*INDEX([1]ratio_ins!$C:$C,MATCH('001_population_health_zone_zs'!$B303,[1]ratio_ins!$B:$B,0))</f>
        <v>23801.815755000003</v>
      </c>
      <c r="J303" s="10">
        <f>INDEX([1]ratio_ins!H:H,MATCH('001_population_health_zone_zs'!$B$2,[1]ratio_ins!$B:$B,0))*$G303*INDEX([1]ratio_ins!$C:$C,MATCH('001_population_health_zone_zs'!$B303,[1]ratio_ins!$B:$B,0))</f>
        <v>18790.907175000004</v>
      </c>
      <c r="K303" s="10">
        <f>INDEX([1]ratio_ins!I:I,MATCH('001_population_health_zone_zs'!$B$2,[1]ratio_ins!$B:$B,0))*$G303*INDEX([1]ratio_ins!$C:$C,MATCH('001_population_health_zone_zs'!$B303,[1]ratio_ins!$B:$B,0))</f>
        <v>11552.928115000001</v>
      </c>
      <c r="L303" s="10">
        <f>INDEX([1]ratio_ins!J:J,MATCH('001_population_health_zone_zs'!$B$2,[1]ratio_ins!$B:$B,0))*$G303*INDEX([1]ratio_ins!$C:$C,MATCH('001_population_health_zone_zs'!$B303,[1]ratio_ins!$B:$B,0))</f>
        <v>6931.7568690000007</v>
      </c>
      <c r="M303" s="11">
        <f>INDEX([1]ratio_ins!K:K,MATCH('001_population_health_zone_zs'!$B$2,[1]ratio_ins!$B:$B,0))*$G303*INDEX([1]ratio_ins!$C:$C,MATCH('001_population_health_zone_zs'!$B303,[1]ratio_ins!$B:$B,0))</f>
        <v>78615.587944000014</v>
      </c>
      <c r="N303" s="10">
        <f>INDEX([1]ratio_ins!L:L,MATCH('001_population_health_zone_zs'!$B$2,[1]ratio_ins!$B:$B,0))*$G303*INDEX([1]ratio_ins!$C:$C,MATCH('001_population_health_zone_zs'!$B303,[1]ratio_ins!$B:$B,0))</f>
        <v>4621.1712460000008</v>
      </c>
      <c r="O303" s="10">
        <f>INDEX([1]ratio_ins!M:M,MATCH('001_population_health_zone_zs'!$B$2,[1]ratio_ins!$B:$B,0))*$G303*INDEX([1]ratio_ins!$C:$C,MATCH('001_population_health_zone_zs'!$B303,[1]ratio_ins!$B:$B,0))</f>
        <v>10021.817160000002</v>
      </c>
      <c r="P303" s="10">
        <f>INDEX([1]ratio_ins!N:N,MATCH('001_population_health_zone_zs'!$B$2,[1]ratio_ins!$B:$B,0))*$G303*INDEX([1]ratio_ins!$C:$C,MATCH('001_population_health_zone_zs'!$B303,[1]ratio_ins!$B:$B,0))</f>
        <v>9047.4738250000028</v>
      </c>
      <c r="Q303" s="10">
        <f>INDEX([1]ratio_ins!O:O,MATCH('001_population_health_zone_zs'!$B$2,[1]ratio_ins!$B:$B,0))*$G303*INDEX([1]ratio_ins!$C:$C,MATCH('001_population_health_zone_zs'!$B303,[1]ratio_ins!$B:$B,0))</f>
        <v>8073.1304900000014</v>
      </c>
      <c r="R303" s="10">
        <f>INDEX([1]ratio_ins!P:P,MATCH('001_population_health_zone_zs'!$B$2,[1]ratio_ins!$B:$B,0))*$G303*INDEX([1]ratio_ins!$C:$C,MATCH('001_population_health_zone_zs'!$B303,[1]ratio_ins!$B:$B,0))</f>
        <v>7933.9385850000008</v>
      </c>
      <c r="S303" s="10">
        <f>INDEX([1]ratio_ins!Q:Q,MATCH('001_population_health_zone_zs'!$B$2,[1]ratio_ins!$B:$B,0))*$G303*INDEX([1]ratio_ins!$C:$C,MATCH('001_population_health_zone_zs'!$B303,[1]ratio_ins!$B:$B,0))</f>
        <v>6681.2114400000009</v>
      </c>
      <c r="T303" s="10">
        <f>INDEX([1]ratio_ins!R:R,MATCH('001_population_health_zone_zs'!$B$2,[1]ratio_ins!$B:$B,0))*$G303*INDEX([1]ratio_ins!$C:$C,MATCH('001_population_health_zone_zs'!$B303,[1]ratio_ins!$B:$B,0))</f>
        <v>4732.5247700000009</v>
      </c>
      <c r="U303" s="10">
        <f>INDEX([1]ratio_ins!S:S,MATCH('001_population_health_zone_zs'!$B$2,[1]ratio_ins!$B:$B,0))*$G303*INDEX([1]ratio_ins!$C:$C,MATCH('001_population_health_zone_zs'!$B303,[1]ratio_ins!$B:$B,0))</f>
        <v>3758.1814350000009</v>
      </c>
      <c r="V303" s="10">
        <f>INDEX([1]ratio_ins!T:T,MATCH('001_population_health_zone_zs'!$B$2,[1]ratio_ins!$B:$B,0))*$G303*INDEX([1]ratio_ins!$C:$C,MATCH('001_population_health_zone_zs'!$B303,[1]ratio_ins!$B:$B,0))</f>
        <v>2087.8785749999997</v>
      </c>
      <c r="W303" s="11">
        <f>INDEX([1]ratio_ins!U:U,MATCH('001_population_health_zone_zs'!$B$2,[1]ratio_ins!$B:$B,0))*$G303*INDEX([1]ratio_ins!$C:$C,MATCH('001_population_health_zone_zs'!$B303,[1]ratio_ins!$B:$B,0))</f>
        <v>56957.327526000008</v>
      </c>
      <c r="X303" s="10">
        <f>INDEX([1]ratio_ins!V:V,MATCH('001_population_health_zone_zs'!$B$2,[1]ratio_ins!$B:$B,0))*$G303*INDEX([1]ratio_ins!$C:$C,MATCH('001_population_health_zone_zs'!$B303,[1]ratio_ins!$B:$B,0))</f>
        <v>1670.3028600000002</v>
      </c>
      <c r="Y303" s="10">
        <f>INDEX([1]ratio_ins!W:W,MATCH('001_population_health_zone_zs'!$B$2,[1]ratio_ins!$B:$B,0))*$G303*INDEX([1]ratio_ins!$C:$C,MATCH('001_population_health_zone_zs'!$B303,[1]ratio_ins!$B:$B,0))</f>
        <v>1113.5352400000002</v>
      </c>
      <c r="Z303" s="10">
        <f>INDEX([1]ratio_ins!X:X,MATCH('001_population_health_zone_zs'!$B$2,[1]ratio_ins!$B:$B,0))*$G303*INDEX([1]ratio_ins!$C:$C,MATCH('001_population_health_zone_zs'!$B303,[1]ratio_ins!$B:$B,0))</f>
        <v>556.76762000000008</v>
      </c>
      <c r="AA303" s="10">
        <f>INDEX([1]ratio_ins!Y:Y,MATCH('001_population_health_zone_zs'!$B$2,[1]ratio_ins!$B:$B,0))*$G303*INDEX([1]ratio_ins!$C:$C,MATCH('001_population_health_zone_zs'!$B303,[1]ratio_ins!$B:$B,0))</f>
        <v>278.38381000000004</v>
      </c>
      <c r="AB303" s="11">
        <f>INDEX([1]ratio_ins!Z:Z,MATCH('001_population_health_zone_zs'!$B$2,[1]ratio_ins!$B:$B,0))*$G303*INDEX([1]ratio_ins!$C:$C,MATCH('001_population_health_zone_zs'!$B303,[1]ratio_ins!$B:$B,0))</f>
        <v>3618.9895300000007</v>
      </c>
      <c r="AC303" s="12">
        <f t="shared" si="24"/>
        <v>139191.905</v>
      </c>
      <c r="AD303" s="10">
        <f>INDEX([1]ratio_ins!AA:AA,MATCH('001_population_health_zone_zs'!$B$2,[1]ratio_ins!$B:$B,0))*$G303*INDEX([1]ratio_ins!$D:$D,MATCH('001_population_health_zone_zs'!$B303,[1]ratio_ins!$B:$B,0))</f>
        <v>30790.849949999996</v>
      </c>
      <c r="AE303" s="10">
        <f>INDEX([1]ratio_ins!AB:AB,MATCH('001_population_health_zone_zs'!$B$2,[1]ratio_ins!$B:$B,0))*$G303*INDEX([1]ratio_ins!$D:$D,MATCH('001_population_health_zone_zs'!$B303,[1]ratio_ins!$B:$B,0))</f>
        <v>25365.795435000004</v>
      </c>
      <c r="AF303" s="10">
        <f>INDEX([1]ratio_ins!AC:AC,MATCH('001_population_health_zone_zs'!$B$2,[1]ratio_ins!$B:$B,0))*$G303*INDEX([1]ratio_ins!$D:$D,MATCH('001_population_health_zone_zs'!$B303,[1]ratio_ins!$B:$B,0))</f>
        <v>20087.364014999996</v>
      </c>
      <c r="AG303" s="10">
        <f>INDEX([1]ratio_ins!AD:AD,MATCH('001_population_health_zone_zs'!$B$2,[1]ratio_ins!$B:$B,0))*$G303*INDEX([1]ratio_ins!$D:$D,MATCH('001_population_health_zone_zs'!$B303,[1]ratio_ins!$B:$B,0))</f>
        <v>12169.716885</v>
      </c>
      <c r="AH303" s="10">
        <f>INDEX([1]ratio_ins!AE:AE,MATCH('001_population_health_zone_zs'!$B$2,[1]ratio_ins!$B:$B,0))*$G303*INDEX([1]ratio_ins!$D:$D,MATCH('001_population_health_zone_zs'!$B303,[1]ratio_ins!$B:$B,0))</f>
        <v>7301.8301309999997</v>
      </c>
      <c r="AI303" s="13">
        <f>INDEX([1]ratio_ins!AF:AF,MATCH('001_population_health_zone_zs'!$B$2,[1]ratio_ins!$B:$B,0))*$G303*INDEX([1]ratio_ins!$D:$D,MATCH('001_population_health_zone_zs'!$B303,[1]ratio_ins!$B:$B,0))</f>
        <v>83545.839530999991</v>
      </c>
      <c r="AJ303" s="10">
        <f>INDEX([1]ratio_ins!AG:AG,MATCH('001_population_health_zone_zs'!$B$2,[1]ratio_ins!$B:$B,0))*$G303*INDEX([1]ratio_ins!$D:$D,MATCH('001_population_health_zone_zs'!$B303,[1]ratio_ins!$B:$B,0))</f>
        <v>4867.886754000001</v>
      </c>
      <c r="AK303" s="10">
        <f>INDEX([1]ratio_ins!AH:AH,MATCH('001_population_health_zone_zs'!$B$2,[1]ratio_ins!$B:$B,0))*$G303*INDEX([1]ratio_ins!$D:$D,MATCH('001_population_health_zone_zs'!$B303,[1]ratio_ins!$B:$B,0))</f>
        <v>10850.109030000001</v>
      </c>
      <c r="AL303" s="10">
        <f>INDEX([1]ratio_ins!AI:AI,MATCH('001_population_health_zone_zs'!$B$2,[1]ratio_ins!$B:$B,0))*$G303*INDEX([1]ratio_ins!$D:$D,MATCH('001_population_health_zone_zs'!$B303,[1]ratio_ins!$B:$B,0))</f>
        <v>10263.616650000002</v>
      </c>
      <c r="AM303" s="10">
        <f>INDEX([1]ratio_ins!AJ:AJ,MATCH('001_population_health_zone_zs'!$B$2,[1]ratio_ins!$B:$B,0))*$G303*INDEX([1]ratio_ins!$D:$D,MATCH('001_population_health_zone_zs'!$B303,[1]ratio_ins!$B:$B,0))</f>
        <v>9383.8780800000004</v>
      </c>
      <c r="AN303" s="10">
        <f>INDEX([1]ratio_ins!AK:AK,MATCH('001_population_health_zone_zs'!$B$2,[1]ratio_ins!$B:$B,0))*$G303*INDEX([1]ratio_ins!$D:$D,MATCH('001_population_health_zone_zs'!$B303,[1]ratio_ins!$B:$B,0))</f>
        <v>8797.3856999999989</v>
      </c>
      <c r="AO303" s="10">
        <f>INDEX([1]ratio_ins!AL:AL,MATCH('001_population_health_zone_zs'!$B$2,[1]ratio_ins!$B:$B,0))*$G303*INDEX([1]ratio_ins!$D:$D,MATCH('001_population_health_zone_zs'!$B303,[1]ratio_ins!$B:$B,0))</f>
        <v>6598.0392750000001</v>
      </c>
      <c r="AP303" s="10">
        <f>INDEX([1]ratio_ins!AM:AM,MATCH('001_population_health_zone_zs'!$B$2,[1]ratio_ins!$B:$B,0))*$G303*INDEX([1]ratio_ins!$D:$D,MATCH('001_population_health_zone_zs'!$B303,[1]ratio_ins!$B:$B,0))</f>
        <v>4252.0697550000004</v>
      </c>
      <c r="AQ303" s="10">
        <f>INDEX([1]ratio_ins!AN:AN,MATCH('001_population_health_zone_zs'!$B$2,[1]ratio_ins!$B:$B,0))*$G303*INDEX([1]ratio_ins!$D:$D,MATCH('001_population_health_zone_zs'!$B303,[1]ratio_ins!$B:$B,0))</f>
        <v>3372.331185</v>
      </c>
      <c r="AR303" s="10">
        <f>INDEX([1]ratio_ins!AO:AO,MATCH('001_population_health_zone_zs'!$B$2,[1]ratio_ins!$B:$B,0))*$G303*INDEX([1]ratio_ins!$D:$D,MATCH('001_population_health_zone_zs'!$B303,[1]ratio_ins!$B:$B,0))</f>
        <v>1612.854045</v>
      </c>
      <c r="AS303" s="13">
        <f>INDEX([1]ratio_ins!AP:AP,MATCH('001_population_health_zone_zs'!$B$2,[1]ratio_ins!$B:$B,0))*$G303*INDEX([1]ratio_ins!$D:$D,MATCH('001_population_health_zone_zs'!$B303,[1]ratio_ins!$B:$B,0))</f>
        <v>59998.170474000006</v>
      </c>
      <c r="AT303" s="10">
        <f>INDEX([1]ratio_ins!AQ:AQ,MATCH('001_population_health_zone_zs'!$B$2,[1]ratio_ins!$B:$B,0))*$G303*INDEX([1]ratio_ins!$D:$D,MATCH('001_population_health_zone_zs'!$B303,[1]ratio_ins!$B:$B,0))</f>
        <v>1466.2309500000001</v>
      </c>
      <c r="AU303" s="10">
        <f>INDEX([1]ratio_ins!AR:AR,MATCH('001_population_health_zone_zs'!$B$2,[1]ratio_ins!$B:$B,0))*$G303*INDEX([1]ratio_ins!$D:$D,MATCH('001_population_health_zone_zs'!$B303,[1]ratio_ins!$B:$B,0))</f>
        <v>879.7385700000001</v>
      </c>
      <c r="AV303" s="10">
        <f>INDEX([1]ratio_ins!AS:AS,MATCH('001_population_health_zone_zs'!$B$2,[1]ratio_ins!$B:$B,0))*$G303*INDEX([1]ratio_ins!$D:$D,MATCH('001_population_health_zone_zs'!$B303,[1]ratio_ins!$B:$B,0))</f>
        <v>439.86928500000005</v>
      </c>
      <c r="AW303" s="10">
        <f>INDEX([1]ratio_ins!AT:AT,MATCH('001_population_health_zone_zs'!$B$2,[1]ratio_ins!$B:$B,0))*$G303*INDEX([1]ratio_ins!$D:$D,MATCH('001_population_health_zone_zs'!$B303,[1]ratio_ins!$B:$B,0))</f>
        <v>293.24619000000001</v>
      </c>
      <c r="AX303" s="13">
        <f>INDEX([1]ratio_ins!AU:AU,MATCH('001_population_health_zone_zs'!$B$2,[1]ratio_ins!$B:$B,0))*$G303*INDEX([1]ratio_ins!$D:$D,MATCH('001_population_health_zone_zs'!$B303,[1]ratio_ins!$B:$B,0))</f>
        <v>3079.0849950000002</v>
      </c>
      <c r="AY303" s="14">
        <f t="shared" si="25"/>
        <v>146623.095</v>
      </c>
      <c r="AZ303" s="15">
        <f t="shared" si="26"/>
        <v>285815</v>
      </c>
      <c r="BA303" s="16">
        <v>274230.07477246324</v>
      </c>
      <c r="BB303" s="10">
        <f t="shared" si="27"/>
        <v>62314.815375000006</v>
      </c>
      <c r="BC303" s="17">
        <f t="shared" si="28"/>
        <v>0.21802500000000002</v>
      </c>
      <c r="BD303" s="10">
        <f t="shared" si="29"/>
        <v>58043.024385000019</v>
      </c>
    </row>
    <row r="304" spans="1:56" x14ac:dyDescent="0.25">
      <c r="A304" s="8" t="s">
        <v>671</v>
      </c>
      <c r="B304" s="8" t="s">
        <v>672</v>
      </c>
      <c r="C304" s="8" t="s">
        <v>738</v>
      </c>
      <c r="D304" s="8" t="s">
        <v>739</v>
      </c>
      <c r="E304" s="8" t="s">
        <v>738</v>
      </c>
      <c r="F304" s="8" t="s">
        <v>748</v>
      </c>
      <c r="G304" s="9">
        <v>285007</v>
      </c>
      <c r="H304" s="10">
        <f>INDEX([1]ratio_ins!F:F,MATCH('001_population_health_zone_zs'!$B$2,[1]ratio_ins!$B:$B,0))*$G304*INDEX([1]ratio_ins!$C:$C,MATCH('001_population_health_zone_zs'!$B304,[1]ratio_ins!$B:$B,0))</f>
        <v>29008.867481000001</v>
      </c>
      <c r="I304" s="10">
        <f>INDEX([1]ratio_ins!G:G,MATCH('001_population_health_zone_zs'!$B$2,[1]ratio_ins!$B:$B,0))*$G304*INDEX([1]ratio_ins!$C:$C,MATCH('001_population_health_zone_zs'!$B304,[1]ratio_ins!$B:$B,0))</f>
        <v>23734.527939000003</v>
      </c>
      <c r="J304" s="10">
        <f>INDEX([1]ratio_ins!H:H,MATCH('001_population_health_zone_zs'!$B$2,[1]ratio_ins!$B:$B,0))*$G304*INDEX([1]ratio_ins!$C:$C,MATCH('001_population_health_zone_zs'!$B304,[1]ratio_ins!$B:$B,0))</f>
        <v>18737.785215</v>
      </c>
      <c r="K304" s="10">
        <f>INDEX([1]ratio_ins!I:I,MATCH('001_population_health_zone_zs'!$B$2,[1]ratio_ins!$B:$B,0))*$G304*INDEX([1]ratio_ins!$C:$C,MATCH('001_population_health_zone_zs'!$B304,[1]ratio_ins!$B:$B,0))</f>
        <v>11520.267947000002</v>
      </c>
      <c r="L304" s="10">
        <f>INDEX([1]ratio_ins!J:J,MATCH('001_population_health_zone_zs'!$B$2,[1]ratio_ins!$B:$B,0))*$G304*INDEX([1]ratio_ins!$C:$C,MATCH('001_population_health_zone_zs'!$B304,[1]ratio_ins!$B:$B,0))</f>
        <v>6912.1607682000003</v>
      </c>
      <c r="M304" s="11">
        <f>INDEX([1]ratio_ins!K:K,MATCH('001_population_health_zone_zs'!$B$2,[1]ratio_ins!$B:$B,0))*$G304*INDEX([1]ratio_ins!$C:$C,MATCH('001_population_health_zone_zs'!$B304,[1]ratio_ins!$B:$B,0))</f>
        <v>78393.3414032</v>
      </c>
      <c r="N304" s="10">
        <f>INDEX([1]ratio_ins!L:L,MATCH('001_population_health_zone_zs'!$B$2,[1]ratio_ins!$B:$B,0))*$G304*INDEX([1]ratio_ins!$C:$C,MATCH('001_population_health_zone_zs'!$B304,[1]ratio_ins!$B:$B,0))</f>
        <v>4608.1071788000008</v>
      </c>
      <c r="O304" s="10">
        <f>INDEX([1]ratio_ins!M:M,MATCH('001_population_health_zone_zs'!$B$2,[1]ratio_ins!$B:$B,0))*$G304*INDEX([1]ratio_ins!$C:$C,MATCH('001_population_health_zone_zs'!$B304,[1]ratio_ins!$B:$B,0))</f>
        <v>9993.4854480000013</v>
      </c>
      <c r="P304" s="10">
        <f>INDEX([1]ratio_ins!N:N,MATCH('001_population_health_zone_zs'!$B$2,[1]ratio_ins!$B:$B,0))*$G304*INDEX([1]ratio_ins!$C:$C,MATCH('001_population_health_zone_zs'!$B304,[1]ratio_ins!$B:$B,0))</f>
        <v>9021.8965850000022</v>
      </c>
      <c r="Q304" s="10">
        <f>INDEX([1]ratio_ins!O:O,MATCH('001_population_health_zone_zs'!$B$2,[1]ratio_ins!$B:$B,0))*$G304*INDEX([1]ratio_ins!$C:$C,MATCH('001_population_health_zone_zs'!$B304,[1]ratio_ins!$B:$B,0))</f>
        <v>8050.3077220000005</v>
      </c>
      <c r="R304" s="10">
        <f>INDEX([1]ratio_ins!P:P,MATCH('001_population_health_zone_zs'!$B$2,[1]ratio_ins!$B:$B,0))*$G304*INDEX([1]ratio_ins!$C:$C,MATCH('001_population_health_zone_zs'!$B304,[1]ratio_ins!$B:$B,0))</f>
        <v>7911.5093130000014</v>
      </c>
      <c r="S304" s="10">
        <f>INDEX([1]ratio_ins!Q:Q,MATCH('001_population_health_zone_zs'!$B$2,[1]ratio_ins!$B:$B,0))*$G304*INDEX([1]ratio_ins!$C:$C,MATCH('001_population_health_zone_zs'!$B304,[1]ratio_ins!$B:$B,0))</f>
        <v>6662.3236320000015</v>
      </c>
      <c r="T304" s="10">
        <f>INDEX([1]ratio_ins!R:R,MATCH('001_population_health_zone_zs'!$B$2,[1]ratio_ins!$B:$B,0))*$G304*INDEX([1]ratio_ins!$C:$C,MATCH('001_population_health_zone_zs'!$B304,[1]ratio_ins!$B:$B,0))</f>
        <v>4719.1459060000007</v>
      </c>
      <c r="U304" s="10">
        <f>INDEX([1]ratio_ins!S:S,MATCH('001_population_health_zone_zs'!$B$2,[1]ratio_ins!$B:$B,0))*$G304*INDEX([1]ratio_ins!$C:$C,MATCH('001_population_health_zone_zs'!$B304,[1]ratio_ins!$B:$B,0))</f>
        <v>3747.5570430000007</v>
      </c>
      <c r="V304" s="10">
        <f>INDEX([1]ratio_ins!T:T,MATCH('001_population_health_zone_zs'!$B$2,[1]ratio_ins!$B:$B,0))*$G304*INDEX([1]ratio_ins!$C:$C,MATCH('001_population_health_zone_zs'!$B304,[1]ratio_ins!$B:$B,0))</f>
        <v>2081.9761349999999</v>
      </c>
      <c r="W304" s="11">
        <f>INDEX([1]ratio_ins!U:U,MATCH('001_population_health_zone_zs'!$B$2,[1]ratio_ins!$B:$B,0))*$G304*INDEX([1]ratio_ins!$C:$C,MATCH('001_population_health_zone_zs'!$B304,[1]ratio_ins!$B:$B,0))</f>
        <v>56796.308962800009</v>
      </c>
      <c r="X304" s="10">
        <f>INDEX([1]ratio_ins!V:V,MATCH('001_population_health_zone_zs'!$B$2,[1]ratio_ins!$B:$B,0))*$G304*INDEX([1]ratio_ins!$C:$C,MATCH('001_population_health_zone_zs'!$B304,[1]ratio_ins!$B:$B,0))</f>
        <v>1665.5809080000004</v>
      </c>
      <c r="Y304" s="10">
        <f>INDEX([1]ratio_ins!W:W,MATCH('001_population_health_zone_zs'!$B$2,[1]ratio_ins!$B:$B,0))*$G304*INDEX([1]ratio_ins!$C:$C,MATCH('001_population_health_zone_zs'!$B304,[1]ratio_ins!$B:$B,0))</f>
        <v>1110.3872720000002</v>
      </c>
      <c r="Z304" s="10">
        <f>INDEX([1]ratio_ins!X:X,MATCH('001_population_health_zone_zs'!$B$2,[1]ratio_ins!$B:$B,0))*$G304*INDEX([1]ratio_ins!$C:$C,MATCH('001_population_health_zone_zs'!$B304,[1]ratio_ins!$B:$B,0))</f>
        <v>555.19363600000008</v>
      </c>
      <c r="AA304" s="10">
        <f>INDEX([1]ratio_ins!Y:Y,MATCH('001_population_health_zone_zs'!$B$2,[1]ratio_ins!$B:$B,0))*$G304*INDEX([1]ratio_ins!$C:$C,MATCH('001_population_health_zone_zs'!$B304,[1]ratio_ins!$B:$B,0))</f>
        <v>277.59681800000004</v>
      </c>
      <c r="AB304" s="11">
        <f>INDEX([1]ratio_ins!Z:Z,MATCH('001_population_health_zone_zs'!$B$2,[1]ratio_ins!$B:$B,0))*$G304*INDEX([1]ratio_ins!$C:$C,MATCH('001_population_health_zone_zs'!$B304,[1]ratio_ins!$B:$B,0))</f>
        <v>3608.7586340000007</v>
      </c>
      <c r="AC304" s="12">
        <f t="shared" si="24"/>
        <v>138798.40900000001</v>
      </c>
      <c r="AD304" s="10">
        <f>INDEX([1]ratio_ins!AA:AA,MATCH('001_population_health_zone_zs'!$B$2,[1]ratio_ins!$B:$B,0))*$G304*INDEX([1]ratio_ins!$D:$D,MATCH('001_population_health_zone_zs'!$B304,[1]ratio_ins!$B:$B,0))</f>
        <v>30703.804110000001</v>
      </c>
      <c r="AE304" s="10">
        <f>INDEX([1]ratio_ins!AB:AB,MATCH('001_population_health_zone_zs'!$B$2,[1]ratio_ins!$B:$B,0))*$G304*INDEX([1]ratio_ins!$D:$D,MATCH('001_population_health_zone_zs'!$B304,[1]ratio_ins!$B:$B,0))</f>
        <v>25294.086243000002</v>
      </c>
      <c r="AF304" s="10">
        <f>INDEX([1]ratio_ins!AC:AC,MATCH('001_population_health_zone_zs'!$B$2,[1]ratio_ins!$B:$B,0))*$G304*INDEX([1]ratio_ins!$D:$D,MATCH('001_population_health_zone_zs'!$B304,[1]ratio_ins!$B:$B,0))</f>
        <v>20030.576966999997</v>
      </c>
      <c r="AG304" s="10">
        <f>INDEX([1]ratio_ins!AD:AD,MATCH('001_population_health_zone_zs'!$B$2,[1]ratio_ins!$B:$B,0))*$G304*INDEX([1]ratio_ins!$D:$D,MATCH('001_population_health_zone_zs'!$B304,[1]ratio_ins!$B:$B,0))</f>
        <v>12135.313053000002</v>
      </c>
      <c r="AH304" s="10">
        <f>INDEX([1]ratio_ins!AE:AE,MATCH('001_population_health_zone_zs'!$B$2,[1]ratio_ins!$B:$B,0))*$G304*INDEX([1]ratio_ins!$D:$D,MATCH('001_population_health_zone_zs'!$B304,[1]ratio_ins!$B:$B,0))</f>
        <v>7281.1878317999999</v>
      </c>
      <c r="AI304" s="13">
        <f>INDEX([1]ratio_ins!AF:AF,MATCH('001_population_health_zone_zs'!$B$2,[1]ratio_ins!$B:$B,0))*$G304*INDEX([1]ratio_ins!$D:$D,MATCH('001_population_health_zone_zs'!$B304,[1]ratio_ins!$B:$B,0))</f>
        <v>83309.655151799991</v>
      </c>
      <c r="AJ304" s="10">
        <f>INDEX([1]ratio_ins!AG:AG,MATCH('001_population_health_zone_zs'!$B$2,[1]ratio_ins!$B:$B,0))*$G304*INDEX([1]ratio_ins!$D:$D,MATCH('001_population_health_zone_zs'!$B304,[1]ratio_ins!$B:$B,0))</f>
        <v>4854.1252212000009</v>
      </c>
      <c r="AK304" s="10">
        <f>INDEX([1]ratio_ins!AH:AH,MATCH('001_population_health_zone_zs'!$B$2,[1]ratio_ins!$B:$B,0))*$G304*INDEX([1]ratio_ins!$D:$D,MATCH('001_population_health_zone_zs'!$B304,[1]ratio_ins!$B:$B,0))</f>
        <v>10819.435734000002</v>
      </c>
      <c r="AL304" s="10">
        <f>INDEX([1]ratio_ins!AI:AI,MATCH('001_population_health_zone_zs'!$B$2,[1]ratio_ins!$B:$B,0))*$G304*INDEX([1]ratio_ins!$D:$D,MATCH('001_population_health_zone_zs'!$B304,[1]ratio_ins!$B:$B,0))</f>
        <v>10234.60137</v>
      </c>
      <c r="AM304" s="10">
        <f>INDEX([1]ratio_ins!AJ:AJ,MATCH('001_population_health_zone_zs'!$B$2,[1]ratio_ins!$B:$B,0))*$G304*INDEX([1]ratio_ins!$D:$D,MATCH('001_population_health_zone_zs'!$B304,[1]ratio_ins!$B:$B,0))</f>
        <v>9357.3498240000008</v>
      </c>
      <c r="AN304" s="10">
        <f>INDEX([1]ratio_ins!AK:AK,MATCH('001_population_health_zone_zs'!$B$2,[1]ratio_ins!$B:$B,0))*$G304*INDEX([1]ratio_ins!$D:$D,MATCH('001_population_health_zone_zs'!$B304,[1]ratio_ins!$B:$B,0))</f>
        <v>8772.5154599999987</v>
      </c>
      <c r="AO304" s="10">
        <f>INDEX([1]ratio_ins!AL:AL,MATCH('001_population_health_zone_zs'!$B$2,[1]ratio_ins!$B:$B,0))*$G304*INDEX([1]ratio_ins!$D:$D,MATCH('001_population_health_zone_zs'!$B304,[1]ratio_ins!$B:$B,0))</f>
        <v>6579.386594999999</v>
      </c>
      <c r="AP304" s="10">
        <f>INDEX([1]ratio_ins!AM:AM,MATCH('001_population_health_zone_zs'!$B$2,[1]ratio_ins!$B:$B,0))*$G304*INDEX([1]ratio_ins!$D:$D,MATCH('001_population_health_zone_zs'!$B304,[1]ratio_ins!$B:$B,0))</f>
        <v>4240.0491389999997</v>
      </c>
      <c r="AQ304" s="10">
        <f>INDEX([1]ratio_ins!AN:AN,MATCH('001_population_health_zone_zs'!$B$2,[1]ratio_ins!$B:$B,0))*$G304*INDEX([1]ratio_ins!$D:$D,MATCH('001_population_health_zone_zs'!$B304,[1]ratio_ins!$B:$B,0))</f>
        <v>3362.7975930000002</v>
      </c>
      <c r="AR304" s="10">
        <f>INDEX([1]ratio_ins!AO:AO,MATCH('001_population_health_zone_zs'!$B$2,[1]ratio_ins!$B:$B,0))*$G304*INDEX([1]ratio_ins!$D:$D,MATCH('001_population_health_zone_zs'!$B304,[1]ratio_ins!$B:$B,0))</f>
        <v>1608.2945010000001</v>
      </c>
      <c r="AS304" s="13">
        <f>INDEX([1]ratio_ins!AP:AP,MATCH('001_population_health_zone_zs'!$B$2,[1]ratio_ins!$B:$B,0))*$G304*INDEX([1]ratio_ins!$D:$D,MATCH('001_population_health_zone_zs'!$B304,[1]ratio_ins!$B:$B,0))</f>
        <v>59828.555437200004</v>
      </c>
      <c r="AT304" s="10">
        <f>INDEX([1]ratio_ins!AQ:AQ,MATCH('001_population_health_zone_zs'!$B$2,[1]ratio_ins!$B:$B,0))*$G304*INDEX([1]ratio_ins!$D:$D,MATCH('001_population_health_zone_zs'!$B304,[1]ratio_ins!$B:$B,0))</f>
        <v>1462.08591</v>
      </c>
      <c r="AU304" s="10">
        <f>INDEX([1]ratio_ins!AR:AR,MATCH('001_population_health_zone_zs'!$B$2,[1]ratio_ins!$B:$B,0))*$G304*INDEX([1]ratio_ins!$D:$D,MATCH('001_population_health_zone_zs'!$B304,[1]ratio_ins!$B:$B,0))</f>
        <v>877.25154600000008</v>
      </c>
      <c r="AV304" s="10">
        <f>INDEX([1]ratio_ins!AS:AS,MATCH('001_population_health_zone_zs'!$B$2,[1]ratio_ins!$B:$B,0))*$G304*INDEX([1]ratio_ins!$D:$D,MATCH('001_population_health_zone_zs'!$B304,[1]ratio_ins!$B:$B,0))</f>
        <v>438.62577300000004</v>
      </c>
      <c r="AW304" s="10">
        <f>INDEX([1]ratio_ins!AT:AT,MATCH('001_population_health_zone_zs'!$B$2,[1]ratio_ins!$B:$B,0))*$G304*INDEX([1]ratio_ins!$D:$D,MATCH('001_population_health_zone_zs'!$B304,[1]ratio_ins!$B:$B,0))</f>
        <v>292.41718200000003</v>
      </c>
      <c r="AX304" s="13">
        <f>INDEX([1]ratio_ins!AU:AU,MATCH('001_population_health_zone_zs'!$B$2,[1]ratio_ins!$B:$B,0))*$G304*INDEX([1]ratio_ins!$D:$D,MATCH('001_population_health_zone_zs'!$B304,[1]ratio_ins!$B:$B,0))</f>
        <v>3070.3804109999996</v>
      </c>
      <c r="AY304" s="14">
        <f t="shared" si="25"/>
        <v>146208.59099999999</v>
      </c>
      <c r="AZ304" s="15">
        <f t="shared" si="26"/>
        <v>285007</v>
      </c>
      <c r="BA304" s="16">
        <v>273454.74585836381</v>
      </c>
      <c r="BB304" s="10">
        <f t="shared" si="27"/>
        <v>62138.651175000006</v>
      </c>
      <c r="BC304" s="17">
        <f t="shared" si="28"/>
        <v>0.21802500000000002</v>
      </c>
      <c r="BD304" s="10">
        <f t="shared" si="29"/>
        <v>57878.936553</v>
      </c>
    </row>
    <row r="305" spans="1:56" x14ac:dyDescent="0.25">
      <c r="A305" s="8" t="s">
        <v>671</v>
      </c>
      <c r="B305" s="8" t="s">
        <v>672</v>
      </c>
      <c r="C305" s="8" t="s">
        <v>738</v>
      </c>
      <c r="D305" s="8" t="s">
        <v>739</v>
      </c>
      <c r="E305" s="8" t="s">
        <v>749</v>
      </c>
      <c r="F305" s="8" t="s">
        <v>750</v>
      </c>
      <c r="G305" s="9">
        <v>261046</v>
      </c>
      <c r="H305" s="10">
        <f>INDEX([1]ratio_ins!F:F,MATCH('001_population_health_zone_zs'!$B$2,[1]ratio_ins!$B:$B,0))*$G305*INDEX([1]ratio_ins!$C:$C,MATCH('001_population_health_zone_zs'!$B305,[1]ratio_ins!$B:$B,0))</f>
        <v>26570.045018000001</v>
      </c>
      <c r="I305" s="10">
        <f>INDEX([1]ratio_ins!G:G,MATCH('001_population_health_zone_zs'!$B$2,[1]ratio_ins!$B:$B,0))*$G305*INDEX([1]ratio_ins!$C:$C,MATCH('001_population_health_zone_zs'!$B305,[1]ratio_ins!$B:$B,0))</f>
        <v>21739.127742000004</v>
      </c>
      <c r="J305" s="10">
        <f>INDEX([1]ratio_ins!H:H,MATCH('001_population_health_zone_zs'!$B$2,[1]ratio_ins!$B:$B,0))*$G305*INDEX([1]ratio_ins!$C:$C,MATCH('001_population_health_zone_zs'!$B305,[1]ratio_ins!$B:$B,0))</f>
        <v>17162.469270000001</v>
      </c>
      <c r="K305" s="10">
        <f>INDEX([1]ratio_ins!I:I,MATCH('001_population_health_zone_zs'!$B$2,[1]ratio_ins!$B:$B,0))*$G305*INDEX([1]ratio_ins!$C:$C,MATCH('001_population_health_zone_zs'!$B305,[1]ratio_ins!$B:$B,0))</f>
        <v>10551.740366000002</v>
      </c>
      <c r="L305" s="10">
        <f>INDEX([1]ratio_ins!J:J,MATCH('001_population_health_zone_zs'!$B$2,[1]ratio_ins!$B:$B,0))*$G305*INDEX([1]ratio_ins!$C:$C,MATCH('001_population_health_zone_zs'!$B305,[1]ratio_ins!$B:$B,0))</f>
        <v>6331.0442196000004</v>
      </c>
      <c r="M305" s="11">
        <f>INDEX([1]ratio_ins!K:K,MATCH('001_population_health_zone_zs'!$B$2,[1]ratio_ins!$B:$B,0))*$G305*INDEX([1]ratio_ins!$C:$C,MATCH('001_population_health_zone_zs'!$B305,[1]ratio_ins!$B:$B,0))</f>
        <v>71802.686249599996</v>
      </c>
      <c r="N305" s="10">
        <f>INDEX([1]ratio_ins!L:L,MATCH('001_population_health_zone_zs'!$B$2,[1]ratio_ins!$B:$B,0))*$G305*INDEX([1]ratio_ins!$C:$C,MATCH('001_population_health_zone_zs'!$B305,[1]ratio_ins!$B:$B,0))</f>
        <v>4220.6961463999996</v>
      </c>
      <c r="O305" s="10">
        <f>INDEX([1]ratio_ins!M:M,MATCH('001_population_health_zone_zs'!$B$2,[1]ratio_ins!$B:$B,0))*$G305*INDEX([1]ratio_ins!$C:$C,MATCH('001_population_health_zone_zs'!$B305,[1]ratio_ins!$B:$B,0))</f>
        <v>9153.316944000002</v>
      </c>
      <c r="P305" s="10">
        <f>INDEX([1]ratio_ins!N:N,MATCH('001_population_health_zone_zs'!$B$2,[1]ratio_ins!$B:$B,0))*$G305*INDEX([1]ratio_ins!$C:$C,MATCH('001_population_health_zone_zs'!$B305,[1]ratio_ins!$B:$B,0))</f>
        <v>8263.4111300000022</v>
      </c>
      <c r="Q305" s="10">
        <f>INDEX([1]ratio_ins!O:O,MATCH('001_population_health_zone_zs'!$B$2,[1]ratio_ins!$B:$B,0))*$G305*INDEX([1]ratio_ins!$C:$C,MATCH('001_population_health_zone_zs'!$B305,[1]ratio_ins!$B:$B,0))</f>
        <v>7373.5053160000007</v>
      </c>
      <c r="R305" s="10">
        <f>INDEX([1]ratio_ins!P:P,MATCH('001_population_health_zone_zs'!$B$2,[1]ratio_ins!$B:$B,0))*$G305*INDEX([1]ratio_ins!$C:$C,MATCH('001_population_health_zone_zs'!$B305,[1]ratio_ins!$B:$B,0))</f>
        <v>7246.3759140000011</v>
      </c>
      <c r="S305" s="10">
        <f>INDEX([1]ratio_ins!Q:Q,MATCH('001_population_health_zone_zs'!$B$2,[1]ratio_ins!$B:$B,0))*$G305*INDEX([1]ratio_ins!$C:$C,MATCH('001_population_health_zone_zs'!$B305,[1]ratio_ins!$B:$B,0))</f>
        <v>6102.2112960000004</v>
      </c>
      <c r="T305" s="10">
        <f>INDEX([1]ratio_ins!R:R,MATCH('001_population_health_zone_zs'!$B$2,[1]ratio_ins!$B:$B,0))*$G305*INDEX([1]ratio_ins!$C:$C,MATCH('001_population_health_zone_zs'!$B305,[1]ratio_ins!$B:$B,0))</f>
        <v>4322.3996680000009</v>
      </c>
      <c r="U305" s="10">
        <f>INDEX([1]ratio_ins!S:S,MATCH('001_population_health_zone_zs'!$B$2,[1]ratio_ins!$B:$B,0))*$G305*INDEX([1]ratio_ins!$C:$C,MATCH('001_population_health_zone_zs'!$B305,[1]ratio_ins!$B:$B,0))</f>
        <v>3432.4938540000007</v>
      </c>
      <c r="V305" s="10">
        <f>INDEX([1]ratio_ins!T:T,MATCH('001_population_health_zone_zs'!$B$2,[1]ratio_ins!$B:$B,0))*$G305*INDEX([1]ratio_ins!$C:$C,MATCH('001_population_health_zone_zs'!$B305,[1]ratio_ins!$B:$B,0))</f>
        <v>1906.9410300000002</v>
      </c>
      <c r="W305" s="11">
        <f>INDEX([1]ratio_ins!U:U,MATCH('001_population_health_zone_zs'!$B$2,[1]ratio_ins!$B:$B,0))*$G305*INDEX([1]ratio_ins!$C:$C,MATCH('001_population_health_zone_zs'!$B305,[1]ratio_ins!$B:$B,0))</f>
        <v>52021.351298400004</v>
      </c>
      <c r="X305" s="10">
        <f>INDEX([1]ratio_ins!V:V,MATCH('001_population_health_zone_zs'!$B$2,[1]ratio_ins!$B:$B,0))*$G305*INDEX([1]ratio_ins!$C:$C,MATCH('001_population_health_zone_zs'!$B305,[1]ratio_ins!$B:$B,0))</f>
        <v>1525.5528240000001</v>
      </c>
      <c r="Y305" s="10">
        <f>INDEX([1]ratio_ins!W:W,MATCH('001_population_health_zone_zs'!$B$2,[1]ratio_ins!$B:$B,0))*$G305*INDEX([1]ratio_ins!$C:$C,MATCH('001_population_health_zone_zs'!$B305,[1]ratio_ins!$B:$B,0))</f>
        <v>1017.0352160000001</v>
      </c>
      <c r="Z305" s="10">
        <f>INDEX([1]ratio_ins!X:X,MATCH('001_population_health_zone_zs'!$B$2,[1]ratio_ins!$B:$B,0))*$G305*INDEX([1]ratio_ins!$C:$C,MATCH('001_population_health_zone_zs'!$B305,[1]ratio_ins!$B:$B,0))</f>
        <v>508.51760800000005</v>
      </c>
      <c r="AA305" s="10">
        <f>INDEX([1]ratio_ins!Y:Y,MATCH('001_population_health_zone_zs'!$B$2,[1]ratio_ins!$B:$B,0))*$G305*INDEX([1]ratio_ins!$C:$C,MATCH('001_population_health_zone_zs'!$B305,[1]ratio_ins!$B:$B,0))</f>
        <v>254.25880400000003</v>
      </c>
      <c r="AB305" s="11">
        <f>INDEX([1]ratio_ins!Z:Z,MATCH('001_population_health_zone_zs'!$B$2,[1]ratio_ins!$B:$B,0))*$G305*INDEX([1]ratio_ins!$C:$C,MATCH('001_population_health_zone_zs'!$B305,[1]ratio_ins!$B:$B,0))</f>
        <v>3305.3644520000007</v>
      </c>
      <c r="AC305" s="12">
        <f t="shared" si="24"/>
        <v>127129.40199999999</v>
      </c>
      <c r="AD305" s="10">
        <f>INDEX([1]ratio_ins!AA:AA,MATCH('001_population_health_zone_zs'!$B$2,[1]ratio_ins!$B:$B,0))*$G305*INDEX([1]ratio_ins!$D:$D,MATCH('001_population_health_zone_zs'!$B305,[1]ratio_ins!$B:$B,0))</f>
        <v>28122.48558</v>
      </c>
      <c r="AE305" s="10">
        <f>INDEX([1]ratio_ins!AB:AB,MATCH('001_population_health_zone_zs'!$B$2,[1]ratio_ins!$B:$B,0))*$G305*INDEX([1]ratio_ins!$D:$D,MATCH('001_population_health_zone_zs'!$B305,[1]ratio_ins!$B:$B,0))</f>
        <v>23167.571454000004</v>
      </c>
      <c r="AF305" s="10">
        <f>INDEX([1]ratio_ins!AC:AC,MATCH('001_population_health_zone_zs'!$B$2,[1]ratio_ins!$B:$B,0))*$G305*INDEX([1]ratio_ins!$D:$D,MATCH('001_population_health_zone_zs'!$B305,[1]ratio_ins!$B:$B,0))</f>
        <v>18346.573925999997</v>
      </c>
      <c r="AG305" s="10">
        <f>INDEX([1]ratio_ins!AD:AD,MATCH('001_population_health_zone_zs'!$B$2,[1]ratio_ins!$B:$B,0))*$G305*INDEX([1]ratio_ins!$D:$D,MATCH('001_population_health_zone_zs'!$B305,[1]ratio_ins!$B:$B,0))</f>
        <v>11115.077634000001</v>
      </c>
      <c r="AH305" s="10">
        <f>INDEX([1]ratio_ins!AE:AE,MATCH('001_population_health_zone_zs'!$B$2,[1]ratio_ins!$B:$B,0))*$G305*INDEX([1]ratio_ins!$D:$D,MATCH('001_population_health_zone_zs'!$B305,[1]ratio_ins!$B:$B,0))</f>
        <v>6669.0465804000005</v>
      </c>
      <c r="AI305" s="13">
        <f>INDEX([1]ratio_ins!AF:AF,MATCH('001_population_health_zone_zs'!$B$2,[1]ratio_ins!$B:$B,0))*$G305*INDEX([1]ratio_ins!$D:$D,MATCH('001_population_health_zone_zs'!$B305,[1]ratio_ins!$B:$B,0))</f>
        <v>76305.677540399993</v>
      </c>
      <c r="AJ305" s="10">
        <f>INDEX([1]ratio_ins!AG:AG,MATCH('001_population_health_zone_zs'!$B$2,[1]ratio_ins!$B:$B,0))*$G305*INDEX([1]ratio_ins!$D:$D,MATCH('001_population_health_zone_zs'!$B305,[1]ratio_ins!$B:$B,0))</f>
        <v>4446.0310535999997</v>
      </c>
      <c r="AK305" s="10">
        <f>INDEX([1]ratio_ins!AH:AH,MATCH('001_population_health_zone_zs'!$B$2,[1]ratio_ins!$B:$B,0))*$G305*INDEX([1]ratio_ins!$D:$D,MATCH('001_population_health_zone_zs'!$B305,[1]ratio_ins!$B:$B,0))</f>
        <v>9909.8282520000012</v>
      </c>
      <c r="AL305" s="10">
        <f>INDEX([1]ratio_ins!AI:AI,MATCH('001_population_health_zone_zs'!$B$2,[1]ratio_ins!$B:$B,0))*$G305*INDEX([1]ratio_ins!$D:$D,MATCH('001_population_health_zone_zs'!$B305,[1]ratio_ins!$B:$B,0))</f>
        <v>9374.1618600000002</v>
      </c>
      <c r="AM305" s="10">
        <f>INDEX([1]ratio_ins!AJ:AJ,MATCH('001_population_health_zone_zs'!$B$2,[1]ratio_ins!$B:$B,0))*$G305*INDEX([1]ratio_ins!$D:$D,MATCH('001_population_health_zone_zs'!$B305,[1]ratio_ins!$B:$B,0))</f>
        <v>8570.6622719999996</v>
      </c>
      <c r="AN305" s="10">
        <f>INDEX([1]ratio_ins!AK:AK,MATCH('001_population_health_zone_zs'!$B$2,[1]ratio_ins!$B:$B,0))*$G305*INDEX([1]ratio_ins!$D:$D,MATCH('001_population_health_zone_zs'!$B305,[1]ratio_ins!$B:$B,0))</f>
        <v>8034.9958800000004</v>
      </c>
      <c r="AO305" s="10">
        <f>INDEX([1]ratio_ins!AL:AL,MATCH('001_population_health_zone_zs'!$B$2,[1]ratio_ins!$B:$B,0))*$G305*INDEX([1]ratio_ins!$D:$D,MATCH('001_population_health_zone_zs'!$B305,[1]ratio_ins!$B:$B,0))</f>
        <v>6026.2469099999998</v>
      </c>
      <c r="AP305" s="10">
        <f>INDEX([1]ratio_ins!AM:AM,MATCH('001_population_health_zone_zs'!$B$2,[1]ratio_ins!$B:$B,0))*$G305*INDEX([1]ratio_ins!$D:$D,MATCH('001_population_health_zone_zs'!$B305,[1]ratio_ins!$B:$B,0))</f>
        <v>3883.5813419999999</v>
      </c>
      <c r="AQ305" s="10">
        <f>INDEX([1]ratio_ins!AN:AN,MATCH('001_population_health_zone_zs'!$B$2,[1]ratio_ins!$B:$B,0))*$G305*INDEX([1]ratio_ins!$D:$D,MATCH('001_population_health_zone_zs'!$B305,[1]ratio_ins!$B:$B,0))</f>
        <v>3080.0817540000003</v>
      </c>
      <c r="AR305" s="10">
        <f>INDEX([1]ratio_ins!AO:AO,MATCH('001_population_health_zone_zs'!$B$2,[1]ratio_ins!$B:$B,0))*$G305*INDEX([1]ratio_ins!$D:$D,MATCH('001_population_health_zone_zs'!$B305,[1]ratio_ins!$B:$B,0))</f>
        <v>1473.0825780000002</v>
      </c>
      <c r="AS305" s="13">
        <f>INDEX([1]ratio_ins!AP:AP,MATCH('001_population_health_zone_zs'!$B$2,[1]ratio_ins!$B:$B,0))*$G305*INDEX([1]ratio_ins!$D:$D,MATCH('001_population_health_zone_zs'!$B305,[1]ratio_ins!$B:$B,0))</f>
        <v>54798.671901599999</v>
      </c>
      <c r="AT305" s="10">
        <f>INDEX([1]ratio_ins!AQ:AQ,MATCH('001_population_health_zone_zs'!$B$2,[1]ratio_ins!$B:$B,0))*$G305*INDEX([1]ratio_ins!$D:$D,MATCH('001_population_health_zone_zs'!$B305,[1]ratio_ins!$B:$B,0))</f>
        <v>1339.16598</v>
      </c>
      <c r="AU305" s="10">
        <f>INDEX([1]ratio_ins!AR:AR,MATCH('001_population_health_zone_zs'!$B$2,[1]ratio_ins!$B:$B,0))*$G305*INDEX([1]ratio_ins!$D:$D,MATCH('001_population_health_zone_zs'!$B305,[1]ratio_ins!$B:$B,0))</f>
        <v>803.49958800000002</v>
      </c>
      <c r="AV305" s="10">
        <f>INDEX([1]ratio_ins!AS:AS,MATCH('001_population_health_zone_zs'!$B$2,[1]ratio_ins!$B:$B,0))*$G305*INDEX([1]ratio_ins!$D:$D,MATCH('001_population_health_zone_zs'!$B305,[1]ratio_ins!$B:$B,0))</f>
        <v>401.74979400000001</v>
      </c>
      <c r="AW305" s="10">
        <f>INDEX([1]ratio_ins!AT:AT,MATCH('001_population_health_zone_zs'!$B$2,[1]ratio_ins!$B:$B,0))*$G305*INDEX([1]ratio_ins!$D:$D,MATCH('001_population_health_zone_zs'!$B305,[1]ratio_ins!$B:$B,0))</f>
        <v>267.83319599999999</v>
      </c>
      <c r="AX305" s="13">
        <f>INDEX([1]ratio_ins!AU:AU,MATCH('001_population_health_zone_zs'!$B$2,[1]ratio_ins!$B:$B,0))*$G305*INDEX([1]ratio_ins!$D:$D,MATCH('001_population_health_zone_zs'!$B305,[1]ratio_ins!$B:$B,0))</f>
        <v>2812.2485579999998</v>
      </c>
      <c r="AY305" s="14">
        <f t="shared" si="25"/>
        <v>133916.59799999997</v>
      </c>
      <c r="AZ305" s="15">
        <f t="shared" si="26"/>
        <v>261045.99999999994</v>
      </c>
      <c r="BA305" s="16">
        <v>250464.77141180667</v>
      </c>
      <c r="BB305" s="10">
        <f t="shared" si="27"/>
        <v>56914.554150000004</v>
      </c>
      <c r="BC305" s="17">
        <f t="shared" si="28"/>
        <v>0.21802500000000002</v>
      </c>
      <c r="BD305" s="10">
        <f t="shared" si="29"/>
        <v>53012.96063400001</v>
      </c>
    </row>
    <row r="306" spans="1:56" x14ac:dyDescent="0.25">
      <c r="A306" s="8" t="s">
        <v>751</v>
      </c>
      <c r="B306" s="8" t="s">
        <v>752</v>
      </c>
      <c r="C306" s="8" t="s">
        <v>753</v>
      </c>
      <c r="D306" s="8" t="s">
        <v>754</v>
      </c>
      <c r="E306" s="8" t="s">
        <v>755</v>
      </c>
      <c r="F306" s="8" t="s">
        <v>756</v>
      </c>
      <c r="G306" s="9">
        <v>158952</v>
      </c>
      <c r="H306" s="10">
        <f>INDEX([1]ratio_ins!F:F,MATCH('001_population_health_zone_zs'!$B$2,[1]ratio_ins!$B:$B,0))*$G306*INDEX([1]ratio_ins!$C:$C,MATCH('001_population_health_zone_zs'!$B306,[1]ratio_ins!$B:$B,0))</f>
        <v>16311.495288</v>
      </c>
      <c r="I306" s="10">
        <f>INDEX([1]ratio_ins!G:G,MATCH('001_population_health_zone_zs'!$B$2,[1]ratio_ins!$B:$B,0))*$G306*INDEX([1]ratio_ins!$C:$C,MATCH('001_population_health_zone_zs'!$B306,[1]ratio_ins!$B:$B,0))</f>
        <v>13345.768872000001</v>
      </c>
      <c r="J306" s="10">
        <f>INDEX([1]ratio_ins!H:H,MATCH('001_population_health_zone_zs'!$B$2,[1]ratio_ins!$B:$B,0))*$G306*INDEX([1]ratio_ins!$C:$C,MATCH('001_population_health_zone_zs'!$B306,[1]ratio_ins!$B:$B,0))</f>
        <v>10536.133320000001</v>
      </c>
      <c r="K306" s="10">
        <f>INDEX([1]ratio_ins!I:I,MATCH('001_population_health_zone_zs'!$B$2,[1]ratio_ins!$B:$B,0))*$G306*INDEX([1]ratio_ins!$C:$C,MATCH('001_population_health_zone_zs'!$B306,[1]ratio_ins!$B:$B,0))</f>
        <v>6477.770856000001</v>
      </c>
      <c r="L306" s="10">
        <f>INDEX([1]ratio_ins!J:J,MATCH('001_population_health_zone_zs'!$B$2,[1]ratio_ins!$B:$B,0))*$G306*INDEX([1]ratio_ins!$C:$C,MATCH('001_population_health_zone_zs'!$B306,[1]ratio_ins!$B:$B,0))</f>
        <v>3886.6625135999998</v>
      </c>
      <c r="M306" s="11">
        <f>INDEX([1]ratio_ins!K:K,MATCH('001_population_health_zone_zs'!$B$2,[1]ratio_ins!$B:$B,0))*$G306*INDEX([1]ratio_ins!$C:$C,MATCH('001_population_health_zone_zs'!$B306,[1]ratio_ins!$B:$B,0))</f>
        <v>44080.059993599993</v>
      </c>
      <c r="N306" s="10">
        <f>INDEX([1]ratio_ins!L:L,MATCH('001_population_health_zone_zs'!$B$2,[1]ratio_ins!$B:$B,0))*$G306*INDEX([1]ratio_ins!$C:$C,MATCH('001_population_health_zone_zs'!$B306,[1]ratio_ins!$B:$B,0))</f>
        <v>2591.1083423999999</v>
      </c>
      <c r="O306" s="10">
        <f>INDEX([1]ratio_ins!M:M,MATCH('001_population_health_zone_zs'!$B$2,[1]ratio_ins!$B:$B,0))*$G306*INDEX([1]ratio_ins!$C:$C,MATCH('001_population_health_zone_zs'!$B306,[1]ratio_ins!$B:$B,0))</f>
        <v>5619.2711040000004</v>
      </c>
      <c r="P306" s="10">
        <f>INDEX([1]ratio_ins!N:N,MATCH('001_population_health_zone_zs'!$B$2,[1]ratio_ins!$B:$B,0))*$G306*INDEX([1]ratio_ins!$C:$C,MATCH('001_population_health_zone_zs'!$B306,[1]ratio_ins!$B:$B,0))</f>
        <v>5072.9530800000002</v>
      </c>
      <c r="Q306" s="10">
        <f>INDEX([1]ratio_ins!O:O,MATCH('001_population_health_zone_zs'!$B$2,[1]ratio_ins!$B:$B,0))*$G306*INDEX([1]ratio_ins!$C:$C,MATCH('001_population_health_zone_zs'!$B306,[1]ratio_ins!$B:$B,0))</f>
        <v>4526.6350559999992</v>
      </c>
      <c r="R306" s="10">
        <f>INDEX([1]ratio_ins!P:P,MATCH('001_population_health_zone_zs'!$B$2,[1]ratio_ins!$B:$B,0))*$G306*INDEX([1]ratio_ins!$C:$C,MATCH('001_population_health_zone_zs'!$B306,[1]ratio_ins!$B:$B,0))</f>
        <v>4448.5896240000002</v>
      </c>
      <c r="S306" s="10">
        <f>INDEX([1]ratio_ins!Q:Q,MATCH('001_population_health_zone_zs'!$B$2,[1]ratio_ins!$B:$B,0))*$G306*INDEX([1]ratio_ins!$C:$C,MATCH('001_population_health_zone_zs'!$B306,[1]ratio_ins!$B:$B,0))</f>
        <v>3746.1807359999998</v>
      </c>
      <c r="T306" s="10">
        <f>INDEX([1]ratio_ins!R:R,MATCH('001_population_health_zone_zs'!$B$2,[1]ratio_ins!$B:$B,0))*$G306*INDEX([1]ratio_ins!$C:$C,MATCH('001_population_health_zone_zs'!$B306,[1]ratio_ins!$B:$B,0))</f>
        <v>2653.544688</v>
      </c>
      <c r="U306" s="10">
        <f>INDEX([1]ratio_ins!S:S,MATCH('001_population_health_zone_zs'!$B$2,[1]ratio_ins!$B:$B,0))*$G306*INDEX([1]ratio_ins!$C:$C,MATCH('001_population_health_zone_zs'!$B306,[1]ratio_ins!$B:$B,0))</f>
        <v>2107.2266640000003</v>
      </c>
      <c r="V306" s="10">
        <f>INDEX([1]ratio_ins!T:T,MATCH('001_population_health_zone_zs'!$B$2,[1]ratio_ins!$B:$B,0))*$G306*INDEX([1]ratio_ins!$C:$C,MATCH('001_population_health_zone_zs'!$B306,[1]ratio_ins!$B:$B,0))</f>
        <v>1170.68148</v>
      </c>
      <c r="W306" s="11">
        <f>INDEX([1]ratio_ins!U:U,MATCH('001_population_health_zone_zs'!$B$2,[1]ratio_ins!$B:$B,0))*$G306*INDEX([1]ratio_ins!$C:$C,MATCH('001_population_health_zone_zs'!$B306,[1]ratio_ins!$B:$B,0))</f>
        <v>31936.190774399998</v>
      </c>
      <c r="X306" s="10">
        <f>INDEX([1]ratio_ins!V:V,MATCH('001_population_health_zone_zs'!$B$2,[1]ratio_ins!$B:$B,0))*$G306*INDEX([1]ratio_ins!$C:$C,MATCH('001_population_health_zone_zs'!$B306,[1]ratio_ins!$B:$B,0))</f>
        <v>936.54518399999995</v>
      </c>
      <c r="Y306" s="10">
        <f>INDEX([1]ratio_ins!W:W,MATCH('001_population_health_zone_zs'!$B$2,[1]ratio_ins!$B:$B,0))*$G306*INDEX([1]ratio_ins!$C:$C,MATCH('001_population_health_zone_zs'!$B306,[1]ratio_ins!$B:$B,0))</f>
        <v>624.36345599999993</v>
      </c>
      <c r="Z306" s="10">
        <f>INDEX([1]ratio_ins!X:X,MATCH('001_population_health_zone_zs'!$B$2,[1]ratio_ins!$B:$B,0))*$G306*INDEX([1]ratio_ins!$C:$C,MATCH('001_population_health_zone_zs'!$B306,[1]ratio_ins!$B:$B,0))</f>
        <v>312.18172799999996</v>
      </c>
      <c r="AA306" s="10">
        <f>INDEX([1]ratio_ins!Y:Y,MATCH('001_population_health_zone_zs'!$B$2,[1]ratio_ins!$B:$B,0))*$G306*INDEX([1]ratio_ins!$C:$C,MATCH('001_population_health_zone_zs'!$B306,[1]ratio_ins!$B:$B,0))</f>
        <v>156.09086399999998</v>
      </c>
      <c r="AB306" s="11">
        <f>INDEX([1]ratio_ins!Z:Z,MATCH('001_population_health_zone_zs'!$B$2,[1]ratio_ins!$B:$B,0))*$G306*INDEX([1]ratio_ins!$C:$C,MATCH('001_population_health_zone_zs'!$B306,[1]ratio_ins!$B:$B,0))</f>
        <v>2029.1812320000001</v>
      </c>
      <c r="AC306" s="12">
        <f t="shared" si="24"/>
        <v>78045.432000000001</v>
      </c>
      <c r="AD306" s="10">
        <f>INDEX([1]ratio_ins!AA:AA,MATCH('001_population_health_zone_zs'!$B$2,[1]ratio_ins!$B:$B,0))*$G306*INDEX([1]ratio_ins!$D:$D,MATCH('001_population_health_zone_zs'!$B306,[1]ratio_ins!$B:$B,0))</f>
        <v>16990.379280000001</v>
      </c>
      <c r="AE306" s="10">
        <f>INDEX([1]ratio_ins!AB:AB,MATCH('001_population_health_zone_zs'!$B$2,[1]ratio_ins!$B:$B,0))*$G306*INDEX([1]ratio_ins!$D:$D,MATCH('001_population_health_zone_zs'!$B306,[1]ratio_ins!$B:$B,0))</f>
        <v>13996.836264000001</v>
      </c>
      <c r="AF306" s="10">
        <f>INDEX([1]ratio_ins!AC:AC,MATCH('001_population_health_zone_zs'!$B$2,[1]ratio_ins!$B:$B,0))*$G306*INDEX([1]ratio_ins!$D:$D,MATCH('001_population_health_zone_zs'!$B306,[1]ratio_ins!$B:$B,0))</f>
        <v>11084.199816</v>
      </c>
      <c r="AG306" s="10">
        <f>INDEX([1]ratio_ins!AD:AD,MATCH('001_population_health_zone_zs'!$B$2,[1]ratio_ins!$B:$B,0))*$G306*INDEX([1]ratio_ins!$D:$D,MATCH('001_population_health_zone_zs'!$B306,[1]ratio_ins!$B:$B,0))</f>
        <v>6715.2451440000004</v>
      </c>
      <c r="AH306" s="10">
        <f>INDEX([1]ratio_ins!AE:AE,MATCH('001_population_health_zone_zs'!$B$2,[1]ratio_ins!$B:$B,0))*$G306*INDEX([1]ratio_ins!$D:$D,MATCH('001_population_health_zone_zs'!$B306,[1]ratio_ins!$B:$B,0))</f>
        <v>4029.1470863999998</v>
      </c>
      <c r="AI306" s="13">
        <f>INDEX([1]ratio_ins!AF:AF,MATCH('001_population_health_zone_zs'!$B$2,[1]ratio_ins!$B:$B,0))*$G306*INDEX([1]ratio_ins!$D:$D,MATCH('001_population_health_zone_zs'!$B306,[1]ratio_ins!$B:$B,0))</f>
        <v>46100.562446399999</v>
      </c>
      <c r="AJ306" s="10">
        <f>INDEX([1]ratio_ins!AG:AG,MATCH('001_population_health_zone_zs'!$B$2,[1]ratio_ins!$B:$B,0))*$G306*INDEX([1]ratio_ins!$D:$D,MATCH('001_population_health_zone_zs'!$B306,[1]ratio_ins!$B:$B,0))</f>
        <v>2686.0980576000002</v>
      </c>
      <c r="AK306" s="10">
        <f>INDEX([1]ratio_ins!AH:AH,MATCH('001_population_health_zone_zs'!$B$2,[1]ratio_ins!$B:$B,0))*$G306*INDEX([1]ratio_ins!$D:$D,MATCH('001_population_health_zone_zs'!$B306,[1]ratio_ins!$B:$B,0))</f>
        <v>5987.0860320000011</v>
      </c>
      <c r="AL306" s="10">
        <f>INDEX([1]ratio_ins!AI:AI,MATCH('001_population_health_zone_zs'!$B$2,[1]ratio_ins!$B:$B,0))*$G306*INDEX([1]ratio_ins!$D:$D,MATCH('001_population_health_zone_zs'!$B306,[1]ratio_ins!$B:$B,0))</f>
        <v>5663.4597600000006</v>
      </c>
      <c r="AM306" s="10">
        <f>INDEX([1]ratio_ins!AJ:AJ,MATCH('001_population_health_zone_zs'!$B$2,[1]ratio_ins!$B:$B,0))*$G306*INDEX([1]ratio_ins!$D:$D,MATCH('001_population_health_zone_zs'!$B306,[1]ratio_ins!$B:$B,0))</f>
        <v>5178.0203520000005</v>
      </c>
      <c r="AN306" s="10">
        <f>INDEX([1]ratio_ins!AK:AK,MATCH('001_population_health_zone_zs'!$B$2,[1]ratio_ins!$B:$B,0))*$G306*INDEX([1]ratio_ins!$D:$D,MATCH('001_population_health_zone_zs'!$B306,[1]ratio_ins!$B:$B,0))</f>
        <v>4854.3940799999991</v>
      </c>
      <c r="AO306" s="10">
        <f>INDEX([1]ratio_ins!AL:AL,MATCH('001_population_health_zone_zs'!$B$2,[1]ratio_ins!$B:$B,0))*$G306*INDEX([1]ratio_ins!$D:$D,MATCH('001_population_health_zone_zs'!$B306,[1]ratio_ins!$B:$B,0))</f>
        <v>3640.79556</v>
      </c>
      <c r="AP306" s="10">
        <f>INDEX([1]ratio_ins!AM:AM,MATCH('001_population_health_zone_zs'!$B$2,[1]ratio_ins!$B:$B,0))*$G306*INDEX([1]ratio_ins!$D:$D,MATCH('001_population_health_zone_zs'!$B306,[1]ratio_ins!$B:$B,0))</f>
        <v>2346.2904719999997</v>
      </c>
      <c r="AQ306" s="10">
        <f>INDEX([1]ratio_ins!AN:AN,MATCH('001_population_health_zone_zs'!$B$2,[1]ratio_ins!$B:$B,0))*$G306*INDEX([1]ratio_ins!$D:$D,MATCH('001_population_health_zone_zs'!$B306,[1]ratio_ins!$B:$B,0))</f>
        <v>1860.851064</v>
      </c>
      <c r="AR306" s="10">
        <f>INDEX([1]ratio_ins!AO:AO,MATCH('001_population_health_zone_zs'!$B$2,[1]ratio_ins!$B:$B,0))*$G306*INDEX([1]ratio_ins!$D:$D,MATCH('001_population_health_zone_zs'!$B306,[1]ratio_ins!$B:$B,0))</f>
        <v>889.97224800000015</v>
      </c>
      <c r="AS306" s="13">
        <f>INDEX([1]ratio_ins!AP:AP,MATCH('001_population_health_zone_zs'!$B$2,[1]ratio_ins!$B:$B,0))*$G306*INDEX([1]ratio_ins!$D:$D,MATCH('001_population_health_zone_zs'!$B306,[1]ratio_ins!$B:$B,0))</f>
        <v>33106.967625600002</v>
      </c>
      <c r="AT306" s="10">
        <f>INDEX([1]ratio_ins!AQ:AQ,MATCH('001_population_health_zone_zs'!$B$2,[1]ratio_ins!$B:$B,0))*$G306*INDEX([1]ratio_ins!$D:$D,MATCH('001_population_health_zone_zs'!$B306,[1]ratio_ins!$B:$B,0))</f>
        <v>809.06568000000004</v>
      </c>
      <c r="AU306" s="10">
        <f>INDEX([1]ratio_ins!AR:AR,MATCH('001_population_health_zone_zs'!$B$2,[1]ratio_ins!$B:$B,0))*$G306*INDEX([1]ratio_ins!$D:$D,MATCH('001_population_health_zone_zs'!$B306,[1]ratio_ins!$B:$B,0))</f>
        <v>485.43940800000001</v>
      </c>
      <c r="AV306" s="10">
        <f>INDEX([1]ratio_ins!AS:AS,MATCH('001_population_health_zone_zs'!$B$2,[1]ratio_ins!$B:$B,0))*$G306*INDEX([1]ratio_ins!$D:$D,MATCH('001_population_health_zone_zs'!$B306,[1]ratio_ins!$B:$B,0))</f>
        <v>242.71970400000001</v>
      </c>
      <c r="AW306" s="10">
        <f>INDEX([1]ratio_ins!AT:AT,MATCH('001_population_health_zone_zs'!$B$2,[1]ratio_ins!$B:$B,0))*$G306*INDEX([1]ratio_ins!$D:$D,MATCH('001_population_health_zone_zs'!$B306,[1]ratio_ins!$B:$B,0))</f>
        <v>161.81313600000001</v>
      </c>
      <c r="AX306" s="13">
        <f>INDEX([1]ratio_ins!AU:AU,MATCH('001_population_health_zone_zs'!$B$2,[1]ratio_ins!$B:$B,0))*$G306*INDEX([1]ratio_ins!$D:$D,MATCH('001_population_health_zone_zs'!$B306,[1]ratio_ins!$B:$B,0))</f>
        <v>1699.037928</v>
      </c>
      <c r="AY306" s="14">
        <f t="shared" si="25"/>
        <v>80906.567999999999</v>
      </c>
      <c r="AZ306" s="15">
        <f t="shared" si="26"/>
        <v>158952</v>
      </c>
      <c r="BA306" s="16">
        <v>152632.5825991451</v>
      </c>
      <c r="BB306" s="10">
        <f t="shared" si="27"/>
        <v>34385.291399999995</v>
      </c>
      <c r="BC306" s="17">
        <f t="shared" si="28"/>
        <v>0.21632499999999996</v>
      </c>
      <c r="BD306" s="10">
        <f t="shared" si="29"/>
        <v>32544.945143999998</v>
      </c>
    </row>
    <row r="307" spans="1:56" x14ac:dyDescent="0.25">
      <c r="A307" s="8" t="s">
        <v>751</v>
      </c>
      <c r="B307" s="8" t="s">
        <v>752</v>
      </c>
      <c r="C307" s="8" t="s">
        <v>753</v>
      </c>
      <c r="D307" s="8" t="s">
        <v>754</v>
      </c>
      <c r="E307" s="8" t="s">
        <v>757</v>
      </c>
      <c r="F307" s="8" t="s">
        <v>758</v>
      </c>
      <c r="G307" s="9">
        <v>516239</v>
      </c>
      <c r="H307" s="10">
        <f>INDEX([1]ratio_ins!F:F,MATCH('001_population_health_zone_zs'!$B$2,[1]ratio_ins!$B:$B,0))*$G307*INDEX([1]ratio_ins!$C:$C,MATCH('001_population_health_zone_zs'!$B307,[1]ratio_ins!$B:$B,0))</f>
        <v>52975.929941000002</v>
      </c>
      <c r="I307" s="10">
        <f>INDEX([1]ratio_ins!G:G,MATCH('001_population_health_zone_zs'!$B$2,[1]ratio_ins!$B:$B,0))*$G307*INDEX([1]ratio_ins!$C:$C,MATCH('001_population_health_zone_zs'!$B307,[1]ratio_ins!$B:$B,0))</f>
        <v>43343.942679</v>
      </c>
      <c r="J307" s="10">
        <f>INDEX([1]ratio_ins!H:H,MATCH('001_population_health_zone_zs'!$B$2,[1]ratio_ins!$B:$B,0))*$G307*INDEX([1]ratio_ins!$C:$C,MATCH('001_population_health_zone_zs'!$B307,[1]ratio_ins!$B:$B,0))</f>
        <v>34218.902114999997</v>
      </c>
      <c r="K307" s="10">
        <f>INDEX([1]ratio_ins!I:I,MATCH('001_population_health_zone_zs'!$B$2,[1]ratio_ins!$B:$B,0))*$G307*INDEX([1]ratio_ins!$C:$C,MATCH('001_population_health_zone_zs'!$B307,[1]ratio_ins!$B:$B,0))</f>
        <v>21038.287967</v>
      </c>
      <c r="L307" s="10">
        <f>INDEX([1]ratio_ins!J:J,MATCH('001_population_health_zone_zs'!$B$2,[1]ratio_ins!$B:$B,0))*$G307*INDEX([1]ratio_ins!$C:$C,MATCH('001_population_health_zone_zs'!$B307,[1]ratio_ins!$B:$B,0))</f>
        <v>12622.9727802</v>
      </c>
      <c r="M307" s="11">
        <f>INDEX([1]ratio_ins!K:K,MATCH('001_population_health_zone_zs'!$B$2,[1]ratio_ins!$B:$B,0))*$G307*INDEX([1]ratio_ins!$C:$C,MATCH('001_population_health_zone_zs'!$B307,[1]ratio_ins!$B:$B,0))</f>
        <v>143161.74751519997</v>
      </c>
      <c r="N307" s="10">
        <f>INDEX([1]ratio_ins!L:L,MATCH('001_population_health_zone_zs'!$B$2,[1]ratio_ins!$B:$B,0))*$G307*INDEX([1]ratio_ins!$C:$C,MATCH('001_population_health_zone_zs'!$B307,[1]ratio_ins!$B:$B,0))</f>
        <v>8415.3151868000004</v>
      </c>
      <c r="O307" s="10">
        <f>INDEX([1]ratio_ins!M:M,MATCH('001_population_health_zone_zs'!$B$2,[1]ratio_ins!$B:$B,0))*$G307*INDEX([1]ratio_ins!$C:$C,MATCH('001_population_health_zone_zs'!$B307,[1]ratio_ins!$B:$B,0))</f>
        <v>18250.081128000002</v>
      </c>
      <c r="P307" s="10">
        <f>INDEX([1]ratio_ins!N:N,MATCH('001_population_health_zone_zs'!$B$2,[1]ratio_ins!$B:$B,0))*$G307*INDEX([1]ratio_ins!$C:$C,MATCH('001_population_health_zone_zs'!$B307,[1]ratio_ins!$B:$B,0))</f>
        <v>16475.767685000003</v>
      </c>
      <c r="Q307" s="10">
        <f>INDEX([1]ratio_ins!O:O,MATCH('001_population_health_zone_zs'!$B$2,[1]ratio_ins!$B:$B,0))*$G307*INDEX([1]ratio_ins!$C:$C,MATCH('001_population_health_zone_zs'!$B307,[1]ratio_ins!$B:$B,0))</f>
        <v>14701.454241999998</v>
      </c>
      <c r="R307" s="10">
        <f>INDEX([1]ratio_ins!P:P,MATCH('001_population_health_zone_zs'!$B$2,[1]ratio_ins!$B:$B,0))*$G307*INDEX([1]ratio_ins!$C:$C,MATCH('001_population_health_zone_zs'!$B307,[1]ratio_ins!$B:$B,0))</f>
        <v>14447.980893</v>
      </c>
      <c r="S307" s="10">
        <f>INDEX([1]ratio_ins!Q:Q,MATCH('001_population_health_zone_zs'!$B$2,[1]ratio_ins!$B:$B,0))*$G307*INDEX([1]ratio_ins!$C:$C,MATCH('001_population_health_zone_zs'!$B307,[1]ratio_ins!$B:$B,0))</f>
        <v>12166.720752000001</v>
      </c>
      <c r="T307" s="10">
        <f>INDEX([1]ratio_ins!R:R,MATCH('001_population_health_zone_zs'!$B$2,[1]ratio_ins!$B:$B,0))*$G307*INDEX([1]ratio_ins!$C:$C,MATCH('001_population_health_zone_zs'!$B307,[1]ratio_ins!$B:$B,0))</f>
        <v>8618.0938659999993</v>
      </c>
      <c r="U307" s="10">
        <f>INDEX([1]ratio_ins!S:S,MATCH('001_population_health_zone_zs'!$B$2,[1]ratio_ins!$B:$B,0))*$G307*INDEX([1]ratio_ins!$C:$C,MATCH('001_population_health_zone_zs'!$B307,[1]ratio_ins!$B:$B,0))</f>
        <v>6843.7804230000002</v>
      </c>
      <c r="V307" s="10">
        <f>INDEX([1]ratio_ins!T:T,MATCH('001_population_health_zone_zs'!$B$2,[1]ratio_ins!$B:$B,0))*$G307*INDEX([1]ratio_ins!$C:$C,MATCH('001_population_health_zone_zs'!$B307,[1]ratio_ins!$B:$B,0))</f>
        <v>3802.1002349999999</v>
      </c>
      <c r="W307" s="11">
        <f>INDEX([1]ratio_ins!U:U,MATCH('001_population_health_zone_zs'!$B$2,[1]ratio_ins!$B:$B,0))*$G307*INDEX([1]ratio_ins!$C:$C,MATCH('001_population_health_zone_zs'!$B307,[1]ratio_ins!$B:$B,0))</f>
        <v>103721.29441079999</v>
      </c>
      <c r="X307" s="10">
        <f>INDEX([1]ratio_ins!V:V,MATCH('001_population_health_zone_zs'!$B$2,[1]ratio_ins!$B:$B,0))*$G307*INDEX([1]ratio_ins!$C:$C,MATCH('001_population_health_zone_zs'!$B307,[1]ratio_ins!$B:$B,0))</f>
        <v>3041.6801880000003</v>
      </c>
      <c r="Y307" s="10">
        <f>INDEX([1]ratio_ins!W:W,MATCH('001_population_health_zone_zs'!$B$2,[1]ratio_ins!$B:$B,0))*$G307*INDEX([1]ratio_ins!$C:$C,MATCH('001_population_health_zone_zs'!$B307,[1]ratio_ins!$B:$B,0))</f>
        <v>2027.7867920000001</v>
      </c>
      <c r="Z307" s="10">
        <f>INDEX([1]ratio_ins!X:X,MATCH('001_population_health_zone_zs'!$B$2,[1]ratio_ins!$B:$B,0))*$G307*INDEX([1]ratio_ins!$C:$C,MATCH('001_population_health_zone_zs'!$B307,[1]ratio_ins!$B:$B,0))</f>
        <v>1013.8933960000001</v>
      </c>
      <c r="AA307" s="10">
        <f>INDEX([1]ratio_ins!Y:Y,MATCH('001_population_health_zone_zs'!$B$2,[1]ratio_ins!$B:$B,0))*$G307*INDEX([1]ratio_ins!$C:$C,MATCH('001_population_health_zone_zs'!$B307,[1]ratio_ins!$B:$B,0))</f>
        <v>506.94669800000003</v>
      </c>
      <c r="AB307" s="11">
        <f>INDEX([1]ratio_ins!Z:Z,MATCH('001_population_health_zone_zs'!$B$2,[1]ratio_ins!$B:$B,0))*$G307*INDEX([1]ratio_ins!$C:$C,MATCH('001_population_health_zone_zs'!$B307,[1]ratio_ins!$B:$B,0))</f>
        <v>6590.3070740000012</v>
      </c>
      <c r="AC307" s="12">
        <f t="shared" si="24"/>
        <v>253473.34899999999</v>
      </c>
      <c r="AD307" s="10">
        <f>INDEX([1]ratio_ins!AA:AA,MATCH('001_population_health_zone_zs'!$B$2,[1]ratio_ins!$B:$B,0))*$G307*INDEX([1]ratio_ins!$D:$D,MATCH('001_population_health_zone_zs'!$B307,[1]ratio_ins!$B:$B,0))</f>
        <v>55180.78671</v>
      </c>
      <c r="AE307" s="10">
        <f>INDEX([1]ratio_ins!AB:AB,MATCH('001_population_health_zone_zs'!$B$2,[1]ratio_ins!$B:$B,0))*$G307*INDEX([1]ratio_ins!$D:$D,MATCH('001_population_health_zone_zs'!$B307,[1]ratio_ins!$B:$B,0))</f>
        <v>45458.457623000002</v>
      </c>
      <c r="AF307" s="10">
        <f>INDEX([1]ratio_ins!AC:AC,MATCH('001_population_health_zone_zs'!$B$2,[1]ratio_ins!$B:$B,0))*$G307*INDEX([1]ratio_ins!$D:$D,MATCH('001_population_health_zone_zs'!$B307,[1]ratio_ins!$B:$B,0))</f>
        <v>35998.894186999991</v>
      </c>
      <c r="AG307" s="10">
        <f>INDEX([1]ratio_ins!AD:AD,MATCH('001_population_health_zone_zs'!$B$2,[1]ratio_ins!$B:$B,0))*$G307*INDEX([1]ratio_ins!$D:$D,MATCH('001_population_health_zone_zs'!$B307,[1]ratio_ins!$B:$B,0))</f>
        <v>21809.549032999999</v>
      </c>
      <c r="AH307" s="10">
        <f>INDEX([1]ratio_ins!AE:AE,MATCH('001_population_health_zone_zs'!$B$2,[1]ratio_ins!$B:$B,0))*$G307*INDEX([1]ratio_ins!$D:$D,MATCH('001_population_health_zone_zs'!$B307,[1]ratio_ins!$B:$B,0))</f>
        <v>13085.7294198</v>
      </c>
      <c r="AI307" s="13">
        <f>INDEX([1]ratio_ins!AF:AF,MATCH('001_population_health_zone_zs'!$B$2,[1]ratio_ins!$B:$B,0))*$G307*INDEX([1]ratio_ins!$D:$D,MATCH('001_population_health_zone_zs'!$B307,[1]ratio_ins!$B:$B,0))</f>
        <v>149723.86793979999</v>
      </c>
      <c r="AJ307" s="10">
        <f>INDEX([1]ratio_ins!AG:AG,MATCH('001_population_health_zone_zs'!$B$2,[1]ratio_ins!$B:$B,0))*$G307*INDEX([1]ratio_ins!$D:$D,MATCH('001_population_health_zone_zs'!$B307,[1]ratio_ins!$B:$B,0))</f>
        <v>8723.8196131999994</v>
      </c>
      <c r="AK307" s="10">
        <f>INDEX([1]ratio_ins!AH:AH,MATCH('001_population_health_zone_zs'!$B$2,[1]ratio_ins!$B:$B,0))*$G307*INDEX([1]ratio_ins!$D:$D,MATCH('001_population_health_zone_zs'!$B307,[1]ratio_ins!$B:$B,0))</f>
        <v>19444.658174000004</v>
      </c>
      <c r="AL307" s="10">
        <f>INDEX([1]ratio_ins!AI:AI,MATCH('001_population_health_zone_zs'!$B$2,[1]ratio_ins!$B:$B,0))*$G307*INDEX([1]ratio_ins!$D:$D,MATCH('001_population_health_zone_zs'!$B307,[1]ratio_ins!$B:$B,0))</f>
        <v>18393.595570000001</v>
      </c>
      <c r="AM307" s="10">
        <f>INDEX([1]ratio_ins!AJ:AJ,MATCH('001_population_health_zone_zs'!$B$2,[1]ratio_ins!$B:$B,0))*$G307*INDEX([1]ratio_ins!$D:$D,MATCH('001_population_health_zone_zs'!$B307,[1]ratio_ins!$B:$B,0))</f>
        <v>16817.001664000003</v>
      </c>
      <c r="AN307" s="10">
        <f>INDEX([1]ratio_ins!AK:AK,MATCH('001_population_health_zone_zs'!$B$2,[1]ratio_ins!$B:$B,0))*$G307*INDEX([1]ratio_ins!$D:$D,MATCH('001_population_health_zone_zs'!$B307,[1]ratio_ins!$B:$B,0))</f>
        <v>15765.939060000001</v>
      </c>
      <c r="AO307" s="10">
        <f>INDEX([1]ratio_ins!AL:AL,MATCH('001_population_health_zone_zs'!$B$2,[1]ratio_ins!$B:$B,0))*$G307*INDEX([1]ratio_ins!$D:$D,MATCH('001_population_health_zone_zs'!$B307,[1]ratio_ins!$B:$B,0))</f>
        <v>11824.454295</v>
      </c>
      <c r="AP307" s="10">
        <f>INDEX([1]ratio_ins!AM:AM,MATCH('001_population_health_zone_zs'!$B$2,[1]ratio_ins!$B:$B,0))*$G307*INDEX([1]ratio_ins!$D:$D,MATCH('001_population_health_zone_zs'!$B307,[1]ratio_ins!$B:$B,0))</f>
        <v>7620.2038789999997</v>
      </c>
      <c r="AQ307" s="10">
        <f>INDEX([1]ratio_ins!AN:AN,MATCH('001_population_health_zone_zs'!$B$2,[1]ratio_ins!$B:$B,0))*$G307*INDEX([1]ratio_ins!$D:$D,MATCH('001_population_health_zone_zs'!$B307,[1]ratio_ins!$B:$B,0))</f>
        <v>6043.6099729999996</v>
      </c>
      <c r="AR307" s="10">
        <f>INDEX([1]ratio_ins!AO:AO,MATCH('001_population_health_zone_zs'!$B$2,[1]ratio_ins!$B:$B,0))*$G307*INDEX([1]ratio_ins!$D:$D,MATCH('001_population_health_zone_zs'!$B307,[1]ratio_ins!$B:$B,0))</f>
        <v>2890.4221610000004</v>
      </c>
      <c r="AS307" s="13">
        <f>INDEX([1]ratio_ins!AP:AP,MATCH('001_population_health_zone_zs'!$B$2,[1]ratio_ins!$B:$B,0))*$G307*INDEX([1]ratio_ins!$D:$D,MATCH('001_population_health_zone_zs'!$B307,[1]ratio_ins!$B:$B,0))</f>
        <v>107523.70438920001</v>
      </c>
      <c r="AT307" s="10">
        <f>INDEX([1]ratio_ins!AQ:AQ,MATCH('001_population_health_zone_zs'!$B$2,[1]ratio_ins!$B:$B,0))*$G307*INDEX([1]ratio_ins!$D:$D,MATCH('001_population_health_zone_zs'!$B307,[1]ratio_ins!$B:$B,0))</f>
        <v>2627.6565100000003</v>
      </c>
      <c r="AU307" s="10">
        <f>INDEX([1]ratio_ins!AR:AR,MATCH('001_population_health_zone_zs'!$B$2,[1]ratio_ins!$B:$B,0))*$G307*INDEX([1]ratio_ins!$D:$D,MATCH('001_population_health_zone_zs'!$B307,[1]ratio_ins!$B:$B,0))</f>
        <v>1576.5939060000001</v>
      </c>
      <c r="AV307" s="10">
        <f>INDEX([1]ratio_ins!AS:AS,MATCH('001_population_health_zone_zs'!$B$2,[1]ratio_ins!$B:$B,0))*$G307*INDEX([1]ratio_ins!$D:$D,MATCH('001_population_health_zone_zs'!$B307,[1]ratio_ins!$B:$B,0))</f>
        <v>788.29695300000003</v>
      </c>
      <c r="AW307" s="10">
        <f>INDEX([1]ratio_ins!AT:AT,MATCH('001_population_health_zone_zs'!$B$2,[1]ratio_ins!$B:$B,0))*$G307*INDEX([1]ratio_ins!$D:$D,MATCH('001_population_health_zone_zs'!$B307,[1]ratio_ins!$B:$B,0))</f>
        <v>525.5313020000001</v>
      </c>
      <c r="AX307" s="13">
        <f>INDEX([1]ratio_ins!AU:AU,MATCH('001_population_health_zone_zs'!$B$2,[1]ratio_ins!$B:$B,0))*$G307*INDEX([1]ratio_ins!$D:$D,MATCH('001_population_health_zone_zs'!$B307,[1]ratio_ins!$B:$B,0))</f>
        <v>5518.0786709999993</v>
      </c>
      <c r="AY307" s="14">
        <f t="shared" si="25"/>
        <v>262765.65100000001</v>
      </c>
      <c r="AZ307" s="15">
        <f t="shared" si="26"/>
        <v>516239</v>
      </c>
      <c r="BA307" s="16">
        <v>495715.47079527634</v>
      </c>
      <c r="BB307" s="10">
        <f t="shared" si="27"/>
        <v>111675.40167500002</v>
      </c>
      <c r="BC307" s="17">
        <f t="shared" si="28"/>
        <v>0.21632500000000002</v>
      </c>
      <c r="BD307" s="10">
        <f t="shared" si="29"/>
        <v>105698.386533</v>
      </c>
    </row>
    <row r="308" spans="1:56" x14ac:dyDescent="0.25">
      <c r="A308" s="8" t="s">
        <v>751</v>
      </c>
      <c r="B308" s="8" t="s">
        <v>752</v>
      </c>
      <c r="C308" s="8" t="s">
        <v>753</v>
      </c>
      <c r="D308" s="8" t="s">
        <v>754</v>
      </c>
      <c r="E308" s="8" t="s">
        <v>759</v>
      </c>
      <c r="F308" s="8" t="s">
        <v>760</v>
      </c>
      <c r="G308" s="9">
        <v>420950</v>
      </c>
      <c r="H308" s="10">
        <f>INDEX([1]ratio_ins!F:F,MATCH('001_population_health_zone_zs'!$B$2,[1]ratio_ins!$B:$B,0))*$G308*INDEX([1]ratio_ins!$C:$C,MATCH('001_population_health_zone_zs'!$B308,[1]ratio_ins!$B:$B,0))</f>
        <v>43197.468050000003</v>
      </c>
      <c r="I308" s="10">
        <f>INDEX([1]ratio_ins!G:G,MATCH('001_population_health_zone_zs'!$B$2,[1]ratio_ins!$B:$B,0))*$G308*INDEX([1]ratio_ins!$C:$C,MATCH('001_population_health_zone_zs'!$B308,[1]ratio_ins!$B:$B,0))</f>
        <v>35343.382950000007</v>
      </c>
      <c r="J308" s="10">
        <f>INDEX([1]ratio_ins!H:H,MATCH('001_population_health_zone_zs'!$B$2,[1]ratio_ins!$B:$B,0))*$G308*INDEX([1]ratio_ins!$C:$C,MATCH('001_population_health_zone_zs'!$B308,[1]ratio_ins!$B:$B,0))</f>
        <v>27902.670750000005</v>
      </c>
      <c r="K308" s="10">
        <f>INDEX([1]ratio_ins!I:I,MATCH('001_population_health_zone_zs'!$B$2,[1]ratio_ins!$B:$B,0))*$G308*INDEX([1]ratio_ins!$C:$C,MATCH('001_population_health_zone_zs'!$B308,[1]ratio_ins!$B:$B,0))</f>
        <v>17154.975350000001</v>
      </c>
      <c r="L308" s="10">
        <f>INDEX([1]ratio_ins!J:J,MATCH('001_population_health_zone_zs'!$B$2,[1]ratio_ins!$B:$B,0))*$G308*INDEX([1]ratio_ins!$C:$C,MATCH('001_population_health_zone_zs'!$B308,[1]ratio_ins!$B:$B,0))</f>
        <v>10292.985209999999</v>
      </c>
      <c r="M308" s="11">
        <f>INDEX([1]ratio_ins!K:K,MATCH('001_population_health_zone_zs'!$B$2,[1]ratio_ins!$B:$B,0))*$G308*INDEX([1]ratio_ins!$C:$C,MATCH('001_population_health_zone_zs'!$B308,[1]ratio_ins!$B:$B,0))</f>
        <v>116736.50696</v>
      </c>
      <c r="N308" s="10">
        <f>INDEX([1]ratio_ins!L:L,MATCH('001_population_health_zone_zs'!$B$2,[1]ratio_ins!$B:$B,0))*$G308*INDEX([1]ratio_ins!$C:$C,MATCH('001_population_health_zone_zs'!$B308,[1]ratio_ins!$B:$B,0))</f>
        <v>6861.9901399999999</v>
      </c>
      <c r="O308" s="10">
        <f>INDEX([1]ratio_ins!M:M,MATCH('001_population_health_zone_zs'!$B$2,[1]ratio_ins!$B:$B,0))*$G308*INDEX([1]ratio_ins!$C:$C,MATCH('001_population_health_zone_zs'!$B308,[1]ratio_ins!$B:$B,0))</f>
        <v>14881.424400000002</v>
      </c>
      <c r="P308" s="10">
        <f>INDEX([1]ratio_ins!N:N,MATCH('001_population_health_zone_zs'!$B$2,[1]ratio_ins!$B:$B,0))*$G308*INDEX([1]ratio_ins!$C:$C,MATCH('001_population_health_zone_zs'!$B308,[1]ratio_ins!$B:$B,0))</f>
        <v>13434.61925</v>
      </c>
      <c r="Q308" s="10">
        <f>INDEX([1]ratio_ins!O:O,MATCH('001_population_health_zone_zs'!$B$2,[1]ratio_ins!$B:$B,0))*$G308*INDEX([1]ratio_ins!$C:$C,MATCH('001_population_health_zone_zs'!$B308,[1]ratio_ins!$B:$B,0))</f>
        <v>11987.8141</v>
      </c>
      <c r="R308" s="10">
        <f>INDEX([1]ratio_ins!P:P,MATCH('001_population_health_zone_zs'!$B$2,[1]ratio_ins!$B:$B,0))*$G308*INDEX([1]ratio_ins!$C:$C,MATCH('001_population_health_zone_zs'!$B308,[1]ratio_ins!$B:$B,0))</f>
        <v>11781.12765</v>
      </c>
      <c r="S308" s="10">
        <f>INDEX([1]ratio_ins!Q:Q,MATCH('001_population_health_zone_zs'!$B$2,[1]ratio_ins!$B:$B,0))*$G308*INDEX([1]ratio_ins!$C:$C,MATCH('001_population_health_zone_zs'!$B308,[1]ratio_ins!$B:$B,0))</f>
        <v>9920.9496000000017</v>
      </c>
      <c r="T308" s="10">
        <f>INDEX([1]ratio_ins!R:R,MATCH('001_population_health_zone_zs'!$B$2,[1]ratio_ins!$B:$B,0))*$G308*INDEX([1]ratio_ins!$C:$C,MATCH('001_population_health_zone_zs'!$B308,[1]ratio_ins!$B:$B,0))</f>
        <v>7027.3393000000005</v>
      </c>
      <c r="U308" s="10">
        <f>INDEX([1]ratio_ins!S:S,MATCH('001_population_health_zone_zs'!$B$2,[1]ratio_ins!$B:$B,0))*$G308*INDEX([1]ratio_ins!$C:$C,MATCH('001_population_health_zone_zs'!$B308,[1]ratio_ins!$B:$B,0))</f>
        <v>5580.5341500000004</v>
      </c>
      <c r="V308" s="10">
        <f>INDEX([1]ratio_ins!T:T,MATCH('001_population_health_zone_zs'!$B$2,[1]ratio_ins!$B:$B,0))*$G308*INDEX([1]ratio_ins!$C:$C,MATCH('001_population_health_zone_zs'!$B308,[1]ratio_ins!$B:$B,0))</f>
        <v>3100.29675</v>
      </c>
      <c r="W308" s="11">
        <f>INDEX([1]ratio_ins!U:U,MATCH('001_population_health_zone_zs'!$B$2,[1]ratio_ins!$B:$B,0))*$G308*INDEX([1]ratio_ins!$C:$C,MATCH('001_population_health_zone_zs'!$B308,[1]ratio_ins!$B:$B,0))</f>
        <v>84576.09534</v>
      </c>
      <c r="X308" s="10">
        <f>INDEX([1]ratio_ins!V:V,MATCH('001_population_health_zone_zs'!$B$2,[1]ratio_ins!$B:$B,0))*$G308*INDEX([1]ratio_ins!$C:$C,MATCH('001_population_health_zone_zs'!$B308,[1]ratio_ins!$B:$B,0))</f>
        <v>2480.2374000000004</v>
      </c>
      <c r="Y308" s="10">
        <f>INDEX([1]ratio_ins!W:W,MATCH('001_population_health_zone_zs'!$B$2,[1]ratio_ins!$B:$B,0))*$G308*INDEX([1]ratio_ins!$C:$C,MATCH('001_population_health_zone_zs'!$B308,[1]ratio_ins!$B:$B,0))</f>
        <v>1653.4915999999998</v>
      </c>
      <c r="Z308" s="10">
        <f>INDEX([1]ratio_ins!X:X,MATCH('001_population_health_zone_zs'!$B$2,[1]ratio_ins!$B:$B,0))*$G308*INDEX([1]ratio_ins!$C:$C,MATCH('001_population_health_zone_zs'!$B308,[1]ratio_ins!$B:$B,0))</f>
        <v>826.74579999999992</v>
      </c>
      <c r="AA308" s="10">
        <f>INDEX([1]ratio_ins!Y:Y,MATCH('001_population_health_zone_zs'!$B$2,[1]ratio_ins!$B:$B,0))*$G308*INDEX([1]ratio_ins!$C:$C,MATCH('001_population_health_zone_zs'!$B308,[1]ratio_ins!$B:$B,0))</f>
        <v>413.37289999999996</v>
      </c>
      <c r="AB308" s="11">
        <f>INDEX([1]ratio_ins!Z:Z,MATCH('001_population_health_zone_zs'!$B$2,[1]ratio_ins!$B:$B,0))*$G308*INDEX([1]ratio_ins!$C:$C,MATCH('001_population_health_zone_zs'!$B308,[1]ratio_ins!$B:$B,0))</f>
        <v>5373.8477000000003</v>
      </c>
      <c r="AC308" s="12">
        <f t="shared" si="24"/>
        <v>206686.45</v>
      </c>
      <c r="AD308" s="10">
        <f>INDEX([1]ratio_ins!AA:AA,MATCH('001_population_health_zone_zs'!$B$2,[1]ratio_ins!$B:$B,0))*$G308*INDEX([1]ratio_ins!$D:$D,MATCH('001_population_health_zone_zs'!$B308,[1]ratio_ins!$B:$B,0))</f>
        <v>44995.345500000003</v>
      </c>
      <c r="AE308" s="10">
        <f>INDEX([1]ratio_ins!AB:AB,MATCH('001_population_health_zone_zs'!$B$2,[1]ratio_ins!$B:$B,0))*$G308*INDEX([1]ratio_ins!$D:$D,MATCH('001_population_health_zone_zs'!$B308,[1]ratio_ins!$B:$B,0))</f>
        <v>37067.594150000004</v>
      </c>
      <c r="AF308" s="10">
        <f>INDEX([1]ratio_ins!AC:AC,MATCH('001_population_health_zone_zs'!$B$2,[1]ratio_ins!$B:$B,0))*$G308*INDEX([1]ratio_ins!$D:$D,MATCH('001_population_health_zone_zs'!$B308,[1]ratio_ins!$B:$B,0))</f>
        <v>29354.106349999998</v>
      </c>
      <c r="AG308" s="10">
        <f>INDEX([1]ratio_ins!AD:AD,MATCH('001_population_health_zone_zs'!$B$2,[1]ratio_ins!$B:$B,0))*$G308*INDEX([1]ratio_ins!$D:$D,MATCH('001_population_health_zone_zs'!$B308,[1]ratio_ins!$B:$B,0))</f>
        <v>17783.874649999998</v>
      </c>
      <c r="AH308" s="10">
        <f>INDEX([1]ratio_ins!AE:AE,MATCH('001_population_health_zone_zs'!$B$2,[1]ratio_ins!$B:$B,0))*$G308*INDEX([1]ratio_ins!$D:$D,MATCH('001_population_health_zone_zs'!$B308,[1]ratio_ins!$B:$B,0))</f>
        <v>10670.324789999999</v>
      </c>
      <c r="AI308" s="13">
        <f>INDEX([1]ratio_ins!AF:AF,MATCH('001_population_health_zone_zs'!$B$2,[1]ratio_ins!$B:$B,0))*$G308*INDEX([1]ratio_ins!$D:$D,MATCH('001_population_health_zone_zs'!$B308,[1]ratio_ins!$B:$B,0))</f>
        <v>122087.37079</v>
      </c>
      <c r="AJ308" s="10">
        <f>INDEX([1]ratio_ins!AG:AG,MATCH('001_population_health_zone_zs'!$B$2,[1]ratio_ins!$B:$B,0))*$G308*INDEX([1]ratio_ins!$D:$D,MATCH('001_population_health_zone_zs'!$B308,[1]ratio_ins!$B:$B,0))</f>
        <v>7113.549860000001</v>
      </c>
      <c r="AK308" s="10">
        <f>INDEX([1]ratio_ins!AH:AH,MATCH('001_population_health_zone_zs'!$B$2,[1]ratio_ins!$B:$B,0))*$G308*INDEX([1]ratio_ins!$D:$D,MATCH('001_population_health_zone_zs'!$B308,[1]ratio_ins!$B:$B,0))</f>
        <v>15855.502700000001</v>
      </c>
      <c r="AL308" s="10">
        <f>INDEX([1]ratio_ins!AI:AI,MATCH('001_population_health_zone_zs'!$B$2,[1]ratio_ins!$B:$B,0))*$G308*INDEX([1]ratio_ins!$D:$D,MATCH('001_population_health_zone_zs'!$B308,[1]ratio_ins!$B:$B,0))</f>
        <v>14998.448500000002</v>
      </c>
      <c r="AM308" s="10">
        <f>INDEX([1]ratio_ins!AJ:AJ,MATCH('001_population_health_zone_zs'!$B$2,[1]ratio_ins!$B:$B,0))*$G308*INDEX([1]ratio_ins!$D:$D,MATCH('001_population_health_zone_zs'!$B308,[1]ratio_ins!$B:$B,0))</f>
        <v>13712.867200000001</v>
      </c>
      <c r="AN308" s="10">
        <f>INDEX([1]ratio_ins!AK:AK,MATCH('001_population_health_zone_zs'!$B$2,[1]ratio_ins!$B:$B,0))*$G308*INDEX([1]ratio_ins!$D:$D,MATCH('001_population_health_zone_zs'!$B308,[1]ratio_ins!$B:$B,0))</f>
        <v>12855.813</v>
      </c>
      <c r="AO308" s="10">
        <f>INDEX([1]ratio_ins!AL:AL,MATCH('001_population_health_zone_zs'!$B$2,[1]ratio_ins!$B:$B,0))*$G308*INDEX([1]ratio_ins!$D:$D,MATCH('001_population_health_zone_zs'!$B308,[1]ratio_ins!$B:$B,0))</f>
        <v>9641.8597499999996</v>
      </c>
      <c r="AP308" s="10">
        <f>INDEX([1]ratio_ins!AM:AM,MATCH('001_population_health_zone_zs'!$B$2,[1]ratio_ins!$B:$B,0))*$G308*INDEX([1]ratio_ins!$D:$D,MATCH('001_population_health_zone_zs'!$B308,[1]ratio_ins!$B:$B,0))</f>
        <v>6213.6429499999995</v>
      </c>
      <c r="AQ308" s="10">
        <f>INDEX([1]ratio_ins!AN:AN,MATCH('001_population_health_zone_zs'!$B$2,[1]ratio_ins!$B:$B,0))*$G308*INDEX([1]ratio_ins!$D:$D,MATCH('001_population_health_zone_zs'!$B308,[1]ratio_ins!$B:$B,0))</f>
        <v>4928.0616500000006</v>
      </c>
      <c r="AR308" s="10">
        <f>INDEX([1]ratio_ins!AO:AO,MATCH('001_population_health_zone_zs'!$B$2,[1]ratio_ins!$B:$B,0))*$G308*INDEX([1]ratio_ins!$D:$D,MATCH('001_population_health_zone_zs'!$B308,[1]ratio_ins!$B:$B,0))</f>
        <v>2356.8990500000004</v>
      </c>
      <c r="AS308" s="13">
        <f>INDEX([1]ratio_ins!AP:AP,MATCH('001_population_health_zone_zs'!$B$2,[1]ratio_ins!$B:$B,0))*$G308*INDEX([1]ratio_ins!$D:$D,MATCH('001_population_health_zone_zs'!$B308,[1]ratio_ins!$B:$B,0))</f>
        <v>87676.644659999991</v>
      </c>
      <c r="AT308" s="10">
        <f>INDEX([1]ratio_ins!AQ:AQ,MATCH('001_population_health_zone_zs'!$B$2,[1]ratio_ins!$B:$B,0))*$G308*INDEX([1]ratio_ins!$D:$D,MATCH('001_population_health_zone_zs'!$B308,[1]ratio_ins!$B:$B,0))</f>
        <v>2142.6354999999999</v>
      </c>
      <c r="AU308" s="10">
        <f>INDEX([1]ratio_ins!AR:AR,MATCH('001_population_health_zone_zs'!$B$2,[1]ratio_ins!$B:$B,0))*$G308*INDEX([1]ratio_ins!$D:$D,MATCH('001_population_health_zone_zs'!$B308,[1]ratio_ins!$B:$B,0))</f>
        <v>1285.5813000000001</v>
      </c>
      <c r="AV308" s="10">
        <f>INDEX([1]ratio_ins!AS:AS,MATCH('001_population_health_zone_zs'!$B$2,[1]ratio_ins!$B:$B,0))*$G308*INDEX([1]ratio_ins!$D:$D,MATCH('001_population_health_zone_zs'!$B308,[1]ratio_ins!$B:$B,0))</f>
        <v>642.79065000000003</v>
      </c>
      <c r="AW308" s="10">
        <f>INDEX([1]ratio_ins!AT:AT,MATCH('001_population_health_zone_zs'!$B$2,[1]ratio_ins!$B:$B,0))*$G308*INDEX([1]ratio_ins!$D:$D,MATCH('001_population_health_zone_zs'!$B308,[1]ratio_ins!$B:$B,0))</f>
        <v>428.52710000000002</v>
      </c>
      <c r="AX308" s="13">
        <f>INDEX([1]ratio_ins!AU:AU,MATCH('001_population_health_zone_zs'!$B$2,[1]ratio_ins!$B:$B,0))*$G308*INDEX([1]ratio_ins!$D:$D,MATCH('001_population_health_zone_zs'!$B308,[1]ratio_ins!$B:$B,0))</f>
        <v>4499.5345499999994</v>
      </c>
      <c r="AY308" s="14">
        <f t="shared" si="25"/>
        <v>214263.55000000002</v>
      </c>
      <c r="AZ308" s="15">
        <f t="shared" si="26"/>
        <v>420950</v>
      </c>
      <c r="BA308" s="16">
        <v>404214.34320796514</v>
      </c>
      <c r="BB308" s="10">
        <f t="shared" si="27"/>
        <v>91062.008749999994</v>
      </c>
      <c r="BC308" s="17">
        <f t="shared" si="28"/>
        <v>0.21632499999999999</v>
      </c>
      <c r="BD308" s="10">
        <f t="shared" si="29"/>
        <v>86188.249650000012</v>
      </c>
    </row>
    <row r="309" spans="1:56" x14ac:dyDescent="0.25">
      <c r="A309" s="8" t="s">
        <v>751</v>
      </c>
      <c r="B309" s="8" t="s">
        <v>752</v>
      </c>
      <c r="C309" s="8" t="s">
        <v>761</v>
      </c>
      <c r="D309" s="8" t="s">
        <v>762</v>
      </c>
      <c r="E309" s="8" t="s">
        <v>761</v>
      </c>
      <c r="F309" s="8" t="s">
        <v>763</v>
      </c>
      <c r="G309" s="9">
        <v>268306</v>
      </c>
      <c r="H309" s="10">
        <f>INDEX([1]ratio_ins!F:F,MATCH('001_population_health_zone_zs'!$B$2,[1]ratio_ins!$B:$B,0))*$G309*INDEX([1]ratio_ins!$C:$C,MATCH('001_population_health_zone_zs'!$B309,[1]ratio_ins!$B:$B,0))</f>
        <v>27533.293414</v>
      </c>
      <c r="I309" s="10">
        <f>INDEX([1]ratio_ins!G:G,MATCH('001_population_health_zone_zs'!$B$2,[1]ratio_ins!$B:$B,0))*$G309*INDEX([1]ratio_ins!$C:$C,MATCH('001_population_health_zone_zs'!$B309,[1]ratio_ins!$B:$B,0))</f>
        <v>22527.240065999998</v>
      </c>
      <c r="J309" s="10">
        <f>INDEX([1]ratio_ins!H:H,MATCH('001_population_health_zone_zs'!$B$2,[1]ratio_ins!$B:$B,0))*$G309*INDEX([1]ratio_ins!$C:$C,MATCH('001_population_health_zone_zs'!$B309,[1]ratio_ins!$B:$B,0))</f>
        <v>17784.663210000002</v>
      </c>
      <c r="K309" s="10">
        <f>INDEX([1]ratio_ins!I:I,MATCH('001_population_health_zone_zs'!$B$2,[1]ratio_ins!$B:$B,0))*$G309*INDEX([1]ratio_ins!$C:$C,MATCH('001_population_health_zone_zs'!$B309,[1]ratio_ins!$B:$B,0))</f>
        <v>10934.274418000001</v>
      </c>
      <c r="L309" s="10">
        <f>INDEX([1]ratio_ins!J:J,MATCH('001_population_health_zone_zs'!$B$2,[1]ratio_ins!$B:$B,0))*$G309*INDEX([1]ratio_ins!$C:$C,MATCH('001_population_health_zone_zs'!$B309,[1]ratio_ins!$B:$B,0))</f>
        <v>6560.5646507999991</v>
      </c>
      <c r="M309" s="11">
        <f>INDEX([1]ratio_ins!K:K,MATCH('001_population_health_zone_zs'!$B$2,[1]ratio_ins!$B:$B,0))*$G309*INDEX([1]ratio_ins!$C:$C,MATCH('001_population_health_zone_zs'!$B309,[1]ratio_ins!$B:$B,0))</f>
        <v>74405.761340799989</v>
      </c>
      <c r="N309" s="10">
        <f>INDEX([1]ratio_ins!L:L,MATCH('001_population_health_zone_zs'!$B$2,[1]ratio_ins!$B:$B,0))*$G309*INDEX([1]ratio_ins!$C:$C,MATCH('001_population_health_zone_zs'!$B309,[1]ratio_ins!$B:$B,0))</f>
        <v>4373.7097672</v>
      </c>
      <c r="O309" s="10">
        <f>INDEX([1]ratio_ins!M:M,MATCH('001_population_health_zone_zs'!$B$2,[1]ratio_ins!$B:$B,0))*$G309*INDEX([1]ratio_ins!$C:$C,MATCH('001_population_health_zone_zs'!$B309,[1]ratio_ins!$B:$B,0))</f>
        <v>9485.1537120000012</v>
      </c>
      <c r="P309" s="10">
        <f>INDEX([1]ratio_ins!N:N,MATCH('001_population_health_zone_zs'!$B$2,[1]ratio_ins!$B:$B,0))*$G309*INDEX([1]ratio_ins!$C:$C,MATCH('001_population_health_zone_zs'!$B309,[1]ratio_ins!$B:$B,0))</f>
        <v>8562.9859899999992</v>
      </c>
      <c r="Q309" s="10">
        <f>INDEX([1]ratio_ins!O:O,MATCH('001_population_health_zone_zs'!$B$2,[1]ratio_ins!$B:$B,0))*$G309*INDEX([1]ratio_ins!$C:$C,MATCH('001_population_health_zone_zs'!$B309,[1]ratio_ins!$B:$B,0))</f>
        <v>7640.818268</v>
      </c>
      <c r="R309" s="10">
        <f>INDEX([1]ratio_ins!P:P,MATCH('001_population_health_zone_zs'!$B$2,[1]ratio_ins!$B:$B,0))*$G309*INDEX([1]ratio_ins!$C:$C,MATCH('001_population_health_zone_zs'!$B309,[1]ratio_ins!$B:$B,0))</f>
        <v>7509.0800220000001</v>
      </c>
      <c r="S309" s="10">
        <f>INDEX([1]ratio_ins!Q:Q,MATCH('001_population_health_zone_zs'!$B$2,[1]ratio_ins!$B:$B,0))*$G309*INDEX([1]ratio_ins!$C:$C,MATCH('001_population_health_zone_zs'!$B309,[1]ratio_ins!$B:$B,0))</f>
        <v>6323.4358080000002</v>
      </c>
      <c r="T309" s="10">
        <f>INDEX([1]ratio_ins!R:R,MATCH('001_population_health_zone_zs'!$B$2,[1]ratio_ins!$B:$B,0))*$G309*INDEX([1]ratio_ins!$C:$C,MATCH('001_population_health_zone_zs'!$B309,[1]ratio_ins!$B:$B,0))</f>
        <v>4479.1003639999999</v>
      </c>
      <c r="U309" s="10">
        <f>INDEX([1]ratio_ins!S:S,MATCH('001_population_health_zone_zs'!$B$2,[1]ratio_ins!$B:$B,0))*$G309*INDEX([1]ratio_ins!$C:$C,MATCH('001_population_health_zone_zs'!$B309,[1]ratio_ins!$B:$B,0))</f>
        <v>3556.9326420000002</v>
      </c>
      <c r="V309" s="10">
        <f>INDEX([1]ratio_ins!T:T,MATCH('001_population_health_zone_zs'!$B$2,[1]ratio_ins!$B:$B,0))*$G309*INDEX([1]ratio_ins!$C:$C,MATCH('001_population_health_zone_zs'!$B309,[1]ratio_ins!$B:$B,0))</f>
        <v>1976.0736899999997</v>
      </c>
      <c r="W309" s="11">
        <f>INDEX([1]ratio_ins!U:U,MATCH('001_population_health_zone_zs'!$B$2,[1]ratio_ins!$B:$B,0))*$G309*INDEX([1]ratio_ins!$C:$C,MATCH('001_population_health_zone_zs'!$B309,[1]ratio_ins!$B:$B,0))</f>
        <v>53907.290263199997</v>
      </c>
      <c r="X309" s="10">
        <f>INDEX([1]ratio_ins!V:V,MATCH('001_population_health_zone_zs'!$B$2,[1]ratio_ins!$B:$B,0))*$G309*INDEX([1]ratio_ins!$C:$C,MATCH('001_population_health_zone_zs'!$B309,[1]ratio_ins!$B:$B,0))</f>
        <v>1580.858952</v>
      </c>
      <c r="Y309" s="10">
        <f>INDEX([1]ratio_ins!W:W,MATCH('001_population_health_zone_zs'!$B$2,[1]ratio_ins!$B:$B,0))*$G309*INDEX([1]ratio_ins!$C:$C,MATCH('001_population_health_zone_zs'!$B309,[1]ratio_ins!$B:$B,0))</f>
        <v>1053.905968</v>
      </c>
      <c r="Z309" s="10">
        <f>INDEX([1]ratio_ins!X:X,MATCH('001_population_health_zone_zs'!$B$2,[1]ratio_ins!$B:$B,0))*$G309*INDEX([1]ratio_ins!$C:$C,MATCH('001_population_health_zone_zs'!$B309,[1]ratio_ins!$B:$B,0))</f>
        <v>526.95298400000001</v>
      </c>
      <c r="AA309" s="10">
        <f>INDEX([1]ratio_ins!Y:Y,MATCH('001_population_health_zone_zs'!$B$2,[1]ratio_ins!$B:$B,0))*$G309*INDEX([1]ratio_ins!$C:$C,MATCH('001_population_health_zone_zs'!$B309,[1]ratio_ins!$B:$B,0))</f>
        <v>263.47649200000001</v>
      </c>
      <c r="AB309" s="11">
        <f>INDEX([1]ratio_ins!Z:Z,MATCH('001_population_health_zone_zs'!$B$2,[1]ratio_ins!$B:$B,0))*$G309*INDEX([1]ratio_ins!$C:$C,MATCH('001_population_health_zone_zs'!$B309,[1]ratio_ins!$B:$B,0))</f>
        <v>3425.1943960000003</v>
      </c>
      <c r="AC309" s="12">
        <f t="shared" si="24"/>
        <v>131738.24599999998</v>
      </c>
      <c r="AD309" s="10">
        <f>INDEX([1]ratio_ins!AA:AA,MATCH('001_population_health_zone_zs'!$B$2,[1]ratio_ins!$B:$B,0))*$G309*INDEX([1]ratio_ins!$D:$D,MATCH('001_population_health_zone_zs'!$B309,[1]ratio_ins!$B:$B,0))</f>
        <v>28679.228339999998</v>
      </c>
      <c r="AE309" s="10">
        <f>INDEX([1]ratio_ins!AB:AB,MATCH('001_population_health_zone_zs'!$B$2,[1]ratio_ins!$B:$B,0))*$G309*INDEX([1]ratio_ins!$D:$D,MATCH('001_population_health_zone_zs'!$B309,[1]ratio_ins!$B:$B,0))</f>
        <v>23626.221442000002</v>
      </c>
      <c r="AF309" s="10">
        <f>INDEX([1]ratio_ins!AC:AC,MATCH('001_population_health_zone_zs'!$B$2,[1]ratio_ins!$B:$B,0))*$G309*INDEX([1]ratio_ins!$D:$D,MATCH('001_population_health_zone_zs'!$B309,[1]ratio_ins!$B:$B,0))</f>
        <v>18709.782297999998</v>
      </c>
      <c r="AG309" s="10">
        <f>INDEX([1]ratio_ins!AD:AD,MATCH('001_population_health_zone_zs'!$B$2,[1]ratio_ins!$B:$B,0))*$G309*INDEX([1]ratio_ins!$D:$D,MATCH('001_population_health_zone_zs'!$B309,[1]ratio_ins!$B:$B,0))</f>
        <v>11335.123582</v>
      </c>
      <c r="AH309" s="10">
        <f>INDEX([1]ratio_ins!AE:AE,MATCH('001_population_health_zone_zs'!$B$2,[1]ratio_ins!$B:$B,0))*$G309*INDEX([1]ratio_ins!$D:$D,MATCH('001_population_health_zone_zs'!$B309,[1]ratio_ins!$B:$B,0))</f>
        <v>6801.0741491999997</v>
      </c>
      <c r="AI309" s="13">
        <f>INDEX([1]ratio_ins!AF:AF,MATCH('001_population_health_zone_zs'!$B$2,[1]ratio_ins!$B:$B,0))*$G309*INDEX([1]ratio_ins!$D:$D,MATCH('001_population_health_zone_zs'!$B309,[1]ratio_ins!$B:$B,0))</f>
        <v>77816.306229199996</v>
      </c>
      <c r="AJ309" s="10">
        <f>INDEX([1]ratio_ins!AG:AG,MATCH('001_population_health_zone_zs'!$B$2,[1]ratio_ins!$B:$B,0))*$G309*INDEX([1]ratio_ins!$D:$D,MATCH('001_population_health_zone_zs'!$B309,[1]ratio_ins!$B:$B,0))</f>
        <v>4534.0494328000004</v>
      </c>
      <c r="AK309" s="10">
        <f>INDEX([1]ratio_ins!AH:AH,MATCH('001_population_health_zone_zs'!$B$2,[1]ratio_ins!$B:$B,0))*$G309*INDEX([1]ratio_ins!$D:$D,MATCH('001_population_health_zone_zs'!$B309,[1]ratio_ins!$B:$B,0))</f>
        <v>10106.013796000003</v>
      </c>
      <c r="AL309" s="10">
        <f>INDEX([1]ratio_ins!AI:AI,MATCH('001_population_health_zone_zs'!$B$2,[1]ratio_ins!$B:$B,0))*$G309*INDEX([1]ratio_ins!$D:$D,MATCH('001_population_health_zone_zs'!$B309,[1]ratio_ins!$B:$B,0))</f>
        <v>9559.7427800000005</v>
      </c>
      <c r="AM309" s="10">
        <f>INDEX([1]ratio_ins!AJ:AJ,MATCH('001_population_health_zone_zs'!$B$2,[1]ratio_ins!$B:$B,0))*$G309*INDEX([1]ratio_ins!$D:$D,MATCH('001_population_health_zone_zs'!$B309,[1]ratio_ins!$B:$B,0))</f>
        <v>8740.3362559999987</v>
      </c>
      <c r="AN309" s="10">
        <f>INDEX([1]ratio_ins!AK:AK,MATCH('001_population_health_zone_zs'!$B$2,[1]ratio_ins!$B:$B,0))*$G309*INDEX([1]ratio_ins!$D:$D,MATCH('001_population_health_zone_zs'!$B309,[1]ratio_ins!$B:$B,0))</f>
        <v>8194.0652399999999</v>
      </c>
      <c r="AO309" s="10">
        <f>INDEX([1]ratio_ins!AL:AL,MATCH('001_population_health_zone_zs'!$B$2,[1]ratio_ins!$B:$B,0))*$G309*INDEX([1]ratio_ins!$D:$D,MATCH('001_population_health_zone_zs'!$B309,[1]ratio_ins!$B:$B,0))</f>
        <v>6145.5489299999999</v>
      </c>
      <c r="AP309" s="10">
        <f>INDEX([1]ratio_ins!AM:AM,MATCH('001_population_health_zone_zs'!$B$2,[1]ratio_ins!$B:$B,0))*$G309*INDEX([1]ratio_ins!$D:$D,MATCH('001_population_health_zone_zs'!$B309,[1]ratio_ins!$B:$B,0))</f>
        <v>3960.4648659999998</v>
      </c>
      <c r="AQ309" s="10">
        <f>INDEX([1]ratio_ins!AN:AN,MATCH('001_population_health_zone_zs'!$B$2,[1]ratio_ins!$B:$B,0))*$G309*INDEX([1]ratio_ins!$D:$D,MATCH('001_population_health_zone_zs'!$B309,[1]ratio_ins!$B:$B,0))</f>
        <v>3141.0583419999998</v>
      </c>
      <c r="AR309" s="10">
        <f>INDEX([1]ratio_ins!AO:AO,MATCH('001_population_health_zone_zs'!$B$2,[1]ratio_ins!$B:$B,0))*$G309*INDEX([1]ratio_ins!$D:$D,MATCH('001_population_health_zone_zs'!$B309,[1]ratio_ins!$B:$B,0))</f>
        <v>1502.2452940000003</v>
      </c>
      <c r="AS309" s="13">
        <f>INDEX([1]ratio_ins!AP:AP,MATCH('001_population_health_zone_zs'!$B$2,[1]ratio_ins!$B:$B,0))*$G309*INDEX([1]ratio_ins!$D:$D,MATCH('001_population_health_zone_zs'!$B309,[1]ratio_ins!$B:$B,0))</f>
        <v>55883.5249368</v>
      </c>
      <c r="AT309" s="10">
        <f>INDEX([1]ratio_ins!AQ:AQ,MATCH('001_population_health_zone_zs'!$B$2,[1]ratio_ins!$B:$B,0))*$G309*INDEX([1]ratio_ins!$D:$D,MATCH('001_population_health_zone_zs'!$B309,[1]ratio_ins!$B:$B,0))</f>
        <v>1365.6775399999999</v>
      </c>
      <c r="AU309" s="10">
        <f>INDEX([1]ratio_ins!AR:AR,MATCH('001_population_health_zone_zs'!$B$2,[1]ratio_ins!$B:$B,0))*$G309*INDEX([1]ratio_ins!$D:$D,MATCH('001_population_health_zone_zs'!$B309,[1]ratio_ins!$B:$B,0))</f>
        <v>819.40652399999999</v>
      </c>
      <c r="AV309" s="10">
        <f>INDEX([1]ratio_ins!AS:AS,MATCH('001_population_health_zone_zs'!$B$2,[1]ratio_ins!$B:$B,0))*$G309*INDEX([1]ratio_ins!$D:$D,MATCH('001_population_health_zone_zs'!$B309,[1]ratio_ins!$B:$B,0))</f>
        <v>409.703262</v>
      </c>
      <c r="AW309" s="10">
        <f>INDEX([1]ratio_ins!AT:AT,MATCH('001_population_health_zone_zs'!$B$2,[1]ratio_ins!$B:$B,0))*$G309*INDEX([1]ratio_ins!$D:$D,MATCH('001_population_health_zone_zs'!$B309,[1]ratio_ins!$B:$B,0))</f>
        <v>273.13550799999996</v>
      </c>
      <c r="AX309" s="13">
        <f>INDEX([1]ratio_ins!AU:AU,MATCH('001_population_health_zone_zs'!$B$2,[1]ratio_ins!$B:$B,0))*$G309*INDEX([1]ratio_ins!$D:$D,MATCH('001_population_health_zone_zs'!$B309,[1]ratio_ins!$B:$B,0))</f>
        <v>2867.922834</v>
      </c>
      <c r="AY309" s="14">
        <f t="shared" si="25"/>
        <v>136567.75399999999</v>
      </c>
      <c r="AZ309" s="15">
        <f t="shared" si="26"/>
        <v>268306</v>
      </c>
      <c r="BA309" s="16">
        <v>257639.60334261192</v>
      </c>
      <c r="BB309" s="10">
        <f t="shared" si="27"/>
        <v>58041.295450000005</v>
      </c>
      <c r="BC309" s="17">
        <f t="shared" si="28"/>
        <v>0.21632500000000002</v>
      </c>
      <c r="BD309" s="10">
        <f t="shared" si="29"/>
        <v>54934.848582000006</v>
      </c>
    </row>
    <row r="310" spans="1:56" x14ac:dyDescent="0.25">
      <c r="A310" s="8" t="s">
        <v>751</v>
      </c>
      <c r="B310" s="8" t="s">
        <v>752</v>
      </c>
      <c r="C310" s="8" t="s">
        <v>761</v>
      </c>
      <c r="D310" s="8" t="s">
        <v>762</v>
      </c>
      <c r="E310" s="8" t="s">
        <v>764</v>
      </c>
      <c r="F310" s="8" t="s">
        <v>765</v>
      </c>
      <c r="G310" s="9">
        <v>206747</v>
      </c>
      <c r="H310" s="10">
        <f>INDEX([1]ratio_ins!F:F,MATCH('001_population_health_zone_zs'!$B$2,[1]ratio_ins!$B:$B,0))*$G310*INDEX([1]ratio_ins!$C:$C,MATCH('001_population_health_zone_zs'!$B310,[1]ratio_ins!$B:$B,0))</f>
        <v>21216.170393</v>
      </c>
      <c r="I310" s="10">
        <f>INDEX([1]ratio_ins!G:G,MATCH('001_population_health_zone_zs'!$B$2,[1]ratio_ins!$B:$B,0))*$G310*INDEX([1]ratio_ins!$C:$C,MATCH('001_population_health_zone_zs'!$B310,[1]ratio_ins!$B:$B,0))</f>
        <v>17358.684867</v>
      </c>
      <c r="J310" s="10">
        <f>INDEX([1]ratio_ins!H:H,MATCH('001_population_health_zone_zs'!$B$2,[1]ratio_ins!$B:$B,0))*$G310*INDEX([1]ratio_ins!$C:$C,MATCH('001_population_health_zone_zs'!$B310,[1]ratio_ins!$B:$B,0))</f>
        <v>13704.224895000001</v>
      </c>
      <c r="K310" s="10">
        <f>INDEX([1]ratio_ins!I:I,MATCH('001_population_health_zone_zs'!$B$2,[1]ratio_ins!$B:$B,0))*$G310*INDEX([1]ratio_ins!$C:$C,MATCH('001_population_health_zone_zs'!$B310,[1]ratio_ins!$B:$B,0))</f>
        <v>8425.5604910000002</v>
      </c>
      <c r="L310" s="10">
        <f>INDEX([1]ratio_ins!J:J,MATCH('001_population_health_zone_zs'!$B$2,[1]ratio_ins!$B:$B,0))*$G310*INDEX([1]ratio_ins!$C:$C,MATCH('001_population_health_zone_zs'!$B310,[1]ratio_ins!$B:$B,0))</f>
        <v>5055.3362945999997</v>
      </c>
      <c r="M310" s="11">
        <f>INDEX([1]ratio_ins!K:K,MATCH('001_population_health_zone_zs'!$B$2,[1]ratio_ins!$B:$B,0))*$G310*INDEX([1]ratio_ins!$C:$C,MATCH('001_population_health_zone_zs'!$B310,[1]ratio_ins!$B:$B,0))</f>
        <v>57334.416449599994</v>
      </c>
      <c r="N310" s="10">
        <f>INDEX([1]ratio_ins!L:L,MATCH('001_population_health_zone_zs'!$B$2,[1]ratio_ins!$B:$B,0))*$G310*INDEX([1]ratio_ins!$C:$C,MATCH('001_population_health_zone_zs'!$B310,[1]ratio_ins!$B:$B,0))</f>
        <v>3370.2241964</v>
      </c>
      <c r="O310" s="10">
        <f>INDEX([1]ratio_ins!M:M,MATCH('001_population_health_zone_zs'!$B$2,[1]ratio_ins!$B:$B,0))*$G310*INDEX([1]ratio_ins!$C:$C,MATCH('001_population_health_zone_zs'!$B310,[1]ratio_ins!$B:$B,0))</f>
        <v>7308.9199440000002</v>
      </c>
      <c r="P310" s="10">
        <f>INDEX([1]ratio_ins!N:N,MATCH('001_population_health_zone_zs'!$B$2,[1]ratio_ins!$B:$B,0))*$G310*INDEX([1]ratio_ins!$C:$C,MATCH('001_population_health_zone_zs'!$B310,[1]ratio_ins!$B:$B,0))</f>
        <v>6598.3305049999999</v>
      </c>
      <c r="Q310" s="10">
        <f>INDEX([1]ratio_ins!O:O,MATCH('001_population_health_zone_zs'!$B$2,[1]ratio_ins!$B:$B,0))*$G310*INDEX([1]ratio_ins!$C:$C,MATCH('001_population_health_zone_zs'!$B310,[1]ratio_ins!$B:$B,0))</f>
        <v>5887.7410659999996</v>
      </c>
      <c r="R310" s="10">
        <f>INDEX([1]ratio_ins!P:P,MATCH('001_population_health_zone_zs'!$B$2,[1]ratio_ins!$B:$B,0))*$G310*INDEX([1]ratio_ins!$C:$C,MATCH('001_population_health_zone_zs'!$B310,[1]ratio_ins!$B:$B,0))</f>
        <v>5786.2282889999997</v>
      </c>
      <c r="S310" s="10">
        <f>INDEX([1]ratio_ins!Q:Q,MATCH('001_population_health_zone_zs'!$B$2,[1]ratio_ins!$B:$B,0))*$G310*INDEX([1]ratio_ins!$C:$C,MATCH('001_population_health_zone_zs'!$B310,[1]ratio_ins!$B:$B,0))</f>
        <v>4872.6132959999995</v>
      </c>
      <c r="T310" s="10">
        <f>INDEX([1]ratio_ins!R:R,MATCH('001_population_health_zone_zs'!$B$2,[1]ratio_ins!$B:$B,0))*$G310*INDEX([1]ratio_ins!$C:$C,MATCH('001_population_health_zone_zs'!$B310,[1]ratio_ins!$B:$B,0))</f>
        <v>3451.4344179999998</v>
      </c>
      <c r="U310" s="10">
        <f>INDEX([1]ratio_ins!S:S,MATCH('001_population_health_zone_zs'!$B$2,[1]ratio_ins!$B:$B,0))*$G310*INDEX([1]ratio_ins!$C:$C,MATCH('001_population_health_zone_zs'!$B310,[1]ratio_ins!$B:$B,0))</f>
        <v>2740.8449790000004</v>
      </c>
      <c r="V310" s="10">
        <f>INDEX([1]ratio_ins!T:T,MATCH('001_population_health_zone_zs'!$B$2,[1]ratio_ins!$B:$B,0))*$G310*INDEX([1]ratio_ins!$C:$C,MATCH('001_population_health_zone_zs'!$B310,[1]ratio_ins!$B:$B,0))</f>
        <v>1522.6916549999999</v>
      </c>
      <c r="W310" s="11">
        <f>INDEX([1]ratio_ins!U:U,MATCH('001_population_health_zone_zs'!$B$2,[1]ratio_ins!$B:$B,0))*$G310*INDEX([1]ratio_ins!$C:$C,MATCH('001_population_health_zone_zs'!$B310,[1]ratio_ins!$B:$B,0))</f>
        <v>41539.028348400003</v>
      </c>
      <c r="X310" s="10">
        <f>INDEX([1]ratio_ins!V:V,MATCH('001_population_health_zone_zs'!$B$2,[1]ratio_ins!$B:$B,0))*$G310*INDEX([1]ratio_ins!$C:$C,MATCH('001_population_health_zone_zs'!$B310,[1]ratio_ins!$B:$B,0))</f>
        <v>1218.1533239999999</v>
      </c>
      <c r="Y310" s="10">
        <f>INDEX([1]ratio_ins!W:W,MATCH('001_population_health_zone_zs'!$B$2,[1]ratio_ins!$B:$B,0))*$G310*INDEX([1]ratio_ins!$C:$C,MATCH('001_population_health_zone_zs'!$B310,[1]ratio_ins!$B:$B,0))</f>
        <v>812.102216</v>
      </c>
      <c r="Z310" s="10">
        <f>INDEX([1]ratio_ins!X:X,MATCH('001_population_health_zone_zs'!$B$2,[1]ratio_ins!$B:$B,0))*$G310*INDEX([1]ratio_ins!$C:$C,MATCH('001_population_health_zone_zs'!$B310,[1]ratio_ins!$B:$B,0))</f>
        <v>406.051108</v>
      </c>
      <c r="AA310" s="10">
        <f>INDEX([1]ratio_ins!Y:Y,MATCH('001_population_health_zone_zs'!$B$2,[1]ratio_ins!$B:$B,0))*$G310*INDEX([1]ratio_ins!$C:$C,MATCH('001_population_health_zone_zs'!$B310,[1]ratio_ins!$B:$B,0))</f>
        <v>203.025554</v>
      </c>
      <c r="AB310" s="11">
        <f>INDEX([1]ratio_ins!Z:Z,MATCH('001_population_health_zone_zs'!$B$2,[1]ratio_ins!$B:$B,0))*$G310*INDEX([1]ratio_ins!$C:$C,MATCH('001_population_health_zone_zs'!$B310,[1]ratio_ins!$B:$B,0))</f>
        <v>2639.3322020000001</v>
      </c>
      <c r="AC310" s="12">
        <f t="shared" si="24"/>
        <v>101512.777</v>
      </c>
      <c r="AD310" s="10">
        <f>INDEX([1]ratio_ins!AA:AA,MATCH('001_population_health_zone_zs'!$B$2,[1]ratio_ins!$B:$B,0))*$G310*INDEX([1]ratio_ins!$D:$D,MATCH('001_population_health_zone_zs'!$B310,[1]ratio_ins!$B:$B,0))</f>
        <v>22099.186829999999</v>
      </c>
      <c r="AE310" s="10">
        <f>INDEX([1]ratio_ins!AB:AB,MATCH('001_population_health_zone_zs'!$B$2,[1]ratio_ins!$B:$B,0))*$G310*INDEX([1]ratio_ins!$D:$D,MATCH('001_population_health_zone_zs'!$B310,[1]ratio_ins!$B:$B,0))</f>
        <v>18205.520579</v>
      </c>
      <c r="AF310" s="10">
        <f>INDEX([1]ratio_ins!AC:AC,MATCH('001_population_health_zone_zs'!$B$2,[1]ratio_ins!$B:$B,0))*$G310*INDEX([1]ratio_ins!$D:$D,MATCH('001_population_health_zone_zs'!$B310,[1]ratio_ins!$B:$B,0))</f>
        <v>14417.088550999999</v>
      </c>
      <c r="AG310" s="10">
        <f>INDEX([1]ratio_ins!AD:AD,MATCH('001_population_health_zone_zs'!$B$2,[1]ratio_ins!$B:$B,0))*$G310*INDEX([1]ratio_ins!$D:$D,MATCH('001_population_health_zone_zs'!$B310,[1]ratio_ins!$B:$B,0))</f>
        <v>8734.440509</v>
      </c>
      <c r="AH310" s="10">
        <f>INDEX([1]ratio_ins!AE:AE,MATCH('001_population_health_zone_zs'!$B$2,[1]ratio_ins!$B:$B,0))*$G310*INDEX([1]ratio_ins!$D:$D,MATCH('001_population_health_zone_zs'!$B310,[1]ratio_ins!$B:$B,0))</f>
        <v>5240.6643053999996</v>
      </c>
      <c r="AI310" s="13">
        <f>INDEX([1]ratio_ins!AF:AF,MATCH('001_population_health_zone_zs'!$B$2,[1]ratio_ins!$B:$B,0))*$G310*INDEX([1]ratio_ins!$D:$D,MATCH('001_population_health_zone_zs'!$B310,[1]ratio_ins!$B:$B,0))</f>
        <v>59962.460265400005</v>
      </c>
      <c r="AJ310" s="10">
        <f>INDEX([1]ratio_ins!AG:AG,MATCH('001_population_health_zone_zs'!$B$2,[1]ratio_ins!$B:$B,0))*$G310*INDEX([1]ratio_ins!$D:$D,MATCH('001_population_health_zone_zs'!$B310,[1]ratio_ins!$B:$B,0))</f>
        <v>3493.7762035999999</v>
      </c>
      <c r="AK310" s="10">
        <f>INDEX([1]ratio_ins!AH:AH,MATCH('001_population_health_zone_zs'!$B$2,[1]ratio_ins!$B:$B,0))*$G310*INDEX([1]ratio_ins!$D:$D,MATCH('001_population_health_zone_zs'!$B310,[1]ratio_ins!$B:$B,0))</f>
        <v>7787.3325020000011</v>
      </c>
      <c r="AL310" s="10">
        <f>INDEX([1]ratio_ins!AI:AI,MATCH('001_population_health_zone_zs'!$B$2,[1]ratio_ins!$B:$B,0))*$G310*INDEX([1]ratio_ins!$D:$D,MATCH('001_population_health_zone_zs'!$B310,[1]ratio_ins!$B:$B,0))</f>
        <v>7366.3956100000005</v>
      </c>
      <c r="AM310" s="10">
        <f>INDEX([1]ratio_ins!AJ:AJ,MATCH('001_population_health_zone_zs'!$B$2,[1]ratio_ins!$B:$B,0))*$G310*INDEX([1]ratio_ins!$D:$D,MATCH('001_population_health_zone_zs'!$B310,[1]ratio_ins!$B:$B,0))</f>
        <v>6734.9902720000009</v>
      </c>
      <c r="AN310" s="10">
        <f>INDEX([1]ratio_ins!AK:AK,MATCH('001_population_health_zone_zs'!$B$2,[1]ratio_ins!$B:$B,0))*$G310*INDEX([1]ratio_ins!$D:$D,MATCH('001_population_health_zone_zs'!$B310,[1]ratio_ins!$B:$B,0))</f>
        <v>6314.0533800000003</v>
      </c>
      <c r="AO310" s="10">
        <f>INDEX([1]ratio_ins!AL:AL,MATCH('001_population_health_zone_zs'!$B$2,[1]ratio_ins!$B:$B,0))*$G310*INDEX([1]ratio_ins!$D:$D,MATCH('001_population_health_zone_zs'!$B310,[1]ratio_ins!$B:$B,0))</f>
        <v>4735.540035</v>
      </c>
      <c r="AP310" s="10">
        <f>INDEX([1]ratio_ins!AM:AM,MATCH('001_population_health_zone_zs'!$B$2,[1]ratio_ins!$B:$B,0))*$G310*INDEX([1]ratio_ins!$D:$D,MATCH('001_population_health_zone_zs'!$B310,[1]ratio_ins!$B:$B,0))</f>
        <v>3051.7924669999998</v>
      </c>
      <c r="AQ310" s="10">
        <f>INDEX([1]ratio_ins!AN:AN,MATCH('001_population_health_zone_zs'!$B$2,[1]ratio_ins!$B:$B,0))*$G310*INDEX([1]ratio_ins!$D:$D,MATCH('001_population_health_zone_zs'!$B310,[1]ratio_ins!$B:$B,0))</f>
        <v>2420.3871289999997</v>
      </c>
      <c r="AR310" s="10">
        <f>INDEX([1]ratio_ins!AO:AO,MATCH('001_population_health_zone_zs'!$B$2,[1]ratio_ins!$B:$B,0))*$G310*INDEX([1]ratio_ins!$D:$D,MATCH('001_population_health_zone_zs'!$B310,[1]ratio_ins!$B:$B,0))</f>
        <v>1157.5764530000001</v>
      </c>
      <c r="AS310" s="13">
        <f>INDEX([1]ratio_ins!AP:AP,MATCH('001_population_health_zone_zs'!$B$2,[1]ratio_ins!$B:$B,0))*$G310*INDEX([1]ratio_ins!$D:$D,MATCH('001_population_health_zone_zs'!$B310,[1]ratio_ins!$B:$B,0))</f>
        <v>43061.844051600005</v>
      </c>
      <c r="AT310" s="10">
        <f>INDEX([1]ratio_ins!AQ:AQ,MATCH('001_population_health_zone_zs'!$B$2,[1]ratio_ins!$B:$B,0))*$G310*INDEX([1]ratio_ins!$D:$D,MATCH('001_population_health_zone_zs'!$B310,[1]ratio_ins!$B:$B,0))</f>
        <v>1052.3422300000002</v>
      </c>
      <c r="AU310" s="10">
        <f>INDEX([1]ratio_ins!AR:AR,MATCH('001_population_health_zone_zs'!$B$2,[1]ratio_ins!$B:$B,0))*$G310*INDEX([1]ratio_ins!$D:$D,MATCH('001_population_health_zone_zs'!$B310,[1]ratio_ins!$B:$B,0))</f>
        <v>631.40533800000003</v>
      </c>
      <c r="AV310" s="10">
        <f>INDEX([1]ratio_ins!AS:AS,MATCH('001_population_health_zone_zs'!$B$2,[1]ratio_ins!$B:$B,0))*$G310*INDEX([1]ratio_ins!$D:$D,MATCH('001_population_health_zone_zs'!$B310,[1]ratio_ins!$B:$B,0))</f>
        <v>315.70266900000001</v>
      </c>
      <c r="AW310" s="10">
        <f>INDEX([1]ratio_ins!AT:AT,MATCH('001_population_health_zone_zs'!$B$2,[1]ratio_ins!$B:$B,0))*$G310*INDEX([1]ratio_ins!$D:$D,MATCH('001_population_health_zone_zs'!$B310,[1]ratio_ins!$B:$B,0))</f>
        <v>210.46844600000003</v>
      </c>
      <c r="AX310" s="13">
        <f>INDEX([1]ratio_ins!AU:AU,MATCH('001_population_health_zone_zs'!$B$2,[1]ratio_ins!$B:$B,0))*$G310*INDEX([1]ratio_ins!$D:$D,MATCH('001_population_health_zone_zs'!$B310,[1]ratio_ins!$B:$B,0))</f>
        <v>2209.9186829999999</v>
      </c>
      <c r="AY310" s="14">
        <f t="shared" si="25"/>
        <v>105234.223</v>
      </c>
      <c r="AZ310" s="15">
        <f t="shared" si="26"/>
        <v>206747</v>
      </c>
      <c r="BA310" s="16">
        <v>198527.76873109903</v>
      </c>
      <c r="BB310" s="10">
        <f t="shared" si="27"/>
        <v>44724.544774999995</v>
      </c>
      <c r="BC310" s="17">
        <f t="shared" si="28"/>
        <v>0.21632499999999996</v>
      </c>
      <c r="BD310" s="10">
        <f t="shared" si="29"/>
        <v>42330.828008999997</v>
      </c>
    </row>
    <row r="311" spans="1:56" x14ac:dyDescent="0.25">
      <c r="A311" s="8" t="s">
        <v>751</v>
      </c>
      <c r="B311" s="8" t="s">
        <v>752</v>
      </c>
      <c r="C311" s="8" t="s">
        <v>761</v>
      </c>
      <c r="D311" s="8" t="s">
        <v>762</v>
      </c>
      <c r="E311" s="8" t="s">
        <v>766</v>
      </c>
      <c r="F311" s="8" t="s">
        <v>767</v>
      </c>
      <c r="G311" s="9">
        <v>260554</v>
      </c>
      <c r="H311" s="10">
        <f>INDEX([1]ratio_ins!F:F,MATCH('001_population_health_zone_zs'!$B$2,[1]ratio_ins!$B:$B,0))*$G311*INDEX([1]ratio_ins!$C:$C,MATCH('001_population_health_zone_zs'!$B311,[1]ratio_ins!$B:$B,0))</f>
        <v>26737.790925999998</v>
      </c>
      <c r="I311" s="10">
        <f>INDEX([1]ratio_ins!G:G,MATCH('001_population_health_zone_zs'!$B$2,[1]ratio_ins!$B:$B,0))*$G311*INDEX([1]ratio_ins!$C:$C,MATCH('001_population_health_zone_zs'!$B311,[1]ratio_ins!$B:$B,0))</f>
        <v>21876.374394000002</v>
      </c>
      <c r="J311" s="10">
        <f>INDEX([1]ratio_ins!H:H,MATCH('001_population_health_zone_zs'!$B$2,[1]ratio_ins!$B:$B,0))*$G311*INDEX([1]ratio_ins!$C:$C,MATCH('001_population_health_zone_zs'!$B311,[1]ratio_ins!$B:$B,0))</f>
        <v>17270.821889999999</v>
      </c>
      <c r="K311" s="10">
        <f>INDEX([1]ratio_ins!I:I,MATCH('001_population_health_zone_zs'!$B$2,[1]ratio_ins!$B:$B,0))*$G311*INDEX([1]ratio_ins!$C:$C,MATCH('001_population_health_zone_zs'!$B311,[1]ratio_ins!$B:$B,0))</f>
        <v>10618.357162</v>
      </c>
      <c r="L311" s="10">
        <f>INDEX([1]ratio_ins!J:J,MATCH('001_population_health_zone_zs'!$B$2,[1]ratio_ins!$B:$B,0))*$G311*INDEX([1]ratio_ins!$C:$C,MATCH('001_population_health_zone_zs'!$B311,[1]ratio_ins!$B:$B,0))</f>
        <v>6371.0142971999994</v>
      </c>
      <c r="M311" s="11">
        <f>INDEX([1]ratio_ins!K:K,MATCH('001_population_health_zone_zs'!$B$2,[1]ratio_ins!$B:$B,0))*$G311*INDEX([1]ratio_ins!$C:$C,MATCH('001_population_health_zone_zs'!$B311,[1]ratio_ins!$B:$B,0))</f>
        <v>72256.001507199995</v>
      </c>
      <c r="N311" s="10">
        <f>INDEX([1]ratio_ins!L:L,MATCH('001_population_health_zone_zs'!$B$2,[1]ratio_ins!$B:$B,0))*$G311*INDEX([1]ratio_ins!$C:$C,MATCH('001_population_health_zone_zs'!$B311,[1]ratio_ins!$B:$B,0))</f>
        <v>4247.3428647999999</v>
      </c>
      <c r="O311" s="10">
        <f>INDEX([1]ratio_ins!M:M,MATCH('001_population_health_zone_zs'!$B$2,[1]ratio_ins!$B:$B,0))*$G311*INDEX([1]ratio_ins!$C:$C,MATCH('001_population_health_zone_zs'!$B311,[1]ratio_ins!$B:$B,0))</f>
        <v>9211.1050080000005</v>
      </c>
      <c r="P311" s="10">
        <f>INDEX([1]ratio_ins!N:N,MATCH('001_population_health_zone_zs'!$B$2,[1]ratio_ins!$B:$B,0))*$G311*INDEX([1]ratio_ins!$C:$C,MATCH('001_population_health_zone_zs'!$B311,[1]ratio_ins!$B:$B,0))</f>
        <v>8315.5809100000006</v>
      </c>
      <c r="Q311" s="10">
        <f>INDEX([1]ratio_ins!O:O,MATCH('001_population_health_zone_zs'!$B$2,[1]ratio_ins!$B:$B,0))*$G311*INDEX([1]ratio_ins!$C:$C,MATCH('001_population_health_zone_zs'!$B311,[1]ratio_ins!$B:$B,0))</f>
        <v>7420.0568119999998</v>
      </c>
      <c r="R311" s="10">
        <f>INDEX([1]ratio_ins!P:P,MATCH('001_population_health_zone_zs'!$B$2,[1]ratio_ins!$B:$B,0))*$G311*INDEX([1]ratio_ins!$C:$C,MATCH('001_population_health_zone_zs'!$B311,[1]ratio_ins!$B:$B,0))</f>
        <v>7292.1247980000007</v>
      </c>
      <c r="S311" s="10">
        <f>INDEX([1]ratio_ins!Q:Q,MATCH('001_population_health_zone_zs'!$B$2,[1]ratio_ins!$B:$B,0))*$G311*INDEX([1]ratio_ins!$C:$C,MATCH('001_population_health_zone_zs'!$B311,[1]ratio_ins!$B:$B,0))</f>
        <v>6140.736672</v>
      </c>
      <c r="T311" s="10">
        <f>INDEX([1]ratio_ins!R:R,MATCH('001_population_health_zone_zs'!$B$2,[1]ratio_ins!$B:$B,0))*$G311*INDEX([1]ratio_ins!$C:$C,MATCH('001_population_health_zone_zs'!$B311,[1]ratio_ins!$B:$B,0))</f>
        <v>4349.6884760000003</v>
      </c>
      <c r="U311" s="10">
        <f>INDEX([1]ratio_ins!S:S,MATCH('001_population_health_zone_zs'!$B$2,[1]ratio_ins!$B:$B,0))*$G311*INDEX([1]ratio_ins!$C:$C,MATCH('001_population_health_zone_zs'!$B311,[1]ratio_ins!$B:$B,0))</f>
        <v>3454.1643780000004</v>
      </c>
      <c r="V311" s="10">
        <f>INDEX([1]ratio_ins!T:T,MATCH('001_population_health_zone_zs'!$B$2,[1]ratio_ins!$B:$B,0))*$G311*INDEX([1]ratio_ins!$C:$C,MATCH('001_population_health_zone_zs'!$B311,[1]ratio_ins!$B:$B,0))</f>
        <v>1918.9802099999999</v>
      </c>
      <c r="W311" s="11">
        <f>INDEX([1]ratio_ins!U:U,MATCH('001_population_health_zone_zs'!$B$2,[1]ratio_ins!$B:$B,0))*$G311*INDEX([1]ratio_ins!$C:$C,MATCH('001_population_health_zone_zs'!$B311,[1]ratio_ins!$B:$B,0))</f>
        <v>52349.780128800005</v>
      </c>
      <c r="X311" s="10">
        <f>INDEX([1]ratio_ins!V:V,MATCH('001_population_health_zone_zs'!$B$2,[1]ratio_ins!$B:$B,0))*$G311*INDEX([1]ratio_ins!$C:$C,MATCH('001_population_health_zone_zs'!$B311,[1]ratio_ins!$B:$B,0))</f>
        <v>1535.184168</v>
      </c>
      <c r="Y311" s="10">
        <f>INDEX([1]ratio_ins!W:W,MATCH('001_population_health_zone_zs'!$B$2,[1]ratio_ins!$B:$B,0))*$G311*INDEX([1]ratio_ins!$C:$C,MATCH('001_population_health_zone_zs'!$B311,[1]ratio_ins!$B:$B,0))</f>
        <v>1023.4561120000001</v>
      </c>
      <c r="Z311" s="10">
        <f>INDEX([1]ratio_ins!X:X,MATCH('001_population_health_zone_zs'!$B$2,[1]ratio_ins!$B:$B,0))*$G311*INDEX([1]ratio_ins!$C:$C,MATCH('001_population_health_zone_zs'!$B311,[1]ratio_ins!$B:$B,0))</f>
        <v>511.72805600000004</v>
      </c>
      <c r="AA311" s="10">
        <f>INDEX([1]ratio_ins!Y:Y,MATCH('001_population_health_zone_zs'!$B$2,[1]ratio_ins!$B:$B,0))*$G311*INDEX([1]ratio_ins!$C:$C,MATCH('001_population_health_zone_zs'!$B311,[1]ratio_ins!$B:$B,0))</f>
        <v>255.86402800000002</v>
      </c>
      <c r="AB311" s="11">
        <f>INDEX([1]ratio_ins!Z:Z,MATCH('001_population_health_zone_zs'!$B$2,[1]ratio_ins!$B:$B,0))*$G311*INDEX([1]ratio_ins!$C:$C,MATCH('001_population_health_zone_zs'!$B311,[1]ratio_ins!$B:$B,0))</f>
        <v>3326.232364</v>
      </c>
      <c r="AC311" s="12">
        <f t="shared" si="24"/>
        <v>127932.014</v>
      </c>
      <c r="AD311" s="10">
        <f>INDEX([1]ratio_ins!AA:AA,MATCH('001_population_health_zone_zs'!$B$2,[1]ratio_ins!$B:$B,0))*$G311*INDEX([1]ratio_ins!$D:$D,MATCH('001_population_health_zone_zs'!$B311,[1]ratio_ins!$B:$B,0))</f>
        <v>27850.617059999997</v>
      </c>
      <c r="AE311" s="10">
        <f>INDEX([1]ratio_ins!AB:AB,MATCH('001_population_health_zone_zs'!$B$2,[1]ratio_ins!$B:$B,0))*$G311*INDEX([1]ratio_ins!$D:$D,MATCH('001_population_health_zone_zs'!$B311,[1]ratio_ins!$B:$B,0))</f>
        <v>22943.603578000002</v>
      </c>
      <c r="AF311" s="10">
        <f>INDEX([1]ratio_ins!AC:AC,MATCH('001_population_health_zone_zs'!$B$2,[1]ratio_ins!$B:$B,0))*$G311*INDEX([1]ratio_ins!$D:$D,MATCH('001_population_health_zone_zs'!$B311,[1]ratio_ins!$B:$B,0))</f>
        <v>18169.212081999998</v>
      </c>
      <c r="AG311" s="10">
        <f>INDEX([1]ratio_ins!AD:AD,MATCH('001_population_health_zone_zs'!$B$2,[1]ratio_ins!$B:$B,0))*$G311*INDEX([1]ratio_ins!$D:$D,MATCH('001_population_health_zone_zs'!$B311,[1]ratio_ins!$B:$B,0))</f>
        <v>11007.624838</v>
      </c>
      <c r="AH311" s="10">
        <f>INDEX([1]ratio_ins!AE:AE,MATCH('001_population_health_zone_zs'!$B$2,[1]ratio_ins!$B:$B,0))*$G311*INDEX([1]ratio_ins!$D:$D,MATCH('001_population_health_zone_zs'!$B311,[1]ratio_ins!$B:$B,0))</f>
        <v>6604.5749027999991</v>
      </c>
      <c r="AI311" s="13">
        <f>INDEX([1]ratio_ins!AF:AF,MATCH('001_population_health_zone_zs'!$B$2,[1]ratio_ins!$B:$B,0))*$G311*INDEX([1]ratio_ins!$D:$D,MATCH('001_population_health_zone_zs'!$B311,[1]ratio_ins!$B:$B,0))</f>
        <v>75568.007622799996</v>
      </c>
      <c r="AJ311" s="10">
        <f>INDEX([1]ratio_ins!AG:AG,MATCH('001_population_health_zone_zs'!$B$2,[1]ratio_ins!$B:$B,0))*$G311*INDEX([1]ratio_ins!$D:$D,MATCH('001_population_health_zone_zs'!$B311,[1]ratio_ins!$B:$B,0))</f>
        <v>4403.0499351999997</v>
      </c>
      <c r="AK311" s="10">
        <f>INDEX([1]ratio_ins!AH:AH,MATCH('001_population_health_zone_zs'!$B$2,[1]ratio_ins!$B:$B,0))*$G311*INDEX([1]ratio_ins!$D:$D,MATCH('001_population_health_zone_zs'!$B311,[1]ratio_ins!$B:$B,0))</f>
        <v>9814.0269640000024</v>
      </c>
      <c r="AL311" s="10">
        <f>INDEX([1]ratio_ins!AI:AI,MATCH('001_population_health_zone_zs'!$B$2,[1]ratio_ins!$B:$B,0))*$G311*INDEX([1]ratio_ins!$D:$D,MATCH('001_population_health_zone_zs'!$B311,[1]ratio_ins!$B:$B,0))</f>
        <v>9283.539020000002</v>
      </c>
      <c r="AM311" s="10">
        <f>INDEX([1]ratio_ins!AJ:AJ,MATCH('001_population_health_zone_zs'!$B$2,[1]ratio_ins!$B:$B,0))*$G311*INDEX([1]ratio_ins!$D:$D,MATCH('001_population_health_zone_zs'!$B311,[1]ratio_ins!$B:$B,0))</f>
        <v>8487.8071040000013</v>
      </c>
      <c r="AN311" s="10">
        <f>INDEX([1]ratio_ins!AK:AK,MATCH('001_population_health_zone_zs'!$B$2,[1]ratio_ins!$B:$B,0))*$G311*INDEX([1]ratio_ins!$D:$D,MATCH('001_population_health_zone_zs'!$B311,[1]ratio_ins!$B:$B,0))</f>
        <v>7957.31916</v>
      </c>
      <c r="AO311" s="10">
        <f>INDEX([1]ratio_ins!AL:AL,MATCH('001_population_health_zone_zs'!$B$2,[1]ratio_ins!$B:$B,0))*$G311*INDEX([1]ratio_ins!$D:$D,MATCH('001_population_health_zone_zs'!$B311,[1]ratio_ins!$B:$B,0))</f>
        <v>5967.9893700000002</v>
      </c>
      <c r="AP311" s="10">
        <f>INDEX([1]ratio_ins!AM:AM,MATCH('001_population_health_zone_zs'!$B$2,[1]ratio_ins!$B:$B,0))*$G311*INDEX([1]ratio_ins!$D:$D,MATCH('001_population_health_zone_zs'!$B311,[1]ratio_ins!$B:$B,0))</f>
        <v>3846.0375939999999</v>
      </c>
      <c r="AQ311" s="10">
        <f>INDEX([1]ratio_ins!AN:AN,MATCH('001_population_health_zone_zs'!$B$2,[1]ratio_ins!$B:$B,0))*$G311*INDEX([1]ratio_ins!$D:$D,MATCH('001_population_health_zone_zs'!$B311,[1]ratio_ins!$B:$B,0))</f>
        <v>3050.3056780000002</v>
      </c>
      <c r="AR311" s="10">
        <f>INDEX([1]ratio_ins!AO:AO,MATCH('001_population_health_zone_zs'!$B$2,[1]ratio_ins!$B:$B,0))*$G311*INDEX([1]ratio_ins!$D:$D,MATCH('001_population_health_zone_zs'!$B311,[1]ratio_ins!$B:$B,0))</f>
        <v>1458.8418460000003</v>
      </c>
      <c r="AS311" s="13">
        <f>INDEX([1]ratio_ins!AP:AP,MATCH('001_population_health_zone_zs'!$B$2,[1]ratio_ins!$B:$B,0))*$G311*INDEX([1]ratio_ins!$D:$D,MATCH('001_population_health_zone_zs'!$B311,[1]ratio_ins!$B:$B,0))</f>
        <v>54268.916671200001</v>
      </c>
      <c r="AT311" s="10">
        <f>INDEX([1]ratio_ins!AQ:AQ,MATCH('001_population_health_zone_zs'!$B$2,[1]ratio_ins!$B:$B,0))*$G311*INDEX([1]ratio_ins!$D:$D,MATCH('001_population_health_zone_zs'!$B311,[1]ratio_ins!$B:$B,0))</f>
        <v>1326.2198599999999</v>
      </c>
      <c r="AU311" s="10">
        <f>INDEX([1]ratio_ins!AR:AR,MATCH('001_population_health_zone_zs'!$B$2,[1]ratio_ins!$B:$B,0))*$G311*INDEX([1]ratio_ins!$D:$D,MATCH('001_population_health_zone_zs'!$B311,[1]ratio_ins!$B:$B,0))</f>
        <v>795.73191600000007</v>
      </c>
      <c r="AV311" s="10">
        <f>INDEX([1]ratio_ins!AS:AS,MATCH('001_population_health_zone_zs'!$B$2,[1]ratio_ins!$B:$B,0))*$G311*INDEX([1]ratio_ins!$D:$D,MATCH('001_population_health_zone_zs'!$B311,[1]ratio_ins!$B:$B,0))</f>
        <v>397.86595800000003</v>
      </c>
      <c r="AW311" s="10">
        <f>INDEX([1]ratio_ins!AT:AT,MATCH('001_population_health_zone_zs'!$B$2,[1]ratio_ins!$B:$B,0))*$G311*INDEX([1]ratio_ins!$D:$D,MATCH('001_population_health_zone_zs'!$B311,[1]ratio_ins!$B:$B,0))</f>
        <v>265.24397200000004</v>
      </c>
      <c r="AX311" s="13">
        <f>INDEX([1]ratio_ins!AU:AU,MATCH('001_population_health_zone_zs'!$B$2,[1]ratio_ins!$B:$B,0))*$G311*INDEX([1]ratio_ins!$D:$D,MATCH('001_population_health_zone_zs'!$B311,[1]ratio_ins!$B:$B,0))</f>
        <v>2785.0617059999995</v>
      </c>
      <c r="AY311" s="14">
        <f t="shared" si="25"/>
        <v>132621.986</v>
      </c>
      <c r="AZ311" s="15">
        <f t="shared" si="26"/>
        <v>260554</v>
      </c>
      <c r="BA311" s="16">
        <v>250195.62678893257</v>
      </c>
      <c r="BB311" s="10">
        <f t="shared" si="27"/>
        <v>56364.344050000007</v>
      </c>
      <c r="BC311" s="17">
        <f t="shared" si="28"/>
        <v>0.21632500000000002</v>
      </c>
      <c r="BD311" s="10">
        <f t="shared" si="29"/>
        <v>53347.649838000005</v>
      </c>
    </row>
    <row r="312" spans="1:56" x14ac:dyDescent="0.25">
      <c r="A312" s="8" t="s">
        <v>751</v>
      </c>
      <c r="B312" s="8" t="s">
        <v>752</v>
      </c>
      <c r="C312" s="8" t="s">
        <v>761</v>
      </c>
      <c r="D312" s="8" t="s">
        <v>762</v>
      </c>
      <c r="E312" s="8" t="s">
        <v>768</v>
      </c>
      <c r="F312" s="8" t="s">
        <v>769</v>
      </c>
      <c r="G312" s="9">
        <v>298340</v>
      </c>
      <c r="H312" s="10">
        <f>INDEX([1]ratio_ins!F:F,MATCH('001_population_health_zone_zs'!$B$2,[1]ratio_ins!$B:$B,0))*$G312*INDEX([1]ratio_ins!$C:$C,MATCH('001_population_health_zone_zs'!$B312,[1]ratio_ins!$B:$B,0))</f>
        <v>30615.352459999998</v>
      </c>
      <c r="I312" s="10">
        <f>INDEX([1]ratio_ins!G:G,MATCH('001_population_health_zone_zs'!$B$2,[1]ratio_ins!$B:$B,0))*$G312*INDEX([1]ratio_ins!$C:$C,MATCH('001_population_health_zone_zs'!$B312,[1]ratio_ins!$B:$B,0))</f>
        <v>25048.924740000002</v>
      </c>
      <c r="J312" s="10">
        <f>INDEX([1]ratio_ins!H:H,MATCH('001_population_health_zone_zs'!$B$2,[1]ratio_ins!$B:$B,0))*$G312*INDEX([1]ratio_ins!$C:$C,MATCH('001_population_health_zone_zs'!$B312,[1]ratio_ins!$B:$B,0))</f>
        <v>19775.466899999999</v>
      </c>
      <c r="K312" s="10">
        <f>INDEX([1]ratio_ins!I:I,MATCH('001_population_health_zone_zs'!$B$2,[1]ratio_ins!$B:$B,0))*$G312*INDEX([1]ratio_ins!$C:$C,MATCH('001_population_health_zone_zs'!$B312,[1]ratio_ins!$B:$B,0))</f>
        <v>12158.250019999999</v>
      </c>
      <c r="L312" s="10">
        <f>INDEX([1]ratio_ins!J:J,MATCH('001_population_health_zone_zs'!$B$2,[1]ratio_ins!$B:$B,0))*$G312*INDEX([1]ratio_ins!$C:$C,MATCH('001_population_health_zone_zs'!$B312,[1]ratio_ins!$B:$B,0))</f>
        <v>7294.9500119999993</v>
      </c>
      <c r="M312" s="11">
        <f>INDEX([1]ratio_ins!K:K,MATCH('001_population_health_zone_zs'!$B$2,[1]ratio_ins!$B:$B,0))*$G312*INDEX([1]ratio_ins!$C:$C,MATCH('001_population_health_zone_zs'!$B312,[1]ratio_ins!$B:$B,0))</f>
        <v>82734.694111999997</v>
      </c>
      <c r="N312" s="10">
        <f>INDEX([1]ratio_ins!L:L,MATCH('001_population_health_zone_zs'!$B$2,[1]ratio_ins!$B:$B,0))*$G312*INDEX([1]ratio_ins!$C:$C,MATCH('001_population_health_zone_zs'!$B312,[1]ratio_ins!$B:$B,0))</f>
        <v>4863.3000080000002</v>
      </c>
      <c r="O312" s="10">
        <f>INDEX([1]ratio_ins!M:M,MATCH('001_population_health_zone_zs'!$B$2,[1]ratio_ins!$B:$B,0))*$G312*INDEX([1]ratio_ins!$C:$C,MATCH('001_population_health_zone_zs'!$B312,[1]ratio_ins!$B:$B,0))</f>
        <v>10546.915680000002</v>
      </c>
      <c r="P312" s="10">
        <f>INDEX([1]ratio_ins!N:N,MATCH('001_population_health_zone_zs'!$B$2,[1]ratio_ins!$B:$B,0))*$G312*INDEX([1]ratio_ins!$C:$C,MATCH('001_population_health_zone_zs'!$B312,[1]ratio_ins!$B:$B,0))</f>
        <v>9521.5211000000018</v>
      </c>
      <c r="Q312" s="10">
        <f>INDEX([1]ratio_ins!O:O,MATCH('001_population_health_zone_zs'!$B$2,[1]ratio_ins!$B:$B,0))*$G312*INDEX([1]ratio_ins!$C:$C,MATCH('001_population_health_zone_zs'!$B312,[1]ratio_ins!$B:$B,0))</f>
        <v>8496.126519999998</v>
      </c>
      <c r="R312" s="10">
        <f>INDEX([1]ratio_ins!P:P,MATCH('001_population_health_zone_zs'!$B$2,[1]ratio_ins!$B:$B,0))*$G312*INDEX([1]ratio_ins!$C:$C,MATCH('001_population_health_zone_zs'!$B312,[1]ratio_ins!$B:$B,0))</f>
        <v>8349.6415799999995</v>
      </c>
      <c r="S312" s="10">
        <f>INDEX([1]ratio_ins!Q:Q,MATCH('001_population_health_zone_zs'!$B$2,[1]ratio_ins!$B:$B,0))*$G312*INDEX([1]ratio_ins!$C:$C,MATCH('001_population_health_zone_zs'!$B312,[1]ratio_ins!$B:$B,0))</f>
        <v>7031.2771199999997</v>
      </c>
      <c r="T312" s="10">
        <f>INDEX([1]ratio_ins!R:R,MATCH('001_population_health_zone_zs'!$B$2,[1]ratio_ins!$B:$B,0))*$G312*INDEX([1]ratio_ins!$C:$C,MATCH('001_population_health_zone_zs'!$B312,[1]ratio_ins!$B:$B,0))</f>
        <v>4980.4879600000004</v>
      </c>
      <c r="U312" s="10">
        <f>INDEX([1]ratio_ins!S:S,MATCH('001_population_health_zone_zs'!$B$2,[1]ratio_ins!$B:$B,0))*$G312*INDEX([1]ratio_ins!$C:$C,MATCH('001_population_health_zone_zs'!$B312,[1]ratio_ins!$B:$B,0))</f>
        <v>3955.0933800000007</v>
      </c>
      <c r="V312" s="10">
        <f>INDEX([1]ratio_ins!T:T,MATCH('001_population_health_zone_zs'!$B$2,[1]ratio_ins!$B:$B,0))*$G312*INDEX([1]ratio_ins!$C:$C,MATCH('001_population_health_zone_zs'!$B312,[1]ratio_ins!$B:$B,0))</f>
        <v>2197.2740999999996</v>
      </c>
      <c r="W312" s="11">
        <f>INDEX([1]ratio_ins!U:U,MATCH('001_population_health_zone_zs'!$B$2,[1]ratio_ins!$B:$B,0))*$G312*INDEX([1]ratio_ins!$C:$C,MATCH('001_population_health_zone_zs'!$B312,[1]ratio_ins!$B:$B,0))</f>
        <v>59941.637448000001</v>
      </c>
      <c r="X312" s="10">
        <f>INDEX([1]ratio_ins!V:V,MATCH('001_population_health_zone_zs'!$B$2,[1]ratio_ins!$B:$B,0))*$G312*INDEX([1]ratio_ins!$C:$C,MATCH('001_population_health_zone_zs'!$B312,[1]ratio_ins!$B:$B,0))</f>
        <v>1757.8192799999999</v>
      </c>
      <c r="Y312" s="10">
        <f>INDEX([1]ratio_ins!W:W,MATCH('001_population_health_zone_zs'!$B$2,[1]ratio_ins!$B:$B,0))*$G312*INDEX([1]ratio_ins!$C:$C,MATCH('001_population_health_zone_zs'!$B312,[1]ratio_ins!$B:$B,0))</f>
        <v>1171.8795200000002</v>
      </c>
      <c r="Z312" s="10">
        <f>INDEX([1]ratio_ins!X:X,MATCH('001_population_health_zone_zs'!$B$2,[1]ratio_ins!$B:$B,0))*$G312*INDEX([1]ratio_ins!$C:$C,MATCH('001_population_health_zone_zs'!$B312,[1]ratio_ins!$B:$B,0))</f>
        <v>585.93976000000009</v>
      </c>
      <c r="AA312" s="10">
        <f>INDEX([1]ratio_ins!Y:Y,MATCH('001_population_health_zone_zs'!$B$2,[1]ratio_ins!$B:$B,0))*$G312*INDEX([1]ratio_ins!$C:$C,MATCH('001_population_health_zone_zs'!$B312,[1]ratio_ins!$B:$B,0))</f>
        <v>292.96988000000005</v>
      </c>
      <c r="AB312" s="11">
        <f>INDEX([1]ratio_ins!Z:Z,MATCH('001_population_health_zone_zs'!$B$2,[1]ratio_ins!$B:$B,0))*$G312*INDEX([1]ratio_ins!$C:$C,MATCH('001_population_health_zone_zs'!$B312,[1]ratio_ins!$B:$B,0))</f>
        <v>3808.6084400000004</v>
      </c>
      <c r="AC312" s="12">
        <f t="shared" si="24"/>
        <v>146484.94</v>
      </c>
      <c r="AD312" s="10">
        <f>INDEX([1]ratio_ins!AA:AA,MATCH('001_population_health_zone_zs'!$B$2,[1]ratio_ins!$B:$B,0))*$G312*INDEX([1]ratio_ins!$D:$D,MATCH('001_population_health_zone_zs'!$B312,[1]ratio_ins!$B:$B,0))</f>
        <v>31889.562599999997</v>
      </c>
      <c r="AE312" s="10">
        <f>INDEX([1]ratio_ins!AB:AB,MATCH('001_population_health_zone_zs'!$B$2,[1]ratio_ins!$B:$B,0))*$G312*INDEX([1]ratio_ins!$D:$D,MATCH('001_population_health_zone_zs'!$B312,[1]ratio_ins!$B:$B,0))</f>
        <v>26270.925380000004</v>
      </c>
      <c r="AF312" s="10">
        <f>INDEX([1]ratio_ins!AC:AC,MATCH('001_population_health_zone_zs'!$B$2,[1]ratio_ins!$B:$B,0))*$G312*INDEX([1]ratio_ins!$D:$D,MATCH('001_population_health_zone_zs'!$B312,[1]ratio_ins!$B:$B,0))</f>
        <v>20804.143219999998</v>
      </c>
      <c r="AG312" s="10">
        <f>INDEX([1]ratio_ins!AD:AD,MATCH('001_population_health_zone_zs'!$B$2,[1]ratio_ins!$B:$B,0))*$G312*INDEX([1]ratio_ins!$D:$D,MATCH('001_population_health_zone_zs'!$B312,[1]ratio_ins!$B:$B,0))</f>
        <v>12603.969980000002</v>
      </c>
      <c r="AH312" s="10">
        <f>INDEX([1]ratio_ins!AE:AE,MATCH('001_population_health_zone_zs'!$B$2,[1]ratio_ins!$B:$B,0))*$G312*INDEX([1]ratio_ins!$D:$D,MATCH('001_population_health_zone_zs'!$B312,[1]ratio_ins!$B:$B,0))</f>
        <v>7562.3819879999992</v>
      </c>
      <c r="AI312" s="13">
        <f>INDEX([1]ratio_ins!AF:AF,MATCH('001_population_health_zone_zs'!$B$2,[1]ratio_ins!$B:$B,0))*$G312*INDEX([1]ratio_ins!$D:$D,MATCH('001_population_health_zone_zs'!$B312,[1]ratio_ins!$B:$B,0))</f>
        <v>86527.013187999997</v>
      </c>
      <c r="AJ312" s="10">
        <f>INDEX([1]ratio_ins!AG:AG,MATCH('001_population_health_zone_zs'!$B$2,[1]ratio_ins!$B:$B,0))*$G312*INDEX([1]ratio_ins!$D:$D,MATCH('001_population_health_zone_zs'!$B312,[1]ratio_ins!$B:$B,0))</f>
        <v>5041.5879920000007</v>
      </c>
      <c r="AK312" s="10">
        <f>INDEX([1]ratio_ins!AH:AH,MATCH('001_population_health_zone_zs'!$B$2,[1]ratio_ins!$B:$B,0))*$G312*INDEX([1]ratio_ins!$D:$D,MATCH('001_population_health_zone_zs'!$B312,[1]ratio_ins!$B:$B,0))</f>
        <v>11237.274440000001</v>
      </c>
      <c r="AL312" s="10">
        <f>INDEX([1]ratio_ins!AI:AI,MATCH('001_population_health_zone_zs'!$B$2,[1]ratio_ins!$B:$B,0))*$G312*INDEX([1]ratio_ins!$D:$D,MATCH('001_population_health_zone_zs'!$B312,[1]ratio_ins!$B:$B,0))</f>
        <v>10629.854200000002</v>
      </c>
      <c r="AM312" s="10">
        <f>INDEX([1]ratio_ins!AJ:AJ,MATCH('001_population_health_zone_zs'!$B$2,[1]ratio_ins!$B:$B,0))*$G312*INDEX([1]ratio_ins!$D:$D,MATCH('001_population_health_zone_zs'!$B312,[1]ratio_ins!$B:$B,0))</f>
        <v>9718.7238400000006</v>
      </c>
      <c r="AN312" s="10">
        <f>INDEX([1]ratio_ins!AK:AK,MATCH('001_population_health_zone_zs'!$B$2,[1]ratio_ins!$B:$B,0))*$G312*INDEX([1]ratio_ins!$D:$D,MATCH('001_population_health_zone_zs'!$B312,[1]ratio_ins!$B:$B,0))</f>
        <v>9111.3035999999993</v>
      </c>
      <c r="AO312" s="10">
        <f>INDEX([1]ratio_ins!AL:AL,MATCH('001_population_health_zone_zs'!$B$2,[1]ratio_ins!$B:$B,0))*$G312*INDEX([1]ratio_ins!$D:$D,MATCH('001_population_health_zone_zs'!$B312,[1]ratio_ins!$B:$B,0))</f>
        <v>6833.4776999999995</v>
      </c>
      <c r="AP312" s="10">
        <f>INDEX([1]ratio_ins!AM:AM,MATCH('001_population_health_zone_zs'!$B$2,[1]ratio_ins!$B:$B,0))*$G312*INDEX([1]ratio_ins!$D:$D,MATCH('001_population_health_zone_zs'!$B312,[1]ratio_ins!$B:$B,0))</f>
        <v>4403.7967399999998</v>
      </c>
      <c r="AQ312" s="10">
        <f>INDEX([1]ratio_ins!AN:AN,MATCH('001_population_health_zone_zs'!$B$2,[1]ratio_ins!$B:$B,0))*$G312*INDEX([1]ratio_ins!$D:$D,MATCH('001_population_health_zone_zs'!$B312,[1]ratio_ins!$B:$B,0))</f>
        <v>3492.6663800000001</v>
      </c>
      <c r="AR312" s="10">
        <f>INDEX([1]ratio_ins!AO:AO,MATCH('001_population_health_zone_zs'!$B$2,[1]ratio_ins!$B:$B,0))*$G312*INDEX([1]ratio_ins!$D:$D,MATCH('001_population_health_zone_zs'!$B312,[1]ratio_ins!$B:$B,0))</f>
        <v>1670.4056600000001</v>
      </c>
      <c r="AS312" s="13">
        <f>INDEX([1]ratio_ins!AP:AP,MATCH('001_population_health_zone_zs'!$B$2,[1]ratio_ins!$B:$B,0))*$G312*INDEX([1]ratio_ins!$D:$D,MATCH('001_population_health_zone_zs'!$B312,[1]ratio_ins!$B:$B,0))</f>
        <v>62139.090552000001</v>
      </c>
      <c r="AT312" s="10">
        <f>INDEX([1]ratio_ins!AQ:AQ,MATCH('001_population_health_zone_zs'!$B$2,[1]ratio_ins!$B:$B,0))*$G312*INDEX([1]ratio_ins!$D:$D,MATCH('001_population_health_zone_zs'!$B312,[1]ratio_ins!$B:$B,0))</f>
        <v>1518.5506</v>
      </c>
      <c r="AU312" s="10">
        <f>INDEX([1]ratio_ins!AR:AR,MATCH('001_population_health_zone_zs'!$B$2,[1]ratio_ins!$B:$B,0))*$G312*INDEX([1]ratio_ins!$D:$D,MATCH('001_population_health_zone_zs'!$B312,[1]ratio_ins!$B:$B,0))</f>
        <v>911.13036</v>
      </c>
      <c r="AV312" s="10">
        <f>INDEX([1]ratio_ins!AS:AS,MATCH('001_population_health_zone_zs'!$B$2,[1]ratio_ins!$B:$B,0))*$G312*INDEX([1]ratio_ins!$D:$D,MATCH('001_population_health_zone_zs'!$B312,[1]ratio_ins!$B:$B,0))</f>
        <v>455.56518</v>
      </c>
      <c r="AW312" s="10">
        <f>INDEX([1]ratio_ins!AT:AT,MATCH('001_population_health_zone_zs'!$B$2,[1]ratio_ins!$B:$B,0))*$G312*INDEX([1]ratio_ins!$D:$D,MATCH('001_population_health_zone_zs'!$B312,[1]ratio_ins!$B:$B,0))</f>
        <v>303.71012000000002</v>
      </c>
      <c r="AX312" s="13">
        <f>INDEX([1]ratio_ins!AU:AU,MATCH('001_population_health_zone_zs'!$B$2,[1]ratio_ins!$B:$B,0))*$G312*INDEX([1]ratio_ins!$D:$D,MATCH('001_population_health_zone_zs'!$B312,[1]ratio_ins!$B:$B,0))</f>
        <v>3188.9562599999999</v>
      </c>
      <c r="AY312" s="14">
        <f t="shared" si="25"/>
        <v>151855.06</v>
      </c>
      <c r="AZ312" s="15">
        <f t="shared" si="26"/>
        <v>298340</v>
      </c>
      <c r="BA312" s="16">
        <v>286479.53822707455</v>
      </c>
      <c r="BB312" s="10">
        <f t="shared" si="27"/>
        <v>64538.400499999996</v>
      </c>
      <c r="BC312" s="17">
        <f t="shared" si="28"/>
        <v>0.21632499999999999</v>
      </c>
      <c r="BD312" s="10">
        <f t="shared" si="29"/>
        <v>61084.219979999994</v>
      </c>
    </row>
    <row r="313" spans="1:56" x14ac:dyDescent="0.25">
      <c r="A313" s="8" t="s">
        <v>751</v>
      </c>
      <c r="B313" s="8" t="s">
        <v>752</v>
      </c>
      <c r="C313" s="8" t="s">
        <v>761</v>
      </c>
      <c r="D313" s="8" t="s">
        <v>762</v>
      </c>
      <c r="E313" s="8" t="s">
        <v>770</v>
      </c>
      <c r="F313" s="8" t="s">
        <v>771</v>
      </c>
      <c r="G313" s="9">
        <v>155227</v>
      </c>
      <c r="H313" s="10">
        <f>INDEX([1]ratio_ins!F:F,MATCH('001_population_health_zone_zs'!$B$2,[1]ratio_ins!$B:$B,0))*$G313*INDEX([1]ratio_ins!$C:$C,MATCH('001_population_health_zone_zs'!$B313,[1]ratio_ins!$B:$B,0))</f>
        <v>15929.239512999999</v>
      </c>
      <c r="I313" s="10">
        <f>INDEX([1]ratio_ins!G:G,MATCH('001_population_health_zone_zs'!$B$2,[1]ratio_ins!$B:$B,0))*$G313*INDEX([1]ratio_ins!$C:$C,MATCH('001_population_health_zone_zs'!$B313,[1]ratio_ins!$B:$B,0))</f>
        <v>13033.014147000002</v>
      </c>
      <c r="J313" s="10">
        <f>INDEX([1]ratio_ins!H:H,MATCH('001_population_health_zone_zs'!$B$2,[1]ratio_ins!$B:$B,0))*$G313*INDEX([1]ratio_ins!$C:$C,MATCH('001_population_health_zone_zs'!$B313,[1]ratio_ins!$B:$B,0))</f>
        <v>10289.221695</v>
      </c>
      <c r="K313" s="10">
        <f>INDEX([1]ratio_ins!I:I,MATCH('001_population_health_zone_zs'!$B$2,[1]ratio_ins!$B:$B,0))*$G313*INDEX([1]ratio_ins!$C:$C,MATCH('001_population_health_zone_zs'!$B313,[1]ratio_ins!$B:$B,0))</f>
        <v>6325.9659309999997</v>
      </c>
      <c r="L313" s="10">
        <f>INDEX([1]ratio_ins!J:J,MATCH('001_population_health_zone_zs'!$B$2,[1]ratio_ins!$B:$B,0))*$G313*INDEX([1]ratio_ins!$C:$C,MATCH('001_population_health_zone_zs'!$B313,[1]ratio_ins!$B:$B,0))</f>
        <v>3795.5795585999995</v>
      </c>
      <c r="M313" s="11">
        <f>INDEX([1]ratio_ins!K:K,MATCH('001_population_health_zone_zs'!$B$2,[1]ratio_ins!$B:$B,0))*$G313*INDEX([1]ratio_ins!$C:$C,MATCH('001_population_health_zone_zs'!$B313,[1]ratio_ins!$B:$B,0))</f>
        <v>43047.054913599997</v>
      </c>
      <c r="N313" s="10">
        <f>INDEX([1]ratio_ins!L:L,MATCH('001_population_health_zone_zs'!$B$2,[1]ratio_ins!$B:$B,0))*$G313*INDEX([1]ratio_ins!$C:$C,MATCH('001_population_health_zone_zs'!$B313,[1]ratio_ins!$B:$B,0))</f>
        <v>2530.3863723999998</v>
      </c>
      <c r="O313" s="10">
        <f>INDEX([1]ratio_ins!M:M,MATCH('001_population_health_zone_zs'!$B$2,[1]ratio_ins!$B:$B,0))*$G313*INDEX([1]ratio_ins!$C:$C,MATCH('001_population_health_zone_zs'!$B313,[1]ratio_ins!$B:$B,0))</f>
        <v>5487.5849040000003</v>
      </c>
      <c r="P313" s="10">
        <f>INDEX([1]ratio_ins!N:N,MATCH('001_population_health_zone_zs'!$B$2,[1]ratio_ins!$B:$B,0))*$G313*INDEX([1]ratio_ins!$C:$C,MATCH('001_population_health_zone_zs'!$B313,[1]ratio_ins!$B:$B,0))</f>
        <v>4954.0697050000008</v>
      </c>
      <c r="Q313" s="10">
        <f>INDEX([1]ratio_ins!O:O,MATCH('001_population_health_zone_zs'!$B$2,[1]ratio_ins!$B:$B,0))*$G313*INDEX([1]ratio_ins!$C:$C,MATCH('001_population_health_zone_zs'!$B313,[1]ratio_ins!$B:$B,0))</f>
        <v>4420.5545059999995</v>
      </c>
      <c r="R313" s="10">
        <f>INDEX([1]ratio_ins!P:P,MATCH('001_population_health_zone_zs'!$B$2,[1]ratio_ins!$B:$B,0))*$G313*INDEX([1]ratio_ins!$C:$C,MATCH('001_population_health_zone_zs'!$B313,[1]ratio_ins!$B:$B,0))</f>
        <v>4344.338049</v>
      </c>
      <c r="S313" s="10">
        <f>INDEX([1]ratio_ins!Q:Q,MATCH('001_population_health_zone_zs'!$B$2,[1]ratio_ins!$B:$B,0))*$G313*INDEX([1]ratio_ins!$C:$C,MATCH('001_population_health_zone_zs'!$B313,[1]ratio_ins!$B:$B,0))</f>
        <v>3658.389936</v>
      </c>
      <c r="T313" s="10">
        <f>INDEX([1]ratio_ins!R:R,MATCH('001_population_health_zone_zs'!$B$2,[1]ratio_ins!$B:$B,0))*$G313*INDEX([1]ratio_ins!$C:$C,MATCH('001_population_health_zone_zs'!$B313,[1]ratio_ins!$B:$B,0))</f>
        <v>2591.3595380000002</v>
      </c>
      <c r="U313" s="10">
        <f>INDEX([1]ratio_ins!S:S,MATCH('001_population_health_zone_zs'!$B$2,[1]ratio_ins!$B:$B,0))*$G313*INDEX([1]ratio_ins!$C:$C,MATCH('001_population_health_zone_zs'!$B313,[1]ratio_ins!$B:$B,0))</f>
        <v>2057.8443390000002</v>
      </c>
      <c r="V313" s="10">
        <f>INDEX([1]ratio_ins!T:T,MATCH('001_population_health_zone_zs'!$B$2,[1]ratio_ins!$B:$B,0))*$G313*INDEX([1]ratio_ins!$C:$C,MATCH('001_population_health_zone_zs'!$B313,[1]ratio_ins!$B:$B,0))</f>
        <v>1143.2468549999999</v>
      </c>
      <c r="W313" s="11">
        <f>INDEX([1]ratio_ins!U:U,MATCH('001_population_health_zone_zs'!$B$2,[1]ratio_ins!$B:$B,0))*$G313*INDEX([1]ratio_ins!$C:$C,MATCH('001_population_health_zone_zs'!$B313,[1]ratio_ins!$B:$B,0))</f>
        <v>31187.774204400001</v>
      </c>
      <c r="X313" s="10">
        <f>INDEX([1]ratio_ins!V:V,MATCH('001_population_health_zone_zs'!$B$2,[1]ratio_ins!$B:$B,0))*$G313*INDEX([1]ratio_ins!$C:$C,MATCH('001_population_health_zone_zs'!$B313,[1]ratio_ins!$B:$B,0))</f>
        <v>914.59748400000001</v>
      </c>
      <c r="Y313" s="10">
        <f>INDEX([1]ratio_ins!W:W,MATCH('001_population_health_zone_zs'!$B$2,[1]ratio_ins!$B:$B,0))*$G313*INDEX([1]ratio_ins!$C:$C,MATCH('001_population_health_zone_zs'!$B313,[1]ratio_ins!$B:$B,0))</f>
        <v>609.73165600000004</v>
      </c>
      <c r="Z313" s="10">
        <f>INDEX([1]ratio_ins!X:X,MATCH('001_population_health_zone_zs'!$B$2,[1]ratio_ins!$B:$B,0))*$G313*INDEX([1]ratio_ins!$C:$C,MATCH('001_population_health_zone_zs'!$B313,[1]ratio_ins!$B:$B,0))</f>
        <v>304.86582800000002</v>
      </c>
      <c r="AA313" s="10">
        <f>INDEX([1]ratio_ins!Y:Y,MATCH('001_population_health_zone_zs'!$B$2,[1]ratio_ins!$B:$B,0))*$G313*INDEX([1]ratio_ins!$C:$C,MATCH('001_population_health_zone_zs'!$B313,[1]ratio_ins!$B:$B,0))</f>
        <v>152.43291400000001</v>
      </c>
      <c r="AB313" s="11">
        <f>INDEX([1]ratio_ins!Z:Z,MATCH('001_population_health_zone_zs'!$B$2,[1]ratio_ins!$B:$B,0))*$G313*INDEX([1]ratio_ins!$C:$C,MATCH('001_population_health_zone_zs'!$B313,[1]ratio_ins!$B:$B,0))</f>
        <v>1981.6278820000002</v>
      </c>
      <c r="AC313" s="12">
        <f t="shared" si="24"/>
        <v>76216.456999999995</v>
      </c>
      <c r="AD313" s="10">
        <f>INDEX([1]ratio_ins!AA:AA,MATCH('001_population_health_zone_zs'!$B$2,[1]ratio_ins!$B:$B,0))*$G313*INDEX([1]ratio_ins!$D:$D,MATCH('001_population_health_zone_zs'!$B313,[1]ratio_ins!$B:$B,0))</f>
        <v>16592.214029999999</v>
      </c>
      <c r="AE313" s="10">
        <f>INDEX([1]ratio_ins!AB:AB,MATCH('001_population_health_zone_zs'!$B$2,[1]ratio_ins!$B:$B,0))*$G313*INDEX([1]ratio_ins!$D:$D,MATCH('001_population_health_zone_zs'!$B313,[1]ratio_ins!$B:$B,0))</f>
        <v>13668.823939</v>
      </c>
      <c r="AF313" s="10">
        <f>INDEX([1]ratio_ins!AC:AC,MATCH('001_population_health_zone_zs'!$B$2,[1]ratio_ins!$B:$B,0))*$G313*INDEX([1]ratio_ins!$D:$D,MATCH('001_population_health_zone_zs'!$B313,[1]ratio_ins!$B:$B,0))</f>
        <v>10824.444390999999</v>
      </c>
      <c r="AG313" s="10">
        <f>INDEX([1]ratio_ins!AD:AD,MATCH('001_population_health_zone_zs'!$B$2,[1]ratio_ins!$B:$B,0))*$G313*INDEX([1]ratio_ins!$D:$D,MATCH('001_population_health_zone_zs'!$B313,[1]ratio_ins!$B:$B,0))</f>
        <v>6557.8750690000006</v>
      </c>
      <c r="AH313" s="10">
        <f>INDEX([1]ratio_ins!AE:AE,MATCH('001_population_health_zone_zs'!$B$2,[1]ratio_ins!$B:$B,0))*$G313*INDEX([1]ratio_ins!$D:$D,MATCH('001_population_health_zone_zs'!$B313,[1]ratio_ins!$B:$B,0))</f>
        <v>3934.7250414</v>
      </c>
      <c r="AI313" s="13">
        <f>INDEX([1]ratio_ins!AF:AF,MATCH('001_population_health_zone_zs'!$B$2,[1]ratio_ins!$B:$B,0))*$G313*INDEX([1]ratio_ins!$D:$D,MATCH('001_population_health_zone_zs'!$B313,[1]ratio_ins!$B:$B,0))</f>
        <v>45020.207401399995</v>
      </c>
      <c r="AJ313" s="10">
        <f>INDEX([1]ratio_ins!AG:AG,MATCH('001_population_health_zone_zs'!$B$2,[1]ratio_ins!$B:$B,0))*$G313*INDEX([1]ratio_ins!$D:$D,MATCH('001_population_health_zone_zs'!$B313,[1]ratio_ins!$B:$B,0))</f>
        <v>2623.1500276000002</v>
      </c>
      <c r="AK313" s="10">
        <f>INDEX([1]ratio_ins!AH:AH,MATCH('001_population_health_zone_zs'!$B$2,[1]ratio_ins!$B:$B,0))*$G313*INDEX([1]ratio_ins!$D:$D,MATCH('001_population_health_zone_zs'!$B313,[1]ratio_ins!$B:$B,0))</f>
        <v>5846.7801820000004</v>
      </c>
      <c r="AL313" s="10">
        <f>INDEX([1]ratio_ins!AI:AI,MATCH('001_population_health_zone_zs'!$B$2,[1]ratio_ins!$B:$B,0))*$G313*INDEX([1]ratio_ins!$D:$D,MATCH('001_population_health_zone_zs'!$B313,[1]ratio_ins!$B:$B,0))</f>
        <v>5530.7380100000009</v>
      </c>
      <c r="AM313" s="10">
        <f>INDEX([1]ratio_ins!AJ:AJ,MATCH('001_population_health_zone_zs'!$B$2,[1]ratio_ins!$B:$B,0))*$G313*INDEX([1]ratio_ins!$D:$D,MATCH('001_population_health_zone_zs'!$B313,[1]ratio_ins!$B:$B,0))</f>
        <v>5056.6747519999999</v>
      </c>
      <c r="AN313" s="10">
        <f>INDEX([1]ratio_ins!AK:AK,MATCH('001_population_health_zone_zs'!$B$2,[1]ratio_ins!$B:$B,0))*$G313*INDEX([1]ratio_ins!$D:$D,MATCH('001_population_health_zone_zs'!$B313,[1]ratio_ins!$B:$B,0))</f>
        <v>4740.6325799999995</v>
      </c>
      <c r="AO313" s="10">
        <f>INDEX([1]ratio_ins!AL:AL,MATCH('001_population_health_zone_zs'!$B$2,[1]ratio_ins!$B:$B,0))*$G313*INDEX([1]ratio_ins!$D:$D,MATCH('001_population_health_zone_zs'!$B313,[1]ratio_ins!$B:$B,0))</f>
        <v>3555.4744350000001</v>
      </c>
      <c r="AP313" s="10">
        <f>INDEX([1]ratio_ins!AM:AM,MATCH('001_population_health_zone_zs'!$B$2,[1]ratio_ins!$B:$B,0))*$G313*INDEX([1]ratio_ins!$D:$D,MATCH('001_population_health_zone_zs'!$B313,[1]ratio_ins!$B:$B,0))</f>
        <v>2291.3057469999999</v>
      </c>
      <c r="AQ313" s="10">
        <f>INDEX([1]ratio_ins!AN:AN,MATCH('001_population_health_zone_zs'!$B$2,[1]ratio_ins!$B:$B,0))*$G313*INDEX([1]ratio_ins!$D:$D,MATCH('001_population_health_zone_zs'!$B313,[1]ratio_ins!$B:$B,0))</f>
        <v>1817.242489</v>
      </c>
      <c r="AR313" s="10">
        <f>INDEX([1]ratio_ins!AO:AO,MATCH('001_population_health_zone_zs'!$B$2,[1]ratio_ins!$B:$B,0))*$G313*INDEX([1]ratio_ins!$D:$D,MATCH('001_population_health_zone_zs'!$B313,[1]ratio_ins!$B:$B,0))</f>
        <v>869.11597300000005</v>
      </c>
      <c r="AS313" s="13">
        <f>INDEX([1]ratio_ins!AP:AP,MATCH('001_population_health_zone_zs'!$B$2,[1]ratio_ins!$B:$B,0))*$G313*INDEX([1]ratio_ins!$D:$D,MATCH('001_population_health_zone_zs'!$B313,[1]ratio_ins!$B:$B,0))</f>
        <v>32331.114195600003</v>
      </c>
      <c r="AT313" s="10">
        <f>INDEX([1]ratio_ins!AQ:AQ,MATCH('001_population_health_zone_zs'!$B$2,[1]ratio_ins!$B:$B,0))*$G313*INDEX([1]ratio_ins!$D:$D,MATCH('001_population_health_zone_zs'!$B313,[1]ratio_ins!$B:$B,0))</f>
        <v>790.10542999999996</v>
      </c>
      <c r="AU313" s="10">
        <f>INDEX([1]ratio_ins!AR:AR,MATCH('001_population_health_zone_zs'!$B$2,[1]ratio_ins!$B:$B,0))*$G313*INDEX([1]ratio_ins!$D:$D,MATCH('001_population_health_zone_zs'!$B313,[1]ratio_ins!$B:$B,0))</f>
        <v>474.06325799999996</v>
      </c>
      <c r="AV313" s="10">
        <f>INDEX([1]ratio_ins!AS:AS,MATCH('001_population_health_zone_zs'!$B$2,[1]ratio_ins!$B:$B,0))*$G313*INDEX([1]ratio_ins!$D:$D,MATCH('001_population_health_zone_zs'!$B313,[1]ratio_ins!$B:$B,0))</f>
        <v>237.03162899999998</v>
      </c>
      <c r="AW313" s="10">
        <f>INDEX([1]ratio_ins!AT:AT,MATCH('001_population_health_zone_zs'!$B$2,[1]ratio_ins!$B:$B,0))*$G313*INDEX([1]ratio_ins!$D:$D,MATCH('001_population_health_zone_zs'!$B313,[1]ratio_ins!$B:$B,0))</f>
        <v>158.021086</v>
      </c>
      <c r="AX313" s="13">
        <f>INDEX([1]ratio_ins!AU:AU,MATCH('001_population_health_zone_zs'!$B$2,[1]ratio_ins!$B:$B,0))*$G313*INDEX([1]ratio_ins!$D:$D,MATCH('001_population_health_zone_zs'!$B313,[1]ratio_ins!$B:$B,0))</f>
        <v>1659.221403</v>
      </c>
      <c r="AY313" s="14">
        <f t="shared" si="25"/>
        <v>79010.543000000005</v>
      </c>
      <c r="AZ313" s="15">
        <f t="shared" si="26"/>
        <v>155227</v>
      </c>
      <c r="BA313" s="16">
        <v>149055.72589418929</v>
      </c>
      <c r="BB313" s="10">
        <f t="shared" si="27"/>
        <v>33579.480775000004</v>
      </c>
      <c r="BC313" s="17">
        <f t="shared" si="28"/>
        <v>0.21632500000000002</v>
      </c>
      <c r="BD313" s="10">
        <f t="shared" si="29"/>
        <v>31782.262569000002</v>
      </c>
    </row>
    <row r="314" spans="1:56" x14ac:dyDescent="0.25">
      <c r="A314" s="8" t="s">
        <v>751</v>
      </c>
      <c r="B314" s="8" t="s">
        <v>752</v>
      </c>
      <c r="C314" s="8" t="s">
        <v>772</v>
      </c>
      <c r="D314" s="8" t="s">
        <v>773</v>
      </c>
      <c r="E314" s="8" t="s">
        <v>774</v>
      </c>
      <c r="F314" s="8" t="s">
        <v>775</v>
      </c>
      <c r="G314" s="9">
        <v>151490</v>
      </c>
      <c r="H314" s="10">
        <f>INDEX([1]ratio_ins!F:F,MATCH('001_population_health_zone_zs'!$B$2,[1]ratio_ins!$B:$B,0))*$G314*INDEX([1]ratio_ins!$C:$C,MATCH('001_population_health_zone_zs'!$B314,[1]ratio_ins!$B:$B,0))</f>
        <v>15545.75231</v>
      </c>
      <c r="I314" s="10">
        <f>INDEX([1]ratio_ins!G:G,MATCH('001_population_health_zone_zs'!$B$2,[1]ratio_ins!$B:$B,0))*$G314*INDEX([1]ratio_ins!$C:$C,MATCH('001_population_health_zone_zs'!$B314,[1]ratio_ins!$B:$B,0))</f>
        <v>12719.25189</v>
      </c>
      <c r="J314" s="10">
        <f>INDEX([1]ratio_ins!H:H,MATCH('001_population_health_zone_zs'!$B$2,[1]ratio_ins!$B:$B,0))*$G314*INDEX([1]ratio_ins!$C:$C,MATCH('001_population_health_zone_zs'!$B314,[1]ratio_ins!$B:$B,0))</f>
        <v>10041.514650000001</v>
      </c>
      <c r="K314" s="10">
        <f>INDEX([1]ratio_ins!I:I,MATCH('001_population_health_zone_zs'!$B$2,[1]ratio_ins!$B:$B,0))*$G314*INDEX([1]ratio_ins!$C:$C,MATCH('001_population_health_zone_zs'!$B314,[1]ratio_ins!$B:$B,0))</f>
        <v>6173.6719700000003</v>
      </c>
      <c r="L314" s="10">
        <f>INDEX([1]ratio_ins!J:J,MATCH('001_population_health_zone_zs'!$B$2,[1]ratio_ins!$B:$B,0))*$G314*INDEX([1]ratio_ins!$C:$C,MATCH('001_population_health_zone_zs'!$B314,[1]ratio_ins!$B:$B,0))</f>
        <v>3704.2031819999997</v>
      </c>
      <c r="M314" s="11">
        <f>INDEX([1]ratio_ins!K:K,MATCH('001_population_health_zone_zs'!$B$2,[1]ratio_ins!$B:$B,0))*$G314*INDEX([1]ratio_ins!$C:$C,MATCH('001_population_health_zone_zs'!$B314,[1]ratio_ins!$B:$B,0))</f>
        <v>42010.722031999998</v>
      </c>
      <c r="N314" s="10">
        <f>INDEX([1]ratio_ins!L:L,MATCH('001_population_health_zone_zs'!$B$2,[1]ratio_ins!$B:$B,0))*$G314*INDEX([1]ratio_ins!$C:$C,MATCH('001_population_health_zone_zs'!$B314,[1]ratio_ins!$B:$B,0))</f>
        <v>2469.4687879999997</v>
      </c>
      <c r="O314" s="10">
        <f>INDEX([1]ratio_ins!M:M,MATCH('001_population_health_zone_zs'!$B$2,[1]ratio_ins!$B:$B,0))*$G314*INDEX([1]ratio_ins!$C:$C,MATCH('001_population_health_zone_zs'!$B314,[1]ratio_ins!$B:$B,0))</f>
        <v>5355.4744799999999</v>
      </c>
      <c r="P314" s="10">
        <f>INDEX([1]ratio_ins!N:N,MATCH('001_population_health_zone_zs'!$B$2,[1]ratio_ins!$B:$B,0))*$G314*INDEX([1]ratio_ins!$C:$C,MATCH('001_population_health_zone_zs'!$B314,[1]ratio_ins!$B:$B,0))</f>
        <v>4834.8033500000001</v>
      </c>
      <c r="Q314" s="10">
        <f>INDEX([1]ratio_ins!O:O,MATCH('001_population_health_zone_zs'!$B$2,[1]ratio_ins!$B:$B,0))*$G314*INDEX([1]ratio_ins!$C:$C,MATCH('001_population_health_zone_zs'!$B314,[1]ratio_ins!$B:$B,0))</f>
        <v>4314.1322200000004</v>
      </c>
      <c r="R314" s="10">
        <f>INDEX([1]ratio_ins!P:P,MATCH('001_population_health_zone_zs'!$B$2,[1]ratio_ins!$B:$B,0))*$G314*INDEX([1]ratio_ins!$C:$C,MATCH('001_population_health_zone_zs'!$B314,[1]ratio_ins!$B:$B,0))</f>
        <v>4239.7506300000005</v>
      </c>
      <c r="S314" s="10">
        <f>INDEX([1]ratio_ins!Q:Q,MATCH('001_population_health_zone_zs'!$B$2,[1]ratio_ins!$B:$B,0))*$G314*INDEX([1]ratio_ins!$C:$C,MATCH('001_population_health_zone_zs'!$B314,[1]ratio_ins!$B:$B,0))</f>
        <v>3570.3163200000004</v>
      </c>
      <c r="T314" s="10">
        <f>INDEX([1]ratio_ins!R:R,MATCH('001_population_health_zone_zs'!$B$2,[1]ratio_ins!$B:$B,0))*$G314*INDEX([1]ratio_ins!$C:$C,MATCH('001_population_health_zone_zs'!$B314,[1]ratio_ins!$B:$B,0))</f>
        <v>2528.9740600000005</v>
      </c>
      <c r="U314" s="10">
        <f>INDEX([1]ratio_ins!S:S,MATCH('001_population_health_zone_zs'!$B$2,[1]ratio_ins!$B:$B,0))*$G314*INDEX([1]ratio_ins!$C:$C,MATCH('001_population_health_zone_zs'!$B314,[1]ratio_ins!$B:$B,0))</f>
        <v>2008.3029300000003</v>
      </c>
      <c r="V314" s="10">
        <f>INDEX([1]ratio_ins!T:T,MATCH('001_population_health_zone_zs'!$B$2,[1]ratio_ins!$B:$B,0))*$G314*INDEX([1]ratio_ins!$C:$C,MATCH('001_population_health_zone_zs'!$B314,[1]ratio_ins!$B:$B,0))</f>
        <v>1115.7238499999999</v>
      </c>
      <c r="W314" s="11">
        <f>INDEX([1]ratio_ins!U:U,MATCH('001_population_health_zone_zs'!$B$2,[1]ratio_ins!$B:$B,0))*$G314*INDEX([1]ratio_ins!$C:$C,MATCH('001_population_health_zone_zs'!$B314,[1]ratio_ins!$B:$B,0))</f>
        <v>30436.946627999998</v>
      </c>
      <c r="X314" s="10">
        <f>INDEX([1]ratio_ins!V:V,MATCH('001_population_health_zone_zs'!$B$2,[1]ratio_ins!$B:$B,0))*$G314*INDEX([1]ratio_ins!$C:$C,MATCH('001_population_health_zone_zs'!$B314,[1]ratio_ins!$B:$B,0))</f>
        <v>892.57908000000009</v>
      </c>
      <c r="Y314" s="10">
        <f>INDEX([1]ratio_ins!W:W,MATCH('001_population_health_zone_zs'!$B$2,[1]ratio_ins!$B:$B,0))*$G314*INDEX([1]ratio_ins!$C:$C,MATCH('001_population_health_zone_zs'!$B314,[1]ratio_ins!$B:$B,0))</f>
        <v>595.05272000000002</v>
      </c>
      <c r="Z314" s="10">
        <f>INDEX([1]ratio_ins!X:X,MATCH('001_population_health_zone_zs'!$B$2,[1]ratio_ins!$B:$B,0))*$G314*INDEX([1]ratio_ins!$C:$C,MATCH('001_population_health_zone_zs'!$B314,[1]ratio_ins!$B:$B,0))</f>
        <v>297.52636000000001</v>
      </c>
      <c r="AA314" s="10">
        <f>INDEX([1]ratio_ins!Y:Y,MATCH('001_population_health_zone_zs'!$B$2,[1]ratio_ins!$B:$B,0))*$G314*INDEX([1]ratio_ins!$C:$C,MATCH('001_population_health_zone_zs'!$B314,[1]ratio_ins!$B:$B,0))</f>
        <v>148.76318000000001</v>
      </c>
      <c r="AB314" s="11">
        <f>INDEX([1]ratio_ins!Z:Z,MATCH('001_population_health_zone_zs'!$B$2,[1]ratio_ins!$B:$B,0))*$G314*INDEX([1]ratio_ins!$C:$C,MATCH('001_population_health_zone_zs'!$B314,[1]ratio_ins!$B:$B,0))</f>
        <v>1933.9213400000001</v>
      </c>
      <c r="AC314" s="12">
        <f t="shared" si="24"/>
        <v>74381.59</v>
      </c>
      <c r="AD314" s="10">
        <f>INDEX([1]ratio_ins!AA:AA,MATCH('001_population_health_zone_zs'!$B$2,[1]ratio_ins!$B:$B,0))*$G314*INDEX([1]ratio_ins!$D:$D,MATCH('001_population_health_zone_zs'!$B314,[1]ratio_ins!$B:$B,0))</f>
        <v>16192.766099999999</v>
      </c>
      <c r="AE314" s="10">
        <f>INDEX([1]ratio_ins!AB:AB,MATCH('001_population_health_zone_zs'!$B$2,[1]ratio_ins!$B:$B,0))*$G314*INDEX([1]ratio_ins!$D:$D,MATCH('001_population_health_zone_zs'!$B314,[1]ratio_ins!$B:$B,0))</f>
        <v>13339.754930000001</v>
      </c>
      <c r="AF314" s="10">
        <f>INDEX([1]ratio_ins!AC:AC,MATCH('001_population_health_zone_zs'!$B$2,[1]ratio_ins!$B:$B,0))*$G314*INDEX([1]ratio_ins!$D:$D,MATCH('001_population_health_zone_zs'!$B314,[1]ratio_ins!$B:$B,0))</f>
        <v>10563.852169999998</v>
      </c>
      <c r="AG314" s="10">
        <f>INDEX([1]ratio_ins!AD:AD,MATCH('001_population_health_zone_zs'!$B$2,[1]ratio_ins!$B:$B,0))*$G314*INDEX([1]ratio_ins!$D:$D,MATCH('001_population_health_zone_zs'!$B314,[1]ratio_ins!$B:$B,0))</f>
        <v>6399.9980299999997</v>
      </c>
      <c r="AH314" s="10">
        <f>INDEX([1]ratio_ins!AE:AE,MATCH('001_population_health_zone_zs'!$B$2,[1]ratio_ins!$B:$B,0))*$G314*INDEX([1]ratio_ins!$D:$D,MATCH('001_population_health_zone_zs'!$B314,[1]ratio_ins!$B:$B,0))</f>
        <v>3839.9988179999996</v>
      </c>
      <c r="AI314" s="13">
        <f>INDEX([1]ratio_ins!AF:AF,MATCH('001_population_health_zone_zs'!$B$2,[1]ratio_ins!$B:$B,0))*$G314*INDEX([1]ratio_ins!$D:$D,MATCH('001_population_health_zone_zs'!$B314,[1]ratio_ins!$B:$B,0))</f>
        <v>43936.372017999995</v>
      </c>
      <c r="AJ314" s="10">
        <f>INDEX([1]ratio_ins!AG:AG,MATCH('001_population_health_zone_zs'!$B$2,[1]ratio_ins!$B:$B,0))*$G314*INDEX([1]ratio_ins!$D:$D,MATCH('001_population_health_zone_zs'!$B314,[1]ratio_ins!$B:$B,0))</f>
        <v>2559.9992120000002</v>
      </c>
      <c r="AK314" s="10">
        <f>INDEX([1]ratio_ins!AH:AH,MATCH('001_population_health_zone_zs'!$B$2,[1]ratio_ins!$B:$B,0))*$G314*INDEX([1]ratio_ins!$D:$D,MATCH('001_population_health_zone_zs'!$B314,[1]ratio_ins!$B:$B,0))</f>
        <v>5706.0223400000013</v>
      </c>
      <c r="AL314" s="10">
        <f>INDEX([1]ratio_ins!AI:AI,MATCH('001_population_health_zone_zs'!$B$2,[1]ratio_ins!$B:$B,0))*$G314*INDEX([1]ratio_ins!$D:$D,MATCH('001_population_health_zone_zs'!$B314,[1]ratio_ins!$B:$B,0))</f>
        <v>5397.5887000000002</v>
      </c>
      <c r="AM314" s="10">
        <f>INDEX([1]ratio_ins!AJ:AJ,MATCH('001_population_health_zone_zs'!$B$2,[1]ratio_ins!$B:$B,0))*$G314*INDEX([1]ratio_ins!$D:$D,MATCH('001_population_health_zone_zs'!$B314,[1]ratio_ins!$B:$B,0))</f>
        <v>4934.9382400000004</v>
      </c>
      <c r="AN314" s="10">
        <f>INDEX([1]ratio_ins!AK:AK,MATCH('001_population_health_zone_zs'!$B$2,[1]ratio_ins!$B:$B,0))*$G314*INDEX([1]ratio_ins!$D:$D,MATCH('001_population_health_zone_zs'!$B314,[1]ratio_ins!$B:$B,0))</f>
        <v>4626.5046000000002</v>
      </c>
      <c r="AO314" s="10">
        <f>INDEX([1]ratio_ins!AL:AL,MATCH('001_population_health_zone_zs'!$B$2,[1]ratio_ins!$B:$B,0))*$G314*INDEX([1]ratio_ins!$D:$D,MATCH('001_population_health_zone_zs'!$B314,[1]ratio_ins!$B:$B,0))</f>
        <v>3469.8784500000002</v>
      </c>
      <c r="AP314" s="10">
        <f>INDEX([1]ratio_ins!AM:AM,MATCH('001_population_health_zone_zs'!$B$2,[1]ratio_ins!$B:$B,0))*$G314*INDEX([1]ratio_ins!$D:$D,MATCH('001_population_health_zone_zs'!$B314,[1]ratio_ins!$B:$B,0))</f>
        <v>2236.1438899999998</v>
      </c>
      <c r="AQ314" s="10">
        <f>INDEX([1]ratio_ins!AN:AN,MATCH('001_population_health_zone_zs'!$B$2,[1]ratio_ins!$B:$B,0))*$G314*INDEX([1]ratio_ins!$D:$D,MATCH('001_population_health_zone_zs'!$B314,[1]ratio_ins!$B:$B,0))</f>
        <v>1773.49343</v>
      </c>
      <c r="AR314" s="10">
        <f>INDEX([1]ratio_ins!AO:AO,MATCH('001_population_health_zone_zs'!$B$2,[1]ratio_ins!$B:$B,0))*$G314*INDEX([1]ratio_ins!$D:$D,MATCH('001_population_health_zone_zs'!$B314,[1]ratio_ins!$B:$B,0))</f>
        <v>848.19251000000008</v>
      </c>
      <c r="AS314" s="13">
        <f>INDEX([1]ratio_ins!AP:AP,MATCH('001_population_health_zone_zs'!$B$2,[1]ratio_ins!$B:$B,0))*$G314*INDEX([1]ratio_ins!$D:$D,MATCH('001_population_health_zone_zs'!$B314,[1]ratio_ins!$B:$B,0))</f>
        <v>31552.761372000001</v>
      </c>
      <c r="AT314" s="10">
        <f>INDEX([1]ratio_ins!AQ:AQ,MATCH('001_population_health_zone_zs'!$B$2,[1]ratio_ins!$B:$B,0))*$G314*INDEX([1]ratio_ins!$D:$D,MATCH('001_population_health_zone_zs'!$B314,[1]ratio_ins!$B:$B,0))</f>
        <v>771.08410000000003</v>
      </c>
      <c r="AU314" s="10">
        <f>INDEX([1]ratio_ins!AR:AR,MATCH('001_population_health_zone_zs'!$B$2,[1]ratio_ins!$B:$B,0))*$G314*INDEX([1]ratio_ins!$D:$D,MATCH('001_population_health_zone_zs'!$B314,[1]ratio_ins!$B:$B,0))</f>
        <v>462.65046000000001</v>
      </c>
      <c r="AV314" s="10">
        <f>INDEX([1]ratio_ins!AS:AS,MATCH('001_population_health_zone_zs'!$B$2,[1]ratio_ins!$B:$B,0))*$G314*INDEX([1]ratio_ins!$D:$D,MATCH('001_population_health_zone_zs'!$B314,[1]ratio_ins!$B:$B,0))</f>
        <v>231.32523</v>
      </c>
      <c r="AW314" s="10">
        <f>INDEX([1]ratio_ins!AT:AT,MATCH('001_population_health_zone_zs'!$B$2,[1]ratio_ins!$B:$B,0))*$G314*INDEX([1]ratio_ins!$D:$D,MATCH('001_population_health_zone_zs'!$B314,[1]ratio_ins!$B:$B,0))</f>
        <v>154.21682000000001</v>
      </c>
      <c r="AX314" s="13">
        <f>INDEX([1]ratio_ins!AU:AU,MATCH('001_population_health_zone_zs'!$B$2,[1]ratio_ins!$B:$B,0))*$G314*INDEX([1]ratio_ins!$D:$D,MATCH('001_population_health_zone_zs'!$B314,[1]ratio_ins!$B:$B,0))</f>
        <v>1619.2766099999997</v>
      </c>
      <c r="AY314" s="14">
        <f t="shared" si="25"/>
        <v>77108.41</v>
      </c>
      <c r="AZ314" s="15">
        <f t="shared" si="26"/>
        <v>151490</v>
      </c>
      <c r="BA314" s="16">
        <v>145467.66605035125</v>
      </c>
      <c r="BB314" s="10">
        <f t="shared" si="27"/>
        <v>32771.074250000005</v>
      </c>
      <c r="BC314" s="17">
        <f t="shared" si="28"/>
        <v>0.21632500000000005</v>
      </c>
      <c r="BD314" s="10">
        <f t="shared" si="29"/>
        <v>31017.123030000006</v>
      </c>
    </row>
    <row r="315" spans="1:56" x14ac:dyDescent="0.25">
      <c r="A315" s="8" t="s">
        <v>751</v>
      </c>
      <c r="B315" s="8" t="s">
        <v>752</v>
      </c>
      <c r="C315" s="8" t="s">
        <v>772</v>
      </c>
      <c r="D315" s="8" t="s">
        <v>773</v>
      </c>
      <c r="E315" s="8" t="s">
        <v>776</v>
      </c>
      <c r="F315" s="8" t="s">
        <v>777</v>
      </c>
      <c r="G315" s="9">
        <v>202835</v>
      </c>
      <c r="H315" s="10">
        <f>INDEX([1]ratio_ins!F:F,MATCH('001_population_health_zone_zs'!$B$2,[1]ratio_ins!$B:$B,0))*$G315*INDEX([1]ratio_ins!$C:$C,MATCH('001_population_health_zone_zs'!$B315,[1]ratio_ins!$B:$B,0))</f>
        <v>20814.724865</v>
      </c>
      <c r="I315" s="10">
        <f>INDEX([1]ratio_ins!G:G,MATCH('001_population_health_zone_zs'!$B$2,[1]ratio_ins!$B:$B,0))*$G315*INDEX([1]ratio_ins!$C:$C,MATCH('001_population_health_zone_zs'!$B315,[1]ratio_ins!$B:$B,0))</f>
        <v>17030.229435000001</v>
      </c>
      <c r="J315" s="10">
        <f>INDEX([1]ratio_ins!H:H,MATCH('001_population_health_zone_zs'!$B$2,[1]ratio_ins!$B:$B,0))*$G315*INDEX([1]ratio_ins!$C:$C,MATCH('001_population_health_zone_zs'!$B315,[1]ratio_ins!$B:$B,0))</f>
        <v>13444.917975</v>
      </c>
      <c r="K315" s="10">
        <f>INDEX([1]ratio_ins!I:I,MATCH('001_population_health_zone_zs'!$B$2,[1]ratio_ins!$B:$B,0))*$G315*INDEX([1]ratio_ins!$C:$C,MATCH('001_population_health_zone_zs'!$B315,[1]ratio_ins!$B:$B,0))</f>
        <v>8266.1347549999991</v>
      </c>
      <c r="L315" s="10">
        <f>INDEX([1]ratio_ins!J:J,MATCH('001_population_health_zone_zs'!$B$2,[1]ratio_ins!$B:$B,0))*$G315*INDEX([1]ratio_ins!$C:$C,MATCH('001_population_health_zone_zs'!$B315,[1]ratio_ins!$B:$B,0))</f>
        <v>4959.6808529999998</v>
      </c>
      <c r="M315" s="11">
        <f>INDEX([1]ratio_ins!K:K,MATCH('001_population_health_zone_zs'!$B$2,[1]ratio_ins!$B:$B,0))*$G315*INDEX([1]ratio_ins!$C:$C,MATCH('001_population_health_zone_zs'!$B315,[1]ratio_ins!$B:$B,0))</f>
        <v>56249.553128</v>
      </c>
      <c r="N315" s="10">
        <f>INDEX([1]ratio_ins!L:L,MATCH('001_population_health_zone_zs'!$B$2,[1]ratio_ins!$B:$B,0))*$G315*INDEX([1]ratio_ins!$C:$C,MATCH('001_population_health_zone_zs'!$B315,[1]ratio_ins!$B:$B,0))</f>
        <v>3306.4539020000002</v>
      </c>
      <c r="O315" s="10">
        <f>INDEX([1]ratio_ins!M:M,MATCH('001_population_health_zone_zs'!$B$2,[1]ratio_ins!$B:$B,0))*$G315*INDEX([1]ratio_ins!$C:$C,MATCH('001_population_health_zone_zs'!$B315,[1]ratio_ins!$B:$B,0))</f>
        <v>7170.6229200000016</v>
      </c>
      <c r="P315" s="10">
        <f>INDEX([1]ratio_ins!N:N,MATCH('001_population_health_zone_zs'!$B$2,[1]ratio_ins!$B:$B,0))*$G315*INDEX([1]ratio_ins!$C:$C,MATCH('001_population_health_zone_zs'!$B315,[1]ratio_ins!$B:$B,0))</f>
        <v>6473.4790249999996</v>
      </c>
      <c r="Q315" s="10">
        <f>INDEX([1]ratio_ins!O:O,MATCH('001_population_health_zone_zs'!$B$2,[1]ratio_ins!$B:$B,0))*$G315*INDEX([1]ratio_ins!$C:$C,MATCH('001_population_health_zone_zs'!$B315,[1]ratio_ins!$B:$B,0))</f>
        <v>5776.3351299999995</v>
      </c>
      <c r="R315" s="10">
        <f>INDEX([1]ratio_ins!P:P,MATCH('001_population_health_zone_zs'!$B$2,[1]ratio_ins!$B:$B,0))*$G315*INDEX([1]ratio_ins!$C:$C,MATCH('001_population_health_zone_zs'!$B315,[1]ratio_ins!$B:$B,0))</f>
        <v>5676.7431450000004</v>
      </c>
      <c r="S315" s="10">
        <f>INDEX([1]ratio_ins!Q:Q,MATCH('001_population_health_zone_zs'!$B$2,[1]ratio_ins!$B:$B,0))*$G315*INDEX([1]ratio_ins!$C:$C,MATCH('001_population_health_zone_zs'!$B315,[1]ratio_ins!$B:$B,0))</f>
        <v>4780.4152800000002</v>
      </c>
      <c r="T315" s="10">
        <f>INDEX([1]ratio_ins!R:R,MATCH('001_population_health_zone_zs'!$B$2,[1]ratio_ins!$B:$B,0))*$G315*INDEX([1]ratio_ins!$C:$C,MATCH('001_population_health_zone_zs'!$B315,[1]ratio_ins!$B:$B,0))</f>
        <v>3386.1274900000003</v>
      </c>
      <c r="U315" s="10">
        <f>INDEX([1]ratio_ins!S:S,MATCH('001_population_health_zone_zs'!$B$2,[1]ratio_ins!$B:$B,0))*$G315*INDEX([1]ratio_ins!$C:$C,MATCH('001_population_health_zone_zs'!$B315,[1]ratio_ins!$B:$B,0))</f>
        <v>2688.9835950000006</v>
      </c>
      <c r="V315" s="10">
        <f>INDEX([1]ratio_ins!T:T,MATCH('001_population_health_zone_zs'!$B$2,[1]ratio_ins!$B:$B,0))*$G315*INDEX([1]ratio_ins!$C:$C,MATCH('001_population_health_zone_zs'!$B315,[1]ratio_ins!$B:$B,0))</f>
        <v>1493.8797750000001</v>
      </c>
      <c r="W315" s="11">
        <f>INDEX([1]ratio_ins!U:U,MATCH('001_population_health_zone_zs'!$B$2,[1]ratio_ins!$B:$B,0))*$G315*INDEX([1]ratio_ins!$C:$C,MATCH('001_population_health_zone_zs'!$B315,[1]ratio_ins!$B:$B,0))</f>
        <v>40753.040261999995</v>
      </c>
      <c r="X315" s="10">
        <f>INDEX([1]ratio_ins!V:V,MATCH('001_population_health_zone_zs'!$B$2,[1]ratio_ins!$B:$B,0))*$G315*INDEX([1]ratio_ins!$C:$C,MATCH('001_population_health_zone_zs'!$B315,[1]ratio_ins!$B:$B,0))</f>
        <v>1195.10382</v>
      </c>
      <c r="Y315" s="10">
        <f>INDEX([1]ratio_ins!W:W,MATCH('001_population_health_zone_zs'!$B$2,[1]ratio_ins!$B:$B,0))*$G315*INDEX([1]ratio_ins!$C:$C,MATCH('001_population_health_zone_zs'!$B315,[1]ratio_ins!$B:$B,0))</f>
        <v>796.73588000000007</v>
      </c>
      <c r="Z315" s="10">
        <f>INDEX([1]ratio_ins!X:X,MATCH('001_population_health_zone_zs'!$B$2,[1]ratio_ins!$B:$B,0))*$G315*INDEX([1]ratio_ins!$C:$C,MATCH('001_population_health_zone_zs'!$B315,[1]ratio_ins!$B:$B,0))</f>
        <v>398.36794000000003</v>
      </c>
      <c r="AA315" s="10">
        <f>INDEX([1]ratio_ins!Y:Y,MATCH('001_population_health_zone_zs'!$B$2,[1]ratio_ins!$B:$B,0))*$G315*INDEX([1]ratio_ins!$C:$C,MATCH('001_population_health_zone_zs'!$B315,[1]ratio_ins!$B:$B,0))</f>
        <v>199.18397000000002</v>
      </c>
      <c r="AB315" s="11">
        <f>INDEX([1]ratio_ins!Z:Z,MATCH('001_population_health_zone_zs'!$B$2,[1]ratio_ins!$B:$B,0))*$G315*INDEX([1]ratio_ins!$C:$C,MATCH('001_population_health_zone_zs'!$B315,[1]ratio_ins!$B:$B,0))</f>
        <v>2589.3916100000001</v>
      </c>
      <c r="AC315" s="12">
        <f t="shared" si="24"/>
        <v>99591.985000000001</v>
      </c>
      <c r="AD315" s="10">
        <f>INDEX([1]ratio_ins!AA:AA,MATCH('001_population_health_zone_zs'!$B$2,[1]ratio_ins!$B:$B,0))*$G315*INDEX([1]ratio_ins!$D:$D,MATCH('001_population_health_zone_zs'!$B315,[1]ratio_ins!$B:$B,0))</f>
        <v>21681.033149999999</v>
      </c>
      <c r="AE315" s="10">
        <f>INDEX([1]ratio_ins!AB:AB,MATCH('001_population_health_zone_zs'!$B$2,[1]ratio_ins!$B:$B,0))*$G315*INDEX([1]ratio_ins!$D:$D,MATCH('001_population_health_zone_zs'!$B315,[1]ratio_ins!$B:$B,0))</f>
        <v>17861.041595000002</v>
      </c>
      <c r="AF315" s="10">
        <f>INDEX([1]ratio_ins!AC:AC,MATCH('001_population_health_zone_zs'!$B$2,[1]ratio_ins!$B:$B,0))*$G315*INDEX([1]ratio_ins!$D:$D,MATCH('001_population_health_zone_zs'!$B315,[1]ratio_ins!$B:$B,0))</f>
        <v>14144.293054999998</v>
      </c>
      <c r="AG315" s="10">
        <f>INDEX([1]ratio_ins!AD:AD,MATCH('001_population_health_zone_zs'!$B$2,[1]ratio_ins!$B:$B,0))*$G315*INDEX([1]ratio_ins!$D:$D,MATCH('001_population_health_zone_zs'!$B315,[1]ratio_ins!$B:$B,0))</f>
        <v>8569.1702450000012</v>
      </c>
      <c r="AH315" s="10">
        <f>INDEX([1]ratio_ins!AE:AE,MATCH('001_population_health_zone_zs'!$B$2,[1]ratio_ins!$B:$B,0))*$G315*INDEX([1]ratio_ins!$D:$D,MATCH('001_population_health_zone_zs'!$B315,[1]ratio_ins!$B:$B,0))</f>
        <v>5141.5021469999992</v>
      </c>
      <c r="AI315" s="13">
        <f>INDEX([1]ratio_ins!AF:AF,MATCH('001_population_health_zone_zs'!$B$2,[1]ratio_ins!$B:$B,0))*$G315*INDEX([1]ratio_ins!$D:$D,MATCH('001_population_health_zone_zs'!$B315,[1]ratio_ins!$B:$B,0))</f>
        <v>58827.869946999999</v>
      </c>
      <c r="AJ315" s="10">
        <f>INDEX([1]ratio_ins!AG:AG,MATCH('001_population_health_zone_zs'!$B$2,[1]ratio_ins!$B:$B,0))*$G315*INDEX([1]ratio_ins!$D:$D,MATCH('001_population_health_zone_zs'!$B315,[1]ratio_ins!$B:$B,0))</f>
        <v>3427.6680980000001</v>
      </c>
      <c r="AK315" s="10">
        <f>INDEX([1]ratio_ins!AH:AH,MATCH('001_population_health_zone_zs'!$B$2,[1]ratio_ins!$B:$B,0))*$G315*INDEX([1]ratio_ins!$D:$D,MATCH('001_population_health_zone_zs'!$B315,[1]ratio_ins!$B:$B,0))</f>
        <v>7639.9831100000019</v>
      </c>
      <c r="AL315" s="10">
        <f>INDEX([1]ratio_ins!AI:AI,MATCH('001_population_health_zone_zs'!$B$2,[1]ratio_ins!$B:$B,0))*$G315*INDEX([1]ratio_ins!$D:$D,MATCH('001_population_health_zone_zs'!$B315,[1]ratio_ins!$B:$B,0))</f>
        <v>7227.0110500000001</v>
      </c>
      <c r="AM315" s="10">
        <f>INDEX([1]ratio_ins!AJ:AJ,MATCH('001_population_health_zone_zs'!$B$2,[1]ratio_ins!$B:$B,0))*$G315*INDEX([1]ratio_ins!$D:$D,MATCH('001_population_health_zone_zs'!$B315,[1]ratio_ins!$B:$B,0))</f>
        <v>6607.55296</v>
      </c>
      <c r="AN315" s="10">
        <f>INDEX([1]ratio_ins!AK:AK,MATCH('001_population_health_zone_zs'!$B$2,[1]ratio_ins!$B:$B,0))*$G315*INDEX([1]ratio_ins!$D:$D,MATCH('001_population_health_zone_zs'!$B315,[1]ratio_ins!$B:$B,0))</f>
        <v>6194.5808999999999</v>
      </c>
      <c r="AO315" s="10">
        <f>INDEX([1]ratio_ins!AL:AL,MATCH('001_population_health_zone_zs'!$B$2,[1]ratio_ins!$B:$B,0))*$G315*INDEX([1]ratio_ins!$D:$D,MATCH('001_population_health_zone_zs'!$B315,[1]ratio_ins!$B:$B,0))</f>
        <v>4645.9356749999997</v>
      </c>
      <c r="AP315" s="10">
        <f>INDEX([1]ratio_ins!AM:AM,MATCH('001_population_health_zone_zs'!$B$2,[1]ratio_ins!$B:$B,0))*$G315*INDEX([1]ratio_ins!$D:$D,MATCH('001_population_health_zone_zs'!$B315,[1]ratio_ins!$B:$B,0))</f>
        <v>2994.0474349999995</v>
      </c>
      <c r="AQ315" s="10">
        <f>INDEX([1]ratio_ins!AN:AN,MATCH('001_population_health_zone_zs'!$B$2,[1]ratio_ins!$B:$B,0))*$G315*INDEX([1]ratio_ins!$D:$D,MATCH('001_population_health_zone_zs'!$B315,[1]ratio_ins!$B:$B,0))</f>
        <v>2374.5893449999999</v>
      </c>
      <c r="AR315" s="10">
        <f>INDEX([1]ratio_ins!AO:AO,MATCH('001_population_health_zone_zs'!$B$2,[1]ratio_ins!$B:$B,0))*$G315*INDEX([1]ratio_ins!$D:$D,MATCH('001_population_health_zone_zs'!$B315,[1]ratio_ins!$B:$B,0))</f>
        <v>1135.6731650000002</v>
      </c>
      <c r="AS315" s="13">
        <f>INDEX([1]ratio_ins!AP:AP,MATCH('001_population_health_zone_zs'!$B$2,[1]ratio_ins!$B:$B,0))*$G315*INDEX([1]ratio_ins!$D:$D,MATCH('001_population_health_zone_zs'!$B315,[1]ratio_ins!$B:$B,0))</f>
        <v>42247.041738</v>
      </c>
      <c r="AT315" s="10">
        <f>INDEX([1]ratio_ins!AQ:AQ,MATCH('001_population_health_zone_zs'!$B$2,[1]ratio_ins!$B:$B,0))*$G315*INDEX([1]ratio_ins!$D:$D,MATCH('001_population_health_zone_zs'!$B315,[1]ratio_ins!$B:$B,0))</f>
        <v>1032.4301500000001</v>
      </c>
      <c r="AU315" s="10">
        <f>INDEX([1]ratio_ins!AR:AR,MATCH('001_population_health_zone_zs'!$B$2,[1]ratio_ins!$B:$B,0))*$G315*INDEX([1]ratio_ins!$D:$D,MATCH('001_population_health_zone_zs'!$B315,[1]ratio_ins!$B:$B,0))</f>
        <v>619.45808999999997</v>
      </c>
      <c r="AV315" s="10">
        <f>INDEX([1]ratio_ins!AS:AS,MATCH('001_population_health_zone_zs'!$B$2,[1]ratio_ins!$B:$B,0))*$G315*INDEX([1]ratio_ins!$D:$D,MATCH('001_population_health_zone_zs'!$B315,[1]ratio_ins!$B:$B,0))</f>
        <v>309.72904499999999</v>
      </c>
      <c r="AW315" s="10">
        <f>INDEX([1]ratio_ins!AT:AT,MATCH('001_population_health_zone_zs'!$B$2,[1]ratio_ins!$B:$B,0))*$G315*INDEX([1]ratio_ins!$D:$D,MATCH('001_population_health_zone_zs'!$B315,[1]ratio_ins!$B:$B,0))</f>
        <v>206.48603</v>
      </c>
      <c r="AX315" s="13">
        <f>INDEX([1]ratio_ins!AU:AU,MATCH('001_population_health_zone_zs'!$B$2,[1]ratio_ins!$B:$B,0))*$G315*INDEX([1]ratio_ins!$D:$D,MATCH('001_population_health_zone_zs'!$B315,[1]ratio_ins!$B:$B,0))</f>
        <v>2168.1033149999998</v>
      </c>
      <c r="AY315" s="14">
        <f t="shared" si="25"/>
        <v>103243.015</v>
      </c>
      <c r="AZ315" s="15">
        <f t="shared" si="26"/>
        <v>202835</v>
      </c>
      <c r="BA315" s="16">
        <v>194770.64333685589</v>
      </c>
      <c r="BB315" s="10">
        <f t="shared" si="27"/>
        <v>43878.281375000006</v>
      </c>
      <c r="BC315" s="17">
        <f t="shared" si="28"/>
        <v>0.21632500000000002</v>
      </c>
      <c r="BD315" s="10">
        <f t="shared" si="29"/>
        <v>41529.857745000001</v>
      </c>
    </row>
    <row r="316" spans="1:56" x14ac:dyDescent="0.25">
      <c r="A316" s="8" t="s">
        <v>751</v>
      </c>
      <c r="B316" s="8" t="s">
        <v>752</v>
      </c>
      <c r="C316" s="8" t="s">
        <v>772</v>
      </c>
      <c r="D316" s="8" t="s">
        <v>773</v>
      </c>
      <c r="E316" s="8" t="s">
        <v>778</v>
      </c>
      <c r="F316" s="8" t="s">
        <v>779</v>
      </c>
      <c r="G316" s="9">
        <v>189342</v>
      </c>
      <c r="H316" s="10">
        <f>INDEX([1]ratio_ins!F:F,MATCH('001_population_health_zone_zs'!$B$2,[1]ratio_ins!$B:$B,0))*$G316*INDEX([1]ratio_ins!$C:$C,MATCH('001_population_health_zone_zs'!$B316,[1]ratio_ins!$B:$B,0))</f>
        <v>19430.086697999999</v>
      </c>
      <c r="I316" s="10">
        <f>INDEX([1]ratio_ins!G:G,MATCH('001_population_health_zone_zs'!$B$2,[1]ratio_ins!$B:$B,0))*$G316*INDEX([1]ratio_ins!$C:$C,MATCH('001_population_health_zone_zs'!$B316,[1]ratio_ins!$B:$B,0))</f>
        <v>15897.343662000001</v>
      </c>
      <c r="J316" s="10">
        <f>INDEX([1]ratio_ins!H:H,MATCH('001_population_health_zone_zs'!$B$2,[1]ratio_ins!$B:$B,0))*$G316*INDEX([1]ratio_ins!$C:$C,MATCH('001_population_health_zone_zs'!$B316,[1]ratio_ins!$B:$B,0))</f>
        <v>12550.534470000001</v>
      </c>
      <c r="K316" s="10">
        <f>INDEX([1]ratio_ins!I:I,MATCH('001_population_health_zone_zs'!$B$2,[1]ratio_ins!$B:$B,0))*$G316*INDEX([1]ratio_ins!$C:$C,MATCH('001_population_health_zone_zs'!$B316,[1]ratio_ins!$B:$B,0))</f>
        <v>7716.2545259999997</v>
      </c>
      <c r="L316" s="10">
        <f>INDEX([1]ratio_ins!J:J,MATCH('001_population_health_zone_zs'!$B$2,[1]ratio_ins!$B:$B,0))*$G316*INDEX([1]ratio_ins!$C:$C,MATCH('001_population_health_zone_zs'!$B316,[1]ratio_ins!$B:$B,0))</f>
        <v>4629.7527155999996</v>
      </c>
      <c r="M316" s="11">
        <f>INDEX([1]ratio_ins!K:K,MATCH('001_population_health_zone_zs'!$B$2,[1]ratio_ins!$B:$B,0))*$G316*INDEX([1]ratio_ins!$C:$C,MATCH('001_population_health_zone_zs'!$B316,[1]ratio_ins!$B:$B,0))</f>
        <v>52507.717545599997</v>
      </c>
      <c r="N316" s="10">
        <f>INDEX([1]ratio_ins!L:L,MATCH('001_population_health_zone_zs'!$B$2,[1]ratio_ins!$B:$B,0))*$G316*INDEX([1]ratio_ins!$C:$C,MATCH('001_population_health_zone_zs'!$B316,[1]ratio_ins!$B:$B,0))</f>
        <v>3086.5018104000001</v>
      </c>
      <c r="O316" s="10">
        <f>INDEX([1]ratio_ins!M:M,MATCH('001_population_health_zone_zs'!$B$2,[1]ratio_ins!$B:$B,0))*$G316*INDEX([1]ratio_ins!$C:$C,MATCH('001_population_health_zone_zs'!$B316,[1]ratio_ins!$B:$B,0))</f>
        <v>6693.6183840000003</v>
      </c>
      <c r="P316" s="10">
        <f>INDEX([1]ratio_ins!N:N,MATCH('001_population_health_zone_zs'!$B$2,[1]ratio_ins!$B:$B,0))*$G316*INDEX([1]ratio_ins!$C:$C,MATCH('001_population_health_zone_zs'!$B316,[1]ratio_ins!$B:$B,0))</f>
        <v>6042.8499299999994</v>
      </c>
      <c r="Q316" s="10">
        <f>INDEX([1]ratio_ins!O:O,MATCH('001_population_health_zone_zs'!$B$2,[1]ratio_ins!$B:$B,0))*$G316*INDEX([1]ratio_ins!$C:$C,MATCH('001_population_health_zone_zs'!$B316,[1]ratio_ins!$B:$B,0))</f>
        <v>5392.0814759999994</v>
      </c>
      <c r="R316" s="10">
        <f>INDEX([1]ratio_ins!P:P,MATCH('001_population_health_zone_zs'!$B$2,[1]ratio_ins!$B:$B,0))*$G316*INDEX([1]ratio_ins!$C:$C,MATCH('001_population_health_zone_zs'!$B316,[1]ratio_ins!$B:$B,0))</f>
        <v>5299.1145539999998</v>
      </c>
      <c r="S316" s="10">
        <f>INDEX([1]ratio_ins!Q:Q,MATCH('001_population_health_zone_zs'!$B$2,[1]ratio_ins!$B:$B,0))*$G316*INDEX([1]ratio_ins!$C:$C,MATCH('001_population_health_zone_zs'!$B316,[1]ratio_ins!$B:$B,0))</f>
        <v>4462.4122560000005</v>
      </c>
      <c r="T316" s="10">
        <f>INDEX([1]ratio_ins!R:R,MATCH('001_population_health_zone_zs'!$B$2,[1]ratio_ins!$B:$B,0))*$G316*INDEX([1]ratio_ins!$C:$C,MATCH('001_population_health_zone_zs'!$B316,[1]ratio_ins!$B:$B,0))</f>
        <v>3160.875348</v>
      </c>
      <c r="U316" s="10">
        <f>INDEX([1]ratio_ins!S:S,MATCH('001_population_health_zone_zs'!$B$2,[1]ratio_ins!$B:$B,0))*$G316*INDEX([1]ratio_ins!$C:$C,MATCH('001_population_health_zone_zs'!$B316,[1]ratio_ins!$B:$B,0))</f>
        <v>2510.106894</v>
      </c>
      <c r="V316" s="10">
        <f>INDEX([1]ratio_ins!T:T,MATCH('001_population_health_zone_zs'!$B$2,[1]ratio_ins!$B:$B,0))*$G316*INDEX([1]ratio_ins!$C:$C,MATCH('001_population_health_zone_zs'!$B316,[1]ratio_ins!$B:$B,0))</f>
        <v>1394.5038300000001</v>
      </c>
      <c r="W316" s="11">
        <f>INDEX([1]ratio_ins!U:U,MATCH('001_population_health_zone_zs'!$B$2,[1]ratio_ins!$B:$B,0))*$G316*INDEX([1]ratio_ins!$C:$C,MATCH('001_population_health_zone_zs'!$B316,[1]ratio_ins!$B:$B,0))</f>
        <v>38042.064482400005</v>
      </c>
      <c r="X316" s="10">
        <f>INDEX([1]ratio_ins!V:V,MATCH('001_population_health_zone_zs'!$B$2,[1]ratio_ins!$B:$B,0))*$G316*INDEX([1]ratio_ins!$C:$C,MATCH('001_population_health_zone_zs'!$B316,[1]ratio_ins!$B:$B,0))</f>
        <v>1115.6030640000001</v>
      </c>
      <c r="Y316" s="10">
        <f>INDEX([1]ratio_ins!W:W,MATCH('001_population_health_zone_zs'!$B$2,[1]ratio_ins!$B:$B,0))*$G316*INDEX([1]ratio_ins!$C:$C,MATCH('001_population_health_zone_zs'!$B316,[1]ratio_ins!$B:$B,0))</f>
        <v>743.73537600000009</v>
      </c>
      <c r="Z316" s="10">
        <f>INDEX([1]ratio_ins!X:X,MATCH('001_population_health_zone_zs'!$B$2,[1]ratio_ins!$B:$B,0))*$G316*INDEX([1]ratio_ins!$C:$C,MATCH('001_population_health_zone_zs'!$B316,[1]ratio_ins!$B:$B,0))</f>
        <v>371.86768800000004</v>
      </c>
      <c r="AA316" s="10">
        <f>INDEX([1]ratio_ins!Y:Y,MATCH('001_population_health_zone_zs'!$B$2,[1]ratio_ins!$B:$B,0))*$G316*INDEX([1]ratio_ins!$C:$C,MATCH('001_population_health_zone_zs'!$B316,[1]ratio_ins!$B:$B,0))</f>
        <v>185.93384400000002</v>
      </c>
      <c r="AB316" s="11">
        <f>INDEX([1]ratio_ins!Z:Z,MATCH('001_population_health_zone_zs'!$B$2,[1]ratio_ins!$B:$B,0))*$G316*INDEX([1]ratio_ins!$C:$C,MATCH('001_population_health_zone_zs'!$B316,[1]ratio_ins!$B:$B,0))</f>
        <v>2417.1399720000004</v>
      </c>
      <c r="AC316" s="12">
        <f t="shared" si="24"/>
        <v>92966.922000000006</v>
      </c>
      <c r="AD316" s="10">
        <f>INDEX([1]ratio_ins!AA:AA,MATCH('001_population_health_zone_zs'!$B$2,[1]ratio_ins!$B:$B,0))*$G316*INDEX([1]ratio_ins!$D:$D,MATCH('001_population_health_zone_zs'!$B316,[1]ratio_ins!$B:$B,0))</f>
        <v>20238.766380000001</v>
      </c>
      <c r="AE316" s="10">
        <f>INDEX([1]ratio_ins!AB:AB,MATCH('001_population_health_zone_zs'!$B$2,[1]ratio_ins!$B:$B,0))*$G316*INDEX([1]ratio_ins!$D:$D,MATCH('001_population_health_zone_zs'!$B316,[1]ratio_ins!$B:$B,0))</f>
        <v>16672.888494000003</v>
      </c>
      <c r="AF316" s="10">
        <f>INDEX([1]ratio_ins!AC:AC,MATCH('001_population_health_zone_zs'!$B$2,[1]ratio_ins!$B:$B,0))*$G316*INDEX([1]ratio_ins!$D:$D,MATCH('001_population_health_zone_zs'!$B316,[1]ratio_ins!$B:$B,0))</f>
        <v>13203.385685999998</v>
      </c>
      <c r="AG316" s="10">
        <f>INDEX([1]ratio_ins!AD:AD,MATCH('001_population_health_zone_zs'!$B$2,[1]ratio_ins!$B:$B,0))*$G316*INDEX([1]ratio_ins!$D:$D,MATCH('001_population_health_zone_zs'!$B316,[1]ratio_ins!$B:$B,0))</f>
        <v>7999.1314740000007</v>
      </c>
      <c r="AH316" s="10">
        <f>INDEX([1]ratio_ins!AE:AE,MATCH('001_population_health_zone_zs'!$B$2,[1]ratio_ins!$B:$B,0))*$G316*INDEX([1]ratio_ins!$D:$D,MATCH('001_population_health_zone_zs'!$B316,[1]ratio_ins!$B:$B,0))</f>
        <v>4799.4788843999995</v>
      </c>
      <c r="AI316" s="13">
        <f>INDEX([1]ratio_ins!AF:AF,MATCH('001_population_health_zone_zs'!$B$2,[1]ratio_ins!$B:$B,0))*$G316*INDEX([1]ratio_ins!$D:$D,MATCH('001_population_health_zone_zs'!$B316,[1]ratio_ins!$B:$B,0))</f>
        <v>54914.519444400001</v>
      </c>
      <c r="AJ316" s="10">
        <f>INDEX([1]ratio_ins!AG:AG,MATCH('001_population_health_zone_zs'!$B$2,[1]ratio_ins!$B:$B,0))*$G316*INDEX([1]ratio_ins!$D:$D,MATCH('001_population_health_zone_zs'!$B316,[1]ratio_ins!$B:$B,0))</f>
        <v>3199.6525896000003</v>
      </c>
      <c r="AK316" s="10">
        <f>INDEX([1]ratio_ins!AH:AH,MATCH('001_population_health_zone_zs'!$B$2,[1]ratio_ins!$B:$B,0))*$G316*INDEX([1]ratio_ins!$D:$D,MATCH('001_population_health_zone_zs'!$B316,[1]ratio_ins!$B:$B,0))</f>
        <v>7131.7557720000013</v>
      </c>
      <c r="AL316" s="10">
        <f>INDEX([1]ratio_ins!AI:AI,MATCH('001_population_health_zone_zs'!$B$2,[1]ratio_ins!$B:$B,0))*$G316*INDEX([1]ratio_ins!$D:$D,MATCH('001_population_health_zone_zs'!$B316,[1]ratio_ins!$B:$B,0))</f>
        <v>6746.2554600000003</v>
      </c>
      <c r="AM316" s="10">
        <f>INDEX([1]ratio_ins!AJ:AJ,MATCH('001_population_health_zone_zs'!$B$2,[1]ratio_ins!$B:$B,0))*$G316*INDEX([1]ratio_ins!$D:$D,MATCH('001_population_health_zone_zs'!$B316,[1]ratio_ins!$B:$B,0))</f>
        <v>6168.0049920000001</v>
      </c>
      <c r="AN316" s="10">
        <f>INDEX([1]ratio_ins!AK:AK,MATCH('001_population_health_zone_zs'!$B$2,[1]ratio_ins!$B:$B,0))*$G316*INDEX([1]ratio_ins!$D:$D,MATCH('001_population_health_zone_zs'!$B316,[1]ratio_ins!$B:$B,0))</f>
        <v>5782.50468</v>
      </c>
      <c r="AO316" s="10">
        <f>INDEX([1]ratio_ins!AL:AL,MATCH('001_population_health_zone_zs'!$B$2,[1]ratio_ins!$B:$B,0))*$G316*INDEX([1]ratio_ins!$D:$D,MATCH('001_population_health_zone_zs'!$B316,[1]ratio_ins!$B:$B,0))</f>
        <v>4336.8785099999996</v>
      </c>
      <c r="AP316" s="10">
        <f>INDEX([1]ratio_ins!AM:AM,MATCH('001_population_health_zone_zs'!$B$2,[1]ratio_ins!$B:$B,0))*$G316*INDEX([1]ratio_ins!$D:$D,MATCH('001_population_health_zone_zs'!$B316,[1]ratio_ins!$B:$B,0))</f>
        <v>2794.877262</v>
      </c>
      <c r="AQ316" s="10">
        <f>INDEX([1]ratio_ins!AN:AN,MATCH('001_population_health_zone_zs'!$B$2,[1]ratio_ins!$B:$B,0))*$G316*INDEX([1]ratio_ins!$D:$D,MATCH('001_population_health_zone_zs'!$B316,[1]ratio_ins!$B:$B,0))</f>
        <v>2216.6267940000002</v>
      </c>
      <c r="AR316" s="10">
        <f>INDEX([1]ratio_ins!AO:AO,MATCH('001_population_health_zone_zs'!$B$2,[1]ratio_ins!$B:$B,0))*$G316*INDEX([1]ratio_ins!$D:$D,MATCH('001_population_health_zone_zs'!$B316,[1]ratio_ins!$B:$B,0))</f>
        <v>1060.1258580000001</v>
      </c>
      <c r="AS316" s="13">
        <f>INDEX([1]ratio_ins!AP:AP,MATCH('001_population_health_zone_zs'!$B$2,[1]ratio_ins!$B:$B,0))*$G316*INDEX([1]ratio_ins!$D:$D,MATCH('001_population_health_zone_zs'!$B316,[1]ratio_ins!$B:$B,0))</f>
        <v>39436.681917599999</v>
      </c>
      <c r="AT316" s="10">
        <f>INDEX([1]ratio_ins!AQ:AQ,MATCH('001_population_health_zone_zs'!$B$2,[1]ratio_ins!$B:$B,0))*$G316*INDEX([1]ratio_ins!$D:$D,MATCH('001_population_health_zone_zs'!$B316,[1]ratio_ins!$B:$B,0))</f>
        <v>963.75078000000008</v>
      </c>
      <c r="AU316" s="10">
        <f>INDEX([1]ratio_ins!AR:AR,MATCH('001_population_health_zone_zs'!$B$2,[1]ratio_ins!$B:$B,0))*$G316*INDEX([1]ratio_ins!$D:$D,MATCH('001_population_health_zone_zs'!$B316,[1]ratio_ins!$B:$B,0))</f>
        <v>578.25046800000007</v>
      </c>
      <c r="AV316" s="10">
        <f>INDEX([1]ratio_ins!AS:AS,MATCH('001_population_health_zone_zs'!$B$2,[1]ratio_ins!$B:$B,0))*$G316*INDEX([1]ratio_ins!$D:$D,MATCH('001_population_health_zone_zs'!$B316,[1]ratio_ins!$B:$B,0))</f>
        <v>289.12523400000003</v>
      </c>
      <c r="AW316" s="10">
        <f>INDEX([1]ratio_ins!AT:AT,MATCH('001_population_health_zone_zs'!$B$2,[1]ratio_ins!$B:$B,0))*$G316*INDEX([1]ratio_ins!$D:$D,MATCH('001_population_health_zone_zs'!$B316,[1]ratio_ins!$B:$B,0))</f>
        <v>192.750156</v>
      </c>
      <c r="AX316" s="13">
        <f>INDEX([1]ratio_ins!AU:AU,MATCH('001_population_health_zone_zs'!$B$2,[1]ratio_ins!$B:$B,0))*$G316*INDEX([1]ratio_ins!$D:$D,MATCH('001_population_health_zone_zs'!$B316,[1]ratio_ins!$B:$B,0))</f>
        <v>2023.876638</v>
      </c>
      <c r="AY316" s="14">
        <f t="shared" si="25"/>
        <v>96375.077999999994</v>
      </c>
      <c r="AZ316" s="15">
        <f t="shared" si="26"/>
        <v>189342</v>
      </c>
      <c r="BA316" s="16">
        <v>181814.72245310235</v>
      </c>
      <c r="BB316" s="10">
        <f t="shared" si="27"/>
        <v>40959.408150000003</v>
      </c>
      <c r="BC316" s="17">
        <f t="shared" si="28"/>
        <v>0.21632500000000002</v>
      </c>
      <c r="BD316" s="10">
        <f t="shared" si="29"/>
        <v>38767.206473999999</v>
      </c>
    </row>
    <row r="317" spans="1:56" x14ac:dyDescent="0.25">
      <c r="A317" s="8" t="s">
        <v>751</v>
      </c>
      <c r="B317" s="8" t="s">
        <v>752</v>
      </c>
      <c r="C317" s="8" t="s">
        <v>772</v>
      </c>
      <c r="D317" s="8" t="s">
        <v>773</v>
      </c>
      <c r="E317" s="8" t="s">
        <v>772</v>
      </c>
      <c r="F317" s="8" t="s">
        <v>780</v>
      </c>
      <c r="G317" s="9">
        <v>229674</v>
      </c>
      <c r="H317" s="10">
        <f>INDEX([1]ratio_ins!F:F,MATCH('001_population_health_zone_zs'!$B$2,[1]ratio_ins!$B:$B,0))*$G317*INDEX([1]ratio_ins!$C:$C,MATCH('001_population_health_zone_zs'!$B317,[1]ratio_ins!$B:$B,0))</f>
        <v>23568.916205999998</v>
      </c>
      <c r="I317" s="10">
        <f>INDEX([1]ratio_ins!G:G,MATCH('001_population_health_zone_zs'!$B$2,[1]ratio_ins!$B:$B,0))*$G317*INDEX([1]ratio_ins!$C:$C,MATCH('001_population_health_zone_zs'!$B317,[1]ratio_ins!$B:$B,0))</f>
        <v>19283.658714000001</v>
      </c>
      <c r="J317" s="10">
        <f>INDEX([1]ratio_ins!H:H,MATCH('001_population_health_zone_zs'!$B$2,[1]ratio_ins!$B:$B,0))*$G317*INDEX([1]ratio_ins!$C:$C,MATCH('001_population_health_zone_zs'!$B317,[1]ratio_ins!$B:$B,0))</f>
        <v>15223.94109</v>
      </c>
      <c r="K317" s="10">
        <f>INDEX([1]ratio_ins!I:I,MATCH('001_population_health_zone_zs'!$B$2,[1]ratio_ins!$B:$B,0))*$G317*INDEX([1]ratio_ins!$C:$C,MATCH('001_population_health_zone_zs'!$B317,[1]ratio_ins!$B:$B,0))</f>
        <v>9359.9045220000007</v>
      </c>
      <c r="L317" s="10">
        <f>INDEX([1]ratio_ins!J:J,MATCH('001_population_health_zone_zs'!$B$2,[1]ratio_ins!$B:$B,0))*$G317*INDEX([1]ratio_ins!$C:$C,MATCH('001_population_health_zone_zs'!$B317,[1]ratio_ins!$B:$B,0))</f>
        <v>5615.9427132000001</v>
      </c>
      <c r="M317" s="11">
        <f>INDEX([1]ratio_ins!K:K,MATCH('001_population_health_zone_zs'!$B$2,[1]ratio_ins!$B:$B,0))*$G317*INDEX([1]ratio_ins!$C:$C,MATCH('001_population_health_zone_zs'!$B317,[1]ratio_ins!$B:$B,0))</f>
        <v>63692.458723199998</v>
      </c>
      <c r="N317" s="10">
        <f>INDEX([1]ratio_ins!L:L,MATCH('001_population_health_zone_zs'!$B$2,[1]ratio_ins!$B:$B,0))*$G317*INDEX([1]ratio_ins!$C:$C,MATCH('001_population_health_zone_zs'!$B317,[1]ratio_ins!$B:$B,0))</f>
        <v>3743.9618088000002</v>
      </c>
      <c r="O317" s="10">
        <f>INDEX([1]ratio_ins!M:M,MATCH('001_population_health_zone_zs'!$B$2,[1]ratio_ins!$B:$B,0))*$G317*INDEX([1]ratio_ins!$C:$C,MATCH('001_population_health_zone_zs'!$B317,[1]ratio_ins!$B:$B,0))</f>
        <v>8119.4352480000007</v>
      </c>
      <c r="P317" s="10">
        <f>INDEX([1]ratio_ins!N:N,MATCH('001_population_health_zone_zs'!$B$2,[1]ratio_ins!$B:$B,0))*$G317*INDEX([1]ratio_ins!$C:$C,MATCH('001_population_health_zone_zs'!$B317,[1]ratio_ins!$B:$B,0))</f>
        <v>7330.0457100000003</v>
      </c>
      <c r="Q317" s="10">
        <f>INDEX([1]ratio_ins!O:O,MATCH('001_population_health_zone_zs'!$B$2,[1]ratio_ins!$B:$B,0))*$G317*INDEX([1]ratio_ins!$C:$C,MATCH('001_population_health_zone_zs'!$B317,[1]ratio_ins!$B:$B,0))</f>
        <v>6540.6561719999991</v>
      </c>
      <c r="R317" s="10">
        <f>INDEX([1]ratio_ins!P:P,MATCH('001_population_health_zone_zs'!$B$2,[1]ratio_ins!$B:$B,0))*$G317*INDEX([1]ratio_ins!$C:$C,MATCH('001_population_health_zone_zs'!$B317,[1]ratio_ins!$B:$B,0))</f>
        <v>6427.886238</v>
      </c>
      <c r="S317" s="10">
        <f>INDEX([1]ratio_ins!Q:Q,MATCH('001_population_health_zone_zs'!$B$2,[1]ratio_ins!$B:$B,0))*$G317*INDEX([1]ratio_ins!$C:$C,MATCH('001_population_health_zone_zs'!$B317,[1]ratio_ins!$B:$B,0))</f>
        <v>5412.9568319999998</v>
      </c>
      <c r="T317" s="10">
        <f>INDEX([1]ratio_ins!R:R,MATCH('001_population_health_zone_zs'!$B$2,[1]ratio_ins!$B:$B,0))*$G317*INDEX([1]ratio_ins!$C:$C,MATCH('001_population_health_zone_zs'!$B317,[1]ratio_ins!$B:$B,0))</f>
        <v>3834.177756</v>
      </c>
      <c r="U317" s="10">
        <f>INDEX([1]ratio_ins!S:S,MATCH('001_population_health_zone_zs'!$B$2,[1]ratio_ins!$B:$B,0))*$G317*INDEX([1]ratio_ins!$C:$C,MATCH('001_population_health_zone_zs'!$B317,[1]ratio_ins!$B:$B,0))</f>
        <v>3044.7882180000001</v>
      </c>
      <c r="V317" s="10">
        <f>INDEX([1]ratio_ins!T:T,MATCH('001_population_health_zone_zs'!$B$2,[1]ratio_ins!$B:$B,0))*$G317*INDEX([1]ratio_ins!$C:$C,MATCH('001_population_health_zone_zs'!$B317,[1]ratio_ins!$B:$B,0))</f>
        <v>1691.5490099999997</v>
      </c>
      <c r="W317" s="11">
        <f>INDEX([1]ratio_ins!U:U,MATCH('001_population_health_zone_zs'!$B$2,[1]ratio_ins!$B:$B,0))*$G317*INDEX([1]ratio_ins!$C:$C,MATCH('001_population_health_zone_zs'!$B317,[1]ratio_ins!$B:$B,0))</f>
        <v>46145.456992799998</v>
      </c>
      <c r="X317" s="10">
        <f>INDEX([1]ratio_ins!V:V,MATCH('001_population_health_zone_zs'!$B$2,[1]ratio_ins!$B:$B,0))*$G317*INDEX([1]ratio_ins!$C:$C,MATCH('001_population_health_zone_zs'!$B317,[1]ratio_ins!$B:$B,0))</f>
        <v>1353.239208</v>
      </c>
      <c r="Y317" s="10">
        <f>INDEX([1]ratio_ins!W:W,MATCH('001_population_health_zone_zs'!$B$2,[1]ratio_ins!$B:$B,0))*$G317*INDEX([1]ratio_ins!$C:$C,MATCH('001_population_health_zone_zs'!$B317,[1]ratio_ins!$B:$B,0))</f>
        <v>902.15947200000005</v>
      </c>
      <c r="Z317" s="10">
        <f>INDEX([1]ratio_ins!X:X,MATCH('001_population_health_zone_zs'!$B$2,[1]ratio_ins!$B:$B,0))*$G317*INDEX([1]ratio_ins!$C:$C,MATCH('001_population_health_zone_zs'!$B317,[1]ratio_ins!$B:$B,0))</f>
        <v>451.07973600000003</v>
      </c>
      <c r="AA317" s="10">
        <f>INDEX([1]ratio_ins!Y:Y,MATCH('001_population_health_zone_zs'!$B$2,[1]ratio_ins!$B:$B,0))*$G317*INDEX([1]ratio_ins!$C:$C,MATCH('001_population_health_zone_zs'!$B317,[1]ratio_ins!$B:$B,0))</f>
        <v>225.53986800000001</v>
      </c>
      <c r="AB317" s="11">
        <f>INDEX([1]ratio_ins!Z:Z,MATCH('001_population_health_zone_zs'!$B$2,[1]ratio_ins!$B:$B,0))*$G317*INDEX([1]ratio_ins!$C:$C,MATCH('001_population_health_zone_zs'!$B317,[1]ratio_ins!$B:$B,0))</f>
        <v>2932.0182840000002</v>
      </c>
      <c r="AC317" s="12">
        <f t="shared" si="24"/>
        <v>112769.93399999999</v>
      </c>
      <c r="AD317" s="10">
        <f>INDEX([1]ratio_ins!AA:AA,MATCH('001_population_health_zone_zs'!$B$2,[1]ratio_ins!$B:$B,0))*$G317*INDEX([1]ratio_ins!$D:$D,MATCH('001_population_health_zone_zs'!$B317,[1]ratio_ins!$B:$B,0))</f>
        <v>24549.853859999999</v>
      </c>
      <c r="AE317" s="10">
        <f>INDEX([1]ratio_ins!AB:AB,MATCH('001_population_health_zone_zs'!$B$2,[1]ratio_ins!$B:$B,0))*$G317*INDEX([1]ratio_ins!$D:$D,MATCH('001_population_health_zone_zs'!$B317,[1]ratio_ins!$B:$B,0))</f>
        <v>20224.403418000002</v>
      </c>
      <c r="AF317" s="10">
        <f>INDEX([1]ratio_ins!AC:AC,MATCH('001_population_health_zone_zs'!$B$2,[1]ratio_ins!$B:$B,0))*$G317*INDEX([1]ratio_ins!$D:$D,MATCH('001_population_health_zone_zs'!$B317,[1]ratio_ins!$B:$B,0))</f>
        <v>16015.857041999998</v>
      </c>
      <c r="AG317" s="10">
        <f>INDEX([1]ratio_ins!AD:AD,MATCH('001_population_health_zone_zs'!$B$2,[1]ratio_ins!$B:$B,0))*$G317*INDEX([1]ratio_ins!$D:$D,MATCH('001_population_health_zone_zs'!$B317,[1]ratio_ins!$B:$B,0))</f>
        <v>9703.037478000002</v>
      </c>
      <c r="AH317" s="10">
        <f>INDEX([1]ratio_ins!AE:AE,MATCH('001_population_health_zone_zs'!$B$2,[1]ratio_ins!$B:$B,0))*$G317*INDEX([1]ratio_ins!$D:$D,MATCH('001_population_health_zone_zs'!$B317,[1]ratio_ins!$B:$B,0))</f>
        <v>5821.8224867999998</v>
      </c>
      <c r="AI317" s="13">
        <f>INDEX([1]ratio_ins!AF:AF,MATCH('001_population_health_zone_zs'!$B$2,[1]ratio_ins!$B:$B,0))*$G317*INDEX([1]ratio_ins!$D:$D,MATCH('001_population_health_zone_zs'!$B317,[1]ratio_ins!$B:$B,0))</f>
        <v>66611.936806799989</v>
      </c>
      <c r="AJ317" s="10">
        <f>INDEX([1]ratio_ins!AG:AG,MATCH('001_population_health_zone_zs'!$B$2,[1]ratio_ins!$B:$B,0))*$G317*INDEX([1]ratio_ins!$D:$D,MATCH('001_population_health_zone_zs'!$B317,[1]ratio_ins!$B:$B,0))</f>
        <v>3881.2149912</v>
      </c>
      <c r="AK317" s="10">
        <f>INDEX([1]ratio_ins!AH:AH,MATCH('001_population_health_zone_zs'!$B$2,[1]ratio_ins!$B:$B,0))*$G317*INDEX([1]ratio_ins!$D:$D,MATCH('001_population_health_zone_zs'!$B317,[1]ratio_ins!$B:$B,0))</f>
        <v>8650.9008840000024</v>
      </c>
      <c r="AL317" s="10">
        <f>INDEX([1]ratio_ins!AI:AI,MATCH('001_population_health_zone_zs'!$B$2,[1]ratio_ins!$B:$B,0))*$G317*INDEX([1]ratio_ins!$D:$D,MATCH('001_population_health_zone_zs'!$B317,[1]ratio_ins!$B:$B,0))</f>
        <v>8183.2846200000013</v>
      </c>
      <c r="AM317" s="10">
        <f>INDEX([1]ratio_ins!AJ:AJ,MATCH('001_population_health_zone_zs'!$B$2,[1]ratio_ins!$B:$B,0))*$G317*INDEX([1]ratio_ins!$D:$D,MATCH('001_population_health_zone_zs'!$B317,[1]ratio_ins!$B:$B,0))</f>
        <v>7481.860224</v>
      </c>
      <c r="AN317" s="10">
        <f>INDEX([1]ratio_ins!AK:AK,MATCH('001_population_health_zone_zs'!$B$2,[1]ratio_ins!$B:$B,0))*$G317*INDEX([1]ratio_ins!$D:$D,MATCH('001_population_health_zone_zs'!$B317,[1]ratio_ins!$B:$B,0))</f>
        <v>7014.2439599999998</v>
      </c>
      <c r="AO317" s="10">
        <f>INDEX([1]ratio_ins!AL:AL,MATCH('001_population_health_zone_zs'!$B$2,[1]ratio_ins!$B:$B,0))*$G317*INDEX([1]ratio_ins!$D:$D,MATCH('001_population_health_zone_zs'!$B317,[1]ratio_ins!$B:$B,0))</f>
        <v>5260.6829699999998</v>
      </c>
      <c r="AP317" s="10">
        <f>INDEX([1]ratio_ins!AM:AM,MATCH('001_population_health_zone_zs'!$B$2,[1]ratio_ins!$B:$B,0))*$G317*INDEX([1]ratio_ins!$D:$D,MATCH('001_population_health_zone_zs'!$B317,[1]ratio_ins!$B:$B,0))</f>
        <v>3390.2179139999998</v>
      </c>
      <c r="AQ317" s="10">
        <f>INDEX([1]ratio_ins!AN:AN,MATCH('001_population_health_zone_zs'!$B$2,[1]ratio_ins!$B:$B,0))*$G317*INDEX([1]ratio_ins!$D:$D,MATCH('001_population_health_zone_zs'!$B317,[1]ratio_ins!$B:$B,0))</f>
        <v>2688.7935179999999</v>
      </c>
      <c r="AR317" s="10">
        <f>INDEX([1]ratio_ins!AO:AO,MATCH('001_population_health_zone_zs'!$B$2,[1]ratio_ins!$B:$B,0))*$G317*INDEX([1]ratio_ins!$D:$D,MATCH('001_population_health_zone_zs'!$B317,[1]ratio_ins!$B:$B,0))</f>
        <v>1285.9447260000002</v>
      </c>
      <c r="AS317" s="13">
        <f>INDEX([1]ratio_ins!AP:AP,MATCH('001_population_health_zone_zs'!$B$2,[1]ratio_ins!$B:$B,0))*$G317*INDEX([1]ratio_ins!$D:$D,MATCH('001_population_health_zone_zs'!$B317,[1]ratio_ins!$B:$B,0))</f>
        <v>47837.143807200002</v>
      </c>
      <c r="AT317" s="10">
        <f>INDEX([1]ratio_ins!AQ:AQ,MATCH('001_population_health_zone_zs'!$B$2,[1]ratio_ins!$B:$B,0))*$G317*INDEX([1]ratio_ins!$D:$D,MATCH('001_population_health_zone_zs'!$B317,[1]ratio_ins!$B:$B,0))</f>
        <v>1169.0406600000001</v>
      </c>
      <c r="AU317" s="10">
        <f>INDEX([1]ratio_ins!AR:AR,MATCH('001_population_health_zone_zs'!$B$2,[1]ratio_ins!$B:$B,0))*$G317*INDEX([1]ratio_ins!$D:$D,MATCH('001_population_health_zone_zs'!$B317,[1]ratio_ins!$B:$B,0))</f>
        <v>701.42439600000012</v>
      </c>
      <c r="AV317" s="10">
        <f>INDEX([1]ratio_ins!AS:AS,MATCH('001_population_health_zone_zs'!$B$2,[1]ratio_ins!$B:$B,0))*$G317*INDEX([1]ratio_ins!$D:$D,MATCH('001_population_health_zone_zs'!$B317,[1]ratio_ins!$B:$B,0))</f>
        <v>350.71219800000006</v>
      </c>
      <c r="AW317" s="10">
        <f>INDEX([1]ratio_ins!AT:AT,MATCH('001_population_health_zone_zs'!$B$2,[1]ratio_ins!$B:$B,0))*$G317*INDEX([1]ratio_ins!$D:$D,MATCH('001_population_health_zone_zs'!$B317,[1]ratio_ins!$B:$B,0))</f>
        <v>233.808132</v>
      </c>
      <c r="AX317" s="13">
        <f>INDEX([1]ratio_ins!AU:AU,MATCH('001_population_health_zone_zs'!$B$2,[1]ratio_ins!$B:$B,0))*$G317*INDEX([1]ratio_ins!$D:$D,MATCH('001_population_health_zone_zs'!$B317,[1]ratio_ins!$B:$B,0))</f>
        <v>2454.9853859999998</v>
      </c>
      <c r="AY317" s="14">
        <f t="shared" si="25"/>
        <v>116904.06599999999</v>
      </c>
      <c r="AZ317" s="15">
        <f t="shared" si="26"/>
        <v>229674</v>
      </c>
      <c r="BA317" s="16">
        <v>220542.9551019202</v>
      </c>
      <c r="BB317" s="10">
        <f t="shared" si="27"/>
        <v>49684.228050000005</v>
      </c>
      <c r="BC317" s="17">
        <f t="shared" si="28"/>
        <v>0.21632500000000002</v>
      </c>
      <c r="BD317" s="10">
        <f t="shared" si="29"/>
        <v>47025.062478</v>
      </c>
    </row>
    <row r="318" spans="1:56" x14ac:dyDescent="0.25">
      <c r="A318" s="8" t="s">
        <v>751</v>
      </c>
      <c r="B318" s="8" t="s">
        <v>752</v>
      </c>
      <c r="C318" s="8" t="s">
        <v>781</v>
      </c>
      <c r="D318" s="8" t="s">
        <v>782</v>
      </c>
      <c r="E318" s="8" t="s">
        <v>783</v>
      </c>
      <c r="F318" s="8" t="s">
        <v>784</v>
      </c>
      <c r="G318" s="9">
        <v>261436</v>
      </c>
      <c r="H318" s="10">
        <f>INDEX([1]ratio_ins!F:F,MATCH('001_population_health_zone_zs'!$B$2,[1]ratio_ins!$B:$B,0))*$G318*INDEX([1]ratio_ins!$C:$C,MATCH('001_population_health_zone_zs'!$B318,[1]ratio_ins!$B:$B,0))</f>
        <v>26828.300883999997</v>
      </c>
      <c r="I318" s="10">
        <f>INDEX([1]ratio_ins!G:G,MATCH('001_population_health_zone_zs'!$B$2,[1]ratio_ins!$B:$B,0))*$G318*INDEX([1]ratio_ins!$C:$C,MATCH('001_population_health_zone_zs'!$B318,[1]ratio_ins!$B:$B,0))</f>
        <v>21950.427996000002</v>
      </c>
      <c r="J318" s="10">
        <f>INDEX([1]ratio_ins!H:H,MATCH('001_population_health_zone_zs'!$B$2,[1]ratio_ins!$B:$B,0))*$G318*INDEX([1]ratio_ins!$C:$C,MATCH('001_population_health_zone_zs'!$B318,[1]ratio_ins!$B:$B,0))</f>
        <v>17329.285260000001</v>
      </c>
      <c r="K318" s="10">
        <f>INDEX([1]ratio_ins!I:I,MATCH('001_population_health_zone_zs'!$B$2,[1]ratio_ins!$B:$B,0))*$G318*INDEX([1]ratio_ins!$C:$C,MATCH('001_population_health_zone_zs'!$B318,[1]ratio_ins!$B:$B,0))</f>
        <v>10654.301308</v>
      </c>
      <c r="L318" s="10">
        <f>INDEX([1]ratio_ins!J:J,MATCH('001_population_health_zone_zs'!$B$2,[1]ratio_ins!$B:$B,0))*$G318*INDEX([1]ratio_ins!$C:$C,MATCH('001_population_health_zone_zs'!$B318,[1]ratio_ins!$B:$B,0))</f>
        <v>6392.5807847999995</v>
      </c>
      <c r="M318" s="11">
        <f>INDEX([1]ratio_ins!K:K,MATCH('001_population_health_zone_zs'!$B$2,[1]ratio_ins!$B:$B,0))*$G318*INDEX([1]ratio_ins!$C:$C,MATCH('001_population_health_zone_zs'!$B318,[1]ratio_ins!$B:$B,0))</f>
        <v>72500.594924799996</v>
      </c>
      <c r="N318" s="10">
        <f>INDEX([1]ratio_ins!L:L,MATCH('001_population_health_zone_zs'!$B$2,[1]ratio_ins!$B:$B,0))*$G318*INDEX([1]ratio_ins!$C:$C,MATCH('001_population_health_zone_zs'!$B318,[1]ratio_ins!$B:$B,0))</f>
        <v>4261.7205231999997</v>
      </c>
      <c r="O318" s="10">
        <f>INDEX([1]ratio_ins!M:M,MATCH('001_population_health_zone_zs'!$B$2,[1]ratio_ins!$B:$B,0))*$G318*INDEX([1]ratio_ins!$C:$C,MATCH('001_population_health_zone_zs'!$B318,[1]ratio_ins!$B:$B,0))</f>
        <v>9242.2854720000014</v>
      </c>
      <c r="P318" s="10">
        <f>INDEX([1]ratio_ins!N:N,MATCH('001_population_health_zone_zs'!$B$2,[1]ratio_ins!$B:$B,0))*$G318*INDEX([1]ratio_ins!$C:$C,MATCH('001_population_health_zone_zs'!$B318,[1]ratio_ins!$B:$B,0))</f>
        <v>8343.7299399999993</v>
      </c>
      <c r="Q318" s="10">
        <f>INDEX([1]ratio_ins!O:O,MATCH('001_population_health_zone_zs'!$B$2,[1]ratio_ins!$B:$B,0))*$G318*INDEX([1]ratio_ins!$C:$C,MATCH('001_population_health_zone_zs'!$B318,[1]ratio_ins!$B:$B,0))</f>
        <v>7445.1744079999989</v>
      </c>
      <c r="R318" s="10">
        <f>INDEX([1]ratio_ins!P:P,MATCH('001_population_health_zone_zs'!$B$2,[1]ratio_ins!$B:$B,0))*$G318*INDEX([1]ratio_ins!$C:$C,MATCH('001_population_health_zone_zs'!$B318,[1]ratio_ins!$B:$B,0))</f>
        <v>7316.8093319999998</v>
      </c>
      <c r="S318" s="10">
        <f>INDEX([1]ratio_ins!Q:Q,MATCH('001_population_health_zone_zs'!$B$2,[1]ratio_ins!$B:$B,0))*$G318*INDEX([1]ratio_ins!$C:$C,MATCH('001_population_health_zone_zs'!$B318,[1]ratio_ins!$B:$B,0))</f>
        <v>6161.5236479999994</v>
      </c>
      <c r="T318" s="10">
        <f>INDEX([1]ratio_ins!R:R,MATCH('001_population_health_zone_zs'!$B$2,[1]ratio_ins!$B:$B,0))*$G318*INDEX([1]ratio_ins!$C:$C,MATCH('001_population_health_zone_zs'!$B318,[1]ratio_ins!$B:$B,0))</f>
        <v>4364.4125840000006</v>
      </c>
      <c r="U318" s="10">
        <f>INDEX([1]ratio_ins!S:S,MATCH('001_population_health_zone_zs'!$B$2,[1]ratio_ins!$B:$B,0))*$G318*INDEX([1]ratio_ins!$C:$C,MATCH('001_population_health_zone_zs'!$B318,[1]ratio_ins!$B:$B,0))</f>
        <v>3465.8570520000003</v>
      </c>
      <c r="V318" s="10">
        <f>INDEX([1]ratio_ins!T:T,MATCH('001_population_health_zone_zs'!$B$2,[1]ratio_ins!$B:$B,0))*$G318*INDEX([1]ratio_ins!$C:$C,MATCH('001_population_health_zone_zs'!$B318,[1]ratio_ins!$B:$B,0))</f>
        <v>1925.47614</v>
      </c>
      <c r="W318" s="11">
        <f>INDEX([1]ratio_ins!U:U,MATCH('001_population_health_zone_zs'!$B$2,[1]ratio_ins!$B:$B,0))*$G318*INDEX([1]ratio_ins!$C:$C,MATCH('001_population_health_zone_zs'!$B318,[1]ratio_ins!$B:$B,0))</f>
        <v>52526.9890992</v>
      </c>
      <c r="X318" s="10">
        <f>INDEX([1]ratio_ins!V:V,MATCH('001_population_health_zone_zs'!$B$2,[1]ratio_ins!$B:$B,0))*$G318*INDEX([1]ratio_ins!$C:$C,MATCH('001_population_health_zone_zs'!$B318,[1]ratio_ins!$B:$B,0))</f>
        <v>1540.3809119999999</v>
      </c>
      <c r="Y318" s="10">
        <f>INDEX([1]ratio_ins!W:W,MATCH('001_population_health_zone_zs'!$B$2,[1]ratio_ins!$B:$B,0))*$G318*INDEX([1]ratio_ins!$C:$C,MATCH('001_population_health_zone_zs'!$B318,[1]ratio_ins!$B:$B,0))</f>
        <v>1026.9206079999999</v>
      </c>
      <c r="Z318" s="10">
        <f>INDEX([1]ratio_ins!X:X,MATCH('001_population_health_zone_zs'!$B$2,[1]ratio_ins!$B:$B,0))*$G318*INDEX([1]ratio_ins!$C:$C,MATCH('001_population_health_zone_zs'!$B318,[1]ratio_ins!$B:$B,0))</f>
        <v>513.46030399999995</v>
      </c>
      <c r="AA318" s="10">
        <f>INDEX([1]ratio_ins!Y:Y,MATCH('001_population_health_zone_zs'!$B$2,[1]ratio_ins!$B:$B,0))*$G318*INDEX([1]ratio_ins!$C:$C,MATCH('001_population_health_zone_zs'!$B318,[1]ratio_ins!$B:$B,0))</f>
        <v>256.73015199999998</v>
      </c>
      <c r="AB318" s="11">
        <f>INDEX([1]ratio_ins!Z:Z,MATCH('001_population_health_zone_zs'!$B$2,[1]ratio_ins!$B:$B,0))*$G318*INDEX([1]ratio_ins!$C:$C,MATCH('001_population_health_zone_zs'!$B318,[1]ratio_ins!$B:$B,0))</f>
        <v>3337.4919760000002</v>
      </c>
      <c r="AC318" s="12">
        <f t="shared" si="24"/>
        <v>128365.076</v>
      </c>
      <c r="AD318" s="10">
        <f>INDEX([1]ratio_ins!AA:AA,MATCH('001_population_health_zone_zs'!$B$2,[1]ratio_ins!$B:$B,0))*$G318*INDEX([1]ratio_ins!$D:$D,MATCH('001_population_health_zone_zs'!$B318,[1]ratio_ins!$B:$B,0))</f>
        <v>27944.894039999999</v>
      </c>
      <c r="AE318" s="10">
        <f>INDEX([1]ratio_ins!AB:AB,MATCH('001_population_health_zone_zs'!$B$2,[1]ratio_ins!$B:$B,0))*$G318*INDEX([1]ratio_ins!$D:$D,MATCH('001_population_health_zone_zs'!$B318,[1]ratio_ins!$B:$B,0))</f>
        <v>23021.269852000005</v>
      </c>
      <c r="AF318" s="10">
        <f>INDEX([1]ratio_ins!AC:AC,MATCH('001_population_health_zone_zs'!$B$2,[1]ratio_ins!$B:$B,0))*$G318*INDEX([1]ratio_ins!$D:$D,MATCH('001_population_health_zone_zs'!$B318,[1]ratio_ins!$B:$B,0))</f>
        <v>18230.716587999999</v>
      </c>
      <c r="AG318" s="10">
        <f>INDEX([1]ratio_ins!AD:AD,MATCH('001_population_health_zone_zs'!$B$2,[1]ratio_ins!$B:$B,0))*$G318*INDEX([1]ratio_ins!$D:$D,MATCH('001_population_health_zone_zs'!$B318,[1]ratio_ins!$B:$B,0))</f>
        <v>11044.886692000002</v>
      </c>
      <c r="AH318" s="10">
        <f>INDEX([1]ratio_ins!AE:AE,MATCH('001_population_health_zone_zs'!$B$2,[1]ratio_ins!$B:$B,0))*$G318*INDEX([1]ratio_ins!$D:$D,MATCH('001_population_health_zone_zs'!$B318,[1]ratio_ins!$B:$B,0))</f>
        <v>6626.9320151999991</v>
      </c>
      <c r="AI318" s="13">
        <f>INDEX([1]ratio_ins!AF:AF,MATCH('001_population_health_zone_zs'!$B$2,[1]ratio_ins!$B:$B,0))*$G318*INDEX([1]ratio_ins!$D:$D,MATCH('001_population_health_zone_zs'!$B318,[1]ratio_ins!$B:$B,0))</f>
        <v>75823.812495200007</v>
      </c>
      <c r="AJ318" s="10">
        <f>INDEX([1]ratio_ins!AG:AG,MATCH('001_population_health_zone_zs'!$B$2,[1]ratio_ins!$B:$B,0))*$G318*INDEX([1]ratio_ins!$D:$D,MATCH('001_population_health_zone_zs'!$B318,[1]ratio_ins!$B:$B,0))</f>
        <v>4417.9546768</v>
      </c>
      <c r="AK318" s="10">
        <f>INDEX([1]ratio_ins!AH:AH,MATCH('001_population_health_zone_zs'!$B$2,[1]ratio_ins!$B:$B,0))*$G318*INDEX([1]ratio_ins!$D:$D,MATCH('001_population_health_zone_zs'!$B318,[1]ratio_ins!$B:$B,0))</f>
        <v>9847.2483760000014</v>
      </c>
      <c r="AL318" s="10">
        <f>INDEX([1]ratio_ins!AI:AI,MATCH('001_population_health_zone_zs'!$B$2,[1]ratio_ins!$B:$B,0))*$G318*INDEX([1]ratio_ins!$D:$D,MATCH('001_population_health_zone_zs'!$B318,[1]ratio_ins!$B:$B,0))</f>
        <v>9314.964680000001</v>
      </c>
      <c r="AM318" s="10">
        <f>INDEX([1]ratio_ins!AJ:AJ,MATCH('001_population_health_zone_zs'!$B$2,[1]ratio_ins!$B:$B,0))*$G318*INDEX([1]ratio_ins!$D:$D,MATCH('001_population_health_zone_zs'!$B318,[1]ratio_ins!$B:$B,0))</f>
        <v>8516.5391359999994</v>
      </c>
      <c r="AN318" s="10">
        <f>INDEX([1]ratio_ins!AK:AK,MATCH('001_population_health_zone_zs'!$B$2,[1]ratio_ins!$B:$B,0))*$G318*INDEX([1]ratio_ins!$D:$D,MATCH('001_population_health_zone_zs'!$B318,[1]ratio_ins!$B:$B,0))</f>
        <v>7984.2554399999999</v>
      </c>
      <c r="AO318" s="10">
        <f>INDEX([1]ratio_ins!AL:AL,MATCH('001_population_health_zone_zs'!$B$2,[1]ratio_ins!$B:$B,0))*$G318*INDEX([1]ratio_ins!$D:$D,MATCH('001_population_health_zone_zs'!$B318,[1]ratio_ins!$B:$B,0))</f>
        <v>5988.1915799999997</v>
      </c>
      <c r="AP318" s="10">
        <f>INDEX([1]ratio_ins!AM:AM,MATCH('001_population_health_zone_zs'!$B$2,[1]ratio_ins!$B:$B,0))*$G318*INDEX([1]ratio_ins!$D:$D,MATCH('001_population_health_zone_zs'!$B318,[1]ratio_ins!$B:$B,0))</f>
        <v>3859.0567959999998</v>
      </c>
      <c r="AQ318" s="10">
        <f>INDEX([1]ratio_ins!AN:AN,MATCH('001_population_health_zone_zs'!$B$2,[1]ratio_ins!$B:$B,0))*$G318*INDEX([1]ratio_ins!$D:$D,MATCH('001_population_health_zone_zs'!$B318,[1]ratio_ins!$B:$B,0))</f>
        <v>3060.6312520000001</v>
      </c>
      <c r="AR318" s="10">
        <f>INDEX([1]ratio_ins!AO:AO,MATCH('001_population_health_zone_zs'!$B$2,[1]ratio_ins!$B:$B,0))*$G318*INDEX([1]ratio_ins!$D:$D,MATCH('001_population_health_zone_zs'!$B318,[1]ratio_ins!$B:$B,0))</f>
        <v>1463.7801640000002</v>
      </c>
      <c r="AS318" s="13">
        <f>INDEX([1]ratio_ins!AP:AP,MATCH('001_population_health_zone_zs'!$B$2,[1]ratio_ins!$B:$B,0))*$G318*INDEX([1]ratio_ins!$D:$D,MATCH('001_population_health_zone_zs'!$B318,[1]ratio_ins!$B:$B,0))</f>
        <v>54452.622100799999</v>
      </c>
      <c r="AT318" s="10">
        <f>INDEX([1]ratio_ins!AQ:AQ,MATCH('001_population_health_zone_zs'!$B$2,[1]ratio_ins!$B:$B,0))*$G318*INDEX([1]ratio_ins!$D:$D,MATCH('001_population_health_zone_zs'!$B318,[1]ratio_ins!$B:$B,0))</f>
        <v>1330.7092400000001</v>
      </c>
      <c r="AU318" s="10">
        <f>INDEX([1]ratio_ins!AR:AR,MATCH('001_population_health_zone_zs'!$B$2,[1]ratio_ins!$B:$B,0))*$G318*INDEX([1]ratio_ins!$D:$D,MATCH('001_population_health_zone_zs'!$B318,[1]ratio_ins!$B:$B,0))</f>
        <v>798.42554400000006</v>
      </c>
      <c r="AV318" s="10">
        <f>INDEX([1]ratio_ins!AS:AS,MATCH('001_population_health_zone_zs'!$B$2,[1]ratio_ins!$B:$B,0))*$G318*INDEX([1]ratio_ins!$D:$D,MATCH('001_population_health_zone_zs'!$B318,[1]ratio_ins!$B:$B,0))</f>
        <v>399.21277200000003</v>
      </c>
      <c r="AW318" s="10">
        <f>INDEX([1]ratio_ins!AT:AT,MATCH('001_population_health_zone_zs'!$B$2,[1]ratio_ins!$B:$B,0))*$G318*INDEX([1]ratio_ins!$D:$D,MATCH('001_population_health_zone_zs'!$B318,[1]ratio_ins!$B:$B,0))</f>
        <v>266.14184799999998</v>
      </c>
      <c r="AX318" s="13">
        <f>INDEX([1]ratio_ins!AU:AU,MATCH('001_population_health_zone_zs'!$B$2,[1]ratio_ins!$B:$B,0))*$G318*INDEX([1]ratio_ins!$D:$D,MATCH('001_population_health_zone_zs'!$B318,[1]ratio_ins!$B:$B,0))</f>
        <v>2794.4894039999995</v>
      </c>
      <c r="AY318" s="14">
        <f t="shared" si="25"/>
        <v>133070.924</v>
      </c>
      <c r="AZ318" s="15">
        <f t="shared" si="26"/>
        <v>261436</v>
      </c>
      <c r="BA318" s="16">
        <v>251041.97300812916</v>
      </c>
      <c r="BB318" s="10">
        <f t="shared" si="27"/>
        <v>56555.142699999997</v>
      </c>
      <c r="BC318" s="17">
        <f t="shared" si="28"/>
        <v>0.21632499999999999</v>
      </c>
      <c r="BD318" s="10">
        <f t="shared" si="29"/>
        <v>53528.236691999991</v>
      </c>
    </row>
    <row r="319" spans="1:56" x14ac:dyDescent="0.25">
      <c r="A319" s="8" t="s">
        <v>751</v>
      </c>
      <c r="B319" s="8" t="s">
        <v>752</v>
      </c>
      <c r="C319" s="8" t="s">
        <v>781</v>
      </c>
      <c r="D319" s="8" t="s">
        <v>782</v>
      </c>
      <c r="E319" s="8" t="s">
        <v>781</v>
      </c>
      <c r="F319" s="8" t="s">
        <v>785</v>
      </c>
      <c r="G319" s="9">
        <v>207124</v>
      </c>
      <c r="H319" s="10">
        <f>INDEX([1]ratio_ins!F:F,MATCH('001_population_health_zone_zs'!$B$2,[1]ratio_ins!$B:$B,0))*$G319*INDEX([1]ratio_ins!$C:$C,MATCH('001_population_health_zone_zs'!$B319,[1]ratio_ins!$B:$B,0))</f>
        <v>21254.857755999998</v>
      </c>
      <c r="I319" s="10">
        <f>INDEX([1]ratio_ins!G:G,MATCH('001_population_health_zone_zs'!$B$2,[1]ratio_ins!$B:$B,0))*$G319*INDEX([1]ratio_ins!$C:$C,MATCH('001_population_health_zone_zs'!$B319,[1]ratio_ins!$B:$B,0))</f>
        <v>17390.338164000001</v>
      </c>
      <c r="J319" s="10">
        <f>INDEX([1]ratio_ins!H:H,MATCH('001_population_health_zone_zs'!$B$2,[1]ratio_ins!$B:$B,0))*$G319*INDEX([1]ratio_ins!$C:$C,MATCH('001_population_health_zone_zs'!$B319,[1]ratio_ins!$B:$B,0))</f>
        <v>13729.21434</v>
      </c>
      <c r="K319" s="10">
        <f>INDEX([1]ratio_ins!I:I,MATCH('001_population_health_zone_zs'!$B$2,[1]ratio_ins!$B:$B,0))*$G319*INDEX([1]ratio_ins!$C:$C,MATCH('001_population_health_zone_zs'!$B319,[1]ratio_ins!$B:$B,0))</f>
        <v>8440.9243720000013</v>
      </c>
      <c r="L319" s="10">
        <f>INDEX([1]ratio_ins!J:J,MATCH('001_population_health_zone_zs'!$B$2,[1]ratio_ins!$B:$B,0))*$G319*INDEX([1]ratio_ins!$C:$C,MATCH('001_population_health_zone_zs'!$B319,[1]ratio_ins!$B:$B,0))</f>
        <v>5064.5546231999997</v>
      </c>
      <c r="M319" s="11">
        <f>INDEX([1]ratio_ins!K:K,MATCH('001_population_health_zone_zs'!$B$2,[1]ratio_ins!$B:$B,0))*$G319*INDEX([1]ratio_ins!$C:$C,MATCH('001_population_health_zone_zs'!$B319,[1]ratio_ins!$B:$B,0))</f>
        <v>57438.964883199995</v>
      </c>
      <c r="N319" s="10">
        <f>INDEX([1]ratio_ins!L:L,MATCH('001_population_health_zone_zs'!$B$2,[1]ratio_ins!$B:$B,0))*$G319*INDEX([1]ratio_ins!$C:$C,MATCH('001_population_health_zone_zs'!$B319,[1]ratio_ins!$B:$B,0))</f>
        <v>3376.3697488000003</v>
      </c>
      <c r="O319" s="10">
        <f>INDEX([1]ratio_ins!M:M,MATCH('001_population_health_zone_zs'!$B$2,[1]ratio_ins!$B:$B,0))*$G319*INDEX([1]ratio_ins!$C:$C,MATCH('001_population_health_zone_zs'!$B319,[1]ratio_ins!$B:$B,0))</f>
        <v>7322.2476480000005</v>
      </c>
      <c r="P319" s="10">
        <f>INDEX([1]ratio_ins!N:N,MATCH('001_population_health_zone_zs'!$B$2,[1]ratio_ins!$B:$B,0))*$G319*INDEX([1]ratio_ins!$C:$C,MATCH('001_population_health_zone_zs'!$B319,[1]ratio_ins!$B:$B,0))</f>
        <v>6610.3624600000003</v>
      </c>
      <c r="Q319" s="10">
        <f>INDEX([1]ratio_ins!O:O,MATCH('001_population_health_zone_zs'!$B$2,[1]ratio_ins!$B:$B,0))*$G319*INDEX([1]ratio_ins!$C:$C,MATCH('001_population_health_zone_zs'!$B319,[1]ratio_ins!$B:$B,0))</f>
        <v>5898.4772719999992</v>
      </c>
      <c r="R319" s="10">
        <f>INDEX([1]ratio_ins!P:P,MATCH('001_population_health_zone_zs'!$B$2,[1]ratio_ins!$B:$B,0))*$G319*INDEX([1]ratio_ins!$C:$C,MATCH('001_population_health_zone_zs'!$B319,[1]ratio_ins!$B:$B,0))</f>
        <v>5796.7793880000008</v>
      </c>
      <c r="S319" s="10">
        <f>INDEX([1]ratio_ins!Q:Q,MATCH('001_population_health_zone_zs'!$B$2,[1]ratio_ins!$B:$B,0))*$G319*INDEX([1]ratio_ins!$C:$C,MATCH('001_population_health_zone_zs'!$B319,[1]ratio_ins!$B:$B,0))</f>
        <v>4881.4984319999994</v>
      </c>
      <c r="T319" s="10">
        <f>INDEX([1]ratio_ins!R:R,MATCH('001_population_health_zone_zs'!$B$2,[1]ratio_ins!$B:$B,0))*$G319*INDEX([1]ratio_ins!$C:$C,MATCH('001_population_health_zone_zs'!$B319,[1]ratio_ins!$B:$B,0))</f>
        <v>3457.7280559999999</v>
      </c>
      <c r="U319" s="10">
        <f>INDEX([1]ratio_ins!S:S,MATCH('001_population_health_zone_zs'!$B$2,[1]ratio_ins!$B:$B,0))*$G319*INDEX([1]ratio_ins!$C:$C,MATCH('001_population_health_zone_zs'!$B319,[1]ratio_ins!$B:$B,0))</f>
        <v>2745.8428680000002</v>
      </c>
      <c r="V319" s="10">
        <f>INDEX([1]ratio_ins!T:T,MATCH('001_population_health_zone_zs'!$B$2,[1]ratio_ins!$B:$B,0))*$G319*INDEX([1]ratio_ins!$C:$C,MATCH('001_population_health_zone_zs'!$B319,[1]ratio_ins!$B:$B,0))</f>
        <v>1525.4682599999999</v>
      </c>
      <c r="W319" s="11">
        <f>INDEX([1]ratio_ins!U:U,MATCH('001_population_health_zone_zs'!$B$2,[1]ratio_ins!$B:$B,0))*$G319*INDEX([1]ratio_ins!$C:$C,MATCH('001_population_health_zone_zs'!$B319,[1]ratio_ins!$B:$B,0))</f>
        <v>41614.774132800005</v>
      </c>
      <c r="X319" s="10">
        <f>INDEX([1]ratio_ins!V:V,MATCH('001_population_health_zone_zs'!$B$2,[1]ratio_ins!$B:$B,0))*$G319*INDEX([1]ratio_ins!$C:$C,MATCH('001_population_health_zone_zs'!$B319,[1]ratio_ins!$B:$B,0))</f>
        <v>1220.3746079999999</v>
      </c>
      <c r="Y319" s="10">
        <f>INDEX([1]ratio_ins!W:W,MATCH('001_population_health_zone_zs'!$B$2,[1]ratio_ins!$B:$B,0))*$G319*INDEX([1]ratio_ins!$C:$C,MATCH('001_population_health_zone_zs'!$B319,[1]ratio_ins!$B:$B,0))</f>
        <v>813.58307200000002</v>
      </c>
      <c r="Z319" s="10">
        <f>INDEX([1]ratio_ins!X:X,MATCH('001_population_health_zone_zs'!$B$2,[1]ratio_ins!$B:$B,0))*$G319*INDEX([1]ratio_ins!$C:$C,MATCH('001_population_health_zone_zs'!$B319,[1]ratio_ins!$B:$B,0))</f>
        <v>406.79153600000001</v>
      </c>
      <c r="AA319" s="10">
        <f>INDEX([1]ratio_ins!Y:Y,MATCH('001_population_health_zone_zs'!$B$2,[1]ratio_ins!$B:$B,0))*$G319*INDEX([1]ratio_ins!$C:$C,MATCH('001_population_health_zone_zs'!$B319,[1]ratio_ins!$B:$B,0))</f>
        <v>203.395768</v>
      </c>
      <c r="AB319" s="11">
        <f>INDEX([1]ratio_ins!Z:Z,MATCH('001_population_health_zone_zs'!$B$2,[1]ratio_ins!$B:$B,0))*$G319*INDEX([1]ratio_ins!$C:$C,MATCH('001_population_health_zone_zs'!$B319,[1]ratio_ins!$B:$B,0))</f>
        <v>2644.144984</v>
      </c>
      <c r="AC319" s="12">
        <f t="shared" si="24"/>
        <v>101697.88400000001</v>
      </c>
      <c r="AD319" s="10">
        <f>INDEX([1]ratio_ins!AA:AA,MATCH('001_population_health_zone_zs'!$B$2,[1]ratio_ins!$B:$B,0))*$G319*INDEX([1]ratio_ins!$D:$D,MATCH('001_population_health_zone_zs'!$B319,[1]ratio_ins!$B:$B,0))</f>
        <v>22139.484360000002</v>
      </c>
      <c r="AE319" s="10">
        <f>INDEX([1]ratio_ins!AB:AB,MATCH('001_population_health_zone_zs'!$B$2,[1]ratio_ins!$B:$B,0))*$G319*INDEX([1]ratio_ins!$D:$D,MATCH('001_population_health_zone_zs'!$B319,[1]ratio_ins!$B:$B,0))</f>
        <v>18238.718068000002</v>
      </c>
      <c r="AF319" s="10">
        <f>INDEX([1]ratio_ins!AC:AC,MATCH('001_population_health_zone_zs'!$B$2,[1]ratio_ins!$B:$B,0))*$G319*INDEX([1]ratio_ins!$D:$D,MATCH('001_population_health_zone_zs'!$B319,[1]ratio_ins!$B:$B,0))</f>
        <v>14443.377891999999</v>
      </c>
      <c r="AG319" s="10">
        <f>INDEX([1]ratio_ins!AD:AD,MATCH('001_population_health_zone_zs'!$B$2,[1]ratio_ins!$B:$B,0))*$G319*INDEX([1]ratio_ins!$D:$D,MATCH('001_population_health_zone_zs'!$B319,[1]ratio_ins!$B:$B,0))</f>
        <v>8750.367628</v>
      </c>
      <c r="AH319" s="10">
        <f>INDEX([1]ratio_ins!AE:AE,MATCH('001_population_health_zone_zs'!$B$2,[1]ratio_ins!$B:$B,0))*$G319*INDEX([1]ratio_ins!$D:$D,MATCH('001_population_health_zone_zs'!$B319,[1]ratio_ins!$B:$B,0))</f>
        <v>5250.2205768000003</v>
      </c>
      <c r="AI319" s="13">
        <f>INDEX([1]ratio_ins!AF:AF,MATCH('001_population_health_zone_zs'!$B$2,[1]ratio_ins!$B:$B,0))*$G319*INDEX([1]ratio_ins!$D:$D,MATCH('001_population_health_zone_zs'!$B319,[1]ratio_ins!$B:$B,0))</f>
        <v>60071.800896799999</v>
      </c>
      <c r="AJ319" s="10">
        <f>INDEX([1]ratio_ins!AG:AG,MATCH('001_population_health_zone_zs'!$B$2,[1]ratio_ins!$B:$B,0))*$G319*INDEX([1]ratio_ins!$D:$D,MATCH('001_population_health_zone_zs'!$B319,[1]ratio_ins!$B:$B,0))</f>
        <v>3500.1470512000001</v>
      </c>
      <c r="AK319" s="10">
        <f>INDEX([1]ratio_ins!AH:AH,MATCH('001_population_health_zone_zs'!$B$2,[1]ratio_ins!$B:$B,0))*$G319*INDEX([1]ratio_ins!$D:$D,MATCH('001_population_health_zone_zs'!$B319,[1]ratio_ins!$B:$B,0))</f>
        <v>7801.5325840000005</v>
      </c>
      <c r="AL319" s="10">
        <f>INDEX([1]ratio_ins!AI:AI,MATCH('001_population_health_zone_zs'!$B$2,[1]ratio_ins!$B:$B,0))*$G319*INDEX([1]ratio_ins!$D:$D,MATCH('001_population_health_zone_zs'!$B319,[1]ratio_ins!$B:$B,0))</f>
        <v>7379.828120000001</v>
      </c>
      <c r="AM319" s="10">
        <f>INDEX([1]ratio_ins!AJ:AJ,MATCH('001_population_health_zone_zs'!$B$2,[1]ratio_ins!$B:$B,0))*$G319*INDEX([1]ratio_ins!$D:$D,MATCH('001_population_health_zone_zs'!$B319,[1]ratio_ins!$B:$B,0))</f>
        <v>6747.2714239999996</v>
      </c>
      <c r="AN319" s="10">
        <f>INDEX([1]ratio_ins!AK:AK,MATCH('001_population_health_zone_zs'!$B$2,[1]ratio_ins!$B:$B,0))*$G319*INDEX([1]ratio_ins!$D:$D,MATCH('001_population_health_zone_zs'!$B319,[1]ratio_ins!$B:$B,0))</f>
        <v>6325.5669599999992</v>
      </c>
      <c r="AO319" s="10">
        <f>INDEX([1]ratio_ins!AL:AL,MATCH('001_population_health_zone_zs'!$B$2,[1]ratio_ins!$B:$B,0))*$G319*INDEX([1]ratio_ins!$D:$D,MATCH('001_population_health_zone_zs'!$B319,[1]ratio_ins!$B:$B,0))</f>
        <v>4744.1752200000001</v>
      </c>
      <c r="AP319" s="10">
        <f>INDEX([1]ratio_ins!AM:AM,MATCH('001_population_health_zone_zs'!$B$2,[1]ratio_ins!$B:$B,0))*$G319*INDEX([1]ratio_ins!$D:$D,MATCH('001_population_health_zone_zs'!$B319,[1]ratio_ins!$B:$B,0))</f>
        <v>3057.357364</v>
      </c>
      <c r="AQ319" s="10">
        <f>INDEX([1]ratio_ins!AN:AN,MATCH('001_population_health_zone_zs'!$B$2,[1]ratio_ins!$B:$B,0))*$G319*INDEX([1]ratio_ins!$D:$D,MATCH('001_population_health_zone_zs'!$B319,[1]ratio_ins!$B:$B,0))</f>
        <v>2424.8006679999999</v>
      </c>
      <c r="AR319" s="10">
        <f>INDEX([1]ratio_ins!AO:AO,MATCH('001_population_health_zone_zs'!$B$2,[1]ratio_ins!$B:$B,0))*$G319*INDEX([1]ratio_ins!$D:$D,MATCH('001_population_health_zone_zs'!$B319,[1]ratio_ins!$B:$B,0))</f>
        <v>1159.6872760000001</v>
      </c>
      <c r="AS319" s="13">
        <f>INDEX([1]ratio_ins!AP:AP,MATCH('001_population_health_zone_zs'!$B$2,[1]ratio_ins!$B:$B,0))*$G319*INDEX([1]ratio_ins!$D:$D,MATCH('001_population_health_zone_zs'!$B319,[1]ratio_ins!$B:$B,0))</f>
        <v>43140.366667200004</v>
      </c>
      <c r="AT319" s="10">
        <f>INDEX([1]ratio_ins!AQ:AQ,MATCH('001_population_health_zone_zs'!$B$2,[1]ratio_ins!$B:$B,0))*$G319*INDEX([1]ratio_ins!$D:$D,MATCH('001_population_health_zone_zs'!$B319,[1]ratio_ins!$B:$B,0))</f>
        <v>1054.2611600000002</v>
      </c>
      <c r="AU319" s="10">
        <f>INDEX([1]ratio_ins!AR:AR,MATCH('001_population_health_zone_zs'!$B$2,[1]ratio_ins!$B:$B,0))*$G319*INDEX([1]ratio_ins!$D:$D,MATCH('001_population_health_zone_zs'!$B319,[1]ratio_ins!$B:$B,0))</f>
        <v>632.55669599999999</v>
      </c>
      <c r="AV319" s="10">
        <f>INDEX([1]ratio_ins!AS:AS,MATCH('001_population_health_zone_zs'!$B$2,[1]ratio_ins!$B:$B,0))*$G319*INDEX([1]ratio_ins!$D:$D,MATCH('001_population_health_zone_zs'!$B319,[1]ratio_ins!$B:$B,0))</f>
        <v>316.27834799999999</v>
      </c>
      <c r="AW319" s="10">
        <f>INDEX([1]ratio_ins!AT:AT,MATCH('001_population_health_zone_zs'!$B$2,[1]ratio_ins!$B:$B,0))*$G319*INDEX([1]ratio_ins!$D:$D,MATCH('001_population_health_zone_zs'!$B319,[1]ratio_ins!$B:$B,0))</f>
        <v>210.85223199999999</v>
      </c>
      <c r="AX319" s="13">
        <f>INDEX([1]ratio_ins!AU:AU,MATCH('001_population_health_zone_zs'!$B$2,[1]ratio_ins!$B:$B,0))*$G319*INDEX([1]ratio_ins!$D:$D,MATCH('001_population_health_zone_zs'!$B319,[1]ratio_ins!$B:$B,0))</f>
        <v>2213.9484359999997</v>
      </c>
      <c r="AY319" s="14">
        <f t="shared" si="25"/>
        <v>105426.11600000001</v>
      </c>
      <c r="AZ319" s="15">
        <f t="shared" si="26"/>
        <v>207124</v>
      </c>
      <c r="BA319" s="16">
        <v>198889.32457684484</v>
      </c>
      <c r="BB319" s="10">
        <f t="shared" si="27"/>
        <v>44806.099300000002</v>
      </c>
      <c r="BC319" s="17">
        <f t="shared" si="28"/>
        <v>0.21632500000000002</v>
      </c>
      <c r="BD319" s="10">
        <f t="shared" si="29"/>
        <v>42408.017628000001</v>
      </c>
    </row>
    <row r="320" spans="1:56" x14ac:dyDescent="0.25">
      <c r="A320" s="8" t="s">
        <v>751</v>
      </c>
      <c r="B320" s="8" t="s">
        <v>752</v>
      </c>
      <c r="C320" s="8" t="s">
        <v>781</v>
      </c>
      <c r="D320" s="8" t="s">
        <v>782</v>
      </c>
      <c r="E320" s="8" t="s">
        <v>786</v>
      </c>
      <c r="F320" s="8" t="s">
        <v>787</v>
      </c>
      <c r="G320" s="9">
        <v>196416</v>
      </c>
      <c r="H320" s="10">
        <f>INDEX([1]ratio_ins!F:F,MATCH('001_population_health_zone_zs'!$B$2,[1]ratio_ins!$B:$B,0))*$G320*INDEX([1]ratio_ins!$C:$C,MATCH('001_population_health_zone_zs'!$B320,[1]ratio_ins!$B:$B,0))</f>
        <v>20156.013503999999</v>
      </c>
      <c r="I320" s="10">
        <f>INDEX([1]ratio_ins!G:G,MATCH('001_population_health_zone_zs'!$B$2,[1]ratio_ins!$B:$B,0))*$G320*INDEX([1]ratio_ins!$C:$C,MATCH('001_population_health_zone_zs'!$B320,[1]ratio_ins!$B:$B,0))</f>
        <v>16491.283776000004</v>
      </c>
      <c r="J320" s="10">
        <f>INDEX([1]ratio_ins!H:H,MATCH('001_population_health_zone_zs'!$B$2,[1]ratio_ins!$B:$B,0))*$G320*INDEX([1]ratio_ins!$C:$C,MATCH('001_population_health_zone_zs'!$B320,[1]ratio_ins!$B:$B,0))</f>
        <v>13019.434560000002</v>
      </c>
      <c r="K320" s="10">
        <f>INDEX([1]ratio_ins!I:I,MATCH('001_population_health_zone_zs'!$B$2,[1]ratio_ins!$B:$B,0))*$G320*INDEX([1]ratio_ins!$C:$C,MATCH('001_population_health_zone_zs'!$B320,[1]ratio_ins!$B:$B,0))</f>
        <v>8004.5412479999995</v>
      </c>
      <c r="L320" s="10">
        <f>INDEX([1]ratio_ins!J:J,MATCH('001_population_health_zone_zs'!$B$2,[1]ratio_ins!$B:$B,0))*$G320*INDEX([1]ratio_ins!$C:$C,MATCH('001_population_health_zone_zs'!$B320,[1]ratio_ins!$B:$B,0))</f>
        <v>4802.7247487999994</v>
      </c>
      <c r="M320" s="11">
        <f>INDEX([1]ratio_ins!K:K,MATCH('001_population_health_zone_zs'!$B$2,[1]ratio_ins!$B:$B,0))*$G320*INDEX([1]ratio_ins!$C:$C,MATCH('001_population_health_zone_zs'!$B320,[1]ratio_ins!$B:$B,0))</f>
        <v>54469.456588799992</v>
      </c>
      <c r="N320" s="10">
        <f>INDEX([1]ratio_ins!L:L,MATCH('001_population_health_zone_zs'!$B$2,[1]ratio_ins!$B:$B,0))*$G320*INDEX([1]ratio_ins!$C:$C,MATCH('001_population_health_zone_zs'!$B320,[1]ratio_ins!$B:$B,0))</f>
        <v>3201.8164991999997</v>
      </c>
      <c r="O320" s="10">
        <f>INDEX([1]ratio_ins!M:M,MATCH('001_population_health_zone_zs'!$B$2,[1]ratio_ins!$B:$B,0))*$G320*INDEX([1]ratio_ins!$C:$C,MATCH('001_population_health_zone_zs'!$B320,[1]ratio_ins!$B:$B,0))</f>
        <v>6943.6984320000001</v>
      </c>
      <c r="P320" s="10">
        <f>INDEX([1]ratio_ins!N:N,MATCH('001_population_health_zone_zs'!$B$2,[1]ratio_ins!$B:$B,0))*$G320*INDEX([1]ratio_ins!$C:$C,MATCH('001_population_health_zone_zs'!$B320,[1]ratio_ins!$B:$B,0))</f>
        <v>6268.6166400000002</v>
      </c>
      <c r="Q320" s="10">
        <f>INDEX([1]ratio_ins!O:O,MATCH('001_population_health_zone_zs'!$B$2,[1]ratio_ins!$B:$B,0))*$G320*INDEX([1]ratio_ins!$C:$C,MATCH('001_population_health_zone_zs'!$B320,[1]ratio_ins!$B:$B,0))</f>
        <v>5593.5348479999993</v>
      </c>
      <c r="R320" s="10">
        <f>INDEX([1]ratio_ins!P:P,MATCH('001_population_health_zone_zs'!$B$2,[1]ratio_ins!$B:$B,0))*$G320*INDEX([1]ratio_ins!$C:$C,MATCH('001_population_health_zone_zs'!$B320,[1]ratio_ins!$B:$B,0))</f>
        <v>5497.0945919999995</v>
      </c>
      <c r="S320" s="10">
        <f>INDEX([1]ratio_ins!Q:Q,MATCH('001_population_health_zone_zs'!$B$2,[1]ratio_ins!$B:$B,0))*$G320*INDEX([1]ratio_ins!$C:$C,MATCH('001_population_health_zone_zs'!$B320,[1]ratio_ins!$B:$B,0))</f>
        <v>4629.1322880000007</v>
      </c>
      <c r="T320" s="10">
        <f>INDEX([1]ratio_ins!R:R,MATCH('001_population_health_zone_zs'!$B$2,[1]ratio_ins!$B:$B,0))*$G320*INDEX([1]ratio_ins!$C:$C,MATCH('001_population_health_zone_zs'!$B320,[1]ratio_ins!$B:$B,0))</f>
        <v>3278.9687039999999</v>
      </c>
      <c r="U320" s="10">
        <f>INDEX([1]ratio_ins!S:S,MATCH('001_population_health_zone_zs'!$B$2,[1]ratio_ins!$B:$B,0))*$G320*INDEX([1]ratio_ins!$C:$C,MATCH('001_population_health_zone_zs'!$B320,[1]ratio_ins!$B:$B,0))</f>
        <v>2603.8869120000004</v>
      </c>
      <c r="V320" s="10">
        <f>INDEX([1]ratio_ins!T:T,MATCH('001_population_health_zone_zs'!$B$2,[1]ratio_ins!$B:$B,0))*$G320*INDEX([1]ratio_ins!$C:$C,MATCH('001_population_health_zone_zs'!$B320,[1]ratio_ins!$B:$B,0))</f>
        <v>1446.6038399999998</v>
      </c>
      <c r="W320" s="11">
        <f>INDEX([1]ratio_ins!U:U,MATCH('001_population_health_zone_zs'!$B$2,[1]ratio_ins!$B:$B,0))*$G320*INDEX([1]ratio_ins!$C:$C,MATCH('001_population_health_zone_zs'!$B320,[1]ratio_ins!$B:$B,0))</f>
        <v>39463.352755200001</v>
      </c>
      <c r="X320" s="10">
        <f>INDEX([1]ratio_ins!V:V,MATCH('001_population_health_zone_zs'!$B$2,[1]ratio_ins!$B:$B,0))*$G320*INDEX([1]ratio_ins!$C:$C,MATCH('001_population_health_zone_zs'!$B320,[1]ratio_ins!$B:$B,0))</f>
        <v>1157.2830720000002</v>
      </c>
      <c r="Y320" s="10">
        <f>INDEX([1]ratio_ins!W:W,MATCH('001_population_health_zone_zs'!$B$2,[1]ratio_ins!$B:$B,0))*$G320*INDEX([1]ratio_ins!$C:$C,MATCH('001_population_health_zone_zs'!$B320,[1]ratio_ins!$B:$B,0))</f>
        <v>771.52204799999993</v>
      </c>
      <c r="Z320" s="10">
        <f>INDEX([1]ratio_ins!X:X,MATCH('001_population_health_zone_zs'!$B$2,[1]ratio_ins!$B:$B,0))*$G320*INDEX([1]ratio_ins!$C:$C,MATCH('001_population_health_zone_zs'!$B320,[1]ratio_ins!$B:$B,0))</f>
        <v>385.76102399999996</v>
      </c>
      <c r="AA320" s="10">
        <f>INDEX([1]ratio_ins!Y:Y,MATCH('001_population_health_zone_zs'!$B$2,[1]ratio_ins!$B:$B,0))*$G320*INDEX([1]ratio_ins!$C:$C,MATCH('001_population_health_zone_zs'!$B320,[1]ratio_ins!$B:$B,0))</f>
        <v>192.88051199999998</v>
      </c>
      <c r="AB320" s="11">
        <f>INDEX([1]ratio_ins!Z:Z,MATCH('001_population_health_zone_zs'!$B$2,[1]ratio_ins!$B:$B,0))*$G320*INDEX([1]ratio_ins!$C:$C,MATCH('001_population_health_zone_zs'!$B320,[1]ratio_ins!$B:$B,0))</f>
        <v>2507.4466560000005</v>
      </c>
      <c r="AC320" s="12">
        <f t="shared" si="24"/>
        <v>96440.255999999994</v>
      </c>
      <c r="AD320" s="10">
        <f>INDEX([1]ratio_ins!AA:AA,MATCH('001_population_health_zone_zs'!$B$2,[1]ratio_ins!$B:$B,0))*$G320*INDEX([1]ratio_ins!$D:$D,MATCH('001_population_health_zone_zs'!$B320,[1]ratio_ins!$B:$B,0))</f>
        <v>20994.90624</v>
      </c>
      <c r="AE320" s="10">
        <f>INDEX([1]ratio_ins!AB:AB,MATCH('001_population_health_zone_zs'!$B$2,[1]ratio_ins!$B:$B,0))*$G320*INDEX([1]ratio_ins!$D:$D,MATCH('001_population_health_zone_zs'!$B320,[1]ratio_ins!$B:$B,0))</f>
        <v>17295.803712000001</v>
      </c>
      <c r="AF320" s="10">
        <f>INDEX([1]ratio_ins!AC:AC,MATCH('001_population_health_zone_zs'!$B$2,[1]ratio_ins!$B:$B,0))*$G320*INDEX([1]ratio_ins!$D:$D,MATCH('001_population_health_zone_zs'!$B320,[1]ratio_ins!$B:$B,0))</f>
        <v>13696.676927999999</v>
      </c>
      <c r="AG320" s="10">
        <f>INDEX([1]ratio_ins!AD:AD,MATCH('001_population_health_zone_zs'!$B$2,[1]ratio_ins!$B:$B,0))*$G320*INDEX([1]ratio_ins!$D:$D,MATCH('001_population_health_zone_zs'!$B320,[1]ratio_ins!$B:$B,0))</f>
        <v>8297.9867520000007</v>
      </c>
      <c r="AH320" s="10">
        <f>INDEX([1]ratio_ins!AE:AE,MATCH('001_population_health_zone_zs'!$B$2,[1]ratio_ins!$B:$B,0))*$G320*INDEX([1]ratio_ins!$D:$D,MATCH('001_population_health_zone_zs'!$B320,[1]ratio_ins!$B:$B,0))</f>
        <v>4978.7920512000001</v>
      </c>
      <c r="AI320" s="13">
        <f>INDEX([1]ratio_ins!AF:AF,MATCH('001_population_health_zone_zs'!$B$2,[1]ratio_ins!$B:$B,0))*$G320*INDEX([1]ratio_ins!$D:$D,MATCH('001_population_health_zone_zs'!$B320,[1]ratio_ins!$B:$B,0))</f>
        <v>56966.178931199996</v>
      </c>
      <c r="AJ320" s="10">
        <f>INDEX([1]ratio_ins!AG:AG,MATCH('001_population_health_zone_zs'!$B$2,[1]ratio_ins!$B:$B,0))*$G320*INDEX([1]ratio_ins!$D:$D,MATCH('001_population_health_zone_zs'!$B320,[1]ratio_ins!$B:$B,0))</f>
        <v>3319.1947008000002</v>
      </c>
      <c r="AK320" s="10">
        <f>INDEX([1]ratio_ins!AH:AH,MATCH('001_population_health_zone_zs'!$B$2,[1]ratio_ins!$B:$B,0))*$G320*INDEX([1]ratio_ins!$D:$D,MATCH('001_population_health_zone_zs'!$B320,[1]ratio_ins!$B:$B,0))</f>
        <v>7398.2050560000007</v>
      </c>
      <c r="AL320" s="10">
        <f>INDEX([1]ratio_ins!AI:AI,MATCH('001_population_health_zone_zs'!$B$2,[1]ratio_ins!$B:$B,0))*$G320*INDEX([1]ratio_ins!$D:$D,MATCH('001_population_health_zone_zs'!$B320,[1]ratio_ins!$B:$B,0))</f>
        <v>6998.3020800000004</v>
      </c>
      <c r="AM320" s="10">
        <f>INDEX([1]ratio_ins!AJ:AJ,MATCH('001_population_health_zone_zs'!$B$2,[1]ratio_ins!$B:$B,0))*$G320*INDEX([1]ratio_ins!$D:$D,MATCH('001_population_health_zone_zs'!$B320,[1]ratio_ins!$B:$B,0))</f>
        <v>6398.4476160000004</v>
      </c>
      <c r="AN320" s="10">
        <f>INDEX([1]ratio_ins!AK:AK,MATCH('001_population_health_zone_zs'!$B$2,[1]ratio_ins!$B:$B,0))*$G320*INDEX([1]ratio_ins!$D:$D,MATCH('001_population_health_zone_zs'!$B320,[1]ratio_ins!$B:$B,0))</f>
        <v>5998.5446400000001</v>
      </c>
      <c r="AO320" s="10">
        <f>INDEX([1]ratio_ins!AL:AL,MATCH('001_population_health_zone_zs'!$B$2,[1]ratio_ins!$B:$B,0))*$G320*INDEX([1]ratio_ins!$D:$D,MATCH('001_population_health_zone_zs'!$B320,[1]ratio_ins!$B:$B,0))</f>
        <v>4498.9084800000001</v>
      </c>
      <c r="AP320" s="10">
        <f>INDEX([1]ratio_ins!AM:AM,MATCH('001_population_health_zone_zs'!$B$2,[1]ratio_ins!$B:$B,0))*$G320*INDEX([1]ratio_ins!$D:$D,MATCH('001_population_health_zone_zs'!$B320,[1]ratio_ins!$B:$B,0))</f>
        <v>2899.2965759999997</v>
      </c>
      <c r="AQ320" s="10">
        <f>INDEX([1]ratio_ins!AN:AN,MATCH('001_population_health_zone_zs'!$B$2,[1]ratio_ins!$B:$B,0))*$G320*INDEX([1]ratio_ins!$D:$D,MATCH('001_population_health_zone_zs'!$B320,[1]ratio_ins!$B:$B,0))</f>
        <v>2299.4421120000002</v>
      </c>
      <c r="AR320" s="10">
        <f>INDEX([1]ratio_ins!AO:AO,MATCH('001_population_health_zone_zs'!$B$2,[1]ratio_ins!$B:$B,0))*$G320*INDEX([1]ratio_ins!$D:$D,MATCH('001_population_health_zone_zs'!$B320,[1]ratio_ins!$B:$B,0))</f>
        <v>1099.7331839999999</v>
      </c>
      <c r="AS320" s="13">
        <f>INDEX([1]ratio_ins!AP:AP,MATCH('001_population_health_zone_zs'!$B$2,[1]ratio_ins!$B:$B,0))*$G320*INDEX([1]ratio_ins!$D:$D,MATCH('001_population_health_zone_zs'!$B320,[1]ratio_ins!$B:$B,0))</f>
        <v>40910.074444800004</v>
      </c>
      <c r="AT320" s="10">
        <f>INDEX([1]ratio_ins!AQ:AQ,MATCH('001_population_health_zone_zs'!$B$2,[1]ratio_ins!$B:$B,0))*$G320*INDEX([1]ratio_ins!$D:$D,MATCH('001_population_health_zone_zs'!$B320,[1]ratio_ins!$B:$B,0))</f>
        <v>999.75744000000009</v>
      </c>
      <c r="AU320" s="10">
        <f>INDEX([1]ratio_ins!AR:AR,MATCH('001_population_health_zone_zs'!$B$2,[1]ratio_ins!$B:$B,0))*$G320*INDEX([1]ratio_ins!$D:$D,MATCH('001_population_health_zone_zs'!$B320,[1]ratio_ins!$B:$B,0))</f>
        <v>599.85446400000001</v>
      </c>
      <c r="AV320" s="10">
        <f>INDEX([1]ratio_ins!AS:AS,MATCH('001_population_health_zone_zs'!$B$2,[1]ratio_ins!$B:$B,0))*$G320*INDEX([1]ratio_ins!$D:$D,MATCH('001_population_health_zone_zs'!$B320,[1]ratio_ins!$B:$B,0))</f>
        <v>299.927232</v>
      </c>
      <c r="AW320" s="10">
        <f>INDEX([1]ratio_ins!AT:AT,MATCH('001_population_health_zone_zs'!$B$2,[1]ratio_ins!$B:$B,0))*$G320*INDEX([1]ratio_ins!$D:$D,MATCH('001_population_health_zone_zs'!$B320,[1]ratio_ins!$B:$B,0))</f>
        <v>199.95148800000001</v>
      </c>
      <c r="AX320" s="13">
        <f>INDEX([1]ratio_ins!AU:AU,MATCH('001_population_health_zone_zs'!$B$2,[1]ratio_ins!$B:$B,0))*$G320*INDEX([1]ratio_ins!$D:$D,MATCH('001_population_health_zone_zs'!$B320,[1]ratio_ins!$B:$B,0))</f>
        <v>2099.490624</v>
      </c>
      <c r="AY320" s="14">
        <f t="shared" si="25"/>
        <v>99975.744000000006</v>
      </c>
      <c r="AZ320" s="15">
        <f t="shared" si="26"/>
        <v>196416</v>
      </c>
      <c r="BA320" s="16">
        <v>188606.88001726809</v>
      </c>
      <c r="BB320" s="10">
        <f t="shared" si="27"/>
        <v>42489.691200000001</v>
      </c>
      <c r="BC320" s="17">
        <f t="shared" si="28"/>
        <v>0.21632500000000002</v>
      </c>
      <c r="BD320" s="10">
        <f t="shared" si="29"/>
        <v>40215.586751999996</v>
      </c>
    </row>
    <row r="321" spans="1:56" x14ac:dyDescent="0.25">
      <c r="A321" s="8" t="s">
        <v>751</v>
      </c>
      <c r="B321" s="8" t="s">
        <v>752</v>
      </c>
      <c r="C321" s="8" t="s">
        <v>781</v>
      </c>
      <c r="D321" s="8" t="s">
        <v>782</v>
      </c>
      <c r="E321" s="8" t="s">
        <v>788</v>
      </c>
      <c r="F321" s="8" t="s">
        <v>789</v>
      </c>
      <c r="G321" s="9">
        <v>304764</v>
      </c>
      <c r="H321" s="10">
        <f>INDEX([1]ratio_ins!F:F,MATCH('001_population_health_zone_zs'!$B$2,[1]ratio_ins!$B:$B,0))*$G321*INDEX([1]ratio_ins!$C:$C,MATCH('001_population_health_zone_zs'!$B321,[1]ratio_ins!$B:$B,0))</f>
        <v>31274.576915999998</v>
      </c>
      <c r="I321" s="10">
        <f>INDEX([1]ratio_ins!G:G,MATCH('001_population_health_zone_zs'!$B$2,[1]ratio_ins!$B:$B,0))*$G321*INDEX([1]ratio_ins!$C:$C,MATCH('001_population_health_zone_zs'!$B321,[1]ratio_ins!$B:$B,0))</f>
        <v>25588.290204000004</v>
      </c>
      <c r="J321" s="10">
        <f>INDEX([1]ratio_ins!H:H,MATCH('001_population_health_zone_zs'!$B$2,[1]ratio_ins!$B:$B,0))*$G321*INDEX([1]ratio_ins!$C:$C,MATCH('001_population_health_zone_zs'!$B321,[1]ratio_ins!$B:$B,0))</f>
        <v>20201.281739999999</v>
      </c>
      <c r="K321" s="10">
        <f>INDEX([1]ratio_ins!I:I,MATCH('001_population_health_zone_zs'!$B$2,[1]ratio_ins!$B:$B,0))*$G321*INDEX([1]ratio_ins!$C:$C,MATCH('001_population_health_zone_zs'!$B321,[1]ratio_ins!$B:$B,0))</f>
        <v>12420.047291999999</v>
      </c>
      <c r="L321" s="10">
        <f>INDEX([1]ratio_ins!J:J,MATCH('001_population_health_zone_zs'!$B$2,[1]ratio_ins!$B:$B,0))*$G321*INDEX([1]ratio_ins!$C:$C,MATCH('001_population_health_zone_zs'!$B321,[1]ratio_ins!$B:$B,0))</f>
        <v>7452.0283751999996</v>
      </c>
      <c r="M321" s="11">
        <f>INDEX([1]ratio_ins!K:K,MATCH('001_population_health_zone_zs'!$B$2,[1]ratio_ins!$B:$B,0))*$G321*INDEX([1]ratio_ins!$C:$C,MATCH('001_population_health_zone_zs'!$B321,[1]ratio_ins!$B:$B,0))</f>
        <v>84516.177235199997</v>
      </c>
      <c r="N321" s="10">
        <f>INDEX([1]ratio_ins!L:L,MATCH('001_population_health_zone_zs'!$B$2,[1]ratio_ins!$B:$B,0))*$G321*INDEX([1]ratio_ins!$C:$C,MATCH('001_population_health_zone_zs'!$B321,[1]ratio_ins!$B:$B,0))</f>
        <v>4968.0189167999997</v>
      </c>
      <c r="O321" s="10">
        <f>INDEX([1]ratio_ins!M:M,MATCH('001_population_health_zone_zs'!$B$2,[1]ratio_ins!$B:$B,0))*$G321*INDEX([1]ratio_ins!$C:$C,MATCH('001_population_health_zone_zs'!$B321,[1]ratio_ins!$B:$B,0))</f>
        <v>10774.016928000001</v>
      </c>
      <c r="P321" s="10">
        <f>INDEX([1]ratio_ins!N:N,MATCH('001_population_health_zone_zs'!$B$2,[1]ratio_ins!$B:$B,0))*$G321*INDEX([1]ratio_ins!$C:$C,MATCH('001_population_health_zone_zs'!$B321,[1]ratio_ins!$B:$B,0))</f>
        <v>9726.54306</v>
      </c>
      <c r="Q321" s="10">
        <f>INDEX([1]ratio_ins!O:O,MATCH('001_population_health_zone_zs'!$B$2,[1]ratio_ins!$B:$B,0))*$G321*INDEX([1]ratio_ins!$C:$C,MATCH('001_population_health_zone_zs'!$B321,[1]ratio_ins!$B:$B,0))</f>
        <v>8679.069191999999</v>
      </c>
      <c r="R321" s="10">
        <f>INDEX([1]ratio_ins!P:P,MATCH('001_population_health_zone_zs'!$B$2,[1]ratio_ins!$B:$B,0))*$G321*INDEX([1]ratio_ins!$C:$C,MATCH('001_population_health_zone_zs'!$B321,[1]ratio_ins!$B:$B,0))</f>
        <v>8529.4300679999997</v>
      </c>
      <c r="S321" s="10">
        <f>INDEX([1]ratio_ins!Q:Q,MATCH('001_population_health_zone_zs'!$B$2,[1]ratio_ins!$B:$B,0))*$G321*INDEX([1]ratio_ins!$C:$C,MATCH('001_population_health_zone_zs'!$B321,[1]ratio_ins!$B:$B,0))</f>
        <v>7182.677952</v>
      </c>
      <c r="T321" s="10">
        <f>INDEX([1]ratio_ins!R:R,MATCH('001_population_health_zone_zs'!$B$2,[1]ratio_ins!$B:$B,0))*$G321*INDEX([1]ratio_ins!$C:$C,MATCH('001_population_health_zone_zs'!$B321,[1]ratio_ins!$B:$B,0))</f>
        <v>5087.7302159999999</v>
      </c>
      <c r="U321" s="10">
        <f>INDEX([1]ratio_ins!S:S,MATCH('001_population_health_zone_zs'!$B$2,[1]ratio_ins!$B:$B,0))*$G321*INDEX([1]ratio_ins!$C:$C,MATCH('001_population_health_zone_zs'!$B321,[1]ratio_ins!$B:$B,0))</f>
        <v>4040.2563480000003</v>
      </c>
      <c r="V321" s="10">
        <f>INDEX([1]ratio_ins!T:T,MATCH('001_population_health_zone_zs'!$B$2,[1]ratio_ins!$B:$B,0))*$G321*INDEX([1]ratio_ins!$C:$C,MATCH('001_population_health_zone_zs'!$B321,[1]ratio_ins!$B:$B,0))</f>
        <v>2244.5868599999999</v>
      </c>
      <c r="W321" s="11">
        <f>INDEX([1]ratio_ins!U:U,MATCH('001_population_health_zone_zs'!$B$2,[1]ratio_ins!$B:$B,0))*$G321*INDEX([1]ratio_ins!$C:$C,MATCH('001_population_health_zone_zs'!$B321,[1]ratio_ins!$B:$B,0))</f>
        <v>61232.329540800005</v>
      </c>
      <c r="X321" s="10">
        <f>INDEX([1]ratio_ins!V:V,MATCH('001_population_health_zone_zs'!$B$2,[1]ratio_ins!$B:$B,0))*$G321*INDEX([1]ratio_ins!$C:$C,MATCH('001_population_health_zone_zs'!$B321,[1]ratio_ins!$B:$B,0))</f>
        <v>1795.669488</v>
      </c>
      <c r="Y321" s="10">
        <f>INDEX([1]ratio_ins!W:W,MATCH('001_population_health_zone_zs'!$B$2,[1]ratio_ins!$B:$B,0))*$G321*INDEX([1]ratio_ins!$C:$C,MATCH('001_population_health_zone_zs'!$B321,[1]ratio_ins!$B:$B,0))</f>
        <v>1197.1129920000001</v>
      </c>
      <c r="Z321" s="10">
        <f>INDEX([1]ratio_ins!X:X,MATCH('001_population_health_zone_zs'!$B$2,[1]ratio_ins!$B:$B,0))*$G321*INDEX([1]ratio_ins!$C:$C,MATCH('001_population_health_zone_zs'!$B321,[1]ratio_ins!$B:$B,0))</f>
        <v>598.55649600000004</v>
      </c>
      <c r="AA321" s="10">
        <f>INDEX([1]ratio_ins!Y:Y,MATCH('001_population_health_zone_zs'!$B$2,[1]ratio_ins!$B:$B,0))*$G321*INDEX([1]ratio_ins!$C:$C,MATCH('001_population_health_zone_zs'!$B321,[1]ratio_ins!$B:$B,0))</f>
        <v>299.27824800000002</v>
      </c>
      <c r="AB321" s="11">
        <f>INDEX([1]ratio_ins!Z:Z,MATCH('001_population_health_zone_zs'!$B$2,[1]ratio_ins!$B:$B,0))*$G321*INDEX([1]ratio_ins!$C:$C,MATCH('001_population_health_zone_zs'!$B321,[1]ratio_ins!$B:$B,0))</f>
        <v>3890.6172240000001</v>
      </c>
      <c r="AC321" s="12">
        <f t="shared" si="24"/>
        <v>149639.12399999998</v>
      </c>
      <c r="AD321" s="10">
        <f>INDEX([1]ratio_ins!AA:AA,MATCH('001_population_health_zone_zs'!$B$2,[1]ratio_ins!$B:$B,0))*$G321*INDEX([1]ratio_ins!$D:$D,MATCH('001_population_health_zone_zs'!$B321,[1]ratio_ins!$B:$B,0))</f>
        <v>32576.223959999999</v>
      </c>
      <c r="AE321" s="10">
        <f>INDEX([1]ratio_ins!AB:AB,MATCH('001_population_health_zone_zs'!$B$2,[1]ratio_ins!$B:$B,0))*$G321*INDEX([1]ratio_ins!$D:$D,MATCH('001_population_health_zone_zs'!$B321,[1]ratio_ins!$B:$B,0))</f>
        <v>26836.603548000003</v>
      </c>
      <c r="AF321" s="10">
        <f>INDEX([1]ratio_ins!AC:AC,MATCH('001_population_health_zone_zs'!$B$2,[1]ratio_ins!$B:$B,0))*$G321*INDEX([1]ratio_ins!$D:$D,MATCH('001_population_health_zone_zs'!$B321,[1]ratio_ins!$B:$B,0))</f>
        <v>21252.108012000001</v>
      </c>
      <c r="AG321" s="10">
        <f>INDEX([1]ratio_ins!AD:AD,MATCH('001_population_health_zone_zs'!$B$2,[1]ratio_ins!$B:$B,0))*$G321*INDEX([1]ratio_ins!$D:$D,MATCH('001_population_health_zone_zs'!$B321,[1]ratio_ins!$B:$B,0))</f>
        <v>12875.364708000001</v>
      </c>
      <c r="AH321" s="10">
        <f>INDEX([1]ratio_ins!AE:AE,MATCH('001_population_health_zone_zs'!$B$2,[1]ratio_ins!$B:$B,0))*$G321*INDEX([1]ratio_ins!$D:$D,MATCH('001_population_health_zone_zs'!$B321,[1]ratio_ins!$B:$B,0))</f>
        <v>7725.2188248000002</v>
      </c>
      <c r="AI321" s="13">
        <f>INDEX([1]ratio_ins!AF:AF,MATCH('001_population_health_zone_zs'!$B$2,[1]ratio_ins!$B:$B,0))*$G321*INDEX([1]ratio_ins!$D:$D,MATCH('001_population_health_zone_zs'!$B321,[1]ratio_ins!$B:$B,0))</f>
        <v>88390.154344799987</v>
      </c>
      <c r="AJ321" s="10">
        <f>INDEX([1]ratio_ins!AG:AG,MATCH('001_population_health_zone_zs'!$B$2,[1]ratio_ins!$B:$B,0))*$G321*INDEX([1]ratio_ins!$D:$D,MATCH('001_population_health_zone_zs'!$B321,[1]ratio_ins!$B:$B,0))</f>
        <v>5150.1458832000008</v>
      </c>
      <c r="AK321" s="10">
        <f>INDEX([1]ratio_ins!AH:AH,MATCH('001_population_health_zone_zs'!$B$2,[1]ratio_ins!$B:$B,0))*$G321*INDEX([1]ratio_ins!$D:$D,MATCH('001_population_health_zone_zs'!$B321,[1]ratio_ins!$B:$B,0))</f>
        <v>11479.240824000002</v>
      </c>
      <c r="AL321" s="10">
        <f>INDEX([1]ratio_ins!AI:AI,MATCH('001_population_health_zone_zs'!$B$2,[1]ratio_ins!$B:$B,0))*$G321*INDEX([1]ratio_ins!$D:$D,MATCH('001_population_health_zone_zs'!$B321,[1]ratio_ins!$B:$B,0))</f>
        <v>10858.741320000001</v>
      </c>
      <c r="AM321" s="10">
        <f>INDEX([1]ratio_ins!AJ:AJ,MATCH('001_population_health_zone_zs'!$B$2,[1]ratio_ins!$B:$B,0))*$G321*INDEX([1]ratio_ins!$D:$D,MATCH('001_population_health_zone_zs'!$B321,[1]ratio_ins!$B:$B,0))</f>
        <v>9927.992064</v>
      </c>
      <c r="AN321" s="10">
        <f>INDEX([1]ratio_ins!AK:AK,MATCH('001_population_health_zone_zs'!$B$2,[1]ratio_ins!$B:$B,0))*$G321*INDEX([1]ratio_ins!$D:$D,MATCH('001_population_health_zone_zs'!$B321,[1]ratio_ins!$B:$B,0))</f>
        <v>9307.4925600000006</v>
      </c>
      <c r="AO321" s="10">
        <f>INDEX([1]ratio_ins!AL:AL,MATCH('001_population_health_zone_zs'!$B$2,[1]ratio_ins!$B:$B,0))*$G321*INDEX([1]ratio_ins!$D:$D,MATCH('001_population_health_zone_zs'!$B321,[1]ratio_ins!$B:$B,0))</f>
        <v>6980.61942</v>
      </c>
      <c r="AP321" s="10">
        <f>INDEX([1]ratio_ins!AM:AM,MATCH('001_population_health_zone_zs'!$B$2,[1]ratio_ins!$B:$B,0))*$G321*INDEX([1]ratio_ins!$D:$D,MATCH('001_population_health_zone_zs'!$B321,[1]ratio_ins!$B:$B,0))</f>
        <v>4498.6214039999995</v>
      </c>
      <c r="AQ321" s="10">
        <f>INDEX([1]ratio_ins!AN:AN,MATCH('001_population_health_zone_zs'!$B$2,[1]ratio_ins!$B:$B,0))*$G321*INDEX([1]ratio_ins!$D:$D,MATCH('001_population_health_zone_zs'!$B321,[1]ratio_ins!$B:$B,0))</f>
        <v>3567.8721479999999</v>
      </c>
      <c r="AR321" s="10">
        <f>INDEX([1]ratio_ins!AO:AO,MATCH('001_population_health_zone_zs'!$B$2,[1]ratio_ins!$B:$B,0))*$G321*INDEX([1]ratio_ins!$D:$D,MATCH('001_population_health_zone_zs'!$B321,[1]ratio_ins!$B:$B,0))</f>
        <v>1706.3736360000003</v>
      </c>
      <c r="AS321" s="13">
        <f>INDEX([1]ratio_ins!AP:AP,MATCH('001_population_health_zone_zs'!$B$2,[1]ratio_ins!$B:$B,0))*$G321*INDEX([1]ratio_ins!$D:$D,MATCH('001_population_health_zone_zs'!$B321,[1]ratio_ins!$B:$B,0))</f>
        <v>63477.099259200004</v>
      </c>
      <c r="AT321" s="10">
        <f>INDEX([1]ratio_ins!AQ:AQ,MATCH('001_population_health_zone_zs'!$B$2,[1]ratio_ins!$B:$B,0))*$G321*INDEX([1]ratio_ins!$D:$D,MATCH('001_population_health_zone_zs'!$B321,[1]ratio_ins!$B:$B,0))</f>
        <v>1551.2487599999999</v>
      </c>
      <c r="AU321" s="10">
        <f>INDEX([1]ratio_ins!AR:AR,MATCH('001_population_health_zone_zs'!$B$2,[1]ratio_ins!$B:$B,0))*$G321*INDEX([1]ratio_ins!$D:$D,MATCH('001_population_health_zone_zs'!$B321,[1]ratio_ins!$B:$B,0))</f>
        <v>930.74925600000006</v>
      </c>
      <c r="AV321" s="10">
        <f>INDEX([1]ratio_ins!AS:AS,MATCH('001_population_health_zone_zs'!$B$2,[1]ratio_ins!$B:$B,0))*$G321*INDEX([1]ratio_ins!$D:$D,MATCH('001_population_health_zone_zs'!$B321,[1]ratio_ins!$B:$B,0))</f>
        <v>465.37462800000003</v>
      </c>
      <c r="AW321" s="10">
        <f>INDEX([1]ratio_ins!AT:AT,MATCH('001_population_health_zone_zs'!$B$2,[1]ratio_ins!$B:$B,0))*$G321*INDEX([1]ratio_ins!$D:$D,MATCH('001_population_health_zone_zs'!$B321,[1]ratio_ins!$B:$B,0))</f>
        <v>310.249752</v>
      </c>
      <c r="AX321" s="13">
        <f>INDEX([1]ratio_ins!AU:AU,MATCH('001_population_health_zone_zs'!$B$2,[1]ratio_ins!$B:$B,0))*$G321*INDEX([1]ratio_ins!$D:$D,MATCH('001_population_health_zone_zs'!$B321,[1]ratio_ins!$B:$B,0))</f>
        <v>3257.6223959999993</v>
      </c>
      <c r="AY321" s="14">
        <f t="shared" si="25"/>
        <v>155124.87599999999</v>
      </c>
      <c r="AZ321" s="15">
        <f t="shared" si="26"/>
        <v>304764</v>
      </c>
      <c r="BA321" s="16">
        <v>292647.37541534682</v>
      </c>
      <c r="BB321" s="10">
        <f t="shared" si="27"/>
        <v>65928.0723</v>
      </c>
      <c r="BC321" s="17">
        <f t="shared" si="28"/>
        <v>0.21632499999999999</v>
      </c>
      <c r="BD321" s="10">
        <f t="shared" si="29"/>
        <v>62399.514707999988</v>
      </c>
    </row>
    <row r="322" spans="1:56" x14ac:dyDescent="0.25">
      <c r="A322" s="8" t="s">
        <v>751</v>
      </c>
      <c r="B322" s="8" t="s">
        <v>752</v>
      </c>
      <c r="C322" s="8" t="s">
        <v>790</v>
      </c>
      <c r="D322" s="8" t="s">
        <v>791</v>
      </c>
      <c r="E322" s="8" t="s">
        <v>790</v>
      </c>
      <c r="F322" s="8" t="s">
        <v>792</v>
      </c>
      <c r="G322" s="9">
        <v>325888</v>
      </c>
      <c r="H322" s="10">
        <f>INDEX([1]ratio_ins!F:F,MATCH('001_population_health_zone_zs'!$B$2,[1]ratio_ins!$B:$B,0))*$G322*INDEX([1]ratio_ins!$C:$C,MATCH('001_population_health_zone_zs'!$B322,[1]ratio_ins!$B:$B,0))</f>
        <v>33442.300672000005</v>
      </c>
      <c r="I322" s="10">
        <f>INDEX([1]ratio_ins!G:G,MATCH('001_population_health_zone_zs'!$B$2,[1]ratio_ins!$B:$B,0))*$G322*INDEX([1]ratio_ins!$C:$C,MATCH('001_population_health_zone_zs'!$B322,[1]ratio_ins!$B:$B,0))</f>
        <v>27361.882368000002</v>
      </c>
      <c r="J322" s="10">
        <f>INDEX([1]ratio_ins!H:H,MATCH('001_population_health_zone_zs'!$B$2,[1]ratio_ins!$B:$B,0))*$G322*INDEX([1]ratio_ins!$C:$C,MATCH('001_population_health_zone_zs'!$B322,[1]ratio_ins!$B:$B,0))</f>
        <v>21601.486080000002</v>
      </c>
      <c r="K322" s="10">
        <f>INDEX([1]ratio_ins!I:I,MATCH('001_population_health_zone_zs'!$B$2,[1]ratio_ins!$B:$B,0))*$G322*INDEX([1]ratio_ins!$C:$C,MATCH('001_population_health_zone_zs'!$B322,[1]ratio_ins!$B:$B,0))</f>
        <v>13280.913664</v>
      </c>
      <c r="L322" s="10">
        <f>INDEX([1]ratio_ins!J:J,MATCH('001_population_health_zone_zs'!$B$2,[1]ratio_ins!$B:$B,0))*$G322*INDEX([1]ratio_ins!$C:$C,MATCH('001_population_health_zone_zs'!$B322,[1]ratio_ins!$B:$B,0))</f>
        <v>7968.5481983999989</v>
      </c>
      <c r="M322" s="11">
        <f>INDEX([1]ratio_ins!K:K,MATCH('001_population_health_zone_zs'!$B$2,[1]ratio_ins!$B:$B,0))*$G322*INDEX([1]ratio_ins!$C:$C,MATCH('001_population_health_zone_zs'!$B322,[1]ratio_ins!$B:$B,0))</f>
        <v>90374.217318399984</v>
      </c>
      <c r="N322" s="10">
        <f>INDEX([1]ratio_ins!L:L,MATCH('001_population_health_zone_zs'!$B$2,[1]ratio_ins!$B:$B,0))*$G322*INDEX([1]ratio_ins!$C:$C,MATCH('001_population_health_zone_zs'!$B322,[1]ratio_ins!$B:$B,0))</f>
        <v>5312.3654656000008</v>
      </c>
      <c r="O322" s="10">
        <f>INDEX([1]ratio_ins!M:M,MATCH('001_population_health_zone_zs'!$B$2,[1]ratio_ins!$B:$B,0))*$G322*INDEX([1]ratio_ins!$C:$C,MATCH('001_population_health_zone_zs'!$B322,[1]ratio_ins!$B:$B,0))</f>
        <v>11520.792576</v>
      </c>
      <c r="P322" s="10">
        <f>INDEX([1]ratio_ins!N:N,MATCH('001_population_health_zone_zs'!$B$2,[1]ratio_ins!$B:$B,0))*$G322*INDEX([1]ratio_ins!$C:$C,MATCH('001_population_health_zone_zs'!$B322,[1]ratio_ins!$B:$B,0))</f>
        <v>10400.71552</v>
      </c>
      <c r="Q322" s="10">
        <f>INDEX([1]ratio_ins!O:O,MATCH('001_population_health_zone_zs'!$B$2,[1]ratio_ins!$B:$B,0))*$G322*INDEX([1]ratio_ins!$C:$C,MATCH('001_population_health_zone_zs'!$B322,[1]ratio_ins!$B:$B,0))</f>
        <v>9280.6384639999978</v>
      </c>
      <c r="R322" s="10">
        <f>INDEX([1]ratio_ins!P:P,MATCH('001_population_health_zone_zs'!$B$2,[1]ratio_ins!$B:$B,0))*$G322*INDEX([1]ratio_ins!$C:$C,MATCH('001_population_health_zone_zs'!$B322,[1]ratio_ins!$B:$B,0))</f>
        <v>9120.6274560000002</v>
      </c>
      <c r="S322" s="10">
        <f>INDEX([1]ratio_ins!Q:Q,MATCH('001_population_health_zone_zs'!$B$2,[1]ratio_ins!$B:$B,0))*$G322*INDEX([1]ratio_ins!$C:$C,MATCH('001_population_health_zone_zs'!$B322,[1]ratio_ins!$B:$B,0))</f>
        <v>7680.5283840000002</v>
      </c>
      <c r="T322" s="10">
        <f>INDEX([1]ratio_ins!R:R,MATCH('001_population_health_zone_zs'!$B$2,[1]ratio_ins!$B:$B,0))*$G322*INDEX([1]ratio_ins!$C:$C,MATCH('001_population_health_zone_zs'!$B322,[1]ratio_ins!$B:$B,0))</f>
        <v>5440.374272</v>
      </c>
      <c r="U322" s="10">
        <f>INDEX([1]ratio_ins!S:S,MATCH('001_population_health_zone_zs'!$B$2,[1]ratio_ins!$B:$B,0))*$G322*INDEX([1]ratio_ins!$C:$C,MATCH('001_population_health_zone_zs'!$B322,[1]ratio_ins!$B:$B,0))</f>
        <v>4320.2972159999999</v>
      </c>
      <c r="V322" s="10">
        <f>INDEX([1]ratio_ins!T:T,MATCH('001_population_health_zone_zs'!$B$2,[1]ratio_ins!$B:$B,0))*$G322*INDEX([1]ratio_ins!$C:$C,MATCH('001_population_health_zone_zs'!$B322,[1]ratio_ins!$B:$B,0))</f>
        <v>2400.1651199999997</v>
      </c>
      <c r="W322" s="11">
        <f>INDEX([1]ratio_ins!U:U,MATCH('001_population_health_zone_zs'!$B$2,[1]ratio_ins!$B:$B,0))*$G322*INDEX([1]ratio_ins!$C:$C,MATCH('001_population_health_zone_zs'!$B322,[1]ratio_ins!$B:$B,0))</f>
        <v>65476.504473599998</v>
      </c>
      <c r="X322" s="10">
        <f>INDEX([1]ratio_ins!V:V,MATCH('001_population_health_zone_zs'!$B$2,[1]ratio_ins!$B:$B,0))*$G322*INDEX([1]ratio_ins!$C:$C,MATCH('001_population_health_zone_zs'!$B322,[1]ratio_ins!$B:$B,0))</f>
        <v>1920.132096</v>
      </c>
      <c r="Y322" s="10">
        <f>INDEX([1]ratio_ins!W:W,MATCH('001_population_health_zone_zs'!$B$2,[1]ratio_ins!$B:$B,0))*$G322*INDEX([1]ratio_ins!$C:$C,MATCH('001_population_health_zone_zs'!$B322,[1]ratio_ins!$B:$B,0))</f>
        <v>1280.088064</v>
      </c>
      <c r="Z322" s="10">
        <f>INDEX([1]ratio_ins!X:X,MATCH('001_population_health_zone_zs'!$B$2,[1]ratio_ins!$B:$B,0))*$G322*INDEX([1]ratio_ins!$C:$C,MATCH('001_population_health_zone_zs'!$B322,[1]ratio_ins!$B:$B,0))</f>
        <v>640.04403200000002</v>
      </c>
      <c r="AA322" s="10">
        <f>INDEX([1]ratio_ins!Y:Y,MATCH('001_population_health_zone_zs'!$B$2,[1]ratio_ins!$B:$B,0))*$G322*INDEX([1]ratio_ins!$C:$C,MATCH('001_population_health_zone_zs'!$B322,[1]ratio_ins!$B:$B,0))</f>
        <v>320.02201600000001</v>
      </c>
      <c r="AB322" s="11">
        <f>INDEX([1]ratio_ins!Z:Z,MATCH('001_population_health_zone_zs'!$B$2,[1]ratio_ins!$B:$B,0))*$G322*INDEX([1]ratio_ins!$C:$C,MATCH('001_population_health_zone_zs'!$B322,[1]ratio_ins!$B:$B,0))</f>
        <v>4160.2862080000004</v>
      </c>
      <c r="AC322" s="12">
        <f t="shared" si="24"/>
        <v>160011.008</v>
      </c>
      <c r="AD322" s="10">
        <f>INDEX([1]ratio_ins!AA:AA,MATCH('001_population_health_zone_zs'!$B$2,[1]ratio_ins!$B:$B,0))*$G322*INDEX([1]ratio_ins!$D:$D,MATCH('001_population_health_zone_zs'!$B322,[1]ratio_ins!$B:$B,0))</f>
        <v>34834.168319999997</v>
      </c>
      <c r="AE322" s="10">
        <f>INDEX([1]ratio_ins!AB:AB,MATCH('001_population_health_zone_zs'!$B$2,[1]ratio_ins!$B:$B,0))*$G322*INDEX([1]ratio_ins!$D:$D,MATCH('001_population_health_zone_zs'!$B322,[1]ratio_ins!$B:$B,0))</f>
        <v>28696.719616000002</v>
      </c>
      <c r="AF322" s="10">
        <f>INDEX([1]ratio_ins!AC:AC,MATCH('001_population_health_zone_zs'!$B$2,[1]ratio_ins!$B:$B,0))*$G322*INDEX([1]ratio_ins!$D:$D,MATCH('001_population_health_zone_zs'!$B322,[1]ratio_ins!$B:$B,0))</f>
        <v>22725.147903999998</v>
      </c>
      <c r="AG322" s="10">
        <f>INDEX([1]ratio_ins!AD:AD,MATCH('001_population_health_zone_zs'!$B$2,[1]ratio_ins!$B:$B,0))*$G322*INDEX([1]ratio_ins!$D:$D,MATCH('001_population_health_zone_zs'!$B322,[1]ratio_ins!$B:$B,0))</f>
        <v>13767.790336000002</v>
      </c>
      <c r="AH322" s="10">
        <f>INDEX([1]ratio_ins!AE:AE,MATCH('001_population_health_zone_zs'!$B$2,[1]ratio_ins!$B:$B,0))*$G322*INDEX([1]ratio_ins!$D:$D,MATCH('001_population_health_zone_zs'!$B322,[1]ratio_ins!$B:$B,0))</f>
        <v>8260.6742015999989</v>
      </c>
      <c r="AI322" s="13">
        <f>INDEX([1]ratio_ins!AF:AF,MATCH('001_population_health_zone_zs'!$B$2,[1]ratio_ins!$B:$B,0))*$G322*INDEX([1]ratio_ins!$D:$D,MATCH('001_population_health_zone_zs'!$B322,[1]ratio_ins!$B:$B,0))</f>
        <v>94516.710041599988</v>
      </c>
      <c r="AJ322" s="10">
        <f>INDEX([1]ratio_ins!AG:AG,MATCH('001_population_health_zone_zs'!$B$2,[1]ratio_ins!$B:$B,0))*$G322*INDEX([1]ratio_ins!$D:$D,MATCH('001_population_health_zone_zs'!$B322,[1]ratio_ins!$B:$B,0))</f>
        <v>5507.1161344000002</v>
      </c>
      <c r="AK322" s="10">
        <f>INDEX([1]ratio_ins!AH:AH,MATCH('001_population_health_zone_zs'!$B$2,[1]ratio_ins!$B:$B,0))*$G322*INDEX([1]ratio_ins!$D:$D,MATCH('001_population_health_zone_zs'!$B322,[1]ratio_ins!$B:$B,0))</f>
        <v>12274.897408000003</v>
      </c>
      <c r="AL322" s="10">
        <f>INDEX([1]ratio_ins!AI:AI,MATCH('001_population_health_zone_zs'!$B$2,[1]ratio_ins!$B:$B,0))*$G322*INDEX([1]ratio_ins!$D:$D,MATCH('001_population_health_zone_zs'!$B322,[1]ratio_ins!$B:$B,0))</f>
        <v>11611.389440000003</v>
      </c>
      <c r="AM322" s="10">
        <f>INDEX([1]ratio_ins!AJ:AJ,MATCH('001_population_health_zone_zs'!$B$2,[1]ratio_ins!$B:$B,0))*$G322*INDEX([1]ratio_ins!$D:$D,MATCH('001_population_health_zone_zs'!$B322,[1]ratio_ins!$B:$B,0))</f>
        <v>10616.127488000002</v>
      </c>
      <c r="AN322" s="10">
        <f>INDEX([1]ratio_ins!AK:AK,MATCH('001_population_health_zone_zs'!$B$2,[1]ratio_ins!$B:$B,0))*$G322*INDEX([1]ratio_ins!$D:$D,MATCH('001_population_health_zone_zs'!$B322,[1]ratio_ins!$B:$B,0))</f>
        <v>9952.6195200000002</v>
      </c>
      <c r="AO322" s="10">
        <f>INDEX([1]ratio_ins!AL:AL,MATCH('001_population_health_zone_zs'!$B$2,[1]ratio_ins!$B:$B,0))*$G322*INDEX([1]ratio_ins!$D:$D,MATCH('001_population_health_zone_zs'!$B322,[1]ratio_ins!$B:$B,0))</f>
        <v>7464.4646399999992</v>
      </c>
      <c r="AP322" s="10">
        <f>INDEX([1]ratio_ins!AM:AM,MATCH('001_population_health_zone_zs'!$B$2,[1]ratio_ins!$B:$B,0))*$G322*INDEX([1]ratio_ins!$D:$D,MATCH('001_population_health_zone_zs'!$B322,[1]ratio_ins!$B:$B,0))</f>
        <v>4810.4327679999997</v>
      </c>
      <c r="AQ322" s="10">
        <f>INDEX([1]ratio_ins!AN:AN,MATCH('001_population_health_zone_zs'!$B$2,[1]ratio_ins!$B:$B,0))*$G322*INDEX([1]ratio_ins!$D:$D,MATCH('001_population_health_zone_zs'!$B322,[1]ratio_ins!$B:$B,0))</f>
        <v>3815.1708159999998</v>
      </c>
      <c r="AR322" s="10">
        <f>INDEX([1]ratio_ins!AO:AO,MATCH('001_population_health_zone_zs'!$B$2,[1]ratio_ins!$B:$B,0))*$G322*INDEX([1]ratio_ins!$D:$D,MATCH('001_population_health_zone_zs'!$B322,[1]ratio_ins!$B:$B,0))</f>
        <v>1824.6469120000004</v>
      </c>
      <c r="AS322" s="13">
        <f>INDEX([1]ratio_ins!AP:AP,MATCH('001_population_health_zone_zs'!$B$2,[1]ratio_ins!$B:$B,0))*$G322*INDEX([1]ratio_ins!$D:$D,MATCH('001_population_health_zone_zs'!$B322,[1]ratio_ins!$B:$B,0))</f>
        <v>67876.865126400007</v>
      </c>
      <c r="AT322" s="10">
        <f>INDEX([1]ratio_ins!AQ:AQ,MATCH('001_population_health_zone_zs'!$B$2,[1]ratio_ins!$B:$B,0))*$G322*INDEX([1]ratio_ins!$D:$D,MATCH('001_population_health_zone_zs'!$B322,[1]ratio_ins!$B:$B,0))</f>
        <v>1658.7699200000002</v>
      </c>
      <c r="AU322" s="10">
        <f>INDEX([1]ratio_ins!AR:AR,MATCH('001_population_health_zone_zs'!$B$2,[1]ratio_ins!$B:$B,0))*$G322*INDEX([1]ratio_ins!$D:$D,MATCH('001_population_health_zone_zs'!$B322,[1]ratio_ins!$B:$B,0))</f>
        <v>995.26195199999995</v>
      </c>
      <c r="AV322" s="10">
        <f>INDEX([1]ratio_ins!AS:AS,MATCH('001_population_health_zone_zs'!$B$2,[1]ratio_ins!$B:$B,0))*$G322*INDEX([1]ratio_ins!$D:$D,MATCH('001_population_health_zone_zs'!$B322,[1]ratio_ins!$B:$B,0))</f>
        <v>497.63097599999998</v>
      </c>
      <c r="AW322" s="10">
        <f>INDEX([1]ratio_ins!AT:AT,MATCH('001_population_health_zone_zs'!$B$2,[1]ratio_ins!$B:$B,0))*$G322*INDEX([1]ratio_ins!$D:$D,MATCH('001_population_health_zone_zs'!$B322,[1]ratio_ins!$B:$B,0))</f>
        <v>331.75398400000006</v>
      </c>
      <c r="AX322" s="13">
        <f>INDEX([1]ratio_ins!AU:AU,MATCH('001_population_health_zone_zs'!$B$2,[1]ratio_ins!$B:$B,0))*$G322*INDEX([1]ratio_ins!$D:$D,MATCH('001_population_health_zone_zs'!$B322,[1]ratio_ins!$B:$B,0))</f>
        <v>3483.4168319999999</v>
      </c>
      <c r="AY322" s="14">
        <f t="shared" si="25"/>
        <v>165876.992</v>
      </c>
      <c r="AZ322" s="15">
        <f t="shared" si="26"/>
        <v>325888</v>
      </c>
      <c r="BA322" s="16">
        <v>312932.18606244371</v>
      </c>
      <c r="BB322" s="10">
        <f t="shared" si="27"/>
        <v>70497.721600000004</v>
      </c>
      <c r="BC322" s="17">
        <f t="shared" si="28"/>
        <v>0.21632500000000002</v>
      </c>
      <c r="BD322" s="10">
        <f t="shared" si="29"/>
        <v>66724.590335999994</v>
      </c>
    </row>
    <row r="323" spans="1:56" x14ac:dyDescent="0.25">
      <c r="A323" s="8" t="s">
        <v>751</v>
      </c>
      <c r="B323" s="8" t="s">
        <v>752</v>
      </c>
      <c r="C323" s="8" t="s">
        <v>793</v>
      </c>
      <c r="D323" s="8" t="s">
        <v>794</v>
      </c>
      <c r="E323" s="8" t="s">
        <v>795</v>
      </c>
      <c r="F323" s="8" t="s">
        <v>796</v>
      </c>
      <c r="G323" s="9">
        <v>148678</v>
      </c>
      <c r="H323" s="10">
        <f>INDEX([1]ratio_ins!F:F,MATCH('001_population_health_zone_zs'!$B$2,[1]ratio_ins!$B:$B,0))*$G323*INDEX([1]ratio_ins!$C:$C,MATCH('001_population_health_zone_zs'!$B323,[1]ratio_ins!$B:$B,0))</f>
        <v>15257.187681999998</v>
      </c>
      <c r="I323" s="10">
        <f>INDEX([1]ratio_ins!G:G,MATCH('001_population_health_zone_zs'!$B$2,[1]ratio_ins!$B:$B,0))*$G323*INDEX([1]ratio_ins!$C:$C,MATCH('001_population_health_zone_zs'!$B323,[1]ratio_ins!$B:$B,0))</f>
        <v>12483.153558</v>
      </c>
      <c r="J323" s="10">
        <f>INDEX([1]ratio_ins!H:H,MATCH('001_population_health_zone_zs'!$B$2,[1]ratio_ins!$B:$B,0))*$G323*INDEX([1]ratio_ins!$C:$C,MATCH('001_population_health_zone_zs'!$B323,[1]ratio_ins!$B:$B,0))</f>
        <v>9855.1212300000007</v>
      </c>
      <c r="K323" s="10">
        <f>INDEX([1]ratio_ins!I:I,MATCH('001_population_health_zone_zs'!$B$2,[1]ratio_ins!$B:$B,0))*$G323*INDEX([1]ratio_ins!$C:$C,MATCH('001_population_health_zone_zs'!$B323,[1]ratio_ins!$B:$B,0))</f>
        <v>6059.0745340000003</v>
      </c>
      <c r="L323" s="10">
        <f>INDEX([1]ratio_ins!J:J,MATCH('001_population_health_zone_zs'!$B$2,[1]ratio_ins!$B:$B,0))*$G323*INDEX([1]ratio_ins!$C:$C,MATCH('001_population_health_zone_zs'!$B323,[1]ratio_ins!$B:$B,0))</f>
        <v>3635.4447203999998</v>
      </c>
      <c r="M323" s="11">
        <f>INDEX([1]ratio_ins!K:K,MATCH('001_population_health_zone_zs'!$B$2,[1]ratio_ins!$B:$B,0))*$G323*INDEX([1]ratio_ins!$C:$C,MATCH('001_population_health_zone_zs'!$B323,[1]ratio_ins!$B:$B,0))</f>
        <v>41230.907190399994</v>
      </c>
      <c r="N323" s="10">
        <f>INDEX([1]ratio_ins!L:L,MATCH('001_population_health_zone_zs'!$B$2,[1]ratio_ins!$B:$B,0))*$G323*INDEX([1]ratio_ins!$C:$C,MATCH('001_population_health_zone_zs'!$B323,[1]ratio_ins!$B:$B,0))</f>
        <v>2423.6298136</v>
      </c>
      <c r="O323" s="10">
        <f>INDEX([1]ratio_ins!M:M,MATCH('001_population_health_zone_zs'!$B$2,[1]ratio_ins!$B:$B,0))*$G323*INDEX([1]ratio_ins!$C:$C,MATCH('001_population_health_zone_zs'!$B323,[1]ratio_ins!$B:$B,0))</f>
        <v>5256.0646560000005</v>
      </c>
      <c r="P323" s="10">
        <f>INDEX([1]ratio_ins!N:N,MATCH('001_population_health_zone_zs'!$B$2,[1]ratio_ins!$B:$B,0))*$G323*INDEX([1]ratio_ins!$C:$C,MATCH('001_population_health_zone_zs'!$B323,[1]ratio_ins!$B:$B,0))</f>
        <v>4745.0583699999997</v>
      </c>
      <c r="Q323" s="10">
        <f>INDEX([1]ratio_ins!O:O,MATCH('001_population_health_zone_zs'!$B$2,[1]ratio_ins!$B:$B,0))*$G323*INDEX([1]ratio_ins!$C:$C,MATCH('001_population_health_zone_zs'!$B323,[1]ratio_ins!$B:$B,0))</f>
        <v>4234.052083999999</v>
      </c>
      <c r="R323" s="10">
        <f>INDEX([1]ratio_ins!P:P,MATCH('001_population_health_zone_zs'!$B$2,[1]ratio_ins!$B:$B,0))*$G323*INDEX([1]ratio_ins!$C:$C,MATCH('001_population_health_zone_zs'!$B323,[1]ratio_ins!$B:$B,0))</f>
        <v>4161.0511860000006</v>
      </c>
      <c r="S323" s="10">
        <f>INDEX([1]ratio_ins!Q:Q,MATCH('001_population_health_zone_zs'!$B$2,[1]ratio_ins!$B:$B,0))*$G323*INDEX([1]ratio_ins!$C:$C,MATCH('001_population_health_zone_zs'!$B323,[1]ratio_ins!$B:$B,0))</f>
        <v>3504.0431039999999</v>
      </c>
      <c r="T323" s="10">
        <f>INDEX([1]ratio_ins!R:R,MATCH('001_population_health_zone_zs'!$B$2,[1]ratio_ins!$B:$B,0))*$G323*INDEX([1]ratio_ins!$C:$C,MATCH('001_population_health_zone_zs'!$B323,[1]ratio_ins!$B:$B,0))</f>
        <v>2482.0305320000002</v>
      </c>
      <c r="U323" s="10">
        <f>INDEX([1]ratio_ins!S:S,MATCH('001_population_health_zone_zs'!$B$2,[1]ratio_ins!$B:$B,0))*$G323*INDEX([1]ratio_ins!$C:$C,MATCH('001_population_health_zone_zs'!$B323,[1]ratio_ins!$B:$B,0))</f>
        <v>1971.0242460000002</v>
      </c>
      <c r="V323" s="10">
        <f>INDEX([1]ratio_ins!T:T,MATCH('001_population_health_zone_zs'!$B$2,[1]ratio_ins!$B:$B,0))*$G323*INDEX([1]ratio_ins!$C:$C,MATCH('001_population_health_zone_zs'!$B323,[1]ratio_ins!$B:$B,0))</f>
        <v>1095.0134700000001</v>
      </c>
      <c r="W323" s="11">
        <f>INDEX([1]ratio_ins!U:U,MATCH('001_population_health_zone_zs'!$B$2,[1]ratio_ins!$B:$B,0))*$G323*INDEX([1]ratio_ins!$C:$C,MATCH('001_population_health_zone_zs'!$B323,[1]ratio_ins!$B:$B,0))</f>
        <v>29871.967461600001</v>
      </c>
      <c r="X323" s="10">
        <f>INDEX([1]ratio_ins!V:V,MATCH('001_population_health_zone_zs'!$B$2,[1]ratio_ins!$B:$B,0))*$G323*INDEX([1]ratio_ins!$C:$C,MATCH('001_population_health_zone_zs'!$B323,[1]ratio_ins!$B:$B,0))</f>
        <v>876.01077599999996</v>
      </c>
      <c r="Y323" s="10">
        <f>INDEX([1]ratio_ins!W:W,MATCH('001_population_health_zone_zs'!$B$2,[1]ratio_ins!$B:$B,0))*$G323*INDEX([1]ratio_ins!$C:$C,MATCH('001_population_health_zone_zs'!$B323,[1]ratio_ins!$B:$B,0))</f>
        <v>584.00718399999994</v>
      </c>
      <c r="Z323" s="10">
        <f>INDEX([1]ratio_ins!X:X,MATCH('001_population_health_zone_zs'!$B$2,[1]ratio_ins!$B:$B,0))*$G323*INDEX([1]ratio_ins!$C:$C,MATCH('001_population_health_zone_zs'!$B323,[1]ratio_ins!$B:$B,0))</f>
        <v>292.00359199999997</v>
      </c>
      <c r="AA323" s="10">
        <f>INDEX([1]ratio_ins!Y:Y,MATCH('001_population_health_zone_zs'!$B$2,[1]ratio_ins!$B:$B,0))*$G323*INDEX([1]ratio_ins!$C:$C,MATCH('001_population_health_zone_zs'!$B323,[1]ratio_ins!$B:$B,0))</f>
        <v>146.00179599999998</v>
      </c>
      <c r="AB323" s="11">
        <f>INDEX([1]ratio_ins!Z:Z,MATCH('001_population_health_zone_zs'!$B$2,[1]ratio_ins!$B:$B,0))*$G323*INDEX([1]ratio_ins!$C:$C,MATCH('001_population_health_zone_zs'!$B323,[1]ratio_ins!$B:$B,0))</f>
        <v>1898.0233479999999</v>
      </c>
      <c r="AC323" s="12">
        <f t="shared" ref="AC323:AC386" si="30">M323+W323+AB323</f>
        <v>73000.898000000001</v>
      </c>
      <c r="AD323" s="10">
        <f>INDEX([1]ratio_ins!AA:AA,MATCH('001_population_health_zone_zs'!$B$2,[1]ratio_ins!$B:$B,0))*$G323*INDEX([1]ratio_ins!$D:$D,MATCH('001_population_health_zone_zs'!$B323,[1]ratio_ins!$B:$B,0))</f>
        <v>15892.191419999999</v>
      </c>
      <c r="AE323" s="10">
        <f>INDEX([1]ratio_ins!AB:AB,MATCH('001_population_health_zone_zs'!$B$2,[1]ratio_ins!$B:$B,0))*$G323*INDEX([1]ratio_ins!$D:$D,MATCH('001_population_health_zone_zs'!$B323,[1]ratio_ins!$B:$B,0))</f>
        <v>13092.138646000001</v>
      </c>
      <c r="AF323" s="10">
        <f>INDEX([1]ratio_ins!AC:AC,MATCH('001_population_health_zone_zs'!$B$2,[1]ratio_ins!$B:$B,0))*$G323*INDEX([1]ratio_ins!$D:$D,MATCH('001_population_health_zone_zs'!$B323,[1]ratio_ins!$B:$B,0))</f>
        <v>10367.762973999999</v>
      </c>
      <c r="AG323" s="10">
        <f>INDEX([1]ratio_ins!AD:AD,MATCH('001_population_health_zone_zs'!$B$2,[1]ratio_ins!$B:$B,0))*$G323*INDEX([1]ratio_ins!$D:$D,MATCH('001_population_health_zone_zs'!$B323,[1]ratio_ins!$B:$B,0))</f>
        <v>6281.1994660000009</v>
      </c>
      <c r="AH323" s="10">
        <f>INDEX([1]ratio_ins!AE:AE,MATCH('001_population_health_zone_zs'!$B$2,[1]ratio_ins!$B:$B,0))*$G323*INDEX([1]ratio_ins!$D:$D,MATCH('001_population_health_zone_zs'!$B323,[1]ratio_ins!$B:$B,0))</f>
        <v>3768.7196795999998</v>
      </c>
      <c r="AI323" s="13">
        <f>INDEX([1]ratio_ins!AF:AF,MATCH('001_population_health_zone_zs'!$B$2,[1]ratio_ins!$B:$B,0))*$G323*INDEX([1]ratio_ins!$D:$D,MATCH('001_population_health_zone_zs'!$B323,[1]ratio_ins!$B:$B,0))</f>
        <v>43120.812719599999</v>
      </c>
      <c r="AJ323" s="10">
        <f>INDEX([1]ratio_ins!AG:AG,MATCH('001_population_health_zone_zs'!$B$2,[1]ratio_ins!$B:$B,0))*$G323*INDEX([1]ratio_ins!$D:$D,MATCH('001_population_health_zone_zs'!$B323,[1]ratio_ins!$B:$B,0))</f>
        <v>2512.4797863999997</v>
      </c>
      <c r="AK323" s="10">
        <f>INDEX([1]ratio_ins!AH:AH,MATCH('001_population_health_zone_zs'!$B$2,[1]ratio_ins!$B:$B,0))*$G323*INDEX([1]ratio_ins!$D:$D,MATCH('001_population_health_zone_zs'!$B323,[1]ratio_ins!$B:$B,0))</f>
        <v>5600.1055480000014</v>
      </c>
      <c r="AL323" s="10">
        <f>INDEX([1]ratio_ins!AI:AI,MATCH('001_population_health_zone_zs'!$B$2,[1]ratio_ins!$B:$B,0))*$G323*INDEX([1]ratio_ins!$D:$D,MATCH('001_population_health_zone_zs'!$B323,[1]ratio_ins!$B:$B,0))</f>
        <v>5297.3971400000009</v>
      </c>
      <c r="AM323" s="10">
        <f>INDEX([1]ratio_ins!AJ:AJ,MATCH('001_population_health_zone_zs'!$B$2,[1]ratio_ins!$B:$B,0))*$G323*INDEX([1]ratio_ins!$D:$D,MATCH('001_population_health_zone_zs'!$B323,[1]ratio_ins!$B:$B,0))</f>
        <v>4843.3345280000003</v>
      </c>
      <c r="AN323" s="10">
        <f>INDEX([1]ratio_ins!AK:AK,MATCH('001_population_health_zone_zs'!$B$2,[1]ratio_ins!$B:$B,0))*$G323*INDEX([1]ratio_ins!$D:$D,MATCH('001_population_health_zone_zs'!$B323,[1]ratio_ins!$B:$B,0))</f>
        <v>4540.6261199999999</v>
      </c>
      <c r="AO323" s="10">
        <f>INDEX([1]ratio_ins!AL:AL,MATCH('001_population_health_zone_zs'!$B$2,[1]ratio_ins!$B:$B,0))*$G323*INDEX([1]ratio_ins!$D:$D,MATCH('001_population_health_zone_zs'!$B323,[1]ratio_ins!$B:$B,0))</f>
        <v>3405.4695899999997</v>
      </c>
      <c r="AP323" s="10">
        <f>INDEX([1]ratio_ins!AM:AM,MATCH('001_population_health_zone_zs'!$B$2,[1]ratio_ins!$B:$B,0))*$G323*INDEX([1]ratio_ins!$D:$D,MATCH('001_population_health_zone_zs'!$B323,[1]ratio_ins!$B:$B,0))</f>
        <v>2194.6359579999998</v>
      </c>
      <c r="AQ323" s="10">
        <f>INDEX([1]ratio_ins!AN:AN,MATCH('001_population_health_zone_zs'!$B$2,[1]ratio_ins!$B:$B,0))*$G323*INDEX([1]ratio_ins!$D:$D,MATCH('001_population_health_zone_zs'!$B323,[1]ratio_ins!$B:$B,0))</f>
        <v>1740.5733460000001</v>
      </c>
      <c r="AR323" s="10">
        <f>INDEX([1]ratio_ins!AO:AO,MATCH('001_population_health_zone_zs'!$B$2,[1]ratio_ins!$B:$B,0))*$G323*INDEX([1]ratio_ins!$D:$D,MATCH('001_population_health_zone_zs'!$B323,[1]ratio_ins!$B:$B,0))</f>
        <v>832.44812200000001</v>
      </c>
      <c r="AS323" s="13">
        <f>INDEX([1]ratio_ins!AP:AP,MATCH('001_population_health_zone_zs'!$B$2,[1]ratio_ins!$B:$B,0))*$G323*INDEX([1]ratio_ins!$D:$D,MATCH('001_population_health_zone_zs'!$B323,[1]ratio_ins!$B:$B,0))</f>
        <v>30967.070138400002</v>
      </c>
      <c r="AT323" s="10">
        <f>INDEX([1]ratio_ins!AQ:AQ,MATCH('001_population_health_zone_zs'!$B$2,[1]ratio_ins!$B:$B,0))*$G323*INDEX([1]ratio_ins!$D:$D,MATCH('001_population_health_zone_zs'!$B323,[1]ratio_ins!$B:$B,0))</f>
        <v>756.77102000000002</v>
      </c>
      <c r="AU323" s="10">
        <f>INDEX([1]ratio_ins!AR:AR,MATCH('001_population_health_zone_zs'!$B$2,[1]ratio_ins!$B:$B,0))*$G323*INDEX([1]ratio_ins!$D:$D,MATCH('001_population_health_zone_zs'!$B323,[1]ratio_ins!$B:$B,0))</f>
        <v>454.062612</v>
      </c>
      <c r="AV323" s="10">
        <f>INDEX([1]ratio_ins!AS:AS,MATCH('001_population_health_zone_zs'!$B$2,[1]ratio_ins!$B:$B,0))*$G323*INDEX([1]ratio_ins!$D:$D,MATCH('001_population_health_zone_zs'!$B323,[1]ratio_ins!$B:$B,0))</f>
        <v>227.031306</v>
      </c>
      <c r="AW323" s="10">
        <f>INDEX([1]ratio_ins!AT:AT,MATCH('001_population_health_zone_zs'!$B$2,[1]ratio_ins!$B:$B,0))*$G323*INDEX([1]ratio_ins!$D:$D,MATCH('001_population_health_zone_zs'!$B323,[1]ratio_ins!$B:$B,0))</f>
        <v>151.35420400000001</v>
      </c>
      <c r="AX323" s="13">
        <f>INDEX([1]ratio_ins!AU:AU,MATCH('001_population_health_zone_zs'!$B$2,[1]ratio_ins!$B:$B,0))*$G323*INDEX([1]ratio_ins!$D:$D,MATCH('001_population_health_zone_zs'!$B323,[1]ratio_ins!$B:$B,0))</f>
        <v>1589.2191419999999</v>
      </c>
      <c r="AY323" s="14">
        <f t="shared" ref="AY323:AY386" si="31">AI323+AS323+AX323</f>
        <v>75677.101999999999</v>
      </c>
      <c r="AZ323" s="15">
        <f t="shared" ref="AZ323:AZ386" si="32">AC323+AY323</f>
        <v>148678</v>
      </c>
      <c r="BA323" s="16">
        <v>142766.69111255437</v>
      </c>
      <c r="BB323" s="10">
        <f t="shared" ref="BB323:BB386" si="33">SUM(AH323,AJ323,AK323:AP323)</f>
        <v>32162.768350000002</v>
      </c>
      <c r="BC323" s="17">
        <f t="shared" ref="BC323:BC386" si="34">BB323/G323</f>
        <v>0.21632500000000002</v>
      </c>
      <c r="BD323" s="10">
        <f t="shared" ref="BD323:BD386" si="35">SUM(L323,N323:T323)</f>
        <v>30441.374466000001</v>
      </c>
    </row>
    <row r="324" spans="1:56" x14ac:dyDescent="0.25">
      <c r="A324" s="8" t="s">
        <v>751</v>
      </c>
      <c r="B324" s="8" t="s">
        <v>752</v>
      </c>
      <c r="C324" s="8" t="s">
        <v>793</v>
      </c>
      <c r="D324" s="8" t="s">
        <v>794</v>
      </c>
      <c r="E324" s="8" t="s">
        <v>797</v>
      </c>
      <c r="F324" s="8" t="s">
        <v>798</v>
      </c>
      <c r="G324" s="9">
        <v>228505</v>
      </c>
      <c r="H324" s="10">
        <f>INDEX([1]ratio_ins!F:F,MATCH('001_population_health_zone_zs'!$B$2,[1]ratio_ins!$B:$B,0))*$G324*INDEX([1]ratio_ins!$C:$C,MATCH('001_population_health_zone_zs'!$B324,[1]ratio_ins!$B:$B,0))</f>
        <v>23448.954594999999</v>
      </c>
      <c r="I324" s="10">
        <f>INDEX([1]ratio_ins!G:G,MATCH('001_population_health_zone_zs'!$B$2,[1]ratio_ins!$B:$B,0))*$G324*INDEX([1]ratio_ins!$C:$C,MATCH('001_population_health_zone_zs'!$B324,[1]ratio_ins!$B:$B,0))</f>
        <v>19185.508305000003</v>
      </c>
      <c r="J324" s="10">
        <f>INDEX([1]ratio_ins!H:H,MATCH('001_population_health_zone_zs'!$B$2,[1]ratio_ins!$B:$B,0))*$G324*INDEX([1]ratio_ins!$C:$C,MATCH('001_population_health_zone_zs'!$B324,[1]ratio_ins!$B:$B,0))</f>
        <v>15146.453925000002</v>
      </c>
      <c r="K324" s="10">
        <f>INDEX([1]ratio_ins!I:I,MATCH('001_population_health_zone_zs'!$B$2,[1]ratio_ins!$B:$B,0))*$G324*INDEX([1]ratio_ins!$C:$C,MATCH('001_population_health_zone_zs'!$B324,[1]ratio_ins!$B:$B,0))</f>
        <v>9312.2642649999998</v>
      </c>
      <c r="L324" s="10">
        <f>INDEX([1]ratio_ins!J:J,MATCH('001_population_health_zone_zs'!$B$2,[1]ratio_ins!$B:$B,0))*$G324*INDEX([1]ratio_ins!$C:$C,MATCH('001_population_health_zone_zs'!$B324,[1]ratio_ins!$B:$B,0))</f>
        <v>5587.3585589999993</v>
      </c>
      <c r="M324" s="11">
        <f>INDEX([1]ratio_ins!K:K,MATCH('001_population_health_zone_zs'!$B$2,[1]ratio_ins!$B:$B,0))*$G324*INDEX([1]ratio_ins!$C:$C,MATCH('001_population_health_zone_zs'!$B324,[1]ratio_ins!$B:$B,0))</f>
        <v>63368.275384</v>
      </c>
      <c r="N324" s="10">
        <f>INDEX([1]ratio_ins!L:L,MATCH('001_population_health_zone_zs'!$B$2,[1]ratio_ins!$B:$B,0))*$G324*INDEX([1]ratio_ins!$C:$C,MATCH('001_population_health_zone_zs'!$B324,[1]ratio_ins!$B:$B,0))</f>
        <v>3724.905706</v>
      </c>
      <c r="O324" s="10">
        <f>INDEX([1]ratio_ins!M:M,MATCH('001_population_health_zone_zs'!$B$2,[1]ratio_ins!$B:$B,0))*$G324*INDEX([1]ratio_ins!$C:$C,MATCH('001_population_health_zone_zs'!$B324,[1]ratio_ins!$B:$B,0))</f>
        <v>8078.1087600000001</v>
      </c>
      <c r="P324" s="10">
        <f>INDEX([1]ratio_ins!N:N,MATCH('001_population_health_zone_zs'!$B$2,[1]ratio_ins!$B:$B,0))*$G324*INDEX([1]ratio_ins!$C:$C,MATCH('001_population_health_zone_zs'!$B324,[1]ratio_ins!$B:$B,0))</f>
        <v>7292.737075</v>
      </c>
      <c r="Q324" s="10">
        <f>INDEX([1]ratio_ins!O:O,MATCH('001_population_health_zone_zs'!$B$2,[1]ratio_ins!$B:$B,0))*$G324*INDEX([1]ratio_ins!$C:$C,MATCH('001_population_health_zone_zs'!$B324,[1]ratio_ins!$B:$B,0))</f>
        <v>6507.365389999999</v>
      </c>
      <c r="R324" s="10">
        <f>INDEX([1]ratio_ins!P:P,MATCH('001_population_health_zone_zs'!$B$2,[1]ratio_ins!$B:$B,0))*$G324*INDEX([1]ratio_ins!$C:$C,MATCH('001_population_health_zone_zs'!$B324,[1]ratio_ins!$B:$B,0))</f>
        <v>6395.1694349999998</v>
      </c>
      <c r="S324" s="10">
        <f>INDEX([1]ratio_ins!Q:Q,MATCH('001_population_health_zone_zs'!$B$2,[1]ratio_ins!$B:$B,0))*$G324*INDEX([1]ratio_ins!$C:$C,MATCH('001_population_health_zone_zs'!$B324,[1]ratio_ins!$B:$B,0))</f>
        <v>5385.4058399999994</v>
      </c>
      <c r="T324" s="10">
        <f>INDEX([1]ratio_ins!R:R,MATCH('001_population_health_zone_zs'!$B$2,[1]ratio_ins!$B:$B,0))*$G324*INDEX([1]ratio_ins!$C:$C,MATCH('001_population_health_zone_zs'!$B324,[1]ratio_ins!$B:$B,0))</f>
        <v>3814.6624700000002</v>
      </c>
      <c r="U324" s="10">
        <f>INDEX([1]ratio_ins!S:S,MATCH('001_population_health_zone_zs'!$B$2,[1]ratio_ins!$B:$B,0))*$G324*INDEX([1]ratio_ins!$C:$C,MATCH('001_population_health_zone_zs'!$B324,[1]ratio_ins!$B:$B,0))</f>
        <v>3029.2907850000006</v>
      </c>
      <c r="V324" s="10">
        <f>INDEX([1]ratio_ins!T:T,MATCH('001_population_health_zone_zs'!$B$2,[1]ratio_ins!$B:$B,0))*$G324*INDEX([1]ratio_ins!$C:$C,MATCH('001_population_health_zone_zs'!$B324,[1]ratio_ins!$B:$B,0))</f>
        <v>1682.9393249999998</v>
      </c>
      <c r="W324" s="11">
        <f>INDEX([1]ratio_ins!U:U,MATCH('001_population_health_zone_zs'!$B$2,[1]ratio_ins!$B:$B,0))*$G324*INDEX([1]ratio_ins!$C:$C,MATCH('001_population_health_zone_zs'!$B324,[1]ratio_ins!$B:$B,0))</f>
        <v>45910.584785999999</v>
      </c>
      <c r="X324" s="10">
        <f>INDEX([1]ratio_ins!V:V,MATCH('001_population_health_zone_zs'!$B$2,[1]ratio_ins!$B:$B,0))*$G324*INDEX([1]ratio_ins!$C:$C,MATCH('001_population_health_zone_zs'!$B324,[1]ratio_ins!$B:$B,0))</f>
        <v>1346.3514599999999</v>
      </c>
      <c r="Y324" s="10">
        <f>INDEX([1]ratio_ins!W:W,MATCH('001_population_health_zone_zs'!$B$2,[1]ratio_ins!$B:$B,0))*$G324*INDEX([1]ratio_ins!$C:$C,MATCH('001_population_health_zone_zs'!$B324,[1]ratio_ins!$B:$B,0))</f>
        <v>897.56763999999998</v>
      </c>
      <c r="Z324" s="10">
        <f>INDEX([1]ratio_ins!X:X,MATCH('001_population_health_zone_zs'!$B$2,[1]ratio_ins!$B:$B,0))*$G324*INDEX([1]ratio_ins!$C:$C,MATCH('001_population_health_zone_zs'!$B324,[1]ratio_ins!$B:$B,0))</f>
        <v>448.78381999999999</v>
      </c>
      <c r="AA324" s="10">
        <f>INDEX([1]ratio_ins!Y:Y,MATCH('001_population_health_zone_zs'!$B$2,[1]ratio_ins!$B:$B,0))*$G324*INDEX([1]ratio_ins!$C:$C,MATCH('001_population_health_zone_zs'!$B324,[1]ratio_ins!$B:$B,0))</f>
        <v>224.39191</v>
      </c>
      <c r="AB324" s="11">
        <f>INDEX([1]ratio_ins!Z:Z,MATCH('001_population_health_zone_zs'!$B$2,[1]ratio_ins!$B:$B,0))*$G324*INDEX([1]ratio_ins!$C:$C,MATCH('001_population_health_zone_zs'!$B324,[1]ratio_ins!$B:$B,0))</f>
        <v>2917.09483</v>
      </c>
      <c r="AC324" s="12">
        <f t="shared" si="30"/>
        <v>112195.955</v>
      </c>
      <c r="AD324" s="10">
        <f>INDEX([1]ratio_ins!AA:AA,MATCH('001_population_health_zone_zs'!$B$2,[1]ratio_ins!$B:$B,0))*$G324*INDEX([1]ratio_ins!$D:$D,MATCH('001_population_health_zone_zs'!$B324,[1]ratio_ins!$B:$B,0))</f>
        <v>24424.899449999997</v>
      </c>
      <c r="AE324" s="10">
        <f>INDEX([1]ratio_ins!AB:AB,MATCH('001_population_health_zone_zs'!$B$2,[1]ratio_ins!$B:$B,0))*$G324*INDEX([1]ratio_ins!$D:$D,MATCH('001_population_health_zone_zs'!$B324,[1]ratio_ins!$B:$B,0))</f>
        <v>20121.464785000004</v>
      </c>
      <c r="AF324" s="10">
        <f>INDEX([1]ratio_ins!AC:AC,MATCH('001_population_health_zone_zs'!$B$2,[1]ratio_ins!$B:$B,0))*$G324*INDEX([1]ratio_ins!$D:$D,MATCH('001_population_health_zone_zs'!$B324,[1]ratio_ins!$B:$B,0))</f>
        <v>15934.339164999999</v>
      </c>
      <c r="AG324" s="10">
        <f>INDEX([1]ratio_ins!AD:AD,MATCH('001_population_health_zone_zs'!$B$2,[1]ratio_ins!$B:$B,0))*$G324*INDEX([1]ratio_ins!$D:$D,MATCH('001_population_health_zone_zs'!$B324,[1]ratio_ins!$B:$B,0))</f>
        <v>9653.6507350000011</v>
      </c>
      <c r="AH324" s="10">
        <f>INDEX([1]ratio_ins!AE:AE,MATCH('001_population_health_zone_zs'!$B$2,[1]ratio_ins!$B:$B,0))*$G324*INDEX([1]ratio_ins!$D:$D,MATCH('001_population_health_zone_zs'!$B324,[1]ratio_ins!$B:$B,0))</f>
        <v>5792.1904409999997</v>
      </c>
      <c r="AI324" s="13">
        <f>INDEX([1]ratio_ins!AF:AF,MATCH('001_population_health_zone_zs'!$B$2,[1]ratio_ins!$B:$B,0))*$G324*INDEX([1]ratio_ins!$D:$D,MATCH('001_population_health_zone_zs'!$B324,[1]ratio_ins!$B:$B,0))</f>
        <v>66272.893840999997</v>
      </c>
      <c r="AJ324" s="10">
        <f>INDEX([1]ratio_ins!AG:AG,MATCH('001_population_health_zone_zs'!$B$2,[1]ratio_ins!$B:$B,0))*$G324*INDEX([1]ratio_ins!$D:$D,MATCH('001_population_health_zone_zs'!$B324,[1]ratio_ins!$B:$B,0))</f>
        <v>3861.460294</v>
      </c>
      <c r="AK324" s="10">
        <f>INDEX([1]ratio_ins!AH:AH,MATCH('001_population_health_zone_zs'!$B$2,[1]ratio_ins!$B:$B,0))*$G324*INDEX([1]ratio_ins!$D:$D,MATCH('001_population_health_zone_zs'!$B324,[1]ratio_ins!$B:$B,0))</f>
        <v>8606.8693300000014</v>
      </c>
      <c r="AL324" s="10">
        <f>INDEX([1]ratio_ins!AI:AI,MATCH('001_population_health_zone_zs'!$B$2,[1]ratio_ins!$B:$B,0))*$G324*INDEX([1]ratio_ins!$D:$D,MATCH('001_population_health_zone_zs'!$B324,[1]ratio_ins!$B:$B,0))</f>
        <v>8141.6331500000015</v>
      </c>
      <c r="AM324" s="10">
        <f>INDEX([1]ratio_ins!AJ:AJ,MATCH('001_population_health_zone_zs'!$B$2,[1]ratio_ins!$B:$B,0))*$G324*INDEX([1]ratio_ins!$D:$D,MATCH('001_population_health_zone_zs'!$B324,[1]ratio_ins!$B:$B,0))</f>
        <v>7443.7788799999998</v>
      </c>
      <c r="AN324" s="10">
        <f>INDEX([1]ratio_ins!AK:AK,MATCH('001_population_health_zone_zs'!$B$2,[1]ratio_ins!$B:$B,0))*$G324*INDEX([1]ratio_ins!$D:$D,MATCH('001_population_health_zone_zs'!$B324,[1]ratio_ins!$B:$B,0))</f>
        <v>6978.5427</v>
      </c>
      <c r="AO324" s="10">
        <f>INDEX([1]ratio_ins!AL:AL,MATCH('001_population_health_zone_zs'!$B$2,[1]ratio_ins!$B:$B,0))*$G324*INDEX([1]ratio_ins!$D:$D,MATCH('001_population_health_zone_zs'!$B324,[1]ratio_ins!$B:$B,0))</f>
        <v>5233.9070250000004</v>
      </c>
      <c r="AP324" s="10">
        <f>INDEX([1]ratio_ins!AM:AM,MATCH('001_population_health_zone_zs'!$B$2,[1]ratio_ins!$B:$B,0))*$G324*INDEX([1]ratio_ins!$D:$D,MATCH('001_population_health_zone_zs'!$B324,[1]ratio_ins!$B:$B,0))</f>
        <v>3372.962305</v>
      </c>
      <c r="AQ324" s="10">
        <f>INDEX([1]ratio_ins!AN:AN,MATCH('001_population_health_zone_zs'!$B$2,[1]ratio_ins!$B:$B,0))*$G324*INDEX([1]ratio_ins!$D:$D,MATCH('001_population_health_zone_zs'!$B324,[1]ratio_ins!$B:$B,0))</f>
        <v>2675.1080349999997</v>
      </c>
      <c r="AR324" s="10">
        <f>INDEX([1]ratio_ins!AO:AO,MATCH('001_population_health_zone_zs'!$B$2,[1]ratio_ins!$B:$B,0))*$G324*INDEX([1]ratio_ins!$D:$D,MATCH('001_population_health_zone_zs'!$B324,[1]ratio_ins!$B:$B,0))</f>
        <v>1279.3994950000001</v>
      </c>
      <c r="AS324" s="13">
        <f>INDEX([1]ratio_ins!AP:AP,MATCH('001_population_health_zone_zs'!$B$2,[1]ratio_ins!$B:$B,0))*$G324*INDEX([1]ratio_ins!$D:$D,MATCH('001_population_health_zone_zs'!$B324,[1]ratio_ins!$B:$B,0))</f>
        <v>47593.661214</v>
      </c>
      <c r="AT324" s="10">
        <f>INDEX([1]ratio_ins!AQ:AQ,MATCH('001_population_health_zone_zs'!$B$2,[1]ratio_ins!$B:$B,0))*$G324*INDEX([1]ratio_ins!$D:$D,MATCH('001_population_health_zone_zs'!$B324,[1]ratio_ins!$B:$B,0))</f>
        <v>1163.0904500000001</v>
      </c>
      <c r="AU324" s="10">
        <f>INDEX([1]ratio_ins!AR:AR,MATCH('001_population_health_zone_zs'!$B$2,[1]ratio_ins!$B:$B,0))*$G324*INDEX([1]ratio_ins!$D:$D,MATCH('001_population_health_zone_zs'!$B324,[1]ratio_ins!$B:$B,0))</f>
        <v>697.85427000000004</v>
      </c>
      <c r="AV324" s="10">
        <f>INDEX([1]ratio_ins!AS:AS,MATCH('001_population_health_zone_zs'!$B$2,[1]ratio_ins!$B:$B,0))*$G324*INDEX([1]ratio_ins!$D:$D,MATCH('001_population_health_zone_zs'!$B324,[1]ratio_ins!$B:$B,0))</f>
        <v>348.92713500000002</v>
      </c>
      <c r="AW324" s="10">
        <f>INDEX([1]ratio_ins!AT:AT,MATCH('001_population_health_zone_zs'!$B$2,[1]ratio_ins!$B:$B,0))*$G324*INDEX([1]ratio_ins!$D:$D,MATCH('001_population_health_zone_zs'!$B324,[1]ratio_ins!$B:$B,0))</f>
        <v>232.61809</v>
      </c>
      <c r="AX324" s="13">
        <f>INDEX([1]ratio_ins!AU:AU,MATCH('001_population_health_zone_zs'!$B$2,[1]ratio_ins!$B:$B,0))*$G324*INDEX([1]ratio_ins!$D:$D,MATCH('001_population_health_zone_zs'!$B324,[1]ratio_ins!$B:$B,0))</f>
        <v>2442.4899449999998</v>
      </c>
      <c r="AY324" s="14">
        <f t="shared" si="31"/>
        <v>116309.045</v>
      </c>
      <c r="AZ324" s="15">
        <f t="shared" si="32"/>
        <v>228505</v>
      </c>
      <c r="BA324" s="16">
        <v>219420.60427935151</v>
      </c>
      <c r="BB324" s="10">
        <f t="shared" si="33"/>
        <v>49431.344125000003</v>
      </c>
      <c r="BC324" s="17">
        <f t="shared" si="34"/>
        <v>0.21632500000000002</v>
      </c>
      <c r="BD324" s="10">
        <f t="shared" si="35"/>
        <v>46785.713235000003</v>
      </c>
    </row>
    <row r="325" spans="1:56" x14ac:dyDescent="0.25">
      <c r="A325" s="8" t="s">
        <v>751</v>
      </c>
      <c r="B325" s="8" t="s">
        <v>752</v>
      </c>
      <c r="C325" s="8" t="s">
        <v>793</v>
      </c>
      <c r="D325" s="8" t="s">
        <v>794</v>
      </c>
      <c r="E325" s="8" t="s">
        <v>799</v>
      </c>
      <c r="F325" s="8" t="s">
        <v>800</v>
      </c>
      <c r="G325" s="9">
        <v>182306</v>
      </c>
      <c r="H325" s="10">
        <f>INDEX([1]ratio_ins!F:F,MATCH('001_population_health_zone_zs'!$B$2,[1]ratio_ins!$B:$B,0))*$G325*INDEX([1]ratio_ins!$C:$C,MATCH('001_population_health_zone_zs'!$B325,[1]ratio_ins!$B:$B,0))</f>
        <v>18708.059413999999</v>
      </c>
      <c r="I325" s="10">
        <f>INDEX([1]ratio_ins!G:G,MATCH('001_population_health_zone_zs'!$B$2,[1]ratio_ins!$B:$B,0))*$G325*INDEX([1]ratio_ins!$C:$C,MATCH('001_population_health_zone_zs'!$B325,[1]ratio_ins!$B:$B,0))</f>
        <v>15306.594066</v>
      </c>
      <c r="J325" s="10">
        <f>INDEX([1]ratio_ins!H:H,MATCH('001_population_health_zone_zs'!$B$2,[1]ratio_ins!$B:$B,0))*$G325*INDEX([1]ratio_ins!$C:$C,MATCH('001_population_health_zone_zs'!$B325,[1]ratio_ins!$B:$B,0))</f>
        <v>12084.15321</v>
      </c>
      <c r="K325" s="10">
        <f>INDEX([1]ratio_ins!I:I,MATCH('001_population_health_zone_zs'!$B$2,[1]ratio_ins!$B:$B,0))*$G325*INDEX([1]ratio_ins!$C:$C,MATCH('001_population_health_zone_zs'!$B325,[1]ratio_ins!$B:$B,0))</f>
        <v>7429.5164180000002</v>
      </c>
      <c r="L325" s="10">
        <f>INDEX([1]ratio_ins!J:J,MATCH('001_population_health_zone_zs'!$B$2,[1]ratio_ins!$B:$B,0))*$G325*INDEX([1]ratio_ins!$C:$C,MATCH('001_population_health_zone_zs'!$B325,[1]ratio_ins!$B:$B,0))</f>
        <v>4457.7098507999999</v>
      </c>
      <c r="M325" s="11">
        <f>INDEX([1]ratio_ins!K:K,MATCH('001_population_health_zone_zs'!$B$2,[1]ratio_ins!$B:$B,0))*$G325*INDEX([1]ratio_ins!$C:$C,MATCH('001_population_health_zone_zs'!$B325,[1]ratio_ins!$B:$B,0))</f>
        <v>50556.516540799996</v>
      </c>
      <c r="N325" s="10">
        <f>INDEX([1]ratio_ins!L:L,MATCH('001_population_health_zone_zs'!$B$2,[1]ratio_ins!$B:$B,0))*$G325*INDEX([1]ratio_ins!$C:$C,MATCH('001_population_health_zone_zs'!$B325,[1]ratio_ins!$B:$B,0))</f>
        <v>2971.8065671999998</v>
      </c>
      <c r="O325" s="10">
        <f>INDEX([1]ratio_ins!M:M,MATCH('001_population_health_zone_zs'!$B$2,[1]ratio_ins!$B:$B,0))*$G325*INDEX([1]ratio_ins!$C:$C,MATCH('001_population_health_zone_zs'!$B325,[1]ratio_ins!$B:$B,0))</f>
        <v>6444.8817120000003</v>
      </c>
      <c r="P325" s="10">
        <f>INDEX([1]ratio_ins!N:N,MATCH('001_population_health_zone_zs'!$B$2,[1]ratio_ins!$B:$B,0))*$G325*INDEX([1]ratio_ins!$C:$C,MATCH('001_population_health_zone_zs'!$B325,[1]ratio_ins!$B:$B,0))</f>
        <v>5818.2959900000005</v>
      </c>
      <c r="Q325" s="10">
        <f>INDEX([1]ratio_ins!O:O,MATCH('001_population_health_zone_zs'!$B$2,[1]ratio_ins!$B:$B,0))*$G325*INDEX([1]ratio_ins!$C:$C,MATCH('001_population_health_zone_zs'!$B325,[1]ratio_ins!$B:$B,0))</f>
        <v>5191.7102679999998</v>
      </c>
      <c r="R325" s="10">
        <f>INDEX([1]ratio_ins!P:P,MATCH('001_population_health_zone_zs'!$B$2,[1]ratio_ins!$B:$B,0))*$G325*INDEX([1]ratio_ins!$C:$C,MATCH('001_population_health_zone_zs'!$B325,[1]ratio_ins!$B:$B,0))</f>
        <v>5102.1980220000005</v>
      </c>
      <c r="S325" s="10">
        <f>INDEX([1]ratio_ins!Q:Q,MATCH('001_population_health_zone_zs'!$B$2,[1]ratio_ins!$B:$B,0))*$G325*INDEX([1]ratio_ins!$C:$C,MATCH('001_population_health_zone_zs'!$B325,[1]ratio_ins!$B:$B,0))</f>
        <v>4296.5878080000002</v>
      </c>
      <c r="T325" s="10">
        <f>INDEX([1]ratio_ins!R:R,MATCH('001_population_health_zone_zs'!$B$2,[1]ratio_ins!$B:$B,0))*$G325*INDEX([1]ratio_ins!$C:$C,MATCH('001_population_health_zone_zs'!$B325,[1]ratio_ins!$B:$B,0))</f>
        <v>3043.4163640000002</v>
      </c>
      <c r="U325" s="10">
        <f>INDEX([1]ratio_ins!S:S,MATCH('001_population_health_zone_zs'!$B$2,[1]ratio_ins!$B:$B,0))*$G325*INDEX([1]ratio_ins!$C:$C,MATCH('001_population_health_zone_zs'!$B325,[1]ratio_ins!$B:$B,0))</f>
        <v>2416.8306420000004</v>
      </c>
      <c r="V325" s="10">
        <f>INDEX([1]ratio_ins!T:T,MATCH('001_population_health_zone_zs'!$B$2,[1]ratio_ins!$B:$B,0))*$G325*INDEX([1]ratio_ins!$C:$C,MATCH('001_population_health_zone_zs'!$B325,[1]ratio_ins!$B:$B,0))</f>
        <v>1342.6836899999998</v>
      </c>
      <c r="W325" s="11">
        <f>INDEX([1]ratio_ins!U:U,MATCH('001_population_health_zone_zs'!$B$2,[1]ratio_ins!$B:$B,0))*$G325*INDEX([1]ratio_ins!$C:$C,MATCH('001_population_health_zone_zs'!$B325,[1]ratio_ins!$B:$B,0))</f>
        <v>36628.411063200001</v>
      </c>
      <c r="X325" s="10">
        <f>INDEX([1]ratio_ins!V:V,MATCH('001_population_health_zone_zs'!$B$2,[1]ratio_ins!$B:$B,0))*$G325*INDEX([1]ratio_ins!$C:$C,MATCH('001_population_health_zone_zs'!$B325,[1]ratio_ins!$B:$B,0))</f>
        <v>1074.1469520000001</v>
      </c>
      <c r="Y325" s="10">
        <f>INDEX([1]ratio_ins!W:W,MATCH('001_population_health_zone_zs'!$B$2,[1]ratio_ins!$B:$B,0))*$G325*INDEX([1]ratio_ins!$C:$C,MATCH('001_population_health_zone_zs'!$B325,[1]ratio_ins!$B:$B,0))</f>
        <v>716.09796800000004</v>
      </c>
      <c r="Z325" s="10">
        <f>INDEX([1]ratio_ins!X:X,MATCH('001_population_health_zone_zs'!$B$2,[1]ratio_ins!$B:$B,0))*$G325*INDEX([1]ratio_ins!$C:$C,MATCH('001_population_health_zone_zs'!$B325,[1]ratio_ins!$B:$B,0))</f>
        <v>358.04898400000002</v>
      </c>
      <c r="AA325" s="10">
        <f>INDEX([1]ratio_ins!Y:Y,MATCH('001_population_health_zone_zs'!$B$2,[1]ratio_ins!$B:$B,0))*$G325*INDEX([1]ratio_ins!$C:$C,MATCH('001_population_health_zone_zs'!$B325,[1]ratio_ins!$B:$B,0))</f>
        <v>179.02449200000001</v>
      </c>
      <c r="AB325" s="11">
        <f>INDEX([1]ratio_ins!Z:Z,MATCH('001_population_health_zone_zs'!$B$2,[1]ratio_ins!$B:$B,0))*$G325*INDEX([1]ratio_ins!$C:$C,MATCH('001_population_health_zone_zs'!$B325,[1]ratio_ins!$B:$B,0))</f>
        <v>2327.3183960000001</v>
      </c>
      <c r="AC325" s="12">
        <f t="shared" si="30"/>
        <v>89512.245999999999</v>
      </c>
      <c r="AD325" s="10">
        <f>INDEX([1]ratio_ins!AA:AA,MATCH('001_population_health_zone_zs'!$B$2,[1]ratio_ins!$B:$B,0))*$G325*INDEX([1]ratio_ins!$D:$D,MATCH('001_population_health_zone_zs'!$B325,[1]ratio_ins!$B:$B,0))</f>
        <v>19486.688340000001</v>
      </c>
      <c r="AE325" s="10">
        <f>INDEX([1]ratio_ins!AB:AB,MATCH('001_population_health_zone_zs'!$B$2,[1]ratio_ins!$B:$B,0))*$G325*INDEX([1]ratio_ins!$D:$D,MATCH('001_population_health_zone_zs'!$B325,[1]ratio_ins!$B:$B,0))</f>
        <v>16053.319442000002</v>
      </c>
      <c r="AF325" s="10">
        <f>INDEX([1]ratio_ins!AC:AC,MATCH('001_population_health_zone_zs'!$B$2,[1]ratio_ins!$B:$B,0))*$G325*INDEX([1]ratio_ins!$D:$D,MATCH('001_population_health_zone_zs'!$B325,[1]ratio_ins!$B:$B,0))</f>
        <v>12712.744298</v>
      </c>
      <c r="AG325" s="10">
        <f>INDEX([1]ratio_ins!AD:AD,MATCH('001_population_health_zone_zs'!$B$2,[1]ratio_ins!$B:$B,0))*$G325*INDEX([1]ratio_ins!$D:$D,MATCH('001_population_health_zone_zs'!$B325,[1]ratio_ins!$B:$B,0))</f>
        <v>7701.8815820000009</v>
      </c>
      <c r="AH325" s="10">
        <f>INDEX([1]ratio_ins!AE:AE,MATCH('001_population_health_zone_zs'!$B$2,[1]ratio_ins!$B:$B,0))*$G325*INDEX([1]ratio_ins!$D:$D,MATCH('001_population_health_zone_zs'!$B325,[1]ratio_ins!$B:$B,0))</f>
        <v>4621.1289491999996</v>
      </c>
      <c r="AI325" s="13">
        <f>INDEX([1]ratio_ins!AF:AF,MATCH('001_population_health_zone_zs'!$B$2,[1]ratio_ins!$B:$B,0))*$G325*INDEX([1]ratio_ins!$D:$D,MATCH('001_population_health_zone_zs'!$B325,[1]ratio_ins!$B:$B,0))</f>
        <v>52873.881029199998</v>
      </c>
      <c r="AJ325" s="10">
        <f>INDEX([1]ratio_ins!AG:AG,MATCH('001_population_health_zone_zs'!$B$2,[1]ratio_ins!$B:$B,0))*$G325*INDEX([1]ratio_ins!$D:$D,MATCH('001_population_health_zone_zs'!$B325,[1]ratio_ins!$B:$B,0))</f>
        <v>3080.7526327999999</v>
      </c>
      <c r="AK325" s="10">
        <f>INDEX([1]ratio_ins!AH:AH,MATCH('001_population_health_zone_zs'!$B$2,[1]ratio_ins!$B:$B,0))*$G325*INDEX([1]ratio_ins!$D:$D,MATCH('001_population_health_zone_zs'!$B325,[1]ratio_ins!$B:$B,0))</f>
        <v>6866.7377960000013</v>
      </c>
      <c r="AL325" s="10">
        <f>INDEX([1]ratio_ins!AI:AI,MATCH('001_population_health_zone_zs'!$B$2,[1]ratio_ins!$B:$B,0))*$G325*INDEX([1]ratio_ins!$D:$D,MATCH('001_population_health_zone_zs'!$B325,[1]ratio_ins!$B:$B,0))</f>
        <v>6495.5627800000011</v>
      </c>
      <c r="AM325" s="10">
        <f>INDEX([1]ratio_ins!AJ:AJ,MATCH('001_population_health_zone_zs'!$B$2,[1]ratio_ins!$B:$B,0))*$G325*INDEX([1]ratio_ins!$D:$D,MATCH('001_population_health_zone_zs'!$B325,[1]ratio_ins!$B:$B,0))</f>
        <v>5938.8002560000004</v>
      </c>
      <c r="AN325" s="10">
        <f>INDEX([1]ratio_ins!AK:AK,MATCH('001_population_health_zone_zs'!$B$2,[1]ratio_ins!$B:$B,0))*$G325*INDEX([1]ratio_ins!$D:$D,MATCH('001_population_health_zone_zs'!$B325,[1]ratio_ins!$B:$B,0))</f>
        <v>5567.6252399999994</v>
      </c>
      <c r="AO325" s="10">
        <f>INDEX([1]ratio_ins!AL:AL,MATCH('001_population_health_zone_zs'!$B$2,[1]ratio_ins!$B:$B,0))*$G325*INDEX([1]ratio_ins!$D:$D,MATCH('001_population_health_zone_zs'!$B325,[1]ratio_ins!$B:$B,0))</f>
        <v>4175.71893</v>
      </c>
      <c r="AP325" s="10">
        <f>INDEX([1]ratio_ins!AM:AM,MATCH('001_population_health_zone_zs'!$B$2,[1]ratio_ins!$B:$B,0))*$G325*INDEX([1]ratio_ins!$D:$D,MATCH('001_population_health_zone_zs'!$B325,[1]ratio_ins!$B:$B,0))</f>
        <v>2691.0188659999999</v>
      </c>
      <c r="AQ325" s="10">
        <f>INDEX([1]ratio_ins!AN:AN,MATCH('001_population_health_zone_zs'!$B$2,[1]ratio_ins!$B:$B,0))*$G325*INDEX([1]ratio_ins!$D:$D,MATCH('001_population_health_zone_zs'!$B325,[1]ratio_ins!$B:$B,0))</f>
        <v>2134.2563419999997</v>
      </c>
      <c r="AR325" s="10">
        <f>INDEX([1]ratio_ins!AO:AO,MATCH('001_population_health_zone_zs'!$B$2,[1]ratio_ins!$B:$B,0))*$G325*INDEX([1]ratio_ins!$D:$D,MATCH('001_population_health_zone_zs'!$B325,[1]ratio_ins!$B:$B,0))</f>
        <v>1020.7312940000002</v>
      </c>
      <c r="AS325" s="13">
        <f>INDEX([1]ratio_ins!AP:AP,MATCH('001_population_health_zone_zs'!$B$2,[1]ratio_ins!$B:$B,0))*$G325*INDEX([1]ratio_ins!$D:$D,MATCH('001_population_health_zone_zs'!$B325,[1]ratio_ins!$B:$B,0))</f>
        <v>37971.204136799999</v>
      </c>
      <c r="AT325" s="10">
        <f>INDEX([1]ratio_ins!AQ:AQ,MATCH('001_population_health_zone_zs'!$B$2,[1]ratio_ins!$B:$B,0))*$G325*INDEX([1]ratio_ins!$D:$D,MATCH('001_population_health_zone_zs'!$B325,[1]ratio_ins!$B:$B,0))</f>
        <v>927.93754000000001</v>
      </c>
      <c r="AU325" s="10">
        <f>INDEX([1]ratio_ins!AR:AR,MATCH('001_population_health_zone_zs'!$B$2,[1]ratio_ins!$B:$B,0))*$G325*INDEX([1]ratio_ins!$D:$D,MATCH('001_population_health_zone_zs'!$B325,[1]ratio_ins!$B:$B,0))</f>
        <v>556.76252399999998</v>
      </c>
      <c r="AV325" s="10">
        <f>INDEX([1]ratio_ins!AS:AS,MATCH('001_population_health_zone_zs'!$B$2,[1]ratio_ins!$B:$B,0))*$G325*INDEX([1]ratio_ins!$D:$D,MATCH('001_population_health_zone_zs'!$B325,[1]ratio_ins!$B:$B,0))</f>
        <v>278.38126199999999</v>
      </c>
      <c r="AW325" s="10">
        <f>INDEX([1]ratio_ins!AT:AT,MATCH('001_population_health_zone_zs'!$B$2,[1]ratio_ins!$B:$B,0))*$G325*INDEX([1]ratio_ins!$D:$D,MATCH('001_population_health_zone_zs'!$B325,[1]ratio_ins!$B:$B,0))</f>
        <v>185.58750800000001</v>
      </c>
      <c r="AX325" s="13">
        <f>INDEX([1]ratio_ins!AU:AU,MATCH('001_population_health_zone_zs'!$B$2,[1]ratio_ins!$B:$B,0))*$G325*INDEX([1]ratio_ins!$D:$D,MATCH('001_population_health_zone_zs'!$B325,[1]ratio_ins!$B:$B,0))</f>
        <v>1948.6688339999998</v>
      </c>
      <c r="AY325" s="14">
        <f t="shared" si="31"/>
        <v>92793.754000000001</v>
      </c>
      <c r="AZ325" s="15">
        <f t="shared" si="32"/>
        <v>182306</v>
      </c>
      <c r="BA325" s="16">
        <v>175058.21123992564</v>
      </c>
      <c r="BB325" s="10">
        <f t="shared" si="33"/>
        <v>39437.345450000008</v>
      </c>
      <c r="BC325" s="17">
        <f t="shared" si="34"/>
        <v>0.21632500000000005</v>
      </c>
      <c r="BD325" s="10">
        <f t="shared" si="35"/>
        <v>37326.606582</v>
      </c>
    </row>
    <row r="326" spans="1:56" x14ac:dyDescent="0.25">
      <c r="A326" s="8" t="s">
        <v>751</v>
      </c>
      <c r="B326" s="8" t="s">
        <v>752</v>
      </c>
      <c r="C326" s="8" t="s">
        <v>793</v>
      </c>
      <c r="D326" s="8" t="s">
        <v>794</v>
      </c>
      <c r="E326" s="8" t="s">
        <v>793</v>
      </c>
      <c r="F326" s="8" t="s">
        <v>801</v>
      </c>
      <c r="G326" s="9">
        <v>315336</v>
      </c>
      <c r="H326" s="10">
        <f>INDEX([1]ratio_ins!F:F,MATCH('001_population_health_zone_zs'!$B$2,[1]ratio_ins!$B:$B,0))*$G326*INDEX([1]ratio_ins!$C:$C,MATCH('001_population_health_zone_zs'!$B326,[1]ratio_ins!$B:$B,0))</f>
        <v>32359.464984000002</v>
      </c>
      <c r="I326" s="10">
        <f>INDEX([1]ratio_ins!G:G,MATCH('001_population_health_zone_zs'!$B$2,[1]ratio_ins!$B:$B,0))*$G326*INDEX([1]ratio_ins!$C:$C,MATCH('001_population_health_zone_zs'!$B326,[1]ratio_ins!$B:$B,0))</f>
        <v>26475.925896000001</v>
      </c>
      <c r="J326" s="10">
        <f>INDEX([1]ratio_ins!H:H,MATCH('001_population_health_zone_zs'!$B$2,[1]ratio_ins!$B:$B,0))*$G326*INDEX([1]ratio_ins!$C:$C,MATCH('001_population_health_zone_zs'!$B326,[1]ratio_ins!$B:$B,0))</f>
        <v>20902.046760000001</v>
      </c>
      <c r="K326" s="10">
        <f>INDEX([1]ratio_ins!I:I,MATCH('001_population_health_zone_zs'!$B$2,[1]ratio_ins!$B:$B,0))*$G326*INDEX([1]ratio_ins!$C:$C,MATCH('001_population_health_zone_zs'!$B326,[1]ratio_ins!$B:$B,0))</f>
        <v>12850.888008000002</v>
      </c>
      <c r="L326" s="10">
        <f>INDEX([1]ratio_ins!J:J,MATCH('001_population_health_zone_zs'!$B$2,[1]ratio_ins!$B:$B,0))*$G326*INDEX([1]ratio_ins!$C:$C,MATCH('001_population_health_zone_zs'!$B326,[1]ratio_ins!$B:$B,0))</f>
        <v>7710.5328048000001</v>
      </c>
      <c r="M326" s="11">
        <f>INDEX([1]ratio_ins!K:K,MATCH('001_population_health_zone_zs'!$B$2,[1]ratio_ins!$B:$B,0))*$G326*INDEX([1]ratio_ins!$C:$C,MATCH('001_population_health_zone_zs'!$B326,[1]ratio_ins!$B:$B,0))</f>
        <v>87447.970444799983</v>
      </c>
      <c r="N326" s="10">
        <f>INDEX([1]ratio_ins!L:L,MATCH('001_population_health_zone_zs'!$B$2,[1]ratio_ins!$B:$B,0))*$G326*INDEX([1]ratio_ins!$C:$C,MATCH('001_population_health_zone_zs'!$B326,[1]ratio_ins!$B:$B,0))</f>
        <v>5140.3552031999998</v>
      </c>
      <c r="O326" s="10">
        <f>INDEX([1]ratio_ins!M:M,MATCH('001_population_health_zone_zs'!$B$2,[1]ratio_ins!$B:$B,0))*$G326*INDEX([1]ratio_ins!$C:$C,MATCH('001_population_health_zone_zs'!$B326,[1]ratio_ins!$B:$B,0))</f>
        <v>11147.758272000001</v>
      </c>
      <c r="P326" s="10">
        <f>INDEX([1]ratio_ins!N:N,MATCH('001_population_health_zone_zs'!$B$2,[1]ratio_ins!$B:$B,0))*$G326*INDEX([1]ratio_ins!$C:$C,MATCH('001_population_health_zone_zs'!$B326,[1]ratio_ins!$B:$B,0))</f>
        <v>10063.94844</v>
      </c>
      <c r="Q326" s="10">
        <f>INDEX([1]ratio_ins!O:O,MATCH('001_population_health_zone_zs'!$B$2,[1]ratio_ins!$B:$B,0))*$G326*INDEX([1]ratio_ins!$C:$C,MATCH('001_population_health_zone_zs'!$B326,[1]ratio_ins!$B:$B,0))</f>
        <v>8980.1386079999993</v>
      </c>
      <c r="R326" s="10">
        <f>INDEX([1]ratio_ins!P:P,MATCH('001_population_health_zone_zs'!$B$2,[1]ratio_ins!$B:$B,0))*$G326*INDEX([1]ratio_ins!$C:$C,MATCH('001_population_health_zone_zs'!$B326,[1]ratio_ins!$B:$B,0))</f>
        <v>8825.3086320000002</v>
      </c>
      <c r="S326" s="10">
        <f>INDEX([1]ratio_ins!Q:Q,MATCH('001_population_health_zone_zs'!$B$2,[1]ratio_ins!$B:$B,0))*$G326*INDEX([1]ratio_ins!$C:$C,MATCH('001_population_health_zone_zs'!$B326,[1]ratio_ins!$B:$B,0))</f>
        <v>7431.8388480000003</v>
      </c>
      <c r="T326" s="10">
        <f>INDEX([1]ratio_ins!R:R,MATCH('001_population_health_zone_zs'!$B$2,[1]ratio_ins!$B:$B,0))*$G326*INDEX([1]ratio_ins!$C:$C,MATCH('001_population_health_zone_zs'!$B326,[1]ratio_ins!$B:$B,0))</f>
        <v>5264.2191840000005</v>
      </c>
      <c r="U326" s="10">
        <f>INDEX([1]ratio_ins!S:S,MATCH('001_population_health_zone_zs'!$B$2,[1]ratio_ins!$B:$B,0))*$G326*INDEX([1]ratio_ins!$C:$C,MATCH('001_population_health_zone_zs'!$B326,[1]ratio_ins!$B:$B,0))</f>
        <v>4180.4093519999997</v>
      </c>
      <c r="V326" s="10">
        <f>INDEX([1]ratio_ins!T:T,MATCH('001_population_health_zone_zs'!$B$2,[1]ratio_ins!$B:$B,0))*$G326*INDEX([1]ratio_ins!$C:$C,MATCH('001_population_health_zone_zs'!$B326,[1]ratio_ins!$B:$B,0))</f>
        <v>2322.4496399999998</v>
      </c>
      <c r="W326" s="11">
        <f>INDEX([1]ratio_ins!U:U,MATCH('001_population_health_zone_zs'!$B$2,[1]ratio_ins!$B:$B,0))*$G326*INDEX([1]ratio_ins!$C:$C,MATCH('001_population_health_zone_zs'!$B326,[1]ratio_ins!$B:$B,0))</f>
        <v>63356.426179200003</v>
      </c>
      <c r="X326" s="10">
        <f>INDEX([1]ratio_ins!V:V,MATCH('001_population_health_zone_zs'!$B$2,[1]ratio_ins!$B:$B,0))*$G326*INDEX([1]ratio_ins!$C:$C,MATCH('001_population_health_zone_zs'!$B326,[1]ratio_ins!$B:$B,0))</f>
        <v>1857.9597120000001</v>
      </c>
      <c r="Y326" s="10">
        <f>INDEX([1]ratio_ins!W:W,MATCH('001_population_health_zone_zs'!$B$2,[1]ratio_ins!$B:$B,0))*$G326*INDEX([1]ratio_ins!$C:$C,MATCH('001_population_health_zone_zs'!$B326,[1]ratio_ins!$B:$B,0))</f>
        <v>1238.6398080000001</v>
      </c>
      <c r="Z326" s="10">
        <f>INDEX([1]ratio_ins!X:X,MATCH('001_population_health_zone_zs'!$B$2,[1]ratio_ins!$B:$B,0))*$G326*INDEX([1]ratio_ins!$C:$C,MATCH('001_population_health_zone_zs'!$B326,[1]ratio_ins!$B:$B,0))</f>
        <v>619.31990400000007</v>
      </c>
      <c r="AA326" s="10">
        <f>INDEX([1]ratio_ins!Y:Y,MATCH('001_population_health_zone_zs'!$B$2,[1]ratio_ins!$B:$B,0))*$G326*INDEX([1]ratio_ins!$C:$C,MATCH('001_population_health_zone_zs'!$B326,[1]ratio_ins!$B:$B,0))</f>
        <v>309.65995200000003</v>
      </c>
      <c r="AB326" s="11">
        <f>INDEX([1]ratio_ins!Z:Z,MATCH('001_population_health_zone_zs'!$B$2,[1]ratio_ins!$B:$B,0))*$G326*INDEX([1]ratio_ins!$C:$C,MATCH('001_population_health_zone_zs'!$B326,[1]ratio_ins!$B:$B,0))</f>
        <v>4025.5793760000001</v>
      </c>
      <c r="AC326" s="12">
        <f t="shared" si="30"/>
        <v>154829.976</v>
      </c>
      <c r="AD326" s="10">
        <f>INDEX([1]ratio_ins!AA:AA,MATCH('001_population_health_zone_zs'!$B$2,[1]ratio_ins!$B:$B,0))*$G326*INDEX([1]ratio_ins!$D:$D,MATCH('001_population_health_zone_zs'!$B326,[1]ratio_ins!$B:$B,0))</f>
        <v>33706.265039999998</v>
      </c>
      <c r="AE326" s="10">
        <f>INDEX([1]ratio_ins!AB:AB,MATCH('001_population_health_zone_zs'!$B$2,[1]ratio_ins!$B:$B,0))*$G326*INDEX([1]ratio_ins!$D:$D,MATCH('001_population_health_zone_zs'!$B326,[1]ratio_ins!$B:$B,0))</f>
        <v>27767.542152000002</v>
      </c>
      <c r="AF326" s="10">
        <f>INDEX([1]ratio_ins!AC:AC,MATCH('001_population_health_zone_zs'!$B$2,[1]ratio_ins!$B:$B,0))*$G326*INDEX([1]ratio_ins!$D:$D,MATCH('001_population_health_zone_zs'!$B326,[1]ratio_ins!$B:$B,0))</f>
        <v>21989.325287999996</v>
      </c>
      <c r="AG326" s="10">
        <f>INDEX([1]ratio_ins!AD:AD,MATCH('001_population_health_zone_zs'!$B$2,[1]ratio_ins!$B:$B,0))*$G326*INDEX([1]ratio_ins!$D:$D,MATCH('001_population_health_zone_zs'!$B326,[1]ratio_ins!$B:$B,0))</f>
        <v>13321.999992000001</v>
      </c>
      <c r="AH326" s="10">
        <f>INDEX([1]ratio_ins!AE:AE,MATCH('001_population_health_zone_zs'!$B$2,[1]ratio_ins!$B:$B,0))*$G326*INDEX([1]ratio_ins!$D:$D,MATCH('001_population_health_zone_zs'!$B326,[1]ratio_ins!$B:$B,0))</f>
        <v>7993.1999951999996</v>
      </c>
      <c r="AI326" s="13">
        <f>INDEX([1]ratio_ins!AF:AF,MATCH('001_population_health_zone_zs'!$B$2,[1]ratio_ins!$B:$B,0))*$G326*INDEX([1]ratio_ins!$D:$D,MATCH('001_population_health_zone_zs'!$B326,[1]ratio_ins!$B:$B,0))</f>
        <v>91456.332475200004</v>
      </c>
      <c r="AJ326" s="10">
        <f>INDEX([1]ratio_ins!AG:AG,MATCH('001_population_health_zone_zs'!$B$2,[1]ratio_ins!$B:$B,0))*$G326*INDEX([1]ratio_ins!$D:$D,MATCH('001_population_health_zone_zs'!$B326,[1]ratio_ins!$B:$B,0))</f>
        <v>5328.7999967999995</v>
      </c>
      <c r="AK326" s="10">
        <f>INDEX([1]ratio_ins!AH:AH,MATCH('001_population_health_zone_zs'!$B$2,[1]ratio_ins!$B:$B,0))*$G326*INDEX([1]ratio_ins!$D:$D,MATCH('001_population_health_zone_zs'!$B326,[1]ratio_ins!$B:$B,0))</f>
        <v>11877.445776000002</v>
      </c>
      <c r="AL326" s="10">
        <f>INDEX([1]ratio_ins!AI:AI,MATCH('001_population_health_zone_zs'!$B$2,[1]ratio_ins!$B:$B,0))*$G326*INDEX([1]ratio_ins!$D:$D,MATCH('001_population_health_zone_zs'!$B326,[1]ratio_ins!$B:$B,0))</f>
        <v>11235.421680000001</v>
      </c>
      <c r="AM326" s="10">
        <f>INDEX([1]ratio_ins!AJ:AJ,MATCH('001_population_health_zone_zs'!$B$2,[1]ratio_ins!$B:$B,0))*$G326*INDEX([1]ratio_ins!$D:$D,MATCH('001_population_health_zone_zs'!$B326,[1]ratio_ins!$B:$B,0))</f>
        <v>10272.385536</v>
      </c>
      <c r="AN326" s="10">
        <f>INDEX([1]ratio_ins!AK:AK,MATCH('001_population_health_zone_zs'!$B$2,[1]ratio_ins!$B:$B,0))*$G326*INDEX([1]ratio_ins!$D:$D,MATCH('001_population_health_zone_zs'!$B326,[1]ratio_ins!$B:$B,0))</f>
        <v>9630.3614400000006</v>
      </c>
      <c r="AO326" s="10">
        <f>INDEX([1]ratio_ins!AL:AL,MATCH('001_population_health_zone_zs'!$B$2,[1]ratio_ins!$B:$B,0))*$G326*INDEX([1]ratio_ins!$D:$D,MATCH('001_population_health_zone_zs'!$B326,[1]ratio_ins!$B:$B,0))</f>
        <v>7222.7710799999995</v>
      </c>
      <c r="AP326" s="10">
        <f>INDEX([1]ratio_ins!AM:AM,MATCH('001_population_health_zone_zs'!$B$2,[1]ratio_ins!$B:$B,0))*$G326*INDEX([1]ratio_ins!$D:$D,MATCH('001_population_health_zone_zs'!$B326,[1]ratio_ins!$B:$B,0))</f>
        <v>4654.6746959999991</v>
      </c>
      <c r="AQ326" s="10">
        <f>INDEX([1]ratio_ins!AN:AN,MATCH('001_population_health_zone_zs'!$B$2,[1]ratio_ins!$B:$B,0))*$G326*INDEX([1]ratio_ins!$D:$D,MATCH('001_population_health_zone_zs'!$B326,[1]ratio_ins!$B:$B,0))</f>
        <v>3691.6385519999999</v>
      </c>
      <c r="AR326" s="10">
        <f>INDEX([1]ratio_ins!AO:AO,MATCH('001_population_health_zone_zs'!$B$2,[1]ratio_ins!$B:$B,0))*$G326*INDEX([1]ratio_ins!$D:$D,MATCH('001_population_health_zone_zs'!$B326,[1]ratio_ins!$B:$B,0))</f>
        <v>1765.5662640000003</v>
      </c>
      <c r="AS326" s="13">
        <f>INDEX([1]ratio_ins!AP:AP,MATCH('001_population_health_zone_zs'!$B$2,[1]ratio_ins!$B:$B,0))*$G326*INDEX([1]ratio_ins!$D:$D,MATCH('001_population_health_zone_zs'!$B326,[1]ratio_ins!$B:$B,0))</f>
        <v>65679.065020800001</v>
      </c>
      <c r="AT326" s="10">
        <f>INDEX([1]ratio_ins!AQ:AQ,MATCH('001_population_health_zone_zs'!$B$2,[1]ratio_ins!$B:$B,0))*$G326*INDEX([1]ratio_ins!$D:$D,MATCH('001_population_health_zone_zs'!$B326,[1]ratio_ins!$B:$B,0))</f>
        <v>1605.06024</v>
      </c>
      <c r="AU326" s="10">
        <f>INDEX([1]ratio_ins!AR:AR,MATCH('001_population_health_zone_zs'!$B$2,[1]ratio_ins!$B:$B,0))*$G326*INDEX([1]ratio_ins!$D:$D,MATCH('001_population_health_zone_zs'!$B326,[1]ratio_ins!$B:$B,0))</f>
        <v>963.03614400000004</v>
      </c>
      <c r="AV326" s="10">
        <f>INDEX([1]ratio_ins!AS:AS,MATCH('001_population_health_zone_zs'!$B$2,[1]ratio_ins!$B:$B,0))*$G326*INDEX([1]ratio_ins!$D:$D,MATCH('001_population_health_zone_zs'!$B326,[1]ratio_ins!$B:$B,0))</f>
        <v>481.51807200000002</v>
      </c>
      <c r="AW326" s="10">
        <f>INDEX([1]ratio_ins!AT:AT,MATCH('001_population_health_zone_zs'!$B$2,[1]ratio_ins!$B:$B,0))*$G326*INDEX([1]ratio_ins!$D:$D,MATCH('001_population_health_zone_zs'!$B326,[1]ratio_ins!$B:$B,0))</f>
        <v>321.01204799999999</v>
      </c>
      <c r="AX326" s="13">
        <f>INDEX([1]ratio_ins!AU:AU,MATCH('001_population_health_zone_zs'!$B$2,[1]ratio_ins!$B:$B,0))*$G326*INDEX([1]ratio_ins!$D:$D,MATCH('001_population_health_zone_zs'!$B326,[1]ratio_ins!$B:$B,0))</f>
        <v>3370.6265039999998</v>
      </c>
      <c r="AY326" s="14">
        <f t="shared" si="31"/>
        <v>160506.02399999998</v>
      </c>
      <c r="AZ326" s="15">
        <f t="shared" si="32"/>
        <v>315336</v>
      </c>
      <c r="BA326" s="16">
        <v>302799.45617702085</v>
      </c>
      <c r="BB326" s="10">
        <f t="shared" si="33"/>
        <v>68215.060200000007</v>
      </c>
      <c r="BC326" s="17">
        <f t="shared" si="34"/>
        <v>0.21632500000000002</v>
      </c>
      <c r="BD326" s="10">
        <f t="shared" si="35"/>
        <v>64564.099992000003</v>
      </c>
    </row>
    <row r="327" spans="1:56" x14ac:dyDescent="0.25">
      <c r="A327" s="8" t="s">
        <v>751</v>
      </c>
      <c r="B327" s="8" t="s">
        <v>752</v>
      </c>
      <c r="C327" s="8" t="s">
        <v>802</v>
      </c>
      <c r="D327" s="8" t="s">
        <v>803</v>
      </c>
      <c r="E327" s="8" t="s">
        <v>804</v>
      </c>
      <c r="F327" s="8" t="s">
        <v>805</v>
      </c>
      <c r="G327" s="9">
        <v>172846</v>
      </c>
      <c r="H327" s="10">
        <f>INDEX([1]ratio_ins!F:F,MATCH('001_population_health_zone_zs'!$B$2,[1]ratio_ins!$B:$B,0))*$G327*INDEX([1]ratio_ins!$C:$C,MATCH('001_population_health_zone_zs'!$B327,[1]ratio_ins!$B:$B,0))</f>
        <v>17737.283673999998</v>
      </c>
      <c r="I327" s="10">
        <f>INDEX([1]ratio_ins!G:G,MATCH('001_population_health_zone_zs'!$B$2,[1]ratio_ins!$B:$B,0))*$G327*INDEX([1]ratio_ins!$C:$C,MATCH('001_population_health_zone_zs'!$B327,[1]ratio_ins!$B:$B,0))</f>
        <v>14512.323006000001</v>
      </c>
      <c r="J327" s="10">
        <f>INDEX([1]ratio_ins!H:H,MATCH('001_population_health_zone_zs'!$B$2,[1]ratio_ins!$B:$B,0))*$G327*INDEX([1]ratio_ins!$C:$C,MATCH('001_population_health_zone_zs'!$B327,[1]ratio_ins!$B:$B,0))</f>
        <v>11457.097110000001</v>
      </c>
      <c r="K327" s="10">
        <f>INDEX([1]ratio_ins!I:I,MATCH('001_population_health_zone_zs'!$B$2,[1]ratio_ins!$B:$B,0))*$G327*INDEX([1]ratio_ins!$C:$C,MATCH('001_population_health_zone_zs'!$B327,[1]ratio_ins!$B:$B,0))</f>
        <v>7043.9930380000005</v>
      </c>
      <c r="L327" s="10">
        <f>INDEX([1]ratio_ins!J:J,MATCH('001_population_health_zone_zs'!$B$2,[1]ratio_ins!$B:$B,0))*$G327*INDEX([1]ratio_ins!$C:$C,MATCH('001_population_health_zone_zs'!$B327,[1]ratio_ins!$B:$B,0))</f>
        <v>4226.3958227999992</v>
      </c>
      <c r="M327" s="11">
        <f>INDEX([1]ratio_ins!K:K,MATCH('001_population_health_zone_zs'!$B$2,[1]ratio_ins!$B:$B,0))*$G327*INDEX([1]ratio_ins!$C:$C,MATCH('001_population_health_zone_zs'!$B327,[1]ratio_ins!$B:$B,0))</f>
        <v>47933.099612799997</v>
      </c>
      <c r="N327" s="10">
        <f>INDEX([1]ratio_ins!L:L,MATCH('001_population_health_zone_zs'!$B$2,[1]ratio_ins!$B:$B,0))*$G327*INDEX([1]ratio_ins!$C:$C,MATCH('001_population_health_zone_zs'!$B327,[1]ratio_ins!$B:$B,0))</f>
        <v>2817.5972152000004</v>
      </c>
      <c r="O327" s="10">
        <f>INDEX([1]ratio_ins!M:M,MATCH('001_population_health_zone_zs'!$B$2,[1]ratio_ins!$B:$B,0))*$G327*INDEX([1]ratio_ins!$C:$C,MATCH('001_population_health_zone_zs'!$B327,[1]ratio_ins!$B:$B,0))</f>
        <v>6110.4517920000008</v>
      </c>
      <c r="P327" s="10">
        <f>INDEX([1]ratio_ins!N:N,MATCH('001_population_health_zone_zs'!$B$2,[1]ratio_ins!$B:$B,0))*$G327*INDEX([1]ratio_ins!$C:$C,MATCH('001_population_health_zone_zs'!$B327,[1]ratio_ins!$B:$B,0))</f>
        <v>5516.3800899999997</v>
      </c>
      <c r="Q327" s="10">
        <f>INDEX([1]ratio_ins!O:O,MATCH('001_population_health_zone_zs'!$B$2,[1]ratio_ins!$B:$B,0))*$G327*INDEX([1]ratio_ins!$C:$C,MATCH('001_population_health_zone_zs'!$B327,[1]ratio_ins!$B:$B,0))</f>
        <v>4922.3083879999995</v>
      </c>
      <c r="R327" s="10">
        <f>INDEX([1]ratio_ins!P:P,MATCH('001_population_health_zone_zs'!$B$2,[1]ratio_ins!$B:$B,0))*$G327*INDEX([1]ratio_ins!$C:$C,MATCH('001_population_health_zone_zs'!$B327,[1]ratio_ins!$B:$B,0))</f>
        <v>4837.4410019999996</v>
      </c>
      <c r="S327" s="10">
        <f>INDEX([1]ratio_ins!Q:Q,MATCH('001_population_health_zone_zs'!$B$2,[1]ratio_ins!$B:$B,0))*$G327*INDEX([1]ratio_ins!$C:$C,MATCH('001_population_health_zone_zs'!$B327,[1]ratio_ins!$B:$B,0))</f>
        <v>4073.634528</v>
      </c>
      <c r="T327" s="10">
        <f>INDEX([1]ratio_ins!R:R,MATCH('001_population_health_zone_zs'!$B$2,[1]ratio_ins!$B:$B,0))*$G327*INDEX([1]ratio_ins!$C:$C,MATCH('001_population_health_zone_zs'!$B327,[1]ratio_ins!$B:$B,0))</f>
        <v>2885.4911240000001</v>
      </c>
      <c r="U327" s="10">
        <f>INDEX([1]ratio_ins!S:S,MATCH('001_population_health_zone_zs'!$B$2,[1]ratio_ins!$B:$B,0))*$G327*INDEX([1]ratio_ins!$C:$C,MATCH('001_population_health_zone_zs'!$B327,[1]ratio_ins!$B:$B,0))</f>
        <v>2291.4194220000004</v>
      </c>
      <c r="V327" s="10">
        <f>INDEX([1]ratio_ins!T:T,MATCH('001_population_health_zone_zs'!$B$2,[1]ratio_ins!$B:$B,0))*$G327*INDEX([1]ratio_ins!$C:$C,MATCH('001_population_health_zone_zs'!$B327,[1]ratio_ins!$B:$B,0))</f>
        <v>1273.01079</v>
      </c>
      <c r="W327" s="11">
        <f>INDEX([1]ratio_ins!U:U,MATCH('001_population_health_zone_zs'!$B$2,[1]ratio_ins!$B:$B,0))*$G327*INDEX([1]ratio_ins!$C:$C,MATCH('001_population_health_zone_zs'!$B327,[1]ratio_ins!$B:$B,0))</f>
        <v>34727.734351200001</v>
      </c>
      <c r="X327" s="10">
        <f>INDEX([1]ratio_ins!V:V,MATCH('001_population_health_zone_zs'!$B$2,[1]ratio_ins!$B:$B,0))*$G327*INDEX([1]ratio_ins!$C:$C,MATCH('001_population_health_zone_zs'!$B327,[1]ratio_ins!$B:$B,0))</f>
        <v>1018.408632</v>
      </c>
      <c r="Y327" s="10">
        <f>INDEX([1]ratio_ins!W:W,MATCH('001_population_health_zone_zs'!$B$2,[1]ratio_ins!$B:$B,0))*$G327*INDEX([1]ratio_ins!$C:$C,MATCH('001_population_health_zone_zs'!$B327,[1]ratio_ins!$B:$B,0))</f>
        <v>678.93908799999997</v>
      </c>
      <c r="Z327" s="10">
        <f>INDEX([1]ratio_ins!X:X,MATCH('001_population_health_zone_zs'!$B$2,[1]ratio_ins!$B:$B,0))*$G327*INDEX([1]ratio_ins!$C:$C,MATCH('001_population_health_zone_zs'!$B327,[1]ratio_ins!$B:$B,0))</f>
        <v>339.46954399999998</v>
      </c>
      <c r="AA327" s="10">
        <f>INDEX([1]ratio_ins!Y:Y,MATCH('001_population_health_zone_zs'!$B$2,[1]ratio_ins!$B:$B,0))*$G327*INDEX([1]ratio_ins!$C:$C,MATCH('001_population_health_zone_zs'!$B327,[1]ratio_ins!$B:$B,0))</f>
        <v>169.73477199999999</v>
      </c>
      <c r="AB327" s="11">
        <f>INDEX([1]ratio_ins!Z:Z,MATCH('001_population_health_zone_zs'!$B$2,[1]ratio_ins!$B:$B,0))*$G327*INDEX([1]ratio_ins!$C:$C,MATCH('001_population_health_zone_zs'!$B327,[1]ratio_ins!$B:$B,0))</f>
        <v>2206.552036</v>
      </c>
      <c r="AC327" s="12">
        <f t="shared" si="30"/>
        <v>84867.385999999984</v>
      </c>
      <c r="AD327" s="10">
        <f>INDEX([1]ratio_ins!AA:AA,MATCH('001_population_health_zone_zs'!$B$2,[1]ratio_ins!$B:$B,0))*$G327*INDEX([1]ratio_ins!$D:$D,MATCH('001_population_health_zone_zs'!$B327,[1]ratio_ins!$B:$B,0))</f>
        <v>18475.50894</v>
      </c>
      <c r="AE327" s="10">
        <f>INDEX([1]ratio_ins!AB:AB,MATCH('001_population_health_zone_zs'!$B$2,[1]ratio_ins!$B:$B,0))*$G327*INDEX([1]ratio_ins!$D:$D,MATCH('001_population_health_zone_zs'!$B327,[1]ratio_ins!$B:$B,0))</f>
        <v>15220.300222000002</v>
      </c>
      <c r="AF327" s="10">
        <f>INDEX([1]ratio_ins!AC:AC,MATCH('001_population_health_zone_zs'!$B$2,[1]ratio_ins!$B:$B,0))*$G327*INDEX([1]ratio_ins!$D:$D,MATCH('001_population_health_zone_zs'!$B327,[1]ratio_ins!$B:$B,0))</f>
        <v>12053.070118</v>
      </c>
      <c r="AG327" s="10">
        <f>INDEX([1]ratio_ins!AD:AD,MATCH('001_population_health_zone_zs'!$B$2,[1]ratio_ins!$B:$B,0))*$G327*INDEX([1]ratio_ins!$D:$D,MATCH('001_population_health_zone_zs'!$B327,[1]ratio_ins!$B:$B,0))</f>
        <v>7302.2249620000002</v>
      </c>
      <c r="AH327" s="10">
        <f>INDEX([1]ratio_ins!AE:AE,MATCH('001_population_health_zone_zs'!$B$2,[1]ratio_ins!$B:$B,0))*$G327*INDEX([1]ratio_ins!$D:$D,MATCH('001_population_health_zone_zs'!$B327,[1]ratio_ins!$B:$B,0))</f>
        <v>4381.3349772000001</v>
      </c>
      <c r="AI327" s="13">
        <f>INDEX([1]ratio_ins!AF:AF,MATCH('001_population_health_zone_zs'!$B$2,[1]ratio_ins!$B:$B,0))*$G327*INDEX([1]ratio_ins!$D:$D,MATCH('001_population_health_zone_zs'!$B327,[1]ratio_ins!$B:$B,0))</f>
        <v>50130.214257199994</v>
      </c>
      <c r="AJ327" s="10">
        <f>INDEX([1]ratio_ins!AG:AG,MATCH('001_population_health_zone_zs'!$B$2,[1]ratio_ins!$B:$B,0))*$G327*INDEX([1]ratio_ins!$D:$D,MATCH('001_population_health_zone_zs'!$B327,[1]ratio_ins!$B:$B,0))</f>
        <v>2920.8899848000001</v>
      </c>
      <c r="AK327" s="10">
        <f>INDEX([1]ratio_ins!AH:AH,MATCH('001_population_health_zone_zs'!$B$2,[1]ratio_ins!$B:$B,0))*$G327*INDEX([1]ratio_ins!$D:$D,MATCH('001_population_health_zone_zs'!$B327,[1]ratio_ins!$B:$B,0))</f>
        <v>6510.4174360000006</v>
      </c>
      <c r="AL327" s="10">
        <f>INDEX([1]ratio_ins!AI:AI,MATCH('001_population_health_zone_zs'!$B$2,[1]ratio_ins!$B:$B,0))*$G327*INDEX([1]ratio_ins!$D:$D,MATCH('001_population_health_zone_zs'!$B327,[1]ratio_ins!$B:$B,0))</f>
        <v>6158.5029800000011</v>
      </c>
      <c r="AM327" s="10">
        <f>INDEX([1]ratio_ins!AJ:AJ,MATCH('001_population_health_zone_zs'!$B$2,[1]ratio_ins!$B:$B,0))*$G327*INDEX([1]ratio_ins!$D:$D,MATCH('001_population_health_zone_zs'!$B327,[1]ratio_ins!$B:$B,0))</f>
        <v>5630.6312960000005</v>
      </c>
      <c r="AN327" s="10">
        <f>INDEX([1]ratio_ins!AK:AK,MATCH('001_population_health_zone_zs'!$B$2,[1]ratio_ins!$B:$B,0))*$G327*INDEX([1]ratio_ins!$D:$D,MATCH('001_population_health_zone_zs'!$B327,[1]ratio_ins!$B:$B,0))</f>
        <v>5278.71684</v>
      </c>
      <c r="AO327" s="10">
        <f>INDEX([1]ratio_ins!AL:AL,MATCH('001_population_health_zone_zs'!$B$2,[1]ratio_ins!$B:$B,0))*$G327*INDEX([1]ratio_ins!$D:$D,MATCH('001_population_health_zone_zs'!$B327,[1]ratio_ins!$B:$B,0))</f>
        <v>3959.0376299999998</v>
      </c>
      <c r="AP327" s="10">
        <f>INDEX([1]ratio_ins!AM:AM,MATCH('001_population_health_zone_zs'!$B$2,[1]ratio_ins!$B:$B,0))*$G327*INDEX([1]ratio_ins!$D:$D,MATCH('001_population_health_zone_zs'!$B327,[1]ratio_ins!$B:$B,0))</f>
        <v>2551.3798059999999</v>
      </c>
      <c r="AQ327" s="10">
        <f>INDEX([1]ratio_ins!AN:AN,MATCH('001_population_health_zone_zs'!$B$2,[1]ratio_ins!$B:$B,0))*$G327*INDEX([1]ratio_ins!$D:$D,MATCH('001_population_health_zone_zs'!$B327,[1]ratio_ins!$B:$B,0))</f>
        <v>2023.5081220000002</v>
      </c>
      <c r="AR327" s="10">
        <f>INDEX([1]ratio_ins!AO:AO,MATCH('001_population_health_zone_zs'!$B$2,[1]ratio_ins!$B:$B,0))*$G327*INDEX([1]ratio_ins!$D:$D,MATCH('001_population_health_zone_zs'!$B327,[1]ratio_ins!$B:$B,0))</f>
        <v>967.76475400000015</v>
      </c>
      <c r="AS327" s="13">
        <f>INDEX([1]ratio_ins!AP:AP,MATCH('001_population_health_zone_zs'!$B$2,[1]ratio_ins!$B:$B,0))*$G327*INDEX([1]ratio_ins!$D:$D,MATCH('001_population_health_zone_zs'!$B327,[1]ratio_ins!$B:$B,0))</f>
        <v>36000.848848800008</v>
      </c>
      <c r="AT327" s="10">
        <f>INDEX([1]ratio_ins!AQ:AQ,MATCH('001_population_health_zone_zs'!$B$2,[1]ratio_ins!$B:$B,0))*$G327*INDEX([1]ratio_ins!$D:$D,MATCH('001_population_health_zone_zs'!$B327,[1]ratio_ins!$B:$B,0))</f>
        <v>879.78614000000005</v>
      </c>
      <c r="AU327" s="10">
        <f>INDEX([1]ratio_ins!AR:AR,MATCH('001_population_health_zone_zs'!$B$2,[1]ratio_ins!$B:$B,0))*$G327*INDEX([1]ratio_ins!$D:$D,MATCH('001_population_health_zone_zs'!$B327,[1]ratio_ins!$B:$B,0))</f>
        <v>527.87168400000007</v>
      </c>
      <c r="AV327" s="10">
        <f>INDEX([1]ratio_ins!AS:AS,MATCH('001_population_health_zone_zs'!$B$2,[1]ratio_ins!$B:$B,0))*$G327*INDEX([1]ratio_ins!$D:$D,MATCH('001_population_health_zone_zs'!$B327,[1]ratio_ins!$B:$B,0))</f>
        <v>263.93584200000004</v>
      </c>
      <c r="AW327" s="10">
        <f>INDEX([1]ratio_ins!AT:AT,MATCH('001_population_health_zone_zs'!$B$2,[1]ratio_ins!$B:$B,0))*$G327*INDEX([1]ratio_ins!$D:$D,MATCH('001_population_health_zone_zs'!$B327,[1]ratio_ins!$B:$B,0))</f>
        <v>175.95722800000001</v>
      </c>
      <c r="AX327" s="13">
        <f>INDEX([1]ratio_ins!AU:AU,MATCH('001_population_health_zone_zs'!$B$2,[1]ratio_ins!$B:$B,0))*$G327*INDEX([1]ratio_ins!$D:$D,MATCH('001_population_health_zone_zs'!$B327,[1]ratio_ins!$B:$B,0))</f>
        <v>1847.5508939999997</v>
      </c>
      <c r="AY327" s="14">
        <f t="shared" si="31"/>
        <v>87978.614000000001</v>
      </c>
      <c r="AZ327" s="15">
        <f t="shared" si="32"/>
        <v>172846</v>
      </c>
      <c r="BA327" s="16">
        <v>165974.50254075121</v>
      </c>
      <c r="BB327" s="10">
        <f t="shared" si="33"/>
        <v>37390.910949999998</v>
      </c>
      <c r="BC327" s="17">
        <f t="shared" si="34"/>
        <v>0.21632499999999999</v>
      </c>
      <c r="BD327" s="10">
        <f t="shared" si="35"/>
        <v>35389.699961999999</v>
      </c>
    </row>
    <row r="328" spans="1:56" x14ac:dyDescent="0.25">
      <c r="A328" s="8" t="s">
        <v>751</v>
      </c>
      <c r="B328" s="8" t="s">
        <v>752</v>
      </c>
      <c r="C328" s="8" t="s">
        <v>802</v>
      </c>
      <c r="D328" s="8" t="s">
        <v>803</v>
      </c>
      <c r="E328" s="8" t="s">
        <v>806</v>
      </c>
      <c r="F328" s="8" t="s">
        <v>807</v>
      </c>
      <c r="G328" s="9">
        <v>209195</v>
      </c>
      <c r="H328" s="10">
        <f>INDEX([1]ratio_ins!F:F,MATCH('001_population_health_zone_zs'!$B$2,[1]ratio_ins!$B:$B,0))*$G328*INDEX([1]ratio_ins!$C:$C,MATCH('001_population_health_zone_zs'!$B328,[1]ratio_ins!$B:$B,0))</f>
        <v>21467.381705</v>
      </c>
      <c r="I328" s="10">
        <f>INDEX([1]ratio_ins!G:G,MATCH('001_population_health_zone_zs'!$B$2,[1]ratio_ins!$B:$B,0))*$G328*INDEX([1]ratio_ins!$C:$C,MATCH('001_population_health_zone_zs'!$B328,[1]ratio_ins!$B:$B,0))</f>
        <v>17564.221395</v>
      </c>
      <c r="J328" s="10">
        <f>INDEX([1]ratio_ins!H:H,MATCH('001_population_health_zone_zs'!$B$2,[1]ratio_ins!$B:$B,0))*$G328*INDEX([1]ratio_ins!$C:$C,MATCH('001_population_health_zone_zs'!$B328,[1]ratio_ins!$B:$B,0))</f>
        <v>13866.490575</v>
      </c>
      <c r="K328" s="10">
        <f>INDEX([1]ratio_ins!I:I,MATCH('001_population_health_zone_zs'!$B$2,[1]ratio_ins!$B:$B,0))*$G328*INDEX([1]ratio_ins!$C:$C,MATCH('001_population_health_zone_zs'!$B328,[1]ratio_ins!$B:$B,0))</f>
        <v>8525.3238350000011</v>
      </c>
      <c r="L328" s="10">
        <f>INDEX([1]ratio_ins!J:J,MATCH('001_population_health_zone_zs'!$B$2,[1]ratio_ins!$B:$B,0))*$G328*INDEX([1]ratio_ins!$C:$C,MATCH('001_population_health_zone_zs'!$B328,[1]ratio_ins!$B:$B,0))</f>
        <v>5115.1943009999995</v>
      </c>
      <c r="M328" s="11">
        <f>INDEX([1]ratio_ins!K:K,MATCH('001_population_health_zone_zs'!$B$2,[1]ratio_ins!$B:$B,0))*$G328*INDEX([1]ratio_ins!$C:$C,MATCH('001_population_health_zone_zs'!$B328,[1]ratio_ins!$B:$B,0))</f>
        <v>58013.287976</v>
      </c>
      <c r="N328" s="10">
        <f>INDEX([1]ratio_ins!L:L,MATCH('001_population_health_zone_zs'!$B$2,[1]ratio_ins!$B:$B,0))*$G328*INDEX([1]ratio_ins!$C:$C,MATCH('001_population_health_zone_zs'!$B328,[1]ratio_ins!$B:$B,0))</f>
        <v>3410.1295340000001</v>
      </c>
      <c r="O328" s="10">
        <f>INDEX([1]ratio_ins!M:M,MATCH('001_population_health_zone_zs'!$B$2,[1]ratio_ins!$B:$B,0))*$G328*INDEX([1]ratio_ins!$C:$C,MATCH('001_population_health_zone_zs'!$B328,[1]ratio_ins!$B:$B,0))</f>
        <v>7395.4616400000004</v>
      </c>
      <c r="P328" s="10">
        <f>INDEX([1]ratio_ins!N:N,MATCH('001_population_health_zone_zs'!$B$2,[1]ratio_ins!$B:$B,0))*$G328*INDEX([1]ratio_ins!$C:$C,MATCH('001_population_health_zone_zs'!$B328,[1]ratio_ins!$B:$B,0))</f>
        <v>6676.4584250000007</v>
      </c>
      <c r="Q328" s="10">
        <f>INDEX([1]ratio_ins!O:O,MATCH('001_population_health_zone_zs'!$B$2,[1]ratio_ins!$B:$B,0))*$G328*INDEX([1]ratio_ins!$C:$C,MATCH('001_population_health_zone_zs'!$B328,[1]ratio_ins!$B:$B,0))</f>
        <v>5957.4552100000001</v>
      </c>
      <c r="R328" s="10">
        <f>INDEX([1]ratio_ins!P:P,MATCH('001_population_health_zone_zs'!$B$2,[1]ratio_ins!$B:$B,0))*$G328*INDEX([1]ratio_ins!$C:$C,MATCH('001_population_health_zone_zs'!$B328,[1]ratio_ins!$B:$B,0))</f>
        <v>5854.7404649999999</v>
      </c>
      <c r="S328" s="10">
        <f>INDEX([1]ratio_ins!Q:Q,MATCH('001_population_health_zone_zs'!$B$2,[1]ratio_ins!$B:$B,0))*$G328*INDEX([1]ratio_ins!$C:$C,MATCH('001_population_health_zone_zs'!$B328,[1]ratio_ins!$B:$B,0))</f>
        <v>4930.3077600000006</v>
      </c>
      <c r="T328" s="10">
        <f>INDEX([1]ratio_ins!R:R,MATCH('001_population_health_zone_zs'!$B$2,[1]ratio_ins!$B:$B,0))*$G328*INDEX([1]ratio_ins!$C:$C,MATCH('001_population_health_zone_zs'!$B328,[1]ratio_ins!$B:$B,0))</f>
        <v>3492.3013299999998</v>
      </c>
      <c r="U328" s="10">
        <f>INDEX([1]ratio_ins!S:S,MATCH('001_population_health_zone_zs'!$B$2,[1]ratio_ins!$B:$B,0))*$G328*INDEX([1]ratio_ins!$C:$C,MATCH('001_population_health_zone_zs'!$B328,[1]ratio_ins!$B:$B,0))</f>
        <v>2773.2981150000001</v>
      </c>
      <c r="V328" s="10">
        <f>INDEX([1]ratio_ins!T:T,MATCH('001_population_health_zone_zs'!$B$2,[1]ratio_ins!$B:$B,0))*$G328*INDEX([1]ratio_ins!$C:$C,MATCH('001_population_health_zone_zs'!$B328,[1]ratio_ins!$B:$B,0))</f>
        <v>1540.7211749999999</v>
      </c>
      <c r="W328" s="11">
        <f>INDEX([1]ratio_ins!U:U,MATCH('001_population_health_zone_zs'!$B$2,[1]ratio_ins!$B:$B,0))*$G328*INDEX([1]ratio_ins!$C:$C,MATCH('001_population_health_zone_zs'!$B328,[1]ratio_ins!$B:$B,0))</f>
        <v>42030.873653999995</v>
      </c>
      <c r="X328" s="10">
        <f>INDEX([1]ratio_ins!V:V,MATCH('001_population_health_zone_zs'!$B$2,[1]ratio_ins!$B:$B,0))*$G328*INDEX([1]ratio_ins!$C:$C,MATCH('001_population_health_zone_zs'!$B328,[1]ratio_ins!$B:$B,0))</f>
        <v>1232.5769400000001</v>
      </c>
      <c r="Y328" s="10">
        <f>INDEX([1]ratio_ins!W:W,MATCH('001_population_health_zone_zs'!$B$2,[1]ratio_ins!$B:$B,0))*$G328*INDEX([1]ratio_ins!$C:$C,MATCH('001_population_health_zone_zs'!$B328,[1]ratio_ins!$B:$B,0))</f>
        <v>821.71795999999995</v>
      </c>
      <c r="Z328" s="10">
        <f>INDEX([1]ratio_ins!X:X,MATCH('001_population_health_zone_zs'!$B$2,[1]ratio_ins!$B:$B,0))*$G328*INDEX([1]ratio_ins!$C:$C,MATCH('001_population_health_zone_zs'!$B328,[1]ratio_ins!$B:$B,0))</f>
        <v>410.85897999999997</v>
      </c>
      <c r="AA328" s="10">
        <f>INDEX([1]ratio_ins!Y:Y,MATCH('001_population_health_zone_zs'!$B$2,[1]ratio_ins!$B:$B,0))*$G328*INDEX([1]ratio_ins!$C:$C,MATCH('001_population_health_zone_zs'!$B328,[1]ratio_ins!$B:$B,0))</f>
        <v>205.42948999999999</v>
      </c>
      <c r="AB328" s="11">
        <f>INDEX([1]ratio_ins!Z:Z,MATCH('001_population_health_zone_zs'!$B$2,[1]ratio_ins!$B:$B,0))*$G328*INDEX([1]ratio_ins!$C:$C,MATCH('001_population_health_zone_zs'!$B328,[1]ratio_ins!$B:$B,0))</f>
        <v>2670.5833700000003</v>
      </c>
      <c r="AC328" s="12">
        <f t="shared" si="30"/>
        <v>102714.745</v>
      </c>
      <c r="AD328" s="10">
        <f>INDEX([1]ratio_ins!AA:AA,MATCH('001_population_health_zone_zs'!$B$2,[1]ratio_ins!$B:$B,0))*$G328*INDEX([1]ratio_ins!$D:$D,MATCH('001_population_health_zone_zs'!$B328,[1]ratio_ins!$B:$B,0))</f>
        <v>22360.85355</v>
      </c>
      <c r="AE328" s="10">
        <f>INDEX([1]ratio_ins!AB:AB,MATCH('001_population_health_zone_zs'!$B$2,[1]ratio_ins!$B:$B,0))*$G328*INDEX([1]ratio_ins!$D:$D,MATCH('001_population_health_zone_zs'!$B328,[1]ratio_ins!$B:$B,0))</f>
        <v>18421.084115000001</v>
      </c>
      <c r="AF328" s="10">
        <f>INDEX([1]ratio_ins!AC:AC,MATCH('001_population_health_zone_zs'!$B$2,[1]ratio_ins!$B:$B,0))*$G328*INDEX([1]ratio_ins!$D:$D,MATCH('001_population_health_zone_zs'!$B328,[1]ratio_ins!$B:$B,0))</f>
        <v>14587.794934999998</v>
      </c>
      <c r="AG328" s="10">
        <f>INDEX([1]ratio_ins!AD:AD,MATCH('001_population_health_zone_zs'!$B$2,[1]ratio_ins!$B:$B,0))*$G328*INDEX([1]ratio_ins!$D:$D,MATCH('001_population_health_zone_zs'!$B328,[1]ratio_ins!$B:$B,0))</f>
        <v>8837.8611650000003</v>
      </c>
      <c r="AH328" s="10">
        <f>INDEX([1]ratio_ins!AE:AE,MATCH('001_population_health_zone_zs'!$B$2,[1]ratio_ins!$B:$B,0))*$G328*INDEX([1]ratio_ins!$D:$D,MATCH('001_population_health_zone_zs'!$B328,[1]ratio_ins!$B:$B,0))</f>
        <v>5302.7166990000005</v>
      </c>
      <c r="AI328" s="13">
        <f>INDEX([1]ratio_ins!AF:AF,MATCH('001_population_health_zone_zs'!$B$2,[1]ratio_ins!$B:$B,0))*$G328*INDEX([1]ratio_ins!$D:$D,MATCH('001_population_health_zone_zs'!$B328,[1]ratio_ins!$B:$B,0))</f>
        <v>60672.449299</v>
      </c>
      <c r="AJ328" s="10">
        <f>INDEX([1]ratio_ins!AG:AG,MATCH('001_population_health_zone_zs'!$B$2,[1]ratio_ins!$B:$B,0))*$G328*INDEX([1]ratio_ins!$D:$D,MATCH('001_population_health_zone_zs'!$B328,[1]ratio_ins!$B:$B,0))</f>
        <v>3535.1444660000002</v>
      </c>
      <c r="AK328" s="10">
        <f>INDEX([1]ratio_ins!AH:AH,MATCH('001_population_health_zone_zs'!$B$2,[1]ratio_ins!$B:$B,0))*$G328*INDEX([1]ratio_ins!$D:$D,MATCH('001_population_health_zone_zs'!$B328,[1]ratio_ins!$B:$B,0))</f>
        <v>7879.5388700000012</v>
      </c>
      <c r="AL328" s="10">
        <f>INDEX([1]ratio_ins!AI:AI,MATCH('001_population_health_zone_zs'!$B$2,[1]ratio_ins!$B:$B,0))*$G328*INDEX([1]ratio_ins!$D:$D,MATCH('001_population_health_zone_zs'!$B328,[1]ratio_ins!$B:$B,0))</f>
        <v>7453.6178500000005</v>
      </c>
      <c r="AM328" s="10">
        <f>INDEX([1]ratio_ins!AJ:AJ,MATCH('001_population_health_zone_zs'!$B$2,[1]ratio_ins!$B:$B,0))*$G328*INDEX([1]ratio_ins!$D:$D,MATCH('001_population_health_zone_zs'!$B328,[1]ratio_ins!$B:$B,0))</f>
        <v>6814.73632</v>
      </c>
      <c r="AN328" s="10">
        <f>INDEX([1]ratio_ins!AK:AK,MATCH('001_population_health_zone_zs'!$B$2,[1]ratio_ins!$B:$B,0))*$G328*INDEX([1]ratio_ins!$D:$D,MATCH('001_population_health_zone_zs'!$B328,[1]ratio_ins!$B:$B,0))</f>
        <v>6388.8152999999993</v>
      </c>
      <c r="AO328" s="10">
        <f>INDEX([1]ratio_ins!AL:AL,MATCH('001_population_health_zone_zs'!$B$2,[1]ratio_ins!$B:$B,0))*$G328*INDEX([1]ratio_ins!$D:$D,MATCH('001_population_health_zone_zs'!$B328,[1]ratio_ins!$B:$B,0))</f>
        <v>4791.6114749999997</v>
      </c>
      <c r="AP328" s="10">
        <f>INDEX([1]ratio_ins!AM:AM,MATCH('001_population_health_zone_zs'!$B$2,[1]ratio_ins!$B:$B,0))*$G328*INDEX([1]ratio_ins!$D:$D,MATCH('001_population_health_zone_zs'!$B328,[1]ratio_ins!$B:$B,0))</f>
        <v>3087.9273949999997</v>
      </c>
      <c r="AQ328" s="10">
        <f>INDEX([1]ratio_ins!AN:AN,MATCH('001_population_health_zone_zs'!$B$2,[1]ratio_ins!$B:$B,0))*$G328*INDEX([1]ratio_ins!$D:$D,MATCH('001_population_health_zone_zs'!$B328,[1]ratio_ins!$B:$B,0))</f>
        <v>2449.045865</v>
      </c>
      <c r="AR328" s="10">
        <f>INDEX([1]ratio_ins!AO:AO,MATCH('001_population_health_zone_zs'!$B$2,[1]ratio_ins!$B:$B,0))*$G328*INDEX([1]ratio_ins!$D:$D,MATCH('001_population_health_zone_zs'!$B328,[1]ratio_ins!$B:$B,0))</f>
        <v>1171.2828050000003</v>
      </c>
      <c r="AS328" s="13">
        <f>INDEX([1]ratio_ins!AP:AP,MATCH('001_population_health_zone_zs'!$B$2,[1]ratio_ins!$B:$B,0))*$G328*INDEX([1]ratio_ins!$D:$D,MATCH('001_population_health_zone_zs'!$B328,[1]ratio_ins!$B:$B,0))</f>
        <v>43571.720346000002</v>
      </c>
      <c r="AT328" s="10">
        <f>INDEX([1]ratio_ins!AQ:AQ,MATCH('001_population_health_zone_zs'!$B$2,[1]ratio_ins!$B:$B,0))*$G328*INDEX([1]ratio_ins!$D:$D,MATCH('001_population_health_zone_zs'!$B328,[1]ratio_ins!$B:$B,0))</f>
        <v>1064.8025499999999</v>
      </c>
      <c r="AU328" s="10">
        <f>INDEX([1]ratio_ins!AR:AR,MATCH('001_population_health_zone_zs'!$B$2,[1]ratio_ins!$B:$B,0))*$G328*INDEX([1]ratio_ins!$D:$D,MATCH('001_population_health_zone_zs'!$B328,[1]ratio_ins!$B:$B,0))</f>
        <v>638.88153</v>
      </c>
      <c r="AV328" s="10">
        <f>INDEX([1]ratio_ins!AS:AS,MATCH('001_population_health_zone_zs'!$B$2,[1]ratio_ins!$B:$B,0))*$G328*INDEX([1]ratio_ins!$D:$D,MATCH('001_population_health_zone_zs'!$B328,[1]ratio_ins!$B:$B,0))</f>
        <v>319.440765</v>
      </c>
      <c r="AW328" s="10">
        <f>INDEX([1]ratio_ins!AT:AT,MATCH('001_population_health_zone_zs'!$B$2,[1]ratio_ins!$B:$B,0))*$G328*INDEX([1]ratio_ins!$D:$D,MATCH('001_population_health_zone_zs'!$B328,[1]ratio_ins!$B:$B,0))</f>
        <v>212.96051</v>
      </c>
      <c r="AX328" s="13">
        <f>INDEX([1]ratio_ins!AU:AU,MATCH('001_population_health_zone_zs'!$B$2,[1]ratio_ins!$B:$B,0))*$G328*INDEX([1]ratio_ins!$D:$D,MATCH('001_population_health_zone_zs'!$B328,[1]ratio_ins!$B:$B,0))</f>
        <v>2236.0853549999997</v>
      </c>
      <c r="AY328" s="14">
        <f t="shared" si="31"/>
        <v>106480.255</v>
      </c>
      <c r="AZ328" s="15">
        <f t="shared" si="32"/>
        <v>209195</v>
      </c>
      <c r="BA328" s="16">
        <v>200878.39096203237</v>
      </c>
      <c r="BB328" s="10">
        <f t="shared" si="33"/>
        <v>45254.108374999996</v>
      </c>
      <c r="BC328" s="17">
        <f t="shared" si="34"/>
        <v>0.21632499999999999</v>
      </c>
      <c r="BD328" s="10">
        <f t="shared" si="35"/>
        <v>42832.048665000009</v>
      </c>
    </row>
    <row r="329" spans="1:56" x14ac:dyDescent="0.25">
      <c r="A329" s="8" t="s">
        <v>751</v>
      </c>
      <c r="B329" s="8" t="s">
        <v>752</v>
      </c>
      <c r="C329" s="8" t="s">
        <v>802</v>
      </c>
      <c r="D329" s="8" t="s">
        <v>803</v>
      </c>
      <c r="E329" s="8" t="s">
        <v>808</v>
      </c>
      <c r="F329" s="8" t="s">
        <v>809</v>
      </c>
      <c r="G329" s="9">
        <v>209189</v>
      </c>
      <c r="H329" s="10">
        <f>INDEX([1]ratio_ins!F:F,MATCH('001_population_health_zone_zs'!$B$2,[1]ratio_ins!$B:$B,0))*$G329*INDEX([1]ratio_ins!$C:$C,MATCH('001_population_health_zone_zs'!$B329,[1]ratio_ins!$B:$B,0))</f>
        <v>21466.765990999997</v>
      </c>
      <c r="I329" s="10">
        <f>INDEX([1]ratio_ins!G:G,MATCH('001_population_health_zone_zs'!$B$2,[1]ratio_ins!$B:$B,0))*$G329*INDEX([1]ratio_ins!$C:$C,MATCH('001_population_health_zone_zs'!$B329,[1]ratio_ins!$B:$B,0))</f>
        <v>17563.717629000002</v>
      </c>
      <c r="J329" s="10">
        <f>INDEX([1]ratio_ins!H:H,MATCH('001_population_health_zone_zs'!$B$2,[1]ratio_ins!$B:$B,0))*$G329*INDEX([1]ratio_ins!$C:$C,MATCH('001_population_health_zone_zs'!$B329,[1]ratio_ins!$B:$B,0))</f>
        <v>13866.092865000001</v>
      </c>
      <c r="K329" s="10">
        <f>INDEX([1]ratio_ins!I:I,MATCH('001_population_health_zone_zs'!$B$2,[1]ratio_ins!$B:$B,0))*$G329*INDEX([1]ratio_ins!$C:$C,MATCH('001_population_health_zone_zs'!$B329,[1]ratio_ins!$B:$B,0))</f>
        <v>8525.0793170000015</v>
      </c>
      <c r="L329" s="10">
        <f>INDEX([1]ratio_ins!J:J,MATCH('001_population_health_zone_zs'!$B$2,[1]ratio_ins!$B:$B,0))*$G329*INDEX([1]ratio_ins!$C:$C,MATCH('001_population_health_zone_zs'!$B329,[1]ratio_ins!$B:$B,0))</f>
        <v>5115.0475901999998</v>
      </c>
      <c r="M329" s="11">
        <f>INDEX([1]ratio_ins!K:K,MATCH('001_population_health_zone_zs'!$B$2,[1]ratio_ins!$B:$B,0))*$G329*INDEX([1]ratio_ins!$C:$C,MATCH('001_population_health_zone_zs'!$B329,[1]ratio_ins!$B:$B,0))</f>
        <v>58011.624075199994</v>
      </c>
      <c r="N329" s="10">
        <f>INDEX([1]ratio_ins!L:L,MATCH('001_population_health_zone_zs'!$B$2,[1]ratio_ins!$B:$B,0))*$G329*INDEX([1]ratio_ins!$C:$C,MATCH('001_population_health_zone_zs'!$B329,[1]ratio_ins!$B:$B,0))</f>
        <v>3410.0317267999999</v>
      </c>
      <c r="O329" s="10">
        <f>INDEX([1]ratio_ins!M:M,MATCH('001_population_health_zone_zs'!$B$2,[1]ratio_ins!$B:$B,0))*$G329*INDEX([1]ratio_ins!$C:$C,MATCH('001_population_health_zone_zs'!$B329,[1]ratio_ins!$B:$B,0))</f>
        <v>7395.2495280000012</v>
      </c>
      <c r="P329" s="10">
        <f>INDEX([1]ratio_ins!N:N,MATCH('001_population_health_zone_zs'!$B$2,[1]ratio_ins!$B:$B,0))*$G329*INDEX([1]ratio_ins!$C:$C,MATCH('001_population_health_zone_zs'!$B329,[1]ratio_ins!$B:$B,0))</f>
        <v>6676.2669349999996</v>
      </c>
      <c r="Q329" s="10">
        <f>INDEX([1]ratio_ins!O:O,MATCH('001_population_health_zone_zs'!$B$2,[1]ratio_ins!$B:$B,0))*$G329*INDEX([1]ratio_ins!$C:$C,MATCH('001_population_health_zone_zs'!$B329,[1]ratio_ins!$B:$B,0))</f>
        <v>5957.2843419999999</v>
      </c>
      <c r="R329" s="10">
        <f>INDEX([1]ratio_ins!P:P,MATCH('001_population_health_zone_zs'!$B$2,[1]ratio_ins!$B:$B,0))*$G329*INDEX([1]ratio_ins!$C:$C,MATCH('001_population_health_zone_zs'!$B329,[1]ratio_ins!$B:$B,0))</f>
        <v>5854.5725430000002</v>
      </c>
      <c r="S329" s="10">
        <f>INDEX([1]ratio_ins!Q:Q,MATCH('001_population_health_zone_zs'!$B$2,[1]ratio_ins!$B:$B,0))*$G329*INDEX([1]ratio_ins!$C:$C,MATCH('001_population_health_zone_zs'!$B329,[1]ratio_ins!$B:$B,0))</f>
        <v>4930.1663520000002</v>
      </c>
      <c r="T329" s="10">
        <f>INDEX([1]ratio_ins!R:R,MATCH('001_population_health_zone_zs'!$B$2,[1]ratio_ins!$B:$B,0))*$G329*INDEX([1]ratio_ins!$C:$C,MATCH('001_population_health_zone_zs'!$B329,[1]ratio_ins!$B:$B,0))</f>
        <v>3492.2011660000003</v>
      </c>
      <c r="U329" s="10">
        <f>INDEX([1]ratio_ins!S:S,MATCH('001_population_health_zone_zs'!$B$2,[1]ratio_ins!$B:$B,0))*$G329*INDEX([1]ratio_ins!$C:$C,MATCH('001_population_health_zone_zs'!$B329,[1]ratio_ins!$B:$B,0))</f>
        <v>2773.2185730000006</v>
      </c>
      <c r="V329" s="10">
        <f>INDEX([1]ratio_ins!T:T,MATCH('001_population_health_zone_zs'!$B$2,[1]ratio_ins!$B:$B,0))*$G329*INDEX([1]ratio_ins!$C:$C,MATCH('001_population_health_zone_zs'!$B329,[1]ratio_ins!$B:$B,0))</f>
        <v>1540.6769850000001</v>
      </c>
      <c r="W329" s="11">
        <f>INDEX([1]ratio_ins!U:U,MATCH('001_population_health_zone_zs'!$B$2,[1]ratio_ins!$B:$B,0))*$G329*INDEX([1]ratio_ins!$C:$C,MATCH('001_population_health_zone_zs'!$B329,[1]ratio_ins!$B:$B,0))</f>
        <v>42029.668150799997</v>
      </c>
      <c r="X329" s="10">
        <f>INDEX([1]ratio_ins!V:V,MATCH('001_population_health_zone_zs'!$B$2,[1]ratio_ins!$B:$B,0))*$G329*INDEX([1]ratio_ins!$C:$C,MATCH('001_population_health_zone_zs'!$B329,[1]ratio_ins!$B:$B,0))</f>
        <v>1232.541588</v>
      </c>
      <c r="Y329" s="10">
        <f>INDEX([1]ratio_ins!W:W,MATCH('001_population_health_zone_zs'!$B$2,[1]ratio_ins!$B:$B,0))*$G329*INDEX([1]ratio_ins!$C:$C,MATCH('001_population_health_zone_zs'!$B329,[1]ratio_ins!$B:$B,0))</f>
        <v>821.69439199999999</v>
      </c>
      <c r="Z329" s="10">
        <f>INDEX([1]ratio_ins!X:X,MATCH('001_population_health_zone_zs'!$B$2,[1]ratio_ins!$B:$B,0))*$G329*INDEX([1]ratio_ins!$C:$C,MATCH('001_population_health_zone_zs'!$B329,[1]ratio_ins!$B:$B,0))</f>
        <v>410.847196</v>
      </c>
      <c r="AA329" s="10">
        <f>INDEX([1]ratio_ins!Y:Y,MATCH('001_population_health_zone_zs'!$B$2,[1]ratio_ins!$B:$B,0))*$G329*INDEX([1]ratio_ins!$C:$C,MATCH('001_population_health_zone_zs'!$B329,[1]ratio_ins!$B:$B,0))</f>
        <v>205.423598</v>
      </c>
      <c r="AB329" s="11">
        <f>INDEX([1]ratio_ins!Z:Z,MATCH('001_population_health_zone_zs'!$B$2,[1]ratio_ins!$B:$B,0))*$G329*INDEX([1]ratio_ins!$C:$C,MATCH('001_population_health_zone_zs'!$B329,[1]ratio_ins!$B:$B,0))</f>
        <v>2670.5067740000004</v>
      </c>
      <c r="AC329" s="12">
        <f t="shared" si="30"/>
        <v>102711.79899999998</v>
      </c>
      <c r="AD329" s="10">
        <f>INDEX([1]ratio_ins!AA:AA,MATCH('001_population_health_zone_zs'!$B$2,[1]ratio_ins!$B:$B,0))*$G329*INDEX([1]ratio_ins!$D:$D,MATCH('001_population_health_zone_zs'!$B329,[1]ratio_ins!$B:$B,0))</f>
        <v>22360.212209999998</v>
      </c>
      <c r="AE329" s="10">
        <f>INDEX([1]ratio_ins!AB:AB,MATCH('001_population_health_zone_zs'!$B$2,[1]ratio_ins!$B:$B,0))*$G329*INDEX([1]ratio_ins!$D:$D,MATCH('001_population_health_zone_zs'!$B329,[1]ratio_ins!$B:$B,0))</f>
        <v>18420.555773</v>
      </c>
      <c r="AF329" s="10">
        <f>INDEX([1]ratio_ins!AC:AC,MATCH('001_population_health_zone_zs'!$B$2,[1]ratio_ins!$B:$B,0))*$G329*INDEX([1]ratio_ins!$D:$D,MATCH('001_population_health_zone_zs'!$B329,[1]ratio_ins!$B:$B,0))</f>
        <v>14587.376536999998</v>
      </c>
      <c r="AG329" s="10">
        <f>INDEX([1]ratio_ins!AD:AD,MATCH('001_population_health_zone_zs'!$B$2,[1]ratio_ins!$B:$B,0))*$G329*INDEX([1]ratio_ins!$D:$D,MATCH('001_population_health_zone_zs'!$B329,[1]ratio_ins!$B:$B,0))</f>
        <v>8837.6076830000002</v>
      </c>
      <c r="AH329" s="10">
        <f>INDEX([1]ratio_ins!AE:AE,MATCH('001_population_health_zone_zs'!$B$2,[1]ratio_ins!$B:$B,0))*$G329*INDEX([1]ratio_ins!$D:$D,MATCH('001_population_health_zone_zs'!$B329,[1]ratio_ins!$B:$B,0))</f>
        <v>5302.5646097999997</v>
      </c>
      <c r="AI329" s="13">
        <f>INDEX([1]ratio_ins!AF:AF,MATCH('001_population_health_zone_zs'!$B$2,[1]ratio_ins!$B:$B,0))*$G329*INDEX([1]ratio_ins!$D:$D,MATCH('001_population_health_zone_zs'!$B329,[1]ratio_ins!$B:$B,0))</f>
        <v>60670.709129799994</v>
      </c>
      <c r="AJ329" s="10">
        <f>INDEX([1]ratio_ins!AG:AG,MATCH('001_population_health_zone_zs'!$B$2,[1]ratio_ins!$B:$B,0))*$G329*INDEX([1]ratio_ins!$D:$D,MATCH('001_population_health_zone_zs'!$B329,[1]ratio_ins!$B:$B,0))</f>
        <v>3535.0430732000004</v>
      </c>
      <c r="AK329" s="10">
        <f>INDEX([1]ratio_ins!AH:AH,MATCH('001_population_health_zone_zs'!$B$2,[1]ratio_ins!$B:$B,0))*$G329*INDEX([1]ratio_ins!$D:$D,MATCH('001_population_health_zone_zs'!$B329,[1]ratio_ins!$B:$B,0))</f>
        <v>7879.3128740000011</v>
      </c>
      <c r="AL329" s="10">
        <f>INDEX([1]ratio_ins!AI:AI,MATCH('001_population_health_zone_zs'!$B$2,[1]ratio_ins!$B:$B,0))*$G329*INDEX([1]ratio_ins!$D:$D,MATCH('001_population_health_zone_zs'!$B329,[1]ratio_ins!$B:$B,0))</f>
        <v>7453.4040700000005</v>
      </c>
      <c r="AM329" s="10">
        <f>INDEX([1]ratio_ins!AJ:AJ,MATCH('001_population_health_zone_zs'!$B$2,[1]ratio_ins!$B:$B,0))*$G329*INDEX([1]ratio_ins!$D:$D,MATCH('001_population_health_zone_zs'!$B329,[1]ratio_ins!$B:$B,0))</f>
        <v>6814.5408639999996</v>
      </c>
      <c r="AN329" s="10">
        <f>INDEX([1]ratio_ins!AK:AK,MATCH('001_population_health_zone_zs'!$B$2,[1]ratio_ins!$B:$B,0))*$G329*INDEX([1]ratio_ins!$D:$D,MATCH('001_population_health_zone_zs'!$B329,[1]ratio_ins!$B:$B,0))</f>
        <v>6388.6320599999999</v>
      </c>
      <c r="AO329" s="10">
        <f>INDEX([1]ratio_ins!AL:AL,MATCH('001_population_health_zone_zs'!$B$2,[1]ratio_ins!$B:$B,0))*$G329*INDEX([1]ratio_ins!$D:$D,MATCH('001_population_health_zone_zs'!$B329,[1]ratio_ins!$B:$B,0))</f>
        <v>4791.4740449999999</v>
      </c>
      <c r="AP329" s="10">
        <f>INDEX([1]ratio_ins!AM:AM,MATCH('001_population_health_zone_zs'!$B$2,[1]ratio_ins!$B:$B,0))*$G329*INDEX([1]ratio_ins!$D:$D,MATCH('001_population_health_zone_zs'!$B329,[1]ratio_ins!$B:$B,0))</f>
        <v>3087.8388289999998</v>
      </c>
      <c r="AQ329" s="10">
        <f>INDEX([1]ratio_ins!AN:AN,MATCH('001_population_health_zone_zs'!$B$2,[1]ratio_ins!$B:$B,0))*$G329*INDEX([1]ratio_ins!$D:$D,MATCH('001_population_health_zone_zs'!$B329,[1]ratio_ins!$B:$B,0))</f>
        <v>2448.9756229999998</v>
      </c>
      <c r="AR329" s="10">
        <f>INDEX([1]ratio_ins!AO:AO,MATCH('001_population_health_zone_zs'!$B$2,[1]ratio_ins!$B:$B,0))*$G329*INDEX([1]ratio_ins!$D:$D,MATCH('001_population_health_zone_zs'!$B329,[1]ratio_ins!$B:$B,0))</f>
        <v>1171.2492110000001</v>
      </c>
      <c r="AS329" s="13">
        <f>INDEX([1]ratio_ins!AP:AP,MATCH('001_population_health_zone_zs'!$B$2,[1]ratio_ins!$B:$B,0))*$G329*INDEX([1]ratio_ins!$D:$D,MATCH('001_population_health_zone_zs'!$B329,[1]ratio_ins!$B:$B,0))</f>
        <v>43570.470649200004</v>
      </c>
      <c r="AT329" s="10">
        <f>INDEX([1]ratio_ins!AQ:AQ,MATCH('001_population_health_zone_zs'!$B$2,[1]ratio_ins!$B:$B,0))*$G329*INDEX([1]ratio_ins!$D:$D,MATCH('001_population_health_zone_zs'!$B329,[1]ratio_ins!$B:$B,0))</f>
        <v>1064.7720099999999</v>
      </c>
      <c r="AU329" s="10">
        <f>INDEX([1]ratio_ins!AR:AR,MATCH('001_population_health_zone_zs'!$B$2,[1]ratio_ins!$B:$B,0))*$G329*INDEX([1]ratio_ins!$D:$D,MATCH('001_population_health_zone_zs'!$B329,[1]ratio_ins!$B:$B,0))</f>
        <v>638.86320599999999</v>
      </c>
      <c r="AV329" s="10">
        <f>INDEX([1]ratio_ins!AS:AS,MATCH('001_population_health_zone_zs'!$B$2,[1]ratio_ins!$B:$B,0))*$G329*INDEX([1]ratio_ins!$D:$D,MATCH('001_population_health_zone_zs'!$B329,[1]ratio_ins!$B:$B,0))</f>
        <v>319.431603</v>
      </c>
      <c r="AW329" s="10">
        <f>INDEX([1]ratio_ins!AT:AT,MATCH('001_population_health_zone_zs'!$B$2,[1]ratio_ins!$B:$B,0))*$G329*INDEX([1]ratio_ins!$D:$D,MATCH('001_population_health_zone_zs'!$B329,[1]ratio_ins!$B:$B,0))</f>
        <v>212.95440199999999</v>
      </c>
      <c r="AX329" s="13">
        <f>INDEX([1]ratio_ins!AU:AU,MATCH('001_population_health_zone_zs'!$B$2,[1]ratio_ins!$B:$B,0))*$G329*INDEX([1]ratio_ins!$D:$D,MATCH('001_population_health_zone_zs'!$B329,[1]ratio_ins!$B:$B,0))</f>
        <v>2236.0212209999995</v>
      </c>
      <c r="AY329" s="14">
        <f t="shared" si="31"/>
        <v>106477.201</v>
      </c>
      <c r="AZ329" s="15">
        <f t="shared" si="32"/>
        <v>209189</v>
      </c>
      <c r="BA329" s="16">
        <v>200872.28015900566</v>
      </c>
      <c r="BB329" s="10">
        <f t="shared" si="33"/>
        <v>45252.810425000003</v>
      </c>
      <c r="BC329" s="17">
        <f t="shared" si="34"/>
        <v>0.21632500000000002</v>
      </c>
      <c r="BD329" s="10">
        <f t="shared" si="35"/>
        <v>42830.820182999996</v>
      </c>
    </row>
    <row r="330" spans="1:56" x14ac:dyDescent="0.25">
      <c r="A330" s="8" t="s">
        <v>751</v>
      </c>
      <c r="B330" s="8" t="s">
        <v>752</v>
      </c>
      <c r="C330" s="8" t="s">
        <v>802</v>
      </c>
      <c r="D330" s="8" t="s">
        <v>803</v>
      </c>
      <c r="E330" s="8" t="s">
        <v>802</v>
      </c>
      <c r="F330" s="8" t="s">
        <v>810</v>
      </c>
      <c r="G330" s="9">
        <v>393757</v>
      </c>
      <c r="H330" s="10">
        <f>INDEX([1]ratio_ins!F:F,MATCH('001_population_health_zone_zs'!$B$2,[1]ratio_ins!$B:$B,0))*$G330*INDEX([1]ratio_ins!$C:$C,MATCH('001_population_health_zone_zs'!$B330,[1]ratio_ins!$B:$B,0))</f>
        <v>40406.949583000001</v>
      </c>
      <c r="I330" s="10">
        <f>INDEX([1]ratio_ins!G:G,MATCH('001_population_health_zone_zs'!$B$2,[1]ratio_ins!$B:$B,0))*$G330*INDEX([1]ratio_ins!$C:$C,MATCH('001_population_health_zone_zs'!$B330,[1]ratio_ins!$B:$B,0))</f>
        <v>33060.231477000001</v>
      </c>
      <c r="J330" s="10">
        <f>INDEX([1]ratio_ins!H:H,MATCH('001_population_health_zone_zs'!$B$2,[1]ratio_ins!$B:$B,0))*$G330*INDEX([1]ratio_ins!$C:$C,MATCH('001_population_health_zone_zs'!$B330,[1]ratio_ins!$B:$B,0))</f>
        <v>26100.182745000002</v>
      </c>
      <c r="K330" s="10">
        <f>INDEX([1]ratio_ins!I:I,MATCH('001_population_health_zone_zs'!$B$2,[1]ratio_ins!$B:$B,0))*$G330*INDEX([1]ratio_ins!$C:$C,MATCH('001_population_health_zone_zs'!$B330,[1]ratio_ins!$B:$B,0))</f>
        <v>16046.779021</v>
      </c>
      <c r="L330" s="10">
        <f>INDEX([1]ratio_ins!J:J,MATCH('001_population_health_zone_zs'!$B$2,[1]ratio_ins!$B:$B,0))*$G330*INDEX([1]ratio_ins!$C:$C,MATCH('001_population_health_zone_zs'!$B330,[1]ratio_ins!$B:$B,0))</f>
        <v>9628.0674125999994</v>
      </c>
      <c r="M330" s="11">
        <f>INDEX([1]ratio_ins!K:K,MATCH('001_population_health_zone_zs'!$B$2,[1]ratio_ins!$B:$B,0))*$G330*INDEX([1]ratio_ins!$C:$C,MATCH('001_population_health_zone_zs'!$B330,[1]ratio_ins!$B:$B,0))</f>
        <v>109195.43121759999</v>
      </c>
      <c r="N330" s="10">
        <f>INDEX([1]ratio_ins!L:L,MATCH('001_population_health_zone_zs'!$B$2,[1]ratio_ins!$B:$B,0))*$G330*INDEX([1]ratio_ins!$C:$C,MATCH('001_population_health_zone_zs'!$B330,[1]ratio_ins!$B:$B,0))</f>
        <v>6418.7116083999999</v>
      </c>
      <c r="O330" s="10">
        <f>INDEX([1]ratio_ins!M:M,MATCH('001_population_health_zone_zs'!$B$2,[1]ratio_ins!$B:$B,0))*$G330*INDEX([1]ratio_ins!$C:$C,MATCH('001_population_health_zone_zs'!$B330,[1]ratio_ins!$B:$B,0))</f>
        <v>13920.097464000002</v>
      </c>
      <c r="P330" s="10">
        <f>INDEX([1]ratio_ins!N:N,MATCH('001_population_health_zone_zs'!$B$2,[1]ratio_ins!$B:$B,0))*$G330*INDEX([1]ratio_ins!$C:$C,MATCH('001_population_health_zone_zs'!$B330,[1]ratio_ins!$B:$B,0))</f>
        <v>12566.754655000001</v>
      </c>
      <c r="Q330" s="10">
        <f>INDEX([1]ratio_ins!O:O,MATCH('001_population_health_zone_zs'!$B$2,[1]ratio_ins!$B:$B,0))*$G330*INDEX([1]ratio_ins!$C:$C,MATCH('001_population_health_zone_zs'!$B330,[1]ratio_ins!$B:$B,0))</f>
        <v>11213.411845999999</v>
      </c>
      <c r="R330" s="10">
        <f>INDEX([1]ratio_ins!P:P,MATCH('001_population_health_zone_zs'!$B$2,[1]ratio_ins!$B:$B,0))*$G330*INDEX([1]ratio_ins!$C:$C,MATCH('001_population_health_zone_zs'!$B330,[1]ratio_ins!$B:$B,0))</f>
        <v>11020.077159</v>
      </c>
      <c r="S330" s="10">
        <f>INDEX([1]ratio_ins!Q:Q,MATCH('001_population_health_zone_zs'!$B$2,[1]ratio_ins!$B:$B,0))*$G330*INDEX([1]ratio_ins!$C:$C,MATCH('001_population_health_zone_zs'!$B330,[1]ratio_ins!$B:$B,0))</f>
        <v>9280.0649759999997</v>
      </c>
      <c r="T330" s="10">
        <f>INDEX([1]ratio_ins!R:R,MATCH('001_population_health_zone_zs'!$B$2,[1]ratio_ins!$B:$B,0))*$G330*INDEX([1]ratio_ins!$C:$C,MATCH('001_population_health_zone_zs'!$B330,[1]ratio_ins!$B:$B,0))</f>
        <v>6573.3793580000001</v>
      </c>
      <c r="U330" s="10">
        <f>INDEX([1]ratio_ins!S:S,MATCH('001_population_health_zone_zs'!$B$2,[1]ratio_ins!$B:$B,0))*$G330*INDEX([1]ratio_ins!$C:$C,MATCH('001_population_health_zone_zs'!$B330,[1]ratio_ins!$B:$B,0))</f>
        <v>5220.0365490000013</v>
      </c>
      <c r="V330" s="10">
        <f>INDEX([1]ratio_ins!T:T,MATCH('001_population_health_zone_zs'!$B$2,[1]ratio_ins!$B:$B,0))*$G330*INDEX([1]ratio_ins!$C:$C,MATCH('001_population_health_zone_zs'!$B330,[1]ratio_ins!$B:$B,0))</f>
        <v>2900.0203049999996</v>
      </c>
      <c r="W330" s="11">
        <f>INDEX([1]ratio_ins!U:U,MATCH('001_population_health_zone_zs'!$B$2,[1]ratio_ins!$B:$B,0))*$G330*INDEX([1]ratio_ins!$C:$C,MATCH('001_population_health_zone_zs'!$B330,[1]ratio_ins!$B:$B,0))</f>
        <v>79112.553920399994</v>
      </c>
      <c r="X330" s="10">
        <f>INDEX([1]ratio_ins!V:V,MATCH('001_population_health_zone_zs'!$B$2,[1]ratio_ins!$B:$B,0))*$G330*INDEX([1]ratio_ins!$C:$C,MATCH('001_population_health_zone_zs'!$B330,[1]ratio_ins!$B:$B,0))</f>
        <v>2320.0162439999999</v>
      </c>
      <c r="Y330" s="10">
        <f>INDEX([1]ratio_ins!W:W,MATCH('001_population_health_zone_zs'!$B$2,[1]ratio_ins!$B:$B,0))*$G330*INDEX([1]ratio_ins!$C:$C,MATCH('001_population_health_zone_zs'!$B330,[1]ratio_ins!$B:$B,0))</f>
        <v>1546.677496</v>
      </c>
      <c r="Z330" s="10">
        <f>INDEX([1]ratio_ins!X:X,MATCH('001_population_health_zone_zs'!$B$2,[1]ratio_ins!$B:$B,0))*$G330*INDEX([1]ratio_ins!$C:$C,MATCH('001_population_health_zone_zs'!$B330,[1]ratio_ins!$B:$B,0))</f>
        <v>773.33874800000001</v>
      </c>
      <c r="AA330" s="10">
        <f>INDEX([1]ratio_ins!Y:Y,MATCH('001_population_health_zone_zs'!$B$2,[1]ratio_ins!$B:$B,0))*$G330*INDEX([1]ratio_ins!$C:$C,MATCH('001_population_health_zone_zs'!$B330,[1]ratio_ins!$B:$B,0))</f>
        <v>386.669374</v>
      </c>
      <c r="AB330" s="11">
        <f>INDEX([1]ratio_ins!Z:Z,MATCH('001_population_health_zone_zs'!$B$2,[1]ratio_ins!$B:$B,0))*$G330*INDEX([1]ratio_ins!$C:$C,MATCH('001_population_health_zone_zs'!$B330,[1]ratio_ins!$B:$B,0))</f>
        <v>5026.7018619999999</v>
      </c>
      <c r="AC330" s="12">
        <f t="shared" si="30"/>
        <v>193334.68699999998</v>
      </c>
      <c r="AD330" s="10">
        <f>INDEX([1]ratio_ins!AA:AA,MATCH('001_population_health_zone_zs'!$B$2,[1]ratio_ins!$B:$B,0))*$G330*INDEX([1]ratio_ins!$D:$D,MATCH('001_population_health_zone_zs'!$B330,[1]ratio_ins!$B:$B,0))</f>
        <v>42088.685730000005</v>
      </c>
      <c r="AE330" s="10">
        <f>INDEX([1]ratio_ins!AB:AB,MATCH('001_population_health_zone_zs'!$B$2,[1]ratio_ins!$B:$B,0))*$G330*INDEX([1]ratio_ins!$D:$D,MATCH('001_population_health_zone_zs'!$B330,[1]ratio_ins!$B:$B,0))</f>
        <v>34673.060149000004</v>
      </c>
      <c r="AF330" s="10">
        <f>INDEX([1]ratio_ins!AC:AC,MATCH('001_population_health_zone_zs'!$B$2,[1]ratio_ins!$B:$B,0))*$G330*INDEX([1]ratio_ins!$D:$D,MATCH('001_population_health_zone_zs'!$B330,[1]ratio_ins!$B:$B,0))</f>
        <v>27457.856881</v>
      </c>
      <c r="AG330" s="10">
        <f>INDEX([1]ratio_ins!AD:AD,MATCH('001_population_health_zone_zs'!$B$2,[1]ratio_ins!$B:$B,0))*$G330*INDEX([1]ratio_ins!$D:$D,MATCH('001_population_health_zone_zs'!$B330,[1]ratio_ins!$B:$B,0))</f>
        <v>16635.051979</v>
      </c>
      <c r="AH330" s="10">
        <f>INDEX([1]ratio_ins!AE:AE,MATCH('001_population_health_zone_zs'!$B$2,[1]ratio_ins!$B:$B,0))*$G330*INDEX([1]ratio_ins!$D:$D,MATCH('001_population_health_zone_zs'!$B330,[1]ratio_ins!$B:$B,0))</f>
        <v>9981.0311873999981</v>
      </c>
      <c r="AI330" s="13">
        <f>INDEX([1]ratio_ins!AF:AF,MATCH('001_population_health_zone_zs'!$B$2,[1]ratio_ins!$B:$B,0))*$G330*INDEX([1]ratio_ins!$D:$D,MATCH('001_population_health_zone_zs'!$B330,[1]ratio_ins!$B:$B,0))</f>
        <v>114200.6339474</v>
      </c>
      <c r="AJ330" s="10">
        <f>INDEX([1]ratio_ins!AG:AG,MATCH('001_population_health_zone_zs'!$B$2,[1]ratio_ins!$B:$B,0))*$G330*INDEX([1]ratio_ins!$D:$D,MATCH('001_population_health_zone_zs'!$B330,[1]ratio_ins!$B:$B,0))</f>
        <v>6654.0207916000008</v>
      </c>
      <c r="AK330" s="10">
        <f>INDEX([1]ratio_ins!AH:AH,MATCH('001_population_health_zone_zs'!$B$2,[1]ratio_ins!$B:$B,0))*$G330*INDEX([1]ratio_ins!$D:$D,MATCH('001_population_health_zone_zs'!$B330,[1]ratio_ins!$B:$B,0))</f>
        <v>14831.251162000002</v>
      </c>
      <c r="AL330" s="10">
        <f>INDEX([1]ratio_ins!AI:AI,MATCH('001_population_health_zone_zs'!$B$2,[1]ratio_ins!$B:$B,0))*$G330*INDEX([1]ratio_ins!$D:$D,MATCH('001_population_health_zone_zs'!$B330,[1]ratio_ins!$B:$B,0))</f>
        <v>14029.56191</v>
      </c>
      <c r="AM330" s="10">
        <f>INDEX([1]ratio_ins!AJ:AJ,MATCH('001_population_health_zone_zs'!$B$2,[1]ratio_ins!$B:$B,0))*$G330*INDEX([1]ratio_ins!$D:$D,MATCH('001_population_health_zone_zs'!$B330,[1]ratio_ins!$B:$B,0))</f>
        <v>12827.028032</v>
      </c>
      <c r="AN330" s="10">
        <f>INDEX([1]ratio_ins!AK:AK,MATCH('001_population_health_zone_zs'!$B$2,[1]ratio_ins!$B:$B,0))*$G330*INDEX([1]ratio_ins!$D:$D,MATCH('001_population_health_zone_zs'!$B330,[1]ratio_ins!$B:$B,0))</f>
        <v>12025.33878</v>
      </c>
      <c r="AO330" s="10">
        <f>INDEX([1]ratio_ins!AL:AL,MATCH('001_population_health_zone_zs'!$B$2,[1]ratio_ins!$B:$B,0))*$G330*INDEX([1]ratio_ins!$D:$D,MATCH('001_population_health_zone_zs'!$B330,[1]ratio_ins!$B:$B,0))</f>
        <v>9019.0040849999987</v>
      </c>
      <c r="AP330" s="10">
        <f>INDEX([1]ratio_ins!AM:AM,MATCH('001_population_health_zone_zs'!$B$2,[1]ratio_ins!$B:$B,0))*$G330*INDEX([1]ratio_ins!$D:$D,MATCH('001_population_health_zone_zs'!$B330,[1]ratio_ins!$B:$B,0))</f>
        <v>5812.247077</v>
      </c>
      <c r="AQ330" s="10">
        <f>INDEX([1]ratio_ins!AN:AN,MATCH('001_population_health_zone_zs'!$B$2,[1]ratio_ins!$B:$B,0))*$G330*INDEX([1]ratio_ins!$D:$D,MATCH('001_population_health_zone_zs'!$B330,[1]ratio_ins!$B:$B,0))</f>
        <v>4609.7131989999998</v>
      </c>
      <c r="AR330" s="10">
        <f>INDEX([1]ratio_ins!AO:AO,MATCH('001_population_health_zone_zs'!$B$2,[1]ratio_ins!$B:$B,0))*$G330*INDEX([1]ratio_ins!$D:$D,MATCH('001_population_health_zone_zs'!$B330,[1]ratio_ins!$B:$B,0))</f>
        <v>2204.6454430000003</v>
      </c>
      <c r="AS330" s="13">
        <f>INDEX([1]ratio_ins!AP:AP,MATCH('001_population_health_zone_zs'!$B$2,[1]ratio_ins!$B:$B,0))*$G330*INDEX([1]ratio_ins!$D:$D,MATCH('001_population_health_zone_zs'!$B330,[1]ratio_ins!$B:$B,0))</f>
        <v>82012.810479599997</v>
      </c>
      <c r="AT330" s="10">
        <f>INDEX([1]ratio_ins!AQ:AQ,MATCH('001_population_health_zone_zs'!$B$2,[1]ratio_ins!$B:$B,0))*$G330*INDEX([1]ratio_ins!$D:$D,MATCH('001_population_health_zone_zs'!$B330,[1]ratio_ins!$B:$B,0))</f>
        <v>2004.2231300000001</v>
      </c>
      <c r="AU330" s="10">
        <f>INDEX([1]ratio_ins!AR:AR,MATCH('001_population_health_zone_zs'!$B$2,[1]ratio_ins!$B:$B,0))*$G330*INDEX([1]ratio_ins!$D:$D,MATCH('001_population_health_zone_zs'!$B330,[1]ratio_ins!$B:$B,0))</f>
        <v>1202.533878</v>
      </c>
      <c r="AV330" s="10">
        <f>INDEX([1]ratio_ins!AS:AS,MATCH('001_population_health_zone_zs'!$B$2,[1]ratio_ins!$B:$B,0))*$G330*INDEX([1]ratio_ins!$D:$D,MATCH('001_population_health_zone_zs'!$B330,[1]ratio_ins!$B:$B,0))</f>
        <v>601.26693899999998</v>
      </c>
      <c r="AW330" s="10">
        <f>INDEX([1]ratio_ins!AT:AT,MATCH('001_population_health_zone_zs'!$B$2,[1]ratio_ins!$B:$B,0))*$G330*INDEX([1]ratio_ins!$D:$D,MATCH('001_population_health_zone_zs'!$B330,[1]ratio_ins!$B:$B,0))</f>
        <v>400.84462600000001</v>
      </c>
      <c r="AX330" s="13">
        <f>INDEX([1]ratio_ins!AU:AU,MATCH('001_population_health_zone_zs'!$B$2,[1]ratio_ins!$B:$B,0))*$G330*INDEX([1]ratio_ins!$D:$D,MATCH('001_population_health_zone_zs'!$B330,[1]ratio_ins!$B:$B,0))</f>
        <v>4208.8685729999997</v>
      </c>
      <c r="AY330" s="14">
        <f t="shared" si="31"/>
        <v>200422.31300000002</v>
      </c>
      <c r="AZ330" s="15">
        <f t="shared" si="32"/>
        <v>393757</v>
      </c>
      <c r="BA330" s="16">
        <v>378102.88187491958</v>
      </c>
      <c r="BB330" s="10">
        <f t="shared" si="33"/>
        <v>85179.483024999994</v>
      </c>
      <c r="BC330" s="17">
        <f t="shared" si="34"/>
        <v>0.21632499999999999</v>
      </c>
      <c r="BD330" s="10">
        <f t="shared" si="35"/>
        <v>80620.564479000008</v>
      </c>
    </row>
    <row r="331" spans="1:56" x14ac:dyDescent="0.25">
      <c r="A331" s="8" t="s">
        <v>751</v>
      </c>
      <c r="B331" s="8" t="s">
        <v>752</v>
      </c>
      <c r="C331" s="8" t="s">
        <v>811</v>
      </c>
      <c r="D331" s="8" t="s">
        <v>812</v>
      </c>
      <c r="E331" s="8" t="s">
        <v>811</v>
      </c>
      <c r="F331" s="8" t="s">
        <v>813</v>
      </c>
      <c r="G331" s="9">
        <v>394111</v>
      </c>
      <c r="H331" s="10">
        <f>INDEX([1]ratio_ins!F:F,MATCH('001_population_health_zone_zs'!$B$2,[1]ratio_ins!$B:$B,0))*$G331*INDEX([1]ratio_ins!$C:$C,MATCH('001_population_health_zone_zs'!$B331,[1]ratio_ins!$B:$B,0))</f>
        <v>40443.276708999998</v>
      </c>
      <c r="I331" s="10">
        <f>INDEX([1]ratio_ins!G:G,MATCH('001_population_health_zone_zs'!$B$2,[1]ratio_ins!$B:$B,0))*$G331*INDEX([1]ratio_ins!$C:$C,MATCH('001_population_health_zone_zs'!$B331,[1]ratio_ins!$B:$B,0))</f>
        <v>33089.953671000003</v>
      </c>
      <c r="J331" s="10">
        <f>INDEX([1]ratio_ins!H:H,MATCH('001_population_health_zone_zs'!$B$2,[1]ratio_ins!$B:$B,0))*$G331*INDEX([1]ratio_ins!$C:$C,MATCH('001_population_health_zone_zs'!$B331,[1]ratio_ins!$B:$B,0))</f>
        <v>26123.647635000001</v>
      </c>
      <c r="K331" s="10">
        <f>INDEX([1]ratio_ins!I:I,MATCH('001_population_health_zone_zs'!$B$2,[1]ratio_ins!$B:$B,0))*$G331*INDEX([1]ratio_ins!$C:$C,MATCH('001_population_health_zone_zs'!$B331,[1]ratio_ins!$B:$B,0))</f>
        <v>16061.205583000001</v>
      </c>
      <c r="L331" s="10">
        <f>INDEX([1]ratio_ins!J:J,MATCH('001_population_health_zone_zs'!$B$2,[1]ratio_ins!$B:$B,0))*$G331*INDEX([1]ratio_ins!$C:$C,MATCH('001_population_health_zone_zs'!$B331,[1]ratio_ins!$B:$B,0))</f>
        <v>9636.7233498000005</v>
      </c>
      <c r="M331" s="11">
        <f>INDEX([1]ratio_ins!K:K,MATCH('001_population_health_zone_zs'!$B$2,[1]ratio_ins!$B:$B,0))*$G331*INDEX([1]ratio_ins!$C:$C,MATCH('001_population_health_zone_zs'!$B331,[1]ratio_ins!$B:$B,0))</f>
        <v>109293.60136479999</v>
      </c>
      <c r="N331" s="10">
        <f>INDEX([1]ratio_ins!L:L,MATCH('001_population_health_zone_zs'!$B$2,[1]ratio_ins!$B:$B,0))*$G331*INDEX([1]ratio_ins!$C:$C,MATCH('001_population_health_zone_zs'!$B331,[1]ratio_ins!$B:$B,0))</f>
        <v>6424.4822332000003</v>
      </c>
      <c r="O331" s="10">
        <f>INDEX([1]ratio_ins!M:M,MATCH('001_population_health_zone_zs'!$B$2,[1]ratio_ins!$B:$B,0))*$G331*INDEX([1]ratio_ins!$C:$C,MATCH('001_population_health_zone_zs'!$B331,[1]ratio_ins!$B:$B,0))</f>
        <v>13932.612072</v>
      </c>
      <c r="P331" s="10">
        <f>INDEX([1]ratio_ins!N:N,MATCH('001_population_health_zone_zs'!$B$2,[1]ratio_ins!$B:$B,0))*$G331*INDEX([1]ratio_ins!$C:$C,MATCH('001_population_health_zone_zs'!$B331,[1]ratio_ins!$B:$B,0))</f>
        <v>12578.052565</v>
      </c>
      <c r="Q331" s="10">
        <f>INDEX([1]ratio_ins!O:O,MATCH('001_population_health_zone_zs'!$B$2,[1]ratio_ins!$B:$B,0))*$G331*INDEX([1]ratio_ins!$C:$C,MATCH('001_population_health_zone_zs'!$B331,[1]ratio_ins!$B:$B,0))</f>
        <v>11223.493057999998</v>
      </c>
      <c r="R331" s="10">
        <f>INDEX([1]ratio_ins!P:P,MATCH('001_population_health_zone_zs'!$B$2,[1]ratio_ins!$B:$B,0))*$G331*INDEX([1]ratio_ins!$C:$C,MATCH('001_population_health_zone_zs'!$B331,[1]ratio_ins!$B:$B,0))</f>
        <v>11029.984557</v>
      </c>
      <c r="S331" s="10">
        <f>INDEX([1]ratio_ins!Q:Q,MATCH('001_population_health_zone_zs'!$B$2,[1]ratio_ins!$B:$B,0))*$G331*INDEX([1]ratio_ins!$C:$C,MATCH('001_population_health_zone_zs'!$B331,[1]ratio_ins!$B:$B,0))</f>
        <v>9288.4080480000011</v>
      </c>
      <c r="T331" s="10">
        <f>INDEX([1]ratio_ins!R:R,MATCH('001_population_health_zone_zs'!$B$2,[1]ratio_ins!$B:$B,0))*$G331*INDEX([1]ratio_ins!$C:$C,MATCH('001_population_health_zone_zs'!$B331,[1]ratio_ins!$B:$B,0))</f>
        <v>6579.2890340000004</v>
      </c>
      <c r="U331" s="10">
        <f>INDEX([1]ratio_ins!S:S,MATCH('001_population_health_zone_zs'!$B$2,[1]ratio_ins!$B:$B,0))*$G331*INDEX([1]ratio_ins!$C:$C,MATCH('001_population_health_zone_zs'!$B331,[1]ratio_ins!$B:$B,0))</f>
        <v>5224.7295270000004</v>
      </c>
      <c r="V331" s="10">
        <f>INDEX([1]ratio_ins!T:T,MATCH('001_population_health_zone_zs'!$B$2,[1]ratio_ins!$B:$B,0))*$G331*INDEX([1]ratio_ins!$C:$C,MATCH('001_population_health_zone_zs'!$B331,[1]ratio_ins!$B:$B,0))</f>
        <v>2902.6275150000001</v>
      </c>
      <c r="W331" s="11">
        <f>INDEX([1]ratio_ins!U:U,MATCH('001_population_health_zone_zs'!$B$2,[1]ratio_ins!$B:$B,0))*$G331*INDEX([1]ratio_ins!$C:$C,MATCH('001_population_health_zone_zs'!$B331,[1]ratio_ins!$B:$B,0))</f>
        <v>79183.678609199997</v>
      </c>
      <c r="X331" s="10">
        <f>INDEX([1]ratio_ins!V:V,MATCH('001_population_health_zone_zs'!$B$2,[1]ratio_ins!$B:$B,0))*$G331*INDEX([1]ratio_ins!$C:$C,MATCH('001_population_health_zone_zs'!$B331,[1]ratio_ins!$B:$B,0))</f>
        <v>2322.1020120000003</v>
      </c>
      <c r="Y331" s="10">
        <f>INDEX([1]ratio_ins!W:W,MATCH('001_population_health_zone_zs'!$B$2,[1]ratio_ins!$B:$B,0))*$G331*INDEX([1]ratio_ins!$C:$C,MATCH('001_population_health_zone_zs'!$B331,[1]ratio_ins!$B:$B,0))</f>
        <v>1548.068008</v>
      </c>
      <c r="Z331" s="10">
        <f>INDEX([1]ratio_ins!X:X,MATCH('001_population_health_zone_zs'!$B$2,[1]ratio_ins!$B:$B,0))*$G331*INDEX([1]ratio_ins!$C:$C,MATCH('001_population_health_zone_zs'!$B331,[1]ratio_ins!$B:$B,0))</f>
        <v>774.03400399999998</v>
      </c>
      <c r="AA331" s="10">
        <f>INDEX([1]ratio_ins!Y:Y,MATCH('001_population_health_zone_zs'!$B$2,[1]ratio_ins!$B:$B,0))*$G331*INDEX([1]ratio_ins!$C:$C,MATCH('001_population_health_zone_zs'!$B331,[1]ratio_ins!$B:$B,0))</f>
        <v>387.01700199999999</v>
      </c>
      <c r="AB331" s="11">
        <f>INDEX([1]ratio_ins!Z:Z,MATCH('001_population_health_zone_zs'!$B$2,[1]ratio_ins!$B:$B,0))*$G331*INDEX([1]ratio_ins!$C:$C,MATCH('001_population_health_zone_zs'!$B331,[1]ratio_ins!$B:$B,0))</f>
        <v>5031.2210260000002</v>
      </c>
      <c r="AC331" s="12">
        <f t="shared" si="30"/>
        <v>193508.50100000002</v>
      </c>
      <c r="AD331" s="10">
        <f>INDEX([1]ratio_ins!AA:AA,MATCH('001_population_health_zone_zs'!$B$2,[1]ratio_ins!$B:$B,0))*$G331*INDEX([1]ratio_ins!$D:$D,MATCH('001_population_health_zone_zs'!$B331,[1]ratio_ins!$B:$B,0))</f>
        <v>42126.524789999996</v>
      </c>
      <c r="AE331" s="10">
        <f>INDEX([1]ratio_ins!AB:AB,MATCH('001_population_health_zone_zs'!$B$2,[1]ratio_ins!$B:$B,0))*$G331*INDEX([1]ratio_ins!$D:$D,MATCH('001_population_health_zone_zs'!$B331,[1]ratio_ins!$B:$B,0))</f>
        <v>34704.232327000005</v>
      </c>
      <c r="AF331" s="10">
        <f>INDEX([1]ratio_ins!AC:AC,MATCH('001_population_health_zone_zs'!$B$2,[1]ratio_ins!$B:$B,0))*$G331*INDEX([1]ratio_ins!$D:$D,MATCH('001_population_health_zone_zs'!$B331,[1]ratio_ins!$B:$B,0))</f>
        <v>27482.542362999997</v>
      </c>
      <c r="AG331" s="10">
        <f>INDEX([1]ratio_ins!AD:AD,MATCH('001_population_health_zone_zs'!$B$2,[1]ratio_ins!$B:$B,0))*$G331*INDEX([1]ratio_ins!$D:$D,MATCH('001_population_health_zone_zs'!$B331,[1]ratio_ins!$B:$B,0))</f>
        <v>16650.007417000001</v>
      </c>
      <c r="AH331" s="10">
        <f>INDEX([1]ratio_ins!AE:AE,MATCH('001_population_health_zone_zs'!$B$2,[1]ratio_ins!$B:$B,0))*$G331*INDEX([1]ratio_ins!$D:$D,MATCH('001_population_health_zone_zs'!$B331,[1]ratio_ins!$B:$B,0))</f>
        <v>9990.0044502000001</v>
      </c>
      <c r="AI331" s="13">
        <f>INDEX([1]ratio_ins!AF:AF,MATCH('001_population_health_zone_zs'!$B$2,[1]ratio_ins!$B:$B,0))*$G331*INDEX([1]ratio_ins!$D:$D,MATCH('001_population_health_zone_zs'!$B331,[1]ratio_ins!$B:$B,0))</f>
        <v>114303.3039302</v>
      </c>
      <c r="AJ331" s="10">
        <f>INDEX([1]ratio_ins!AG:AG,MATCH('001_population_health_zone_zs'!$B$2,[1]ratio_ins!$B:$B,0))*$G331*INDEX([1]ratio_ins!$D:$D,MATCH('001_population_health_zone_zs'!$B331,[1]ratio_ins!$B:$B,0))</f>
        <v>6660.0029668000006</v>
      </c>
      <c r="AK331" s="10">
        <f>INDEX([1]ratio_ins!AH:AH,MATCH('001_population_health_zone_zs'!$B$2,[1]ratio_ins!$B:$B,0))*$G331*INDEX([1]ratio_ins!$D:$D,MATCH('001_population_health_zone_zs'!$B331,[1]ratio_ins!$B:$B,0))</f>
        <v>14844.584926000001</v>
      </c>
      <c r="AL331" s="10">
        <f>INDEX([1]ratio_ins!AI:AI,MATCH('001_population_health_zone_zs'!$B$2,[1]ratio_ins!$B:$B,0))*$G331*INDEX([1]ratio_ins!$D:$D,MATCH('001_population_health_zone_zs'!$B331,[1]ratio_ins!$B:$B,0))</f>
        <v>14042.174930000003</v>
      </c>
      <c r="AM331" s="10">
        <f>INDEX([1]ratio_ins!AJ:AJ,MATCH('001_population_health_zone_zs'!$B$2,[1]ratio_ins!$B:$B,0))*$G331*INDEX([1]ratio_ins!$D:$D,MATCH('001_population_health_zone_zs'!$B331,[1]ratio_ins!$B:$B,0))</f>
        <v>12838.559936</v>
      </c>
      <c r="AN331" s="10">
        <f>INDEX([1]ratio_ins!AK:AK,MATCH('001_population_health_zone_zs'!$B$2,[1]ratio_ins!$B:$B,0))*$G331*INDEX([1]ratio_ins!$D:$D,MATCH('001_population_health_zone_zs'!$B331,[1]ratio_ins!$B:$B,0))</f>
        <v>12036.149939999999</v>
      </c>
      <c r="AO331" s="10">
        <f>INDEX([1]ratio_ins!AL:AL,MATCH('001_population_health_zone_zs'!$B$2,[1]ratio_ins!$B:$B,0))*$G331*INDEX([1]ratio_ins!$D:$D,MATCH('001_population_health_zone_zs'!$B331,[1]ratio_ins!$B:$B,0))</f>
        <v>9027.1124550000004</v>
      </c>
      <c r="AP331" s="10">
        <f>INDEX([1]ratio_ins!AM:AM,MATCH('001_population_health_zone_zs'!$B$2,[1]ratio_ins!$B:$B,0))*$G331*INDEX([1]ratio_ins!$D:$D,MATCH('001_population_health_zone_zs'!$B331,[1]ratio_ins!$B:$B,0))</f>
        <v>5817.472471</v>
      </c>
      <c r="AQ331" s="10">
        <f>INDEX([1]ratio_ins!AN:AN,MATCH('001_population_health_zone_zs'!$B$2,[1]ratio_ins!$B:$B,0))*$G331*INDEX([1]ratio_ins!$D:$D,MATCH('001_population_health_zone_zs'!$B331,[1]ratio_ins!$B:$B,0))</f>
        <v>4613.8574769999996</v>
      </c>
      <c r="AR331" s="10">
        <f>INDEX([1]ratio_ins!AO:AO,MATCH('001_population_health_zone_zs'!$B$2,[1]ratio_ins!$B:$B,0))*$G331*INDEX([1]ratio_ins!$D:$D,MATCH('001_population_health_zone_zs'!$B331,[1]ratio_ins!$B:$B,0))</f>
        <v>2206.6274890000004</v>
      </c>
      <c r="AS331" s="13">
        <f>INDEX([1]ratio_ins!AP:AP,MATCH('001_population_health_zone_zs'!$B$2,[1]ratio_ins!$B:$B,0))*$G331*INDEX([1]ratio_ins!$D:$D,MATCH('001_population_health_zone_zs'!$B331,[1]ratio_ins!$B:$B,0))</f>
        <v>82086.542590800003</v>
      </c>
      <c r="AT331" s="10">
        <f>INDEX([1]ratio_ins!AQ:AQ,MATCH('001_population_health_zone_zs'!$B$2,[1]ratio_ins!$B:$B,0))*$G331*INDEX([1]ratio_ins!$D:$D,MATCH('001_population_health_zone_zs'!$B331,[1]ratio_ins!$B:$B,0))</f>
        <v>2006.0249900000001</v>
      </c>
      <c r="AU331" s="10">
        <f>INDEX([1]ratio_ins!AR:AR,MATCH('001_population_health_zone_zs'!$B$2,[1]ratio_ins!$B:$B,0))*$G331*INDEX([1]ratio_ins!$D:$D,MATCH('001_population_health_zone_zs'!$B331,[1]ratio_ins!$B:$B,0))</f>
        <v>1203.614994</v>
      </c>
      <c r="AV331" s="10">
        <f>INDEX([1]ratio_ins!AS:AS,MATCH('001_population_health_zone_zs'!$B$2,[1]ratio_ins!$B:$B,0))*$G331*INDEX([1]ratio_ins!$D:$D,MATCH('001_population_health_zone_zs'!$B331,[1]ratio_ins!$B:$B,0))</f>
        <v>601.80749700000001</v>
      </c>
      <c r="AW331" s="10">
        <f>INDEX([1]ratio_ins!AT:AT,MATCH('001_population_health_zone_zs'!$B$2,[1]ratio_ins!$B:$B,0))*$G331*INDEX([1]ratio_ins!$D:$D,MATCH('001_population_health_zone_zs'!$B331,[1]ratio_ins!$B:$B,0))</f>
        <v>401.20499799999999</v>
      </c>
      <c r="AX331" s="13">
        <f>INDEX([1]ratio_ins!AU:AU,MATCH('001_population_health_zone_zs'!$B$2,[1]ratio_ins!$B:$B,0))*$G331*INDEX([1]ratio_ins!$D:$D,MATCH('001_population_health_zone_zs'!$B331,[1]ratio_ins!$B:$B,0))</f>
        <v>4212.6524789999994</v>
      </c>
      <c r="AY331" s="14">
        <f t="shared" si="31"/>
        <v>200602.49900000001</v>
      </c>
      <c r="AZ331" s="15">
        <f t="shared" si="32"/>
        <v>394111</v>
      </c>
      <c r="BA331" s="16">
        <v>378443.04991007195</v>
      </c>
      <c r="BB331" s="10">
        <f t="shared" si="33"/>
        <v>85256.062074999994</v>
      </c>
      <c r="BC331" s="17">
        <f t="shared" si="34"/>
        <v>0.21632499999999999</v>
      </c>
      <c r="BD331" s="10">
        <f t="shared" si="35"/>
        <v>80693.044916999992</v>
      </c>
    </row>
    <row r="332" spans="1:56" x14ac:dyDescent="0.25">
      <c r="A332" s="8" t="s">
        <v>751</v>
      </c>
      <c r="B332" s="8" t="s">
        <v>752</v>
      </c>
      <c r="C332" s="8" t="s">
        <v>811</v>
      </c>
      <c r="D332" s="8" t="s">
        <v>812</v>
      </c>
      <c r="E332" s="8" t="s">
        <v>814</v>
      </c>
      <c r="F332" s="8" t="s">
        <v>815</v>
      </c>
      <c r="G332" s="9">
        <v>230175</v>
      </c>
      <c r="H332" s="10">
        <f>INDEX([1]ratio_ins!F:F,MATCH('001_population_health_zone_zs'!$B$2,[1]ratio_ins!$B:$B,0))*$G332*INDEX([1]ratio_ins!$C:$C,MATCH('001_population_health_zone_zs'!$B332,[1]ratio_ins!$B:$B,0))</f>
        <v>23620.328324999999</v>
      </c>
      <c r="I332" s="10">
        <f>INDEX([1]ratio_ins!G:G,MATCH('001_population_health_zone_zs'!$B$2,[1]ratio_ins!$B:$B,0))*$G332*INDEX([1]ratio_ins!$C:$C,MATCH('001_population_health_zone_zs'!$B332,[1]ratio_ins!$B:$B,0))</f>
        <v>19325.723175000003</v>
      </c>
      <c r="J332" s="10">
        <f>INDEX([1]ratio_ins!H:H,MATCH('001_population_health_zone_zs'!$B$2,[1]ratio_ins!$B:$B,0))*$G332*INDEX([1]ratio_ins!$C:$C,MATCH('001_population_health_zone_zs'!$B332,[1]ratio_ins!$B:$B,0))</f>
        <v>15257.149875000001</v>
      </c>
      <c r="K332" s="10">
        <f>INDEX([1]ratio_ins!I:I,MATCH('001_population_health_zone_zs'!$B$2,[1]ratio_ins!$B:$B,0))*$G332*INDEX([1]ratio_ins!$C:$C,MATCH('001_population_health_zone_zs'!$B332,[1]ratio_ins!$B:$B,0))</f>
        <v>9380.3217750000003</v>
      </c>
      <c r="L332" s="10">
        <f>INDEX([1]ratio_ins!J:J,MATCH('001_population_health_zone_zs'!$B$2,[1]ratio_ins!$B:$B,0))*$G332*INDEX([1]ratio_ins!$C:$C,MATCH('001_population_health_zone_zs'!$B332,[1]ratio_ins!$B:$B,0))</f>
        <v>5628.1930650000004</v>
      </c>
      <c r="M332" s="11">
        <f>INDEX([1]ratio_ins!K:K,MATCH('001_population_health_zone_zs'!$B$2,[1]ratio_ins!$B:$B,0))*$G332*INDEX([1]ratio_ins!$C:$C,MATCH('001_population_health_zone_zs'!$B332,[1]ratio_ins!$B:$B,0))</f>
        <v>63831.394439999996</v>
      </c>
      <c r="N332" s="10">
        <f>INDEX([1]ratio_ins!L:L,MATCH('001_population_health_zone_zs'!$B$2,[1]ratio_ins!$B:$B,0))*$G332*INDEX([1]ratio_ins!$C:$C,MATCH('001_population_health_zone_zs'!$B332,[1]ratio_ins!$B:$B,0))</f>
        <v>3752.12871</v>
      </c>
      <c r="O332" s="10">
        <f>INDEX([1]ratio_ins!M:M,MATCH('001_population_health_zone_zs'!$B$2,[1]ratio_ins!$B:$B,0))*$G332*INDEX([1]ratio_ins!$C:$C,MATCH('001_population_health_zone_zs'!$B332,[1]ratio_ins!$B:$B,0))</f>
        <v>8137.1466000000009</v>
      </c>
      <c r="P332" s="10">
        <f>INDEX([1]ratio_ins!N:N,MATCH('001_population_health_zone_zs'!$B$2,[1]ratio_ins!$B:$B,0))*$G332*INDEX([1]ratio_ins!$C:$C,MATCH('001_population_health_zone_zs'!$B332,[1]ratio_ins!$B:$B,0))</f>
        <v>7346.0351250000003</v>
      </c>
      <c r="Q332" s="10">
        <f>INDEX([1]ratio_ins!O:O,MATCH('001_population_health_zone_zs'!$B$2,[1]ratio_ins!$B:$B,0))*$G332*INDEX([1]ratio_ins!$C:$C,MATCH('001_population_health_zone_zs'!$B332,[1]ratio_ins!$B:$B,0))</f>
        <v>6554.9236499999997</v>
      </c>
      <c r="R332" s="10">
        <f>INDEX([1]ratio_ins!P:P,MATCH('001_population_health_zone_zs'!$B$2,[1]ratio_ins!$B:$B,0))*$G332*INDEX([1]ratio_ins!$C:$C,MATCH('001_population_health_zone_zs'!$B332,[1]ratio_ins!$B:$B,0))</f>
        <v>6441.907725</v>
      </c>
      <c r="S332" s="10">
        <f>INDEX([1]ratio_ins!Q:Q,MATCH('001_population_health_zone_zs'!$B$2,[1]ratio_ins!$B:$B,0))*$G332*INDEX([1]ratio_ins!$C:$C,MATCH('001_population_health_zone_zs'!$B332,[1]ratio_ins!$B:$B,0))</f>
        <v>5424.7644</v>
      </c>
      <c r="T332" s="10">
        <f>INDEX([1]ratio_ins!R:R,MATCH('001_population_health_zone_zs'!$B$2,[1]ratio_ins!$B:$B,0))*$G332*INDEX([1]ratio_ins!$C:$C,MATCH('001_population_health_zone_zs'!$B332,[1]ratio_ins!$B:$B,0))</f>
        <v>3842.5414500000002</v>
      </c>
      <c r="U332" s="10">
        <f>INDEX([1]ratio_ins!S:S,MATCH('001_population_health_zone_zs'!$B$2,[1]ratio_ins!$B:$B,0))*$G332*INDEX([1]ratio_ins!$C:$C,MATCH('001_population_health_zone_zs'!$B332,[1]ratio_ins!$B:$B,0))</f>
        <v>3051.429975</v>
      </c>
      <c r="V332" s="10">
        <f>INDEX([1]ratio_ins!T:T,MATCH('001_population_health_zone_zs'!$B$2,[1]ratio_ins!$B:$B,0))*$G332*INDEX([1]ratio_ins!$C:$C,MATCH('001_population_health_zone_zs'!$B332,[1]ratio_ins!$B:$B,0))</f>
        <v>1695.238875</v>
      </c>
      <c r="W332" s="11">
        <f>INDEX([1]ratio_ins!U:U,MATCH('001_population_health_zone_zs'!$B$2,[1]ratio_ins!$B:$B,0))*$G332*INDEX([1]ratio_ins!$C:$C,MATCH('001_population_health_zone_zs'!$B332,[1]ratio_ins!$B:$B,0))</f>
        <v>46246.11651</v>
      </c>
      <c r="X332" s="10">
        <f>INDEX([1]ratio_ins!V:V,MATCH('001_population_health_zone_zs'!$B$2,[1]ratio_ins!$B:$B,0))*$G332*INDEX([1]ratio_ins!$C:$C,MATCH('001_population_health_zone_zs'!$B332,[1]ratio_ins!$B:$B,0))</f>
        <v>1356.1911</v>
      </c>
      <c r="Y332" s="10">
        <f>INDEX([1]ratio_ins!W:W,MATCH('001_population_health_zone_zs'!$B$2,[1]ratio_ins!$B:$B,0))*$G332*INDEX([1]ratio_ins!$C:$C,MATCH('001_population_health_zone_zs'!$B332,[1]ratio_ins!$B:$B,0))</f>
        <v>904.12740000000008</v>
      </c>
      <c r="Z332" s="10">
        <f>INDEX([1]ratio_ins!X:X,MATCH('001_population_health_zone_zs'!$B$2,[1]ratio_ins!$B:$B,0))*$G332*INDEX([1]ratio_ins!$C:$C,MATCH('001_population_health_zone_zs'!$B332,[1]ratio_ins!$B:$B,0))</f>
        <v>452.06370000000004</v>
      </c>
      <c r="AA332" s="10">
        <f>INDEX([1]ratio_ins!Y:Y,MATCH('001_population_health_zone_zs'!$B$2,[1]ratio_ins!$B:$B,0))*$G332*INDEX([1]ratio_ins!$C:$C,MATCH('001_population_health_zone_zs'!$B332,[1]ratio_ins!$B:$B,0))</f>
        <v>226.03185000000002</v>
      </c>
      <c r="AB332" s="11">
        <f>INDEX([1]ratio_ins!Z:Z,MATCH('001_population_health_zone_zs'!$B$2,[1]ratio_ins!$B:$B,0))*$G332*INDEX([1]ratio_ins!$C:$C,MATCH('001_population_health_zone_zs'!$B332,[1]ratio_ins!$B:$B,0))</f>
        <v>2938.4140499999999</v>
      </c>
      <c r="AC332" s="12">
        <f t="shared" si="30"/>
        <v>113015.925</v>
      </c>
      <c r="AD332" s="10">
        <f>INDEX([1]ratio_ins!AA:AA,MATCH('001_population_health_zone_zs'!$B$2,[1]ratio_ins!$B:$B,0))*$G332*INDEX([1]ratio_ins!$D:$D,MATCH('001_population_health_zone_zs'!$B332,[1]ratio_ins!$B:$B,0))</f>
        <v>24603.405750000002</v>
      </c>
      <c r="AE332" s="10">
        <f>INDEX([1]ratio_ins!AB:AB,MATCH('001_population_health_zone_zs'!$B$2,[1]ratio_ins!$B:$B,0))*$G332*INDEX([1]ratio_ins!$D:$D,MATCH('001_population_health_zone_zs'!$B332,[1]ratio_ins!$B:$B,0))</f>
        <v>20268.519974999999</v>
      </c>
      <c r="AF332" s="10">
        <f>INDEX([1]ratio_ins!AC:AC,MATCH('001_population_health_zone_zs'!$B$2,[1]ratio_ins!$B:$B,0))*$G332*INDEX([1]ratio_ins!$D:$D,MATCH('001_population_health_zone_zs'!$B332,[1]ratio_ins!$B:$B,0))</f>
        <v>16050.793274999998</v>
      </c>
      <c r="AG332" s="10">
        <f>INDEX([1]ratio_ins!AD:AD,MATCH('001_population_health_zone_zs'!$B$2,[1]ratio_ins!$B:$B,0))*$G332*INDEX([1]ratio_ins!$D:$D,MATCH('001_population_health_zone_zs'!$B332,[1]ratio_ins!$B:$B,0))</f>
        <v>9724.2032250000011</v>
      </c>
      <c r="AH332" s="10">
        <f>INDEX([1]ratio_ins!AE:AE,MATCH('001_population_health_zone_zs'!$B$2,[1]ratio_ins!$B:$B,0))*$G332*INDEX([1]ratio_ins!$D:$D,MATCH('001_population_health_zone_zs'!$B332,[1]ratio_ins!$B:$B,0))</f>
        <v>5834.5219349999998</v>
      </c>
      <c r="AI332" s="13">
        <f>INDEX([1]ratio_ins!AF:AF,MATCH('001_population_health_zone_zs'!$B$2,[1]ratio_ins!$B:$B,0))*$G332*INDEX([1]ratio_ins!$D:$D,MATCH('001_population_health_zone_zs'!$B332,[1]ratio_ins!$B:$B,0))</f>
        <v>66757.240934999994</v>
      </c>
      <c r="AJ332" s="10">
        <f>INDEX([1]ratio_ins!AG:AG,MATCH('001_population_health_zone_zs'!$B$2,[1]ratio_ins!$B:$B,0))*$G332*INDEX([1]ratio_ins!$D:$D,MATCH('001_population_health_zone_zs'!$B332,[1]ratio_ins!$B:$B,0))</f>
        <v>3889.6812900000004</v>
      </c>
      <c r="AK332" s="10">
        <f>INDEX([1]ratio_ins!AH:AH,MATCH('001_population_health_zone_zs'!$B$2,[1]ratio_ins!$B:$B,0))*$G332*INDEX([1]ratio_ins!$D:$D,MATCH('001_population_health_zone_zs'!$B332,[1]ratio_ins!$B:$B,0))</f>
        <v>8669.7715500000013</v>
      </c>
      <c r="AL332" s="10">
        <f>INDEX([1]ratio_ins!AI:AI,MATCH('001_population_health_zone_zs'!$B$2,[1]ratio_ins!$B:$B,0))*$G332*INDEX([1]ratio_ins!$D:$D,MATCH('001_population_health_zone_zs'!$B332,[1]ratio_ins!$B:$B,0))</f>
        <v>8201.1352500000012</v>
      </c>
      <c r="AM332" s="10">
        <f>INDEX([1]ratio_ins!AJ:AJ,MATCH('001_population_health_zone_zs'!$B$2,[1]ratio_ins!$B:$B,0))*$G332*INDEX([1]ratio_ins!$D:$D,MATCH('001_population_health_zone_zs'!$B332,[1]ratio_ins!$B:$B,0))</f>
        <v>7498.1808000000001</v>
      </c>
      <c r="AN332" s="10">
        <f>INDEX([1]ratio_ins!AK:AK,MATCH('001_population_health_zone_zs'!$B$2,[1]ratio_ins!$B:$B,0))*$G332*INDEX([1]ratio_ins!$D:$D,MATCH('001_population_health_zone_zs'!$B332,[1]ratio_ins!$B:$B,0))</f>
        <v>7029.5445</v>
      </c>
      <c r="AO332" s="10">
        <f>INDEX([1]ratio_ins!AL:AL,MATCH('001_population_health_zone_zs'!$B$2,[1]ratio_ins!$B:$B,0))*$G332*INDEX([1]ratio_ins!$D:$D,MATCH('001_population_health_zone_zs'!$B332,[1]ratio_ins!$B:$B,0))</f>
        <v>5272.158375</v>
      </c>
      <c r="AP332" s="10">
        <f>INDEX([1]ratio_ins!AM:AM,MATCH('001_population_health_zone_zs'!$B$2,[1]ratio_ins!$B:$B,0))*$G332*INDEX([1]ratio_ins!$D:$D,MATCH('001_population_health_zone_zs'!$B332,[1]ratio_ins!$B:$B,0))</f>
        <v>3397.613175</v>
      </c>
      <c r="AQ332" s="10">
        <f>INDEX([1]ratio_ins!AN:AN,MATCH('001_population_health_zone_zs'!$B$2,[1]ratio_ins!$B:$B,0))*$G332*INDEX([1]ratio_ins!$D:$D,MATCH('001_population_health_zone_zs'!$B332,[1]ratio_ins!$B:$B,0))</f>
        <v>2694.6587249999998</v>
      </c>
      <c r="AR332" s="10">
        <f>INDEX([1]ratio_ins!AO:AO,MATCH('001_population_health_zone_zs'!$B$2,[1]ratio_ins!$B:$B,0))*$G332*INDEX([1]ratio_ins!$D:$D,MATCH('001_population_health_zone_zs'!$B332,[1]ratio_ins!$B:$B,0))</f>
        <v>1288.7498250000001</v>
      </c>
      <c r="AS332" s="13">
        <f>INDEX([1]ratio_ins!AP:AP,MATCH('001_population_health_zone_zs'!$B$2,[1]ratio_ins!$B:$B,0))*$G332*INDEX([1]ratio_ins!$D:$D,MATCH('001_population_health_zone_zs'!$B332,[1]ratio_ins!$B:$B,0))</f>
        <v>47941.493490000001</v>
      </c>
      <c r="AT332" s="10">
        <f>INDEX([1]ratio_ins!AQ:AQ,MATCH('001_population_health_zone_zs'!$B$2,[1]ratio_ins!$B:$B,0))*$G332*INDEX([1]ratio_ins!$D:$D,MATCH('001_population_health_zone_zs'!$B332,[1]ratio_ins!$B:$B,0))</f>
        <v>1171.5907500000001</v>
      </c>
      <c r="AU332" s="10">
        <f>INDEX([1]ratio_ins!AR:AR,MATCH('001_population_health_zone_zs'!$B$2,[1]ratio_ins!$B:$B,0))*$G332*INDEX([1]ratio_ins!$D:$D,MATCH('001_population_health_zone_zs'!$B332,[1]ratio_ins!$B:$B,0))</f>
        <v>702.95444999999995</v>
      </c>
      <c r="AV332" s="10">
        <f>INDEX([1]ratio_ins!AS:AS,MATCH('001_population_health_zone_zs'!$B$2,[1]ratio_ins!$B:$B,0))*$G332*INDEX([1]ratio_ins!$D:$D,MATCH('001_population_health_zone_zs'!$B332,[1]ratio_ins!$B:$B,0))</f>
        <v>351.47722499999998</v>
      </c>
      <c r="AW332" s="10">
        <f>INDEX([1]ratio_ins!AT:AT,MATCH('001_population_health_zone_zs'!$B$2,[1]ratio_ins!$B:$B,0))*$G332*INDEX([1]ratio_ins!$D:$D,MATCH('001_population_health_zone_zs'!$B332,[1]ratio_ins!$B:$B,0))</f>
        <v>234.31815</v>
      </c>
      <c r="AX332" s="13">
        <f>INDEX([1]ratio_ins!AU:AU,MATCH('001_population_health_zone_zs'!$B$2,[1]ratio_ins!$B:$B,0))*$G332*INDEX([1]ratio_ins!$D:$D,MATCH('001_population_health_zone_zs'!$B332,[1]ratio_ins!$B:$B,0))</f>
        <v>2460.3405749999997</v>
      </c>
      <c r="AY332" s="14">
        <f t="shared" si="31"/>
        <v>117159.075</v>
      </c>
      <c r="AZ332" s="15">
        <f t="shared" si="32"/>
        <v>230175</v>
      </c>
      <c r="BA332" s="16">
        <v>221023.67160668649</v>
      </c>
      <c r="BB332" s="10">
        <f t="shared" si="33"/>
        <v>49792.606875000005</v>
      </c>
      <c r="BC332" s="17">
        <f t="shared" si="34"/>
        <v>0.21632500000000002</v>
      </c>
      <c r="BD332" s="10">
        <f t="shared" si="35"/>
        <v>47127.640724999997</v>
      </c>
    </row>
    <row r="333" spans="1:56" x14ac:dyDescent="0.25">
      <c r="A333" s="8" t="s">
        <v>751</v>
      </c>
      <c r="B333" s="8" t="s">
        <v>752</v>
      </c>
      <c r="C333" s="8" t="s">
        <v>811</v>
      </c>
      <c r="D333" s="8" t="s">
        <v>812</v>
      </c>
      <c r="E333" s="8" t="s">
        <v>816</v>
      </c>
      <c r="F333" s="8" t="s">
        <v>817</v>
      </c>
      <c r="G333" s="9">
        <v>101309</v>
      </c>
      <c r="H333" s="10">
        <f>INDEX([1]ratio_ins!F:F,MATCH('001_population_health_zone_zs'!$B$2,[1]ratio_ins!$B:$B,0))*$G333*INDEX([1]ratio_ins!$C:$C,MATCH('001_population_health_zone_zs'!$B333,[1]ratio_ins!$B:$B,0))</f>
        <v>10396.228270999998</v>
      </c>
      <c r="I333" s="10">
        <f>INDEX([1]ratio_ins!G:G,MATCH('001_population_health_zone_zs'!$B$2,[1]ratio_ins!$B:$B,0))*$G333*INDEX([1]ratio_ins!$C:$C,MATCH('001_population_health_zone_zs'!$B333,[1]ratio_ins!$B:$B,0))</f>
        <v>8506.0049490000001</v>
      </c>
      <c r="J333" s="10">
        <f>INDEX([1]ratio_ins!H:H,MATCH('001_population_health_zone_zs'!$B$2,[1]ratio_ins!$B:$B,0))*$G333*INDEX([1]ratio_ins!$C:$C,MATCH('001_population_health_zone_zs'!$B333,[1]ratio_ins!$B:$B,0))</f>
        <v>6715.267065</v>
      </c>
      <c r="K333" s="10">
        <f>INDEX([1]ratio_ins!I:I,MATCH('001_population_health_zone_zs'!$B$2,[1]ratio_ins!$B:$B,0))*$G333*INDEX([1]ratio_ins!$C:$C,MATCH('001_population_health_zone_zs'!$B333,[1]ratio_ins!$B:$B,0))</f>
        <v>4128.6456770000004</v>
      </c>
      <c r="L333" s="10">
        <f>INDEX([1]ratio_ins!J:J,MATCH('001_population_health_zone_zs'!$B$2,[1]ratio_ins!$B:$B,0))*$G333*INDEX([1]ratio_ins!$C:$C,MATCH('001_population_health_zone_zs'!$B333,[1]ratio_ins!$B:$B,0))</f>
        <v>2477.1874061999997</v>
      </c>
      <c r="M333" s="11">
        <f>INDEX([1]ratio_ins!K:K,MATCH('001_population_health_zone_zs'!$B$2,[1]ratio_ins!$B:$B,0))*$G333*INDEX([1]ratio_ins!$C:$C,MATCH('001_population_health_zone_zs'!$B333,[1]ratio_ins!$B:$B,0))</f>
        <v>28094.687691200001</v>
      </c>
      <c r="N333" s="10">
        <f>INDEX([1]ratio_ins!L:L,MATCH('001_population_health_zone_zs'!$B$2,[1]ratio_ins!$B:$B,0))*$G333*INDEX([1]ratio_ins!$C:$C,MATCH('001_population_health_zone_zs'!$B333,[1]ratio_ins!$B:$B,0))</f>
        <v>1651.4582707999998</v>
      </c>
      <c r="O333" s="10">
        <f>INDEX([1]ratio_ins!M:M,MATCH('001_population_health_zone_zs'!$B$2,[1]ratio_ins!$B:$B,0))*$G333*INDEX([1]ratio_ins!$C:$C,MATCH('001_population_health_zone_zs'!$B333,[1]ratio_ins!$B:$B,0))</f>
        <v>3581.4757680000002</v>
      </c>
      <c r="P333" s="10">
        <f>INDEX([1]ratio_ins!N:N,MATCH('001_population_health_zone_zs'!$B$2,[1]ratio_ins!$B:$B,0))*$G333*INDEX([1]ratio_ins!$C:$C,MATCH('001_population_health_zone_zs'!$B333,[1]ratio_ins!$B:$B,0))</f>
        <v>3233.2767349999999</v>
      </c>
      <c r="Q333" s="10">
        <f>INDEX([1]ratio_ins!O:O,MATCH('001_population_health_zone_zs'!$B$2,[1]ratio_ins!$B:$B,0))*$G333*INDEX([1]ratio_ins!$C:$C,MATCH('001_population_health_zone_zs'!$B333,[1]ratio_ins!$B:$B,0))</f>
        <v>2885.0777019999996</v>
      </c>
      <c r="R333" s="10">
        <f>INDEX([1]ratio_ins!P:P,MATCH('001_population_health_zone_zs'!$B$2,[1]ratio_ins!$B:$B,0))*$G333*INDEX([1]ratio_ins!$C:$C,MATCH('001_population_health_zone_zs'!$B333,[1]ratio_ins!$B:$B,0))</f>
        <v>2835.3349830000002</v>
      </c>
      <c r="S333" s="10">
        <f>INDEX([1]ratio_ins!Q:Q,MATCH('001_population_health_zone_zs'!$B$2,[1]ratio_ins!$B:$B,0))*$G333*INDEX([1]ratio_ins!$C:$C,MATCH('001_population_health_zone_zs'!$B333,[1]ratio_ins!$B:$B,0))</f>
        <v>2387.6505120000002</v>
      </c>
      <c r="T333" s="10">
        <f>INDEX([1]ratio_ins!R:R,MATCH('001_population_health_zone_zs'!$B$2,[1]ratio_ins!$B:$B,0))*$G333*INDEX([1]ratio_ins!$C:$C,MATCH('001_population_health_zone_zs'!$B333,[1]ratio_ins!$B:$B,0))</f>
        <v>1691.2524460000002</v>
      </c>
      <c r="U333" s="10">
        <f>INDEX([1]ratio_ins!S:S,MATCH('001_population_health_zone_zs'!$B$2,[1]ratio_ins!$B:$B,0))*$G333*INDEX([1]ratio_ins!$C:$C,MATCH('001_population_health_zone_zs'!$B333,[1]ratio_ins!$B:$B,0))</f>
        <v>1343.0534130000001</v>
      </c>
      <c r="V333" s="10">
        <f>INDEX([1]ratio_ins!T:T,MATCH('001_population_health_zone_zs'!$B$2,[1]ratio_ins!$B:$B,0))*$G333*INDEX([1]ratio_ins!$C:$C,MATCH('001_population_health_zone_zs'!$B333,[1]ratio_ins!$B:$B,0))</f>
        <v>746.14078499999994</v>
      </c>
      <c r="W333" s="11">
        <f>INDEX([1]ratio_ins!U:U,MATCH('001_population_health_zone_zs'!$B$2,[1]ratio_ins!$B:$B,0))*$G333*INDEX([1]ratio_ins!$C:$C,MATCH('001_population_health_zone_zs'!$B333,[1]ratio_ins!$B:$B,0))</f>
        <v>20354.7206148</v>
      </c>
      <c r="X333" s="10">
        <f>INDEX([1]ratio_ins!V:V,MATCH('001_population_health_zone_zs'!$B$2,[1]ratio_ins!$B:$B,0))*$G333*INDEX([1]ratio_ins!$C:$C,MATCH('001_population_health_zone_zs'!$B333,[1]ratio_ins!$B:$B,0))</f>
        <v>596.91262800000004</v>
      </c>
      <c r="Y333" s="10">
        <f>INDEX([1]ratio_ins!W:W,MATCH('001_population_health_zone_zs'!$B$2,[1]ratio_ins!$B:$B,0))*$G333*INDEX([1]ratio_ins!$C:$C,MATCH('001_population_health_zone_zs'!$B333,[1]ratio_ins!$B:$B,0))</f>
        <v>397.94175200000001</v>
      </c>
      <c r="Z333" s="10">
        <f>INDEX([1]ratio_ins!X:X,MATCH('001_population_health_zone_zs'!$B$2,[1]ratio_ins!$B:$B,0))*$G333*INDEX([1]ratio_ins!$C:$C,MATCH('001_population_health_zone_zs'!$B333,[1]ratio_ins!$B:$B,0))</f>
        <v>198.970876</v>
      </c>
      <c r="AA333" s="10">
        <f>INDEX([1]ratio_ins!Y:Y,MATCH('001_population_health_zone_zs'!$B$2,[1]ratio_ins!$B:$B,0))*$G333*INDEX([1]ratio_ins!$C:$C,MATCH('001_population_health_zone_zs'!$B333,[1]ratio_ins!$B:$B,0))</f>
        <v>99.485438000000002</v>
      </c>
      <c r="AB333" s="11">
        <f>INDEX([1]ratio_ins!Z:Z,MATCH('001_population_health_zone_zs'!$B$2,[1]ratio_ins!$B:$B,0))*$G333*INDEX([1]ratio_ins!$C:$C,MATCH('001_population_health_zone_zs'!$B333,[1]ratio_ins!$B:$B,0))</f>
        <v>1293.310694</v>
      </c>
      <c r="AC333" s="12">
        <f t="shared" si="30"/>
        <v>49742.718999999997</v>
      </c>
      <c r="AD333" s="10">
        <f>INDEX([1]ratio_ins!AA:AA,MATCH('001_population_health_zone_zs'!$B$2,[1]ratio_ins!$B:$B,0))*$G333*INDEX([1]ratio_ins!$D:$D,MATCH('001_population_health_zone_zs'!$B333,[1]ratio_ins!$B:$B,0))</f>
        <v>10828.91901</v>
      </c>
      <c r="AE333" s="10">
        <f>INDEX([1]ratio_ins!AB:AB,MATCH('001_population_health_zone_zs'!$B$2,[1]ratio_ins!$B:$B,0))*$G333*INDEX([1]ratio_ins!$D:$D,MATCH('001_population_health_zone_zs'!$B333,[1]ratio_ins!$B:$B,0))</f>
        <v>8920.9666130000005</v>
      </c>
      <c r="AF333" s="10">
        <f>INDEX([1]ratio_ins!AC:AC,MATCH('001_population_health_zone_zs'!$B$2,[1]ratio_ins!$B:$B,0))*$G333*INDEX([1]ratio_ins!$D:$D,MATCH('001_population_health_zone_zs'!$B333,[1]ratio_ins!$B:$B,0))</f>
        <v>7064.580496999999</v>
      </c>
      <c r="AG333" s="10">
        <f>INDEX([1]ratio_ins!AD:AD,MATCH('001_population_health_zone_zs'!$B$2,[1]ratio_ins!$B:$B,0))*$G333*INDEX([1]ratio_ins!$D:$D,MATCH('001_population_health_zone_zs'!$B333,[1]ratio_ins!$B:$B,0))</f>
        <v>4280.0013230000004</v>
      </c>
      <c r="AH333" s="10">
        <f>INDEX([1]ratio_ins!AE:AE,MATCH('001_population_health_zone_zs'!$B$2,[1]ratio_ins!$B:$B,0))*$G333*INDEX([1]ratio_ins!$D:$D,MATCH('001_population_health_zone_zs'!$B333,[1]ratio_ins!$B:$B,0))</f>
        <v>2568.0007937999999</v>
      </c>
      <c r="AI333" s="13">
        <f>INDEX([1]ratio_ins!AF:AF,MATCH('001_population_health_zone_zs'!$B$2,[1]ratio_ins!$B:$B,0))*$G333*INDEX([1]ratio_ins!$D:$D,MATCH('001_population_health_zone_zs'!$B333,[1]ratio_ins!$B:$B,0))</f>
        <v>29382.466913799999</v>
      </c>
      <c r="AJ333" s="10">
        <f>INDEX([1]ratio_ins!AG:AG,MATCH('001_population_health_zone_zs'!$B$2,[1]ratio_ins!$B:$B,0))*$G333*INDEX([1]ratio_ins!$D:$D,MATCH('001_population_health_zone_zs'!$B333,[1]ratio_ins!$B:$B,0))</f>
        <v>1712.0005292000001</v>
      </c>
      <c r="AK333" s="10">
        <f>INDEX([1]ratio_ins!AH:AH,MATCH('001_population_health_zone_zs'!$B$2,[1]ratio_ins!$B:$B,0))*$G333*INDEX([1]ratio_ins!$D:$D,MATCH('001_population_health_zone_zs'!$B333,[1]ratio_ins!$B:$B,0))</f>
        <v>3815.9047940000005</v>
      </c>
      <c r="AL333" s="10">
        <f>INDEX([1]ratio_ins!AI:AI,MATCH('001_population_health_zone_zs'!$B$2,[1]ratio_ins!$B:$B,0))*$G333*INDEX([1]ratio_ins!$D:$D,MATCH('001_population_health_zone_zs'!$B333,[1]ratio_ins!$B:$B,0))</f>
        <v>3609.6396700000005</v>
      </c>
      <c r="AM333" s="10">
        <f>INDEX([1]ratio_ins!AJ:AJ,MATCH('001_population_health_zone_zs'!$B$2,[1]ratio_ins!$B:$B,0))*$G333*INDEX([1]ratio_ins!$D:$D,MATCH('001_population_health_zone_zs'!$B333,[1]ratio_ins!$B:$B,0))</f>
        <v>3300.2419839999998</v>
      </c>
      <c r="AN333" s="10">
        <f>INDEX([1]ratio_ins!AK:AK,MATCH('001_population_health_zone_zs'!$B$2,[1]ratio_ins!$B:$B,0))*$G333*INDEX([1]ratio_ins!$D:$D,MATCH('001_population_health_zone_zs'!$B333,[1]ratio_ins!$B:$B,0))</f>
        <v>3093.9768600000002</v>
      </c>
      <c r="AO333" s="10">
        <f>INDEX([1]ratio_ins!AL:AL,MATCH('001_population_health_zone_zs'!$B$2,[1]ratio_ins!$B:$B,0))*$G333*INDEX([1]ratio_ins!$D:$D,MATCH('001_population_health_zone_zs'!$B333,[1]ratio_ins!$B:$B,0))</f>
        <v>2320.482645</v>
      </c>
      <c r="AP333" s="10">
        <f>INDEX([1]ratio_ins!AM:AM,MATCH('001_population_health_zone_zs'!$B$2,[1]ratio_ins!$B:$B,0))*$G333*INDEX([1]ratio_ins!$D:$D,MATCH('001_population_health_zone_zs'!$B333,[1]ratio_ins!$B:$B,0))</f>
        <v>1495.422149</v>
      </c>
      <c r="AQ333" s="10">
        <f>INDEX([1]ratio_ins!AN:AN,MATCH('001_population_health_zone_zs'!$B$2,[1]ratio_ins!$B:$B,0))*$G333*INDEX([1]ratio_ins!$D:$D,MATCH('001_population_health_zone_zs'!$B333,[1]ratio_ins!$B:$B,0))</f>
        <v>1186.024463</v>
      </c>
      <c r="AR333" s="10">
        <f>INDEX([1]ratio_ins!AO:AO,MATCH('001_population_health_zone_zs'!$B$2,[1]ratio_ins!$B:$B,0))*$G333*INDEX([1]ratio_ins!$D:$D,MATCH('001_population_health_zone_zs'!$B333,[1]ratio_ins!$B:$B,0))</f>
        <v>567.22909100000004</v>
      </c>
      <c r="AS333" s="13">
        <f>INDEX([1]ratio_ins!AP:AP,MATCH('001_population_health_zone_zs'!$B$2,[1]ratio_ins!$B:$B,0))*$G333*INDEX([1]ratio_ins!$D:$D,MATCH('001_population_health_zone_zs'!$B333,[1]ratio_ins!$B:$B,0))</f>
        <v>21100.922185200001</v>
      </c>
      <c r="AT333" s="10">
        <f>INDEX([1]ratio_ins!AQ:AQ,MATCH('001_population_health_zone_zs'!$B$2,[1]ratio_ins!$B:$B,0))*$G333*INDEX([1]ratio_ins!$D:$D,MATCH('001_population_health_zone_zs'!$B333,[1]ratio_ins!$B:$B,0))</f>
        <v>515.66281000000004</v>
      </c>
      <c r="AU333" s="10">
        <f>INDEX([1]ratio_ins!AR:AR,MATCH('001_population_health_zone_zs'!$B$2,[1]ratio_ins!$B:$B,0))*$G333*INDEX([1]ratio_ins!$D:$D,MATCH('001_population_health_zone_zs'!$B333,[1]ratio_ins!$B:$B,0))</f>
        <v>309.39768600000002</v>
      </c>
      <c r="AV333" s="10">
        <f>INDEX([1]ratio_ins!AS:AS,MATCH('001_population_health_zone_zs'!$B$2,[1]ratio_ins!$B:$B,0))*$G333*INDEX([1]ratio_ins!$D:$D,MATCH('001_population_health_zone_zs'!$B333,[1]ratio_ins!$B:$B,0))</f>
        <v>154.69884300000001</v>
      </c>
      <c r="AW333" s="10">
        <f>INDEX([1]ratio_ins!AT:AT,MATCH('001_population_health_zone_zs'!$B$2,[1]ratio_ins!$B:$B,0))*$G333*INDEX([1]ratio_ins!$D:$D,MATCH('001_population_health_zone_zs'!$B333,[1]ratio_ins!$B:$B,0))</f>
        <v>103.13256199999999</v>
      </c>
      <c r="AX333" s="13">
        <f>INDEX([1]ratio_ins!AU:AU,MATCH('001_population_health_zone_zs'!$B$2,[1]ratio_ins!$B:$B,0))*$G333*INDEX([1]ratio_ins!$D:$D,MATCH('001_population_health_zone_zs'!$B333,[1]ratio_ins!$B:$B,0))</f>
        <v>1082.8919009999997</v>
      </c>
      <c r="AY333" s="14">
        <f t="shared" si="31"/>
        <v>51566.281000000003</v>
      </c>
      <c r="AZ333" s="15">
        <f t="shared" si="32"/>
        <v>101309</v>
      </c>
      <c r="BA333" s="16">
        <v>97280.928783388663</v>
      </c>
      <c r="BB333" s="10">
        <f t="shared" si="33"/>
        <v>21915.669425</v>
      </c>
      <c r="BC333" s="17">
        <f t="shared" si="34"/>
        <v>0.21632499999999999</v>
      </c>
      <c r="BD333" s="10">
        <f t="shared" si="35"/>
        <v>20742.713822999998</v>
      </c>
    </row>
    <row r="334" spans="1:56" x14ac:dyDescent="0.25">
      <c r="A334" s="8" t="s">
        <v>751</v>
      </c>
      <c r="B334" s="8" t="s">
        <v>752</v>
      </c>
      <c r="C334" s="8" t="s">
        <v>811</v>
      </c>
      <c r="D334" s="8" t="s">
        <v>812</v>
      </c>
      <c r="E334" s="8" t="s">
        <v>818</v>
      </c>
      <c r="F334" s="8" t="s">
        <v>819</v>
      </c>
      <c r="G334" s="9">
        <v>240543</v>
      </c>
      <c r="H334" s="10">
        <f>INDEX([1]ratio_ins!F:F,MATCH('001_population_health_zone_zs'!$B$2,[1]ratio_ins!$B:$B,0))*$G334*INDEX([1]ratio_ins!$C:$C,MATCH('001_population_health_zone_zs'!$B334,[1]ratio_ins!$B:$B,0))</f>
        <v>24684.282116999999</v>
      </c>
      <c r="I334" s="10">
        <f>INDEX([1]ratio_ins!G:G,MATCH('001_population_health_zone_zs'!$B$2,[1]ratio_ins!$B:$B,0))*$G334*INDEX([1]ratio_ins!$C:$C,MATCH('001_population_health_zone_zs'!$B334,[1]ratio_ins!$B:$B,0))</f>
        <v>20196.230823000002</v>
      </c>
      <c r="J334" s="10">
        <f>INDEX([1]ratio_ins!H:H,MATCH('001_population_health_zone_zs'!$B$2,[1]ratio_ins!$B:$B,0))*$G334*INDEX([1]ratio_ins!$C:$C,MATCH('001_population_health_zone_zs'!$B334,[1]ratio_ins!$B:$B,0))</f>
        <v>15944.392755000001</v>
      </c>
      <c r="K334" s="10">
        <f>INDEX([1]ratio_ins!I:I,MATCH('001_population_health_zone_zs'!$B$2,[1]ratio_ins!$B:$B,0))*$G334*INDEX([1]ratio_ins!$C:$C,MATCH('001_population_health_zone_zs'!$B334,[1]ratio_ins!$B:$B,0))</f>
        <v>9802.8488789999992</v>
      </c>
      <c r="L334" s="10">
        <f>INDEX([1]ratio_ins!J:J,MATCH('001_population_health_zone_zs'!$B$2,[1]ratio_ins!$B:$B,0))*$G334*INDEX([1]ratio_ins!$C:$C,MATCH('001_population_health_zone_zs'!$B334,[1]ratio_ins!$B:$B,0))</f>
        <v>5881.7093273999999</v>
      </c>
      <c r="M334" s="11">
        <f>INDEX([1]ratio_ins!K:K,MATCH('001_population_health_zone_zs'!$B$2,[1]ratio_ins!$B:$B,0))*$G334*INDEX([1]ratio_ins!$C:$C,MATCH('001_population_health_zone_zs'!$B334,[1]ratio_ins!$B:$B,0))</f>
        <v>66706.615022400001</v>
      </c>
      <c r="N334" s="10">
        <f>INDEX([1]ratio_ins!L:L,MATCH('001_population_health_zone_zs'!$B$2,[1]ratio_ins!$B:$B,0))*$G334*INDEX([1]ratio_ins!$C:$C,MATCH('001_population_health_zone_zs'!$B334,[1]ratio_ins!$B:$B,0))</f>
        <v>3921.1395516000002</v>
      </c>
      <c r="O334" s="10">
        <f>INDEX([1]ratio_ins!M:M,MATCH('001_population_health_zone_zs'!$B$2,[1]ratio_ins!$B:$B,0))*$G334*INDEX([1]ratio_ins!$C:$C,MATCH('001_population_health_zone_zs'!$B334,[1]ratio_ins!$B:$B,0))</f>
        <v>8503.676136</v>
      </c>
      <c r="P334" s="10">
        <f>INDEX([1]ratio_ins!N:N,MATCH('001_population_health_zone_zs'!$B$2,[1]ratio_ins!$B:$B,0))*$G334*INDEX([1]ratio_ins!$C:$C,MATCH('001_population_health_zone_zs'!$B334,[1]ratio_ins!$B:$B,0))</f>
        <v>7676.9298449999997</v>
      </c>
      <c r="Q334" s="10">
        <f>INDEX([1]ratio_ins!O:O,MATCH('001_population_health_zone_zs'!$B$2,[1]ratio_ins!$B:$B,0))*$G334*INDEX([1]ratio_ins!$C:$C,MATCH('001_population_health_zone_zs'!$B334,[1]ratio_ins!$B:$B,0))</f>
        <v>6850.1835539999993</v>
      </c>
      <c r="R334" s="10">
        <f>INDEX([1]ratio_ins!P:P,MATCH('001_population_health_zone_zs'!$B$2,[1]ratio_ins!$B:$B,0))*$G334*INDEX([1]ratio_ins!$C:$C,MATCH('001_population_health_zone_zs'!$B334,[1]ratio_ins!$B:$B,0))</f>
        <v>6732.0769410000003</v>
      </c>
      <c r="S334" s="10">
        <f>INDEX([1]ratio_ins!Q:Q,MATCH('001_population_health_zone_zs'!$B$2,[1]ratio_ins!$B:$B,0))*$G334*INDEX([1]ratio_ins!$C:$C,MATCH('001_population_health_zone_zs'!$B334,[1]ratio_ins!$B:$B,0))</f>
        <v>5669.117424</v>
      </c>
      <c r="T334" s="10">
        <f>INDEX([1]ratio_ins!R:R,MATCH('001_population_health_zone_zs'!$B$2,[1]ratio_ins!$B:$B,0))*$G334*INDEX([1]ratio_ins!$C:$C,MATCH('001_population_health_zone_zs'!$B334,[1]ratio_ins!$B:$B,0))</f>
        <v>4015.6248420000002</v>
      </c>
      <c r="U334" s="10">
        <f>INDEX([1]ratio_ins!S:S,MATCH('001_population_health_zone_zs'!$B$2,[1]ratio_ins!$B:$B,0))*$G334*INDEX([1]ratio_ins!$C:$C,MATCH('001_population_health_zone_zs'!$B334,[1]ratio_ins!$B:$B,0))</f>
        <v>3188.8785510000002</v>
      </c>
      <c r="V334" s="10">
        <f>INDEX([1]ratio_ins!T:T,MATCH('001_population_health_zone_zs'!$B$2,[1]ratio_ins!$B:$B,0))*$G334*INDEX([1]ratio_ins!$C:$C,MATCH('001_population_health_zone_zs'!$B334,[1]ratio_ins!$B:$B,0))</f>
        <v>1771.599195</v>
      </c>
      <c r="W334" s="11">
        <f>INDEX([1]ratio_ins!U:U,MATCH('001_population_health_zone_zs'!$B$2,[1]ratio_ins!$B:$B,0))*$G334*INDEX([1]ratio_ins!$C:$C,MATCH('001_population_health_zone_zs'!$B334,[1]ratio_ins!$B:$B,0))</f>
        <v>48329.226039600006</v>
      </c>
      <c r="X334" s="10">
        <f>INDEX([1]ratio_ins!V:V,MATCH('001_population_health_zone_zs'!$B$2,[1]ratio_ins!$B:$B,0))*$G334*INDEX([1]ratio_ins!$C:$C,MATCH('001_population_health_zone_zs'!$B334,[1]ratio_ins!$B:$B,0))</f>
        <v>1417.279356</v>
      </c>
      <c r="Y334" s="10">
        <f>INDEX([1]ratio_ins!W:W,MATCH('001_population_health_zone_zs'!$B$2,[1]ratio_ins!$B:$B,0))*$G334*INDEX([1]ratio_ins!$C:$C,MATCH('001_population_health_zone_zs'!$B334,[1]ratio_ins!$B:$B,0))</f>
        <v>944.85290399999997</v>
      </c>
      <c r="Z334" s="10">
        <f>INDEX([1]ratio_ins!X:X,MATCH('001_population_health_zone_zs'!$B$2,[1]ratio_ins!$B:$B,0))*$G334*INDEX([1]ratio_ins!$C:$C,MATCH('001_population_health_zone_zs'!$B334,[1]ratio_ins!$B:$B,0))</f>
        <v>472.42645199999998</v>
      </c>
      <c r="AA334" s="10">
        <f>INDEX([1]ratio_ins!Y:Y,MATCH('001_population_health_zone_zs'!$B$2,[1]ratio_ins!$B:$B,0))*$G334*INDEX([1]ratio_ins!$C:$C,MATCH('001_population_health_zone_zs'!$B334,[1]ratio_ins!$B:$B,0))</f>
        <v>236.21322599999999</v>
      </c>
      <c r="AB334" s="11">
        <f>INDEX([1]ratio_ins!Z:Z,MATCH('001_population_health_zone_zs'!$B$2,[1]ratio_ins!$B:$B,0))*$G334*INDEX([1]ratio_ins!$C:$C,MATCH('001_population_health_zone_zs'!$B334,[1]ratio_ins!$B:$B,0))</f>
        <v>3070.7719380000003</v>
      </c>
      <c r="AC334" s="12">
        <f t="shared" si="30"/>
        <v>118106.61300000001</v>
      </c>
      <c r="AD334" s="10">
        <f>INDEX([1]ratio_ins!AA:AA,MATCH('001_population_health_zone_zs'!$B$2,[1]ratio_ins!$B:$B,0))*$G334*INDEX([1]ratio_ins!$D:$D,MATCH('001_population_health_zone_zs'!$B334,[1]ratio_ins!$B:$B,0))</f>
        <v>25711.64127</v>
      </c>
      <c r="AE334" s="10">
        <f>INDEX([1]ratio_ins!AB:AB,MATCH('001_population_health_zone_zs'!$B$2,[1]ratio_ins!$B:$B,0))*$G334*INDEX([1]ratio_ins!$D:$D,MATCH('001_population_health_zone_zs'!$B334,[1]ratio_ins!$B:$B,0))</f>
        <v>21181.494951000004</v>
      </c>
      <c r="AF334" s="10">
        <f>INDEX([1]ratio_ins!AC:AC,MATCH('001_population_health_zone_zs'!$B$2,[1]ratio_ins!$B:$B,0))*$G334*INDEX([1]ratio_ins!$D:$D,MATCH('001_population_health_zone_zs'!$B334,[1]ratio_ins!$B:$B,0))</f>
        <v>16773.785018999999</v>
      </c>
      <c r="AG334" s="10">
        <f>INDEX([1]ratio_ins!AD:AD,MATCH('001_population_health_zone_zs'!$B$2,[1]ratio_ins!$B:$B,0))*$G334*INDEX([1]ratio_ins!$D:$D,MATCH('001_population_health_zone_zs'!$B334,[1]ratio_ins!$B:$B,0))</f>
        <v>10162.220121</v>
      </c>
      <c r="AH334" s="10">
        <f>INDEX([1]ratio_ins!AE:AE,MATCH('001_population_health_zone_zs'!$B$2,[1]ratio_ins!$B:$B,0))*$G334*INDEX([1]ratio_ins!$D:$D,MATCH('001_population_health_zone_zs'!$B334,[1]ratio_ins!$B:$B,0))</f>
        <v>6097.3320726000002</v>
      </c>
      <c r="AI334" s="13">
        <f>INDEX([1]ratio_ins!AF:AF,MATCH('001_population_health_zone_zs'!$B$2,[1]ratio_ins!$B:$B,0))*$G334*INDEX([1]ratio_ins!$D:$D,MATCH('001_population_health_zone_zs'!$B334,[1]ratio_ins!$B:$B,0))</f>
        <v>69764.253312600005</v>
      </c>
      <c r="AJ334" s="10">
        <f>INDEX([1]ratio_ins!AG:AG,MATCH('001_population_health_zone_zs'!$B$2,[1]ratio_ins!$B:$B,0))*$G334*INDEX([1]ratio_ins!$D:$D,MATCH('001_population_health_zone_zs'!$B334,[1]ratio_ins!$B:$B,0))</f>
        <v>4064.8880484000001</v>
      </c>
      <c r="AK334" s="10">
        <f>INDEX([1]ratio_ins!AH:AH,MATCH('001_population_health_zone_zs'!$B$2,[1]ratio_ins!$B:$B,0))*$G334*INDEX([1]ratio_ins!$D:$D,MATCH('001_population_health_zone_zs'!$B334,[1]ratio_ins!$B:$B,0))</f>
        <v>9060.2926380000008</v>
      </c>
      <c r="AL334" s="10">
        <f>INDEX([1]ratio_ins!AI:AI,MATCH('001_population_health_zone_zs'!$B$2,[1]ratio_ins!$B:$B,0))*$G334*INDEX([1]ratio_ins!$D:$D,MATCH('001_population_health_zone_zs'!$B334,[1]ratio_ins!$B:$B,0))</f>
        <v>8570.5470900000018</v>
      </c>
      <c r="AM334" s="10">
        <f>INDEX([1]ratio_ins!AJ:AJ,MATCH('001_population_health_zone_zs'!$B$2,[1]ratio_ins!$B:$B,0))*$G334*INDEX([1]ratio_ins!$D:$D,MATCH('001_population_health_zone_zs'!$B334,[1]ratio_ins!$B:$B,0))</f>
        <v>7835.9287680000007</v>
      </c>
      <c r="AN334" s="10">
        <f>INDEX([1]ratio_ins!AK:AK,MATCH('001_population_health_zone_zs'!$B$2,[1]ratio_ins!$B:$B,0))*$G334*INDEX([1]ratio_ins!$D:$D,MATCH('001_population_health_zone_zs'!$B334,[1]ratio_ins!$B:$B,0))</f>
        <v>7346.1832199999999</v>
      </c>
      <c r="AO334" s="10">
        <f>INDEX([1]ratio_ins!AL:AL,MATCH('001_population_health_zone_zs'!$B$2,[1]ratio_ins!$B:$B,0))*$G334*INDEX([1]ratio_ins!$D:$D,MATCH('001_population_health_zone_zs'!$B334,[1]ratio_ins!$B:$B,0))</f>
        <v>5509.6374150000001</v>
      </c>
      <c r="AP334" s="10">
        <f>INDEX([1]ratio_ins!AM:AM,MATCH('001_population_health_zone_zs'!$B$2,[1]ratio_ins!$B:$B,0))*$G334*INDEX([1]ratio_ins!$D:$D,MATCH('001_population_health_zone_zs'!$B334,[1]ratio_ins!$B:$B,0))</f>
        <v>3550.6552229999998</v>
      </c>
      <c r="AQ334" s="10">
        <f>INDEX([1]ratio_ins!AN:AN,MATCH('001_population_health_zone_zs'!$B$2,[1]ratio_ins!$B:$B,0))*$G334*INDEX([1]ratio_ins!$D:$D,MATCH('001_population_health_zone_zs'!$B334,[1]ratio_ins!$B:$B,0))</f>
        <v>2816.0369009999999</v>
      </c>
      <c r="AR334" s="10">
        <f>INDEX([1]ratio_ins!AO:AO,MATCH('001_population_health_zone_zs'!$B$2,[1]ratio_ins!$B:$B,0))*$G334*INDEX([1]ratio_ins!$D:$D,MATCH('001_population_health_zone_zs'!$B334,[1]ratio_ins!$B:$B,0))</f>
        <v>1346.8002570000003</v>
      </c>
      <c r="AS334" s="13">
        <f>INDEX([1]ratio_ins!AP:AP,MATCH('001_population_health_zone_zs'!$B$2,[1]ratio_ins!$B:$B,0))*$G334*INDEX([1]ratio_ins!$D:$D,MATCH('001_population_health_zone_zs'!$B334,[1]ratio_ins!$B:$B,0))</f>
        <v>50100.969560400001</v>
      </c>
      <c r="AT334" s="10">
        <f>INDEX([1]ratio_ins!AQ:AQ,MATCH('001_population_health_zone_zs'!$B$2,[1]ratio_ins!$B:$B,0))*$G334*INDEX([1]ratio_ins!$D:$D,MATCH('001_population_health_zone_zs'!$B334,[1]ratio_ins!$B:$B,0))</f>
        <v>1224.3638699999999</v>
      </c>
      <c r="AU334" s="10">
        <f>INDEX([1]ratio_ins!AR:AR,MATCH('001_population_health_zone_zs'!$B$2,[1]ratio_ins!$B:$B,0))*$G334*INDEX([1]ratio_ins!$D:$D,MATCH('001_population_health_zone_zs'!$B334,[1]ratio_ins!$B:$B,0))</f>
        <v>734.61832200000003</v>
      </c>
      <c r="AV334" s="10">
        <f>INDEX([1]ratio_ins!AS:AS,MATCH('001_population_health_zone_zs'!$B$2,[1]ratio_ins!$B:$B,0))*$G334*INDEX([1]ratio_ins!$D:$D,MATCH('001_population_health_zone_zs'!$B334,[1]ratio_ins!$B:$B,0))</f>
        <v>367.30916100000002</v>
      </c>
      <c r="AW334" s="10">
        <f>INDEX([1]ratio_ins!AT:AT,MATCH('001_population_health_zone_zs'!$B$2,[1]ratio_ins!$B:$B,0))*$G334*INDEX([1]ratio_ins!$D:$D,MATCH('001_population_health_zone_zs'!$B334,[1]ratio_ins!$B:$B,0))</f>
        <v>244.87277400000002</v>
      </c>
      <c r="AX334" s="13">
        <f>INDEX([1]ratio_ins!AU:AU,MATCH('001_population_health_zone_zs'!$B$2,[1]ratio_ins!$B:$B,0))*$G334*INDEX([1]ratio_ins!$D:$D,MATCH('001_population_health_zone_zs'!$B334,[1]ratio_ins!$B:$B,0))</f>
        <v>2571.1641269999996</v>
      </c>
      <c r="AY334" s="14">
        <f t="shared" si="31"/>
        <v>122436.387</v>
      </c>
      <c r="AZ334" s="15">
        <f t="shared" si="32"/>
        <v>240543</v>
      </c>
      <c r="BA334" s="16">
        <v>230980.20667150643</v>
      </c>
      <c r="BB334" s="10">
        <f t="shared" si="33"/>
        <v>52035.464475000001</v>
      </c>
      <c r="BC334" s="17">
        <f t="shared" si="34"/>
        <v>0.21632499999999999</v>
      </c>
      <c r="BD334" s="10">
        <f t="shared" si="35"/>
        <v>49250.457621000001</v>
      </c>
    </row>
    <row r="335" spans="1:56" x14ac:dyDescent="0.25">
      <c r="A335" s="8" t="s">
        <v>751</v>
      </c>
      <c r="B335" s="8" t="s">
        <v>752</v>
      </c>
      <c r="C335" s="8" t="s">
        <v>820</v>
      </c>
      <c r="D335" s="8" t="s">
        <v>821</v>
      </c>
      <c r="E335" s="8" t="s">
        <v>822</v>
      </c>
      <c r="F335" s="8" t="s">
        <v>823</v>
      </c>
      <c r="G335" s="9">
        <v>112856</v>
      </c>
      <c r="H335" s="10">
        <f>INDEX([1]ratio_ins!F:F,MATCH('001_population_health_zone_zs'!$B$2,[1]ratio_ins!$B:$B,0))*$G335*INDEX([1]ratio_ins!$C:$C,MATCH('001_population_health_zone_zs'!$B335,[1]ratio_ins!$B:$B,0))</f>
        <v>11581.169864</v>
      </c>
      <c r="I335" s="10">
        <f>INDEX([1]ratio_ins!G:G,MATCH('001_population_health_zone_zs'!$B$2,[1]ratio_ins!$B:$B,0))*$G335*INDEX([1]ratio_ins!$C:$C,MATCH('001_population_health_zone_zs'!$B335,[1]ratio_ins!$B:$B,0))</f>
        <v>9475.5026159999998</v>
      </c>
      <c r="J335" s="10">
        <f>INDEX([1]ratio_ins!H:H,MATCH('001_population_health_zone_zs'!$B$2,[1]ratio_ins!$B:$B,0))*$G335*INDEX([1]ratio_ins!$C:$C,MATCH('001_population_health_zone_zs'!$B335,[1]ratio_ins!$B:$B,0))</f>
        <v>7480.6599600000009</v>
      </c>
      <c r="K335" s="10">
        <f>INDEX([1]ratio_ins!I:I,MATCH('001_population_health_zone_zs'!$B$2,[1]ratio_ins!$B:$B,0))*$G335*INDEX([1]ratio_ins!$C:$C,MATCH('001_population_health_zone_zs'!$B335,[1]ratio_ins!$B:$B,0))</f>
        <v>4599.2205680000006</v>
      </c>
      <c r="L335" s="10">
        <f>INDEX([1]ratio_ins!J:J,MATCH('001_population_health_zone_zs'!$B$2,[1]ratio_ins!$B:$B,0))*$G335*INDEX([1]ratio_ins!$C:$C,MATCH('001_population_health_zone_zs'!$B335,[1]ratio_ins!$B:$B,0))</f>
        <v>2759.5323407999999</v>
      </c>
      <c r="M335" s="11">
        <f>INDEX([1]ratio_ins!K:K,MATCH('001_population_health_zone_zs'!$B$2,[1]ratio_ins!$B:$B,0))*$G335*INDEX([1]ratio_ins!$C:$C,MATCH('001_population_health_zone_zs'!$B335,[1]ratio_ins!$B:$B,0))</f>
        <v>31296.864780799995</v>
      </c>
      <c r="N335" s="10">
        <f>INDEX([1]ratio_ins!L:L,MATCH('001_population_health_zone_zs'!$B$2,[1]ratio_ins!$B:$B,0))*$G335*INDEX([1]ratio_ins!$C:$C,MATCH('001_population_health_zone_zs'!$B335,[1]ratio_ins!$B:$B,0))</f>
        <v>1839.6882272</v>
      </c>
      <c r="O335" s="10">
        <f>INDEX([1]ratio_ins!M:M,MATCH('001_population_health_zone_zs'!$B$2,[1]ratio_ins!$B:$B,0))*$G335*INDEX([1]ratio_ins!$C:$C,MATCH('001_population_health_zone_zs'!$B335,[1]ratio_ins!$B:$B,0))</f>
        <v>3989.6853120000001</v>
      </c>
      <c r="P335" s="10">
        <f>INDEX([1]ratio_ins!N:N,MATCH('001_population_health_zone_zs'!$B$2,[1]ratio_ins!$B:$B,0))*$G335*INDEX([1]ratio_ins!$C:$C,MATCH('001_population_health_zone_zs'!$B335,[1]ratio_ins!$B:$B,0))</f>
        <v>3601.7992400000003</v>
      </c>
      <c r="Q335" s="10">
        <f>INDEX([1]ratio_ins!O:O,MATCH('001_population_health_zone_zs'!$B$2,[1]ratio_ins!$B:$B,0))*$G335*INDEX([1]ratio_ins!$C:$C,MATCH('001_population_health_zone_zs'!$B335,[1]ratio_ins!$B:$B,0))</f>
        <v>3213.9131679999996</v>
      </c>
      <c r="R335" s="10">
        <f>INDEX([1]ratio_ins!P:P,MATCH('001_population_health_zone_zs'!$B$2,[1]ratio_ins!$B:$B,0))*$G335*INDEX([1]ratio_ins!$C:$C,MATCH('001_population_health_zone_zs'!$B335,[1]ratio_ins!$B:$B,0))</f>
        <v>3158.5008720000001</v>
      </c>
      <c r="S335" s="10">
        <f>INDEX([1]ratio_ins!Q:Q,MATCH('001_population_health_zone_zs'!$B$2,[1]ratio_ins!$B:$B,0))*$G335*INDEX([1]ratio_ins!$C:$C,MATCH('001_population_health_zone_zs'!$B335,[1]ratio_ins!$B:$B,0))</f>
        <v>2659.7902079999999</v>
      </c>
      <c r="T335" s="10">
        <f>INDEX([1]ratio_ins!R:R,MATCH('001_population_health_zone_zs'!$B$2,[1]ratio_ins!$B:$B,0))*$G335*INDEX([1]ratio_ins!$C:$C,MATCH('001_population_health_zone_zs'!$B335,[1]ratio_ins!$B:$B,0))</f>
        <v>1884.0180640000001</v>
      </c>
      <c r="U335" s="10">
        <f>INDEX([1]ratio_ins!S:S,MATCH('001_population_health_zone_zs'!$B$2,[1]ratio_ins!$B:$B,0))*$G335*INDEX([1]ratio_ins!$C:$C,MATCH('001_population_health_zone_zs'!$B335,[1]ratio_ins!$B:$B,0))</f>
        <v>1496.1319920000003</v>
      </c>
      <c r="V335" s="10">
        <f>INDEX([1]ratio_ins!T:T,MATCH('001_population_health_zone_zs'!$B$2,[1]ratio_ins!$B:$B,0))*$G335*INDEX([1]ratio_ins!$C:$C,MATCH('001_population_health_zone_zs'!$B335,[1]ratio_ins!$B:$B,0))</f>
        <v>831.18444</v>
      </c>
      <c r="W335" s="11">
        <f>INDEX([1]ratio_ins!U:U,MATCH('001_population_health_zone_zs'!$B$2,[1]ratio_ins!$B:$B,0))*$G335*INDEX([1]ratio_ins!$C:$C,MATCH('001_population_health_zone_zs'!$B335,[1]ratio_ins!$B:$B,0))</f>
        <v>22674.7115232</v>
      </c>
      <c r="X335" s="10">
        <f>INDEX([1]ratio_ins!V:V,MATCH('001_population_health_zone_zs'!$B$2,[1]ratio_ins!$B:$B,0))*$G335*INDEX([1]ratio_ins!$C:$C,MATCH('001_population_health_zone_zs'!$B335,[1]ratio_ins!$B:$B,0))</f>
        <v>664.94755199999997</v>
      </c>
      <c r="Y335" s="10">
        <f>INDEX([1]ratio_ins!W:W,MATCH('001_population_health_zone_zs'!$B$2,[1]ratio_ins!$B:$B,0))*$G335*INDEX([1]ratio_ins!$C:$C,MATCH('001_population_health_zone_zs'!$B335,[1]ratio_ins!$B:$B,0))</f>
        <v>443.29836800000004</v>
      </c>
      <c r="Z335" s="10">
        <f>INDEX([1]ratio_ins!X:X,MATCH('001_population_health_zone_zs'!$B$2,[1]ratio_ins!$B:$B,0))*$G335*INDEX([1]ratio_ins!$C:$C,MATCH('001_population_health_zone_zs'!$B335,[1]ratio_ins!$B:$B,0))</f>
        <v>221.64918400000002</v>
      </c>
      <c r="AA335" s="10">
        <f>INDEX([1]ratio_ins!Y:Y,MATCH('001_population_health_zone_zs'!$B$2,[1]ratio_ins!$B:$B,0))*$G335*INDEX([1]ratio_ins!$C:$C,MATCH('001_population_health_zone_zs'!$B335,[1]ratio_ins!$B:$B,0))</f>
        <v>110.82459200000001</v>
      </c>
      <c r="AB335" s="11">
        <f>INDEX([1]ratio_ins!Z:Z,MATCH('001_population_health_zone_zs'!$B$2,[1]ratio_ins!$B:$B,0))*$G335*INDEX([1]ratio_ins!$C:$C,MATCH('001_population_health_zone_zs'!$B335,[1]ratio_ins!$B:$B,0))</f>
        <v>1440.7196960000001</v>
      </c>
      <c r="AC335" s="12">
        <f t="shared" si="30"/>
        <v>55412.295999999995</v>
      </c>
      <c r="AD335" s="10">
        <f>INDEX([1]ratio_ins!AA:AA,MATCH('001_population_health_zone_zs'!$B$2,[1]ratio_ins!$B:$B,0))*$G335*INDEX([1]ratio_ins!$D:$D,MATCH('001_population_health_zone_zs'!$B335,[1]ratio_ins!$B:$B,0))</f>
        <v>12063.177839999998</v>
      </c>
      <c r="AE335" s="10">
        <f>INDEX([1]ratio_ins!AB:AB,MATCH('001_population_health_zone_zs'!$B$2,[1]ratio_ins!$B:$B,0))*$G335*INDEX([1]ratio_ins!$D:$D,MATCH('001_population_health_zone_zs'!$B335,[1]ratio_ins!$B:$B,0))</f>
        <v>9937.7607920000028</v>
      </c>
      <c r="AF335" s="10">
        <f>INDEX([1]ratio_ins!AC:AC,MATCH('001_population_health_zone_zs'!$B$2,[1]ratio_ins!$B:$B,0))*$G335*INDEX([1]ratio_ins!$D:$D,MATCH('001_population_health_zone_zs'!$B335,[1]ratio_ins!$B:$B,0))</f>
        <v>7869.7874479999991</v>
      </c>
      <c r="AG335" s="10">
        <f>INDEX([1]ratio_ins!AD:AD,MATCH('001_population_health_zone_zs'!$B$2,[1]ratio_ins!$B:$B,0))*$G335*INDEX([1]ratio_ins!$D:$D,MATCH('001_population_health_zone_zs'!$B335,[1]ratio_ins!$B:$B,0))</f>
        <v>4767.827432</v>
      </c>
      <c r="AH335" s="10">
        <f>INDEX([1]ratio_ins!AE:AE,MATCH('001_population_health_zone_zs'!$B$2,[1]ratio_ins!$B:$B,0))*$G335*INDEX([1]ratio_ins!$D:$D,MATCH('001_population_health_zone_zs'!$B335,[1]ratio_ins!$B:$B,0))</f>
        <v>2860.6964591999999</v>
      </c>
      <c r="AI335" s="13">
        <f>INDEX([1]ratio_ins!AF:AF,MATCH('001_population_health_zone_zs'!$B$2,[1]ratio_ins!$B:$B,0))*$G335*INDEX([1]ratio_ins!$D:$D,MATCH('001_population_health_zone_zs'!$B335,[1]ratio_ins!$B:$B,0))</f>
        <v>32731.422539200001</v>
      </c>
      <c r="AJ335" s="10">
        <f>INDEX([1]ratio_ins!AG:AG,MATCH('001_population_health_zone_zs'!$B$2,[1]ratio_ins!$B:$B,0))*$G335*INDEX([1]ratio_ins!$D:$D,MATCH('001_population_health_zone_zs'!$B335,[1]ratio_ins!$B:$B,0))</f>
        <v>1907.1309727999999</v>
      </c>
      <c r="AK335" s="10">
        <f>INDEX([1]ratio_ins!AH:AH,MATCH('001_population_health_zone_zs'!$B$2,[1]ratio_ins!$B:$B,0))*$G335*INDEX([1]ratio_ins!$D:$D,MATCH('001_population_health_zone_zs'!$B335,[1]ratio_ins!$B:$B,0))</f>
        <v>4250.8340960000005</v>
      </c>
      <c r="AL335" s="10">
        <f>INDEX([1]ratio_ins!AI:AI,MATCH('001_population_health_zone_zs'!$B$2,[1]ratio_ins!$B:$B,0))*$G335*INDEX([1]ratio_ins!$D:$D,MATCH('001_population_health_zone_zs'!$B335,[1]ratio_ins!$B:$B,0))</f>
        <v>4021.0592800000004</v>
      </c>
      <c r="AM335" s="10">
        <f>INDEX([1]ratio_ins!AJ:AJ,MATCH('001_population_health_zone_zs'!$B$2,[1]ratio_ins!$B:$B,0))*$G335*INDEX([1]ratio_ins!$D:$D,MATCH('001_population_health_zone_zs'!$B335,[1]ratio_ins!$B:$B,0))</f>
        <v>3676.3970560000002</v>
      </c>
      <c r="AN335" s="10">
        <f>INDEX([1]ratio_ins!AK:AK,MATCH('001_population_health_zone_zs'!$B$2,[1]ratio_ins!$B:$B,0))*$G335*INDEX([1]ratio_ins!$D:$D,MATCH('001_population_health_zone_zs'!$B335,[1]ratio_ins!$B:$B,0))</f>
        <v>3446.6222399999997</v>
      </c>
      <c r="AO335" s="10">
        <f>INDEX([1]ratio_ins!AL:AL,MATCH('001_population_health_zone_zs'!$B$2,[1]ratio_ins!$B:$B,0))*$G335*INDEX([1]ratio_ins!$D:$D,MATCH('001_population_health_zone_zs'!$B335,[1]ratio_ins!$B:$B,0))</f>
        <v>2584.96668</v>
      </c>
      <c r="AP335" s="10">
        <f>INDEX([1]ratio_ins!AM:AM,MATCH('001_population_health_zone_zs'!$B$2,[1]ratio_ins!$B:$B,0))*$G335*INDEX([1]ratio_ins!$D:$D,MATCH('001_population_health_zone_zs'!$B335,[1]ratio_ins!$B:$B,0))</f>
        <v>1665.8674159999998</v>
      </c>
      <c r="AQ335" s="10">
        <f>INDEX([1]ratio_ins!AN:AN,MATCH('001_population_health_zone_zs'!$B$2,[1]ratio_ins!$B:$B,0))*$G335*INDEX([1]ratio_ins!$D:$D,MATCH('001_population_health_zone_zs'!$B335,[1]ratio_ins!$B:$B,0))</f>
        <v>1321.2051920000001</v>
      </c>
      <c r="AR335" s="10">
        <f>INDEX([1]ratio_ins!AO:AO,MATCH('001_population_health_zone_zs'!$B$2,[1]ratio_ins!$B:$B,0))*$G335*INDEX([1]ratio_ins!$D:$D,MATCH('001_population_health_zone_zs'!$B335,[1]ratio_ins!$B:$B,0))</f>
        <v>631.88074400000005</v>
      </c>
      <c r="AS335" s="13">
        <f>INDEX([1]ratio_ins!AP:AP,MATCH('001_population_health_zone_zs'!$B$2,[1]ratio_ins!$B:$B,0))*$G335*INDEX([1]ratio_ins!$D:$D,MATCH('001_population_health_zone_zs'!$B335,[1]ratio_ins!$B:$B,0))</f>
        <v>23505.963676799998</v>
      </c>
      <c r="AT335" s="10">
        <f>INDEX([1]ratio_ins!AQ:AQ,MATCH('001_population_health_zone_zs'!$B$2,[1]ratio_ins!$B:$B,0))*$G335*INDEX([1]ratio_ins!$D:$D,MATCH('001_population_health_zone_zs'!$B335,[1]ratio_ins!$B:$B,0))</f>
        <v>574.43704000000002</v>
      </c>
      <c r="AU335" s="10">
        <f>INDEX([1]ratio_ins!AR:AR,MATCH('001_population_health_zone_zs'!$B$2,[1]ratio_ins!$B:$B,0))*$G335*INDEX([1]ratio_ins!$D:$D,MATCH('001_population_health_zone_zs'!$B335,[1]ratio_ins!$B:$B,0))</f>
        <v>344.66222399999998</v>
      </c>
      <c r="AV335" s="10">
        <f>INDEX([1]ratio_ins!AS:AS,MATCH('001_population_health_zone_zs'!$B$2,[1]ratio_ins!$B:$B,0))*$G335*INDEX([1]ratio_ins!$D:$D,MATCH('001_population_health_zone_zs'!$B335,[1]ratio_ins!$B:$B,0))</f>
        <v>172.33111199999999</v>
      </c>
      <c r="AW335" s="10">
        <f>INDEX([1]ratio_ins!AT:AT,MATCH('001_population_health_zone_zs'!$B$2,[1]ratio_ins!$B:$B,0))*$G335*INDEX([1]ratio_ins!$D:$D,MATCH('001_population_health_zone_zs'!$B335,[1]ratio_ins!$B:$B,0))</f>
        <v>114.88740800000001</v>
      </c>
      <c r="AX335" s="13">
        <f>INDEX([1]ratio_ins!AU:AU,MATCH('001_population_health_zone_zs'!$B$2,[1]ratio_ins!$B:$B,0))*$G335*INDEX([1]ratio_ins!$D:$D,MATCH('001_population_health_zone_zs'!$B335,[1]ratio_ins!$B:$B,0))</f>
        <v>1206.3177839999998</v>
      </c>
      <c r="AY335" s="14">
        <f t="shared" si="31"/>
        <v>57443.703999999998</v>
      </c>
      <c r="AZ335" s="15">
        <f t="shared" si="32"/>
        <v>112856</v>
      </c>
      <c r="BA335" s="16">
        <v>108368.98087531734</v>
      </c>
      <c r="BB335" s="10">
        <f t="shared" si="33"/>
        <v>24413.574200000006</v>
      </c>
      <c r="BC335" s="17">
        <f t="shared" si="34"/>
        <v>0.21632500000000005</v>
      </c>
      <c r="BD335" s="10">
        <f t="shared" si="35"/>
        <v>23106.927431999997</v>
      </c>
    </row>
    <row r="336" spans="1:56" x14ac:dyDescent="0.25">
      <c r="A336" s="8" t="s">
        <v>751</v>
      </c>
      <c r="B336" s="8" t="s">
        <v>752</v>
      </c>
      <c r="C336" s="8" t="s">
        <v>820</v>
      </c>
      <c r="D336" s="8" t="s">
        <v>821</v>
      </c>
      <c r="E336" s="8" t="s">
        <v>824</v>
      </c>
      <c r="F336" s="8" t="s">
        <v>825</v>
      </c>
      <c r="G336" s="9">
        <v>236182</v>
      </c>
      <c r="H336" s="10">
        <f>INDEX([1]ratio_ins!F:F,MATCH('001_population_health_zone_zs'!$B$2,[1]ratio_ins!$B:$B,0))*$G336*INDEX([1]ratio_ins!$C:$C,MATCH('001_population_health_zone_zs'!$B336,[1]ratio_ins!$B:$B,0))</f>
        <v>24236.760657999999</v>
      </c>
      <c r="I336" s="10">
        <f>INDEX([1]ratio_ins!G:G,MATCH('001_population_health_zone_zs'!$B$2,[1]ratio_ins!$B:$B,0))*$G336*INDEX([1]ratio_ins!$C:$C,MATCH('001_population_health_zone_zs'!$B336,[1]ratio_ins!$B:$B,0))</f>
        <v>19830.076902000001</v>
      </c>
      <c r="J336" s="10">
        <f>INDEX([1]ratio_ins!H:H,MATCH('001_population_health_zone_zs'!$B$2,[1]ratio_ins!$B:$B,0))*$G336*INDEX([1]ratio_ins!$C:$C,MATCH('001_population_health_zone_zs'!$B336,[1]ratio_ins!$B:$B,0))</f>
        <v>15655.323870000002</v>
      </c>
      <c r="K336" s="10">
        <f>INDEX([1]ratio_ins!I:I,MATCH('001_population_health_zone_zs'!$B$2,[1]ratio_ins!$B:$B,0))*$G336*INDEX([1]ratio_ins!$C:$C,MATCH('001_population_health_zone_zs'!$B336,[1]ratio_ins!$B:$B,0))</f>
        <v>9625.1250459999992</v>
      </c>
      <c r="L336" s="10">
        <f>INDEX([1]ratio_ins!J:J,MATCH('001_population_health_zone_zs'!$B$2,[1]ratio_ins!$B:$B,0))*$G336*INDEX([1]ratio_ins!$C:$C,MATCH('001_population_health_zone_zs'!$B336,[1]ratio_ins!$B:$B,0))</f>
        <v>5775.075027599999</v>
      </c>
      <c r="M336" s="11">
        <f>INDEX([1]ratio_ins!K:K,MATCH('001_population_health_zone_zs'!$B$2,[1]ratio_ins!$B:$B,0))*$G336*INDEX([1]ratio_ins!$C:$C,MATCH('001_population_health_zone_zs'!$B336,[1]ratio_ins!$B:$B,0))</f>
        <v>65497.236457599996</v>
      </c>
      <c r="N336" s="10">
        <f>INDEX([1]ratio_ins!L:L,MATCH('001_population_health_zone_zs'!$B$2,[1]ratio_ins!$B:$B,0))*$G336*INDEX([1]ratio_ins!$C:$C,MATCH('001_population_health_zone_zs'!$B336,[1]ratio_ins!$B:$B,0))</f>
        <v>3850.0500183999998</v>
      </c>
      <c r="O336" s="10">
        <f>INDEX([1]ratio_ins!M:M,MATCH('001_population_health_zone_zs'!$B$2,[1]ratio_ins!$B:$B,0))*$G336*INDEX([1]ratio_ins!$C:$C,MATCH('001_population_health_zone_zs'!$B336,[1]ratio_ins!$B:$B,0))</f>
        <v>8349.5060640000011</v>
      </c>
      <c r="P336" s="10">
        <f>INDEX([1]ratio_ins!N:N,MATCH('001_population_health_zone_zs'!$B$2,[1]ratio_ins!$B:$B,0))*$G336*INDEX([1]ratio_ins!$C:$C,MATCH('001_population_health_zone_zs'!$B336,[1]ratio_ins!$B:$B,0))</f>
        <v>7537.7485299999998</v>
      </c>
      <c r="Q336" s="10">
        <f>INDEX([1]ratio_ins!O:O,MATCH('001_population_health_zone_zs'!$B$2,[1]ratio_ins!$B:$B,0))*$G336*INDEX([1]ratio_ins!$C:$C,MATCH('001_population_health_zone_zs'!$B336,[1]ratio_ins!$B:$B,0))</f>
        <v>6725.9909959999995</v>
      </c>
      <c r="R336" s="10">
        <f>INDEX([1]ratio_ins!P:P,MATCH('001_population_health_zone_zs'!$B$2,[1]ratio_ins!$B:$B,0))*$G336*INDEX([1]ratio_ins!$C:$C,MATCH('001_population_health_zone_zs'!$B336,[1]ratio_ins!$B:$B,0))</f>
        <v>6610.0256339999996</v>
      </c>
      <c r="S336" s="10">
        <f>INDEX([1]ratio_ins!Q:Q,MATCH('001_population_health_zone_zs'!$B$2,[1]ratio_ins!$B:$B,0))*$G336*INDEX([1]ratio_ins!$C:$C,MATCH('001_population_health_zone_zs'!$B336,[1]ratio_ins!$B:$B,0))</f>
        <v>5566.3373760000004</v>
      </c>
      <c r="T336" s="10">
        <f>INDEX([1]ratio_ins!R:R,MATCH('001_population_health_zone_zs'!$B$2,[1]ratio_ins!$B:$B,0))*$G336*INDEX([1]ratio_ins!$C:$C,MATCH('001_population_health_zone_zs'!$B336,[1]ratio_ins!$B:$B,0))</f>
        <v>3942.8223080000002</v>
      </c>
      <c r="U336" s="10">
        <f>INDEX([1]ratio_ins!S:S,MATCH('001_population_health_zone_zs'!$B$2,[1]ratio_ins!$B:$B,0))*$G336*INDEX([1]ratio_ins!$C:$C,MATCH('001_population_health_zone_zs'!$B336,[1]ratio_ins!$B:$B,0))</f>
        <v>3131.0647740000004</v>
      </c>
      <c r="V336" s="10">
        <f>INDEX([1]ratio_ins!T:T,MATCH('001_population_health_zone_zs'!$B$2,[1]ratio_ins!$B:$B,0))*$G336*INDEX([1]ratio_ins!$C:$C,MATCH('001_population_health_zone_zs'!$B336,[1]ratio_ins!$B:$B,0))</f>
        <v>1739.4804300000001</v>
      </c>
      <c r="W336" s="11">
        <f>INDEX([1]ratio_ins!U:U,MATCH('001_population_health_zone_zs'!$B$2,[1]ratio_ins!$B:$B,0))*$G336*INDEX([1]ratio_ins!$C:$C,MATCH('001_population_health_zone_zs'!$B336,[1]ratio_ins!$B:$B,0))</f>
        <v>47453.026130400001</v>
      </c>
      <c r="X336" s="10">
        <f>INDEX([1]ratio_ins!V:V,MATCH('001_population_health_zone_zs'!$B$2,[1]ratio_ins!$B:$B,0))*$G336*INDEX([1]ratio_ins!$C:$C,MATCH('001_population_health_zone_zs'!$B336,[1]ratio_ins!$B:$B,0))</f>
        <v>1391.5843440000001</v>
      </c>
      <c r="Y336" s="10">
        <f>INDEX([1]ratio_ins!W:W,MATCH('001_population_health_zone_zs'!$B$2,[1]ratio_ins!$B:$B,0))*$G336*INDEX([1]ratio_ins!$C:$C,MATCH('001_population_health_zone_zs'!$B336,[1]ratio_ins!$B:$B,0))</f>
        <v>927.72289600000011</v>
      </c>
      <c r="Z336" s="10">
        <f>INDEX([1]ratio_ins!X:X,MATCH('001_population_health_zone_zs'!$B$2,[1]ratio_ins!$B:$B,0))*$G336*INDEX([1]ratio_ins!$C:$C,MATCH('001_population_health_zone_zs'!$B336,[1]ratio_ins!$B:$B,0))</f>
        <v>463.86144800000005</v>
      </c>
      <c r="AA336" s="10">
        <f>INDEX([1]ratio_ins!Y:Y,MATCH('001_population_health_zone_zs'!$B$2,[1]ratio_ins!$B:$B,0))*$G336*INDEX([1]ratio_ins!$C:$C,MATCH('001_population_health_zone_zs'!$B336,[1]ratio_ins!$B:$B,0))</f>
        <v>231.93072400000003</v>
      </c>
      <c r="AB336" s="11">
        <f>INDEX([1]ratio_ins!Z:Z,MATCH('001_population_health_zone_zs'!$B$2,[1]ratio_ins!$B:$B,0))*$G336*INDEX([1]ratio_ins!$C:$C,MATCH('001_population_health_zone_zs'!$B336,[1]ratio_ins!$B:$B,0))</f>
        <v>3015.0994120000005</v>
      </c>
      <c r="AC336" s="12">
        <f t="shared" si="30"/>
        <v>115965.36199999999</v>
      </c>
      <c r="AD336" s="10">
        <f>INDEX([1]ratio_ins!AA:AA,MATCH('001_population_health_zone_zs'!$B$2,[1]ratio_ins!$B:$B,0))*$G336*INDEX([1]ratio_ins!$D:$D,MATCH('001_population_health_zone_zs'!$B336,[1]ratio_ins!$B:$B,0))</f>
        <v>25245.493979999999</v>
      </c>
      <c r="AE336" s="10">
        <f>INDEX([1]ratio_ins!AB:AB,MATCH('001_population_health_zone_zs'!$B$2,[1]ratio_ins!$B:$B,0))*$G336*INDEX([1]ratio_ins!$D:$D,MATCH('001_population_health_zone_zs'!$B336,[1]ratio_ins!$B:$B,0))</f>
        <v>20797.478374000002</v>
      </c>
      <c r="AF336" s="10">
        <f>INDEX([1]ratio_ins!AC:AC,MATCH('001_population_health_zone_zs'!$B$2,[1]ratio_ins!$B:$B,0))*$G336*INDEX([1]ratio_ins!$D:$D,MATCH('001_population_health_zone_zs'!$B336,[1]ratio_ins!$B:$B,0))</f>
        <v>16469.679405999999</v>
      </c>
      <c r="AG336" s="10">
        <f>INDEX([1]ratio_ins!AD:AD,MATCH('001_population_health_zone_zs'!$B$2,[1]ratio_ins!$B:$B,0))*$G336*INDEX([1]ratio_ins!$D:$D,MATCH('001_population_health_zone_zs'!$B336,[1]ratio_ins!$B:$B,0))</f>
        <v>9977.9809540000006</v>
      </c>
      <c r="AH336" s="10">
        <f>INDEX([1]ratio_ins!AE:AE,MATCH('001_population_health_zone_zs'!$B$2,[1]ratio_ins!$B:$B,0))*$G336*INDEX([1]ratio_ins!$D:$D,MATCH('001_population_health_zone_zs'!$B336,[1]ratio_ins!$B:$B,0))</f>
        <v>5986.7885723999998</v>
      </c>
      <c r="AI336" s="13">
        <f>INDEX([1]ratio_ins!AF:AF,MATCH('001_population_health_zone_zs'!$B$2,[1]ratio_ins!$B:$B,0))*$G336*INDEX([1]ratio_ins!$D:$D,MATCH('001_population_health_zone_zs'!$B336,[1]ratio_ins!$B:$B,0))</f>
        <v>68499.440332400001</v>
      </c>
      <c r="AJ336" s="10">
        <f>INDEX([1]ratio_ins!AG:AG,MATCH('001_population_health_zone_zs'!$B$2,[1]ratio_ins!$B:$B,0))*$G336*INDEX([1]ratio_ins!$D:$D,MATCH('001_population_health_zone_zs'!$B336,[1]ratio_ins!$B:$B,0))</f>
        <v>3991.1923816000003</v>
      </c>
      <c r="AK336" s="10">
        <f>INDEX([1]ratio_ins!AH:AH,MATCH('001_population_health_zone_zs'!$B$2,[1]ratio_ins!$B:$B,0))*$G336*INDEX([1]ratio_ins!$D:$D,MATCH('001_population_health_zone_zs'!$B336,[1]ratio_ins!$B:$B,0))</f>
        <v>8896.0312119999999</v>
      </c>
      <c r="AL336" s="10">
        <f>INDEX([1]ratio_ins!AI:AI,MATCH('001_population_health_zone_zs'!$B$2,[1]ratio_ins!$B:$B,0))*$G336*INDEX([1]ratio_ins!$D:$D,MATCH('001_population_health_zone_zs'!$B336,[1]ratio_ins!$B:$B,0))</f>
        <v>8415.1646600000004</v>
      </c>
      <c r="AM336" s="10">
        <f>INDEX([1]ratio_ins!AJ:AJ,MATCH('001_population_health_zone_zs'!$B$2,[1]ratio_ins!$B:$B,0))*$G336*INDEX([1]ratio_ins!$D:$D,MATCH('001_population_health_zone_zs'!$B336,[1]ratio_ins!$B:$B,0))</f>
        <v>7693.8648320000002</v>
      </c>
      <c r="AN336" s="10">
        <f>INDEX([1]ratio_ins!AK:AK,MATCH('001_population_health_zone_zs'!$B$2,[1]ratio_ins!$B:$B,0))*$G336*INDEX([1]ratio_ins!$D:$D,MATCH('001_population_health_zone_zs'!$B336,[1]ratio_ins!$B:$B,0))</f>
        <v>7212.9982799999998</v>
      </c>
      <c r="AO336" s="10">
        <f>INDEX([1]ratio_ins!AL:AL,MATCH('001_population_health_zone_zs'!$B$2,[1]ratio_ins!$B:$B,0))*$G336*INDEX([1]ratio_ins!$D:$D,MATCH('001_population_health_zone_zs'!$B336,[1]ratio_ins!$B:$B,0))</f>
        <v>5409.7487100000008</v>
      </c>
      <c r="AP336" s="10">
        <f>INDEX([1]ratio_ins!AM:AM,MATCH('001_population_health_zone_zs'!$B$2,[1]ratio_ins!$B:$B,0))*$G336*INDEX([1]ratio_ins!$D:$D,MATCH('001_population_health_zone_zs'!$B336,[1]ratio_ins!$B:$B,0))</f>
        <v>3486.2825019999996</v>
      </c>
      <c r="AQ336" s="10">
        <f>INDEX([1]ratio_ins!AN:AN,MATCH('001_population_health_zone_zs'!$B$2,[1]ratio_ins!$B:$B,0))*$G336*INDEX([1]ratio_ins!$D:$D,MATCH('001_population_health_zone_zs'!$B336,[1]ratio_ins!$B:$B,0))</f>
        <v>2764.9826739999999</v>
      </c>
      <c r="AR336" s="10">
        <f>INDEX([1]ratio_ins!AO:AO,MATCH('001_population_health_zone_zs'!$B$2,[1]ratio_ins!$B:$B,0))*$G336*INDEX([1]ratio_ins!$D:$D,MATCH('001_population_health_zone_zs'!$B336,[1]ratio_ins!$B:$B,0))</f>
        <v>1322.3830180000002</v>
      </c>
      <c r="AS336" s="13">
        <f>INDEX([1]ratio_ins!AP:AP,MATCH('001_population_health_zone_zs'!$B$2,[1]ratio_ins!$B:$B,0))*$G336*INDEX([1]ratio_ins!$D:$D,MATCH('001_population_health_zone_zs'!$B336,[1]ratio_ins!$B:$B,0))</f>
        <v>49192.648269600002</v>
      </c>
      <c r="AT336" s="10">
        <f>INDEX([1]ratio_ins!AQ:AQ,MATCH('001_population_health_zone_zs'!$B$2,[1]ratio_ins!$B:$B,0))*$G336*INDEX([1]ratio_ins!$D:$D,MATCH('001_population_health_zone_zs'!$B336,[1]ratio_ins!$B:$B,0))</f>
        <v>1202.1663800000001</v>
      </c>
      <c r="AU336" s="10">
        <f>INDEX([1]ratio_ins!AR:AR,MATCH('001_population_health_zone_zs'!$B$2,[1]ratio_ins!$B:$B,0))*$G336*INDEX([1]ratio_ins!$D:$D,MATCH('001_population_health_zone_zs'!$B336,[1]ratio_ins!$B:$B,0))</f>
        <v>721.29982800000005</v>
      </c>
      <c r="AV336" s="10">
        <f>INDEX([1]ratio_ins!AS:AS,MATCH('001_population_health_zone_zs'!$B$2,[1]ratio_ins!$B:$B,0))*$G336*INDEX([1]ratio_ins!$D:$D,MATCH('001_population_health_zone_zs'!$B336,[1]ratio_ins!$B:$B,0))</f>
        <v>360.64991400000002</v>
      </c>
      <c r="AW336" s="10">
        <f>INDEX([1]ratio_ins!AT:AT,MATCH('001_population_health_zone_zs'!$B$2,[1]ratio_ins!$B:$B,0))*$G336*INDEX([1]ratio_ins!$D:$D,MATCH('001_population_health_zone_zs'!$B336,[1]ratio_ins!$B:$B,0))</f>
        <v>240.43327600000001</v>
      </c>
      <c r="AX336" s="13">
        <f>INDEX([1]ratio_ins!AU:AU,MATCH('001_population_health_zone_zs'!$B$2,[1]ratio_ins!$B:$B,0))*$G336*INDEX([1]ratio_ins!$D:$D,MATCH('001_population_health_zone_zs'!$B336,[1]ratio_ins!$B:$B,0))</f>
        <v>2524.5493979999997</v>
      </c>
      <c r="AY336" s="14">
        <f t="shared" si="31"/>
        <v>120216.63800000001</v>
      </c>
      <c r="AZ336" s="15">
        <f t="shared" si="32"/>
        <v>236182</v>
      </c>
      <c r="BA336" s="16">
        <v>226792.26966388169</v>
      </c>
      <c r="BB336" s="10">
        <f t="shared" si="33"/>
        <v>51092.071150000003</v>
      </c>
      <c r="BC336" s="17">
        <f t="shared" si="34"/>
        <v>0.21632500000000002</v>
      </c>
      <c r="BD336" s="10">
        <f t="shared" si="35"/>
        <v>48357.55595400001</v>
      </c>
    </row>
    <row r="337" spans="1:56" x14ac:dyDescent="0.25">
      <c r="A337" s="8" t="s">
        <v>751</v>
      </c>
      <c r="B337" s="8" t="s">
        <v>752</v>
      </c>
      <c r="C337" s="8" t="s">
        <v>820</v>
      </c>
      <c r="D337" s="8" t="s">
        <v>821</v>
      </c>
      <c r="E337" s="8" t="s">
        <v>826</v>
      </c>
      <c r="F337" s="8" t="s">
        <v>827</v>
      </c>
      <c r="G337" s="9">
        <v>181041</v>
      </c>
      <c r="H337" s="10">
        <f>INDEX([1]ratio_ins!F:F,MATCH('001_population_health_zone_zs'!$B$2,[1]ratio_ins!$B:$B,0))*$G337*INDEX([1]ratio_ins!$C:$C,MATCH('001_population_health_zone_zs'!$B337,[1]ratio_ins!$B:$B,0))</f>
        <v>18578.246378999997</v>
      </c>
      <c r="I337" s="10">
        <f>INDEX([1]ratio_ins!G:G,MATCH('001_population_health_zone_zs'!$B$2,[1]ratio_ins!$B:$B,0))*$G337*INDEX([1]ratio_ins!$C:$C,MATCH('001_population_health_zone_zs'!$B337,[1]ratio_ins!$B:$B,0))</f>
        <v>15200.383401000001</v>
      </c>
      <c r="J337" s="10">
        <f>INDEX([1]ratio_ins!H:H,MATCH('001_population_health_zone_zs'!$B$2,[1]ratio_ins!$B:$B,0))*$G337*INDEX([1]ratio_ins!$C:$C,MATCH('001_population_health_zone_zs'!$B337,[1]ratio_ins!$B:$B,0))</f>
        <v>12000.302685000001</v>
      </c>
      <c r="K337" s="10">
        <f>INDEX([1]ratio_ins!I:I,MATCH('001_population_health_zone_zs'!$B$2,[1]ratio_ins!$B:$B,0))*$G337*INDEX([1]ratio_ins!$C:$C,MATCH('001_population_health_zone_zs'!$B337,[1]ratio_ins!$B:$B,0))</f>
        <v>7377.9638729999997</v>
      </c>
      <c r="L337" s="10">
        <f>INDEX([1]ratio_ins!J:J,MATCH('001_population_health_zone_zs'!$B$2,[1]ratio_ins!$B:$B,0))*$G337*INDEX([1]ratio_ins!$C:$C,MATCH('001_population_health_zone_zs'!$B337,[1]ratio_ins!$B:$B,0))</f>
        <v>4426.7783238000002</v>
      </c>
      <c r="M337" s="11">
        <f>INDEX([1]ratio_ins!K:K,MATCH('001_population_health_zone_zs'!$B$2,[1]ratio_ins!$B:$B,0))*$G337*INDEX([1]ratio_ins!$C:$C,MATCH('001_population_health_zone_zs'!$B337,[1]ratio_ins!$B:$B,0))</f>
        <v>50205.710788800003</v>
      </c>
      <c r="N337" s="10">
        <f>INDEX([1]ratio_ins!L:L,MATCH('001_population_health_zone_zs'!$B$2,[1]ratio_ins!$B:$B,0))*$G337*INDEX([1]ratio_ins!$C:$C,MATCH('001_population_health_zone_zs'!$B337,[1]ratio_ins!$B:$B,0))</f>
        <v>2951.1855492</v>
      </c>
      <c r="O337" s="10">
        <f>INDEX([1]ratio_ins!M:M,MATCH('001_population_health_zone_zs'!$B$2,[1]ratio_ins!$B:$B,0))*$G337*INDEX([1]ratio_ins!$C:$C,MATCH('001_population_health_zone_zs'!$B337,[1]ratio_ins!$B:$B,0))</f>
        <v>6400.1614320000008</v>
      </c>
      <c r="P337" s="10">
        <f>INDEX([1]ratio_ins!N:N,MATCH('001_population_health_zone_zs'!$B$2,[1]ratio_ins!$B:$B,0))*$G337*INDEX([1]ratio_ins!$C:$C,MATCH('001_population_health_zone_zs'!$B337,[1]ratio_ins!$B:$B,0))</f>
        <v>5777.9235150000004</v>
      </c>
      <c r="Q337" s="10">
        <f>INDEX([1]ratio_ins!O:O,MATCH('001_population_health_zone_zs'!$B$2,[1]ratio_ins!$B:$B,0))*$G337*INDEX([1]ratio_ins!$C:$C,MATCH('001_population_health_zone_zs'!$B337,[1]ratio_ins!$B:$B,0))</f>
        <v>5155.6855979999991</v>
      </c>
      <c r="R337" s="10">
        <f>INDEX([1]ratio_ins!P:P,MATCH('001_population_health_zone_zs'!$B$2,[1]ratio_ins!$B:$B,0))*$G337*INDEX([1]ratio_ins!$C:$C,MATCH('001_population_health_zone_zs'!$B337,[1]ratio_ins!$B:$B,0))</f>
        <v>5066.7944669999997</v>
      </c>
      <c r="S337" s="10">
        <f>INDEX([1]ratio_ins!Q:Q,MATCH('001_population_health_zone_zs'!$B$2,[1]ratio_ins!$B:$B,0))*$G337*INDEX([1]ratio_ins!$C:$C,MATCH('001_population_health_zone_zs'!$B337,[1]ratio_ins!$B:$B,0))</f>
        <v>4266.7742880000005</v>
      </c>
      <c r="T337" s="10">
        <f>INDEX([1]ratio_ins!R:R,MATCH('001_population_health_zone_zs'!$B$2,[1]ratio_ins!$B:$B,0))*$G337*INDEX([1]ratio_ins!$C:$C,MATCH('001_population_health_zone_zs'!$B337,[1]ratio_ins!$B:$B,0))</f>
        <v>3022.2984540000002</v>
      </c>
      <c r="U337" s="10">
        <f>INDEX([1]ratio_ins!S:S,MATCH('001_population_health_zone_zs'!$B$2,[1]ratio_ins!$B:$B,0))*$G337*INDEX([1]ratio_ins!$C:$C,MATCH('001_population_health_zone_zs'!$B337,[1]ratio_ins!$B:$B,0))</f>
        <v>2400.0605370000003</v>
      </c>
      <c r="V337" s="10">
        <f>INDEX([1]ratio_ins!T:T,MATCH('001_population_health_zone_zs'!$B$2,[1]ratio_ins!$B:$B,0))*$G337*INDEX([1]ratio_ins!$C:$C,MATCH('001_population_health_zone_zs'!$B337,[1]ratio_ins!$B:$B,0))</f>
        <v>1333.3669649999999</v>
      </c>
      <c r="W337" s="11">
        <f>INDEX([1]ratio_ins!U:U,MATCH('001_population_health_zone_zs'!$B$2,[1]ratio_ins!$B:$B,0))*$G337*INDEX([1]ratio_ins!$C:$C,MATCH('001_population_health_zone_zs'!$B337,[1]ratio_ins!$B:$B,0))</f>
        <v>36374.250805200005</v>
      </c>
      <c r="X337" s="10">
        <f>INDEX([1]ratio_ins!V:V,MATCH('001_population_health_zone_zs'!$B$2,[1]ratio_ins!$B:$B,0))*$G337*INDEX([1]ratio_ins!$C:$C,MATCH('001_population_health_zone_zs'!$B337,[1]ratio_ins!$B:$B,0))</f>
        <v>1066.6935720000001</v>
      </c>
      <c r="Y337" s="10">
        <f>INDEX([1]ratio_ins!W:W,MATCH('001_population_health_zone_zs'!$B$2,[1]ratio_ins!$B:$B,0))*$G337*INDEX([1]ratio_ins!$C:$C,MATCH('001_population_health_zone_zs'!$B337,[1]ratio_ins!$B:$B,0))</f>
        <v>711.12904800000001</v>
      </c>
      <c r="Z337" s="10">
        <f>INDEX([1]ratio_ins!X:X,MATCH('001_population_health_zone_zs'!$B$2,[1]ratio_ins!$B:$B,0))*$G337*INDEX([1]ratio_ins!$C:$C,MATCH('001_population_health_zone_zs'!$B337,[1]ratio_ins!$B:$B,0))</f>
        <v>355.56452400000001</v>
      </c>
      <c r="AA337" s="10">
        <f>INDEX([1]ratio_ins!Y:Y,MATCH('001_population_health_zone_zs'!$B$2,[1]ratio_ins!$B:$B,0))*$G337*INDEX([1]ratio_ins!$C:$C,MATCH('001_population_health_zone_zs'!$B337,[1]ratio_ins!$B:$B,0))</f>
        <v>177.782262</v>
      </c>
      <c r="AB337" s="11">
        <f>INDEX([1]ratio_ins!Z:Z,MATCH('001_population_health_zone_zs'!$B$2,[1]ratio_ins!$B:$B,0))*$G337*INDEX([1]ratio_ins!$C:$C,MATCH('001_population_health_zone_zs'!$B337,[1]ratio_ins!$B:$B,0))</f>
        <v>2311.1694060000004</v>
      </c>
      <c r="AC337" s="12">
        <f t="shared" si="30"/>
        <v>88891.131000000008</v>
      </c>
      <c r="AD337" s="10">
        <f>INDEX([1]ratio_ins!AA:AA,MATCH('001_population_health_zone_zs'!$B$2,[1]ratio_ins!$B:$B,0))*$G337*INDEX([1]ratio_ins!$D:$D,MATCH('001_population_health_zone_zs'!$B337,[1]ratio_ins!$B:$B,0))</f>
        <v>19351.47249</v>
      </c>
      <c r="AE337" s="10">
        <f>INDEX([1]ratio_ins!AB:AB,MATCH('001_population_health_zone_zs'!$B$2,[1]ratio_ins!$B:$B,0))*$G337*INDEX([1]ratio_ins!$D:$D,MATCH('001_population_health_zone_zs'!$B337,[1]ratio_ins!$B:$B,0))</f>
        <v>15941.927337000003</v>
      </c>
      <c r="AF337" s="10">
        <f>INDEX([1]ratio_ins!AC:AC,MATCH('001_population_health_zone_zs'!$B$2,[1]ratio_ins!$B:$B,0))*$G337*INDEX([1]ratio_ins!$D:$D,MATCH('001_population_health_zone_zs'!$B337,[1]ratio_ins!$B:$B,0))</f>
        <v>12624.532052999999</v>
      </c>
      <c r="AG337" s="10">
        <f>INDEX([1]ratio_ins!AD:AD,MATCH('001_population_health_zone_zs'!$B$2,[1]ratio_ins!$B:$B,0))*$G337*INDEX([1]ratio_ins!$D:$D,MATCH('001_population_health_zone_zs'!$B337,[1]ratio_ins!$B:$B,0))</f>
        <v>7648.4391270000006</v>
      </c>
      <c r="AH337" s="10">
        <f>INDEX([1]ratio_ins!AE:AE,MATCH('001_population_health_zone_zs'!$B$2,[1]ratio_ins!$B:$B,0))*$G337*INDEX([1]ratio_ins!$D:$D,MATCH('001_population_health_zone_zs'!$B337,[1]ratio_ins!$B:$B,0))</f>
        <v>4589.0634762</v>
      </c>
      <c r="AI337" s="13">
        <f>INDEX([1]ratio_ins!AF:AF,MATCH('001_population_health_zone_zs'!$B$2,[1]ratio_ins!$B:$B,0))*$G337*INDEX([1]ratio_ins!$D:$D,MATCH('001_population_health_zone_zs'!$B337,[1]ratio_ins!$B:$B,0))</f>
        <v>52506.995356200001</v>
      </c>
      <c r="AJ337" s="10">
        <f>INDEX([1]ratio_ins!AG:AG,MATCH('001_population_health_zone_zs'!$B$2,[1]ratio_ins!$B:$B,0))*$G337*INDEX([1]ratio_ins!$D:$D,MATCH('001_population_health_zone_zs'!$B337,[1]ratio_ins!$B:$B,0))</f>
        <v>3059.3756508000001</v>
      </c>
      <c r="AK337" s="10">
        <f>INDEX([1]ratio_ins!AH:AH,MATCH('001_population_health_zone_zs'!$B$2,[1]ratio_ins!$B:$B,0))*$G337*INDEX([1]ratio_ins!$D:$D,MATCH('001_population_health_zone_zs'!$B337,[1]ratio_ins!$B:$B,0))</f>
        <v>6819.090306000001</v>
      </c>
      <c r="AL337" s="10">
        <f>INDEX([1]ratio_ins!AI:AI,MATCH('001_population_health_zone_zs'!$B$2,[1]ratio_ins!$B:$B,0))*$G337*INDEX([1]ratio_ins!$D:$D,MATCH('001_population_health_zone_zs'!$B337,[1]ratio_ins!$B:$B,0))</f>
        <v>6450.4908300000006</v>
      </c>
      <c r="AM337" s="10">
        <f>INDEX([1]ratio_ins!AJ:AJ,MATCH('001_population_health_zone_zs'!$B$2,[1]ratio_ins!$B:$B,0))*$G337*INDEX([1]ratio_ins!$D:$D,MATCH('001_population_health_zone_zs'!$B337,[1]ratio_ins!$B:$B,0))</f>
        <v>5897.5916159999997</v>
      </c>
      <c r="AN337" s="10">
        <f>INDEX([1]ratio_ins!AK:AK,MATCH('001_population_health_zone_zs'!$B$2,[1]ratio_ins!$B:$B,0))*$G337*INDEX([1]ratio_ins!$D:$D,MATCH('001_population_health_zone_zs'!$B337,[1]ratio_ins!$B:$B,0))</f>
        <v>5528.9921399999994</v>
      </c>
      <c r="AO337" s="10">
        <f>INDEX([1]ratio_ins!AL:AL,MATCH('001_population_health_zone_zs'!$B$2,[1]ratio_ins!$B:$B,0))*$G337*INDEX([1]ratio_ins!$D:$D,MATCH('001_population_health_zone_zs'!$B337,[1]ratio_ins!$B:$B,0))</f>
        <v>4146.7441049999998</v>
      </c>
      <c r="AP337" s="10">
        <f>INDEX([1]ratio_ins!AM:AM,MATCH('001_population_health_zone_zs'!$B$2,[1]ratio_ins!$B:$B,0))*$G337*INDEX([1]ratio_ins!$D:$D,MATCH('001_population_health_zone_zs'!$B337,[1]ratio_ins!$B:$B,0))</f>
        <v>2672.3462009999998</v>
      </c>
      <c r="AQ337" s="10">
        <f>INDEX([1]ratio_ins!AN:AN,MATCH('001_population_health_zone_zs'!$B$2,[1]ratio_ins!$B:$B,0))*$G337*INDEX([1]ratio_ins!$D:$D,MATCH('001_population_health_zone_zs'!$B337,[1]ratio_ins!$B:$B,0))</f>
        <v>2119.4469870000003</v>
      </c>
      <c r="AR337" s="10">
        <f>INDEX([1]ratio_ins!AO:AO,MATCH('001_population_health_zone_zs'!$B$2,[1]ratio_ins!$B:$B,0))*$G337*INDEX([1]ratio_ins!$D:$D,MATCH('001_population_health_zone_zs'!$B337,[1]ratio_ins!$B:$B,0))</f>
        <v>1013.6485590000001</v>
      </c>
      <c r="AS337" s="13">
        <f>INDEX([1]ratio_ins!AP:AP,MATCH('001_population_health_zone_zs'!$B$2,[1]ratio_ins!$B:$B,0))*$G337*INDEX([1]ratio_ins!$D:$D,MATCH('001_population_health_zone_zs'!$B337,[1]ratio_ins!$B:$B,0))</f>
        <v>37707.726394800004</v>
      </c>
      <c r="AT337" s="10">
        <f>INDEX([1]ratio_ins!AQ:AQ,MATCH('001_population_health_zone_zs'!$B$2,[1]ratio_ins!$B:$B,0))*$G337*INDEX([1]ratio_ins!$D:$D,MATCH('001_population_health_zone_zs'!$B337,[1]ratio_ins!$B:$B,0))</f>
        <v>921.49869000000001</v>
      </c>
      <c r="AU337" s="10">
        <f>INDEX([1]ratio_ins!AR:AR,MATCH('001_population_health_zone_zs'!$B$2,[1]ratio_ins!$B:$B,0))*$G337*INDEX([1]ratio_ins!$D:$D,MATCH('001_population_health_zone_zs'!$B337,[1]ratio_ins!$B:$B,0))</f>
        <v>552.89921400000003</v>
      </c>
      <c r="AV337" s="10">
        <f>INDEX([1]ratio_ins!AS:AS,MATCH('001_population_health_zone_zs'!$B$2,[1]ratio_ins!$B:$B,0))*$G337*INDEX([1]ratio_ins!$D:$D,MATCH('001_population_health_zone_zs'!$B337,[1]ratio_ins!$B:$B,0))</f>
        <v>276.44960700000001</v>
      </c>
      <c r="AW337" s="10">
        <f>INDEX([1]ratio_ins!AT:AT,MATCH('001_population_health_zone_zs'!$B$2,[1]ratio_ins!$B:$B,0))*$G337*INDEX([1]ratio_ins!$D:$D,MATCH('001_population_health_zone_zs'!$B337,[1]ratio_ins!$B:$B,0))</f>
        <v>184.29973799999999</v>
      </c>
      <c r="AX337" s="13">
        <f>INDEX([1]ratio_ins!AU:AU,MATCH('001_population_health_zone_zs'!$B$2,[1]ratio_ins!$B:$B,0))*$G337*INDEX([1]ratio_ins!$D:$D,MATCH('001_population_health_zone_zs'!$B337,[1]ratio_ins!$B:$B,0))</f>
        <v>1935.1472489999996</v>
      </c>
      <c r="AY337" s="14">
        <f t="shared" si="31"/>
        <v>92149.869000000006</v>
      </c>
      <c r="AZ337" s="15">
        <f t="shared" si="32"/>
        <v>181041</v>
      </c>
      <c r="BA337" s="16">
        <v>173843.17990478547</v>
      </c>
      <c r="BB337" s="10">
        <f t="shared" si="33"/>
        <v>39163.694324999997</v>
      </c>
      <c r="BC337" s="17">
        <f t="shared" si="34"/>
        <v>0.21632499999999999</v>
      </c>
      <c r="BD337" s="10">
        <f t="shared" si="35"/>
        <v>37067.601627000011</v>
      </c>
    </row>
    <row r="338" spans="1:56" x14ac:dyDescent="0.25">
      <c r="A338" s="8" t="s">
        <v>751</v>
      </c>
      <c r="B338" s="8" t="s">
        <v>752</v>
      </c>
      <c r="C338" s="8" t="s">
        <v>820</v>
      </c>
      <c r="D338" s="8" t="s">
        <v>821</v>
      </c>
      <c r="E338" s="8" t="s">
        <v>828</v>
      </c>
      <c r="F338" s="8" t="s">
        <v>829</v>
      </c>
      <c r="G338" s="9">
        <v>164512</v>
      </c>
      <c r="H338" s="10">
        <f>INDEX([1]ratio_ins!F:F,MATCH('001_population_health_zone_zs'!$B$2,[1]ratio_ins!$B:$B,0))*$G338*INDEX([1]ratio_ins!$C:$C,MATCH('001_population_health_zone_zs'!$B338,[1]ratio_ins!$B:$B,0))</f>
        <v>16882.056928000002</v>
      </c>
      <c r="I338" s="10">
        <f>INDEX([1]ratio_ins!G:G,MATCH('001_population_health_zone_zs'!$B$2,[1]ratio_ins!$B:$B,0))*$G338*INDEX([1]ratio_ins!$C:$C,MATCH('001_population_health_zone_zs'!$B338,[1]ratio_ins!$B:$B,0))</f>
        <v>13812.592032000002</v>
      </c>
      <c r="J338" s="10">
        <f>INDEX([1]ratio_ins!H:H,MATCH('001_population_health_zone_zs'!$B$2,[1]ratio_ins!$B:$B,0))*$G338*INDEX([1]ratio_ins!$C:$C,MATCH('001_population_health_zone_zs'!$B338,[1]ratio_ins!$B:$B,0))</f>
        <v>10904.677920000002</v>
      </c>
      <c r="K338" s="10">
        <f>INDEX([1]ratio_ins!I:I,MATCH('001_population_health_zone_zs'!$B$2,[1]ratio_ins!$B:$B,0))*$G338*INDEX([1]ratio_ins!$C:$C,MATCH('001_population_health_zone_zs'!$B338,[1]ratio_ins!$B:$B,0))</f>
        <v>6704.3575360000004</v>
      </c>
      <c r="L338" s="10">
        <f>INDEX([1]ratio_ins!J:J,MATCH('001_population_health_zone_zs'!$B$2,[1]ratio_ins!$B:$B,0))*$G338*INDEX([1]ratio_ins!$C:$C,MATCH('001_population_health_zone_zs'!$B338,[1]ratio_ins!$B:$B,0))</f>
        <v>4022.6145215999995</v>
      </c>
      <c r="M338" s="11">
        <f>INDEX([1]ratio_ins!K:K,MATCH('001_population_health_zone_zs'!$B$2,[1]ratio_ins!$B:$B,0))*$G338*INDEX([1]ratio_ins!$C:$C,MATCH('001_population_health_zone_zs'!$B338,[1]ratio_ins!$B:$B,0))</f>
        <v>45621.941401599994</v>
      </c>
      <c r="N338" s="10">
        <f>INDEX([1]ratio_ins!L:L,MATCH('001_population_health_zone_zs'!$B$2,[1]ratio_ins!$B:$B,0))*$G338*INDEX([1]ratio_ins!$C:$C,MATCH('001_population_health_zone_zs'!$B338,[1]ratio_ins!$B:$B,0))</f>
        <v>2681.7430144</v>
      </c>
      <c r="O338" s="10">
        <f>INDEX([1]ratio_ins!M:M,MATCH('001_population_health_zone_zs'!$B$2,[1]ratio_ins!$B:$B,0))*$G338*INDEX([1]ratio_ins!$C:$C,MATCH('001_population_health_zone_zs'!$B338,[1]ratio_ins!$B:$B,0))</f>
        <v>5815.8282240000008</v>
      </c>
      <c r="P338" s="10">
        <f>INDEX([1]ratio_ins!N:N,MATCH('001_population_health_zone_zs'!$B$2,[1]ratio_ins!$B:$B,0))*$G338*INDEX([1]ratio_ins!$C:$C,MATCH('001_population_health_zone_zs'!$B338,[1]ratio_ins!$B:$B,0))</f>
        <v>5250.4004800000002</v>
      </c>
      <c r="Q338" s="10">
        <f>INDEX([1]ratio_ins!O:O,MATCH('001_population_health_zone_zs'!$B$2,[1]ratio_ins!$B:$B,0))*$G338*INDEX([1]ratio_ins!$C:$C,MATCH('001_population_health_zone_zs'!$B338,[1]ratio_ins!$B:$B,0))</f>
        <v>4684.9727359999997</v>
      </c>
      <c r="R338" s="10">
        <f>INDEX([1]ratio_ins!P:P,MATCH('001_population_health_zone_zs'!$B$2,[1]ratio_ins!$B:$B,0))*$G338*INDEX([1]ratio_ins!$C:$C,MATCH('001_population_health_zone_zs'!$B338,[1]ratio_ins!$B:$B,0))</f>
        <v>4604.1973440000002</v>
      </c>
      <c r="S338" s="10">
        <f>INDEX([1]ratio_ins!Q:Q,MATCH('001_population_health_zone_zs'!$B$2,[1]ratio_ins!$B:$B,0))*$G338*INDEX([1]ratio_ins!$C:$C,MATCH('001_population_health_zone_zs'!$B338,[1]ratio_ins!$B:$B,0))</f>
        <v>3877.2188160000001</v>
      </c>
      <c r="T338" s="10">
        <f>INDEX([1]ratio_ins!R:R,MATCH('001_population_health_zone_zs'!$B$2,[1]ratio_ins!$B:$B,0))*$G338*INDEX([1]ratio_ins!$C:$C,MATCH('001_population_health_zone_zs'!$B338,[1]ratio_ins!$B:$B,0))</f>
        <v>2746.3633279999999</v>
      </c>
      <c r="U338" s="10">
        <f>INDEX([1]ratio_ins!S:S,MATCH('001_population_health_zone_zs'!$B$2,[1]ratio_ins!$B:$B,0))*$G338*INDEX([1]ratio_ins!$C:$C,MATCH('001_population_health_zone_zs'!$B338,[1]ratio_ins!$B:$B,0))</f>
        <v>2180.9355840000003</v>
      </c>
      <c r="V338" s="10">
        <f>INDEX([1]ratio_ins!T:T,MATCH('001_population_health_zone_zs'!$B$2,[1]ratio_ins!$B:$B,0))*$G338*INDEX([1]ratio_ins!$C:$C,MATCH('001_population_health_zone_zs'!$B338,[1]ratio_ins!$B:$B,0))</f>
        <v>1211.6308799999999</v>
      </c>
      <c r="W338" s="11">
        <f>INDEX([1]ratio_ins!U:U,MATCH('001_population_health_zone_zs'!$B$2,[1]ratio_ins!$B:$B,0))*$G338*INDEX([1]ratio_ins!$C:$C,MATCH('001_population_health_zone_zs'!$B338,[1]ratio_ins!$B:$B,0))</f>
        <v>33053.290406400003</v>
      </c>
      <c r="X338" s="10">
        <f>INDEX([1]ratio_ins!V:V,MATCH('001_population_health_zone_zs'!$B$2,[1]ratio_ins!$B:$B,0))*$G338*INDEX([1]ratio_ins!$C:$C,MATCH('001_population_health_zone_zs'!$B338,[1]ratio_ins!$B:$B,0))</f>
        <v>969.30470400000002</v>
      </c>
      <c r="Y338" s="10">
        <f>INDEX([1]ratio_ins!W:W,MATCH('001_population_health_zone_zs'!$B$2,[1]ratio_ins!$B:$B,0))*$G338*INDEX([1]ratio_ins!$C:$C,MATCH('001_population_health_zone_zs'!$B338,[1]ratio_ins!$B:$B,0))</f>
        <v>646.20313599999997</v>
      </c>
      <c r="Z338" s="10">
        <f>INDEX([1]ratio_ins!X:X,MATCH('001_population_health_zone_zs'!$B$2,[1]ratio_ins!$B:$B,0))*$G338*INDEX([1]ratio_ins!$C:$C,MATCH('001_population_health_zone_zs'!$B338,[1]ratio_ins!$B:$B,0))</f>
        <v>323.10156799999999</v>
      </c>
      <c r="AA338" s="10">
        <f>INDEX([1]ratio_ins!Y:Y,MATCH('001_population_health_zone_zs'!$B$2,[1]ratio_ins!$B:$B,0))*$G338*INDEX([1]ratio_ins!$C:$C,MATCH('001_population_health_zone_zs'!$B338,[1]ratio_ins!$B:$B,0))</f>
        <v>161.55078399999999</v>
      </c>
      <c r="AB338" s="11">
        <f>INDEX([1]ratio_ins!Z:Z,MATCH('001_population_health_zone_zs'!$B$2,[1]ratio_ins!$B:$B,0))*$G338*INDEX([1]ratio_ins!$C:$C,MATCH('001_population_health_zone_zs'!$B338,[1]ratio_ins!$B:$B,0))</f>
        <v>2100.1601920000003</v>
      </c>
      <c r="AC338" s="12">
        <f t="shared" si="30"/>
        <v>80775.391999999993</v>
      </c>
      <c r="AD338" s="10">
        <f>INDEX([1]ratio_ins!AA:AA,MATCH('001_population_health_zone_zs'!$B$2,[1]ratio_ins!$B:$B,0))*$G338*INDEX([1]ratio_ins!$D:$D,MATCH('001_population_health_zone_zs'!$B338,[1]ratio_ins!$B:$B,0))</f>
        <v>17584.687679999999</v>
      </c>
      <c r="AE338" s="10">
        <f>INDEX([1]ratio_ins!AB:AB,MATCH('001_population_health_zone_zs'!$B$2,[1]ratio_ins!$B:$B,0))*$G338*INDEX([1]ratio_ins!$D:$D,MATCH('001_population_health_zone_zs'!$B338,[1]ratio_ins!$B:$B,0))</f>
        <v>14486.433184000001</v>
      </c>
      <c r="AF338" s="10">
        <f>INDEX([1]ratio_ins!AC:AC,MATCH('001_population_health_zone_zs'!$B$2,[1]ratio_ins!$B:$B,0))*$G338*INDEX([1]ratio_ins!$D:$D,MATCH('001_population_health_zone_zs'!$B338,[1]ratio_ins!$B:$B,0))</f>
        <v>11471.915295999999</v>
      </c>
      <c r="AG338" s="10">
        <f>INDEX([1]ratio_ins!AD:AD,MATCH('001_population_health_zone_zs'!$B$2,[1]ratio_ins!$B:$B,0))*$G338*INDEX([1]ratio_ins!$D:$D,MATCH('001_population_health_zone_zs'!$B338,[1]ratio_ins!$B:$B,0))</f>
        <v>6950.1384640000006</v>
      </c>
      <c r="AH338" s="10">
        <f>INDEX([1]ratio_ins!AE:AE,MATCH('001_population_health_zone_zs'!$B$2,[1]ratio_ins!$B:$B,0))*$G338*INDEX([1]ratio_ins!$D:$D,MATCH('001_population_health_zone_zs'!$B338,[1]ratio_ins!$B:$B,0))</f>
        <v>4170.0830784</v>
      </c>
      <c r="AI338" s="13">
        <f>INDEX([1]ratio_ins!AF:AF,MATCH('001_population_health_zone_zs'!$B$2,[1]ratio_ins!$B:$B,0))*$G338*INDEX([1]ratio_ins!$D:$D,MATCH('001_population_health_zone_zs'!$B338,[1]ratio_ins!$B:$B,0))</f>
        <v>47713.119238399995</v>
      </c>
      <c r="AJ338" s="10">
        <f>INDEX([1]ratio_ins!AG:AG,MATCH('001_population_health_zone_zs'!$B$2,[1]ratio_ins!$B:$B,0))*$G338*INDEX([1]ratio_ins!$D:$D,MATCH('001_population_health_zone_zs'!$B338,[1]ratio_ins!$B:$B,0))</f>
        <v>2780.0553855999997</v>
      </c>
      <c r="AK338" s="10">
        <f>INDEX([1]ratio_ins!AH:AH,MATCH('001_population_health_zone_zs'!$B$2,[1]ratio_ins!$B:$B,0))*$G338*INDEX([1]ratio_ins!$D:$D,MATCH('001_population_health_zone_zs'!$B338,[1]ratio_ins!$B:$B,0))</f>
        <v>6196.5089920000009</v>
      </c>
      <c r="AL338" s="10">
        <f>INDEX([1]ratio_ins!AI:AI,MATCH('001_population_health_zone_zs'!$B$2,[1]ratio_ins!$B:$B,0))*$G338*INDEX([1]ratio_ins!$D:$D,MATCH('001_population_health_zone_zs'!$B338,[1]ratio_ins!$B:$B,0))</f>
        <v>5861.5625600000012</v>
      </c>
      <c r="AM338" s="10">
        <f>INDEX([1]ratio_ins!AJ:AJ,MATCH('001_population_health_zone_zs'!$B$2,[1]ratio_ins!$B:$B,0))*$G338*INDEX([1]ratio_ins!$D:$D,MATCH('001_population_health_zone_zs'!$B338,[1]ratio_ins!$B:$B,0))</f>
        <v>5359.1429120000003</v>
      </c>
      <c r="AN338" s="10">
        <f>INDEX([1]ratio_ins!AK:AK,MATCH('001_population_health_zone_zs'!$B$2,[1]ratio_ins!$B:$B,0))*$G338*INDEX([1]ratio_ins!$D:$D,MATCH('001_population_health_zone_zs'!$B338,[1]ratio_ins!$B:$B,0))</f>
        <v>5024.1964799999996</v>
      </c>
      <c r="AO338" s="10">
        <f>INDEX([1]ratio_ins!AL:AL,MATCH('001_population_health_zone_zs'!$B$2,[1]ratio_ins!$B:$B,0))*$G338*INDEX([1]ratio_ins!$D:$D,MATCH('001_population_health_zone_zs'!$B338,[1]ratio_ins!$B:$B,0))</f>
        <v>3768.1473599999999</v>
      </c>
      <c r="AP338" s="10">
        <f>INDEX([1]ratio_ins!AM:AM,MATCH('001_population_health_zone_zs'!$B$2,[1]ratio_ins!$B:$B,0))*$G338*INDEX([1]ratio_ins!$D:$D,MATCH('001_population_health_zone_zs'!$B338,[1]ratio_ins!$B:$B,0))</f>
        <v>2428.3616320000001</v>
      </c>
      <c r="AQ338" s="10">
        <f>INDEX([1]ratio_ins!AN:AN,MATCH('001_population_health_zone_zs'!$B$2,[1]ratio_ins!$B:$B,0))*$G338*INDEX([1]ratio_ins!$D:$D,MATCH('001_population_health_zone_zs'!$B338,[1]ratio_ins!$B:$B,0))</f>
        <v>1925.941984</v>
      </c>
      <c r="AR338" s="10">
        <f>INDEX([1]ratio_ins!AO:AO,MATCH('001_population_health_zone_zs'!$B$2,[1]ratio_ins!$B:$B,0))*$G338*INDEX([1]ratio_ins!$D:$D,MATCH('001_population_health_zone_zs'!$B338,[1]ratio_ins!$B:$B,0))</f>
        <v>921.10268800000017</v>
      </c>
      <c r="AS338" s="13">
        <f>INDEX([1]ratio_ins!AP:AP,MATCH('001_population_health_zone_zs'!$B$2,[1]ratio_ins!$B:$B,0))*$G338*INDEX([1]ratio_ins!$D:$D,MATCH('001_population_health_zone_zs'!$B338,[1]ratio_ins!$B:$B,0))</f>
        <v>34265.019993599999</v>
      </c>
      <c r="AT338" s="10">
        <f>INDEX([1]ratio_ins!AQ:AQ,MATCH('001_population_health_zone_zs'!$B$2,[1]ratio_ins!$B:$B,0))*$G338*INDEX([1]ratio_ins!$D:$D,MATCH('001_population_health_zone_zs'!$B338,[1]ratio_ins!$B:$B,0))</f>
        <v>837.36608000000012</v>
      </c>
      <c r="AU338" s="10">
        <f>INDEX([1]ratio_ins!AR:AR,MATCH('001_population_health_zone_zs'!$B$2,[1]ratio_ins!$B:$B,0))*$G338*INDEX([1]ratio_ins!$D:$D,MATCH('001_population_health_zone_zs'!$B338,[1]ratio_ins!$B:$B,0))</f>
        <v>502.419648</v>
      </c>
      <c r="AV338" s="10">
        <f>INDEX([1]ratio_ins!AS:AS,MATCH('001_population_health_zone_zs'!$B$2,[1]ratio_ins!$B:$B,0))*$G338*INDEX([1]ratio_ins!$D:$D,MATCH('001_population_health_zone_zs'!$B338,[1]ratio_ins!$B:$B,0))</f>
        <v>251.209824</v>
      </c>
      <c r="AW338" s="10">
        <f>INDEX([1]ratio_ins!AT:AT,MATCH('001_population_health_zone_zs'!$B$2,[1]ratio_ins!$B:$B,0))*$G338*INDEX([1]ratio_ins!$D:$D,MATCH('001_population_health_zone_zs'!$B338,[1]ratio_ins!$B:$B,0))</f>
        <v>167.47321600000001</v>
      </c>
      <c r="AX338" s="13">
        <f>INDEX([1]ratio_ins!AU:AU,MATCH('001_population_health_zone_zs'!$B$2,[1]ratio_ins!$B:$B,0))*$G338*INDEX([1]ratio_ins!$D:$D,MATCH('001_population_health_zone_zs'!$B338,[1]ratio_ins!$B:$B,0))</f>
        <v>1758.4687679999997</v>
      </c>
      <c r="AY338" s="14">
        <f t="shared" si="31"/>
        <v>83736.607999999993</v>
      </c>
      <c r="AZ338" s="15">
        <f t="shared" si="32"/>
        <v>164512</v>
      </c>
      <c r="BA338" s="16">
        <v>157971.38751012977</v>
      </c>
      <c r="BB338" s="10">
        <f t="shared" si="33"/>
        <v>35588.058400000002</v>
      </c>
      <c r="BC338" s="17">
        <f t="shared" si="34"/>
        <v>0.21632500000000002</v>
      </c>
      <c r="BD338" s="10">
        <f t="shared" si="35"/>
        <v>33683.338464</v>
      </c>
    </row>
    <row r="339" spans="1:56" x14ac:dyDescent="0.25">
      <c r="A339" s="8" t="s">
        <v>751</v>
      </c>
      <c r="B339" s="8" t="s">
        <v>752</v>
      </c>
      <c r="C339" s="8" t="s">
        <v>820</v>
      </c>
      <c r="D339" s="8" t="s">
        <v>821</v>
      </c>
      <c r="E339" s="8" t="s">
        <v>820</v>
      </c>
      <c r="F339" s="8" t="s">
        <v>830</v>
      </c>
      <c r="G339" s="9">
        <v>166495</v>
      </c>
      <c r="H339" s="10">
        <f>INDEX([1]ratio_ins!F:F,MATCH('001_population_health_zone_zs'!$B$2,[1]ratio_ins!$B:$B,0))*$G339*INDEX([1]ratio_ins!$C:$C,MATCH('001_population_health_zone_zs'!$B339,[1]ratio_ins!$B:$B,0))</f>
        <v>17085.550405000002</v>
      </c>
      <c r="I339" s="10">
        <f>INDEX([1]ratio_ins!G:G,MATCH('001_population_health_zone_zs'!$B$2,[1]ratio_ins!$B:$B,0))*$G339*INDEX([1]ratio_ins!$C:$C,MATCH('001_population_health_zone_zs'!$B339,[1]ratio_ins!$B:$B,0))</f>
        <v>13979.086695</v>
      </c>
      <c r="J339" s="10">
        <f>INDEX([1]ratio_ins!H:H,MATCH('001_population_health_zone_zs'!$B$2,[1]ratio_ins!$B:$B,0))*$G339*INDEX([1]ratio_ins!$C:$C,MATCH('001_population_health_zone_zs'!$B339,[1]ratio_ins!$B:$B,0))</f>
        <v>11036.121075000001</v>
      </c>
      <c r="K339" s="10">
        <f>INDEX([1]ratio_ins!I:I,MATCH('001_population_health_zone_zs'!$B$2,[1]ratio_ins!$B:$B,0))*$G339*INDEX([1]ratio_ins!$C:$C,MATCH('001_population_health_zone_zs'!$B339,[1]ratio_ins!$B:$B,0))</f>
        <v>6785.1707350000006</v>
      </c>
      <c r="L339" s="10">
        <f>INDEX([1]ratio_ins!J:J,MATCH('001_population_health_zone_zs'!$B$2,[1]ratio_ins!$B:$B,0))*$G339*INDEX([1]ratio_ins!$C:$C,MATCH('001_population_health_zone_zs'!$B339,[1]ratio_ins!$B:$B,0))</f>
        <v>4071.1024409999995</v>
      </c>
      <c r="M339" s="11">
        <f>INDEX([1]ratio_ins!K:K,MATCH('001_population_health_zone_zs'!$B$2,[1]ratio_ins!$B:$B,0))*$G339*INDEX([1]ratio_ins!$C:$C,MATCH('001_population_health_zone_zs'!$B339,[1]ratio_ins!$B:$B,0))</f>
        <v>46171.860615999991</v>
      </c>
      <c r="N339" s="10">
        <f>INDEX([1]ratio_ins!L:L,MATCH('001_population_health_zone_zs'!$B$2,[1]ratio_ins!$B:$B,0))*$G339*INDEX([1]ratio_ins!$C:$C,MATCH('001_population_health_zone_zs'!$B339,[1]ratio_ins!$B:$B,0))</f>
        <v>2714.0682940000002</v>
      </c>
      <c r="O339" s="10">
        <f>INDEX([1]ratio_ins!M:M,MATCH('001_population_health_zone_zs'!$B$2,[1]ratio_ins!$B:$B,0))*$G339*INDEX([1]ratio_ins!$C:$C,MATCH('001_population_health_zone_zs'!$B339,[1]ratio_ins!$B:$B,0))</f>
        <v>5885.9312400000008</v>
      </c>
      <c r="P339" s="10">
        <f>INDEX([1]ratio_ins!N:N,MATCH('001_population_health_zone_zs'!$B$2,[1]ratio_ins!$B:$B,0))*$G339*INDEX([1]ratio_ins!$C:$C,MATCH('001_population_health_zone_zs'!$B339,[1]ratio_ins!$B:$B,0))</f>
        <v>5313.6879250000002</v>
      </c>
      <c r="Q339" s="10">
        <f>INDEX([1]ratio_ins!O:O,MATCH('001_population_health_zone_zs'!$B$2,[1]ratio_ins!$B:$B,0))*$G339*INDEX([1]ratio_ins!$C:$C,MATCH('001_population_health_zone_zs'!$B339,[1]ratio_ins!$B:$B,0))</f>
        <v>4741.4446099999996</v>
      </c>
      <c r="R339" s="10">
        <f>INDEX([1]ratio_ins!P:P,MATCH('001_population_health_zone_zs'!$B$2,[1]ratio_ins!$B:$B,0))*$G339*INDEX([1]ratio_ins!$C:$C,MATCH('001_population_health_zone_zs'!$B339,[1]ratio_ins!$B:$B,0))</f>
        <v>4659.695565</v>
      </c>
      <c r="S339" s="10">
        <f>INDEX([1]ratio_ins!Q:Q,MATCH('001_population_health_zone_zs'!$B$2,[1]ratio_ins!$B:$B,0))*$G339*INDEX([1]ratio_ins!$C:$C,MATCH('001_population_health_zone_zs'!$B339,[1]ratio_ins!$B:$B,0))</f>
        <v>3923.9541600000002</v>
      </c>
      <c r="T339" s="10">
        <f>INDEX([1]ratio_ins!R:R,MATCH('001_population_health_zone_zs'!$B$2,[1]ratio_ins!$B:$B,0))*$G339*INDEX([1]ratio_ins!$C:$C,MATCH('001_population_health_zone_zs'!$B339,[1]ratio_ins!$B:$B,0))</f>
        <v>2779.4675300000004</v>
      </c>
      <c r="U339" s="10">
        <f>INDEX([1]ratio_ins!S:S,MATCH('001_population_health_zone_zs'!$B$2,[1]ratio_ins!$B:$B,0))*$G339*INDEX([1]ratio_ins!$C:$C,MATCH('001_population_health_zone_zs'!$B339,[1]ratio_ins!$B:$B,0))</f>
        <v>2207.2242150000002</v>
      </c>
      <c r="V339" s="10">
        <f>INDEX([1]ratio_ins!T:T,MATCH('001_population_health_zone_zs'!$B$2,[1]ratio_ins!$B:$B,0))*$G339*INDEX([1]ratio_ins!$C:$C,MATCH('001_population_health_zone_zs'!$B339,[1]ratio_ins!$B:$B,0))</f>
        <v>1226.2356749999999</v>
      </c>
      <c r="W339" s="11">
        <f>INDEX([1]ratio_ins!U:U,MATCH('001_population_health_zone_zs'!$B$2,[1]ratio_ins!$B:$B,0))*$G339*INDEX([1]ratio_ins!$C:$C,MATCH('001_population_health_zone_zs'!$B339,[1]ratio_ins!$B:$B,0))</f>
        <v>33451.709214000002</v>
      </c>
      <c r="X339" s="10">
        <f>INDEX([1]ratio_ins!V:V,MATCH('001_population_health_zone_zs'!$B$2,[1]ratio_ins!$B:$B,0))*$G339*INDEX([1]ratio_ins!$C:$C,MATCH('001_population_health_zone_zs'!$B339,[1]ratio_ins!$B:$B,0))</f>
        <v>980.98854000000006</v>
      </c>
      <c r="Y339" s="10">
        <f>INDEX([1]ratio_ins!W:W,MATCH('001_population_health_zone_zs'!$B$2,[1]ratio_ins!$B:$B,0))*$G339*INDEX([1]ratio_ins!$C:$C,MATCH('001_population_health_zone_zs'!$B339,[1]ratio_ins!$B:$B,0))</f>
        <v>653.99235999999996</v>
      </c>
      <c r="Z339" s="10">
        <f>INDEX([1]ratio_ins!X:X,MATCH('001_population_health_zone_zs'!$B$2,[1]ratio_ins!$B:$B,0))*$G339*INDEX([1]ratio_ins!$C:$C,MATCH('001_population_health_zone_zs'!$B339,[1]ratio_ins!$B:$B,0))</f>
        <v>326.99617999999998</v>
      </c>
      <c r="AA339" s="10">
        <f>INDEX([1]ratio_ins!Y:Y,MATCH('001_population_health_zone_zs'!$B$2,[1]ratio_ins!$B:$B,0))*$G339*INDEX([1]ratio_ins!$C:$C,MATCH('001_population_health_zone_zs'!$B339,[1]ratio_ins!$B:$B,0))</f>
        <v>163.49808999999999</v>
      </c>
      <c r="AB339" s="11">
        <f>INDEX([1]ratio_ins!Z:Z,MATCH('001_population_health_zone_zs'!$B$2,[1]ratio_ins!$B:$B,0))*$G339*INDEX([1]ratio_ins!$C:$C,MATCH('001_population_health_zone_zs'!$B339,[1]ratio_ins!$B:$B,0))</f>
        <v>2125.4751700000002</v>
      </c>
      <c r="AC339" s="12">
        <f t="shared" si="30"/>
        <v>81749.044999999998</v>
      </c>
      <c r="AD339" s="10">
        <f>INDEX([1]ratio_ins!AA:AA,MATCH('001_population_health_zone_zs'!$B$2,[1]ratio_ins!$B:$B,0))*$G339*INDEX([1]ratio_ins!$D:$D,MATCH('001_population_health_zone_zs'!$B339,[1]ratio_ins!$B:$B,0))</f>
        <v>17796.650549999998</v>
      </c>
      <c r="AE339" s="10">
        <f>INDEX([1]ratio_ins!AB:AB,MATCH('001_population_health_zone_zs'!$B$2,[1]ratio_ins!$B:$B,0))*$G339*INDEX([1]ratio_ins!$D:$D,MATCH('001_population_health_zone_zs'!$B339,[1]ratio_ins!$B:$B,0))</f>
        <v>14661.050215000001</v>
      </c>
      <c r="AF339" s="10">
        <f>INDEX([1]ratio_ins!AC:AC,MATCH('001_population_health_zone_zs'!$B$2,[1]ratio_ins!$B:$B,0))*$G339*INDEX([1]ratio_ins!$D:$D,MATCH('001_population_health_zone_zs'!$B339,[1]ratio_ins!$B:$B,0))</f>
        <v>11610.195834999999</v>
      </c>
      <c r="AG339" s="10">
        <f>INDEX([1]ratio_ins!AD:AD,MATCH('001_population_health_zone_zs'!$B$2,[1]ratio_ins!$B:$B,0))*$G339*INDEX([1]ratio_ins!$D:$D,MATCH('001_population_health_zone_zs'!$B339,[1]ratio_ins!$B:$B,0))</f>
        <v>7033.9142650000003</v>
      </c>
      <c r="AH339" s="10">
        <f>INDEX([1]ratio_ins!AE:AE,MATCH('001_population_health_zone_zs'!$B$2,[1]ratio_ins!$B:$B,0))*$G339*INDEX([1]ratio_ins!$D:$D,MATCH('001_population_health_zone_zs'!$B339,[1]ratio_ins!$B:$B,0))</f>
        <v>4220.348559</v>
      </c>
      <c r="AI339" s="13">
        <f>INDEX([1]ratio_ins!AF:AF,MATCH('001_population_health_zone_zs'!$B$2,[1]ratio_ins!$B:$B,0))*$G339*INDEX([1]ratio_ins!$D:$D,MATCH('001_population_health_zone_zs'!$B339,[1]ratio_ins!$B:$B,0))</f>
        <v>48288.245158999998</v>
      </c>
      <c r="AJ339" s="10">
        <f>INDEX([1]ratio_ins!AG:AG,MATCH('001_population_health_zone_zs'!$B$2,[1]ratio_ins!$B:$B,0))*$G339*INDEX([1]ratio_ins!$D:$D,MATCH('001_population_health_zone_zs'!$B339,[1]ratio_ins!$B:$B,0))</f>
        <v>2813.5657059999999</v>
      </c>
      <c r="AK339" s="10">
        <f>INDEX([1]ratio_ins!AH:AH,MATCH('001_population_health_zone_zs'!$B$2,[1]ratio_ins!$B:$B,0))*$G339*INDEX([1]ratio_ins!$D:$D,MATCH('001_population_health_zone_zs'!$B339,[1]ratio_ins!$B:$B,0))</f>
        <v>6271.2006700000002</v>
      </c>
      <c r="AL339" s="10">
        <f>INDEX([1]ratio_ins!AI:AI,MATCH('001_population_health_zone_zs'!$B$2,[1]ratio_ins!$B:$B,0))*$G339*INDEX([1]ratio_ins!$D:$D,MATCH('001_population_health_zone_zs'!$B339,[1]ratio_ins!$B:$B,0))</f>
        <v>5932.2168500000007</v>
      </c>
      <c r="AM339" s="10">
        <f>INDEX([1]ratio_ins!AJ:AJ,MATCH('001_population_health_zone_zs'!$B$2,[1]ratio_ins!$B:$B,0))*$G339*INDEX([1]ratio_ins!$D:$D,MATCH('001_population_health_zone_zs'!$B339,[1]ratio_ins!$B:$B,0))</f>
        <v>5423.7411200000006</v>
      </c>
      <c r="AN339" s="10">
        <f>INDEX([1]ratio_ins!AK:AK,MATCH('001_population_health_zone_zs'!$B$2,[1]ratio_ins!$B:$B,0))*$G339*INDEX([1]ratio_ins!$D:$D,MATCH('001_population_health_zone_zs'!$B339,[1]ratio_ins!$B:$B,0))</f>
        <v>5084.7572999999993</v>
      </c>
      <c r="AO339" s="10">
        <f>INDEX([1]ratio_ins!AL:AL,MATCH('001_population_health_zone_zs'!$B$2,[1]ratio_ins!$B:$B,0))*$G339*INDEX([1]ratio_ins!$D:$D,MATCH('001_population_health_zone_zs'!$B339,[1]ratio_ins!$B:$B,0))</f>
        <v>3813.5679749999999</v>
      </c>
      <c r="AP339" s="10">
        <f>INDEX([1]ratio_ins!AM:AM,MATCH('001_population_health_zone_zs'!$B$2,[1]ratio_ins!$B:$B,0))*$G339*INDEX([1]ratio_ins!$D:$D,MATCH('001_population_health_zone_zs'!$B339,[1]ratio_ins!$B:$B,0))</f>
        <v>2457.6326949999998</v>
      </c>
      <c r="AQ339" s="10">
        <f>INDEX([1]ratio_ins!AN:AN,MATCH('001_population_health_zone_zs'!$B$2,[1]ratio_ins!$B:$B,0))*$G339*INDEX([1]ratio_ins!$D:$D,MATCH('001_population_health_zone_zs'!$B339,[1]ratio_ins!$B:$B,0))</f>
        <v>1949.1569649999999</v>
      </c>
      <c r="AR339" s="10">
        <f>INDEX([1]ratio_ins!AO:AO,MATCH('001_population_health_zone_zs'!$B$2,[1]ratio_ins!$B:$B,0))*$G339*INDEX([1]ratio_ins!$D:$D,MATCH('001_population_health_zone_zs'!$B339,[1]ratio_ins!$B:$B,0))</f>
        <v>932.20550500000013</v>
      </c>
      <c r="AS339" s="13">
        <f>INDEX([1]ratio_ins!AP:AP,MATCH('001_population_health_zone_zs'!$B$2,[1]ratio_ins!$B:$B,0))*$G339*INDEX([1]ratio_ins!$D:$D,MATCH('001_population_health_zone_zs'!$B339,[1]ratio_ins!$B:$B,0))</f>
        <v>34678.044785999999</v>
      </c>
      <c r="AT339" s="10">
        <f>INDEX([1]ratio_ins!AQ:AQ,MATCH('001_population_health_zone_zs'!$B$2,[1]ratio_ins!$B:$B,0))*$G339*INDEX([1]ratio_ins!$D:$D,MATCH('001_population_health_zone_zs'!$B339,[1]ratio_ins!$B:$B,0))</f>
        <v>847.45955000000004</v>
      </c>
      <c r="AU339" s="10">
        <f>INDEX([1]ratio_ins!AR:AR,MATCH('001_population_health_zone_zs'!$B$2,[1]ratio_ins!$B:$B,0))*$G339*INDEX([1]ratio_ins!$D:$D,MATCH('001_population_health_zone_zs'!$B339,[1]ratio_ins!$B:$B,0))</f>
        <v>508.47573</v>
      </c>
      <c r="AV339" s="10">
        <f>INDEX([1]ratio_ins!AS:AS,MATCH('001_population_health_zone_zs'!$B$2,[1]ratio_ins!$B:$B,0))*$G339*INDEX([1]ratio_ins!$D:$D,MATCH('001_population_health_zone_zs'!$B339,[1]ratio_ins!$B:$B,0))</f>
        <v>254.237865</v>
      </c>
      <c r="AW339" s="10">
        <f>INDEX([1]ratio_ins!AT:AT,MATCH('001_population_health_zone_zs'!$B$2,[1]ratio_ins!$B:$B,0))*$G339*INDEX([1]ratio_ins!$D:$D,MATCH('001_population_health_zone_zs'!$B339,[1]ratio_ins!$B:$B,0))</f>
        <v>169.49191000000002</v>
      </c>
      <c r="AX339" s="13">
        <f>INDEX([1]ratio_ins!AU:AU,MATCH('001_population_health_zone_zs'!$B$2,[1]ratio_ins!$B:$B,0))*$G339*INDEX([1]ratio_ins!$D:$D,MATCH('001_population_health_zone_zs'!$B339,[1]ratio_ins!$B:$B,0))</f>
        <v>1779.6650549999997</v>
      </c>
      <c r="AY339" s="14">
        <f t="shared" si="31"/>
        <v>84745.955000000002</v>
      </c>
      <c r="AZ339" s="15">
        <f t="shared" si="32"/>
        <v>166495</v>
      </c>
      <c r="BA339" s="16">
        <v>159875.92112011474</v>
      </c>
      <c r="BB339" s="10">
        <f t="shared" si="33"/>
        <v>36017.030874999997</v>
      </c>
      <c r="BC339" s="17">
        <f t="shared" si="34"/>
        <v>0.21632499999999999</v>
      </c>
      <c r="BD339" s="10">
        <f t="shared" si="35"/>
        <v>34089.351765000007</v>
      </c>
    </row>
    <row r="340" spans="1:56" x14ac:dyDescent="0.25">
      <c r="A340" s="8" t="s">
        <v>831</v>
      </c>
      <c r="B340" s="8" t="s">
        <v>832</v>
      </c>
      <c r="C340" s="8" t="s">
        <v>833</v>
      </c>
      <c r="D340" s="8" t="s">
        <v>834</v>
      </c>
      <c r="E340" s="8" t="s">
        <v>835</v>
      </c>
      <c r="F340" s="8" t="s">
        <v>836</v>
      </c>
      <c r="G340" s="9">
        <v>108631</v>
      </c>
      <c r="H340" s="10">
        <f>INDEX([1]ratio_ins!F:F,MATCH('001_population_health_zone_zs'!$B$2,[1]ratio_ins!$B:$B,0))*$G340*INDEX([1]ratio_ins!$C:$C,MATCH('001_population_health_zone_zs'!$B340,[1]ratio_ins!$B:$B,0))</f>
        <v>11034.085193999999</v>
      </c>
      <c r="I340" s="10">
        <f>INDEX([1]ratio_ins!G:G,MATCH('001_population_health_zone_zs'!$B$2,[1]ratio_ins!$B:$B,0))*$G340*INDEX([1]ratio_ins!$C:$C,MATCH('001_population_health_zone_zs'!$B340,[1]ratio_ins!$B:$B,0))</f>
        <v>9027.8878860000004</v>
      </c>
      <c r="J340" s="10">
        <f>INDEX([1]ratio_ins!H:H,MATCH('001_population_health_zone_zs'!$B$2,[1]ratio_ins!$B:$B,0))*$G340*INDEX([1]ratio_ins!$C:$C,MATCH('001_population_health_zone_zs'!$B340,[1]ratio_ins!$B:$B,0))</f>
        <v>7127.2799100000002</v>
      </c>
      <c r="K340" s="10">
        <f>INDEX([1]ratio_ins!I:I,MATCH('001_population_health_zone_zs'!$B$2,[1]ratio_ins!$B:$B,0))*$G340*INDEX([1]ratio_ins!$C:$C,MATCH('001_population_health_zone_zs'!$B340,[1]ratio_ins!$B:$B,0))</f>
        <v>4381.9572779999999</v>
      </c>
      <c r="L340" s="10">
        <f>INDEX([1]ratio_ins!J:J,MATCH('001_population_health_zone_zs'!$B$2,[1]ratio_ins!$B:$B,0))*$G340*INDEX([1]ratio_ins!$C:$C,MATCH('001_population_health_zone_zs'!$B340,[1]ratio_ins!$B:$B,0))</f>
        <v>2629.1743667999999</v>
      </c>
      <c r="M340" s="11">
        <f>INDEX([1]ratio_ins!K:K,MATCH('001_population_health_zone_zs'!$B$2,[1]ratio_ins!$B:$B,0))*$G340*INDEX([1]ratio_ins!$C:$C,MATCH('001_population_health_zone_zs'!$B340,[1]ratio_ins!$B:$B,0))</f>
        <v>29818.427356799995</v>
      </c>
      <c r="N340" s="10">
        <f>INDEX([1]ratio_ins!L:L,MATCH('001_population_health_zone_zs'!$B$2,[1]ratio_ins!$B:$B,0))*$G340*INDEX([1]ratio_ins!$C:$C,MATCH('001_population_health_zone_zs'!$B340,[1]ratio_ins!$B:$B,0))</f>
        <v>1752.7829111999999</v>
      </c>
      <c r="O340" s="10">
        <f>INDEX([1]ratio_ins!M:M,MATCH('001_population_health_zone_zs'!$B$2,[1]ratio_ins!$B:$B,0))*$G340*INDEX([1]ratio_ins!$C:$C,MATCH('001_population_health_zone_zs'!$B340,[1]ratio_ins!$B:$B,0))</f>
        <v>3801.215952</v>
      </c>
      <c r="P340" s="10">
        <f>INDEX([1]ratio_ins!N:N,MATCH('001_population_health_zone_zs'!$B$2,[1]ratio_ins!$B:$B,0))*$G340*INDEX([1]ratio_ins!$C:$C,MATCH('001_population_health_zone_zs'!$B340,[1]ratio_ins!$B:$B,0))</f>
        <v>3431.6532900000002</v>
      </c>
      <c r="Q340" s="10">
        <f>INDEX([1]ratio_ins!O:O,MATCH('001_population_health_zone_zs'!$B$2,[1]ratio_ins!$B:$B,0))*$G340*INDEX([1]ratio_ins!$C:$C,MATCH('001_population_health_zone_zs'!$B340,[1]ratio_ins!$B:$B,0))</f>
        <v>3062.0906279999999</v>
      </c>
      <c r="R340" s="10">
        <f>INDEX([1]ratio_ins!P:P,MATCH('001_population_health_zone_zs'!$B$2,[1]ratio_ins!$B:$B,0))*$G340*INDEX([1]ratio_ins!$C:$C,MATCH('001_population_health_zone_zs'!$B340,[1]ratio_ins!$B:$B,0))</f>
        <v>3009.2959620000001</v>
      </c>
      <c r="S340" s="10">
        <f>INDEX([1]ratio_ins!Q:Q,MATCH('001_population_health_zone_zs'!$B$2,[1]ratio_ins!$B:$B,0))*$G340*INDEX([1]ratio_ins!$C:$C,MATCH('001_population_health_zone_zs'!$B340,[1]ratio_ins!$B:$B,0))</f>
        <v>2534.1439680000003</v>
      </c>
      <c r="T340" s="10">
        <f>INDEX([1]ratio_ins!R:R,MATCH('001_population_health_zone_zs'!$B$2,[1]ratio_ins!$B:$B,0))*$G340*INDEX([1]ratio_ins!$C:$C,MATCH('001_population_health_zone_zs'!$B340,[1]ratio_ins!$B:$B,0))</f>
        <v>1795.018644</v>
      </c>
      <c r="U340" s="10">
        <f>INDEX([1]ratio_ins!S:S,MATCH('001_population_health_zone_zs'!$B$2,[1]ratio_ins!$B:$B,0))*$G340*INDEX([1]ratio_ins!$C:$C,MATCH('001_population_health_zone_zs'!$B340,[1]ratio_ins!$B:$B,0))</f>
        <v>1425.4559820000002</v>
      </c>
      <c r="V340" s="10">
        <f>INDEX([1]ratio_ins!T:T,MATCH('001_population_health_zone_zs'!$B$2,[1]ratio_ins!$B:$B,0))*$G340*INDEX([1]ratio_ins!$C:$C,MATCH('001_population_health_zone_zs'!$B340,[1]ratio_ins!$B:$B,0))</f>
        <v>791.91998999999998</v>
      </c>
      <c r="W340" s="11">
        <f>INDEX([1]ratio_ins!U:U,MATCH('001_population_health_zone_zs'!$B$2,[1]ratio_ins!$B:$B,0))*$G340*INDEX([1]ratio_ins!$C:$C,MATCH('001_population_health_zone_zs'!$B340,[1]ratio_ins!$B:$B,0))</f>
        <v>21603.577327200001</v>
      </c>
      <c r="X340" s="10">
        <f>INDEX([1]ratio_ins!V:V,MATCH('001_population_health_zone_zs'!$B$2,[1]ratio_ins!$B:$B,0))*$G340*INDEX([1]ratio_ins!$C:$C,MATCH('001_population_health_zone_zs'!$B340,[1]ratio_ins!$B:$B,0))</f>
        <v>633.53599200000008</v>
      </c>
      <c r="Y340" s="10">
        <f>INDEX([1]ratio_ins!W:W,MATCH('001_population_health_zone_zs'!$B$2,[1]ratio_ins!$B:$B,0))*$G340*INDEX([1]ratio_ins!$C:$C,MATCH('001_population_health_zone_zs'!$B340,[1]ratio_ins!$B:$B,0))</f>
        <v>422.357328</v>
      </c>
      <c r="Z340" s="10">
        <f>INDEX([1]ratio_ins!X:X,MATCH('001_population_health_zone_zs'!$B$2,[1]ratio_ins!$B:$B,0))*$G340*INDEX([1]ratio_ins!$C:$C,MATCH('001_population_health_zone_zs'!$B340,[1]ratio_ins!$B:$B,0))</f>
        <v>211.178664</v>
      </c>
      <c r="AA340" s="10">
        <f>INDEX([1]ratio_ins!Y:Y,MATCH('001_population_health_zone_zs'!$B$2,[1]ratio_ins!$B:$B,0))*$G340*INDEX([1]ratio_ins!$C:$C,MATCH('001_population_health_zone_zs'!$B340,[1]ratio_ins!$B:$B,0))</f>
        <v>105.589332</v>
      </c>
      <c r="AB340" s="11">
        <f>INDEX([1]ratio_ins!Z:Z,MATCH('001_population_health_zone_zs'!$B$2,[1]ratio_ins!$B:$B,0))*$G340*INDEX([1]ratio_ins!$C:$C,MATCH('001_population_health_zone_zs'!$B340,[1]ratio_ins!$B:$B,0))</f>
        <v>1372.6613160000002</v>
      </c>
      <c r="AC340" s="12">
        <f t="shared" si="30"/>
        <v>52794.665999999997</v>
      </c>
      <c r="AD340" s="10">
        <f>INDEX([1]ratio_ins!AA:AA,MATCH('001_population_health_zone_zs'!$B$2,[1]ratio_ins!$B:$B,0))*$G340*INDEX([1]ratio_ins!$D:$D,MATCH('001_population_health_zone_zs'!$B340,[1]ratio_ins!$B:$B,0))</f>
        <v>11725.630139999999</v>
      </c>
      <c r="AE340" s="10">
        <f>INDEX([1]ratio_ins!AB:AB,MATCH('001_population_health_zone_zs'!$B$2,[1]ratio_ins!$B:$B,0))*$G340*INDEX([1]ratio_ins!$D:$D,MATCH('001_population_health_zone_zs'!$B340,[1]ratio_ins!$B:$B,0))</f>
        <v>9659.6857820000005</v>
      </c>
      <c r="AF340" s="10">
        <f>INDEX([1]ratio_ins!AC:AC,MATCH('001_population_health_zone_zs'!$B$2,[1]ratio_ins!$B:$B,0))*$G340*INDEX([1]ratio_ins!$D:$D,MATCH('001_population_health_zone_zs'!$B340,[1]ratio_ins!$B:$B,0))</f>
        <v>7649.5777579999994</v>
      </c>
      <c r="AG340" s="10">
        <f>INDEX([1]ratio_ins!AD:AD,MATCH('001_population_health_zone_zs'!$B$2,[1]ratio_ins!$B:$B,0))*$G340*INDEX([1]ratio_ins!$D:$D,MATCH('001_population_health_zone_zs'!$B340,[1]ratio_ins!$B:$B,0))</f>
        <v>4634.4157219999997</v>
      </c>
      <c r="AH340" s="10">
        <f>INDEX([1]ratio_ins!AE:AE,MATCH('001_population_health_zone_zs'!$B$2,[1]ratio_ins!$B:$B,0))*$G340*INDEX([1]ratio_ins!$D:$D,MATCH('001_population_health_zone_zs'!$B340,[1]ratio_ins!$B:$B,0))</f>
        <v>2780.6494332000002</v>
      </c>
      <c r="AI340" s="13">
        <f>INDEX([1]ratio_ins!AF:AF,MATCH('001_population_health_zone_zs'!$B$2,[1]ratio_ins!$B:$B,0))*$G340*INDEX([1]ratio_ins!$D:$D,MATCH('001_population_health_zone_zs'!$B340,[1]ratio_ins!$B:$B,0))</f>
        <v>31815.543113199998</v>
      </c>
      <c r="AJ340" s="10">
        <f>INDEX([1]ratio_ins!AG:AG,MATCH('001_population_health_zone_zs'!$B$2,[1]ratio_ins!$B:$B,0))*$G340*INDEX([1]ratio_ins!$D:$D,MATCH('001_population_health_zone_zs'!$B340,[1]ratio_ins!$B:$B,0))</f>
        <v>1853.7662888</v>
      </c>
      <c r="AK340" s="10">
        <f>INDEX([1]ratio_ins!AH:AH,MATCH('001_population_health_zone_zs'!$B$2,[1]ratio_ins!$B:$B,0))*$G340*INDEX([1]ratio_ins!$D:$D,MATCH('001_population_health_zone_zs'!$B340,[1]ratio_ins!$B:$B,0))</f>
        <v>4131.8887160000004</v>
      </c>
      <c r="AL340" s="10">
        <f>INDEX([1]ratio_ins!AI:AI,MATCH('001_population_health_zone_zs'!$B$2,[1]ratio_ins!$B:$B,0))*$G340*INDEX([1]ratio_ins!$D:$D,MATCH('001_population_health_zone_zs'!$B340,[1]ratio_ins!$B:$B,0))</f>
        <v>3908.5433800000005</v>
      </c>
      <c r="AM340" s="10">
        <f>INDEX([1]ratio_ins!AJ:AJ,MATCH('001_population_health_zone_zs'!$B$2,[1]ratio_ins!$B:$B,0))*$G340*INDEX([1]ratio_ins!$D:$D,MATCH('001_population_health_zone_zs'!$B340,[1]ratio_ins!$B:$B,0))</f>
        <v>3573.5253760000001</v>
      </c>
      <c r="AN340" s="10">
        <f>INDEX([1]ratio_ins!AK:AK,MATCH('001_population_health_zone_zs'!$B$2,[1]ratio_ins!$B:$B,0))*$G340*INDEX([1]ratio_ins!$D:$D,MATCH('001_population_health_zone_zs'!$B340,[1]ratio_ins!$B:$B,0))</f>
        <v>3350.1800399999997</v>
      </c>
      <c r="AO340" s="10">
        <f>INDEX([1]ratio_ins!AL:AL,MATCH('001_population_health_zone_zs'!$B$2,[1]ratio_ins!$B:$B,0))*$G340*INDEX([1]ratio_ins!$D:$D,MATCH('001_population_health_zone_zs'!$B340,[1]ratio_ins!$B:$B,0))</f>
        <v>2512.6350299999999</v>
      </c>
      <c r="AP340" s="10">
        <f>INDEX([1]ratio_ins!AM:AM,MATCH('001_population_health_zone_zs'!$B$2,[1]ratio_ins!$B:$B,0))*$G340*INDEX([1]ratio_ins!$D:$D,MATCH('001_population_health_zone_zs'!$B340,[1]ratio_ins!$B:$B,0))</f>
        <v>1619.253686</v>
      </c>
      <c r="AQ340" s="10">
        <f>INDEX([1]ratio_ins!AN:AN,MATCH('001_population_health_zone_zs'!$B$2,[1]ratio_ins!$B:$B,0))*$G340*INDEX([1]ratio_ins!$D:$D,MATCH('001_population_health_zone_zs'!$B340,[1]ratio_ins!$B:$B,0))</f>
        <v>1284.235682</v>
      </c>
      <c r="AR340" s="10">
        <f>INDEX([1]ratio_ins!AO:AO,MATCH('001_population_health_zone_zs'!$B$2,[1]ratio_ins!$B:$B,0))*$G340*INDEX([1]ratio_ins!$D:$D,MATCH('001_population_health_zone_zs'!$B340,[1]ratio_ins!$B:$B,0))</f>
        <v>614.19967400000007</v>
      </c>
      <c r="AS340" s="13">
        <f>INDEX([1]ratio_ins!AP:AP,MATCH('001_population_health_zone_zs'!$B$2,[1]ratio_ins!$B:$B,0))*$G340*INDEX([1]ratio_ins!$D:$D,MATCH('001_population_health_zone_zs'!$B340,[1]ratio_ins!$B:$B,0))</f>
        <v>22848.227872800002</v>
      </c>
      <c r="AT340" s="10">
        <f>INDEX([1]ratio_ins!AQ:AQ,MATCH('001_population_health_zone_zs'!$B$2,[1]ratio_ins!$B:$B,0))*$G340*INDEX([1]ratio_ins!$D:$D,MATCH('001_population_health_zone_zs'!$B340,[1]ratio_ins!$B:$B,0))</f>
        <v>558.36333999999999</v>
      </c>
      <c r="AU340" s="10">
        <f>INDEX([1]ratio_ins!AR:AR,MATCH('001_population_health_zone_zs'!$B$2,[1]ratio_ins!$B:$B,0))*$G340*INDEX([1]ratio_ins!$D:$D,MATCH('001_population_health_zone_zs'!$B340,[1]ratio_ins!$B:$B,0))</f>
        <v>335.01800400000002</v>
      </c>
      <c r="AV340" s="10">
        <f>INDEX([1]ratio_ins!AS:AS,MATCH('001_population_health_zone_zs'!$B$2,[1]ratio_ins!$B:$B,0))*$G340*INDEX([1]ratio_ins!$D:$D,MATCH('001_population_health_zone_zs'!$B340,[1]ratio_ins!$B:$B,0))</f>
        <v>167.50900200000001</v>
      </c>
      <c r="AW340" s="10">
        <f>INDEX([1]ratio_ins!AT:AT,MATCH('001_population_health_zone_zs'!$B$2,[1]ratio_ins!$B:$B,0))*$G340*INDEX([1]ratio_ins!$D:$D,MATCH('001_population_health_zone_zs'!$B340,[1]ratio_ins!$B:$B,0))</f>
        <v>111.672668</v>
      </c>
      <c r="AX340" s="13">
        <f>INDEX([1]ratio_ins!AU:AU,MATCH('001_population_health_zone_zs'!$B$2,[1]ratio_ins!$B:$B,0))*$G340*INDEX([1]ratio_ins!$D:$D,MATCH('001_population_health_zone_zs'!$B340,[1]ratio_ins!$B:$B,0))</f>
        <v>1172.5630139999998</v>
      </c>
      <c r="AY340" s="14">
        <f t="shared" si="31"/>
        <v>55836.334000000003</v>
      </c>
      <c r="AZ340" s="15">
        <f t="shared" si="32"/>
        <v>108631</v>
      </c>
      <c r="BA340" s="16">
        <v>104332.95912061571</v>
      </c>
      <c r="BB340" s="10">
        <f t="shared" si="33"/>
        <v>23730.44195</v>
      </c>
      <c r="BC340" s="17">
        <f t="shared" si="34"/>
        <v>0.21845000000000001</v>
      </c>
      <c r="BD340" s="10">
        <f t="shared" si="35"/>
        <v>22015.375722000001</v>
      </c>
    </row>
    <row r="341" spans="1:56" x14ac:dyDescent="0.25">
      <c r="A341" s="8" t="s">
        <v>831</v>
      </c>
      <c r="B341" s="8" t="s">
        <v>832</v>
      </c>
      <c r="C341" s="8" t="s">
        <v>833</v>
      </c>
      <c r="D341" s="8" t="s">
        <v>834</v>
      </c>
      <c r="E341" s="8" t="s">
        <v>833</v>
      </c>
      <c r="F341" s="8" t="s">
        <v>837</v>
      </c>
      <c r="G341" s="9">
        <v>248080</v>
      </c>
      <c r="H341" s="10">
        <f>INDEX([1]ratio_ins!F:F,MATCH('001_population_health_zone_zs'!$B$2,[1]ratio_ins!$B:$B,0))*$G341*INDEX([1]ratio_ins!$C:$C,MATCH('001_population_health_zone_zs'!$B341,[1]ratio_ins!$B:$B,0))</f>
        <v>25198.477920000001</v>
      </c>
      <c r="I341" s="10">
        <f>INDEX([1]ratio_ins!G:G,MATCH('001_population_health_zone_zs'!$B$2,[1]ratio_ins!$B:$B,0))*$G341*INDEX([1]ratio_ins!$C:$C,MATCH('001_population_health_zone_zs'!$B341,[1]ratio_ins!$B:$B,0))</f>
        <v>20616.93648</v>
      </c>
      <c r="J341" s="10">
        <f>INDEX([1]ratio_ins!H:H,MATCH('001_population_health_zone_zs'!$B$2,[1]ratio_ins!$B:$B,0))*$G341*INDEX([1]ratio_ins!$C:$C,MATCH('001_population_health_zone_zs'!$B341,[1]ratio_ins!$B:$B,0))</f>
        <v>16276.528800000002</v>
      </c>
      <c r="K341" s="10">
        <f>INDEX([1]ratio_ins!I:I,MATCH('001_population_health_zone_zs'!$B$2,[1]ratio_ins!$B:$B,0))*$G341*INDEX([1]ratio_ins!$C:$C,MATCH('001_population_health_zone_zs'!$B341,[1]ratio_ins!$B:$B,0))</f>
        <v>10007.05104</v>
      </c>
      <c r="L341" s="10">
        <f>INDEX([1]ratio_ins!J:J,MATCH('001_population_health_zone_zs'!$B$2,[1]ratio_ins!$B:$B,0))*$G341*INDEX([1]ratio_ins!$C:$C,MATCH('001_population_health_zone_zs'!$B341,[1]ratio_ins!$B:$B,0))</f>
        <v>6004.2306239999998</v>
      </c>
      <c r="M341" s="11">
        <f>INDEX([1]ratio_ins!K:K,MATCH('001_population_health_zone_zs'!$B$2,[1]ratio_ins!$B:$B,0))*$G341*INDEX([1]ratio_ins!$C:$C,MATCH('001_population_health_zone_zs'!$B341,[1]ratio_ins!$B:$B,0))</f>
        <v>68096.173823999998</v>
      </c>
      <c r="N341" s="10">
        <f>INDEX([1]ratio_ins!L:L,MATCH('001_population_health_zone_zs'!$B$2,[1]ratio_ins!$B:$B,0))*$G341*INDEX([1]ratio_ins!$C:$C,MATCH('001_population_health_zone_zs'!$B341,[1]ratio_ins!$B:$B,0))</f>
        <v>4002.8204159999996</v>
      </c>
      <c r="O341" s="10">
        <f>INDEX([1]ratio_ins!M:M,MATCH('001_population_health_zone_zs'!$B$2,[1]ratio_ins!$B:$B,0))*$G341*INDEX([1]ratio_ins!$C:$C,MATCH('001_population_health_zone_zs'!$B341,[1]ratio_ins!$B:$B,0))</f>
        <v>8680.8153600000005</v>
      </c>
      <c r="P341" s="10">
        <f>INDEX([1]ratio_ins!N:N,MATCH('001_population_health_zone_zs'!$B$2,[1]ratio_ins!$B:$B,0))*$G341*INDEX([1]ratio_ins!$C:$C,MATCH('001_population_health_zone_zs'!$B341,[1]ratio_ins!$B:$B,0))</f>
        <v>7836.8472000000002</v>
      </c>
      <c r="Q341" s="10">
        <f>INDEX([1]ratio_ins!O:O,MATCH('001_population_health_zone_zs'!$B$2,[1]ratio_ins!$B:$B,0))*$G341*INDEX([1]ratio_ins!$C:$C,MATCH('001_population_health_zone_zs'!$B341,[1]ratio_ins!$B:$B,0))</f>
        <v>6992.8790399999998</v>
      </c>
      <c r="R341" s="10">
        <f>INDEX([1]ratio_ins!P:P,MATCH('001_population_health_zone_zs'!$B$2,[1]ratio_ins!$B:$B,0))*$G341*INDEX([1]ratio_ins!$C:$C,MATCH('001_population_health_zone_zs'!$B341,[1]ratio_ins!$B:$B,0))</f>
        <v>6872.3121600000004</v>
      </c>
      <c r="S341" s="10">
        <f>INDEX([1]ratio_ins!Q:Q,MATCH('001_population_health_zone_zs'!$B$2,[1]ratio_ins!$B:$B,0))*$G341*INDEX([1]ratio_ins!$C:$C,MATCH('001_population_health_zone_zs'!$B341,[1]ratio_ins!$B:$B,0))</f>
        <v>5787.2102400000003</v>
      </c>
      <c r="T341" s="10">
        <f>INDEX([1]ratio_ins!R:R,MATCH('001_population_health_zone_zs'!$B$2,[1]ratio_ins!$B:$B,0))*$G341*INDEX([1]ratio_ins!$C:$C,MATCH('001_population_health_zone_zs'!$B341,[1]ratio_ins!$B:$B,0))</f>
        <v>4099.2739200000005</v>
      </c>
      <c r="U341" s="10">
        <f>INDEX([1]ratio_ins!S:S,MATCH('001_population_health_zone_zs'!$B$2,[1]ratio_ins!$B:$B,0))*$G341*INDEX([1]ratio_ins!$C:$C,MATCH('001_population_health_zone_zs'!$B341,[1]ratio_ins!$B:$B,0))</f>
        <v>3255.3057600000002</v>
      </c>
      <c r="V341" s="10">
        <f>INDEX([1]ratio_ins!T:T,MATCH('001_population_health_zone_zs'!$B$2,[1]ratio_ins!$B:$B,0))*$G341*INDEX([1]ratio_ins!$C:$C,MATCH('001_population_health_zone_zs'!$B341,[1]ratio_ins!$B:$B,0))</f>
        <v>1808.5031999999999</v>
      </c>
      <c r="W341" s="11">
        <f>INDEX([1]ratio_ins!U:U,MATCH('001_population_health_zone_zs'!$B$2,[1]ratio_ins!$B:$B,0))*$G341*INDEX([1]ratio_ins!$C:$C,MATCH('001_population_health_zone_zs'!$B341,[1]ratio_ins!$B:$B,0))</f>
        <v>49335.967295999995</v>
      </c>
      <c r="X341" s="10">
        <f>INDEX([1]ratio_ins!V:V,MATCH('001_population_health_zone_zs'!$B$2,[1]ratio_ins!$B:$B,0))*$G341*INDEX([1]ratio_ins!$C:$C,MATCH('001_population_health_zone_zs'!$B341,[1]ratio_ins!$B:$B,0))</f>
        <v>1446.8025600000001</v>
      </c>
      <c r="Y341" s="10">
        <f>INDEX([1]ratio_ins!W:W,MATCH('001_population_health_zone_zs'!$B$2,[1]ratio_ins!$B:$B,0))*$G341*INDEX([1]ratio_ins!$C:$C,MATCH('001_population_health_zone_zs'!$B341,[1]ratio_ins!$B:$B,0))</f>
        <v>964.53503999999998</v>
      </c>
      <c r="Z341" s="10">
        <f>INDEX([1]ratio_ins!X:X,MATCH('001_population_health_zone_zs'!$B$2,[1]ratio_ins!$B:$B,0))*$G341*INDEX([1]ratio_ins!$C:$C,MATCH('001_population_health_zone_zs'!$B341,[1]ratio_ins!$B:$B,0))</f>
        <v>482.26751999999999</v>
      </c>
      <c r="AA341" s="10">
        <f>INDEX([1]ratio_ins!Y:Y,MATCH('001_population_health_zone_zs'!$B$2,[1]ratio_ins!$B:$B,0))*$G341*INDEX([1]ratio_ins!$C:$C,MATCH('001_population_health_zone_zs'!$B341,[1]ratio_ins!$B:$B,0))</f>
        <v>241.13376</v>
      </c>
      <c r="AB341" s="11">
        <f>INDEX([1]ratio_ins!Z:Z,MATCH('001_population_health_zone_zs'!$B$2,[1]ratio_ins!$B:$B,0))*$G341*INDEX([1]ratio_ins!$C:$C,MATCH('001_population_health_zone_zs'!$B341,[1]ratio_ins!$B:$B,0))</f>
        <v>3134.7388800000003</v>
      </c>
      <c r="AC341" s="12">
        <f t="shared" si="30"/>
        <v>120566.87999999999</v>
      </c>
      <c r="AD341" s="10">
        <f>INDEX([1]ratio_ins!AA:AA,MATCH('001_population_health_zone_zs'!$B$2,[1]ratio_ins!$B:$B,0))*$G341*INDEX([1]ratio_ins!$D:$D,MATCH('001_population_health_zone_zs'!$B341,[1]ratio_ins!$B:$B,0))</f>
        <v>26777.7552</v>
      </c>
      <c r="AE341" s="10">
        <f>INDEX([1]ratio_ins!AB:AB,MATCH('001_population_health_zone_zs'!$B$2,[1]ratio_ins!$B:$B,0))*$G341*INDEX([1]ratio_ins!$D:$D,MATCH('001_population_health_zone_zs'!$B341,[1]ratio_ins!$B:$B,0))</f>
        <v>22059.769760000003</v>
      </c>
      <c r="AF341" s="10">
        <f>INDEX([1]ratio_ins!AC:AC,MATCH('001_population_health_zone_zs'!$B$2,[1]ratio_ins!$B:$B,0))*$G341*INDEX([1]ratio_ins!$D:$D,MATCH('001_population_health_zone_zs'!$B341,[1]ratio_ins!$B:$B,0))</f>
        <v>17469.297439999998</v>
      </c>
      <c r="AG341" s="10">
        <f>INDEX([1]ratio_ins!AD:AD,MATCH('001_population_health_zone_zs'!$B$2,[1]ratio_ins!$B:$B,0))*$G341*INDEX([1]ratio_ins!$D:$D,MATCH('001_population_health_zone_zs'!$B341,[1]ratio_ins!$B:$B,0))</f>
        <v>10583.588959999999</v>
      </c>
      <c r="AH341" s="10">
        <f>INDEX([1]ratio_ins!AE:AE,MATCH('001_population_health_zone_zs'!$B$2,[1]ratio_ins!$B:$B,0))*$G341*INDEX([1]ratio_ins!$D:$D,MATCH('001_population_health_zone_zs'!$B341,[1]ratio_ins!$B:$B,0))</f>
        <v>6350.1533760000002</v>
      </c>
      <c r="AI341" s="13">
        <f>INDEX([1]ratio_ins!AF:AF,MATCH('001_population_health_zone_zs'!$B$2,[1]ratio_ins!$B:$B,0))*$G341*INDEX([1]ratio_ins!$D:$D,MATCH('001_population_health_zone_zs'!$B341,[1]ratio_ins!$B:$B,0))</f>
        <v>72656.975776000007</v>
      </c>
      <c r="AJ341" s="10">
        <f>INDEX([1]ratio_ins!AG:AG,MATCH('001_population_health_zone_zs'!$B$2,[1]ratio_ins!$B:$B,0))*$G341*INDEX([1]ratio_ins!$D:$D,MATCH('001_population_health_zone_zs'!$B341,[1]ratio_ins!$B:$B,0))</f>
        <v>4233.4355839999998</v>
      </c>
      <c r="AK341" s="10">
        <f>INDEX([1]ratio_ins!AH:AH,MATCH('001_population_health_zone_zs'!$B$2,[1]ratio_ins!$B:$B,0))*$G341*INDEX([1]ratio_ins!$D:$D,MATCH('001_population_health_zone_zs'!$B341,[1]ratio_ins!$B:$B,0))</f>
        <v>9435.9708800000008</v>
      </c>
      <c r="AL341" s="10">
        <f>INDEX([1]ratio_ins!AI:AI,MATCH('001_population_health_zone_zs'!$B$2,[1]ratio_ins!$B:$B,0))*$G341*INDEX([1]ratio_ins!$D:$D,MATCH('001_population_health_zone_zs'!$B341,[1]ratio_ins!$B:$B,0))</f>
        <v>8925.9184000000005</v>
      </c>
      <c r="AM341" s="10">
        <f>INDEX([1]ratio_ins!AJ:AJ,MATCH('001_population_health_zone_zs'!$B$2,[1]ratio_ins!$B:$B,0))*$G341*INDEX([1]ratio_ins!$D:$D,MATCH('001_population_health_zone_zs'!$B341,[1]ratio_ins!$B:$B,0))</f>
        <v>8160.839680000001</v>
      </c>
      <c r="AN341" s="10">
        <f>INDEX([1]ratio_ins!AK:AK,MATCH('001_population_health_zone_zs'!$B$2,[1]ratio_ins!$B:$B,0))*$G341*INDEX([1]ratio_ins!$D:$D,MATCH('001_population_health_zone_zs'!$B341,[1]ratio_ins!$B:$B,0))</f>
        <v>7650.7871999999998</v>
      </c>
      <c r="AO341" s="10">
        <f>INDEX([1]ratio_ins!AL:AL,MATCH('001_population_health_zone_zs'!$B$2,[1]ratio_ins!$B:$B,0))*$G341*INDEX([1]ratio_ins!$D:$D,MATCH('001_population_health_zone_zs'!$B341,[1]ratio_ins!$B:$B,0))</f>
        <v>5738.0904</v>
      </c>
      <c r="AP341" s="10">
        <f>INDEX([1]ratio_ins!AM:AM,MATCH('001_population_health_zone_zs'!$B$2,[1]ratio_ins!$B:$B,0))*$G341*INDEX([1]ratio_ins!$D:$D,MATCH('001_population_health_zone_zs'!$B341,[1]ratio_ins!$B:$B,0))</f>
        <v>3697.8804799999998</v>
      </c>
      <c r="AQ341" s="10">
        <f>INDEX([1]ratio_ins!AN:AN,MATCH('001_population_health_zone_zs'!$B$2,[1]ratio_ins!$B:$B,0))*$G341*INDEX([1]ratio_ins!$D:$D,MATCH('001_population_health_zone_zs'!$B341,[1]ratio_ins!$B:$B,0))</f>
        <v>2932.8017600000003</v>
      </c>
      <c r="AR341" s="10">
        <f>INDEX([1]ratio_ins!AO:AO,MATCH('001_population_health_zone_zs'!$B$2,[1]ratio_ins!$B:$B,0))*$G341*INDEX([1]ratio_ins!$D:$D,MATCH('001_population_health_zone_zs'!$B341,[1]ratio_ins!$B:$B,0))</f>
        <v>1402.6443200000001</v>
      </c>
      <c r="AS341" s="13">
        <f>INDEX([1]ratio_ins!AP:AP,MATCH('001_population_health_zone_zs'!$B$2,[1]ratio_ins!$B:$B,0))*$G341*INDEX([1]ratio_ins!$D:$D,MATCH('001_population_health_zone_zs'!$B341,[1]ratio_ins!$B:$B,0))</f>
        <v>52178.368704</v>
      </c>
      <c r="AT341" s="10">
        <f>INDEX([1]ratio_ins!AQ:AQ,MATCH('001_population_health_zone_zs'!$B$2,[1]ratio_ins!$B:$B,0))*$G341*INDEX([1]ratio_ins!$D:$D,MATCH('001_population_health_zone_zs'!$B341,[1]ratio_ins!$B:$B,0))</f>
        <v>1275.1312</v>
      </c>
      <c r="AU341" s="10">
        <f>INDEX([1]ratio_ins!AR:AR,MATCH('001_population_health_zone_zs'!$B$2,[1]ratio_ins!$B:$B,0))*$G341*INDEX([1]ratio_ins!$D:$D,MATCH('001_population_health_zone_zs'!$B341,[1]ratio_ins!$B:$B,0))</f>
        <v>765.07871999999998</v>
      </c>
      <c r="AV341" s="10">
        <f>INDEX([1]ratio_ins!AS:AS,MATCH('001_population_health_zone_zs'!$B$2,[1]ratio_ins!$B:$B,0))*$G341*INDEX([1]ratio_ins!$D:$D,MATCH('001_population_health_zone_zs'!$B341,[1]ratio_ins!$B:$B,0))</f>
        <v>382.53935999999999</v>
      </c>
      <c r="AW341" s="10">
        <f>INDEX([1]ratio_ins!AT:AT,MATCH('001_population_health_zone_zs'!$B$2,[1]ratio_ins!$B:$B,0))*$G341*INDEX([1]ratio_ins!$D:$D,MATCH('001_population_health_zone_zs'!$B341,[1]ratio_ins!$B:$B,0))</f>
        <v>255.02624000000003</v>
      </c>
      <c r="AX341" s="13">
        <f>INDEX([1]ratio_ins!AU:AU,MATCH('001_population_health_zone_zs'!$B$2,[1]ratio_ins!$B:$B,0))*$G341*INDEX([1]ratio_ins!$D:$D,MATCH('001_population_health_zone_zs'!$B341,[1]ratio_ins!$B:$B,0))</f>
        <v>2677.7755199999997</v>
      </c>
      <c r="AY341" s="14">
        <f t="shared" si="31"/>
        <v>127513.12</v>
      </c>
      <c r="AZ341" s="15">
        <f t="shared" si="32"/>
        <v>248080</v>
      </c>
      <c r="BA341" s="16">
        <v>238265.48550431273</v>
      </c>
      <c r="BB341" s="10">
        <f t="shared" si="33"/>
        <v>54193.076000000001</v>
      </c>
      <c r="BC341" s="17">
        <f t="shared" si="34"/>
        <v>0.21845000000000001</v>
      </c>
      <c r="BD341" s="10">
        <f t="shared" si="35"/>
        <v>50276.388960000004</v>
      </c>
    </row>
    <row r="342" spans="1:56" x14ac:dyDescent="0.25">
      <c r="A342" s="8" t="s">
        <v>831</v>
      </c>
      <c r="B342" s="8" t="s">
        <v>832</v>
      </c>
      <c r="C342" s="8" t="s">
        <v>838</v>
      </c>
      <c r="D342" s="8" t="s">
        <v>839</v>
      </c>
      <c r="E342" s="8" t="s">
        <v>838</v>
      </c>
      <c r="F342" s="8" t="s">
        <v>840</v>
      </c>
      <c r="G342" s="9">
        <v>193986</v>
      </c>
      <c r="H342" s="10">
        <f>INDEX([1]ratio_ins!F:F,MATCH('001_population_health_zone_zs'!$B$2,[1]ratio_ins!$B:$B,0))*$G342*INDEX([1]ratio_ins!$C:$C,MATCH('001_population_health_zone_zs'!$B342,[1]ratio_ins!$B:$B,0))</f>
        <v>19703.933964</v>
      </c>
      <c r="I342" s="10">
        <f>INDEX([1]ratio_ins!G:G,MATCH('001_population_health_zone_zs'!$B$2,[1]ratio_ins!$B:$B,0))*$G342*INDEX([1]ratio_ins!$C:$C,MATCH('001_population_health_zone_zs'!$B342,[1]ratio_ins!$B:$B,0))</f>
        <v>16121.400516</v>
      </c>
      <c r="J342" s="10">
        <f>INDEX([1]ratio_ins!H:H,MATCH('001_population_health_zone_zs'!$B$2,[1]ratio_ins!$B:$B,0))*$G342*INDEX([1]ratio_ins!$C:$C,MATCH('001_population_health_zone_zs'!$B342,[1]ratio_ins!$B:$B,0))</f>
        <v>12727.42146</v>
      </c>
      <c r="K342" s="10">
        <f>INDEX([1]ratio_ins!I:I,MATCH('001_population_health_zone_zs'!$B$2,[1]ratio_ins!$B:$B,0))*$G342*INDEX([1]ratio_ins!$C:$C,MATCH('001_population_health_zone_zs'!$B342,[1]ratio_ins!$B:$B,0))</f>
        <v>7825.0072680000003</v>
      </c>
      <c r="L342" s="10">
        <f>INDEX([1]ratio_ins!J:J,MATCH('001_population_health_zone_zs'!$B$2,[1]ratio_ins!$B:$B,0))*$G342*INDEX([1]ratio_ins!$C:$C,MATCH('001_population_health_zone_zs'!$B342,[1]ratio_ins!$B:$B,0))</f>
        <v>4695.0043607999996</v>
      </c>
      <c r="M342" s="11">
        <f>INDEX([1]ratio_ins!K:K,MATCH('001_population_health_zone_zs'!$B$2,[1]ratio_ins!$B:$B,0))*$G342*INDEX([1]ratio_ins!$C:$C,MATCH('001_population_health_zone_zs'!$B342,[1]ratio_ins!$B:$B,0))</f>
        <v>53247.760300799993</v>
      </c>
      <c r="N342" s="10">
        <f>INDEX([1]ratio_ins!L:L,MATCH('001_population_health_zone_zs'!$B$2,[1]ratio_ins!$B:$B,0))*$G342*INDEX([1]ratio_ins!$C:$C,MATCH('001_population_health_zone_zs'!$B342,[1]ratio_ins!$B:$B,0))</f>
        <v>3130.0029072000002</v>
      </c>
      <c r="O342" s="10">
        <f>INDEX([1]ratio_ins!M:M,MATCH('001_population_health_zone_zs'!$B$2,[1]ratio_ins!$B:$B,0))*$G342*INDEX([1]ratio_ins!$C:$C,MATCH('001_population_health_zone_zs'!$B342,[1]ratio_ins!$B:$B,0))</f>
        <v>6787.9581120000012</v>
      </c>
      <c r="P342" s="10">
        <f>INDEX([1]ratio_ins!N:N,MATCH('001_population_health_zone_zs'!$B$2,[1]ratio_ins!$B:$B,0))*$G342*INDEX([1]ratio_ins!$C:$C,MATCH('001_population_health_zone_zs'!$B342,[1]ratio_ins!$B:$B,0))</f>
        <v>6128.0177400000002</v>
      </c>
      <c r="Q342" s="10">
        <f>INDEX([1]ratio_ins!O:O,MATCH('001_population_health_zone_zs'!$B$2,[1]ratio_ins!$B:$B,0))*$G342*INDEX([1]ratio_ins!$C:$C,MATCH('001_population_health_zone_zs'!$B342,[1]ratio_ins!$B:$B,0))</f>
        <v>5468.0773680000002</v>
      </c>
      <c r="R342" s="10">
        <f>INDEX([1]ratio_ins!P:P,MATCH('001_population_health_zone_zs'!$B$2,[1]ratio_ins!$B:$B,0))*$G342*INDEX([1]ratio_ins!$C:$C,MATCH('001_population_health_zone_zs'!$B342,[1]ratio_ins!$B:$B,0))</f>
        <v>5373.8001720000002</v>
      </c>
      <c r="S342" s="10">
        <f>INDEX([1]ratio_ins!Q:Q,MATCH('001_population_health_zone_zs'!$B$2,[1]ratio_ins!$B:$B,0))*$G342*INDEX([1]ratio_ins!$C:$C,MATCH('001_population_health_zone_zs'!$B342,[1]ratio_ins!$B:$B,0))</f>
        <v>4525.3054079999993</v>
      </c>
      <c r="T342" s="10">
        <f>INDEX([1]ratio_ins!R:R,MATCH('001_population_health_zone_zs'!$B$2,[1]ratio_ins!$B:$B,0))*$G342*INDEX([1]ratio_ins!$C:$C,MATCH('001_population_health_zone_zs'!$B342,[1]ratio_ins!$B:$B,0))</f>
        <v>3205.4246640000001</v>
      </c>
      <c r="U342" s="10">
        <f>INDEX([1]ratio_ins!S:S,MATCH('001_population_health_zone_zs'!$B$2,[1]ratio_ins!$B:$B,0))*$G342*INDEX([1]ratio_ins!$C:$C,MATCH('001_population_health_zone_zs'!$B342,[1]ratio_ins!$B:$B,0))</f>
        <v>2545.4842920000001</v>
      </c>
      <c r="V342" s="10">
        <f>INDEX([1]ratio_ins!T:T,MATCH('001_population_health_zone_zs'!$B$2,[1]ratio_ins!$B:$B,0))*$G342*INDEX([1]ratio_ins!$C:$C,MATCH('001_population_health_zone_zs'!$B342,[1]ratio_ins!$B:$B,0))</f>
        <v>1414.1579400000001</v>
      </c>
      <c r="W342" s="11">
        <f>INDEX([1]ratio_ins!U:U,MATCH('001_population_health_zone_zs'!$B$2,[1]ratio_ins!$B:$B,0))*$G342*INDEX([1]ratio_ins!$C:$C,MATCH('001_population_health_zone_zs'!$B342,[1]ratio_ins!$B:$B,0))</f>
        <v>38578.228603200005</v>
      </c>
      <c r="X342" s="10">
        <f>INDEX([1]ratio_ins!V:V,MATCH('001_population_health_zone_zs'!$B$2,[1]ratio_ins!$B:$B,0))*$G342*INDEX([1]ratio_ins!$C:$C,MATCH('001_population_health_zone_zs'!$B342,[1]ratio_ins!$B:$B,0))</f>
        <v>1131.3263519999998</v>
      </c>
      <c r="Y342" s="10">
        <f>INDEX([1]ratio_ins!W:W,MATCH('001_population_health_zone_zs'!$B$2,[1]ratio_ins!$B:$B,0))*$G342*INDEX([1]ratio_ins!$C:$C,MATCH('001_population_health_zone_zs'!$B342,[1]ratio_ins!$B:$B,0))</f>
        <v>754.21756799999991</v>
      </c>
      <c r="Z342" s="10">
        <f>INDEX([1]ratio_ins!X:X,MATCH('001_population_health_zone_zs'!$B$2,[1]ratio_ins!$B:$B,0))*$G342*INDEX([1]ratio_ins!$C:$C,MATCH('001_population_health_zone_zs'!$B342,[1]ratio_ins!$B:$B,0))</f>
        <v>377.10878399999996</v>
      </c>
      <c r="AA342" s="10">
        <f>INDEX([1]ratio_ins!Y:Y,MATCH('001_population_health_zone_zs'!$B$2,[1]ratio_ins!$B:$B,0))*$G342*INDEX([1]ratio_ins!$C:$C,MATCH('001_population_health_zone_zs'!$B342,[1]ratio_ins!$B:$B,0))</f>
        <v>188.55439199999998</v>
      </c>
      <c r="AB342" s="11">
        <f>INDEX([1]ratio_ins!Z:Z,MATCH('001_population_health_zone_zs'!$B$2,[1]ratio_ins!$B:$B,0))*$G342*INDEX([1]ratio_ins!$C:$C,MATCH('001_population_health_zone_zs'!$B342,[1]ratio_ins!$B:$B,0))</f>
        <v>2451.2070960000001</v>
      </c>
      <c r="AC342" s="12">
        <f t="shared" si="30"/>
        <v>94277.195999999996</v>
      </c>
      <c r="AD342" s="10">
        <f>INDEX([1]ratio_ins!AA:AA,MATCH('001_population_health_zone_zs'!$B$2,[1]ratio_ins!$B:$B,0))*$G342*INDEX([1]ratio_ins!$D:$D,MATCH('001_population_health_zone_zs'!$B342,[1]ratio_ins!$B:$B,0))</f>
        <v>20938.848839999999</v>
      </c>
      <c r="AE342" s="10">
        <f>INDEX([1]ratio_ins!AB:AB,MATCH('001_population_health_zone_zs'!$B$2,[1]ratio_ins!$B:$B,0))*$G342*INDEX([1]ratio_ins!$D:$D,MATCH('001_population_health_zone_zs'!$B342,[1]ratio_ins!$B:$B,0))</f>
        <v>17249.623092000002</v>
      </c>
      <c r="AF342" s="10">
        <f>INDEX([1]ratio_ins!AC:AC,MATCH('001_population_health_zone_zs'!$B$2,[1]ratio_ins!$B:$B,0))*$G342*INDEX([1]ratio_ins!$D:$D,MATCH('001_population_health_zone_zs'!$B342,[1]ratio_ins!$B:$B,0))</f>
        <v>13660.106147999997</v>
      </c>
      <c r="AG342" s="10">
        <f>INDEX([1]ratio_ins!AD:AD,MATCH('001_population_health_zone_zs'!$B$2,[1]ratio_ins!$B:$B,0))*$G342*INDEX([1]ratio_ins!$D:$D,MATCH('001_population_health_zone_zs'!$B342,[1]ratio_ins!$B:$B,0))</f>
        <v>8275.8307320000004</v>
      </c>
      <c r="AH342" s="10">
        <f>INDEX([1]ratio_ins!AE:AE,MATCH('001_population_health_zone_zs'!$B$2,[1]ratio_ins!$B:$B,0))*$G342*INDEX([1]ratio_ins!$D:$D,MATCH('001_population_health_zone_zs'!$B342,[1]ratio_ins!$B:$B,0))</f>
        <v>4965.4984392000006</v>
      </c>
      <c r="AI342" s="13">
        <f>INDEX([1]ratio_ins!AF:AF,MATCH('001_population_health_zone_zs'!$B$2,[1]ratio_ins!$B:$B,0))*$G342*INDEX([1]ratio_ins!$D:$D,MATCH('001_population_health_zone_zs'!$B342,[1]ratio_ins!$B:$B,0))</f>
        <v>56814.076519199996</v>
      </c>
      <c r="AJ342" s="10">
        <f>INDEX([1]ratio_ins!AG:AG,MATCH('001_population_health_zone_zs'!$B$2,[1]ratio_ins!$B:$B,0))*$G342*INDEX([1]ratio_ins!$D:$D,MATCH('001_population_health_zone_zs'!$B342,[1]ratio_ins!$B:$B,0))</f>
        <v>3310.3322928000002</v>
      </c>
      <c r="AK342" s="10">
        <f>INDEX([1]ratio_ins!AH:AH,MATCH('001_population_health_zone_zs'!$B$2,[1]ratio_ins!$B:$B,0))*$G342*INDEX([1]ratio_ins!$D:$D,MATCH('001_population_health_zone_zs'!$B342,[1]ratio_ins!$B:$B,0))</f>
        <v>7378.4514960000015</v>
      </c>
      <c r="AL342" s="10">
        <f>INDEX([1]ratio_ins!AI:AI,MATCH('001_population_health_zone_zs'!$B$2,[1]ratio_ins!$B:$B,0))*$G342*INDEX([1]ratio_ins!$D:$D,MATCH('001_population_health_zone_zs'!$B342,[1]ratio_ins!$B:$B,0))</f>
        <v>6979.6162800000002</v>
      </c>
      <c r="AM342" s="10">
        <f>INDEX([1]ratio_ins!AJ:AJ,MATCH('001_population_health_zone_zs'!$B$2,[1]ratio_ins!$B:$B,0))*$G342*INDEX([1]ratio_ins!$D:$D,MATCH('001_population_health_zone_zs'!$B342,[1]ratio_ins!$B:$B,0))</f>
        <v>6381.363456</v>
      </c>
      <c r="AN342" s="10">
        <f>INDEX([1]ratio_ins!AK:AK,MATCH('001_population_health_zone_zs'!$B$2,[1]ratio_ins!$B:$B,0))*$G342*INDEX([1]ratio_ins!$D:$D,MATCH('001_population_health_zone_zs'!$B342,[1]ratio_ins!$B:$B,0))</f>
        <v>5982.5282399999996</v>
      </c>
      <c r="AO342" s="10">
        <f>INDEX([1]ratio_ins!AL:AL,MATCH('001_population_health_zone_zs'!$B$2,[1]ratio_ins!$B:$B,0))*$G342*INDEX([1]ratio_ins!$D:$D,MATCH('001_population_health_zone_zs'!$B342,[1]ratio_ins!$B:$B,0))</f>
        <v>4486.8961799999997</v>
      </c>
      <c r="AP342" s="10">
        <f>INDEX([1]ratio_ins!AM:AM,MATCH('001_population_health_zone_zs'!$B$2,[1]ratio_ins!$B:$B,0))*$G342*INDEX([1]ratio_ins!$D:$D,MATCH('001_population_health_zone_zs'!$B342,[1]ratio_ins!$B:$B,0))</f>
        <v>2891.5553159999999</v>
      </c>
      <c r="AQ342" s="10">
        <f>INDEX([1]ratio_ins!AN:AN,MATCH('001_population_health_zone_zs'!$B$2,[1]ratio_ins!$B:$B,0))*$G342*INDEX([1]ratio_ins!$D:$D,MATCH('001_population_health_zone_zs'!$B342,[1]ratio_ins!$B:$B,0))</f>
        <v>2293.3024919999998</v>
      </c>
      <c r="AR342" s="10">
        <f>INDEX([1]ratio_ins!AO:AO,MATCH('001_population_health_zone_zs'!$B$2,[1]ratio_ins!$B:$B,0))*$G342*INDEX([1]ratio_ins!$D:$D,MATCH('001_population_health_zone_zs'!$B342,[1]ratio_ins!$B:$B,0))</f>
        <v>1096.796844</v>
      </c>
      <c r="AS342" s="13">
        <f>INDEX([1]ratio_ins!AP:AP,MATCH('001_population_health_zone_zs'!$B$2,[1]ratio_ins!$B:$B,0))*$G342*INDEX([1]ratio_ins!$D:$D,MATCH('001_population_health_zone_zs'!$B342,[1]ratio_ins!$B:$B,0))</f>
        <v>40800.842596800001</v>
      </c>
      <c r="AT342" s="10">
        <f>INDEX([1]ratio_ins!AQ:AQ,MATCH('001_population_health_zone_zs'!$B$2,[1]ratio_ins!$B:$B,0))*$G342*INDEX([1]ratio_ins!$D:$D,MATCH('001_population_health_zone_zs'!$B342,[1]ratio_ins!$B:$B,0))</f>
        <v>997.08804000000009</v>
      </c>
      <c r="AU342" s="10">
        <f>INDEX([1]ratio_ins!AR:AR,MATCH('001_population_health_zone_zs'!$B$2,[1]ratio_ins!$B:$B,0))*$G342*INDEX([1]ratio_ins!$D:$D,MATCH('001_population_health_zone_zs'!$B342,[1]ratio_ins!$B:$B,0))</f>
        <v>598.25282400000003</v>
      </c>
      <c r="AV342" s="10">
        <f>INDEX([1]ratio_ins!AS:AS,MATCH('001_population_health_zone_zs'!$B$2,[1]ratio_ins!$B:$B,0))*$G342*INDEX([1]ratio_ins!$D:$D,MATCH('001_population_health_zone_zs'!$B342,[1]ratio_ins!$B:$B,0))</f>
        <v>299.12641200000002</v>
      </c>
      <c r="AW342" s="10">
        <f>INDEX([1]ratio_ins!AT:AT,MATCH('001_population_health_zone_zs'!$B$2,[1]ratio_ins!$B:$B,0))*$G342*INDEX([1]ratio_ins!$D:$D,MATCH('001_population_health_zone_zs'!$B342,[1]ratio_ins!$B:$B,0))</f>
        <v>199.417608</v>
      </c>
      <c r="AX342" s="13">
        <f>INDEX([1]ratio_ins!AU:AU,MATCH('001_population_health_zone_zs'!$B$2,[1]ratio_ins!$B:$B,0))*$G342*INDEX([1]ratio_ins!$D:$D,MATCH('001_population_health_zone_zs'!$B342,[1]ratio_ins!$B:$B,0))</f>
        <v>2093.8848840000001</v>
      </c>
      <c r="AY342" s="14">
        <f t="shared" si="31"/>
        <v>99708.804000000004</v>
      </c>
      <c r="AZ342" s="15">
        <f t="shared" si="32"/>
        <v>193986</v>
      </c>
      <c r="BA342" s="16">
        <v>186311.31041723906</v>
      </c>
      <c r="BB342" s="10">
        <f t="shared" si="33"/>
        <v>42376.241699999999</v>
      </c>
      <c r="BC342" s="17">
        <f t="shared" si="34"/>
        <v>0.21845000000000001</v>
      </c>
      <c r="BD342" s="10">
        <f t="shared" si="35"/>
        <v>39313.590731999997</v>
      </c>
    </row>
    <row r="343" spans="1:56" x14ac:dyDescent="0.25">
      <c r="A343" s="8" t="s">
        <v>831</v>
      </c>
      <c r="B343" s="8" t="s">
        <v>832</v>
      </c>
      <c r="C343" s="8" t="s">
        <v>841</v>
      </c>
      <c r="D343" s="8" t="s">
        <v>842</v>
      </c>
      <c r="E343" s="8" t="s">
        <v>843</v>
      </c>
      <c r="F343" s="8" t="s">
        <v>844</v>
      </c>
      <c r="G343" s="9">
        <v>97512</v>
      </c>
      <c r="H343" s="10">
        <f>INDEX([1]ratio_ins!F:F,MATCH('001_population_health_zone_zs'!$B$2,[1]ratio_ins!$B:$B,0))*$G343*INDEX([1]ratio_ins!$C:$C,MATCH('001_population_health_zone_zs'!$B343,[1]ratio_ins!$B:$B,0))</f>
        <v>9904.6838879999996</v>
      </c>
      <c r="I343" s="10">
        <f>INDEX([1]ratio_ins!G:G,MATCH('001_population_health_zone_zs'!$B$2,[1]ratio_ins!$B:$B,0))*$G343*INDEX([1]ratio_ins!$C:$C,MATCH('001_population_health_zone_zs'!$B343,[1]ratio_ins!$B:$B,0))</f>
        <v>8103.8322719999996</v>
      </c>
      <c r="J343" s="10">
        <f>INDEX([1]ratio_ins!H:H,MATCH('001_population_health_zone_zs'!$B$2,[1]ratio_ins!$B:$B,0))*$G343*INDEX([1]ratio_ins!$C:$C,MATCH('001_population_health_zone_zs'!$B343,[1]ratio_ins!$B:$B,0))</f>
        <v>6397.7623199999998</v>
      </c>
      <c r="K343" s="10">
        <f>INDEX([1]ratio_ins!I:I,MATCH('001_population_health_zone_zs'!$B$2,[1]ratio_ins!$B:$B,0))*$G343*INDEX([1]ratio_ins!$C:$C,MATCH('001_population_health_zone_zs'!$B343,[1]ratio_ins!$B:$B,0))</f>
        <v>3933.4390560000002</v>
      </c>
      <c r="L343" s="10">
        <f>INDEX([1]ratio_ins!J:J,MATCH('001_population_health_zone_zs'!$B$2,[1]ratio_ins!$B:$B,0))*$G343*INDEX([1]ratio_ins!$C:$C,MATCH('001_population_health_zone_zs'!$B343,[1]ratio_ins!$B:$B,0))</f>
        <v>2360.0634335999998</v>
      </c>
      <c r="M343" s="11">
        <f>INDEX([1]ratio_ins!K:K,MATCH('001_population_health_zone_zs'!$B$2,[1]ratio_ins!$B:$B,0))*$G343*INDEX([1]ratio_ins!$C:$C,MATCH('001_population_health_zone_zs'!$B343,[1]ratio_ins!$B:$B,0))</f>
        <v>26766.341913599997</v>
      </c>
      <c r="N343" s="10">
        <f>INDEX([1]ratio_ins!L:L,MATCH('001_population_health_zone_zs'!$B$2,[1]ratio_ins!$B:$B,0))*$G343*INDEX([1]ratio_ins!$C:$C,MATCH('001_population_health_zone_zs'!$B343,[1]ratio_ins!$B:$B,0))</f>
        <v>1573.3756223999999</v>
      </c>
      <c r="O343" s="10">
        <f>INDEX([1]ratio_ins!M:M,MATCH('001_population_health_zone_zs'!$B$2,[1]ratio_ins!$B:$B,0))*$G343*INDEX([1]ratio_ins!$C:$C,MATCH('001_population_health_zone_zs'!$B343,[1]ratio_ins!$B:$B,0))</f>
        <v>3412.1399040000001</v>
      </c>
      <c r="P343" s="10">
        <f>INDEX([1]ratio_ins!N:N,MATCH('001_population_health_zone_zs'!$B$2,[1]ratio_ins!$B:$B,0))*$G343*INDEX([1]ratio_ins!$C:$C,MATCH('001_population_health_zone_zs'!$B343,[1]ratio_ins!$B:$B,0))</f>
        <v>3080.4040800000002</v>
      </c>
      <c r="Q343" s="10">
        <f>INDEX([1]ratio_ins!O:O,MATCH('001_population_health_zone_zs'!$B$2,[1]ratio_ins!$B:$B,0))*$G343*INDEX([1]ratio_ins!$C:$C,MATCH('001_population_health_zone_zs'!$B343,[1]ratio_ins!$B:$B,0))</f>
        <v>2748.6682559999999</v>
      </c>
      <c r="R343" s="10">
        <f>INDEX([1]ratio_ins!P:P,MATCH('001_population_health_zone_zs'!$B$2,[1]ratio_ins!$B:$B,0))*$G343*INDEX([1]ratio_ins!$C:$C,MATCH('001_population_health_zone_zs'!$B343,[1]ratio_ins!$B:$B,0))</f>
        <v>2701.2774239999999</v>
      </c>
      <c r="S343" s="10">
        <f>INDEX([1]ratio_ins!Q:Q,MATCH('001_population_health_zone_zs'!$B$2,[1]ratio_ins!$B:$B,0))*$G343*INDEX([1]ratio_ins!$C:$C,MATCH('001_population_health_zone_zs'!$B343,[1]ratio_ins!$B:$B,0))</f>
        <v>2274.7599359999999</v>
      </c>
      <c r="T343" s="10">
        <f>INDEX([1]ratio_ins!R:R,MATCH('001_population_health_zone_zs'!$B$2,[1]ratio_ins!$B:$B,0))*$G343*INDEX([1]ratio_ins!$C:$C,MATCH('001_population_health_zone_zs'!$B343,[1]ratio_ins!$B:$B,0))</f>
        <v>1611.2882880000002</v>
      </c>
      <c r="U343" s="10">
        <f>INDEX([1]ratio_ins!S:S,MATCH('001_population_health_zone_zs'!$B$2,[1]ratio_ins!$B:$B,0))*$G343*INDEX([1]ratio_ins!$C:$C,MATCH('001_population_health_zone_zs'!$B343,[1]ratio_ins!$B:$B,0))</f>
        <v>1279.5524640000003</v>
      </c>
      <c r="V343" s="10">
        <f>INDEX([1]ratio_ins!T:T,MATCH('001_population_health_zone_zs'!$B$2,[1]ratio_ins!$B:$B,0))*$G343*INDEX([1]ratio_ins!$C:$C,MATCH('001_population_health_zone_zs'!$B343,[1]ratio_ins!$B:$B,0))</f>
        <v>710.86247999999989</v>
      </c>
      <c r="W343" s="11">
        <f>INDEX([1]ratio_ins!U:U,MATCH('001_population_health_zone_zs'!$B$2,[1]ratio_ins!$B:$B,0))*$G343*INDEX([1]ratio_ins!$C:$C,MATCH('001_population_health_zone_zs'!$B343,[1]ratio_ins!$B:$B,0))</f>
        <v>19392.328454399998</v>
      </c>
      <c r="X343" s="10">
        <f>INDEX([1]ratio_ins!V:V,MATCH('001_population_health_zone_zs'!$B$2,[1]ratio_ins!$B:$B,0))*$G343*INDEX([1]ratio_ins!$C:$C,MATCH('001_population_health_zone_zs'!$B343,[1]ratio_ins!$B:$B,0))</f>
        <v>568.68998399999998</v>
      </c>
      <c r="Y343" s="10">
        <f>INDEX([1]ratio_ins!W:W,MATCH('001_population_health_zone_zs'!$B$2,[1]ratio_ins!$B:$B,0))*$G343*INDEX([1]ratio_ins!$C:$C,MATCH('001_population_health_zone_zs'!$B343,[1]ratio_ins!$B:$B,0))</f>
        <v>379.12665599999997</v>
      </c>
      <c r="Z343" s="10">
        <f>INDEX([1]ratio_ins!X:X,MATCH('001_population_health_zone_zs'!$B$2,[1]ratio_ins!$B:$B,0))*$G343*INDEX([1]ratio_ins!$C:$C,MATCH('001_population_health_zone_zs'!$B343,[1]ratio_ins!$B:$B,0))</f>
        <v>189.56332799999998</v>
      </c>
      <c r="AA343" s="10">
        <f>INDEX([1]ratio_ins!Y:Y,MATCH('001_population_health_zone_zs'!$B$2,[1]ratio_ins!$B:$B,0))*$G343*INDEX([1]ratio_ins!$C:$C,MATCH('001_population_health_zone_zs'!$B343,[1]ratio_ins!$B:$B,0))</f>
        <v>94.781663999999992</v>
      </c>
      <c r="AB343" s="11">
        <f>INDEX([1]ratio_ins!Z:Z,MATCH('001_population_health_zone_zs'!$B$2,[1]ratio_ins!$B:$B,0))*$G343*INDEX([1]ratio_ins!$C:$C,MATCH('001_population_health_zone_zs'!$B343,[1]ratio_ins!$B:$B,0))</f>
        <v>1232.1616320000001</v>
      </c>
      <c r="AC343" s="12">
        <f t="shared" si="30"/>
        <v>47390.831999999995</v>
      </c>
      <c r="AD343" s="10">
        <f>INDEX([1]ratio_ins!AA:AA,MATCH('001_population_health_zone_zs'!$B$2,[1]ratio_ins!$B:$B,0))*$G343*INDEX([1]ratio_ins!$D:$D,MATCH('001_population_health_zone_zs'!$B343,[1]ratio_ins!$B:$B,0))</f>
        <v>10525.44528</v>
      </c>
      <c r="AE343" s="10">
        <f>INDEX([1]ratio_ins!AB:AB,MATCH('001_population_health_zone_zs'!$B$2,[1]ratio_ins!$B:$B,0))*$G343*INDEX([1]ratio_ins!$D:$D,MATCH('001_population_health_zone_zs'!$B343,[1]ratio_ins!$B:$B,0))</f>
        <v>8670.9620640000012</v>
      </c>
      <c r="AF343" s="10">
        <f>INDEX([1]ratio_ins!AC:AC,MATCH('001_population_health_zone_zs'!$B$2,[1]ratio_ins!$B:$B,0))*$G343*INDEX([1]ratio_ins!$D:$D,MATCH('001_population_health_zone_zs'!$B343,[1]ratio_ins!$B:$B,0))</f>
        <v>6866.6000159999994</v>
      </c>
      <c r="AG343" s="10">
        <f>INDEX([1]ratio_ins!AD:AD,MATCH('001_population_health_zone_zs'!$B$2,[1]ratio_ins!$B:$B,0))*$G343*INDEX([1]ratio_ins!$D:$D,MATCH('001_population_health_zone_zs'!$B343,[1]ratio_ins!$B:$B,0))</f>
        <v>4160.0569439999999</v>
      </c>
      <c r="AH343" s="10">
        <f>INDEX([1]ratio_ins!AE:AE,MATCH('001_population_health_zone_zs'!$B$2,[1]ratio_ins!$B:$B,0))*$G343*INDEX([1]ratio_ins!$D:$D,MATCH('001_population_health_zone_zs'!$B343,[1]ratio_ins!$B:$B,0))</f>
        <v>2496.0341664000002</v>
      </c>
      <c r="AI343" s="13">
        <f>INDEX([1]ratio_ins!AF:AF,MATCH('001_population_health_zone_zs'!$B$2,[1]ratio_ins!$B:$B,0))*$G343*INDEX([1]ratio_ins!$D:$D,MATCH('001_population_health_zone_zs'!$B343,[1]ratio_ins!$B:$B,0))</f>
        <v>28559.0415264</v>
      </c>
      <c r="AJ343" s="10">
        <f>INDEX([1]ratio_ins!AG:AG,MATCH('001_population_health_zone_zs'!$B$2,[1]ratio_ins!$B:$B,0))*$G343*INDEX([1]ratio_ins!$D:$D,MATCH('001_population_health_zone_zs'!$B343,[1]ratio_ins!$B:$B,0))</f>
        <v>1664.0227776000002</v>
      </c>
      <c r="AK343" s="10">
        <f>INDEX([1]ratio_ins!AH:AH,MATCH('001_population_health_zone_zs'!$B$2,[1]ratio_ins!$B:$B,0))*$G343*INDEX([1]ratio_ins!$D:$D,MATCH('001_population_health_zone_zs'!$B343,[1]ratio_ins!$B:$B,0))</f>
        <v>3708.9664320000006</v>
      </c>
      <c r="AL343" s="10">
        <f>INDEX([1]ratio_ins!AI:AI,MATCH('001_population_health_zone_zs'!$B$2,[1]ratio_ins!$B:$B,0))*$G343*INDEX([1]ratio_ins!$D:$D,MATCH('001_population_health_zone_zs'!$B343,[1]ratio_ins!$B:$B,0))</f>
        <v>3508.4817600000006</v>
      </c>
      <c r="AM343" s="10">
        <f>INDEX([1]ratio_ins!AJ:AJ,MATCH('001_population_health_zone_zs'!$B$2,[1]ratio_ins!$B:$B,0))*$G343*INDEX([1]ratio_ins!$D:$D,MATCH('001_population_health_zone_zs'!$B343,[1]ratio_ins!$B:$B,0))</f>
        <v>3207.7547520000003</v>
      </c>
      <c r="AN343" s="10">
        <f>INDEX([1]ratio_ins!AK:AK,MATCH('001_population_health_zone_zs'!$B$2,[1]ratio_ins!$B:$B,0))*$G343*INDEX([1]ratio_ins!$D:$D,MATCH('001_population_health_zone_zs'!$B343,[1]ratio_ins!$B:$B,0))</f>
        <v>3007.2700799999998</v>
      </c>
      <c r="AO343" s="10">
        <f>INDEX([1]ratio_ins!AL:AL,MATCH('001_population_health_zone_zs'!$B$2,[1]ratio_ins!$B:$B,0))*$G343*INDEX([1]ratio_ins!$D:$D,MATCH('001_population_health_zone_zs'!$B343,[1]ratio_ins!$B:$B,0))</f>
        <v>2255.4525600000002</v>
      </c>
      <c r="AP343" s="10">
        <f>INDEX([1]ratio_ins!AM:AM,MATCH('001_population_health_zone_zs'!$B$2,[1]ratio_ins!$B:$B,0))*$G343*INDEX([1]ratio_ins!$D:$D,MATCH('001_population_health_zone_zs'!$B343,[1]ratio_ins!$B:$B,0))</f>
        <v>1453.513872</v>
      </c>
      <c r="AQ343" s="10">
        <f>INDEX([1]ratio_ins!AN:AN,MATCH('001_population_health_zone_zs'!$B$2,[1]ratio_ins!$B:$B,0))*$G343*INDEX([1]ratio_ins!$D:$D,MATCH('001_population_health_zone_zs'!$B343,[1]ratio_ins!$B:$B,0))</f>
        <v>1152.7868639999999</v>
      </c>
      <c r="AR343" s="10">
        <f>INDEX([1]ratio_ins!AO:AO,MATCH('001_population_health_zone_zs'!$B$2,[1]ratio_ins!$B:$B,0))*$G343*INDEX([1]ratio_ins!$D:$D,MATCH('001_population_health_zone_zs'!$B343,[1]ratio_ins!$B:$B,0))</f>
        <v>551.33284800000001</v>
      </c>
      <c r="AS343" s="13">
        <f>INDEX([1]ratio_ins!AP:AP,MATCH('001_population_health_zone_zs'!$B$2,[1]ratio_ins!$B:$B,0))*$G343*INDEX([1]ratio_ins!$D:$D,MATCH('001_population_health_zone_zs'!$B343,[1]ratio_ins!$B:$B,0))</f>
        <v>20509.581945600003</v>
      </c>
      <c r="AT343" s="10">
        <f>INDEX([1]ratio_ins!AQ:AQ,MATCH('001_population_health_zone_zs'!$B$2,[1]ratio_ins!$B:$B,0))*$G343*INDEX([1]ratio_ins!$D:$D,MATCH('001_population_health_zone_zs'!$B343,[1]ratio_ins!$B:$B,0))</f>
        <v>501.21168</v>
      </c>
      <c r="AU343" s="10">
        <f>INDEX([1]ratio_ins!AR:AR,MATCH('001_population_health_zone_zs'!$B$2,[1]ratio_ins!$B:$B,0))*$G343*INDEX([1]ratio_ins!$D:$D,MATCH('001_population_health_zone_zs'!$B343,[1]ratio_ins!$B:$B,0))</f>
        <v>300.72700800000001</v>
      </c>
      <c r="AV343" s="10">
        <f>INDEX([1]ratio_ins!AS:AS,MATCH('001_population_health_zone_zs'!$B$2,[1]ratio_ins!$B:$B,0))*$G343*INDEX([1]ratio_ins!$D:$D,MATCH('001_population_health_zone_zs'!$B343,[1]ratio_ins!$B:$B,0))</f>
        <v>150.36350400000001</v>
      </c>
      <c r="AW343" s="10">
        <f>INDEX([1]ratio_ins!AT:AT,MATCH('001_population_health_zone_zs'!$B$2,[1]ratio_ins!$B:$B,0))*$G343*INDEX([1]ratio_ins!$D:$D,MATCH('001_population_health_zone_zs'!$B343,[1]ratio_ins!$B:$B,0))</f>
        <v>100.24233600000001</v>
      </c>
      <c r="AX343" s="13">
        <f>INDEX([1]ratio_ins!AU:AU,MATCH('001_population_health_zone_zs'!$B$2,[1]ratio_ins!$B:$B,0))*$G343*INDEX([1]ratio_ins!$D:$D,MATCH('001_population_health_zone_zs'!$B343,[1]ratio_ins!$B:$B,0))</f>
        <v>1052.5445279999999</v>
      </c>
      <c r="AY343" s="14">
        <f t="shared" si="31"/>
        <v>50121.168000000005</v>
      </c>
      <c r="AZ343" s="15">
        <f t="shared" si="32"/>
        <v>97512</v>
      </c>
      <c r="BA343" s="16">
        <v>93654.54300473124</v>
      </c>
      <c r="BB343" s="10">
        <f t="shared" si="33"/>
        <v>21301.496400000004</v>
      </c>
      <c r="BC343" s="17">
        <f t="shared" si="34"/>
        <v>0.21845000000000003</v>
      </c>
      <c r="BD343" s="10">
        <f t="shared" si="35"/>
        <v>19761.976943999998</v>
      </c>
    </row>
    <row r="344" spans="1:56" x14ac:dyDescent="0.25">
      <c r="A344" s="8" t="s">
        <v>831</v>
      </c>
      <c r="B344" s="8" t="s">
        <v>832</v>
      </c>
      <c r="C344" s="8" t="s">
        <v>841</v>
      </c>
      <c r="D344" s="8" t="s">
        <v>842</v>
      </c>
      <c r="E344" s="8" t="s">
        <v>841</v>
      </c>
      <c r="F344" s="8" t="s">
        <v>845</v>
      </c>
      <c r="G344" s="9">
        <v>136043</v>
      </c>
      <c r="H344" s="10">
        <f>INDEX([1]ratio_ins!F:F,MATCH('001_population_health_zone_zs'!$B$2,[1]ratio_ins!$B:$B,0))*$G344*INDEX([1]ratio_ins!$C:$C,MATCH('001_population_health_zone_zs'!$B344,[1]ratio_ins!$B:$B,0))</f>
        <v>13818.431681999999</v>
      </c>
      <c r="I344" s="10">
        <f>INDEX([1]ratio_ins!G:G,MATCH('001_population_health_zone_zs'!$B$2,[1]ratio_ins!$B:$B,0))*$G344*INDEX([1]ratio_ins!$C:$C,MATCH('001_population_health_zone_zs'!$B344,[1]ratio_ins!$B:$B,0))</f>
        <v>11305.989558000001</v>
      </c>
      <c r="J344" s="10">
        <f>INDEX([1]ratio_ins!H:H,MATCH('001_population_health_zone_zs'!$B$2,[1]ratio_ins!$B:$B,0))*$G344*INDEX([1]ratio_ins!$C:$C,MATCH('001_population_health_zone_zs'!$B344,[1]ratio_ins!$B:$B,0))</f>
        <v>8925.7812300000005</v>
      </c>
      <c r="K344" s="10">
        <f>INDEX([1]ratio_ins!I:I,MATCH('001_population_health_zone_zs'!$B$2,[1]ratio_ins!$B:$B,0))*$G344*INDEX([1]ratio_ins!$C:$C,MATCH('001_population_health_zone_zs'!$B344,[1]ratio_ins!$B:$B,0))</f>
        <v>5487.7025340000009</v>
      </c>
      <c r="L344" s="10">
        <f>INDEX([1]ratio_ins!J:J,MATCH('001_population_health_zone_zs'!$B$2,[1]ratio_ins!$B:$B,0))*$G344*INDEX([1]ratio_ins!$C:$C,MATCH('001_population_health_zone_zs'!$B344,[1]ratio_ins!$B:$B,0))</f>
        <v>3292.6215203999996</v>
      </c>
      <c r="M344" s="11">
        <f>INDEX([1]ratio_ins!K:K,MATCH('001_population_health_zone_zs'!$B$2,[1]ratio_ins!$B:$B,0))*$G344*INDEX([1]ratio_ins!$C:$C,MATCH('001_population_health_zone_zs'!$B344,[1]ratio_ins!$B:$B,0))</f>
        <v>37342.8239904</v>
      </c>
      <c r="N344" s="10">
        <f>INDEX([1]ratio_ins!L:L,MATCH('001_population_health_zone_zs'!$B$2,[1]ratio_ins!$B:$B,0))*$G344*INDEX([1]ratio_ins!$C:$C,MATCH('001_population_health_zone_zs'!$B344,[1]ratio_ins!$B:$B,0))</f>
        <v>2195.0810136</v>
      </c>
      <c r="O344" s="10">
        <f>INDEX([1]ratio_ins!M:M,MATCH('001_population_health_zone_zs'!$B$2,[1]ratio_ins!$B:$B,0))*$G344*INDEX([1]ratio_ins!$C:$C,MATCH('001_population_health_zone_zs'!$B344,[1]ratio_ins!$B:$B,0))</f>
        <v>4760.4166560000003</v>
      </c>
      <c r="P344" s="10">
        <f>INDEX([1]ratio_ins!N:N,MATCH('001_population_health_zone_zs'!$B$2,[1]ratio_ins!$B:$B,0))*$G344*INDEX([1]ratio_ins!$C:$C,MATCH('001_population_health_zone_zs'!$B344,[1]ratio_ins!$B:$B,0))</f>
        <v>4297.5983699999997</v>
      </c>
      <c r="Q344" s="10">
        <f>INDEX([1]ratio_ins!O:O,MATCH('001_population_health_zone_zs'!$B$2,[1]ratio_ins!$B:$B,0))*$G344*INDEX([1]ratio_ins!$C:$C,MATCH('001_population_health_zone_zs'!$B344,[1]ratio_ins!$B:$B,0))</f>
        <v>3834.7800839999995</v>
      </c>
      <c r="R344" s="10">
        <f>INDEX([1]ratio_ins!P:P,MATCH('001_population_health_zone_zs'!$B$2,[1]ratio_ins!$B:$B,0))*$G344*INDEX([1]ratio_ins!$C:$C,MATCH('001_population_health_zone_zs'!$B344,[1]ratio_ins!$B:$B,0))</f>
        <v>3768.6631859999998</v>
      </c>
      <c r="S344" s="10">
        <f>INDEX([1]ratio_ins!Q:Q,MATCH('001_population_health_zone_zs'!$B$2,[1]ratio_ins!$B:$B,0))*$G344*INDEX([1]ratio_ins!$C:$C,MATCH('001_population_health_zone_zs'!$B344,[1]ratio_ins!$B:$B,0))</f>
        <v>3173.6111040000001</v>
      </c>
      <c r="T344" s="10">
        <f>INDEX([1]ratio_ins!R:R,MATCH('001_population_health_zone_zs'!$B$2,[1]ratio_ins!$B:$B,0))*$G344*INDEX([1]ratio_ins!$C:$C,MATCH('001_population_health_zone_zs'!$B344,[1]ratio_ins!$B:$B,0))</f>
        <v>2247.9745320000002</v>
      </c>
      <c r="U344" s="10">
        <f>INDEX([1]ratio_ins!S:S,MATCH('001_population_health_zone_zs'!$B$2,[1]ratio_ins!$B:$B,0))*$G344*INDEX([1]ratio_ins!$C:$C,MATCH('001_population_health_zone_zs'!$B344,[1]ratio_ins!$B:$B,0))</f>
        <v>1785.1562460000002</v>
      </c>
      <c r="V344" s="10">
        <f>INDEX([1]ratio_ins!T:T,MATCH('001_population_health_zone_zs'!$B$2,[1]ratio_ins!$B:$B,0))*$G344*INDEX([1]ratio_ins!$C:$C,MATCH('001_population_health_zone_zs'!$B344,[1]ratio_ins!$B:$B,0))</f>
        <v>991.75346999999999</v>
      </c>
      <c r="W344" s="11">
        <f>INDEX([1]ratio_ins!U:U,MATCH('001_population_health_zone_zs'!$B$2,[1]ratio_ins!$B:$B,0))*$G344*INDEX([1]ratio_ins!$C:$C,MATCH('001_population_health_zone_zs'!$B344,[1]ratio_ins!$B:$B,0))</f>
        <v>27055.034661599999</v>
      </c>
      <c r="X344" s="10">
        <f>INDEX([1]ratio_ins!V:V,MATCH('001_population_health_zone_zs'!$B$2,[1]ratio_ins!$B:$B,0))*$G344*INDEX([1]ratio_ins!$C:$C,MATCH('001_population_health_zone_zs'!$B344,[1]ratio_ins!$B:$B,0))</f>
        <v>793.40277600000002</v>
      </c>
      <c r="Y344" s="10">
        <f>INDEX([1]ratio_ins!W:W,MATCH('001_population_health_zone_zs'!$B$2,[1]ratio_ins!$B:$B,0))*$G344*INDEX([1]ratio_ins!$C:$C,MATCH('001_population_health_zone_zs'!$B344,[1]ratio_ins!$B:$B,0))</f>
        <v>528.93518400000005</v>
      </c>
      <c r="Z344" s="10">
        <f>INDEX([1]ratio_ins!X:X,MATCH('001_population_health_zone_zs'!$B$2,[1]ratio_ins!$B:$B,0))*$G344*INDEX([1]ratio_ins!$C:$C,MATCH('001_population_health_zone_zs'!$B344,[1]ratio_ins!$B:$B,0))</f>
        <v>264.46759200000002</v>
      </c>
      <c r="AA344" s="10">
        <f>INDEX([1]ratio_ins!Y:Y,MATCH('001_population_health_zone_zs'!$B$2,[1]ratio_ins!$B:$B,0))*$G344*INDEX([1]ratio_ins!$C:$C,MATCH('001_population_health_zone_zs'!$B344,[1]ratio_ins!$B:$B,0))</f>
        <v>132.23379600000001</v>
      </c>
      <c r="AB344" s="11">
        <f>INDEX([1]ratio_ins!Z:Z,MATCH('001_population_health_zone_zs'!$B$2,[1]ratio_ins!$B:$B,0))*$G344*INDEX([1]ratio_ins!$C:$C,MATCH('001_population_health_zone_zs'!$B344,[1]ratio_ins!$B:$B,0))</f>
        <v>1719.0393480000002</v>
      </c>
      <c r="AC344" s="12">
        <f t="shared" si="30"/>
        <v>66116.898000000001</v>
      </c>
      <c r="AD344" s="10">
        <f>INDEX([1]ratio_ins!AA:AA,MATCH('001_population_health_zone_zs'!$B$2,[1]ratio_ins!$B:$B,0))*$G344*INDEX([1]ratio_ins!$D:$D,MATCH('001_population_health_zone_zs'!$B344,[1]ratio_ins!$B:$B,0))</f>
        <v>14684.48142</v>
      </c>
      <c r="AE344" s="10">
        <f>INDEX([1]ratio_ins!AB:AB,MATCH('001_population_health_zone_zs'!$B$2,[1]ratio_ins!$B:$B,0))*$G344*INDEX([1]ratio_ins!$D:$D,MATCH('001_population_health_zone_zs'!$B344,[1]ratio_ins!$B:$B,0))</f>
        <v>12097.215646000001</v>
      </c>
      <c r="AF344" s="10">
        <f>INDEX([1]ratio_ins!AC:AC,MATCH('001_population_health_zone_zs'!$B$2,[1]ratio_ins!$B:$B,0))*$G344*INDEX([1]ratio_ins!$D:$D,MATCH('001_population_health_zone_zs'!$B344,[1]ratio_ins!$B:$B,0))</f>
        <v>9579.8759739999987</v>
      </c>
      <c r="AG344" s="10">
        <f>INDEX([1]ratio_ins!AD:AD,MATCH('001_population_health_zone_zs'!$B$2,[1]ratio_ins!$B:$B,0))*$G344*INDEX([1]ratio_ins!$D:$D,MATCH('001_population_health_zone_zs'!$B344,[1]ratio_ins!$B:$B,0))</f>
        <v>5803.8664660000004</v>
      </c>
      <c r="AH344" s="10">
        <f>INDEX([1]ratio_ins!AE:AE,MATCH('001_population_health_zone_zs'!$B$2,[1]ratio_ins!$B:$B,0))*$G344*INDEX([1]ratio_ins!$D:$D,MATCH('001_population_health_zone_zs'!$B344,[1]ratio_ins!$B:$B,0))</f>
        <v>3482.3198796000001</v>
      </c>
      <c r="AI344" s="13">
        <f>INDEX([1]ratio_ins!AF:AF,MATCH('001_population_health_zone_zs'!$B$2,[1]ratio_ins!$B:$B,0))*$G344*INDEX([1]ratio_ins!$D:$D,MATCH('001_population_health_zone_zs'!$B344,[1]ratio_ins!$B:$B,0))</f>
        <v>39843.892919600003</v>
      </c>
      <c r="AJ344" s="10">
        <f>INDEX([1]ratio_ins!AG:AG,MATCH('001_population_health_zone_zs'!$B$2,[1]ratio_ins!$B:$B,0))*$G344*INDEX([1]ratio_ins!$D:$D,MATCH('001_population_health_zone_zs'!$B344,[1]ratio_ins!$B:$B,0))</f>
        <v>2321.5465863999998</v>
      </c>
      <c r="AK344" s="10">
        <f>INDEX([1]ratio_ins!AH:AH,MATCH('001_population_health_zone_zs'!$B$2,[1]ratio_ins!$B:$B,0))*$G344*INDEX([1]ratio_ins!$D:$D,MATCH('001_population_health_zone_zs'!$B344,[1]ratio_ins!$B:$B,0))</f>
        <v>5174.5315480000008</v>
      </c>
      <c r="AL344" s="10">
        <f>INDEX([1]ratio_ins!AI:AI,MATCH('001_population_health_zone_zs'!$B$2,[1]ratio_ins!$B:$B,0))*$G344*INDEX([1]ratio_ins!$D:$D,MATCH('001_population_health_zone_zs'!$B344,[1]ratio_ins!$B:$B,0))</f>
        <v>4894.8271400000003</v>
      </c>
      <c r="AM344" s="10">
        <f>INDEX([1]ratio_ins!AJ:AJ,MATCH('001_population_health_zone_zs'!$B$2,[1]ratio_ins!$B:$B,0))*$G344*INDEX([1]ratio_ins!$D:$D,MATCH('001_population_health_zone_zs'!$B344,[1]ratio_ins!$B:$B,0))</f>
        <v>4475.270528</v>
      </c>
      <c r="AN344" s="10">
        <f>INDEX([1]ratio_ins!AK:AK,MATCH('001_population_health_zone_zs'!$B$2,[1]ratio_ins!$B:$B,0))*$G344*INDEX([1]ratio_ins!$D:$D,MATCH('001_population_health_zone_zs'!$B344,[1]ratio_ins!$B:$B,0))</f>
        <v>4195.5661200000004</v>
      </c>
      <c r="AO344" s="10">
        <f>INDEX([1]ratio_ins!AL:AL,MATCH('001_population_health_zone_zs'!$B$2,[1]ratio_ins!$B:$B,0))*$G344*INDEX([1]ratio_ins!$D:$D,MATCH('001_population_health_zone_zs'!$B344,[1]ratio_ins!$B:$B,0))</f>
        <v>3146.6745899999996</v>
      </c>
      <c r="AP344" s="10">
        <f>INDEX([1]ratio_ins!AM:AM,MATCH('001_population_health_zone_zs'!$B$2,[1]ratio_ins!$B:$B,0))*$G344*INDEX([1]ratio_ins!$D:$D,MATCH('001_population_health_zone_zs'!$B344,[1]ratio_ins!$B:$B,0))</f>
        <v>2027.8569580000001</v>
      </c>
      <c r="AQ344" s="10">
        <f>INDEX([1]ratio_ins!AN:AN,MATCH('001_population_health_zone_zs'!$B$2,[1]ratio_ins!$B:$B,0))*$G344*INDEX([1]ratio_ins!$D:$D,MATCH('001_population_health_zone_zs'!$B344,[1]ratio_ins!$B:$B,0))</f>
        <v>1608.300346</v>
      </c>
      <c r="AR344" s="10">
        <f>INDEX([1]ratio_ins!AO:AO,MATCH('001_population_health_zone_zs'!$B$2,[1]ratio_ins!$B:$B,0))*$G344*INDEX([1]ratio_ins!$D:$D,MATCH('001_population_health_zone_zs'!$B344,[1]ratio_ins!$B:$B,0))</f>
        <v>769.18712200000016</v>
      </c>
      <c r="AS344" s="13">
        <f>INDEX([1]ratio_ins!AP:AP,MATCH('001_population_health_zone_zs'!$B$2,[1]ratio_ins!$B:$B,0))*$G344*INDEX([1]ratio_ins!$D:$D,MATCH('001_population_health_zone_zs'!$B344,[1]ratio_ins!$B:$B,0))</f>
        <v>28613.760938399999</v>
      </c>
      <c r="AT344" s="10">
        <f>INDEX([1]ratio_ins!AQ:AQ,MATCH('001_population_health_zone_zs'!$B$2,[1]ratio_ins!$B:$B,0))*$G344*INDEX([1]ratio_ins!$D:$D,MATCH('001_population_health_zone_zs'!$B344,[1]ratio_ins!$B:$B,0))</f>
        <v>699.26102000000003</v>
      </c>
      <c r="AU344" s="10">
        <f>INDEX([1]ratio_ins!AR:AR,MATCH('001_population_health_zone_zs'!$B$2,[1]ratio_ins!$B:$B,0))*$G344*INDEX([1]ratio_ins!$D:$D,MATCH('001_population_health_zone_zs'!$B344,[1]ratio_ins!$B:$B,0))</f>
        <v>419.55661200000003</v>
      </c>
      <c r="AV344" s="10">
        <f>INDEX([1]ratio_ins!AS:AS,MATCH('001_population_health_zone_zs'!$B$2,[1]ratio_ins!$B:$B,0))*$G344*INDEX([1]ratio_ins!$D:$D,MATCH('001_population_health_zone_zs'!$B344,[1]ratio_ins!$B:$B,0))</f>
        <v>209.77830600000001</v>
      </c>
      <c r="AW344" s="10">
        <f>INDEX([1]ratio_ins!AT:AT,MATCH('001_population_health_zone_zs'!$B$2,[1]ratio_ins!$B:$B,0))*$G344*INDEX([1]ratio_ins!$D:$D,MATCH('001_population_health_zone_zs'!$B344,[1]ratio_ins!$B:$B,0))</f>
        <v>139.852204</v>
      </c>
      <c r="AX344" s="13">
        <f>INDEX([1]ratio_ins!AU:AU,MATCH('001_population_health_zone_zs'!$B$2,[1]ratio_ins!$B:$B,0))*$G344*INDEX([1]ratio_ins!$D:$D,MATCH('001_population_health_zone_zs'!$B344,[1]ratio_ins!$B:$B,0))</f>
        <v>1468.448142</v>
      </c>
      <c r="AY344" s="14">
        <f t="shared" si="31"/>
        <v>69926.101999999999</v>
      </c>
      <c r="AZ344" s="15">
        <f t="shared" si="32"/>
        <v>136043</v>
      </c>
      <c r="BA344" s="16">
        <v>130660.93108075109</v>
      </c>
      <c r="BB344" s="10">
        <f t="shared" si="33"/>
        <v>29718.593349999999</v>
      </c>
      <c r="BC344" s="17">
        <f t="shared" si="34"/>
        <v>0.21845000000000001</v>
      </c>
      <c r="BD344" s="10">
        <f t="shared" si="35"/>
        <v>27570.746466000001</v>
      </c>
    </row>
    <row r="345" spans="1:56" x14ac:dyDescent="0.25">
      <c r="A345" s="8" t="s">
        <v>831</v>
      </c>
      <c r="B345" s="8" t="s">
        <v>832</v>
      </c>
      <c r="C345" s="8" t="s">
        <v>846</v>
      </c>
      <c r="D345" s="8" t="s">
        <v>847</v>
      </c>
      <c r="E345" s="8" t="s">
        <v>846</v>
      </c>
      <c r="F345" s="8" t="s">
        <v>848</v>
      </c>
      <c r="G345" s="9">
        <v>163523</v>
      </c>
      <c r="H345" s="10">
        <f>INDEX([1]ratio_ins!F:F,MATCH('001_population_health_zone_zs'!$B$2,[1]ratio_ins!$B:$B,0))*$G345*INDEX([1]ratio_ins!$C:$C,MATCH('001_population_health_zone_zs'!$B345,[1]ratio_ins!$B:$B,0))</f>
        <v>16609.685202000001</v>
      </c>
      <c r="I345" s="10">
        <f>INDEX([1]ratio_ins!G:G,MATCH('001_population_health_zone_zs'!$B$2,[1]ratio_ins!$B:$B,0))*$G345*INDEX([1]ratio_ins!$C:$C,MATCH('001_population_health_zone_zs'!$B345,[1]ratio_ins!$B:$B,0))</f>
        <v>13589.742437999999</v>
      </c>
      <c r="J345" s="10">
        <f>INDEX([1]ratio_ins!H:H,MATCH('001_population_health_zone_zs'!$B$2,[1]ratio_ins!$B:$B,0))*$G345*INDEX([1]ratio_ins!$C:$C,MATCH('001_population_health_zone_zs'!$B345,[1]ratio_ins!$B:$B,0))</f>
        <v>10728.744030000002</v>
      </c>
      <c r="K345" s="10">
        <f>INDEX([1]ratio_ins!I:I,MATCH('001_population_health_zone_zs'!$B$2,[1]ratio_ins!$B:$B,0))*$G345*INDEX([1]ratio_ins!$C:$C,MATCH('001_population_health_zone_zs'!$B345,[1]ratio_ins!$B:$B,0))</f>
        <v>6596.1907740000006</v>
      </c>
      <c r="L345" s="10">
        <f>INDEX([1]ratio_ins!J:J,MATCH('001_population_health_zone_zs'!$B$2,[1]ratio_ins!$B:$B,0))*$G345*INDEX([1]ratio_ins!$C:$C,MATCH('001_population_health_zone_zs'!$B345,[1]ratio_ins!$B:$B,0))</f>
        <v>3957.7144643999995</v>
      </c>
      <c r="M345" s="11">
        <f>INDEX([1]ratio_ins!K:K,MATCH('001_population_health_zone_zs'!$B$2,[1]ratio_ins!$B:$B,0))*$G345*INDEX([1]ratio_ins!$C:$C,MATCH('001_population_health_zone_zs'!$B345,[1]ratio_ins!$B:$B,0))</f>
        <v>44885.886134399996</v>
      </c>
      <c r="N345" s="10">
        <f>INDEX([1]ratio_ins!L:L,MATCH('001_population_health_zone_zs'!$B$2,[1]ratio_ins!$B:$B,0))*$G345*INDEX([1]ratio_ins!$C:$C,MATCH('001_population_health_zone_zs'!$B345,[1]ratio_ins!$B:$B,0))</f>
        <v>2638.4763096000001</v>
      </c>
      <c r="O345" s="10">
        <f>INDEX([1]ratio_ins!M:M,MATCH('001_population_health_zone_zs'!$B$2,[1]ratio_ins!$B:$B,0))*$G345*INDEX([1]ratio_ins!$C:$C,MATCH('001_population_health_zone_zs'!$B345,[1]ratio_ins!$B:$B,0))</f>
        <v>5721.9968159999999</v>
      </c>
      <c r="P345" s="10">
        <f>INDEX([1]ratio_ins!N:N,MATCH('001_population_health_zone_zs'!$B$2,[1]ratio_ins!$B:$B,0))*$G345*INDEX([1]ratio_ins!$C:$C,MATCH('001_population_health_zone_zs'!$B345,[1]ratio_ins!$B:$B,0))</f>
        <v>5165.69157</v>
      </c>
      <c r="Q345" s="10">
        <f>INDEX([1]ratio_ins!O:O,MATCH('001_population_health_zone_zs'!$B$2,[1]ratio_ins!$B:$B,0))*$G345*INDEX([1]ratio_ins!$C:$C,MATCH('001_population_health_zone_zs'!$B345,[1]ratio_ins!$B:$B,0))</f>
        <v>4609.3863239999991</v>
      </c>
      <c r="R345" s="10">
        <f>INDEX([1]ratio_ins!P:P,MATCH('001_population_health_zone_zs'!$B$2,[1]ratio_ins!$B:$B,0))*$G345*INDEX([1]ratio_ins!$C:$C,MATCH('001_population_health_zone_zs'!$B345,[1]ratio_ins!$B:$B,0))</f>
        <v>4529.9141460000001</v>
      </c>
      <c r="S345" s="10">
        <f>INDEX([1]ratio_ins!Q:Q,MATCH('001_population_health_zone_zs'!$B$2,[1]ratio_ins!$B:$B,0))*$G345*INDEX([1]ratio_ins!$C:$C,MATCH('001_population_health_zone_zs'!$B345,[1]ratio_ins!$B:$B,0))</f>
        <v>3814.6645440000002</v>
      </c>
      <c r="T345" s="10">
        <f>INDEX([1]ratio_ins!R:R,MATCH('001_population_health_zone_zs'!$B$2,[1]ratio_ins!$B:$B,0))*$G345*INDEX([1]ratio_ins!$C:$C,MATCH('001_population_health_zone_zs'!$B345,[1]ratio_ins!$B:$B,0))</f>
        <v>2702.054052</v>
      </c>
      <c r="U345" s="10">
        <f>INDEX([1]ratio_ins!S:S,MATCH('001_population_health_zone_zs'!$B$2,[1]ratio_ins!$B:$B,0))*$G345*INDEX([1]ratio_ins!$C:$C,MATCH('001_population_health_zone_zs'!$B345,[1]ratio_ins!$B:$B,0))</f>
        <v>2145.7488060000001</v>
      </c>
      <c r="V345" s="10">
        <f>INDEX([1]ratio_ins!T:T,MATCH('001_population_health_zone_zs'!$B$2,[1]ratio_ins!$B:$B,0))*$G345*INDEX([1]ratio_ins!$C:$C,MATCH('001_population_health_zone_zs'!$B345,[1]ratio_ins!$B:$B,0))</f>
        <v>1192.0826699999998</v>
      </c>
      <c r="W345" s="11">
        <f>INDEX([1]ratio_ins!U:U,MATCH('001_population_health_zone_zs'!$B$2,[1]ratio_ins!$B:$B,0))*$G345*INDEX([1]ratio_ins!$C:$C,MATCH('001_population_health_zone_zs'!$B345,[1]ratio_ins!$B:$B,0))</f>
        <v>32520.015237600001</v>
      </c>
      <c r="X345" s="10">
        <f>INDEX([1]ratio_ins!V:V,MATCH('001_population_health_zone_zs'!$B$2,[1]ratio_ins!$B:$B,0))*$G345*INDEX([1]ratio_ins!$C:$C,MATCH('001_population_health_zone_zs'!$B345,[1]ratio_ins!$B:$B,0))</f>
        <v>953.66613600000005</v>
      </c>
      <c r="Y345" s="10">
        <f>INDEX([1]ratio_ins!W:W,MATCH('001_population_health_zone_zs'!$B$2,[1]ratio_ins!$B:$B,0))*$G345*INDEX([1]ratio_ins!$C:$C,MATCH('001_population_health_zone_zs'!$B345,[1]ratio_ins!$B:$B,0))</f>
        <v>635.777424</v>
      </c>
      <c r="Z345" s="10">
        <f>INDEX([1]ratio_ins!X:X,MATCH('001_population_health_zone_zs'!$B$2,[1]ratio_ins!$B:$B,0))*$G345*INDEX([1]ratio_ins!$C:$C,MATCH('001_population_health_zone_zs'!$B345,[1]ratio_ins!$B:$B,0))</f>
        <v>317.888712</v>
      </c>
      <c r="AA345" s="10">
        <f>INDEX([1]ratio_ins!Y:Y,MATCH('001_population_health_zone_zs'!$B$2,[1]ratio_ins!$B:$B,0))*$G345*INDEX([1]ratio_ins!$C:$C,MATCH('001_population_health_zone_zs'!$B345,[1]ratio_ins!$B:$B,0))</f>
        <v>158.944356</v>
      </c>
      <c r="AB345" s="11">
        <f>INDEX([1]ratio_ins!Z:Z,MATCH('001_population_health_zone_zs'!$B$2,[1]ratio_ins!$B:$B,0))*$G345*INDEX([1]ratio_ins!$C:$C,MATCH('001_population_health_zone_zs'!$B345,[1]ratio_ins!$B:$B,0))</f>
        <v>2066.2766280000001</v>
      </c>
      <c r="AC345" s="12">
        <f t="shared" si="30"/>
        <v>79472.178</v>
      </c>
      <c r="AD345" s="10">
        <f>INDEX([1]ratio_ins!AA:AA,MATCH('001_population_health_zone_zs'!$B$2,[1]ratio_ins!$B:$B,0))*$G345*INDEX([1]ratio_ins!$D:$D,MATCH('001_population_health_zone_zs'!$B345,[1]ratio_ins!$B:$B,0))</f>
        <v>17650.672620000001</v>
      </c>
      <c r="AE345" s="10">
        <f>INDEX([1]ratio_ins!AB:AB,MATCH('001_population_health_zone_zs'!$B$2,[1]ratio_ins!$B:$B,0))*$G345*INDEX([1]ratio_ins!$D:$D,MATCH('001_population_health_zone_zs'!$B345,[1]ratio_ins!$B:$B,0))</f>
        <v>14540.792206000002</v>
      </c>
      <c r="AF345" s="10">
        <f>INDEX([1]ratio_ins!AC:AC,MATCH('001_population_health_zone_zs'!$B$2,[1]ratio_ins!$B:$B,0))*$G345*INDEX([1]ratio_ins!$D:$D,MATCH('001_population_health_zone_zs'!$B345,[1]ratio_ins!$B:$B,0))</f>
        <v>11514.962614</v>
      </c>
      <c r="AG345" s="10">
        <f>INDEX([1]ratio_ins!AD:AD,MATCH('001_population_health_zone_zs'!$B$2,[1]ratio_ins!$B:$B,0))*$G345*INDEX([1]ratio_ins!$D:$D,MATCH('001_population_health_zone_zs'!$B345,[1]ratio_ins!$B:$B,0))</f>
        <v>6976.2182260000009</v>
      </c>
      <c r="AH345" s="10">
        <f>INDEX([1]ratio_ins!AE:AE,MATCH('001_population_health_zone_zs'!$B$2,[1]ratio_ins!$B:$B,0))*$G345*INDEX([1]ratio_ins!$D:$D,MATCH('001_population_health_zone_zs'!$B345,[1]ratio_ins!$B:$B,0))</f>
        <v>4185.7309355999996</v>
      </c>
      <c r="AI345" s="13">
        <f>INDEX([1]ratio_ins!AF:AF,MATCH('001_population_health_zone_zs'!$B$2,[1]ratio_ins!$B:$B,0))*$G345*INDEX([1]ratio_ins!$D:$D,MATCH('001_population_health_zone_zs'!$B345,[1]ratio_ins!$B:$B,0))</f>
        <v>47892.158375599996</v>
      </c>
      <c r="AJ345" s="10">
        <f>INDEX([1]ratio_ins!AG:AG,MATCH('001_population_health_zone_zs'!$B$2,[1]ratio_ins!$B:$B,0))*$G345*INDEX([1]ratio_ins!$D:$D,MATCH('001_population_health_zone_zs'!$B345,[1]ratio_ins!$B:$B,0))</f>
        <v>2790.4872903999999</v>
      </c>
      <c r="AK345" s="10">
        <f>INDEX([1]ratio_ins!AH:AH,MATCH('001_population_health_zone_zs'!$B$2,[1]ratio_ins!$B:$B,0))*$G345*INDEX([1]ratio_ins!$D:$D,MATCH('001_population_health_zone_zs'!$B345,[1]ratio_ins!$B:$B,0))</f>
        <v>6219.7608280000004</v>
      </c>
      <c r="AL345" s="10">
        <f>INDEX([1]ratio_ins!AI:AI,MATCH('001_population_health_zone_zs'!$B$2,[1]ratio_ins!$B:$B,0))*$G345*INDEX([1]ratio_ins!$D:$D,MATCH('001_population_health_zone_zs'!$B345,[1]ratio_ins!$B:$B,0))</f>
        <v>5883.5575400000007</v>
      </c>
      <c r="AM345" s="10">
        <f>INDEX([1]ratio_ins!AJ:AJ,MATCH('001_population_health_zone_zs'!$B$2,[1]ratio_ins!$B:$B,0))*$G345*INDEX([1]ratio_ins!$D:$D,MATCH('001_population_health_zone_zs'!$B345,[1]ratio_ins!$B:$B,0))</f>
        <v>5379.2526079999998</v>
      </c>
      <c r="AN345" s="10">
        <f>INDEX([1]ratio_ins!AK:AK,MATCH('001_population_health_zone_zs'!$B$2,[1]ratio_ins!$B:$B,0))*$G345*INDEX([1]ratio_ins!$D:$D,MATCH('001_population_health_zone_zs'!$B345,[1]ratio_ins!$B:$B,0))</f>
        <v>5043.0493200000001</v>
      </c>
      <c r="AO345" s="10">
        <f>INDEX([1]ratio_ins!AL:AL,MATCH('001_population_health_zone_zs'!$B$2,[1]ratio_ins!$B:$B,0))*$G345*INDEX([1]ratio_ins!$D:$D,MATCH('001_population_health_zone_zs'!$B345,[1]ratio_ins!$B:$B,0))</f>
        <v>3782.2869900000001</v>
      </c>
      <c r="AP345" s="10">
        <f>INDEX([1]ratio_ins!AM:AM,MATCH('001_population_health_zone_zs'!$B$2,[1]ratio_ins!$B:$B,0))*$G345*INDEX([1]ratio_ins!$D:$D,MATCH('001_population_health_zone_zs'!$B345,[1]ratio_ins!$B:$B,0))</f>
        <v>2437.4738379999999</v>
      </c>
      <c r="AQ345" s="10">
        <f>INDEX([1]ratio_ins!AN:AN,MATCH('001_population_health_zone_zs'!$B$2,[1]ratio_ins!$B:$B,0))*$G345*INDEX([1]ratio_ins!$D:$D,MATCH('001_population_health_zone_zs'!$B345,[1]ratio_ins!$B:$B,0))</f>
        <v>1933.1689060000001</v>
      </c>
      <c r="AR345" s="10">
        <f>INDEX([1]ratio_ins!AO:AO,MATCH('001_population_health_zone_zs'!$B$2,[1]ratio_ins!$B:$B,0))*$G345*INDEX([1]ratio_ins!$D:$D,MATCH('001_population_health_zone_zs'!$B345,[1]ratio_ins!$B:$B,0))</f>
        <v>924.55904200000009</v>
      </c>
      <c r="AS345" s="13">
        <f>INDEX([1]ratio_ins!AP:AP,MATCH('001_population_health_zone_zs'!$B$2,[1]ratio_ins!$B:$B,0))*$G345*INDEX([1]ratio_ins!$D:$D,MATCH('001_population_health_zone_zs'!$B345,[1]ratio_ins!$B:$B,0))</f>
        <v>34393.5963624</v>
      </c>
      <c r="AT345" s="10">
        <f>INDEX([1]ratio_ins!AQ:AQ,MATCH('001_population_health_zone_zs'!$B$2,[1]ratio_ins!$B:$B,0))*$G345*INDEX([1]ratio_ins!$D:$D,MATCH('001_population_health_zone_zs'!$B345,[1]ratio_ins!$B:$B,0))</f>
        <v>840.50822000000005</v>
      </c>
      <c r="AU345" s="10">
        <f>INDEX([1]ratio_ins!AR:AR,MATCH('001_population_health_zone_zs'!$B$2,[1]ratio_ins!$B:$B,0))*$G345*INDEX([1]ratio_ins!$D:$D,MATCH('001_population_health_zone_zs'!$B345,[1]ratio_ins!$B:$B,0))</f>
        <v>504.30493200000001</v>
      </c>
      <c r="AV345" s="10">
        <f>INDEX([1]ratio_ins!AS:AS,MATCH('001_population_health_zone_zs'!$B$2,[1]ratio_ins!$B:$B,0))*$G345*INDEX([1]ratio_ins!$D:$D,MATCH('001_population_health_zone_zs'!$B345,[1]ratio_ins!$B:$B,0))</f>
        <v>252.152466</v>
      </c>
      <c r="AW345" s="10">
        <f>INDEX([1]ratio_ins!AT:AT,MATCH('001_population_health_zone_zs'!$B$2,[1]ratio_ins!$B:$B,0))*$G345*INDEX([1]ratio_ins!$D:$D,MATCH('001_population_health_zone_zs'!$B345,[1]ratio_ins!$B:$B,0))</f>
        <v>168.10164399999999</v>
      </c>
      <c r="AX345" s="13">
        <f>INDEX([1]ratio_ins!AU:AU,MATCH('001_population_health_zone_zs'!$B$2,[1]ratio_ins!$B:$B,0))*$G345*INDEX([1]ratio_ins!$D:$D,MATCH('001_population_health_zone_zs'!$B345,[1]ratio_ins!$B:$B,0))</f>
        <v>1765.0672619999998</v>
      </c>
      <c r="AY345" s="14">
        <f t="shared" si="31"/>
        <v>84050.821999999986</v>
      </c>
      <c r="AZ345" s="15">
        <f t="shared" si="32"/>
        <v>163523</v>
      </c>
      <c r="BA345" s="16">
        <v>157053.20413460757</v>
      </c>
      <c r="BB345" s="10">
        <f t="shared" si="33"/>
        <v>35721.599349999997</v>
      </c>
      <c r="BC345" s="17">
        <f t="shared" si="34"/>
        <v>0.21844999999999998</v>
      </c>
      <c r="BD345" s="10">
        <f t="shared" si="35"/>
        <v>33139.898225999998</v>
      </c>
    </row>
    <row r="346" spans="1:56" x14ac:dyDescent="0.25">
      <c r="A346" s="8" t="s">
        <v>831</v>
      </c>
      <c r="B346" s="8" t="s">
        <v>832</v>
      </c>
      <c r="C346" s="8" t="s">
        <v>846</v>
      </c>
      <c r="D346" s="8" t="s">
        <v>847</v>
      </c>
      <c r="E346" s="8" t="s">
        <v>849</v>
      </c>
      <c r="F346" s="8" t="s">
        <v>850</v>
      </c>
      <c r="G346" s="9">
        <v>110500</v>
      </c>
      <c r="H346" s="10">
        <f>INDEX([1]ratio_ins!F:F,MATCH('001_population_health_zone_zs'!$B$2,[1]ratio_ins!$B:$B,0))*$G346*INDEX([1]ratio_ins!$C:$C,MATCH('001_population_health_zone_zs'!$B346,[1]ratio_ins!$B:$B,0))</f>
        <v>11223.927</v>
      </c>
      <c r="I346" s="10">
        <f>INDEX([1]ratio_ins!G:G,MATCH('001_population_health_zone_zs'!$B$2,[1]ratio_ins!$B:$B,0))*$G346*INDEX([1]ratio_ins!$C:$C,MATCH('001_population_health_zone_zs'!$B346,[1]ratio_ins!$B:$B,0))</f>
        <v>9183.2129999999997</v>
      </c>
      <c r="J346" s="10">
        <f>INDEX([1]ratio_ins!H:H,MATCH('001_population_health_zone_zs'!$B$2,[1]ratio_ins!$B:$B,0))*$G346*INDEX([1]ratio_ins!$C:$C,MATCH('001_population_health_zone_zs'!$B346,[1]ratio_ins!$B:$B,0))</f>
        <v>7249.9050000000007</v>
      </c>
      <c r="K346" s="10">
        <f>INDEX([1]ratio_ins!I:I,MATCH('001_population_health_zone_zs'!$B$2,[1]ratio_ins!$B:$B,0))*$G346*INDEX([1]ratio_ins!$C:$C,MATCH('001_population_health_zone_zs'!$B346,[1]ratio_ins!$B:$B,0))</f>
        <v>4457.3490000000002</v>
      </c>
      <c r="L346" s="10">
        <f>INDEX([1]ratio_ins!J:J,MATCH('001_population_health_zone_zs'!$B$2,[1]ratio_ins!$B:$B,0))*$G346*INDEX([1]ratio_ins!$C:$C,MATCH('001_population_health_zone_zs'!$B346,[1]ratio_ins!$B:$B,0))</f>
        <v>2674.4093999999996</v>
      </c>
      <c r="M346" s="11">
        <f>INDEX([1]ratio_ins!K:K,MATCH('001_population_health_zone_zs'!$B$2,[1]ratio_ins!$B:$B,0))*$G346*INDEX([1]ratio_ins!$C:$C,MATCH('001_population_health_zone_zs'!$B346,[1]ratio_ins!$B:$B,0))</f>
        <v>30331.454399999995</v>
      </c>
      <c r="N346" s="10">
        <f>INDEX([1]ratio_ins!L:L,MATCH('001_population_health_zone_zs'!$B$2,[1]ratio_ins!$B:$B,0))*$G346*INDEX([1]ratio_ins!$C:$C,MATCH('001_population_health_zone_zs'!$B346,[1]ratio_ins!$B:$B,0))</f>
        <v>1782.9395999999999</v>
      </c>
      <c r="O346" s="10">
        <f>INDEX([1]ratio_ins!M:M,MATCH('001_population_health_zone_zs'!$B$2,[1]ratio_ins!$B:$B,0))*$G346*INDEX([1]ratio_ins!$C:$C,MATCH('001_population_health_zone_zs'!$B346,[1]ratio_ins!$B:$B,0))</f>
        <v>3866.6160000000004</v>
      </c>
      <c r="P346" s="10">
        <f>INDEX([1]ratio_ins!N:N,MATCH('001_population_health_zone_zs'!$B$2,[1]ratio_ins!$B:$B,0))*$G346*INDEX([1]ratio_ins!$C:$C,MATCH('001_population_health_zone_zs'!$B346,[1]ratio_ins!$B:$B,0))</f>
        <v>3490.6949999999997</v>
      </c>
      <c r="Q346" s="10">
        <f>INDEX([1]ratio_ins!O:O,MATCH('001_population_health_zone_zs'!$B$2,[1]ratio_ins!$B:$B,0))*$G346*INDEX([1]ratio_ins!$C:$C,MATCH('001_population_health_zone_zs'!$B346,[1]ratio_ins!$B:$B,0))</f>
        <v>3114.7739999999999</v>
      </c>
      <c r="R346" s="10">
        <f>INDEX([1]ratio_ins!P:P,MATCH('001_population_health_zone_zs'!$B$2,[1]ratio_ins!$B:$B,0))*$G346*INDEX([1]ratio_ins!$C:$C,MATCH('001_population_health_zone_zs'!$B346,[1]ratio_ins!$B:$B,0))</f>
        <v>3061.0709999999999</v>
      </c>
      <c r="S346" s="10">
        <f>INDEX([1]ratio_ins!Q:Q,MATCH('001_population_health_zone_zs'!$B$2,[1]ratio_ins!$B:$B,0))*$G346*INDEX([1]ratio_ins!$C:$C,MATCH('001_population_health_zone_zs'!$B346,[1]ratio_ins!$B:$B,0))</f>
        <v>2577.7440000000001</v>
      </c>
      <c r="T346" s="10">
        <f>INDEX([1]ratio_ins!R:R,MATCH('001_population_health_zone_zs'!$B$2,[1]ratio_ins!$B:$B,0))*$G346*INDEX([1]ratio_ins!$C:$C,MATCH('001_population_health_zone_zs'!$B346,[1]ratio_ins!$B:$B,0))</f>
        <v>1825.9020000000003</v>
      </c>
      <c r="U346" s="10">
        <f>INDEX([1]ratio_ins!S:S,MATCH('001_population_health_zone_zs'!$B$2,[1]ratio_ins!$B:$B,0))*$G346*INDEX([1]ratio_ins!$C:$C,MATCH('001_population_health_zone_zs'!$B346,[1]ratio_ins!$B:$B,0))</f>
        <v>1449.9810000000002</v>
      </c>
      <c r="V346" s="10">
        <f>INDEX([1]ratio_ins!T:T,MATCH('001_population_health_zone_zs'!$B$2,[1]ratio_ins!$B:$B,0))*$G346*INDEX([1]ratio_ins!$C:$C,MATCH('001_population_health_zone_zs'!$B346,[1]ratio_ins!$B:$B,0))</f>
        <v>805.54499999999996</v>
      </c>
      <c r="W346" s="11">
        <f>INDEX([1]ratio_ins!U:U,MATCH('001_population_health_zone_zs'!$B$2,[1]ratio_ins!$B:$B,0))*$G346*INDEX([1]ratio_ins!$C:$C,MATCH('001_population_health_zone_zs'!$B346,[1]ratio_ins!$B:$B,0))</f>
        <v>21975.267599999999</v>
      </c>
      <c r="X346" s="10">
        <f>INDEX([1]ratio_ins!V:V,MATCH('001_population_health_zone_zs'!$B$2,[1]ratio_ins!$B:$B,0))*$G346*INDEX([1]ratio_ins!$C:$C,MATCH('001_population_health_zone_zs'!$B346,[1]ratio_ins!$B:$B,0))</f>
        <v>644.43600000000004</v>
      </c>
      <c r="Y346" s="10">
        <f>INDEX([1]ratio_ins!W:W,MATCH('001_population_health_zone_zs'!$B$2,[1]ratio_ins!$B:$B,0))*$G346*INDEX([1]ratio_ins!$C:$C,MATCH('001_population_health_zone_zs'!$B346,[1]ratio_ins!$B:$B,0))</f>
        <v>429.62399999999997</v>
      </c>
      <c r="Z346" s="10">
        <f>INDEX([1]ratio_ins!X:X,MATCH('001_population_health_zone_zs'!$B$2,[1]ratio_ins!$B:$B,0))*$G346*INDEX([1]ratio_ins!$C:$C,MATCH('001_population_health_zone_zs'!$B346,[1]ratio_ins!$B:$B,0))</f>
        <v>214.81199999999998</v>
      </c>
      <c r="AA346" s="10">
        <f>INDEX([1]ratio_ins!Y:Y,MATCH('001_population_health_zone_zs'!$B$2,[1]ratio_ins!$B:$B,0))*$G346*INDEX([1]ratio_ins!$C:$C,MATCH('001_population_health_zone_zs'!$B346,[1]ratio_ins!$B:$B,0))</f>
        <v>107.40599999999999</v>
      </c>
      <c r="AB346" s="11">
        <f>INDEX([1]ratio_ins!Z:Z,MATCH('001_population_health_zone_zs'!$B$2,[1]ratio_ins!$B:$B,0))*$G346*INDEX([1]ratio_ins!$C:$C,MATCH('001_population_health_zone_zs'!$B346,[1]ratio_ins!$B:$B,0))</f>
        <v>1396.2780000000002</v>
      </c>
      <c r="AC346" s="12">
        <f t="shared" si="30"/>
        <v>53702.999999999993</v>
      </c>
      <c r="AD346" s="10">
        <f>INDEX([1]ratio_ins!AA:AA,MATCH('001_population_health_zone_zs'!$B$2,[1]ratio_ins!$B:$B,0))*$G346*INDEX([1]ratio_ins!$D:$D,MATCH('001_population_health_zone_zs'!$B346,[1]ratio_ins!$B:$B,0))</f>
        <v>11927.37</v>
      </c>
      <c r="AE346" s="10">
        <f>INDEX([1]ratio_ins!AB:AB,MATCH('001_population_health_zone_zs'!$B$2,[1]ratio_ins!$B:$B,0))*$G346*INDEX([1]ratio_ins!$D:$D,MATCH('001_population_health_zone_zs'!$B346,[1]ratio_ins!$B:$B,0))</f>
        <v>9825.8809999999994</v>
      </c>
      <c r="AF346" s="10">
        <f>INDEX([1]ratio_ins!AC:AC,MATCH('001_population_health_zone_zs'!$B$2,[1]ratio_ins!$B:$B,0))*$G346*INDEX([1]ratio_ins!$D:$D,MATCH('001_population_health_zone_zs'!$B346,[1]ratio_ins!$B:$B,0))</f>
        <v>7781.1889999999994</v>
      </c>
      <c r="AG346" s="10">
        <f>INDEX([1]ratio_ins!AD:AD,MATCH('001_population_health_zone_zs'!$B$2,[1]ratio_ins!$B:$B,0))*$G346*INDEX([1]ratio_ins!$D:$D,MATCH('001_population_health_zone_zs'!$B346,[1]ratio_ins!$B:$B,0))</f>
        <v>4714.1509999999998</v>
      </c>
      <c r="AH346" s="10">
        <f>INDEX([1]ratio_ins!AE:AE,MATCH('001_population_health_zone_zs'!$B$2,[1]ratio_ins!$B:$B,0))*$G346*INDEX([1]ratio_ins!$D:$D,MATCH('001_population_health_zone_zs'!$B346,[1]ratio_ins!$B:$B,0))</f>
        <v>2828.4906000000001</v>
      </c>
      <c r="AI346" s="13">
        <f>INDEX([1]ratio_ins!AF:AF,MATCH('001_population_health_zone_zs'!$B$2,[1]ratio_ins!$B:$B,0))*$G346*INDEX([1]ratio_ins!$D:$D,MATCH('001_population_health_zone_zs'!$B346,[1]ratio_ins!$B:$B,0))</f>
        <v>32362.930599999996</v>
      </c>
      <c r="AJ346" s="10">
        <f>INDEX([1]ratio_ins!AG:AG,MATCH('001_population_health_zone_zs'!$B$2,[1]ratio_ins!$B:$B,0))*$G346*INDEX([1]ratio_ins!$D:$D,MATCH('001_population_health_zone_zs'!$B346,[1]ratio_ins!$B:$B,0))</f>
        <v>1885.6604</v>
      </c>
      <c r="AK346" s="10">
        <f>INDEX([1]ratio_ins!AH:AH,MATCH('001_population_health_zone_zs'!$B$2,[1]ratio_ins!$B:$B,0))*$G346*INDEX([1]ratio_ins!$D:$D,MATCH('001_population_health_zone_zs'!$B346,[1]ratio_ins!$B:$B,0))</f>
        <v>4202.978000000001</v>
      </c>
      <c r="AL346" s="10">
        <f>INDEX([1]ratio_ins!AI:AI,MATCH('001_population_health_zone_zs'!$B$2,[1]ratio_ins!$B:$B,0))*$G346*INDEX([1]ratio_ins!$D:$D,MATCH('001_population_health_zone_zs'!$B346,[1]ratio_ins!$B:$B,0))</f>
        <v>3975.7900000000004</v>
      </c>
      <c r="AM346" s="10">
        <f>INDEX([1]ratio_ins!AJ:AJ,MATCH('001_population_health_zone_zs'!$B$2,[1]ratio_ins!$B:$B,0))*$G346*INDEX([1]ratio_ins!$D:$D,MATCH('001_population_health_zone_zs'!$B346,[1]ratio_ins!$B:$B,0))</f>
        <v>3635.0080000000003</v>
      </c>
      <c r="AN346" s="10">
        <f>INDEX([1]ratio_ins!AK:AK,MATCH('001_population_health_zone_zs'!$B$2,[1]ratio_ins!$B:$B,0))*$G346*INDEX([1]ratio_ins!$D:$D,MATCH('001_population_health_zone_zs'!$B346,[1]ratio_ins!$B:$B,0))</f>
        <v>3407.82</v>
      </c>
      <c r="AO346" s="10">
        <f>INDEX([1]ratio_ins!AL:AL,MATCH('001_population_health_zone_zs'!$B$2,[1]ratio_ins!$B:$B,0))*$G346*INDEX([1]ratio_ins!$D:$D,MATCH('001_population_health_zone_zs'!$B346,[1]ratio_ins!$B:$B,0))</f>
        <v>2555.8650000000002</v>
      </c>
      <c r="AP346" s="10">
        <f>INDEX([1]ratio_ins!AM:AM,MATCH('001_population_health_zone_zs'!$B$2,[1]ratio_ins!$B:$B,0))*$G346*INDEX([1]ratio_ins!$D:$D,MATCH('001_population_health_zone_zs'!$B346,[1]ratio_ins!$B:$B,0))</f>
        <v>1647.1130000000001</v>
      </c>
      <c r="AQ346" s="10">
        <f>INDEX([1]ratio_ins!AN:AN,MATCH('001_population_health_zone_zs'!$B$2,[1]ratio_ins!$B:$B,0))*$G346*INDEX([1]ratio_ins!$D:$D,MATCH('001_population_health_zone_zs'!$B346,[1]ratio_ins!$B:$B,0))</f>
        <v>1306.3310000000001</v>
      </c>
      <c r="AR346" s="10">
        <f>INDEX([1]ratio_ins!AO:AO,MATCH('001_population_health_zone_zs'!$B$2,[1]ratio_ins!$B:$B,0))*$G346*INDEX([1]ratio_ins!$D:$D,MATCH('001_population_health_zone_zs'!$B346,[1]ratio_ins!$B:$B,0))</f>
        <v>624.76700000000017</v>
      </c>
      <c r="AS346" s="13">
        <f>INDEX([1]ratio_ins!AP:AP,MATCH('001_population_health_zone_zs'!$B$2,[1]ratio_ins!$B:$B,0))*$G346*INDEX([1]ratio_ins!$D:$D,MATCH('001_population_health_zone_zs'!$B346,[1]ratio_ins!$B:$B,0))</f>
        <v>23241.332399999999</v>
      </c>
      <c r="AT346" s="10">
        <f>INDEX([1]ratio_ins!AQ:AQ,MATCH('001_population_health_zone_zs'!$B$2,[1]ratio_ins!$B:$B,0))*$G346*INDEX([1]ratio_ins!$D:$D,MATCH('001_population_health_zone_zs'!$B346,[1]ratio_ins!$B:$B,0))</f>
        <v>567.97</v>
      </c>
      <c r="AU346" s="10">
        <f>INDEX([1]ratio_ins!AR:AR,MATCH('001_population_health_zone_zs'!$B$2,[1]ratio_ins!$B:$B,0))*$G346*INDEX([1]ratio_ins!$D:$D,MATCH('001_population_health_zone_zs'!$B346,[1]ratio_ins!$B:$B,0))</f>
        <v>340.78199999999998</v>
      </c>
      <c r="AV346" s="10">
        <f>INDEX([1]ratio_ins!AS:AS,MATCH('001_population_health_zone_zs'!$B$2,[1]ratio_ins!$B:$B,0))*$G346*INDEX([1]ratio_ins!$D:$D,MATCH('001_population_health_zone_zs'!$B346,[1]ratio_ins!$B:$B,0))</f>
        <v>170.39099999999999</v>
      </c>
      <c r="AW346" s="10">
        <f>INDEX([1]ratio_ins!AT:AT,MATCH('001_population_health_zone_zs'!$B$2,[1]ratio_ins!$B:$B,0))*$G346*INDEX([1]ratio_ins!$D:$D,MATCH('001_population_health_zone_zs'!$B346,[1]ratio_ins!$B:$B,0))</f>
        <v>113.59400000000001</v>
      </c>
      <c r="AX346" s="13">
        <f>INDEX([1]ratio_ins!AU:AU,MATCH('001_population_health_zone_zs'!$B$2,[1]ratio_ins!$B:$B,0))*$G346*INDEX([1]ratio_ins!$D:$D,MATCH('001_population_health_zone_zs'!$B346,[1]ratio_ins!$B:$B,0))</f>
        <v>1192.7369999999999</v>
      </c>
      <c r="AY346" s="14">
        <f t="shared" si="31"/>
        <v>56796.999999999993</v>
      </c>
      <c r="AZ346" s="15">
        <f t="shared" si="32"/>
        <v>110499.99999999999</v>
      </c>
      <c r="BA346" s="16">
        <v>106127.84654707096</v>
      </c>
      <c r="BB346" s="10">
        <f t="shared" si="33"/>
        <v>24138.725000000006</v>
      </c>
      <c r="BC346" s="17">
        <f t="shared" si="34"/>
        <v>0.21845000000000006</v>
      </c>
      <c r="BD346" s="10">
        <f t="shared" si="35"/>
        <v>22394.150999999998</v>
      </c>
    </row>
    <row r="347" spans="1:56" x14ac:dyDescent="0.25">
      <c r="A347" s="8" t="s">
        <v>831</v>
      </c>
      <c r="B347" s="8" t="s">
        <v>832</v>
      </c>
      <c r="C347" s="8" t="s">
        <v>851</v>
      </c>
      <c r="D347" s="8" t="s">
        <v>852</v>
      </c>
      <c r="E347" s="8" t="s">
        <v>853</v>
      </c>
      <c r="F347" s="8" t="s">
        <v>854</v>
      </c>
      <c r="G347" s="9">
        <v>187074</v>
      </c>
      <c r="H347" s="10">
        <f>INDEX([1]ratio_ins!F:F,MATCH('001_population_health_zone_zs'!$B$2,[1]ratio_ins!$B:$B,0))*$G347*INDEX([1]ratio_ins!$C:$C,MATCH('001_population_health_zone_zs'!$B347,[1]ratio_ins!$B:$B,0))</f>
        <v>19001.854476</v>
      </c>
      <c r="I347" s="10">
        <f>INDEX([1]ratio_ins!G:G,MATCH('001_population_health_zone_zs'!$B$2,[1]ratio_ins!$B:$B,0))*$G347*INDEX([1]ratio_ins!$C:$C,MATCH('001_population_health_zone_zs'!$B347,[1]ratio_ins!$B:$B,0))</f>
        <v>15546.971844000002</v>
      </c>
      <c r="J347" s="10">
        <f>INDEX([1]ratio_ins!H:H,MATCH('001_population_health_zone_zs'!$B$2,[1]ratio_ins!$B:$B,0))*$G347*INDEX([1]ratio_ins!$C:$C,MATCH('001_population_health_zone_zs'!$B347,[1]ratio_ins!$B:$B,0))</f>
        <v>12273.925140000001</v>
      </c>
      <c r="K347" s="10">
        <f>INDEX([1]ratio_ins!I:I,MATCH('001_population_health_zone_zs'!$B$2,[1]ratio_ins!$B:$B,0))*$G347*INDEX([1]ratio_ins!$C:$C,MATCH('001_population_health_zone_zs'!$B347,[1]ratio_ins!$B:$B,0))</f>
        <v>7546.1910120000002</v>
      </c>
      <c r="L347" s="10">
        <f>INDEX([1]ratio_ins!J:J,MATCH('001_population_health_zone_zs'!$B$2,[1]ratio_ins!$B:$B,0))*$G347*INDEX([1]ratio_ins!$C:$C,MATCH('001_population_health_zone_zs'!$B347,[1]ratio_ins!$B:$B,0))</f>
        <v>4527.7146071999996</v>
      </c>
      <c r="M347" s="11">
        <f>INDEX([1]ratio_ins!K:K,MATCH('001_population_health_zone_zs'!$B$2,[1]ratio_ins!$B:$B,0))*$G347*INDEX([1]ratio_ins!$C:$C,MATCH('001_population_health_zone_zs'!$B347,[1]ratio_ins!$B:$B,0))</f>
        <v>51350.466067199995</v>
      </c>
      <c r="N347" s="10">
        <f>INDEX([1]ratio_ins!L:L,MATCH('001_population_health_zone_zs'!$B$2,[1]ratio_ins!$B:$B,0))*$G347*INDEX([1]ratio_ins!$C:$C,MATCH('001_population_health_zone_zs'!$B347,[1]ratio_ins!$B:$B,0))</f>
        <v>3018.4764048000002</v>
      </c>
      <c r="O347" s="10">
        <f>INDEX([1]ratio_ins!M:M,MATCH('001_population_health_zone_zs'!$B$2,[1]ratio_ins!$B:$B,0))*$G347*INDEX([1]ratio_ins!$C:$C,MATCH('001_population_health_zone_zs'!$B347,[1]ratio_ins!$B:$B,0))</f>
        <v>6546.0934080000006</v>
      </c>
      <c r="P347" s="10">
        <f>INDEX([1]ratio_ins!N:N,MATCH('001_population_health_zone_zs'!$B$2,[1]ratio_ins!$B:$B,0))*$G347*INDEX([1]ratio_ins!$C:$C,MATCH('001_population_health_zone_zs'!$B347,[1]ratio_ins!$B:$B,0))</f>
        <v>5909.6676600000001</v>
      </c>
      <c r="Q347" s="10">
        <f>INDEX([1]ratio_ins!O:O,MATCH('001_population_health_zone_zs'!$B$2,[1]ratio_ins!$B:$B,0))*$G347*INDEX([1]ratio_ins!$C:$C,MATCH('001_population_health_zone_zs'!$B347,[1]ratio_ins!$B:$B,0))</f>
        <v>5273.2419119999995</v>
      </c>
      <c r="R347" s="10">
        <f>INDEX([1]ratio_ins!P:P,MATCH('001_population_health_zone_zs'!$B$2,[1]ratio_ins!$B:$B,0))*$G347*INDEX([1]ratio_ins!$C:$C,MATCH('001_population_health_zone_zs'!$B347,[1]ratio_ins!$B:$B,0))</f>
        <v>5182.3239480000002</v>
      </c>
      <c r="S347" s="10">
        <f>INDEX([1]ratio_ins!Q:Q,MATCH('001_population_health_zone_zs'!$B$2,[1]ratio_ins!$B:$B,0))*$G347*INDEX([1]ratio_ins!$C:$C,MATCH('001_population_health_zone_zs'!$B347,[1]ratio_ins!$B:$B,0))</f>
        <v>4364.0622720000001</v>
      </c>
      <c r="T347" s="10">
        <f>INDEX([1]ratio_ins!R:R,MATCH('001_population_health_zone_zs'!$B$2,[1]ratio_ins!$B:$B,0))*$G347*INDEX([1]ratio_ins!$C:$C,MATCH('001_population_health_zone_zs'!$B347,[1]ratio_ins!$B:$B,0))</f>
        <v>3091.2107760000004</v>
      </c>
      <c r="U347" s="10">
        <f>INDEX([1]ratio_ins!S:S,MATCH('001_population_health_zone_zs'!$B$2,[1]ratio_ins!$B:$B,0))*$G347*INDEX([1]ratio_ins!$C:$C,MATCH('001_population_health_zone_zs'!$B347,[1]ratio_ins!$B:$B,0))</f>
        <v>2454.7850280000002</v>
      </c>
      <c r="V347" s="10">
        <f>INDEX([1]ratio_ins!T:T,MATCH('001_population_health_zone_zs'!$B$2,[1]ratio_ins!$B:$B,0))*$G347*INDEX([1]ratio_ins!$C:$C,MATCH('001_population_health_zone_zs'!$B347,[1]ratio_ins!$B:$B,0))</f>
        <v>1363.7694599999998</v>
      </c>
      <c r="W347" s="11">
        <f>INDEX([1]ratio_ins!U:U,MATCH('001_population_health_zone_zs'!$B$2,[1]ratio_ins!$B:$B,0))*$G347*INDEX([1]ratio_ins!$C:$C,MATCH('001_population_health_zone_zs'!$B347,[1]ratio_ins!$B:$B,0))</f>
        <v>37203.630868799999</v>
      </c>
      <c r="X347" s="10">
        <f>INDEX([1]ratio_ins!V:V,MATCH('001_population_health_zone_zs'!$B$2,[1]ratio_ins!$B:$B,0))*$G347*INDEX([1]ratio_ins!$C:$C,MATCH('001_population_health_zone_zs'!$B347,[1]ratio_ins!$B:$B,0))</f>
        <v>1091.015568</v>
      </c>
      <c r="Y347" s="10">
        <f>INDEX([1]ratio_ins!W:W,MATCH('001_population_health_zone_zs'!$B$2,[1]ratio_ins!$B:$B,0))*$G347*INDEX([1]ratio_ins!$C:$C,MATCH('001_population_health_zone_zs'!$B347,[1]ratio_ins!$B:$B,0))</f>
        <v>727.34371199999998</v>
      </c>
      <c r="Z347" s="10">
        <f>INDEX([1]ratio_ins!X:X,MATCH('001_population_health_zone_zs'!$B$2,[1]ratio_ins!$B:$B,0))*$G347*INDEX([1]ratio_ins!$C:$C,MATCH('001_population_health_zone_zs'!$B347,[1]ratio_ins!$B:$B,0))</f>
        <v>363.67185599999999</v>
      </c>
      <c r="AA347" s="10">
        <f>INDEX([1]ratio_ins!Y:Y,MATCH('001_population_health_zone_zs'!$B$2,[1]ratio_ins!$B:$B,0))*$G347*INDEX([1]ratio_ins!$C:$C,MATCH('001_population_health_zone_zs'!$B347,[1]ratio_ins!$B:$B,0))</f>
        <v>181.835928</v>
      </c>
      <c r="AB347" s="11">
        <f>INDEX([1]ratio_ins!Z:Z,MATCH('001_population_health_zone_zs'!$B$2,[1]ratio_ins!$B:$B,0))*$G347*INDEX([1]ratio_ins!$C:$C,MATCH('001_population_health_zone_zs'!$B347,[1]ratio_ins!$B:$B,0))</f>
        <v>2363.867064</v>
      </c>
      <c r="AC347" s="12">
        <f t="shared" si="30"/>
        <v>90917.963999999993</v>
      </c>
      <c r="AD347" s="10">
        <f>INDEX([1]ratio_ins!AA:AA,MATCH('001_population_health_zone_zs'!$B$2,[1]ratio_ins!$B:$B,0))*$G347*INDEX([1]ratio_ins!$D:$D,MATCH('001_population_health_zone_zs'!$B347,[1]ratio_ins!$B:$B,0))</f>
        <v>20192.76756</v>
      </c>
      <c r="AE347" s="10">
        <f>INDEX([1]ratio_ins!AB:AB,MATCH('001_population_health_zone_zs'!$B$2,[1]ratio_ins!$B:$B,0))*$G347*INDEX([1]ratio_ins!$D:$D,MATCH('001_population_health_zone_zs'!$B347,[1]ratio_ins!$B:$B,0))</f>
        <v>16634.994228000003</v>
      </c>
      <c r="AF347" s="10">
        <f>INDEX([1]ratio_ins!AC:AC,MATCH('001_population_health_zone_zs'!$B$2,[1]ratio_ins!$B:$B,0))*$G347*INDEX([1]ratio_ins!$D:$D,MATCH('001_population_health_zone_zs'!$B347,[1]ratio_ins!$B:$B,0))</f>
        <v>13173.376931999997</v>
      </c>
      <c r="AG347" s="10">
        <f>INDEX([1]ratio_ins!AD:AD,MATCH('001_population_health_zone_zs'!$B$2,[1]ratio_ins!$B:$B,0))*$G347*INDEX([1]ratio_ins!$D:$D,MATCH('001_population_health_zone_zs'!$B347,[1]ratio_ins!$B:$B,0))</f>
        <v>7980.9509880000014</v>
      </c>
      <c r="AH347" s="10">
        <f>INDEX([1]ratio_ins!AE:AE,MATCH('001_population_health_zone_zs'!$B$2,[1]ratio_ins!$B:$B,0))*$G347*INDEX([1]ratio_ins!$D:$D,MATCH('001_population_health_zone_zs'!$B347,[1]ratio_ins!$B:$B,0))</f>
        <v>4788.5705928000007</v>
      </c>
      <c r="AI347" s="13">
        <f>INDEX([1]ratio_ins!AF:AF,MATCH('001_population_health_zone_zs'!$B$2,[1]ratio_ins!$B:$B,0))*$G347*INDEX([1]ratio_ins!$D:$D,MATCH('001_population_health_zone_zs'!$B347,[1]ratio_ins!$B:$B,0))</f>
        <v>54789.709312799998</v>
      </c>
      <c r="AJ347" s="10">
        <f>INDEX([1]ratio_ins!AG:AG,MATCH('001_population_health_zone_zs'!$B$2,[1]ratio_ins!$B:$B,0))*$G347*INDEX([1]ratio_ins!$D:$D,MATCH('001_population_health_zone_zs'!$B347,[1]ratio_ins!$B:$B,0))</f>
        <v>3192.3803952000003</v>
      </c>
      <c r="AK347" s="10">
        <f>INDEX([1]ratio_ins!AH:AH,MATCH('001_population_health_zone_zs'!$B$2,[1]ratio_ins!$B:$B,0))*$G347*INDEX([1]ratio_ins!$D:$D,MATCH('001_population_health_zone_zs'!$B347,[1]ratio_ins!$B:$B,0))</f>
        <v>7115.5466640000013</v>
      </c>
      <c r="AL347" s="10">
        <f>INDEX([1]ratio_ins!AI:AI,MATCH('001_population_health_zone_zs'!$B$2,[1]ratio_ins!$B:$B,0))*$G347*INDEX([1]ratio_ins!$D:$D,MATCH('001_population_health_zone_zs'!$B347,[1]ratio_ins!$B:$B,0))</f>
        <v>6730.922520000001</v>
      </c>
      <c r="AM347" s="10">
        <f>INDEX([1]ratio_ins!AJ:AJ,MATCH('001_population_health_zone_zs'!$B$2,[1]ratio_ins!$B:$B,0))*$G347*INDEX([1]ratio_ins!$D:$D,MATCH('001_population_health_zone_zs'!$B347,[1]ratio_ins!$B:$B,0))</f>
        <v>6153.9863040000009</v>
      </c>
      <c r="AN347" s="10">
        <f>INDEX([1]ratio_ins!AK:AK,MATCH('001_population_health_zone_zs'!$B$2,[1]ratio_ins!$B:$B,0))*$G347*INDEX([1]ratio_ins!$D:$D,MATCH('001_population_health_zone_zs'!$B347,[1]ratio_ins!$B:$B,0))</f>
        <v>5769.3621599999997</v>
      </c>
      <c r="AO347" s="10">
        <f>INDEX([1]ratio_ins!AL:AL,MATCH('001_population_health_zone_zs'!$B$2,[1]ratio_ins!$B:$B,0))*$G347*INDEX([1]ratio_ins!$D:$D,MATCH('001_population_health_zone_zs'!$B347,[1]ratio_ins!$B:$B,0))</f>
        <v>4327.0216200000004</v>
      </c>
      <c r="AP347" s="10">
        <f>INDEX([1]ratio_ins!AM:AM,MATCH('001_population_health_zone_zs'!$B$2,[1]ratio_ins!$B:$B,0))*$G347*INDEX([1]ratio_ins!$D:$D,MATCH('001_population_health_zone_zs'!$B347,[1]ratio_ins!$B:$B,0))</f>
        <v>2788.525044</v>
      </c>
      <c r="AQ347" s="10">
        <f>INDEX([1]ratio_ins!AN:AN,MATCH('001_population_health_zone_zs'!$B$2,[1]ratio_ins!$B:$B,0))*$G347*INDEX([1]ratio_ins!$D:$D,MATCH('001_population_health_zone_zs'!$B347,[1]ratio_ins!$B:$B,0))</f>
        <v>2211.5888280000004</v>
      </c>
      <c r="AR347" s="10">
        <f>INDEX([1]ratio_ins!AO:AO,MATCH('001_population_health_zone_zs'!$B$2,[1]ratio_ins!$B:$B,0))*$G347*INDEX([1]ratio_ins!$D:$D,MATCH('001_population_health_zone_zs'!$B347,[1]ratio_ins!$B:$B,0))</f>
        <v>1057.7163960000003</v>
      </c>
      <c r="AS347" s="13">
        <f>INDEX([1]ratio_ins!AP:AP,MATCH('001_population_health_zone_zs'!$B$2,[1]ratio_ins!$B:$B,0))*$G347*INDEX([1]ratio_ins!$D:$D,MATCH('001_population_health_zone_zs'!$B347,[1]ratio_ins!$B:$B,0))</f>
        <v>39347.049931200003</v>
      </c>
      <c r="AT347" s="10">
        <f>INDEX([1]ratio_ins!AQ:AQ,MATCH('001_population_health_zone_zs'!$B$2,[1]ratio_ins!$B:$B,0))*$G347*INDEX([1]ratio_ins!$D:$D,MATCH('001_population_health_zone_zs'!$B347,[1]ratio_ins!$B:$B,0))</f>
        <v>961.56036000000006</v>
      </c>
      <c r="AU347" s="10">
        <f>INDEX([1]ratio_ins!AR:AR,MATCH('001_population_health_zone_zs'!$B$2,[1]ratio_ins!$B:$B,0))*$G347*INDEX([1]ratio_ins!$D:$D,MATCH('001_population_health_zone_zs'!$B347,[1]ratio_ins!$B:$B,0))</f>
        <v>576.93621599999994</v>
      </c>
      <c r="AV347" s="10">
        <f>INDEX([1]ratio_ins!AS:AS,MATCH('001_population_health_zone_zs'!$B$2,[1]ratio_ins!$B:$B,0))*$G347*INDEX([1]ratio_ins!$D:$D,MATCH('001_population_health_zone_zs'!$B347,[1]ratio_ins!$B:$B,0))</f>
        <v>288.46810799999997</v>
      </c>
      <c r="AW347" s="10">
        <f>INDEX([1]ratio_ins!AT:AT,MATCH('001_population_health_zone_zs'!$B$2,[1]ratio_ins!$B:$B,0))*$G347*INDEX([1]ratio_ins!$D:$D,MATCH('001_population_health_zone_zs'!$B347,[1]ratio_ins!$B:$B,0))</f>
        <v>192.31207200000003</v>
      </c>
      <c r="AX347" s="13">
        <f>INDEX([1]ratio_ins!AU:AU,MATCH('001_population_health_zone_zs'!$B$2,[1]ratio_ins!$B:$B,0))*$G347*INDEX([1]ratio_ins!$D:$D,MATCH('001_population_health_zone_zs'!$B347,[1]ratio_ins!$B:$B,0))</f>
        <v>2019.2767559999998</v>
      </c>
      <c r="AY347" s="14">
        <f t="shared" si="31"/>
        <v>96156.036000000007</v>
      </c>
      <c r="AZ347" s="15">
        <f t="shared" si="32"/>
        <v>187074</v>
      </c>
      <c r="BA347" s="16">
        <v>179672.77681031259</v>
      </c>
      <c r="BB347" s="10">
        <f t="shared" si="33"/>
        <v>40866.315300000002</v>
      </c>
      <c r="BC347" s="17">
        <f t="shared" si="34"/>
        <v>0.21845000000000001</v>
      </c>
      <c r="BD347" s="10">
        <f t="shared" si="35"/>
        <v>37912.790988000001</v>
      </c>
    </row>
    <row r="348" spans="1:56" x14ac:dyDescent="0.25">
      <c r="A348" s="8" t="s">
        <v>831</v>
      </c>
      <c r="B348" s="8" t="s">
        <v>832</v>
      </c>
      <c r="C348" s="8" t="s">
        <v>851</v>
      </c>
      <c r="D348" s="8" t="s">
        <v>852</v>
      </c>
      <c r="E348" s="8" t="s">
        <v>855</v>
      </c>
      <c r="F348" s="8" t="s">
        <v>856</v>
      </c>
      <c r="G348" s="9">
        <v>197634</v>
      </c>
      <c r="H348" s="10">
        <f>INDEX([1]ratio_ins!F:F,MATCH('001_population_health_zone_zs'!$B$2,[1]ratio_ins!$B:$B,0))*$G348*INDEX([1]ratio_ins!$C:$C,MATCH('001_population_health_zone_zs'!$B348,[1]ratio_ins!$B:$B,0))</f>
        <v>20074.475915999999</v>
      </c>
      <c r="I348" s="10">
        <f>INDEX([1]ratio_ins!G:G,MATCH('001_population_health_zone_zs'!$B$2,[1]ratio_ins!$B:$B,0))*$G348*INDEX([1]ratio_ins!$C:$C,MATCH('001_population_health_zone_zs'!$B348,[1]ratio_ins!$B:$B,0))</f>
        <v>16424.571204000003</v>
      </c>
      <c r="J348" s="10">
        <f>INDEX([1]ratio_ins!H:H,MATCH('001_population_health_zone_zs'!$B$2,[1]ratio_ins!$B:$B,0))*$G348*INDEX([1]ratio_ins!$C:$C,MATCH('001_population_health_zone_zs'!$B348,[1]ratio_ins!$B:$B,0))</f>
        <v>12966.766739999999</v>
      </c>
      <c r="K348" s="10">
        <f>INDEX([1]ratio_ins!I:I,MATCH('001_population_health_zone_zs'!$B$2,[1]ratio_ins!$B:$B,0))*$G348*INDEX([1]ratio_ins!$C:$C,MATCH('001_population_health_zone_zs'!$B348,[1]ratio_ins!$B:$B,0))</f>
        <v>7972.1602919999996</v>
      </c>
      <c r="L348" s="10">
        <f>INDEX([1]ratio_ins!J:J,MATCH('001_population_health_zone_zs'!$B$2,[1]ratio_ins!$B:$B,0))*$G348*INDEX([1]ratio_ins!$C:$C,MATCH('001_population_health_zone_zs'!$B348,[1]ratio_ins!$B:$B,0))</f>
        <v>4783.2961751999992</v>
      </c>
      <c r="M348" s="11">
        <f>INDEX([1]ratio_ins!K:K,MATCH('001_population_health_zone_zs'!$B$2,[1]ratio_ins!$B:$B,0))*$G348*INDEX([1]ratio_ins!$C:$C,MATCH('001_population_health_zone_zs'!$B348,[1]ratio_ins!$B:$B,0))</f>
        <v>54249.110035199999</v>
      </c>
      <c r="N348" s="10">
        <f>INDEX([1]ratio_ins!L:L,MATCH('001_population_health_zone_zs'!$B$2,[1]ratio_ins!$B:$B,0))*$G348*INDEX([1]ratio_ins!$C:$C,MATCH('001_population_health_zone_zs'!$B348,[1]ratio_ins!$B:$B,0))</f>
        <v>3188.8641167999999</v>
      </c>
      <c r="O348" s="10">
        <f>INDEX([1]ratio_ins!M:M,MATCH('001_population_health_zone_zs'!$B$2,[1]ratio_ins!$B:$B,0))*$G348*INDEX([1]ratio_ins!$C:$C,MATCH('001_population_health_zone_zs'!$B348,[1]ratio_ins!$B:$B,0))</f>
        <v>6915.6089280000006</v>
      </c>
      <c r="P348" s="10">
        <f>INDEX([1]ratio_ins!N:N,MATCH('001_population_health_zone_zs'!$B$2,[1]ratio_ins!$B:$B,0))*$G348*INDEX([1]ratio_ins!$C:$C,MATCH('001_population_health_zone_zs'!$B348,[1]ratio_ins!$B:$B,0))</f>
        <v>6243.2580600000001</v>
      </c>
      <c r="Q348" s="10">
        <f>INDEX([1]ratio_ins!O:O,MATCH('001_population_health_zone_zs'!$B$2,[1]ratio_ins!$B:$B,0))*$G348*INDEX([1]ratio_ins!$C:$C,MATCH('001_population_health_zone_zs'!$B348,[1]ratio_ins!$B:$B,0))</f>
        <v>5570.9071919999997</v>
      </c>
      <c r="R348" s="10">
        <f>INDEX([1]ratio_ins!P:P,MATCH('001_population_health_zone_zs'!$B$2,[1]ratio_ins!$B:$B,0))*$G348*INDEX([1]ratio_ins!$C:$C,MATCH('001_population_health_zone_zs'!$B348,[1]ratio_ins!$B:$B,0))</f>
        <v>5474.8570680000003</v>
      </c>
      <c r="S348" s="10">
        <f>INDEX([1]ratio_ins!Q:Q,MATCH('001_population_health_zone_zs'!$B$2,[1]ratio_ins!$B:$B,0))*$G348*INDEX([1]ratio_ins!$C:$C,MATCH('001_population_health_zone_zs'!$B348,[1]ratio_ins!$B:$B,0))</f>
        <v>4610.4059520000001</v>
      </c>
      <c r="T348" s="10">
        <f>INDEX([1]ratio_ins!R:R,MATCH('001_population_health_zone_zs'!$B$2,[1]ratio_ins!$B:$B,0))*$G348*INDEX([1]ratio_ins!$C:$C,MATCH('001_population_health_zone_zs'!$B348,[1]ratio_ins!$B:$B,0))</f>
        <v>3265.7042160000001</v>
      </c>
      <c r="U348" s="10">
        <f>INDEX([1]ratio_ins!S:S,MATCH('001_population_health_zone_zs'!$B$2,[1]ratio_ins!$B:$B,0))*$G348*INDEX([1]ratio_ins!$C:$C,MATCH('001_population_health_zone_zs'!$B348,[1]ratio_ins!$B:$B,0))</f>
        <v>2593.3533480000001</v>
      </c>
      <c r="V348" s="10">
        <f>INDEX([1]ratio_ins!T:T,MATCH('001_population_health_zone_zs'!$B$2,[1]ratio_ins!$B:$B,0))*$G348*INDEX([1]ratio_ins!$C:$C,MATCH('001_population_health_zone_zs'!$B348,[1]ratio_ins!$B:$B,0))</f>
        <v>1440.7518599999999</v>
      </c>
      <c r="W348" s="11">
        <f>INDEX([1]ratio_ins!U:U,MATCH('001_population_health_zone_zs'!$B$2,[1]ratio_ins!$B:$B,0))*$G348*INDEX([1]ratio_ins!$C:$C,MATCH('001_population_health_zone_zs'!$B348,[1]ratio_ins!$B:$B,0))</f>
        <v>39303.710740800001</v>
      </c>
      <c r="X348" s="10">
        <f>INDEX([1]ratio_ins!V:V,MATCH('001_population_health_zone_zs'!$B$2,[1]ratio_ins!$B:$B,0))*$G348*INDEX([1]ratio_ins!$C:$C,MATCH('001_population_health_zone_zs'!$B348,[1]ratio_ins!$B:$B,0))</f>
        <v>1152.601488</v>
      </c>
      <c r="Y348" s="10">
        <f>INDEX([1]ratio_ins!W:W,MATCH('001_population_health_zone_zs'!$B$2,[1]ratio_ins!$B:$B,0))*$G348*INDEX([1]ratio_ins!$C:$C,MATCH('001_population_health_zone_zs'!$B348,[1]ratio_ins!$B:$B,0))</f>
        <v>768.40099200000009</v>
      </c>
      <c r="Z348" s="10">
        <f>INDEX([1]ratio_ins!X:X,MATCH('001_population_health_zone_zs'!$B$2,[1]ratio_ins!$B:$B,0))*$G348*INDEX([1]ratio_ins!$C:$C,MATCH('001_population_health_zone_zs'!$B348,[1]ratio_ins!$B:$B,0))</f>
        <v>384.20049600000004</v>
      </c>
      <c r="AA348" s="10">
        <f>INDEX([1]ratio_ins!Y:Y,MATCH('001_population_health_zone_zs'!$B$2,[1]ratio_ins!$B:$B,0))*$G348*INDEX([1]ratio_ins!$C:$C,MATCH('001_population_health_zone_zs'!$B348,[1]ratio_ins!$B:$B,0))</f>
        <v>192.10024800000002</v>
      </c>
      <c r="AB348" s="11">
        <f>INDEX([1]ratio_ins!Z:Z,MATCH('001_population_health_zone_zs'!$B$2,[1]ratio_ins!$B:$B,0))*$G348*INDEX([1]ratio_ins!$C:$C,MATCH('001_population_health_zone_zs'!$B348,[1]ratio_ins!$B:$B,0))</f>
        <v>2497.3032240000002</v>
      </c>
      <c r="AC348" s="12">
        <f t="shared" si="30"/>
        <v>96050.124000000011</v>
      </c>
      <c r="AD348" s="10">
        <f>INDEX([1]ratio_ins!AA:AA,MATCH('001_population_health_zone_zs'!$B$2,[1]ratio_ins!$B:$B,0))*$G348*INDEX([1]ratio_ins!$D:$D,MATCH('001_population_health_zone_zs'!$B348,[1]ratio_ins!$B:$B,0))</f>
        <v>21332.613959999999</v>
      </c>
      <c r="AE348" s="10">
        <f>INDEX([1]ratio_ins!AB:AB,MATCH('001_population_health_zone_zs'!$B$2,[1]ratio_ins!$B:$B,0))*$G348*INDEX([1]ratio_ins!$D:$D,MATCH('001_population_health_zone_zs'!$B348,[1]ratio_ins!$B:$B,0))</f>
        <v>17574.010548000002</v>
      </c>
      <c r="AF348" s="10">
        <f>INDEX([1]ratio_ins!AC:AC,MATCH('001_population_health_zone_zs'!$B$2,[1]ratio_ins!$B:$B,0))*$G348*INDEX([1]ratio_ins!$D:$D,MATCH('001_population_health_zone_zs'!$B348,[1]ratio_ins!$B:$B,0))</f>
        <v>13916.991011999999</v>
      </c>
      <c r="AG348" s="10">
        <f>INDEX([1]ratio_ins!AD:AD,MATCH('001_population_health_zone_zs'!$B$2,[1]ratio_ins!$B:$B,0))*$G348*INDEX([1]ratio_ins!$D:$D,MATCH('001_population_health_zone_zs'!$B348,[1]ratio_ins!$B:$B,0))</f>
        <v>8431.4617080000007</v>
      </c>
      <c r="AH348" s="10">
        <f>INDEX([1]ratio_ins!AE:AE,MATCH('001_population_health_zone_zs'!$B$2,[1]ratio_ins!$B:$B,0))*$G348*INDEX([1]ratio_ins!$D:$D,MATCH('001_population_health_zone_zs'!$B348,[1]ratio_ins!$B:$B,0))</f>
        <v>5058.8770248000001</v>
      </c>
      <c r="AI348" s="13">
        <f>INDEX([1]ratio_ins!AF:AF,MATCH('001_population_health_zone_zs'!$B$2,[1]ratio_ins!$B:$B,0))*$G348*INDEX([1]ratio_ins!$D:$D,MATCH('001_population_health_zone_zs'!$B348,[1]ratio_ins!$B:$B,0))</f>
        <v>57882.492544799999</v>
      </c>
      <c r="AJ348" s="10">
        <f>INDEX([1]ratio_ins!AG:AG,MATCH('001_population_health_zone_zs'!$B$2,[1]ratio_ins!$B:$B,0))*$G348*INDEX([1]ratio_ins!$D:$D,MATCH('001_population_health_zone_zs'!$B348,[1]ratio_ins!$B:$B,0))</f>
        <v>3372.5846832000002</v>
      </c>
      <c r="AK348" s="10">
        <f>INDEX([1]ratio_ins!AH:AH,MATCH('001_population_health_zone_zs'!$B$2,[1]ratio_ins!$B:$B,0))*$G348*INDEX([1]ratio_ins!$D:$D,MATCH('001_population_health_zone_zs'!$B348,[1]ratio_ins!$B:$B,0))</f>
        <v>7517.2068240000017</v>
      </c>
      <c r="AL348" s="10">
        <f>INDEX([1]ratio_ins!AI:AI,MATCH('001_population_health_zone_zs'!$B$2,[1]ratio_ins!$B:$B,0))*$G348*INDEX([1]ratio_ins!$D:$D,MATCH('001_population_health_zone_zs'!$B348,[1]ratio_ins!$B:$B,0))</f>
        <v>7110.8713200000011</v>
      </c>
      <c r="AM348" s="10">
        <f>INDEX([1]ratio_ins!AJ:AJ,MATCH('001_population_health_zone_zs'!$B$2,[1]ratio_ins!$B:$B,0))*$G348*INDEX([1]ratio_ins!$D:$D,MATCH('001_population_health_zone_zs'!$B348,[1]ratio_ins!$B:$B,0))</f>
        <v>6501.3680640000002</v>
      </c>
      <c r="AN348" s="10">
        <f>INDEX([1]ratio_ins!AK:AK,MATCH('001_population_health_zone_zs'!$B$2,[1]ratio_ins!$B:$B,0))*$G348*INDEX([1]ratio_ins!$D:$D,MATCH('001_population_health_zone_zs'!$B348,[1]ratio_ins!$B:$B,0))</f>
        <v>6095.0325599999996</v>
      </c>
      <c r="AO348" s="10">
        <f>INDEX([1]ratio_ins!AL:AL,MATCH('001_population_health_zone_zs'!$B$2,[1]ratio_ins!$B:$B,0))*$G348*INDEX([1]ratio_ins!$D:$D,MATCH('001_population_health_zone_zs'!$B348,[1]ratio_ins!$B:$B,0))</f>
        <v>4571.2744199999997</v>
      </c>
      <c r="AP348" s="10">
        <f>INDEX([1]ratio_ins!AM:AM,MATCH('001_population_health_zone_zs'!$B$2,[1]ratio_ins!$B:$B,0))*$G348*INDEX([1]ratio_ins!$D:$D,MATCH('001_population_health_zone_zs'!$B348,[1]ratio_ins!$B:$B,0))</f>
        <v>2945.9324039999997</v>
      </c>
      <c r="AQ348" s="10">
        <f>INDEX([1]ratio_ins!AN:AN,MATCH('001_population_health_zone_zs'!$B$2,[1]ratio_ins!$B:$B,0))*$G348*INDEX([1]ratio_ins!$D:$D,MATCH('001_population_health_zone_zs'!$B348,[1]ratio_ins!$B:$B,0))</f>
        <v>2336.4291480000002</v>
      </c>
      <c r="AR348" s="10">
        <f>INDEX([1]ratio_ins!AO:AO,MATCH('001_population_health_zone_zs'!$B$2,[1]ratio_ins!$B:$B,0))*$G348*INDEX([1]ratio_ins!$D:$D,MATCH('001_population_health_zone_zs'!$B348,[1]ratio_ins!$B:$B,0))</f>
        <v>1117.422636</v>
      </c>
      <c r="AS348" s="13">
        <f>INDEX([1]ratio_ins!AP:AP,MATCH('001_population_health_zone_zs'!$B$2,[1]ratio_ins!$B:$B,0))*$G348*INDEX([1]ratio_ins!$D:$D,MATCH('001_population_health_zone_zs'!$B348,[1]ratio_ins!$B:$B,0))</f>
        <v>41568.122059200003</v>
      </c>
      <c r="AT348" s="10">
        <f>INDEX([1]ratio_ins!AQ:AQ,MATCH('001_population_health_zone_zs'!$B$2,[1]ratio_ins!$B:$B,0))*$G348*INDEX([1]ratio_ins!$D:$D,MATCH('001_population_health_zone_zs'!$B348,[1]ratio_ins!$B:$B,0))</f>
        <v>1015.8387600000001</v>
      </c>
      <c r="AU348" s="10">
        <f>INDEX([1]ratio_ins!AR:AR,MATCH('001_population_health_zone_zs'!$B$2,[1]ratio_ins!$B:$B,0))*$G348*INDEX([1]ratio_ins!$D:$D,MATCH('001_population_health_zone_zs'!$B348,[1]ratio_ins!$B:$B,0))</f>
        <v>609.50325600000008</v>
      </c>
      <c r="AV348" s="10">
        <f>INDEX([1]ratio_ins!AS:AS,MATCH('001_population_health_zone_zs'!$B$2,[1]ratio_ins!$B:$B,0))*$G348*INDEX([1]ratio_ins!$D:$D,MATCH('001_population_health_zone_zs'!$B348,[1]ratio_ins!$B:$B,0))</f>
        <v>304.75162800000004</v>
      </c>
      <c r="AW348" s="10">
        <f>INDEX([1]ratio_ins!AT:AT,MATCH('001_population_health_zone_zs'!$B$2,[1]ratio_ins!$B:$B,0))*$G348*INDEX([1]ratio_ins!$D:$D,MATCH('001_population_health_zone_zs'!$B348,[1]ratio_ins!$B:$B,0))</f>
        <v>203.16775200000001</v>
      </c>
      <c r="AX348" s="13">
        <f>INDEX([1]ratio_ins!AU:AU,MATCH('001_population_health_zone_zs'!$B$2,[1]ratio_ins!$B:$B,0))*$G348*INDEX([1]ratio_ins!$D:$D,MATCH('001_population_health_zone_zs'!$B348,[1]ratio_ins!$B:$B,0))</f>
        <v>2133.2613959999999</v>
      </c>
      <c r="AY348" s="14">
        <f t="shared" si="31"/>
        <v>101583.876</v>
      </c>
      <c r="AZ348" s="15">
        <f t="shared" si="32"/>
        <v>197634</v>
      </c>
      <c r="BA348" s="16">
        <v>189814.61138549019</v>
      </c>
      <c r="BB348" s="10">
        <f t="shared" si="33"/>
        <v>43173.147300000004</v>
      </c>
      <c r="BC348" s="17">
        <f t="shared" si="34"/>
        <v>0.21845000000000003</v>
      </c>
      <c r="BD348" s="10">
        <f t="shared" si="35"/>
        <v>40052.901707999998</v>
      </c>
    </row>
    <row r="349" spans="1:56" x14ac:dyDescent="0.25">
      <c r="A349" s="8" t="s">
        <v>831</v>
      </c>
      <c r="B349" s="8" t="s">
        <v>832</v>
      </c>
      <c r="C349" s="8" t="s">
        <v>851</v>
      </c>
      <c r="D349" s="8" t="s">
        <v>852</v>
      </c>
      <c r="E349" s="8" t="s">
        <v>851</v>
      </c>
      <c r="F349" s="8" t="s">
        <v>857</v>
      </c>
      <c r="G349" s="9">
        <v>127662</v>
      </c>
      <c r="H349" s="10">
        <f>INDEX([1]ratio_ins!F:F,MATCH('001_population_health_zone_zs'!$B$2,[1]ratio_ins!$B:$B,0))*$G349*INDEX([1]ratio_ins!$C:$C,MATCH('001_population_health_zone_zs'!$B349,[1]ratio_ins!$B:$B,0))</f>
        <v>12967.139987999999</v>
      </c>
      <c r="I349" s="10">
        <f>INDEX([1]ratio_ins!G:G,MATCH('001_population_health_zone_zs'!$B$2,[1]ratio_ins!$B:$B,0))*$G349*INDEX([1]ratio_ins!$C:$C,MATCH('001_population_health_zone_zs'!$B349,[1]ratio_ins!$B:$B,0))</f>
        <v>10609.478172000001</v>
      </c>
      <c r="J349" s="10">
        <f>INDEX([1]ratio_ins!H:H,MATCH('001_population_health_zone_zs'!$B$2,[1]ratio_ins!$B:$B,0))*$G349*INDEX([1]ratio_ins!$C:$C,MATCH('001_population_health_zone_zs'!$B349,[1]ratio_ins!$B:$B,0))</f>
        <v>8375.9038200000014</v>
      </c>
      <c r="K349" s="10">
        <f>INDEX([1]ratio_ins!I:I,MATCH('001_population_health_zone_zs'!$B$2,[1]ratio_ins!$B:$B,0))*$G349*INDEX([1]ratio_ins!$C:$C,MATCH('001_population_health_zone_zs'!$B349,[1]ratio_ins!$B:$B,0))</f>
        <v>5149.6297560000003</v>
      </c>
      <c r="L349" s="10">
        <f>INDEX([1]ratio_ins!J:J,MATCH('001_population_health_zone_zs'!$B$2,[1]ratio_ins!$B:$B,0))*$G349*INDEX([1]ratio_ins!$C:$C,MATCH('001_population_health_zone_zs'!$B349,[1]ratio_ins!$B:$B,0))</f>
        <v>3089.7778535999996</v>
      </c>
      <c r="M349" s="11">
        <f>INDEX([1]ratio_ins!K:K,MATCH('001_population_health_zone_zs'!$B$2,[1]ratio_ins!$B:$B,0))*$G349*INDEX([1]ratio_ins!$C:$C,MATCH('001_population_health_zone_zs'!$B349,[1]ratio_ins!$B:$B,0))</f>
        <v>35042.299833600002</v>
      </c>
      <c r="N349" s="10">
        <f>INDEX([1]ratio_ins!L:L,MATCH('001_population_health_zone_zs'!$B$2,[1]ratio_ins!$B:$B,0))*$G349*INDEX([1]ratio_ins!$C:$C,MATCH('001_population_health_zone_zs'!$B349,[1]ratio_ins!$B:$B,0))</f>
        <v>2059.8519023999997</v>
      </c>
      <c r="O349" s="10">
        <f>INDEX([1]ratio_ins!M:M,MATCH('001_population_health_zone_zs'!$B$2,[1]ratio_ins!$B:$B,0))*$G349*INDEX([1]ratio_ins!$C:$C,MATCH('001_population_health_zone_zs'!$B349,[1]ratio_ins!$B:$B,0))</f>
        <v>4467.1487040000002</v>
      </c>
      <c r="P349" s="10">
        <f>INDEX([1]ratio_ins!N:N,MATCH('001_population_health_zone_zs'!$B$2,[1]ratio_ins!$B:$B,0))*$G349*INDEX([1]ratio_ins!$C:$C,MATCH('001_population_health_zone_zs'!$B349,[1]ratio_ins!$B:$B,0))</f>
        <v>4032.84258</v>
      </c>
      <c r="Q349" s="10">
        <f>INDEX([1]ratio_ins!O:O,MATCH('001_population_health_zone_zs'!$B$2,[1]ratio_ins!$B:$B,0))*$G349*INDEX([1]ratio_ins!$C:$C,MATCH('001_population_health_zone_zs'!$B349,[1]ratio_ins!$B:$B,0))</f>
        <v>3598.5364559999998</v>
      </c>
      <c r="R349" s="10">
        <f>INDEX([1]ratio_ins!P:P,MATCH('001_population_health_zone_zs'!$B$2,[1]ratio_ins!$B:$B,0))*$G349*INDEX([1]ratio_ins!$C:$C,MATCH('001_population_health_zone_zs'!$B349,[1]ratio_ins!$B:$B,0))</f>
        <v>3536.4927240000002</v>
      </c>
      <c r="S349" s="10">
        <f>INDEX([1]ratio_ins!Q:Q,MATCH('001_population_health_zone_zs'!$B$2,[1]ratio_ins!$B:$B,0))*$G349*INDEX([1]ratio_ins!$C:$C,MATCH('001_population_health_zone_zs'!$B349,[1]ratio_ins!$B:$B,0))</f>
        <v>2978.0991359999998</v>
      </c>
      <c r="T349" s="10">
        <f>INDEX([1]ratio_ins!R:R,MATCH('001_population_health_zone_zs'!$B$2,[1]ratio_ins!$B:$B,0))*$G349*INDEX([1]ratio_ins!$C:$C,MATCH('001_population_health_zone_zs'!$B349,[1]ratio_ins!$B:$B,0))</f>
        <v>2109.4868880000004</v>
      </c>
      <c r="U349" s="10">
        <f>INDEX([1]ratio_ins!S:S,MATCH('001_population_health_zone_zs'!$B$2,[1]ratio_ins!$B:$B,0))*$G349*INDEX([1]ratio_ins!$C:$C,MATCH('001_population_health_zone_zs'!$B349,[1]ratio_ins!$B:$B,0))</f>
        <v>1675.1807640000002</v>
      </c>
      <c r="V349" s="10">
        <f>INDEX([1]ratio_ins!T:T,MATCH('001_population_health_zone_zs'!$B$2,[1]ratio_ins!$B:$B,0))*$G349*INDEX([1]ratio_ins!$C:$C,MATCH('001_population_health_zone_zs'!$B349,[1]ratio_ins!$B:$B,0))</f>
        <v>930.65597999999989</v>
      </c>
      <c r="W349" s="11">
        <f>INDEX([1]ratio_ins!U:U,MATCH('001_population_health_zone_zs'!$B$2,[1]ratio_ins!$B:$B,0))*$G349*INDEX([1]ratio_ins!$C:$C,MATCH('001_population_health_zone_zs'!$B349,[1]ratio_ins!$B:$B,0))</f>
        <v>25388.295134399999</v>
      </c>
      <c r="X349" s="10">
        <f>INDEX([1]ratio_ins!V:V,MATCH('001_population_health_zone_zs'!$B$2,[1]ratio_ins!$B:$B,0))*$G349*INDEX([1]ratio_ins!$C:$C,MATCH('001_population_health_zone_zs'!$B349,[1]ratio_ins!$B:$B,0))</f>
        <v>744.52478399999995</v>
      </c>
      <c r="Y349" s="10">
        <f>INDEX([1]ratio_ins!W:W,MATCH('001_population_health_zone_zs'!$B$2,[1]ratio_ins!$B:$B,0))*$G349*INDEX([1]ratio_ins!$C:$C,MATCH('001_population_health_zone_zs'!$B349,[1]ratio_ins!$B:$B,0))</f>
        <v>496.34985599999999</v>
      </c>
      <c r="Z349" s="10">
        <f>INDEX([1]ratio_ins!X:X,MATCH('001_population_health_zone_zs'!$B$2,[1]ratio_ins!$B:$B,0))*$G349*INDEX([1]ratio_ins!$C:$C,MATCH('001_population_health_zone_zs'!$B349,[1]ratio_ins!$B:$B,0))</f>
        <v>248.17492799999999</v>
      </c>
      <c r="AA349" s="10">
        <f>INDEX([1]ratio_ins!Y:Y,MATCH('001_population_health_zone_zs'!$B$2,[1]ratio_ins!$B:$B,0))*$G349*INDEX([1]ratio_ins!$C:$C,MATCH('001_population_health_zone_zs'!$B349,[1]ratio_ins!$B:$B,0))</f>
        <v>124.087464</v>
      </c>
      <c r="AB349" s="11">
        <f>INDEX([1]ratio_ins!Z:Z,MATCH('001_population_health_zone_zs'!$B$2,[1]ratio_ins!$B:$B,0))*$G349*INDEX([1]ratio_ins!$C:$C,MATCH('001_population_health_zone_zs'!$B349,[1]ratio_ins!$B:$B,0))</f>
        <v>1613.1370320000001</v>
      </c>
      <c r="AC349" s="12">
        <f t="shared" si="30"/>
        <v>62043.732000000004</v>
      </c>
      <c r="AD349" s="10">
        <f>INDEX([1]ratio_ins!AA:AA,MATCH('001_population_health_zone_zs'!$B$2,[1]ratio_ins!$B:$B,0))*$G349*INDEX([1]ratio_ins!$D:$D,MATCH('001_population_health_zone_zs'!$B349,[1]ratio_ins!$B:$B,0))</f>
        <v>13779.836280000001</v>
      </c>
      <c r="AE349" s="10">
        <f>INDEX([1]ratio_ins!AB:AB,MATCH('001_population_health_zone_zs'!$B$2,[1]ratio_ins!$B:$B,0))*$G349*INDEX([1]ratio_ins!$D:$D,MATCH('001_population_health_zone_zs'!$B349,[1]ratio_ins!$B:$B,0))</f>
        <v>11351.960364</v>
      </c>
      <c r="AF349" s="10">
        <f>INDEX([1]ratio_ins!AC:AC,MATCH('001_population_health_zone_zs'!$B$2,[1]ratio_ins!$B:$B,0))*$G349*INDEX([1]ratio_ins!$D:$D,MATCH('001_population_health_zone_zs'!$B349,[1]ratio_ins!$B:$B,0))</f>
        <v>8989.7027159999998</v>
      </c>
      <c r="AG349" s="10">
        <f>INDEX([1]ratio_ins!AD:AD,MATCH('001_population_health_zone_zs'!$B$2,[1]ratio_ins!$B:$B,0))*$G349*INDEX([1]ratio_ins!$D:$D,MATCH('001_population_health_zone_zs'!$B349,[1]ratio_ins!$B:$B,0))</f>
        <v>5446.3162439999996</v>
      </c>
      <c r="AH349" s="10">
        <f>INDEX([1]ratio_ins!AE:AE,MATCH('001_population_health_zone_zs'!$B$2,[1]ratio_ins!$B:$B,0))*$G349*INDEX([1]ratio_ins!$D:$D,MATCH('001_population_health_zone_zs'!$B349,[1]ratio_ins!$B:$B,0))</f>
        <v>3267.7897463999998</v>
      </c>
      <c r="AI349" s="13">
        <f>INDEX([1]ratio_ins!AF:AF,MATCH('001_population_health_zone_zs'!$B$2,[1]ratio_ins!$B:$B,0))*$G349*INDEX([1]ratio_ins!$D:$D,MATCH('001_population_health_zone_zs'!$B349,[1]ratio_ins!$B:$B,0))</f>
        <v>37389.2891064</v>
      </c>
      <c r="AJ349" s="10">
        <f>INDEX([1]ratio_ins!AG:AG,MATCH('001_population_health_zone_zs'!$B$2,[1]ratio_ins!$B:$B,0))*$G349*INDEX([1]ratio_ins!$D:$D,MATCH('001_population_health_zone_zs'!$B349,[1]ratio_ins!$B:$B,0))</f>
        <v>2178.5264975999999</v>
      </c>
      <c r="AK349" s="10">
        <f>INDEX([1]ratio_ins!AH:AH,MATCH('001_population_health_zone_zs'!$B$2,[1]ratio_ins!$B:$B,0))*$G349*INDEX([1]ratio_ins!$D:$D,MATCH('001_population_health_zone_zs'!$B349,[1]ratio_ins!$B:$B,0))</f>
        <v>4855.7518320000008</v>
      </c>
      <c r="AL349" s="10">
        <f>INDEX([1]ratio_ins!AI:AI,MATCH('001_population_health_zone_zs'!$B$2,[1]ratio_ins!$B:$B,0))*$G349*INDEX([1]ratio_ins!$D:$D,MATCH('001_population_health_zone_zs'!$B349,[1]ratio_ins!$B:$B,0))</f>
        <v>4593.2787600000001</v>
      </c>
      <c r="AM349" s="10">
        <f>INDEX([1]ratio_ins!AJ:AJ,MATCH('001_population_health_zone_zs'!$B$2,[1]ratio_ins!$B:$B,0))*$G349*INDEX([1]ratio_ins!$D:$D,MATCH('001_population_health_zone_zs'!$B349,[1]ratio_ins!$B:$B,0))</f>
        <v>4199.569152</v>
      </c>
      <c r="AN349" s="10">
        <f>INDEX([1]ratio_ins!AK:AK,MATCH('001_population_health_zone_zs'!$B$2,[1]ratio_ins!$B:$B,0))*$G349*INDEX([1]ratio_ins!$D:$D,MATCH('001_population_health_zone_zs'!$B349,[1]ratio_ins!$B:$B,0))</f>
        <v>3937.0960799999998</v>
      </c>
      <c r="AO349" s="10">
        <f>INDEX([1]ratio_ins!AL:AL,MATCH('001_population_health_zone_zs'!$B$2,[1]ratio_ins!$B:$B,0))*$G349*INDEX([1]ratio_ins!$D:$D,MATCH('001_population_health_zone_zs'!$B349,[1]ratio_ins!$B:$B,0))</f>
        <v>2952.82206</v>
      </c>
      <c r="AP349" s="10">
        <f>INDEX([1]ratio_ins!AM:AM,MATCH('001_population_health_zone_zs'!$B$2,[1]ratio_ins!$B:$B,0))*$G349*INDEX([1]ratio_ins!$D:$D,MATCH('001_population_health_zone_zs'!$B349,[1]ratio_ins!$B:$B,0))</f>
        <v>1902.929772</v>
      </c>
      <c r="AQ349" s="10">
        <f>INDEX([1]ratio_ins!AN:AN,MATCH('001_population_health_zone_zs'!$B$2,[1]ratio_ins!$B:$B,0))*$G349*INDEX([1]ratio_ins!$D:$D,MATCH('001_population_health_zone_zs'!$B349,[1]ratio_ins!$B:$B,0))</f>
        <v>1509.2201640000001</v>
      </c>
      <c r="AR349" s="10">
        <f>INDEX([1]ratio_ins!AO:AO,MATCH('001_population_health_zone_zs'!$B$2,[1]ratio_ins!$B:$B,0))*$G349*INDEX([1]ratio_ins!$D:$D,MATCH('001_population_health_zone_zs'!$B349,[1]ratio_ins!$B:$B,0))</f>
        <v>721.80094800000006</v>
      </c>
      <c r="AS349" s="13">
        <f>INDEX([1]ratio_ins!AP:AP,MATCH('001_population_health_zone_zs'!$B$2,[1]ratio_ins!$B:$B,0))*$G349*INDEX([1]ratio_ins!$D:$D,MATCH('001_population_health_zone_zs'!$B349,[1]ratio_ins!$B:$B,0))</f>
        <v>26850.995265599999</v>
      </c>
      <c r="AT349" s="10">
        <f>INDEX([1]ratio_ins!AQ:AQ,MATCH('001_population_health_zone_zs'!$B$2,[1]ratio_ins!$B:$B,0))*$G349*INDEX([1]ratio_ins!$D:$D,MATCH('001_population_health_zone_zs'!$B349,[1]ratio_ins!$B:$B,0))</f>
        <v>656.18268000000012</v>
      </c>
      <c r="AU349" s="10">
        <f>INDEX([1]ratio_ins!AR:AR,MATCH('001_population_health_zone_zs'!$B$2,[1]ratio_ins!$B:$B,0))*$G349*INDEX([1]ratio_ins!$D:$D,MATCH('001_population_health_zone_zs'!$B349,[1]ratio_ins!$B:$B,0))</f>
        <v>393.709608</v>
      </c>
      <c r="AV349" s="10">
        <f>INDEX([1]ratio_ins!AS:AS,MATCH('001_population_health_zone_zs'!$B$2,[1]ratio_ins!$B:$B,0))*$G349*INDEX([1]ratio_ins!$D:$D,MATCH('001_population_health_zone_zs'!$B349,[1]ratio_ins!$B:$B,0))</f>
        <v>196.854804</v>
      </c>
      <c r="AW349" s="10">
        <f>INDEX([1]ratio_ins!AT:AT,MATCH('001_population_health_zone_zs'!$B$2,[1]ratio_ins!$B:$B,0))*$G349*INDEX([1]ratio_ins!$D:$D,MATCH('001_population_health_zone_zs'!$B349,[1]ratio_ins!$B:$B,0))</f>
        <v>131.236536</v>
      </c>
      <c r="AX349" s="13">
        <f>INDEX([1]ratio_ins!AU:AU,MATCH('001_population_health_zone_zs'!$B$2,[1]ratio_ins!$B:$B,0))*$G349*INDEX([1]ratio_ins!$D:$D,MATCH('001_population_health_zone_zs'!$B349,[1]ratio_ins!$B:$B,0))</f>
        <v>1377.9836279999997</v>
      </c>
      <c r="AY349" s="14">
        <f t="shared" si="31"/>
        <v>65618.267999999996</v>
      </c>
      <c r="AZ349" s="15">
        <f t="shared" si="32"/>
        <v>127662</v>
      </c>
      <c r="BA349" s="16">
        <v>122611.09933060189</v>
      </c>
      <c r="BB349" s="10">
        <f t="shared" si="33"/>
        <v>27887.763899999998</v>
      </c>
      <c r="BC349" s="17">
        <f t="shared" si="34"/>
        <v>0.21844999999999998</v>
      </c>
      <c r="BD349" s="10">
        <f t="shared" si="35"/>
        <v>25872.236244</v>
      </c>
    </row>
    <row r="350" spans="1:56" x14ac:dyDescent="0.25">
      <c r="A350" s="8" t="s">
        <v>831</v>
      </c>
      <c r="B350" s="8" t="s">
        <v>832</v>
      </c>
      <c r="C350" s="8" t="s">
        <v>858</v>
      </c>
      <c r="D350" s="8" t="s">
        <v>859</v>
      </c>
      <c r="E350" s="8" t="s">
        <v>858</v>
      </c>
      <c r="F350" s="8" t="s">
        <v>860</v>
      </c>
      <c r="G350" s="9">
        <v>158563</v>
      </c>
      <c r="H350" s="10">
        <f>INDEX([1]ratio_ins!F:F,MATCH('001_population_health_zone_zs'!$B$2,[1]ratio_ins!$B:$B,0))*$G350*INDEX([1]ratio_ins!$C:$C,MATCH('001_population_health_zone_zs'!$B350,[1]ratio_ins!$B:$B,0))</f>
        <v>16105.878162000001</v>
      </c>
      <c r="I350" s="10">
        <f>INDEX([1]ratio_ins!G:G,MATCH('001_population_health_zone_zs'!$B$2,[1]ratio_ins!$B:$B,0))*$G350*INDEX([1]ratio_ins!$C:$C,MATCH('001_population_health_zone_zs'!$B350,[1]ratio_ins!$B:$B,0))</f>
        <v>13177.536678</v>
      </c>
      <c r="J350" s="10">
        <f>INDEX([1]ratio_ins!H:H,MATCH('001_population_health_zone_zs'!$B$2,[1]ratio_ins!$B:$B,0))*$G350*INDEX([1]ratio_ins!$C:$C,MATCH('001_population_health_zone_zs'!$B350,[1]ratio_ins!$B:$B,0))</f>
        <v>10403.318429999999</v>
      </c>
      <c r="K350" s="10">
        <f>INDEX([1]ratio_ins!I:I,MATCH('001_population_health_zone_zs'!$B$2,[1]ratio_ins!$B:$B,0))*$G350*INDEX([1]ratio_ins!$C:$C,MATCH('001_population_health_zone_zs'!$B350,[1]ratio_ins!$B:$B,0))</f>
        <v>6396.114294</v>
      </c>
      <c r="L350" s="10">
        <f>INDEX([1]ratio_ins!J:J,MATCH('001_population_health_zone_zs'!$B$2,[1]ratio_ins!$B:$B,0))*$G350*INDEX([1]ratio_ins!$C:$C,MATCH('001_population_health_zone_zs'!$B350,[1]ratio_ins!$B:$B,0))</f>
        <v>3837.6685763999999</v>
      </c>
      <c r="M350" s="11">
        <f>INDEX([1]ratio_ins!K:K,MATCH('001_population_health_zone_zs'!$B$2,[1]ratio_ins!$B:$B,0))*$G350*INDEX([1]ratio_ins!$C:$C,MATCH('001_population_health_zone_zs'!$B350,[1]ratio_ins!$B:$B,0))</f>
        <v>43524.401846399996</v>
      </c>
      <c r="N350" s="10">
        <f>INDEX([1]ratio_ins!L:L,MATCH('001_population_health_zone_zs'!$B$2,[1]ratio_ins!$B:$B,0))*$G350*INDEX([1]ratio_ins!$C:$C,MATCH('001_population_health_zone_zs'!$B350,[1]ratio_ins!$B:$B,0))</f>
        <v>2558.4457176000001</v>
      </c>
      <c r="O350" s="10">
        <f>INDEX([1]ratio_ins!M:M,MATCH('001_population_health_zone_zs'!$B$2,[1]ratio_ins!$B:$B,0))*$G350*INDEX([1]ratio_ins!$C:$C,MATCH('001_population_health_zone_zs'!$B350,[1]ratio_ins!$B:$B,0))</f>
        <v>5548.4364960000012</v>
      </c>
      <c r="P350" s="10">
        <f>INDEX([1]ratio_ins!N:N,MATCH('001_population_health_zone_zs'!$B$2,[1]ratio_ins!$B:$B,0))*$G350*INDEX([1]ratio_ins!$C:$C,MATCH('001_population_health_zone_zs'!$B350,[1]ratio_ins!$B:$B,0))</f>
        <v>5009.0051700000004</v>
      </c>
      <c r="Q350" s="10">
        <f>INDEX([1]ratio_ins!O:O,MATCH('001_population_health_zone_zs'!$B$2,[1]ratio_ins!$B:$B,0))*$G350*INDEX([1]ratio_ins!$C:$C,MATCH('001_population_health_zone_zs'!$B350,[1]ratio_ins!$B:$B,0))</f>
        <v>4469.5738439999996</v>
      </c>
      <c r="R350" s="10">
        <f>INDEX([1]ratio_ins!P:P,MATCH('001_population_health_zone_zs'!$B$2,[1]ratio_ins!$B:$B,0))*$G350*INDEX([1]ratio_ins!$C:$C,MATCH('001_population_health_zone_zs'!$B350,[1]ratio_ins!$B:$B,0))</f>
        <v>4392.5122259999998</v>
      </c>
      <c r="S350" s="10">
        <f>INDEX([1]ratio_ins!Q:Q,MATCH('001_population_health_zone_zs'!$B$2,[1]ratio_ins!$B:$B,0))*$G350*INDEX([1]ratio_ins!$C:$C,MATCH('001_population_health_zone_zs'!$B350,[1]ratio_ins!$B:$B,0))</f>
        <v>3698.957664</v>
      </c>
      <c r="T350" s="10">
        <f>INDEX([1]ratio_ins!R:R,MATCH('001_population_health_zone_zs'!$B$2,[1]ratio_ins!$B:$B,0))*$G350*INDEX([1]ratio_ins!$C:$C,MATCH('001_population_health_zone_zs'!$B350,[1]ratio_ins!$B:$B,0))</f>
        <v>2620.0950120000002</v>
      </c>
      <c r="U350" s="10">
        <f>INDEX([1]ratio_ins!S:S,MATCH('001_population_health_zone_zs'!$B$2,[1]ratio_ins!$B:$B,0))*$G350*INDEX([1]ratio_ins!$C:$C,MATCH('001_population_health_zone_zs'!$B350,[1]ratio_ins!$B:$B,0))</f>
        <v>2080.6636860000003</v>
      </c>
      <c r="V350" s="10">
        <f>INDEX([1]ratio_ins!T:T,MATCH('001_population_health_zone_zs'!$B$2,[1]ratio_ins!$B:$B,0))*$G350*INDEX([1]ratio_ins!$C:$C,MATCH('001_population_health_zone_zs'!$B350,[1]ratio_ins!$B:$B,0))</f>
        <v>1155.9242699999998</v>
      </c>
      <c r="W350" s="11">
        <f>INDEX([1]ratio_ins!U:U,MATCH('001_population_health_zone_zs'!$B$2,[1]ratio_ins!$B:$B,0))*$G350*INDEX([1]ratio_ins!$C:$C,MATCH('001_population_health_zone_zs'!$B350,[1]ratio_ins!$B:$B,0))</f>
        <v>31533.614085599998</v>
      </c>
      <c r="X350" s="10">
        <f>INDEX([1]ratio_ins!V:V,MATCH('001_population_health_zone_zs'!$B$2,[1]ratio_ins!$B:$B,0))*$G350*INDEX([1]ratio_ins!$C:$C,MATCH('001_population_health_zone_zs'!$B350,[1]ratio_ins!$B:$B,0))</f>
        <v>924.73941600000001</v>
      </c>
      <c r="Y350" s="10">
        <f>INDEX([1]ratio_ins!W:W,MATCH('001_population_health_zone_zs'!$B$2,[1]ratio_ins!$B:$B,0))*$G350*INDEX([1]ratio_ins!$C:$C,MATCH('001_population_health_zone_zs'!$B350,[1]ratio_ins!$B:$B,0))</f>
        <v>616.49294400000008</v>
      </c>
      <c r="Z350" s="10">
        <f>INDEX([1]ratio_ins!X:X,MATCH('001_population_health_zone_zs'!$B$2,[1]ratio_ins!$B:$B,0))*$G350*INDEX([1]ratio_ins!$C:$C,MATCH('001_population_health_zone_zs'!$B350,[1]ratio_ins!$B:$B,0))</f>
        <v>308.24647200000004</v>
      </c>
      <c r="AA350" s="10">
        <f>INDEX([1]ratio_ins!Y:Y,MATCH('001_population_health_zone_zs'!$B$2,[1]ratio_ins!$B:$B,0))*$G350*INDEX([1]ratio_ins!$C:$C,MATCH('001_population_health_zone_zs'!$B350,[1]ratio_ins!$B:$B,0))</f>
        <v>154.12323600000002</v>
      </c>
      <c r="AB350" s="11">
        <f>INDEX([1]ratio_ins!Z:Z,MATCH('001_population_health_zone_zs'!$B$2,[1]ratio_ins!$B:$B,0))*$G350*INDEX([1]ratio_ins!$C:$C,MATCH('001_population_health_zone_zs'!$B350,[1]ratio_ins!$B:$B,0))</f>
        <v>2003.6020679999999</v>
      </c>
      <c r="AC350" s="12">
        <f t="shared" si="30"/>
        <v>77061.617999999988</v>
      </c>
      <c r="AD350" s="10">
        <f>INDEX([1]ratio_ins!AA:AA,MATCH('001_population_health_zone_zs'!$B$2,[1]ratio_ins!$B:$B,0))*$G350*INDEX([1]ratio_ins!$D:$D,MATCH('001_population_health_zone_zs'!$B350,[1]ratio_ins!$B:$B,0))</f>
        <v>17115.290219999999</v>
      </c>
      <c r="AE350" s="10">
        <f>INDEX([1]ratio_ins!AB:AB,MATCH('001_population_health_zone_zs'!$B$2,[1]ratio_ins!$B:$B,0))*$G350*INDEX([1]ratio_ins!$D:$D,MATCH('001_population_health_zone_zs'!$B350,[1]ratio_ins!$B:$B,0))</f>
        <v>14099.739086000001</v>
      </c>
      <c r="AF350" s="10">
        <f>INDEX([1]ratio_ins!AC:AC,MATCH('001_population_health_zone_zs'!$B$2,[1]ratio_ins!$B:$B,0))*$G350*INDEX([1]ratio_ins!$D:$D,MATCH('001_population_health_zone_zs'!$B350,[1]ratio_ins!$B:$B,0))</f>
        <v>11165.689333999999</v>
      </c>
      <c r="AG350" s="10">
        <f>INDEX([1]ratio_ins!AD:AD,MATCH('001_population_health_zone_zs'!$B$2,[1]ratio_ins!$B:$B,0))*$G350*INDEX([1]ratio_ins!$D:$D,MATCH('001_population_health_zone_zs'!$B350,[1]ratio_ins!$B:$B,0))</f>
        <v>6764.6147060000012</v>
      </c>
      <c r="AH350" s="10">
        <f>INDEX([1]ratio_ins!AE:AE,MATCH('001_population_health_zone_zs'!$B$2,[1]ratio_ins!$B:$B,0))*$G350*INDEX([1]ratio_ins!$D:$D,MATCH('001_population_health_zone_zs'!$B350,[1]ratio_ins!$B:$B,0))</f>
        <v>4058.7688235999999</v>
      </c>
      <c r="AI350" s="13">
        <f>INDEX([1]ratio_ins!AF:AF,MATCH('001_population_health_zone_zs'!$B$2,[1]ratio_ins!$B:$B,0))*$G350*INDEX([1]ratio_ins!$D:$D,MATCH('001_population_health_zone_zs'!$B350,[1]ratio_ins!$B:$B,0))</f>
        <v>46439.487463599995</v>
      </c>
      <c r="AJ350" s="10">
        <f>INDEX([1]ratio_ins!AG:AG,MATCH('001_population_health_zone_zs'!$B$2,[1]ratio_ins!$B:$B,0))*$G350*INDEX([1]ratio_ins!$D:$D,MATCH('001_population_health_zone_zs'!$B350,[1]ratio_ins!$B:$B,0))</f>
        <v>2705.8458824000004</v>
      </c>
      <c r="AK350" s="10">
        <f>INDEX([1]ratio_ins!AH:AH,MATCH('001_population_health_zone_zs'!$B$2,[1]ratio_ins!$B:$B,0))*$G350*INDEX([1]ratio_ins!$D:$D,MATCH('001_population_health_zone_zs'!$B350,[1]ratio_ins!$B:$B,0))</f>
        <v>6031.1022680000015</v>
      </c>
      <c r="AL350" s="10">
        <f>INDEX([1]ratio_ins!AI:AI,MATCH('001_population_health_zone_zs'!$B$2,[1]ratio_ins!$B:$B,0))*$G350*INDEX([1]ratio_ins!$D:$D,MATCH('001_population_health_zone_zs'!$B350,[1]ratio_ins!$B:$B,0))</f>
        <v>5705.0967400000009</v>
      </c>
      <c r="AM350" s="10">
        <f>INDEX([1]ratio_ins!AJ:AJ,MATCH('001_population_health_zone_zs'!$B$2,[1]ratio_ins!$B:$B,0))*$G350*INDEX([1]ratio_ins!$D:$D,MATCH('001_population_health_zone_zs'!$B350,[1]ratio_ins!$B:$B,0))</f>
        <v>5216.0884480000004</v>
      </c>
      <c r="AN350" s="10">
        <f>INDEX([1]ratio_ins!AK:AK,MATCH('001_population_health_zone_zs'!$B$2,[1]ratio_ins!$B:$B,0))*$G350*INDEX([1]ratio_ins!$D:$D,MATCH('001_population_health_zone_zs'!$B350,[1]ratio_ins!$B:$B,0))</f>
        <v>4890.0829199999998</v>
      </c>
      <c r="AO350" s="10">
        <f>INDEX([1]ratio_ins!AL:AL,MATCH('001_population_health_zone_zs'!$B$2,[1]ratio_ins!$B:$B,0))*$G350*INDEX([1]ratio_ins!$D:$D,MATCH('001_population_health_zone_zs'!$B350,[1]ratio_ins!$B:$B,0))</f>
        <v>3667.5621900000001</v>
      </c>
      <c r="AP350" s="10">
        <f>INDEX([1]ratio_ins!AM:AM,MATCH('001_population_health_zone_zs'!$B$2,[1]ratio_ins!$B:$B,0))*$G350*INDEX([1]ratio_ins!$D:$D,MATCH('001_population_health_zone_zs'!$B350,[1]ratio_ins!$B:$B,0))</f>
        <v>2363.5400779999995</v>
      </c>
      <c r="AQ350" s="10">
        <f>INDEX([1]ratio_ins!AN:AN,MATCH('001_population_health_zone_zs'!$B$2,[1]ratio_ins!$B:$B,0))*$G350*INDEX([1]ratio_ins!$D:$D,MATCH('001_population_health_zone_zs'!$B350,[1]ratio_ins!$B:$B,0))</f>
        <v>1874.531786</v>
      </c>
      <c r="AR350" s="10">
        <f>INDEX([1]ratio_ins!AO:AO,MATCH('001_population_health_zone_zs'!$B$2,[1]ratio_ins!$B:$B,0))*$G350*INDEX([1]ratio_ins!$D:$D,MATCH('001_population_health_zone_zs'!$B350,[1]ratio_ins!$B:$B,0))</f>
        <v>896.51520200000016</v>
      </c>
      <c r="AS350" s="13">
        <f>INDEX([1]ratio_ins!AP:AP,MATCH('001_population_health_zone_zs'!$B$2,[1]ratio_ins!$B:$B,0))*$G350*INDEX([1]ratio_ins!$D:$D,MATCH('001_population_health_zone_zs'!$B350,[1]ratio_ins!$B:$B,0))</f>
        <v>33350.3655144</v>
      </c>
      <c r="AT350" s="10">
        <f>INDEX([1]ratio_ins!AQ:AQ,MATCH('001_population_health_zone_zs'!$B$2,[1]ratio_ins!$B:$B,0))*$G350*INDEX([1]ratio_ins!$D:$D,MATCH('001_population_health_zone_zs'!$B350,[1]ratio_ins!$B:$B,0))</f>
        <v>815.01382000000012</v>
      </c>
      <c r="AU350" s="10">
        <f>INDEX([1]ratio_ins!AR:AR,MATCH('001_population_health_zone_zs'!$B$2,[1]ratio_ins!$B:$B,0))*$G350*INDEX([1]ratio_ins!$D:$D,MATCH('001_population_health_zone_zs'!$B350,[1]ratio_ins!$B:$B,0))</f>
        <v>489.00829200000004</v>
      </c>
      <c r="AV350" s="10">
        <f>INDEX([1]ratio_ins!AS:AS,MATCH('001_population_health_zone_zs'!$B$2,[1]ratio_ins!$B:$B,0))*$G350*INDEX([1]ratio_ins!$D:$D,MATCH('001_population_health_zone_zs'!$B350,[1]ratio_ins!$B:$B,0))</f>
        <v>244.50414600000002</v>
      </c>
      <c r="AW350" s="10">
        <f>INDEX([1]ratio_ins!AT:AT,MATCH('001_population_health_zone_zs'!$B$2,[1]ratio_ins!$B:$B,0))*$G350*INDEX([1]ratio_ins!$D:$D,MATCH('001_population_health_zone_zs'!$B350,[1]ratio_ins!$B:$B,0))</f>
        <v>163.00276400000001</v>
      </c>
      <c r="AX350" s="13">
        <f>INDEX([1]ratio_ins!AU:AU,MATCH('001_population_health_zone_zs'!$B$2,[1]ratio_ins!$B:$B,0))*$G350*INDEX([1]ratio_ins!$D:$D,MATCH('001_population_health_zone_zs'!$B350,[1]ratio_ins!$B:$B,0))</f>
        <v>1711.5290219999999</v>
      </c>
      <c r="AY350" s="14">
        <f t="shared" si="31"/>
        <v>81501.381999999998</v>
      </c>
      <c r="AZ350" s="15">
        <f t="shared" si="32"/>
        <v>158563</v>
      </c>
      <c r="BA350" s="16">
        <v>152289.38000151416</v>
      </c>
      <c r="BB350" s="10">
        <f t="shared" si="33"/>
        <v>34638.087350000009</v>
      </c>
      <c r="BC350" s="17">
        <f t="shared" si="34"/>
        <v>0.21845000000000006</v>
      </c>
      <c r="BD350" s="10">
        <f t="shared" si="35"/>
        <v>32134.694706000002</v>
      </c>
    </row>
    <row r="351" spans="1:56" x14ac:dyDescent="0.25">
      <c r="A351" s="8" t="s">
        <v>831</v>
      </c>
      <c r="B351" s="8" t="s">
        <v>832</v>
      </c>
      <c r="C351" s="8" t="s">
        <v>858</v>
      </c>
      <c r="D351" s="8" t="s">
        <v>859</v>
      </c>
      <c r="E351" s="8" t="s">
        <v>861</v>
      </c>
      <c r="F351" s="8" t="s">
        <v>862</v>
      </c>
      <c r="G351" s="9">
        <v>231552</v>
      </c>
      <c r="H351" s="10">
        <f>INDEX([1]ratio_ins!F:F,MATCH('001_population_health_zone_zs'!$B$2,[1]ratio_ins!$B:$B,0))*$G351*INDEX([1]ratio_ins!$C:$C,MATCH('001_population_health_zone_zs'!$B351,[1]ratio_ins!$B:$B,0))</f>
        <v>23519.662847999996</v>
      </c>
      <c r="I351" s="10">
        <f>INDEX([1]ratio_ins!G:G,MATCH('001_population_health_zone_zs'!$B$2,[1]ratio_ins!$B:$B,0))*$G351*INDEX([1]ratio_ins!$C:$C,MATCH('001_population_health_zone_zs'!$B351,[1]ratio_ins!$B:$B,0))</f>
        <v>19243.360511999999</v>
      </c>
      <c r="J351" s="10">
        <f>INDEX([1]ratio_ins!H:H,MATCH('001_population_health_zone_zs'!$B$2,[1]ratio_ins!$B:$B,0))*$G351*INDEX([1]ratio_ins!$C:$C,MATCH('001_population_health_zone_zs'!$B351,[1]ratio_ins!$B:$B,0))</f>
        <v>15192.12672</v>
      </c>
      <c r="K351" s="10">
        <f>INDEX([1]ratio_ins!I:I,MATCH('001_population_health_zone_zs'!$B$2,[1]ratio_ins!$B:$B,0))*$G351*INDEX([1]ratio_ins!$C:$C,MATCH('001_population_health_zone_zs'!$B351,[1]ratio_ins!$B:$B,0))</f>
        <v>9340.3445760000013</v>
      </c>
      <c r="L351" s="10">
        <f>INDEX([1]ratio_ins!J:J,MATCH('001_population_health_zone_zs'!$B$2,[1]ratio_ins!$B:$B,0))*$G351*INDEX([1]ratio_ins!$C:$C,MATCH('001_population_health_zone_zs'!$B351,[1]ratio_ins!$B:$B,0))</f>
        <v>5604.2067455999995</v>
      </c>
      <c r="M351" s="11">
        <f>INDEX([1]ratio_ins!K:K,MATCH('001_population_health_zone_zs'!$B$2,[1]ratio_ins!$B:$B,0))*$G351*INDEX([1]ratio_ins!$C:$C,MATCH('001_population_health_zone_zs'!$B351,[1]ratio_ins!$B:$B,0))</f>
        <v>63559.356825599993</v>
      </c>
      <c r="N351" s="10">
        <f>INDEX([1]ratio_ins!L:L,MATCH('001_population_health_zone_zs'!$B$2,[1]ratio_ins!$B:$B,0))*$G351*INDEX([1]ratio_ins!$C:$C,MATCH('001_population_health_zone_zs'!$B351,[1]ratio_ins!$B:$B,0))</f>
        <v>3736.1378304</v>
      </c>
      <c r="O351" s="10">
        <f>INDEX([1]ratio_ins!M:M,MATCH('001_population_health_zone_zs'!$B$2,[1]ratio_ins!$B:$B,0))*$G351*INDEX([1]ratio_ins!$C:$C,MATCH('001_population_health_zone_zs'!$B351,[1]ratio_ins!$B:$B,0))</f>
        <v>8102.4675840000009</v>
      </c>
      <c r="P351" s="10">
        <f>INDEX([1]ratio_ins!N:N,MATCH('001_population_health_zone_zs'!$B$2,[1]ratio_ins!$B:$B,0))*$G351*INDEX([1]ratio_ins!$C:$C,MATCH('001_population_health_zone_zs'!$B351,[1]ratio_ins!$B:$B,0))</f>
        <v>7314.72768</v>
      </c>
      <c r="Q351" s="10">
        <f>INDEX([1]ratio_ins!O:O,MATCH('001_population_health_zone_zs'!$B$2,[1]ratio_ins!$B:$B,0))*$G351*INDEX([1]ratio_ins!$C:$C,MATCH('001_population_health_zone_zs'!$B351,[1]ratio_ins!$B:$B,0))</f>
        <v>6526.9877759999999</v>
      </c>
      <c r="R351" s="10">
        <f>INDEX([1]ratio_ins!P:P,MATCH('001_population_health_zone_zs'!$B$2,[1]ratio_ins!$B:$B,0))*$G351*INDEX([1]ratio_ins!$C:$C,MATCH('001_population_health_zone_zs'!$B351,[1]ratio_ins!$B:$B,0))</f>
        <v>6414.4535040000001</v>
      </c>
      <c r="S351" s="10">
        <f>INDEX([1]ratio_ins!Q:Q,MATCH('001_population_health_zone_zs'!$B$2,[1]ratio_ins!$B:$B,0))*$G351*INDEX([1]ratio_ins!$C:$C,MATCH('001_population_health_zone_zs'!$B351,[1]ratio_ins!$B:$B,0))</f>
        <v>5401.6450560000003</v>
      </c>
      <c r="T351" s="10">
        <f>INDEX([1]ratio_ins!R:R,MATCH('001_population_health_zone_zs'!$B$2,[1]ratio_ins!$B:$B,0))*$G351*INDEX([1]ratio_ins!$C:$C,MATCH('001_population_health_zone_zs'!$B351,[1]ratio_ins!$B:$B,0))</f>
        <v>3826.1652480000002</v>
      </c>
      <c r="U351" s="10">
        <f>INDEX([1]ratio_ins!S:S,MATCH('001_population_health_zone_zs'!$B$2,[1]ratio_ins!$B:$B,0))*$G351*INDEX([1]ratio_ins!$C:$C,MATCH('001_population_health_zone_zs'!$B351,[1]ratio_ins!$B:$B,0))</f>
        <v>3038.4253440000002</v>
      </c>
      <c r="V351" s="10">
        <f>INDEX([1]ratio_ins!T:T,MATCH('001_population_health_zone_zs'!$B$2,[1]ratio_ins!$B:$B,0))*$G351*INDEX([1]ratio_ins!$C:$C,MATCH('001_population_health_zone_zs'!$B351,[1]ratio_ins!$B:$B,0))</f>
        <v>1688.0140799999999</v>
      </c>
      <c r="W351" s="11">
        <f>INDEX([1]ratio_ins!U:U,MATCH('001_population_health_zone_zs'!$B$2,[1]ratio_ins!$B:$B,0))*$G351*INDEX([1]ratio_ins!$C:$C,MATCH('001_population_health_zone_zs'!$B351,[1]ratio_ins!$B:$B,0))</f>
        <v>46049.024102399999</v>
      </c>
      <c r="X351" s="10">
        <f>INDEX([1]ratio_ins!V:V,MATCH('001_population_health_zone_zs'!$B$2,[1]ratio_ins!$B:$B,0))*$G351*INDEX([1]ratio_ins!$C:$C,MATCH('001_population_health_zone_zs'!$B351,[1]ratio_ins!$B:$B,0))</f>
        <v>1350.4112640000001</v>
      </c>
      <c r="Y351" s="10">
        <f>INDEX([1]ratio_ins!W:W,MATCH('001_population_health_zone_zs'!$B$2,[1]ratio_ins!$B:$B,0))*$G351*INDEX([1]ratio_ins!$C:$C,MATCH('001_population_health_zone_zs'!$B351,[1]ratio_ins!$B:$B,0))</f>
        <v>900.2741759999999</v>
      </c>
      <c r="Z351" s="10">
        <f>INDEX([1]ratio_ins!X:X,MATCH('001_population_health_zone_zs'!$B$2,[1]ratio_ins!$B:$B,0))*$G351*INDEX([1]ratio_ins!$C:$C,MATCH('001_population_health_zone_zs'!$B351,[1]ratio_ins!$B:$B,0))</f>
        <v>450.13708799999995</v>
      </c>
      <c r="AA351" s="10">
        <f>INDEX([1]ratio_ins!Y:Y,MATCH('001_population_health_zone_zs'!$B$2,[1]ratio_ins!$B:$B,0))*$G351*INDEX([1]ratio_ins!$C:$C,MATCH('001_population_health_zone_zs'!$B351,[1]ratio_ins!$B:$B,0))</f>
        <v>225.06854399999997</v>
      </c>
      <c r="AB351" s="11">
        <f>INDEX([1]ratio_ins!Z:Z,MATCH('001_population_health_zone_zs'!$B$2,[1]ratio_ins!$B:$B,0))*$G351*INDEX([1]ratio_ins!$C:$C,MATCH('001_population_health_zone_zs'!$B351,[1]ratio_ins!$B:$B,0))</f>
        <v>2925.8910720000003</v>
      </c>
      <c r="AC351" s="12">
        <f t="shared" si="30"/>
        <v>112534.272</v>
      </c>
      <c r="AD351" s="10">
        <f>INDEX([1]ratio_ins!AA:AA,MATCH('001_population_health_zone_zs'!$B$2,[1]ratio_ins!$B:$B,0))*$G351*INDEX([1]ratio_ins!$D:$D,MATCH('001_population_health_zone_zs'!$B351,[1]ratio_ins!$B:$B,0))</f>
        <v>24993.722880000001</v>
      </c>
      <c r="AE351" s="10">
        <f>INDEX([1]ratio_ins!AB:AB,MATCH('001_population_health_zone_zs'!$B$2,[1]ratio_ins!$B:$B,0))*$G351*INDEX([1]ratio_ins!$D:$D,MATCH('001_population_health_zone_zs'!$B351,[1]ratio_ins!$B:$B,0))</f>
        <v>20590.066944000006</v>
      </c>
      <c r="AF351" s="10">
        <f>INDEX([1]ratio_ins!AC:AC,MATCH('001_population_health_zone_zs'!$B$2,[1]ratio_ins!$B:$B,0))*$G351*INDEX([1]ratio_ins!$D:$D,MATCH('001_population_health_zone_zs'!$B351,[1]ratio_ins!$B:$B,0))</f>
        <v>16305.428735999998</v>
      </c>
      <c r="AG351" s="10">
        <f>INDEX([1]ratio_ins!AD:AD,MATCH('001_population_health_zone_zs'!$B$2,[1]ratio_ins!$B:$B,0))*$G351*INDEX([1]ratio_ins!$D:$D,MATCH('001_population_health_zone_zs'!$B351,[1]ratio_ins!$B:$B,0))</f>
        <v>9878.4714240000012</v>
      </c>
      <c r="AH351" s="10">
        <f>INDEX([1]ratio_ins!AE:AE,MATCH('001_population_health_zone_zs'!$B$2,[1]ratio_ins!$B:$B,0))*$G351*INDEX([1]ratio_ins!$D:$D,MATCH('001_population_health_zone_zs'!$B351,[1]ratio_ins!$B:$B,0))</f>
        <v>5927.0828544000005</v>
      </c>
      <c r="AI351" s="13">
        <f>INDEX([1]ratio_ins!AF:AF,MATCH('001_population_health_zone_zs'!$B$2,[1]ratio_ins!$B:$B,0))*$G351*INDEX([1]ratio_ins!$D:$D,MATCH('001_population_health_zone_zs'!$B351,[1]ratio_ins!$B:$B,0))</f>
        <v>67816.301414400004</v>
      </c>
      <c r="AJ351" s="10">
        <f>INDEX([1]ratio_ins!AG:AG,MATCH('001_population_health_zone_zs'!$B$2,[1]ratio_ins!$B:$B,0))*$G351*INDEX([1]ratio_ins!$D:$D,MATCH('001_population_health_zone_zs'!$B351,[1]ratio_ins!$B:$B,0))</f>
        <v>3951.3885695999998</v>
      </c>
      <c r="AK351" s="10">
        <f>INDEX([1]ratio_ins!AH:AH,MATCH('001_population_health_zone_zs'!$B$2,[1]ratio_ins!$B:$B,0))*$G351*INDEX([1]ratio_ins!$D:$D,MATCH('001_population_health_zone_zs'!$B351,[1]ratio_ins!$B:$B,0))</f>
        <v>8807.3118720000002</v>
      </c>
      <c r="AL351" s="10">
        <f>INDEX([1]ratio_ins!AI:AI,MATCH('001_population_health_zone_zs'!$B$2,[1]ratio_ins!$B:$B,0))*$G351*INDEX([1]ratio_ins!$D:$D,MATCH('001_population_health_zone_zs'!$B351,[1]ratio_ins!$B:$B,0))</f>
        <v>8331.240960000001</v>
      </c>
      <c r="AM351" s="10">
        <f>INDEX([1]ratio_ins!AJ:AJ,MATCH('001_population_health_zone_zs'!$B$2,[1]ratio_ins!$B:$B,0))*$G351*INDEX([1]ratio_ins!$D:$D,MATCH('001_population_health_zone_zs'!$B351,[1]ratio_ins!$B:$B,0))</f>
        <v>7617.1345920000003</v>
      </c>
      <c r="AN351" s="10">
        <f>INDEX([1]ratio_ins!AK:AK,MATCH('001_population_health_zone_zs'!$B$2,[1]ratio_ins!$B:$B,0))*$G351*INDEX([1]ratio_ins!$D:$D,MATCH('001_population_health_zone_zs'!$B351,[1]ratio_ins!$B:$B,0))</f>
        <v>7141.0636799999993</v>
      </c>
      <c r="AO351" s="10">
        <f>INDEX([1]ratio_ins!AL:AL,MATCH('001_population_health_zone_zs'!$B$2,[1]ratio_ins!$B:$B,0))*$G351*INDEX([1]ratio_ins!$D:$D,MATCH('001_population_health_zone_zs'!$B351,[1]ratio_ins!$B:$B,0))</f>
        <v>5355.7977600000004</v>
      </c>
      <c r="AP351" s="10">
        <f>INDEX([1]ratio_ins!AM:AM,MATCH('001_population_health_zone_zs'!$B$2,[1]ratio_ins!$B:$B,0))*$G351*INDEX([1]ratio_ins!$D:$D,MATCH('001_population_health_zone_zs'!$B351,[1]ratio_ins!$B:$B,0))</f>
        <v>3451.5141119999998</v>
      </c>
      <c r="AQ351" s="10">
        <f>INDEX([1]ratio_ins!AN:AN,MATCH('001_population_health_zone_zs'!$B$2,[1]ratio_ins!$B:$B,0))*$G351*INDEX([1]ratio_ins!$D:$D,MATCH('001_population_health_zone_zs'!$B351,[1]ratio_ins!$B:$B,0))</f>
        <v>2737.4077440000001</v>
      </c>
      <c r="AR351" s="10">
        <f>INDEX([1]ratio_ins!AO:AO,MATCH('001_population_health_zone_zs'!$B$2,[1]ratio_ins!$B:$B,0))*$G351*INDEX([1]ratio_ins!$D:$D,MATCH('001_population_health_zone_zs'!$B351,[1]ratio_ins!$B:$B,0))</f>
        <v>1309.1950080000001</v>
      </c>
      <c r="AS351" s="13">
        <f>INDEX([1]ratio_ins!AP:AP,MATCH('001_population_health_zone_zs'!$B$2,[1]ratio_ins!$B:$B,0))*$G351*INDEX([1]ratio_ins!$D:$D,MATCH('001_population_health_zone_zs'!$B351,[1]ratio_ins!$B:$B,0))</f>
        <v>48702.0542976</v>
      </c>
      <c r="AT351" s="10">
        <f>INDEX([1]ratio_ins!AQ:AQ,MATCH('001_population_health_zone_zs'!$B$2,[1]ratio_ins!$B:$B,0))*$G351*INDEX([1]ratio_ins!$D:$D,MATCH('001_population_health_zone_zs'!$B351,[1]ratio_ins!$B:$B,0))</f>
        <v>1190.1772800000001</v>
      </c>
      <c r="AU351" s="10">
        <f>INDEX([1]ratio_ins!AR:AR,MATCH('001_population_health_zone_zs'!$B$2,[1]ratio_ins!$B:$B,0))*$G351*INDEX([1]ratio_ins!$D:$D,MATCH('001_population_health_zone_zs'!$B351,[1]ratio_ins!$B:$B,0))</f>
        <v>714.10636800000009</v>
      </c>
      <c r="AV351" s="10">
        <f>INDEX([1]ratio_ins!AS:AS,MATCH('001_population_health_zone_zs'!$B$2,[1]ratio_ins!$B:$B,0))*$G351*INDEX([1]ratio_ins!$D:$D,MATCH('001_population_health_zone_zs'!$B351,[1]ratio_ins!$B:$B,0))</f>
        <v>357.05318400000004</v>
      </c>
      <c r="AW351" s="10">
        <f>INDEX([1]ratio_ins!AT:AT,MATCH('001_population_health_zone_zs'!$B$2,[1]ratio_ins!$B:$B,0))*$G351*INDEX([1]ratio_ins!$D:$D,MATCH('001_population_health_zone_zs'!$B351,[1]ratio_ins!$B:$B,0))</f>
        <v>238.03545600000001</v>
      </c>
      <c r="AX351" s="13">
        <f>INDEX([1]ratio_ins!AU:AU,MATCH('001_population_health_zone_zs'!$B$2,[1]ratio_ins!$B:$B,0))*$G351*INDEX([1]ratio_ins!$D:$D,MATCH('001_population_health_zone_zs'!$B351,[1]ratio_ins!$B:$B,0))</f>
        <v>2499.372288</v>
      </c>
      <c r="AY351" s="14">
        <f t="shared" si="31"/>
        <v>119017.728</v>
      </c>
      <c r="AZ351" s="15">
        <f t="shared" si="32"/>
        <v>231552</v>
      </c>
      <c r="BA351" s="16">
        <v>222390.87583203806</v>
      </c>
      <c r="BB351" s="10">
        <f t="shared" si="33"/>
        <v>50582.534400000004</v>
      </c>
      <c r="BC351" s="17">
        <f t="shared" si="34"/>
        <v>0.21845000000000001</v>
      </c>
      <c r="BD351" s="10">
        <f t="shared" si="35"/>
        <v>46926.791423999995</v>
      </c>
    </row>
    <row r="352" spans="1:56" x14ac:dyDescent="0.25">
      <c r="A352" s="8" t="s">
        <v>831</v>
      </c>
      <c r="B352" s="8" t="s">
        <v>832</v>
      </c>
      <c r="C352" s="8" t="s">
        <v>858</v>
      </c>
      <c r="D352" s="8" t="s">
        <v>859</v>
      </c>
      <c r="E352" s="8" t="s">
        <v>863</v>
      </c>
      <c r="F352" s="8" t="s">
        <v>864</v>
      </c>
      <c r="G352" s="9">
        <v>197756</v>
      </c>
      <c r="H352" s="10">
        <f>INDEX([1]ratio_ins!F:F,MATCH('001_population_health_zone_zs'!$B$2,[1]ratio_ins!$B:$B,0))*$G352*INDEX([1]ratio_ins!$C:$C,MATCH('001_population_health_zone_zs'!$B352,[1]ratio_ins!$B:$B,0))</f>
        <v>20086.867944000001</v>
      </c>
      <c r="I352" s="10">
        <f>INDEX([1]ratio_ins!G:G,MATCH('001_population_health_zone_zs'!$B$2,[1]ratio_ins!$B:$B,0))*$G352*INDEX([1]ratio_ins!$C:$C,MATCH('001_population_health_zone_zs'!$B352,[1]ratio_ins!$B:$B,0))</f>
        <v>16434.710136000002</v>
      </c>
      <c r="J352" s="10">
        <f>INDEX([1]ratio_ins!H:H,MATCH('001_population_health_zone_zs'!$B$2,[1]ratio_ins!$B:$B,0))*$G352*INDEX([1]ratio_ins!$C:$C,MATCH('001_population_health_zone_zs'!$B352,[1]ratio_ins!$B:$B,0))</f>
        <v>12974.77116</v>
      </c>
      <c r="K352" s="10">
        <f>INDEX([1]ratio_ins!I:I,MATCH('001_population_health_zone_zs'!$B$2,[1]ratio_ins!$B:$B,0))*$G352*INDEX([1]ratio_ins!$C:$C,MATCH('001_population_health_zone_zs'!$B352,[1]ratio_ins!$B:$B,0))</f>
        <v>7977.0815279999997</v>
      </c>
      <c r="L352" s="10">
        <f>INDEX([1]ratio_ins!J:J,MATCH('001_population_health_zone_zs'!$B$2,[1]ratio_ins!$B:$B,0))*$G352*INDEX([1]ratio_ins!$C:$C,MATCH('001_population_health_zone_zs'!$B352,[1]ratio_ins!$B:$B,0))</f>
        <v>4786.2489167999993</v>
      </c>
      <c r="M352" s="11">
        <f>INDEX([1]ratio_ins!K:K,MATCH('001_population_health_zone_zs'!$B$2,[1]ratio_ins!$B:$B,0))*$G352*INDEX([1]ratio_ins!$C:$C,MATCH('001_population_health_zone_zs'!$B352,[1]ratio_ins!$B:$B,0))</f>
        <v>54282.598156799999</v>
      </c>
      <c r="N352" s="10">
        <f>INDEX([1]ratio_ins!L:L,MATCH('001_population_health_zone_zs'!$B$2,[1]ratio_ins!$B:$B,0))*$G352*INDEX([1]ratio_ins!$C:$C,MATCH('001_population_health_zone_zs'!$B352,[1]ratio_ins!$B:$B,0))</f>
        <v>3190.8326112</v>
      </c>
      <c r="O352" s="10">
        <f>INDEX([1]ratio_ins!M:M,MATCH('001_population_health_zone_zs'!$B$2,[1]ratio_ins!$B:$B,0))*$G352*INDEX([1]ratio_ins!$C:$C,MATCH('001_population_health_zone_zs'!$B352,[1]ratio_ins!$B:$B,0))</f>
        <v>6919.8779520000007</v>
      </c>
      <c r="P352" s="10">
        <f>INDEX([1]ratio_ins!N:N,MATCH('001_population_health_zone_zs'!$B$2,[1]ratio_ins!$B:$B,0))*$G352*INDEX([1]ratio_ins!$C:$C,MATCH('001_population_health_zone_zs'!$B352,[1]ratio_ins!$B:$B,0))</f>
        <v>6247.1120400000009</v>
      </c>
      <c r="Q352" s="10">
        <f>INDEX([1]ratio_ins!O:O,MATCH('001_population_health_zone_zs'!$B$2,[1]ratio_ins!$B:$B,0))*$G352*INDEX([1]ratio_ins!$C:$C,MATCH('001_population_health_zone_zs'!$B352,[1]ratio_ins!$B:$B,0))</f>
        <v>5574.3461280000001</v>
      </c>
      <c r="R352" s="10">
        <f>INDEX([1]ratio_ins!P:P,MATCH('001_population_health_zone_zs'!$B$2,[1]ratio_ins!$B:$B,0))*$G352*INDEX([1]ratio_ins!$C:$C,MATCH('001_population_health_zone_zs'!$B352,[1]ratio_ins!$B:$B,0))</f>
        <v>5478.2367119999999</v>
      </c>
      <c r="S352" s="10">
        <f>INDEX([1]ratio_ins!Q:Q,MATCH('001_population_health_zone_zs'!$B$2,[1]ratio_ins!$B:$B,0))*$G352*INDEX([1]ratio_ins!$C:$C,MATCH('001_population_health_zone_zs'!$B352,[1]ratio_ins!$B:$B,0))</f>
        <v>4613.2519680000005</v>
      </c>
      <c r="T352" s="10">
        <f>INDEX([1]ratio_ins!R:R,MATCH('001_population_health_zone_zs'!$B$2,[1]ratio_ins!$B:$B,0))*$G352*INDEX([1]ratio_ins!$C:$C,MATCH('001_population_health_zone_zs'!$B352,[1]ratio_ins!$B:$B,0))</f>
        <v>3267.7201440000003</v>
      </c>
      <c r="U352" s="10">
        <f>INDEX([1]ratio_ins!S:S,MATCH('001_population_health_zone_zs'!$B$2,[1]ratio_ins!$B:$B,0))*$G352*INDEX([1]ratio_ins!$C:$C,MATCH('001_population_health_zone_zs'!$B352,[1]ratio_ins!$B:$B,0))</f>
        <v>2594.954232</v>
      </c>
      <c r="V352" s="10">
        <f>INDEX([1]ratio_ins!T:T,MATCH('001_population_health_zone_zs'!$B$2,[1]ratio_ins!$B:$B,0))*$G352*INDEX([1]ratio_ins!$C:$C,MATCH('001_population_health_zone_zs'!$B352,[1]ratio_ins!$B:$B,0))</f>
        <v>1441.6412399999999</v>
      </c>
      <c r="W352" s="11">
        <f>INDEX([1]ratio_ins!U:U,MATCH('001_population_health_zone_zs'!$B$2,[1]ratio_ins!$B:$B,0))*$G352*INDEX([1]ratio_ins!$C:$C,MATCH('001_population_health_zone_zs'!$B352,[1]ratio_ins!$B:$B,0))</f>
        <v>39327.973027200002</v>
      </c>
      <c r="X352" s="10">
        <f>INDEX([1]ratio_ins!V:V,MATCH('001_population_health_zone_zs'!$B$2,[1]ratio_ins!$B:$B,0))*$G352*INDEX([1]ratio_ins!$C:$C,MATCH('001_population_health_zone_zs'!$B352,[1]ratio_ins!$B:$B,0))</f>
        <v>1153.3129920000001</v>
      </c>
      <c r="Y352" s="10">
        <f>INDEX([1]ratio_ins!W:W,MATCH('001_population_health_zone_zs'!$B$2,[1]ratio_ins!$B:$B,0))*$G352*INDEX([1]ratio_ins!$C:$C,MATCH('001_population_health_zone_zs'!$B352,[1]ratio_ins!$B:$B,0))</f>
        <v>768.87532799999997</v>
      </c>
      <c r="Z352" s="10">
        <f>INDEX([1]ratio_ins!X:X,MATCH('001_population_health_zone_zs'!$B$2,[1]ratio_ins!$B:$B,0))*$G352*INDEX([1]ratio_ins!$C:$C,MATCH('001_population_health_zone_zs'!$B352,[1]ratio_ins!$B:$B,0))</f>
        <v>384.43766399999998</v>
      </c>
      <c r="AA352" s="10">
        <f>INDEX([1]ratio_ins!Y:Y,MATCH('001_population_health_zone_zs'!$B$2,[1]ratio_ins!$B:$B,0))*$G352*INDEX([1]ratio_ins!$C:$C,MATCH('001_population_health_zone_zs'!$B352,[1]ratio_ins!$B:$B,0))</f>
        <v>192.21883199999999</v>
      </c>
      <c r="AB352" s="11">
        <f>INDEX([1]ratio_ins!Z:Z,MATCH('001_population_health_zone_zs'!$B$2,[1]ratio_ins!$B:$B,0))*$G352*INDEX([1]ratio_ins!$C:$C,MATCH('001_population_health_zone_zs'!$B352,[1]ratio_ins!$B:$B,0))</f>
        <v>2498.8448160000003</v>
      </c>
      <c r="AC352" s="12">
        <f t="shared" si="30"/>
        <v>96109.415999999997</v>
      </c>
      <c r="AD352" s="10">
        <f>INDEX([1]ratio_ins!AA:AA,MATCH('001_population_health_zone_zs'!$B$2,[1]ratio_ins!$B:$B,0))*$G352*INDEX([1]ratio_ins!$D:$D,MATCH('001_population_health_zone_zs'!$B352,[1]ratio_ins!$B:$B,0))</f>
        <v>21345.782640000001</v>
      </c>
      <c r="AE352" s="10">
        <f>INDEX([1]ratio_ins!AB:AB,MATCH('001_population_health_zone_zs'!$B$2,[1]ratio_ins!$B:$B,0))*$G352*INDEX([1]ratio_ins!$D:$D,MATCH('001_population_health_zone_zs'!$B352,[1]ratio_ins!$B:$B,0))</f>
        <v>17584.859032</v>
      </c>
      <c r="AF352" s="10">
        <f>INDEX([1]ratio_ins!AC:AC,MATCH('001_population_health_zone_zs'!$B$2,[1]ratio_ins!$B:$B,0))*$G352*INDEX([1]ratio_ins!$D:$D,MATCH('001_population_health_zone_zs'!$B352,[1]ratio_ins!$B:$B,0))</f>
        <v>13925.582007999999</v>
      </c>
      <c r="AG352" s="10">
        <f>INDEX([1]ratio_ins!AD:AD,MATCH('001_population_health_zone_zs'!$B$2,[1]ratio_ins!$B:$B,0))*$G352*INDEX([1]ratio_ins!$D:$D,MATCH('001_population_health_zone_zs'!$B352,[1]ratio_ins!$B:$B,0))</f>
        <v>8436.6664720000008</v>
      </c>
      <c r="AH352" s="10">
        <f>INDEX([1]ratio_ins!AE:AE,MATCH('001_population_health_zone_zs'!$B$2,[1]ratio_ins!$B:$B,0))*$G352*INDEX([1]ratio_ins!$D:$D,MATCH('001_population_health_zone_zs'!$B352,[1]ratio_ins!$B:$B,0))</f>
        <v>5061.9998832000001</v>
      </c>
      <c r="AI352" s="13">
        <f>INDEX([1]ratio_ins!AF:AF,MATCH('001_population_health_zone_zs'!$B$2,[1]ratio_ins!$B:$B,0))*$G352*INDEX([1]ratio_ins!$D:$D,MATCH('001_population_health_zone_zs'!$B352,[1]ratio_ins!$B:$B,0))</f>
        <v>57918.223563200001</v>
      </c>
      <c r="AJ352" s="10">
        <f>INDEX([1]ratio_ins!AG:AG,MATCH('001_population_health_zone_zs'!$B$2,[1]ratio_ins!$B:$B,0))*$G352*INDEX([1]ratio_ins!$D:$D,MATCH('001_population_health_zone_zs'!$B352,[1]ratio_ins!$B:$B,0))</f>
        <v>3374.6665888000002</v>
      </c>
      <c r="AK352" s="10">
        <f>INDEX([1]ratio_ins!AH:AH,MATCH('001_population_health_zone_zs'!$B$2,[1]ratio_ins!$B:$B,0))*$G352*INDEX([1]ratio_ins!$D:$D,MATCH('001_population_health_zone_zs'!$B352,[1]ratio_ins!$B:$B,0))</f>
        <v>7521.847216000001</v>
      </c>
      <c r="AL352" s="10">
        <f>INDEX([1]ratio_ins!AI:AI,MATCH('001_population_health_zone_zs'!$B$2,[1]ratio_ins!$B:$B,0))*$G352*INDEX([1]ratio_ins!$D:$D,MATCH('001_population_health_zone_zs'!$B352,[1]ratio_ins!$B:$B,0))</f>
        <v>7115.2608800000007</v>
      </c>
      <c r="AM352" s="10">
        <f>INDEX([1]ratio_ins!AJ:AJ,MATCH('001_population_health_zone_zs'!$B$2,[1]ratio_ins!$B:$B,0))*$G352*INDEX([1]ratio_ins!$D:$D,MATCH('001_population_health_zone_zs'!$B352,[1]ratio_ins!$B:$B,0))</f>
        <v>6505.3813760000003</v>
      </c>
      <c r="AN352" s="10">
        <f>INDEX([1]ratio_ins!AK:AK,MATCH('001_population_health_zone_zs'!$B$2,[1]ratio_ins!$B:$B,0))*$G352*INDEX([1]ratio_ins!$D:$D,MATCH('001_population_health_zone_zs'!$B352,[1]ratio_ins!$B:$B,0))</f>
        <v>6098.7950399999991</v>
      </c>
      <c r="AO352" s="10">
        <f>INDEX([1]ratio_ins!AL:AL,MATCH('001_population_health_zone_zs'!$B$2,[1]ratio_ins!$B:$B,0))*$G352*INDEX([1]ratio_ins!$D:$D,MATCH('001_population_health_zone_zs'!$B352,[1]ratio_ins!$B:$B,0))</f>
        <v>4574.0962800000007</v>
      </c>
      <c r="AP352" s="10">
        <f>INDEX([1]ratio_ins!AM:AM,MATCH('001_population_health_zone_zs'!$B$2,[1]ratio_ins!$B:$B,0))*$G352*INDEX([1]ratio_ins!$D:$D,MATCH('001_population_health_zone_zs'!$B352,[1]ratio_ins!$B:$B,0))</f>
        <v>2947.7509359999999</v>
      </c>
      <c r="AQ352" s="10">
        <f>INDEX([1]ratio_ins!AN:AN,MATCH('001_population_health_zone_zs'!$B$2,[1]ratio_ins!$B:$B,0))*$G352*INDEX([1]ratio_ins!$D:$D,MATCH('001_population_health_zone_zs'!$B352,[1]ratio_ins!$B:$B,0))</f>
        <v>2337.8714319999999</v>
      </c>
      <c r="AR352" s="10">
        <f>INDEX([1]ratio_ins!AO:AO,MATCH('001_population_health_zone_zs'!$B$2,[1]ratio_ins!$B:$B,0))*$G352*INDEX([1]ratio_ins!$D:$D,MATCH('001_population_health_zone_zs'!$B352,[1]ratio_ins!$B:$B,0))</f>
        <v>1118.1124240000001</v>
      </c>
      <c r="AS352" s="13">
        <f>INDEX([1]ratio_ins!AP:AP,MATCH('001_population_health_zone_zs'!$B$2,[1]ratio_ins!$B:$B,0))*$G352*INDEX([1]ratio_ins!$D:$D,MATCH('001_population_health_zone_zs'!$B352,[1]ratio_ins!$B:$B,0))</f>
        <v>41593.782172799998</v>
      </c>
      <c r="AT352" s="10">
        <f>INDEX([1]ratio_ins!AQ:AQ,MATCH('001_population_health_zone_zs'!$B$2,[1]ratio_ins!$B:$B,0))*$G352*INDEX([1]ratio_ins!$D:$D,MATCH('001_population_health_zone_zs'!$B352,[1]ratio_ins!$B:$B,0))</f>
        <v>1016.46584</v>
      </c>
      <c r="AU352" s="10">
        <f>INDEX([1]ratio_ins!AR:AR,MATCH('001_population_health_zone_zs'!$B$2,[1]ratio_ins!$B:$B,0))*$G352*INDEX([1]ratio_ins!$D:$D,MATCH('001_population_health_zone_zs'!$B352,[1]ratio_ins!$B:$B,0))</f>
        <v>609.879504</v>
      </c>
      <c r="AV352" s="10">
        <f>INDEX([1]ratio_ins!AS:AS,MATCH('001_population_health_zone_zs'!$B$2,[1]ratio_ins!$B:$B,0))*$G352*INDEX([1]ratio_ins!$D:$D,MATCH('001_population_health_zone_zs'!$B352,[1]ratio_ins!$B:$B,0))</f>
        <v>304.939752</v>
      </c>
      <c r="AW352" s="10">
        <f>INDEX([1]ratio_ins!AT:AT,MATCH('001_population_health_zone_zs'!$B$2,[1]ratio_ins!$B:$B,0))*$G352*INDEX([1]ratio_ins!$D:$D,MATCH('001_population_health_zone_zs'!$B352,[1]ratio_ins!$B:$B,0))</f>
        <v>203.29316800000001</v>
      </c>
      <c r="AX352" s="13">
        <f>INDEX([1]ratio_ins!AU:AU,MATCH('001_population_health_zone_zs'!$B$2,[1]ratio_ins!$B:$B,0))*$G352*INDEX([1]ratio_ins!$D:$D,MATCH('001_population_health_zone_zs'!$B352,[1]ratio_ins!$B:$B,0))</f>
        <v>2134.5782639999998</v>
      </c>
      <c r="AY352" s="14">
        <f t="shared" si="31"/>
        <v>101646.58399999999</v>
      </c>
      <c r="AZ352" s="15">
        <f t="shared" si="32"/>
        <v>197756</v>
      </c>
      <c r="BA352" s="16">
        <v>189932.12717746318</v>
      </c>
      <c r="BB352" s="10">
        <f t="shared" si="33"/>
        <v>43199.798199999997</v>
      </c>
      <c r="BC352" s="17">
        <f t="shared" si="34"/>
        <v>0.21844999999999998</v>
      </c>
      <c r="BD352" s="10">
        <f t="shared" si="35"/>
        <v>40077.626471999996</v>
      </c>
    </row>
    <row r="353" spans="1:56" x14ac:dyDescent="0.25">
      <c r="A353" s="8" t="s">
        <v>831</v>
      </c>
      <c r="B353" s="8" t="s">
        <v>832</v>
      </c>
      <c r="C353" s="8" t="s">
        <v>865</v>
      </c>
      <c r="D353" s="8" t="s">
        <v>866</v>
      </c>
      <c r="E353" s="8" t="s">
        <v>865</v>
      </c>
      <c r="F353" s="8" t="s">
        <v>867</v>
      </c>
      <c r="G353" s="9">
        <v>304155</v>
      </c>
      <c r="H353" s="10">
        <f>INDEX([1]ratio_ins!F:F,MATCH('001_population_health_zone_zs'!$B$2,[1]ratio_ins!$B:$B,0))*$G353*INDEX([1]ratio_ins!$C:$C,MATCH('001_population_health_zone_zs'!$B353,[1]ratio_ins!$B:$B,0))</f>
        <v>30894.239969999999</v>
      </c>
      <c r="I353" s="10">
        <f>INDEX([1]ratio_ins!G:G,MATCH('001_population_health_zone_zs'!$B$2,[1]ratio_ins!$B:$B,0))*$G353*INDEX([1]ratio_ins!$C:$C,MATCH('001_population_health_zone_zs'!$B353,[1]ratio_ins!$B:$B,0))</f>
        <v>25277.105430000003</v>
      </c>
      <c r="J353" s="10">
        <f>INDEX([1]ratio_ins!H:H,MATCH('001_population_health_zone_zs'!$B$2,[1]ratio_ins!$B:$B,0))*$G353*INDEX([1]ratio_ins!$C:$C,MATCH('001_population_health_zone_zs'!$B353,[1]ratio_ins!$B:$B,0))</f>
        <v>19955.609550000001</v>
      </c>
      <c r="K353" s="10">
        <f>INDEX([1]ratio_ins!I:I,MATCH('001_population_health_zone_zs'!$B$2,[1]ratio_ins!$B:$B,0))*$G353*INDEX([1]ratio_ins!$C:$C,MATCH('001_population_health_zone_zs'!$B353,[1]ratio_ins!$B:$B,0))</f>
        <v>12269.00439</v>
      </c>
      <c r="L353" s="10">
        <f>INDEX([1]ratio_ins!J:J,MATCH('001_population_health_zone_zs'!$B$2,[1]ratio_ins!$B:$B,0))*$G353*INDEX([1]ratio_ins!$C:$C,MATCH('001_population_health_zone_zs'!$B353,[1]ratio_ins!$B:$B,0))</f>
        <v>7361.402634</v>
      </c>
      <c r="M353" s="11">
        <f>INDEX([1]ratio_ins!K:K,MATCH('001_population_health_zone_zs'!$B$2,[1]ratio_ins!$B:$B,0))*$G353*INDEX([1]ratio_ins!$C:$C,MATCH('001_population_health_zone_zs'!$B353,[1]ratio_ins!$B:$B,0))</f>
        <v>83488.357583999983</v>
      </c>
      <c r="N353" s="10">
        <f>INDEX([1]ratio_ins!L:L,MATCH('001_population_health_zone_zs'!$B$2,[1]ratio_ins!$B:$B,0))*$G353*INDEX([1]ratio_ins!$C:$C,MATCH('001_population_health_zone_zs'!$B353,[1]ratio_ins!$B:$B,0))</f>
        <v>4907.601756</v>
      </c>
      <c r="O353" s="10">
        <f>INDEX([1]ratio_ins!M:M,MATCH('001_population_health_zone_zs'!$B$2,[1]ratio_ins!$B:$B,0))*$G353*INDEX([1]ratio_ins!$C:$C,MATCH('001_population_health_zone_zs'!$B353,[1]ratio_ins!$B:$B,0))</f>
        <v>10642.991760000001</v>
      </c>
      <c r="P353" s="10">
        <f>INDEX([1]ratio_ins!N:N,MATCH('001_population_health_zone_zs'!$B$2,[1]ratio_ins!$B:$B,0))*$G353*INDEX([1]ratio_ins!$C:$C,MATCH('001_population_health_zone_zs'!$B353,[1]ratio_ins!$B:$B,0))</f>
        <v>9608.2564500000008</v>
      </c>
      <c r="Q353" s="10">
        <f>INDEX([1]ratio_ins!O:O,MATCH('001_population_health_zone_zs'!$B$2,[1]ratio_ins!$B:$B,0))*$G353*INDEX([1]ratio_ins!$C:$C,MATCH('001_population_health_zone_zs'!$B353,[1]ratio_ins!$B:$B,0))</f>
        <v>8573.5211399999989</v>
      </c>
      <c r="R353" s="10">
        <f>INDEX([1]ratio_ins!P:P,MATCH('001_population_health_zone_zs'!$B$2,[1]ratio_ins!$B:$B,0))*$G353*INDEX([1]ratio_ins!$C:$C,MATCH('001_population_health_zone_zs'!$B353,[1]ratio_ins!$B:$B,0))</f>
        <v>8425.7018099999987</v>
      </c>
      <c r="S353" s="10">
        <f>INDEX([1]ratio_ins!Q:Q,MATCH('001_population_health_zone_zs'!$B$2,[1]ratio_ins!$B:$B,0))*$G353*INDEX([1]ratio_ins!$C:$C,MATCH('001_population_health_zone_zs'!$B353,[1]ratio_ins!$B:$B,0))</f>
        <v>7095.3278399999999</v>
      </c>
      <c r="T353" s="10">
        <f>INDEX([1]ratio_ins!R:R,MATCH('001_population_health_zone_zs'!$B$2,[1]ratio_ins!$B:$B,0))*$G353*INDEX([1]ratio_ins!$C:$C,MATCH('001_population_health_zone_zs'!$B353,[1]ratio_ins!$B:$B,0))</f>
        <v>5025.8572199999999</v>
      </c>
      <c r="U353" s="10">
        <f>INDEX([1]ratio_ins!S:S,MATCH('001_population_health_zone_zs'!$B$2,[1]ratio_ins!$B:$B,0))*$G353*INDEX([1]ratio_ins!$C:$C,MATCH('001_population_health_zone_zs'!$B353,[1]ratio_ins!$B:$B,0))</f>
        <v>3991.1219100000008</v>
      </c>
      <c r="V353" s="10">
        <f>INDEX([1]ratio_ins!T:T,MATCH('001_population_health_zone_zs'!$B$2,[1]ratio_ins!$B:$B,0))*$G353*INDEX([1]ratio_ins!$C:$C,MATCH('001_population_health_zone_zs'!$B353,[1]ratio_ins!$B:$B,0))</f>
        <v>2217.2899499999999</v>
      </c>
      <c r="W353" s="11">
        <f>INDEX([1]ratio_ins!U:U,MATCH('001_population_health_zone_zs'!$B$2,[1]ratio_ins!$B:$B,0))*$G353*INDEX([1]ratio_ins!$C:$C,MATCH('001_population_health_zone_zs'!$B353,[1]ratio_ins!$B:$B,0))</f>
        <v>60487.669836000001</v>
      </c>
      <c r="X353" s="10">
        <f>INDEX([1]ratio_ins!V:V,MATCH('001_population_health_zone_zs'!$B$2,[1]ratio_ins!$B:$B,0))*$G353*INDEX([1]ratio_ins!$C:$C,MATCH('001_population_health_zone_zs'!$B353,[1]ratio_ins!$B:$B,0))</f>
        <v>1773.83196</v>
      </c>
      <c r="Y353" s="10">
        <f>INDEX([1]ratio_ins!W:W,MATCH('001_population_health_zone_zs'!$B$2,[1]ratio_ins!$B:$B,0))*$G353*INDEX([1]ratio_ins!$C:$C,MATCH('001_population_health_zone_zs'!$B353,[1]ratio_ins!$B:$B,0))</f>
        <v>1182.5546400000001</v>
      </c>
      <c r="Z353" s="10">
        <f>INDEX([1]ratio_ins!X:X,MATCH('001_population_health_zone_zs'!$B$2,[1]ratio_ins!$B:$B,0))*$G353*INDEX([1]ratio_ins!$C:$C,MATCH('001_population_health_zone_zs'!$B353,[1]ratio_ins!$B:$B,0))</f>
        <v>591.27732000000003</v>
      </c>
      <c r="AA353" s="10">
        <f>INDEX([1]ratio_ins!Y:Y,MATCH('001_population_health_zone_zs'!$B$2,[1]ratio_ins!$B:$B,0))*$G353*INDEX([1]ratio_ins!$C:$C,MATCH('001_population_health_zone_zs'!$B353,[1]ratio_ins!$B:$B,0))</f>
        <v>295.63866000000002</v>
      </c>
      <c r="AB353" s="11">
        <f>INDEX([1]ratio_ins!Z:Z,MATCH('001_population_health_zone_zs'!$B$2,[1]ratio_ins!$B:$B,0))*$G353*INDEX([1]ratio_ins!$C:$C,MATCH('001_population_health_zone_zs'!$B353,[1]ratio_ins!$B:$B,0))</f>
        <v>3843.30258</v>
      </c>
      <c r="AC353" s="12">
        <f t="shared" si="30"/>
        <v>147819.32999999999</v>
      </c>
      <c r="AD353" s="10">
        <f>INDEX([1]ratio_ins!AA:AA,MATCH('001_population_health_zone_zs'!$B$2,[1]ratio_ins!$B:$B,0))*$G353*INDEX([1]ratio_ins!$D:$D,MATCH('001_population_health_zone_zs'!$B353,[1]ratio_ins!$B:$B,0))</f>
        <v>32830.490700000002</v>
      </c>
      <c r="AE353" s="10">
        <f>INDEX([1]ratio_ins!AB:AB,MATCH('001_population_health_zone_zs'!$B$2,[1]ratio_ins!$B:$B,0))*$G353*INDEX([1]ratio_ins!$D:$D,MATCH('001_population_health_zone_zs'!$B353,[1]ratio_ins!$B:$B,0))</f>
        <v>27046.070910000002</v>
      </c>
      <c r="AF353" s="10">
        <f>INDEX([1]ratio_ins!AC:AC,MATCH('001_population_health_zone_zs'!$B$2,[1]ratio_ins!$B:$B,0))*$G353*INDEX([1]ratio_ins!$D:$D,MATCH('001_population_health_zone_zs'!$B353,[1]ratio_ins!$B:$B,0))</f>
        <v>21417.986789999995</v>
      </c>
      <c r="AG353" s="10">
        <f>INDEX([1]ratio_ins!AD:AD,MATCH('001_population_health_zone_zs'!$B$2,[1]ratio_ins!$B:$B,0))*$G353*INDEX([1]ratio_ins!$D:$D,MATCH('001_population_health_zone_zs'!$B353,[1]ratio_ins!$B:$B,0))</f>
        <v>12975.860610000002</v>
      </c>
      <c r="AH353" s="10">
        <f>INDEX([1]ratio_ins!AE:AE,MATCH('001_population_health_zone_zs'!$B$2,[1]ratio_ins!$B:$B,0))*$G353*INDEX([1]ratio_ins!$D:$D,MATCH('001_population_health_zone_zs'!$B353,[1]ratio_ins!$B:$B,0))</f>
        <v>7785.5163659999998</v>
      </c>
      <c r="AI353" s="13">
        <f>INDEX([1]ratio_ins!AF:AF,MATCH('001_population_health_zone_zs'!$B$2,[1]ratio_ins!$B:$B,0))*$G353*INDEX([1]ratio_ins!$D:$D,MATCH('001_population_health_zone_zs'!$B353,[1]ratio_ins!$B:$B,0))</f>
        <v>89080.064765999996</v>
      </c>
      <c r="AJ353" s="10">
        <f>INDEX([1]ratio_ins!AG:AG,MATCH('001_population_health_zone_zs'!$B$2,[1]ratio_ins!$B:$B,0))*$G353*INDEX([1]ratio_ins!$D:$D,MATCH('001_population_health_zone_zs'!$B353,[1]ratio_ins!$B:$B,0))</f>
        <v>5190.3442439999999</v>
      </c>
      <c r="AK353" s="10">
        <f>INDEX([1]ratio_ins!AH:AH,MATCH('001_population_health_zone_zs'!$B$2,[1]ratio_ins!$B:$B,0))*$G353*INDEX([1]ratio_ins!$D:$D,MATCH('001_population_health_zone_zs'!$B353,[1]ratio_ins!$B:$B,0))</f>
        <v>11568.839580000003</v>
      </c>
      <c r="AL353" s="10">
        <f>INDEX([1]ratio_ins!AI:AI,MATCH('001_population_health_zone_zs'!$B$2,[1]ratio_ins!$B:$B,0))*$G353*INDEX([1]ratio_ins!$D:$D,MATCH('001_population_health_zone_zs'!$B353,[1]ratio_ins!$B:$B,0))</f>
        <v>10943.496900000002</v>
      </c>
      <c r="AM353" s="10">
        <f>INDEX([1]ratio_ins!AJ:AJ,MATCH('001_population_health_zone_zs'!$B$2,[1]ratio_ins!$B:$B,0))*$G353*INDEX([1]ratio_ins!$D:$D,MATCH('001_population_health_zone_zs'!$B353,[1]ratio_ins!$B:$B,0))</f>
        <v>10005.482880000001</v>
      </c>
      <c r="AN353" s="10">
        <f>INDEX([1]ratio_ins!AK:AK,MATCH('001_population_health_zone_zs'!$B$2,[1]ratio_ins!$B:$B,0))*$G353*INDEX([1]ratio_ins!$D:$D,MATCH('001_population_health_zone_zs'!$B353,[1]ratio_ins!$B:$B,0))</f>
        <v>9380.1401999999998</v>
      </c>
      <c r="AO353" s="10">
        <f>INDEX([1]ratio_ins!AL:AL,MATCH('001_population_health_zone_zs'!$B$2,[1]ratio_ins!$B:$B,0))*$G353*INDEX([1]ratio_ins!$D:$D,MATCH('001_population_health_zone_zs'!$B353,[1]ratio_ins!$B:$B,0))</f>
        <v>7035.1051500000003</v>
      </c>
      <c r="AP353" s="10">
        <f>INDEX([1]ratio_ins!AM:AM,MATCH('001_population_health_zone_zs'!$B$2,[1]ratio_ins!$B:$B,0))*$G353*INDEX([1]ratio_ins!$D:$D,MATCH('001_population_health_zone_zs'!$B353,[1]ratio_ins!$B:$B,0))</f>
        <v>4533.7344299999995</v>
      </c>
      <c r="AQ353" s="10">
        <f>INDEX([1]ratio_ins!AN:AN,MATCH('001_population_health_zone_zs'!$B$2,[1]ratio_ins!$B:$B,0))*$G353*INDEX([1]ratio_ins!$D:$D,MATCH('001_population_health_zone_zs'!$B353,[1]ratio_ins!$B:$B,0))</f>
        <v>3595.7204099999999</v>
      </c>
      <c r="AR353" s="10">
        <f>INDEX([1]ratio_ins!AO:AO,MATCH('001_population_health_zone_zs'!$B$2,[1]ratio_ins!$B:$B,0))*$G353*INDEX([1]ratio_ins!$D:$D,MATCH('001_population_health_zone_zs'!$B353,[1]ratio_ins!$B:$B,0))</f>
        <v>1719.6923700000002</v>
      </c>
      <c r="AS353" s="13">
        <f>INDEX([1]ratio_ins!AP:AP,MATCH('001_population_health_zone_zs'!$B$2,[1]ratio_ins!$B:$B,0))*$G353*INDEX([1]ratio_ins!$D:$D,MATCH('001_population_health_zone_zs'!$B353,[1]ratio_ins!$B:$B,0))</f>
        <v>63972.556164000009</v>
      </c>
      <c r="AT353" s="10">
        <f>INDEX([1]ratio_ins!AQ:AQ,MATCH('001_population_health_zone_zs'!$B$2,[1]ratio_ins!$B:$B,0))*$G353*INDEX([1]ratio_ins!$D:$D,MATCH('001_population_health_zone_zs'!$B353,[1]ratio_ins!$B:$B,0))</f>
        <v>1563.3567</v>
      </c>
      <c r="AU353" s="10">
        <f>INDEX([1]ratio_ins!AR:AR,MATCH('001_population_health_zone_zs'!$B$2,[1]ratio_ins!$B:$B,0))*$G353*INDEX([1]ratio_ins!$D:$D,MATCH('001_population_health_zone_zs'!$B353,[1]ratio_ins!$B:$B,0))</f>
        <v>938.01402000000007</v>
      </c>
      <c r="AV353" s="10">
        <f>INDEX([1]ratio_ins!AS:AS,MATCH('001_population_health_zone_zs'!$B$2,[1]ratio_ins!$B:$B,0))*$G353*INDEX([1]ratio_ins!$D:$D,MATCH('001_population_health_zone_zs'!$B353,[1]ratio_ins!$B:$B,0))</f>
        <v>469.00701000000004</v>
      </c>
      <c r="AW353" s="10">
        <f>INDEX([1]ratio_ins!AT:AT,MATCH('001_population_health_zone_zs'!$B$2,[1]ratio_ins!$B:$B,0))*$G353*INDEX([1]ratio_ins!$D:$D,MATCH('001_population_health_zone_zs'!$B353,[1]ratio_ins!$B:$B,0))</f>
        <v>312.67134000000004</v>
      </c>
      <c r="AX353" s="13">
        <f>INDEX([1]ratio_ins!AU:AU,MATCH('001_population_health_zone_zs'!$B$2,[1]ratio_ins!$B:$B,0))*$G353*INDEX([1]ratio_ins!$D:$D,MATCH('001_population_health_zone_zs'!$B353,[1]ratio_ins!$B:$B,0))</f>
        <v>3283.0490699999996</v>
      </c>
      <c r="AY353" s="14">
        <f t="shared" si="31"/>
        <v>156335.67000000001</v>
      </c>
      <c r="AZ353" s="15">
        <f t="shared" si="32"/>
        <v>304155</v>
      </c>
      <c r="BA353" s="16">
        <v>292122.08605389233</v>
      </c>
      <c r="BB353" s="10">
        <f t="shared" si="33"/>
        <v>66442.659750000006</v>
      </c>
      <c r="BC353" s="17">
        <f t="shared" si="34"/>
        <v>0.21845000000000003</v>
      </c>
      <c r="BD353" s="10">
        <f t="shared" si="35"/>
        <v>61640.660609999992</v>
      </c>
    </row>
    <row r="354" spans="1:56" x14ac:dyDescent="0.25">
      <c r="A354" s="8" t="s">
        <v>831</v>
      </c>
      <c r="B354" s="8" t="s">
        <v>832</v>
      </c>
      <c r="C354" s="8" t="s">
        <v>865</v>
      </c>
      <c r="D354" s="8" t="s">
        <v>866</v>
      </c>
      <c r="E354" s="8" t="s">
        <v>868</v>
      </c>
      <c r="F354" s="8" t="s">
        <v>869</v>
      </c>
      <c r="G354" s="9">
        <v>362754</v>
      </c>
      <c r="H354" s="10">
        <f>INDEX([1]ratio_ins!F:F,MATCH('001_population_health_zone_zs'!$B$2,[1]ratio_ins!$B:$B,0))*$G354*INDEX([1]ratio_ins!$C:$C,MATCH('001_population_health_zone_zs'!$B354,[1]ratio_ins!$B:$B,0))</f>
        <v>36846.374795999996</v>
      </c>
      <c r="I354" s="10">
        <f>INDEX([1]ratio_ins!G:G,MATCH('001_population_health_zone_zs'!$B$2,[1]ratio_ins!$B:$B,0))*$G354*INDEX([1]ratio_ins!$C:$C,MATCH('001_population_health_zone_zs'!$B354,[1]ratio_ins!$B:$B,0))</f>
        <v>30147.033924000003</v>
      </c>
      <c r="J354" s="10">
        <f>INDEX([1]ratio_ins!H:H,MATCH('001_population_health_zone_zs'!$B$2,[1]ratio_ins!$B:$B,0))*$G354*INDEX([1]ratio_ins!$C:$C,MATCH('001_population_health_zone_zs'!$B354,[1]ratio_ins!$B:$B,0))</f>
        <v>23800.289939999999</v>
      </c>
      <c r="K354" s="10">
        <f>INDEX([1]ratio_ins!I:I,MATCH('001_population_health_zone_zs'!$B$2,[1]ratio_ins!$B:$B,0))*$G354*INDEX([1]ratio_ins!$C:$C,MATCH('001_population_health_zone_zs'!$B354,[1]ratio_ins!$B:$B,0))</f>
        <v>14632.770852000001</v>
      </c>
      <c r="L354" s="10">
        <f>INDEX([1]ratio_ins!J:J,MATCH('001_population_health_zone_zs'!$B$2,[1]ratio_ins!$B:$B,0))*$G354*INDEX([1]ratio_ins!$C:$C,MATCH('001_population_health_zone_zs'!$B354,[1]ratio_ins!$B:$B,0))</f>
        <v>8779.6625112000002</v>
      </c>
      <c r="M354" s="11">
        <f>INDEX([1]ratio_ins!K:K,MATCH('001_population_health_zone_zs'!$B$2,[1]ratio_ins!$B:$B,0))*$G354*INDEX([1]ratio_ins!$C:$C,MATCH('001_population_health_zone_zs'!$B354,[1]ratio_ins!$B:$B,0))</f>
        <v>99573.361171199984</v>
      </c>
      <c r="N354" s="10">
        <f>INDEX([1]ratio_ins!L:L,MATCH('001_population_health_zone_zs'!$B$2,[1]ratio_ins!$B:$B,0))*$G354*INDEX([1]ratio_ins!$C:$C,MATCH('001_population_health_zone_zs'!$B354,[1]ratio_ins!$B:$B,0))</f>
        <v>5853.1083408000004</v>
      </c>
      <c r="O354" s="10">
        <f>INDEX([1]ratio_ins!M:M,MATCH('001_population_health_zone_zs'!$B$2,[1]ratio_ins!$B:$B,0))*$G354*INDEX([1]ratio_ins!$C:$C,MATCH('001_population_health_zone_zs'!$B354,[1]ratio_ins!$B:$B,0))</f>
        <v>12693.487968000001</v>
      </c>
      <c r="P354" s="10">
        <f>INDEX([1]ratio_ins!N:N,MATCH('001_population_health_zone_zs'!$B$2,[1]ratio_ins!$B:$B,0))*$G354*INDEX([1]ratio_ins!$C:$C,MATCH('001_population_health_zone_zs'!$B354,[1]ratio_ins!$B:$B,0))</f>
        <v>11459.398860000001</v>
      </c>
      <c r="Q354" s="10">
        <f>INDEX([1]ratio_ins!O:O,MATCH('001_population_health_zone_zs'!$B$2,[1]ratio_ins!$B:$B,0))*$G354*INDEX([1]ratio_ins!$C:$C,MATCH('001_population_health_zone_zs'!$B354,[1]ratio_ins!$B:$B,0))</f>
        <v>10225.309751999999</v>
      </c>
      <c r="R354" s="10">
        <f>INDEX([1]ratio_ins!P:P,MATCH('001_population_health_zone_zs'!$B$2,[1]ratio_ins!$B:$B,0))*$G354*INDEX([1]ratio_ins!$C:$C,MATCH('001_population_health_zone_zs'!$B354,[1]ratio_ins!$B:$B,0))</f>
        <v>10049.011307999999</v>
      </c>
      <c r="S354" s="10">
        <f>INDEX([1]ratio_ins!Q:Q,MATCH('001_population_health_zone_zs'!$B$2,[1]ratio_ins!$B:$B,0))*$G354*INDEX([1]ratio_ins!$C:$C,MATCH('001_population_health_zone_zs'!$B354,[1]ratio_ins!$B:$B,0))</f>
        <v>8462.325311999999</v>
      </c>
      <c r="T354" s="10">
        <f>INDEX([1]ratio_ins!R:R,MATCH('001_population_health_zone_zs'!$B$2,[1]ratio_ins!$B:$B,0))*$G354*INDEX([1]ratio_ins!$C:$C,MATCH('001_population_health_zone_zs'!$B354,[1]ratio_ins!$B:$B,0))</f>
        <v>5994.1470959999997</v>
      </c>
      <c r="U354" s="10">
        <f>INDEX([1]ratio_ins!S:S,MATCH('001_population_health_zone_zs'!$B$2,[1]ratio_ins!$B:$B,0))*$G354*INDEX([1]ratio_ins!$C:$C,MATCH('001_population_health_zone_zs'!$B354,[1]ratio_ins!$B:$B,0))</f>
        <v>4760.0579880000005</v>
      </c>
      <c r="V354" s="10">
        <f>INDEX([1]ratio_ins!T:T,MATCH('001_population_health_zone_zs'!$B$2,[1]ratio_ins!$B:$B,0))*$G354*INDEX([1]ratio_ins!$C:$C,MATCH('001_population_health_zone_zs'!$B354,[1]ratio_ins!$B:$B,0))</f>
        <v>2644.4766599999998</v>
      </c>
      <c r="W354" s="11">
        <f>INDEX([1]ratio_ins!U:U,MATCH('001_population_health_zone_zs'!$B$2,[1]ratio_ins!$B:$B,0))*$G354*INDEX([1]ratio_ins!$C:$C,MATCH('001_population_health_zone_zs'!$B354,[1]ratio_ins!$B:$B,0))</f>
        <v>72141.32328479999</v>
      </c>
      <c r="X354" s="10">
        <f>INDEX([1]ratio_ins!V:V,MATCH('001_population_health_zone_zs'!$B$2,[1]ratio_ins!$B:$B,0))*$G354*INDEX([1]ratio_ins!$C:$C,MATCH('001_population_health_zone_zs'!$B354,[1]ratio_ins!$B:$B,0))</f>
        <v>2115.5813279999998</v>
      </c>
      <c r="Y354" s="10">
        <f>INDEX([1]ratio_ins!W:W,MATCH('001_population_health_zone_zs'!$B$2,[1]ratio_ins!$B:$B,0))*$G354*INDEX([1]ratio_ins!$C:$C,MATCH('001_population_health_zone_zs'!$B354,[1]ratio_ins!$B:$B,0))</f>
        <v>1410.3875520000001</v>
      </c>
      <c r="Z354" s="10">
        <f>INDEX([1]ratio_ins!X:X,MATCH('001_population_health_zone_zs'!$B$2,[1]ratio_ins!$B:$B,0))*$G354*INDEX([1]ratio_ins!$C:$C,MATCH('001_population_health_zone_zs'!$B354,[1]ratio_ins!$B:$B,0))</f>
        <v>705.19377600000007</v>
      </c>
      <c r="AA354" s="10">
        <f>INDEX([1]ratio_ins!Y:Y,MATCH('001_population_health_zone_zs'!$B$2,[1]ratio_ins!$B:$B,0))*$G354*INDEX([1]ratio_ins!$C:$C,MATCH('001_population_health_zone_zs'!$B354,[1]ratio_ins!$B:$B,0))</f>
        <v>352.59688800000004</v>
      </c>
      <c r="AB354" s="11">
        <f>INDEX([1]ratio_ins!Z:Z,MATCH('001_population_health_zone_zs'!$B$2,[1]ratio_ins!$B:$B,0))*$G354*INDEX([1]ratio_ins!$C:$C,MATCH('001_population_health_zone_zs'!$B354,[1]ratio_ins!$B:$B,0))</f>
        <v>4583.7595440000005</v>
      </c>
      <c r="AC354" s="12">
        <f t="shared" si="30"/>
        <v>176298.44399999999</v>
      </c>
      <c r="AD354" s="10">
        <f>INDEX([1]ratio_ins!AA:AA,MATCH('001_population_health_zone_zs'!$B$2,[1]ratio_ins!$B:$B,0))*$G354*INDEX([1]ratio_ins!$D:$D,MATCH('001_population_health_zone_zs'!$B354,[1]ratio_ins!$B:$B,0))</f>
        <v>39155.66676</v>
      </c>
      <c r="AE354" s="10">
        <f>INDEX([1]ratio_ins!AB:AB,MATCH('001_population_health_zone_zs'!$B$2,[1]ratio_ins!$B:$B,0))*$G354*INDEX([1]ratio_ins!$D:$D,MATCH('001_population_health_zone_zs'!$B354,[1]ratio_ins!$B:$B,0))</f>
        <v>32256.811188000003</v>
      </c>
      <c r="AF354" s="10">
        <f>INDEX([1]ratio_ins!AC:AC,MATCH('001_population_health_zone_zs'!$B$2,[1]ratio_ins!$B:$B,0))*$G354*INDEX([1]ratio_ins!$D:$D,MATCH('001_population_health_zone_zs'!$B354,[1]ratio_ins!$B:$B,0))</f>
        <v>25544.411171999996</v>
      </c>
      <c r="AG354" s="10">
        <f>INDEX([1]ratio_ins!AD:AD,MATCH('001_population_health_zone_zs'!$B$2,[1]ratio_ins!$B:$B,0))*$G354*INDEX([1]ratio_ins!$D:$D,MATCH('001_population_health_zone_zs'!$B354,[1]ratio_ins!$B:$B,0))</f>
        <v>15475.811148000001</v>
      </c>
      <c r="AH354" s="10">
        <f>INDEX([1]ratio_ins!AE:AE,MATCH('001_population_health_zone_zs'!$B$2,[1]ratio_ins!$B:$B,0))*$G354*INDEX([1]ratio_ins!$D:$D,MATCH('001_population_health_zone_zs'!$B354,[1]ratio_ins!$B:$B,0))</f>
        <v>9285.4866887999997</v>
      </c>
      <c r="AI354" s="13">
        <f>INDEX([1]ratio_ins!AF:AF,MATCH('001_population_health_zone_zs'!$B$2,[1]ratio_ins!$B:$B,0))*$G354*INDEX([1]ratio_ins!$D:$D,MATCH('001_population_health_zone_zs'!$B354,[1]ratio_ins!$B:$B,0))</f>
        <v>106242.3758088</v>
      </c>
      <c r="AJ354" s="10">
        <f>INDEX([1]ratio_ins!AG:AG,MATCH('001_population_health_zone_zs'!$B$2,[1]ratio_ins!$B:$B,0))*$G354*INDEX([1]ratio_ins!$D:$D,MATCH('001_population_health_zone_zs'!$B354,[1]ratio_ins!$B:$B,0))</f>
        <v>6190.3244592000001</v>
      </c>
      <c r="AK354" s="10">
        <f>INDEX([1]ratio_ins!AH:AH,MATCH('001_population_health_zone_zs'!$B$2,[1]ratio_ins!$B:$B,0))*$G354*INDEX([1]ratio_ins!$D:$D,MATCH('001_population_health_zone_zs'!$B354,[1]ratio_ins!$B:$B,0))</f>
        <v>13797.711144000001</v>
      </c>
      <c r="AL354" s="10">
        <f>INDEX([1]ratio_ins!AI:AI,MATCH('001_population_health_zone_zs'!$B$2,[1]ratio_ins!$B:$B,0))*$G354*INDEX([1]ratio_ins!$D:$D,MATCH('001_population_health_zone_zs'!$B354,[1]ratio_ins!$B:$B,0))</f>
        <v>13051.888920000001</v>
      </c>
      <c r="AM354" s="10">
        <f>INDEX([1]ratio_ins!AJ:AJ,MATCH('001_population_health_zone_zs'!$B$2,[1]ratio_ins!$B:$B,0))*$G354*INDEX([1]ratio_ins!$D:$D,MATCH('001_population_health_zone_zs'!$B354,[1]ratio_ins!$B:$B,0))</f>
        <v>11933.155584</v>
      </c>
      <c r="AN354" s="10">
        <f>INDEX([1]ratio_ins!AK:AK,MATCH('001_population_health_zone_zs'!$B$2,[1]ratio_ins!$B:$B,0))*$G354*INDEX([1]ratio_ins!$D:$D,MATCH('001_population_health_zone_zs'!$B354,[1]ratio_ins!$B:$B,0))</f>
        <v>11187.333359999999</v>
      </c>
      <c r="AO354" s="10">
        <f>INDEX([1]ratio_ins!AL:AL,MATCH('001_population_health_zone_zs'!$B$2,[1]ratio_ins!$B:$B,0))*$G354*INDEX([1]ratio_ins!$D:$D,MATCH('001_population_health_zone_zs'!$B354,[1]ratio_ins!$B:$B,0))</f>
        <v>8390.5000199999995</v>
      </c>
      <c r="AP354" s="10">
        <f>INDEX([1]ratio_ins!AM:AM,MATCH('001_population_health_zone_zs'!$B$2,[1]ratio_ins!$B:$B,0))*$G354*INDEX([1]ratio_ins!$D:$D,MATCH('001_population_health_zone_zs'!$B354,[1]ratio_ins!$B:$B,0))</f>
        <v>5407.2111240000004</v>
      </c>
      <c r="AQ354" s="10">
        <f>INDEX([1]ratio_ins!AN:AN,MATCH('001_population_health_zone_zs'!$B$2,[1]ratio_ins!$B:$B,0))*$G354*INDEX([1]ratio_ins!$D:$D,MATCH('001_population_health_zone_zs'!$B354,[1]ratio_ins!$B:$B,0))</f>
        <v>4288.4777880000001</v>
      </c>
      <c r="AR354" s="10">
        <f>INDEX([1]ratio_ins!AO:AO,MATCH('001_population_health_zone_zs'!$B$2,[1]ratio_ins!$B:$B,0))*$G354*INDEX([1]ratio_ins!$D:$D,MATCH('001_population_health_zone_zs'!$B354,[1]ratio_ins!$B:$B,0))</f>
        <v>2051.0111160000001</v>
      </c>
      <c r="AS354" s="13">
        <f>INDEX([1]ratio_ins!AP:AP,MATCH('001_population_health_zone_zs'!$B$2,[1]ratio_ins!$B:$B,0))*$G354*INDEX([1]ratio_ins!$D:$D,MATCH('001_population_health_zone_zs'!$B354,[1]ratio_ins!$B:$B,0))</f>
        <v>76297.613515200006</v>
      </c>
      <c r="AT354" s="10">
        <f>INDEX([1]ratio_ins!AQ:AQ,MATCH('001_population_health_zone_zs'!$B$2,[1]ratio_ins!$B:$B,0))*$G354*INDEX([1]ratio_ins!$D:$D,MATCH('001_population_health_zone_zs'!$B354,[1]ratio_ins!$B:$B,0))</f>
        <v>1864.55556</v>
      </c>
      <c r="AU354" s="10">
        <f>INDEX([1]ratio_ins!AR:AR,MATCH('001_population_health_zone_zs'!$B$2,[1]ratio_ins!$B:$B,0))*$G354*INDEX([1]ratio_ins!$D:$D,MATCH('001_population_health_zone_zs'!$B354,[1]ratio_ins!$B:$B,0))</f>
        <v>1118.733336</v>
      </c>
      <c r="AV354" s="10">
        <f>INDEX([1]ratio_ins!AS:AS,MATCH('001_population_health_zone_zs'!$B$2,[1]ratio_ins!$B:$B,0))*$G354*INDEX([1]ratio_ins!$D:$D,MATCH('001_population_health_zone_zs'!$B354,[1]ratio_ins!$B:$B,0))</f>
        <v>559.366668</v>
      </c>
      <c r="AW354" s="10">
        <f>INDEX([1]ratio_ins!AT:AT,MATCH('001_population_health_zone_zs'!$B$2,[1]ratio_ins!$B:$B,0))*$G354*INDEX([1]ratio_ins!$D:$D,MATCH('001_population_health_zone_zs'!$B354,[1]ratio_ins!$B:$B,0))</f>
        <v>372.911112</v>
      </c>
      <c r="AX354" s="13">
        <f>INDEX([1]ratio_ins!AU:AU,MATCH('001_population_health_zone_zs'!$B$2,[1]ratio_ins!$B:$B,0))*$G354*INDEX([1]ratio_ins!$D:$D,MATCH('001_population_health_zone_zs'!$B354,[1]ratio_ins!$B:$B,0))</f>
        <v>3915.5666759999995</v>
      </c>
      <c r="AY354" s="14">
        <f t="shared" si="31"/>
        <v>186455.55600000001</v>
      </c>
      <c r="AZ354" s="15">
        <f t="shared" si="32"/>
        <v>362754</v>
      </c>
      <c r="BA354" s="16">
        <v>348402.17265302798</v>
      </c>
      <c r="BB354" s="10">
        <f t="shared" si="33"/>
        <v>79243.61129999999</v>
      </c>
      <c r="BC354" s="17">
        <f t="shared" si="34"/>
        <v>0.21844999999999998</v>
      </c>
      <c r="BD354" s="10">
        <f t="shared" si="35"/>
        <v>73516.451148000007</v>
      </c>
    </row>
    <row r="355" spans="1:56" x14ac:dyDescent="0.25">
      <c r="A355" s="8" t="s">
        <v>831</v>
      </c>
      <c r="B355" s="8" t="s">
        <v>832</v>
      </c>
      <c r="C355" s="8" t="s">
        <v>865</v>
      </c>
      <c r="D355" s="8" t="s">
        <v>866</v>
      </c>
      <c r="E355" s="8" t="s">
        <v>870</v>
      </c>
      <c r="F355" s="8" t="s">
        <v>871</v>
      </c>
      <c r="G355" s="9">
        <v>164099</v>
      </c>
      <c r="H355" s="10">
        <f>INDEX([1]ratio_ins!F:F,MATCH('001_population_health_zone_zs'!$B$2,[1]ratio_ins!$B:$B,0))*$G355*INDEX([1]ratio_ins!$C:$C,MATCH('001_population_health_zone_zs'!$B355,[1]ratio_ins!$B:$B,0))</f>
        <v>16668.191825999998</v>
      </c>
      <c r="I355" s="10">
        <f>INDEX([1]ratio_ins!G:G,MATCH('001_population_health_zone_zs'!$B$2,[1]ratio_ins!$B:$B,0))*$G355*INDEX([1]ratio_ins!$C:$C,MATCH('001_population_health_zone_zs'!$B355,[1]ratio_ins!$B:$B,0))</f>
        <v>13637.611494000001</v>
      </c>
      <c r="J355" s="10">
        <f>INDEX([1]ratio_ins!H:H,MATCH('001_population_health_zone_zs'!$B$2,[1]ratio_ins!$B:$B,0))*$G355*INDEX([1]ratio_ins!$C:$C,MATCH('001_population_health_zone_zs'!$B355,[1]ratio_ins!$B:$B,0))</f>
        <v>10766.535390000001</v>
      </c>
      <c r="K355" s="10">
        <f>INDEX([1]ratio_ins!I:I,MATCH('001_population_health_zone_zs'!$B$2,[1]ratio_ins!$B:$B,0))*$G355*INDEX([1]ratio_ins!$C:$C,MATCH('001_population_health_zone_zs'!$B355,[1]ratio_ins!$B:$B,0))</f>
        <v>6619.4254620000002</v>
      </c>
      <c r="L355" s="10">
        <f>INDEX([1]ratio_ins!J:J,MATCH('001_population_health_zone_zs'!$B$2,[1]ratio_ins!$B:$B,0))*$G355*INDEX([1]ratio_ins!$C:$C,MATCH('001_population_health_zone_zs'!$B355,[1]ratio_ins!$B:$B,0))</f>
        <v>3971.6552771999995</v>
      </c>
      <c r="M355" s="11">
        <f>INDEX([1]ratio_ins!K:K,MATCH('001_population_health_zone_zs'!$B$2,[1]ratio_ins!$B:$B,0))*$G355*INDEX([1]ratio_ins!$C:$C,MATCH('001_population_health_zone_zs'!$B355,[1]ratio_ins!$B:$B,0))</f>
        <v>45043.993987199996</v>
      </c>
      <c r="N355" s="10">
        <f>INDEX([1]ratio_ins!L:L,MATCH('001_population_health_zone_zs'!$B$2,[1]ratio_ins!$B:$B,0))*$G355*INDEX([1]ratio_ins!$C:$C,MATCH('001_population_health_zone_zs'!$B355,[1]ratio_ins!$B:$B,0))</f>
        <v>2647.7701848000002</v>
      </c>
      <c r="O355" s="10">
        <f>INDEX([1]ratio_ins!M:M,MATCH('001_population_health_zone_zs'!$B$2,[1]ratio_ins!$B:$B,0))*$G355*INDEX([1]ratio_ins!$C:$C,MATCH('001_population_health_zone_zs'!$B355,[1]ratio_ins!$B:$B,0))</f>
        <v>5742.1522080000004</v>
      </c>
      <c r="P355" s="10">
        <f>INDEX([1]ratio_ins!N:N,MATCH('001_population_health_zone_zs'!$B$2,[1]ratio_ins!$B:$B,0))*$G355*INDEX([1]ratio_ins!$C:$C,MATCH('001_population_health_zone_zs'!$B355,[1]ratio_ins!$B:$B,0))</f>
        <v>5183.8874099999994</v>
      </c>
      <c r="Q355" s="10">
        <f>INDEX([1]ratio_ins!O:O,MATCH('001_population_health_zone_zs'!$B$2,[1]ratio_ins!$B:$B,0))*$G355*INDEX([1]ratio_ins!$C:$C,MATCH('001_population_health_zone_zs'!$B355,[1]ratio_ins!$B:$B,0))</f>
        <v>4625.6226120000001</v>
      </c>
      <c r="R355" s="10">
        <f>INDEX([1]ratio_ins!P:P,MATCH('001_population_health_zone_zs'!$B$2,[1]ratio_ins!$B:$B,0))*$G355*INDEX([1]ratio_ins!$C:$C,MATCH('001_population_health_zone_zs'!$B355,[1]ratio_ins!$B:$B,0))</f>
        <v>4545.8704980000002</v>
      </c>
      <c r="S355" s="10">
        <f>INDEX([1]ratio_ins!Q:Q,MATCH('001_population_health_zone_zs'!$B$2,[1]ratio_ins!$B:$B,0))*$G355*INDEX([1]ratio_ins!$C:$C,MATCH('001_population_health_zone_zs'!$B355,[1]ratio_ins!$B:$B,0))</f>
        <v>3828.1014720000003</v>
      </c>
      <c r="T355" s="10">
        <f>INDEX([1]ratio_ins!R:R,MATCH('001_population_health_zone_zs'!$B$2,[1]ratio_ins!$B:$B,0))*$G355*INDEX([1]ratio_ins!$C:$C,MATCH('001_population_health_zone_zs'!$B355,[1]ratio_ins!$B:$B,0))</f>
        <v>2711.571876</v>
      </c>
      <c r="U355" s="10">
        <f>INDEX([1]ratio_ins!S:S,MATCH('001_population_health_zone_zs'!$B$2,[1]ratio_ins!$B:$B,0))*$G355*INDEX([1]ratio_ins!$C:$C,MATCH('001_population_health_zone_zs'!$B355,[1]ratio_ins!$B:$B,0))</f>
        <v>2153.3070780000003</v>
      </c>
      <c r="V355" s="10">
        <f>INDEX([1]ratio_ins!T:T,MATCH('001_population_health_zone_zs'!$B$2,[1]ratio_ins!$B:$B,0))*$G355*INDEX([1]ratio_ins!$C:$C,MATCH('001_population_health_zone_zs'!$B355,[1]ratio_ins!$B:$B,0))</f>
        <v>1196.28171</v>
      </c>
      <c r="W355" s="11">
        <f>INDEX([1]ratio_ins!U:U,MATCH('001_population_health_zone_zs'!$B$2,[1]ratio_ins!$B:$B,0))*$G355*INDEX([1]ratio_ins!$C:$C,MATCH('001_population_health_zone_zs'!$B355,[1]ratio_ins!$B:$B,0))</f>
        <v>32634.565048800003</v>
      </c>
      <c r="X355" s="10">
        <f>INDEX([1]ratio_ins!V:V,MATCH('001_population_health_zone_zs'!$B$2,[1]ratio_ins!$B:$B,0))*$G355*INDEX([1]ratio_ins!$C:$C,MATCH('001_population_health_zone_zs'!$B355,[1]ratio_ins!$B:$B,0))</f>
        <v>957.02536800000007</v>
      </c>
      <c r="Y355" s="10">
        <f>INDEX([1]ratio_ins!W:W,MATCH('001_population_health_zone_zs'!$B$2,[1]ratio_ins!$B:$B,0))*$G355*INDEX([1]ratio_ins!$C:$C,MATCH('001_population_health_zone_zs'!$B355,[1]ratio_ins!$B:$B,0))</f>
        <v>638.01691199999993</v>
      </c>
      <c r="Z355" s="10">
        <f>INDEX([1]ratio_ins!X:X,MATCH('001_population_health_zone_zs'!$B$2,[1]ratio_ins!$B:$B,0))*$G355*INDEX([1]ratio_ins!$C:$C,MATCH('001_population_health_zone_zs'!$B355,[1]ratio_ins!$B:$B,0))</f>
        <v>319.00845599999997</v>
      </c>
      <c r="AA355" s="10">
        <f>INDEX([1]ratio_ins!Y:Y,MATCH('001_population_health_zone_zs'!$B$2,[1]ratio_ins!$B:$B,0))*$G355*INDEX([1]ratio_ins!$C:$C,MATCH('001_population_health_zone_zs'!$B355,[1]ratio_ins!$B:$B,0))</f>
        <v>159.50422799999998</v>
      </c>
      <c r="AB355" s="11">
        <f>INDEX([1]ratio_ins!Z:Z,MATCH('001_population_health_zone_zs'!$B$2,[1]ratio_ins!$B:$B,0))*$G355*INDEX([1]ratio_ins!$C:$C,MATCH('001_population_health_zone_zs'!$B355,[1]ratio_ins!$B:$B,0))</f>
        <v>2073.5549640000004</v>
      </c>
      <c r="AC355" s="12">
        <f t="shared" si="30"/>
        <v>79752.113999999987</v>
      </c>
      <c r="AD355" s="10">
        <f>INDEX([1]ratio_ins!AA:AA,MATCH('001_population_health_zone_zs'!$B$2,[1]ratio_ins!$B:$B,0))*$G355*INDEX([1]ratio_ins!$D:$D,MATCH('001_population_health_zone_zs'!$B355,[1]ratio_ins!$B:$B,0))</f>
        <v>17712.84606</v>
      </c>
      <c r="AE355" s="10">
        <f>INDEX([1]ratio_ins!AB:AB,MATCH('001_population_health_zone_zs'!$B$2,[1]ratio_ins!$B:$B,0))*$G355*INDEX([1]ratio_ins!$D:$D,MATCH('001_population_health_zone_zs'!$B355,[1]ratio_ins!$B:$B,0))</f>
        <v>14592.011278000002</v>
      </c>
      <c r="AF355" s="10">
        <f>INDEX([1]ratio_ins!AC:AC,MATCH('001_population_health_zone_zs'!$B$2,[1]ratio_ins!$B:$B,0))*$G355*INDEX([1]ratio_ins!$D:$D,MATCH('001_population_health_zone_zs'!$B355,[1]ratio_ins!$B:$B,0))</f>
        <v>11555.523381999999</v>
      </c>
      <c r="AG355" s="10">
        <f>INDEX([1]ratio_ins!AD:AD,MATCH('001_population_health_zone_zs'!$B$2,[1]ratio_ins!$B:$B,0))*$G355*INDEX([1]ratio_ins!$D:$D,MATCH('001_population_health_zone_zs'!$B355,[1]ratio_ins!$B:$B,0))</f>
        <v>7000.7915380000004</v>
      </c>
      <c r="AH355" s="10">
        <f>INDEX([1]ratio_ins!AE:AE,MATCH('001_population_health_zone_zs'!$B$2,[1]ratio_ins!$B:$B,0))*$G355*INDEX([1]ratio_ins!$D:$D,MATCH('001_population_health_zone_zs'!$B355,[1]ratio_ins!$B:$B,0))</f>
        <v>4200.4749228000001</v>
      </c>
      <c r="AI355" s="13">
        <f>INDEX([1]ratio_ins!AF:AF,MATCH('001_population_health_zone_zs'!$B$2,[1]ratio_ins!$B:$B,0))*$G355*INDEX([1]ratio_ins!$D:$D,MATCH('001_population_health_zone_zs'!$B355,[1]ratio_ins!$B:$B,0))</f>
        <v>48060.855642800001</v>
      </c>
      <c r="AJ355" s="10">
        <f>INDEX([1]ratio_ins!AG:AG,MATCH('001_population_health_zone_zs'!$B$2,[1]ratio_ins!$B:$B,0))*$G355*INDEX([1]ratio_ins!$D:$D,MATCH('001_population_health_zone_zs'!$B355,[1]ratio_ins!$B:$B,0))</f>
        <v>2800.3166151999999</v>
      </c>
      <c r="AK355" s="10">
        <f>INDEX([1]ratio_ins!AH:AH,MATCH('001_population_health_zone_zs'!$B$2,[1]ratio_ins!$B:$B,0))*$G355*INDEX([1]ratio_ins!$D:$D,MATCH('001_population_health_zone_zs'!$B355,[1]ratio_ins!$B:$B,0))</f>
        <v>6241.6695640000007</v>
      </c>
      <c r="AL355" s="10">
        <f>INDEX([1]ratio_ins!AI:AI,MATCH('001_population_health_zone_zs'!$B$2,[1]ratio_ins!$B:$B,0))*$G355*INDEX([1]ratio_ins!$D:$D,MATCH('001_population_health_zone_zs'!$B355,[1]ratio_ins!$B:$B,0))</f>
        <v>5904.2820200000006</v>
      </c>
      <c r="AM355" s="10">
        <f>INDEX([1]ratio_ins!AJ:AJ,MATCH('001_population_health_zone_zs'!$B$2,[1]ratio_ins!$B:$B,0))*$G355*INDEX([1]ratio_ins!$D:$D,MATCH('001_population_health_zone_zs'!$B355,[1]ratio_ins!$B:$B,0))</f>
        <v>5398.2007039999999</v>
      </c>
      <c r="AN355" s="10">
        <f>INDEX([1]ratio_ins!AK:AK,MATCH('001_population_health_zone_zs'!$B$2,[1]ratio_ins!$B:$B,0))*$G355*INDEX([1]ratio_ins!$D:$D,MATCH('001_population_health_zone_zs'!$B355,[1]ratio_ins!$B:$B,0))</f>
        <v>5060.8131600000006</v>
      </c>
      <c r="AO355" s="10">
        <f>INDEX([1]ratio_ins!AL:AL,MATCH('001_population_health_zone_zs'!$B$2,[1]ratio_ins!$B:$B,0))*$G355*INDEX([1]ratio_ins!$D:$D,MATCH('001_population_health_zone_zs'!$B355,[1]ratio_ins!$B:$B,0))</f>
        <v>3795.6098700000002</v>
      </c>
      <c r="AP355" s="10">
        <f>INDEX([1]ratio_ins!AM:AM,MATCH('001_population_health_zone_zs'!$B$2,[1]ratio_ins!$B:$B,0))*$G355*INDEX([1]ratio_ins!$D:$D,MATCH('001_population_health_zone_zs'!$B355,[1]ratio_ins!$B:$B,0))</f>
        <v>2446.059694</v>
      </c>
      <c r="AQ355" s="10">
        <f>INDEX([1]ratio_ins!AN:AN,MATCH('001_population_health_zone_zs'!$B$2,[1]ratio_ins!$B:$B,0))*$G355*INDEX([1]ratio_ins!$D:$D,MATCH('001_population_health_zone_zs'!$B355,[1]ratio_ins!$B:$B,0))</f>
        <v>1939.978378</v>
      </c>
      <c r="AR355" s="10">
        <f>INDEX([1]ratio_ins!AO:AO,MATCH('001_population_health_zone_zs'!$B$2,[1]ratio_ins!$B:$B,0))*$G355*INDEX([1]ratio_ins!$D:$D,MATCH('001_population_health_zone_zs'!$B355,[1]ratio_ins!$B:$B,0))</f>
        <v>927.8157460000001</v>
      </c>
      <c r="AS355" s="13">
        <f>INDEX([1]ratio_ins!AP:AP,MATCH('001_population_health_zone_zs'!$B$2,[1]ratio_ins!$B:$B,0))*$G355*INDEX([1]ratio_ins!$D:$D,MATCH('001_population_health_zone_zs'!$B355,[1]ratio_ins!$B:$B,0))</f>
        <v>34514.745751200004</v>
      </c>
      <c r="AT355" s="10">
        <f>INDEX([1]ratio_ins!AQ:AQ,MATCH('001_population_health_zone_zs'!$B$2,[1]ratio_ins!$B:$B,0))*$G355*INDEX([1]ratio_ins!$D:$D,MATCH('001_population_health_zone_zs'!$B355,[1]ratio_ins!$B:$B,0))</f>
        <v>843.46886000000006</v>
      </c>
      <c r="AU355" s="10">
        <f>INDEX([1]ratio_ins!AR:AR,MATCH('001_population_health_zone_zs'!$B$2,[1]ratio_ins!$B:$B,0))*$G355*INDEX([1]ratio_ins!$D:$D,MATCH('001_population_health_zone_zs'!$B355,[1]ratio_ins!$B:$B,0))</f>
        <v>506.08131600000002</v>
      </c>
      <c r="AV355" s="10">
        <f>INDEX([1]ratio_ins!AS:AS,MATCH('001_population_health_zone_zs'!$B$2,[1]ratio_ins!$B:$B,0))*$G355*INDEX([1]ratio_ins!$D:$D,MATCH('001_population_health_zone_zs'!$B355,[1]ratio_ins!$B:$B,0))</f>
        <v>253.04065800000001</v>
      </c>
      <c r="AW355" s="10">
        <f>INDEX([1]ratio_ins!AT:AT,MATCH('001_population_health_zone_zs'!$B$2,[1]ratio_ins!$B:$B,0))*$G355*INDEX([1]ratio_ins!$D:$D,MATCH('001_population_health_zone_zs'!$B355,[1]ratio_ins!$B:$B,0))</f>
        <v>168.693772</v>
      </c>
      <c r="AX355" s="13">
        <f>INDEX([1]ratio_ins!AU:AU,MATCH('001_population_health_zone_zs'!$B$2,[1]ratio_ins!$B:$B,0))*$G355*INDEX([1]ratio_ins!$D:$D,MATCH('001_population_health_zone_zs'!$B355,[1]ratio_ins!$B:$B,0))</f>
        <v>1771.2846059999999</v>
      </c>
      <c r="AY355" s="14">
        <f t="shared" si="31"/>
        <v>84346.885999999999</v>
      </c>
      <c r="AZ355" s="15">
        <f t="shared" si="32"/>
        <v>164099</v>
      </c>
      <c r="BA355" s="16">
        <v>157606.41526851809</v>
      </c>
      <c r="BB355" s="10">
        <f t="shared" si="33"/>
        <v>35847.426550000004</v>
      </c>
      <c r="BC355" s="17">
        <f t="shared" si="34"/>
        <v>0.21845000000000003</v>
      </c>
      <c r="BD355" s="10">
        <f t="shared" si="35"/>
        <v>33256.631538000001</v>
      </c>
    </row>
    <row r="356" spans="1:56" x14ac:dyDescent="0.25">
      <c r="A356" s="8" t="s">
        <v>831</v>
      </c>
      <c r="B356" s="8" t="s">
        <v>832</v>
      </c>
      <c r="C356" s="8" t="s">
        <v>872</v>
      </c>
      <c r="D356" s="8" t="s">
        <v>873</v>
      </c>
      <c r="E356" s="8" t="s">
        <v>872</v>
      </c>
      <c r="F356" s="8" t="s">
        <v>874</v>
      </c>
      <c r="G356" s="9">
        <v>142787</v>
      </c>
      <c r="H356" s="10">
        <f>INDEX([1]ratio_ins!F:F,MATCH('001_population_health_zone_zs'!$B$2,[1]ratio_ins!$B:$B,0))*$G356*INDEX([1]ratio_ins!$C:$C,MATCH('001_population_health_zone_zs'!$B356,[1]ratio_ins!$B:$B,0))</f>
        <v>14503.446738000001</v>
      </c>
      <c r="I356" s="10">
        <f>INDEX([1]ratio_ins!G:G,MATCH('001_population_health_zone_zs'!$B$2,[1]ratio_ins!$B:$B,0))*$G356*INDEX([1]ratio_ins!$C:$C,MATCH('001_population_health_zone_zs'!$B356,[1]ratio_ins!$B:$B,0))</f>
        <v>11866.456422000001</v>
      </c>
      <c r="J356" s="10">
        <f>INDEX([1]ratio_ins!H:H,MATCH('001_population_health_zone_zs'!$B$2,[1]ratio_ins!$B:$B,0))*$G356*INDEX([1]ratio_ins!$C:$C,MATCH('001_population_health_zone_zs'!$B356,[1]ratio_ins!$B:$B,0))</f>
        <v>9368.2550700000011</v>
      </c>
      <c r="K356" s="10">
        <f>INDEX([1]ratio_ins!I:I,MATCH('001_population_health_zone_zs'!$B$2,[1]ratio_ins!$B:$B,0))*$G356*INDEX([1]ratio_ins!$C:$C,MATCH('001_population_health_zone_zs'!$B356,[1]ratio_ins!$B:$B,0))</f>
        <v>5759.7420059999995</v>
      </c>
      <c r="L356" s="10">
        <f>INDEX([1]ratio_ins!J:J,MATCH('001_population_health_zone_zs'!$B$2,[1]ratio_ins!$B:$B,0))*$G356*INDEX([1]ratio_ins!$C:$C,MATCH('001_population_health_zone_zs'!$B356,[1]ratio_ins!$B:$B,0))</f>
        <v>3455.8452035999999</v>
      </c>
      <c r="M356" s="11">
        <f>INDEX([1]ratio_ins!K:K,MATCH('001_population_health_zone_zs'!$B$2,[1]ratio_ins!$B:$B,0))*$G356*INDEX([1]ratio_ins!$C:$C,MATCH('001_population_health_zone_zs'!$B356,[1]ratio_ins!$B:$B,0))</f>
        <v>39194.003433599995</v>
      </c>
      <c r="N356" s="10">
        <f>INDEX([1]ratio_ins!L:L,MATCH('001_population_health_zone_zs'!$B$2,[1]ratio_ins!$B:$B,0))*$G356*INDEX([1]ratio_ins!$C:$C,MATCH('001_population_health_zone_zs'!$B356,[1]ratio_ins!$B:$B,0))</f>
        <v>2303.8968024000001</v>
      </c>
      <c r="O356" s="10">
        <f>INDEX([1]ratio_ins!M:M,MATCH('001_population_health_zone_zs'!$B$2,[1]ratio_ins!$B:$B,0))*$G356*INDEX([1]ratio_ins!$C:$C,MATCH('001_population_health_zone_zs'!$B356,[1]ratio_ins!$B:$B,0))</f>
        <v>4996.4027040000001</v>
      </c>
      <c r="P356" s="10">
        <f>INDEX([1]ratio_ins!N:N,MATCH('001_population_health_zone_zs'!$B$2,[1]ratio_ins!$B:$B,0))*$G356*INDEX([1]ratio_ins!$C:$C,MATCH('001_population_health_zone_zs'!$B356,[1]ratio_ins!$B:$B,0))</f>
        <v>4510.6413300000004</v>
      </c>
      <c r="Q356" s="10">
        <f>INDEX([1]ratio_ins!O:O,MATCH('001_population_health_zone_zs'!$B$2,[1]ratio_ins!$B:$B,0))*$G356*INDEX([1]ratio_ins!$C:$C,MATCH('001_population_health_zone_zs'!$B356,[1]ratio_ins!$B:$B,0))</f>
        <v>4024.8799559999993</v>
      </c>
      <c r="R356" s="10">
        <f>INDEX([1]ratio_ins!P:P,MATCH('001_population_health_zone_zs'!$B$2,[1]ratio_ins!$B:$B,0))*$G356*INDEX([1]ratio_ins!$C:$C,MATCH('001_population_health_zone_zs'!$B356,[1]ratio_ins!$B:$B,0))</f>
        <v>3955.4854740000001</v>
      </c>
      <c r="S356" s="10">
        <f>INDEX([1]ratio_ins!Q:Q,MATCH('001_population_health_zone_zs'!$B$2,[1]ratio_ins!$B:$B,0))*$G356*INDEX([1]ratio_ins!$C:$C,MATCH('001_population_health_zone_zs'!$B356,[1]ratio_ins!$B:$B,0))</f>
        <v>3330.9351360000001</v>
      </c>
      <c r="T356" s="10">
        <f>INDEX([1]ratio_ins!R:R,MATCH('001_population_health_zone_zs'!$B$2,[1]ratio_ins!$B:$B,0))*$G356*INDEX([1]ratio_ins!$C:$C,MATCH('001_population_health_zone_zs'!$B356,[1]ratio_ins!$B:$B,0))</f>
        <v>2359.4123880000002</v>
      </c>
      <c r="U356" s="10">
        <f>INDEX([1]ratio_ins!S:S,MATCH('001_population_health_zone_zs'!$B$2,[1]ratio_ins!$B:$B,0))*$G356*INDEX([1]ratio_ins!$C:$C,MATCH('001_population_health_zone_zs'!$B356,[1]ratio_ins!$B:$B,0))</f>
        <v>1873.651014</v>
      </c>
      <c r="V356" s="10">
        <f>INDEX([1]ratio_ins!T:T,MATCH('001_population_health_zone_zs'!$B$2,[1]ratio_ins!$B:$B,0))*$G356*INDEX([1]ratio_ins!$C:$C,MATCH('001_population_health_zone_zs'!$B356,[1]ratio_ins!$B:$B,0))</f>
        <v>1040.9172299999998</v>
      </c>
      <c r="W356" s="11">
        <f>INDEX([1]ratio_ins!U:U,MATCH('001_population_health_zone_zs'!$B$2,[1]ratio_ins!$B:$B,0))*$G356*INDEX([1]ratio_ins!$C:$C,MATCH('001_population_health_zone_zs'!$B356,[1]ratio_ins!$B:$B,0))</f>
        <v>28396.222034399998</v>
      </c>
      <c r="X356" s="10">
        <f>INDEX([1]ratio_ins!V:V,MATCH('001_population_health_zone_zs'!$B$2,[1]ratio_ins!$B:$B,0))*$G356*INDEX([1]ratio_ins!$C:$C,MATCH('001_population_health_zone_zs'!$B356,[1]ratio_ins!$B:$B,0))</f>
        <v>832.73378400000001</v>
      </c>
      <c r="Y356" s="10">
        <f>INDEX([1]ratio_ins!W:W,MATCH('001_population_health_zone_zs'!$B$2,[1]ratio_ins!$B:$B,0))*$G356*INDEX([1]ratio_ins!$C:$C,MATCH('001_population_health_zone_zs'!$B356,[1]ratio_ins!$B:$B,0))</f>
        <v>555.15585599999997</v>
      </c>
      <c r="Z356" s="10">
        <f>INDEX([1]ratio_ins!X:X,MATCH('001_population_health_zone_zs'!$B$2,[1]ratio_ins!$B:$B,0))*$G356*INDEX([1]ratio_ins!$C:$C,MATCH('001_population_health_zone_zs'!$B356,[1]ratio_ins!$B:$B,0))</f>
        <v>277.57792799999999</v>
      </c>
      <c r="AA356" s="10">
        <f>INDEX([1]ratio_ins!Y:Y,MATCH('001_population_health_zone_zs'!$B$2,[1]ratio_ins!$B:$B,0))*$G356*INDEX([1]ratio_ins!$C:$C,MATCH('001_population_health_zone_zs'!$B356,[1]ratio_ins!$B:$B,0))</f>
        <v>138.78896399999999</v>
      </c>
      <c r="AB356" s="11">
        <f>INDEX([1]ratio_ins!Z:Z,MATCH('001_population_health_zone_zs'!$B$2,[1]ratio_ins!$B:$B,0))*$G356*INDEX([1]ratio_ins!$C:$C,MATCH('001_population_health_zone_zs'!$B356,[1]ratio_ins!$B:$B,0))</f>
        <v>1804.2565320000001</v>
      </c>
      <c r="AC356" s="12">
        <f t="shared" si="30"/>
        <v>69394.481999999989</v>
      </c>
      <c r="AD356" s="10">
        <f>INDEX([1]ratio_ins!AA:AA,MATCH('001_population_health_zone_zs'!$B$2,[1]ratio_ins!$B:$B,0))*$G356*INDEX([1]ratio_ins!$D:$D,MATCH('001_population_health_zone_zs'!$B356,[1]ratio_ins!$B:$B,0))</f>
        <v>15412.42878</v>
      </c>
      <c r="AE356" s="10">
        <f>INDEX([1]ratio_ins!AB:AB,MATCH('001_population_health_zone_zs'!$B$2,[1]ratio_ins!$B:$B,0))*$G356*INDEX([1]ratio_ins!$D:$D,MATCH('001_population_health_zone_zs'!$B356,[1]ratio_ins!$B:$B,0))</f>
        <v>12696.905614000001</v>
      </c>
      <c r="AF356" s="10">
        <f>INDEX([1]ratio_ins!AC:AC,MATCH('001_population_health_zone_zs'!$B$2,[1]ratio_ins!$B:$B,0))*$G356*INDEX([1]ratio_ins!$D:$D,MATCH('001_population_health_zone_zs'!$B356,[1]ratio_ins!$B:$B,0))</f>
        <v>10054.774965999997</v>
      </c>
      <c r="AG356" s="10">
        <f>INDEX([1]ratio_ins!AD:AD,MATCH('001_population_health_zone_zs'!$B$2,[1]ratio_ins!$B:$B,0))*$G356*INDEX([1]ratio_ins!$D:$D,MATCH('001_population_health_zone_zs'!$B356,[1]ratio_ins!$B:$B,0))</f>
        <v>6091.5789940000004</v>
      </c>
      <c r="AH356" s="10">
        <f>INDEX([1]ratio_ins!AE:AE,MATCH('001_population_health_zone_zs'!$B$2,[1]ratio_ins!$B:$B,0))*$G356*INDEX([1]ratio_ins!$D:$D,MATCH('001_population_health_zone_zs'!$B356,[1]ratio_ins!$B:$B,0))</f>
        <v>3654.9473963999999</v>
      </c>
      <c r="AI356" s="13">
        <f>INDEX([1]ratio_ins!AF:AF,MATCH('001_population_health_zone_zs'!$B$2,[1]ratio_ins!$B:$B,0))*$G356*INDEX([1]ratio_ins!$D:$D,MATCH('001_population_health_zone_zs'!$B356,[1]ratio_ins!$B:$B,0))</f>
        <v>41819.056756399994</v>
      </c>
      <c r="AJ356" s="10">
        <f>INDEX([1]ratio_ins!AG:AG,MATCH('001_population_health_zone_zs'!$B$2,[1]ratio_ins!$B:$B,0))*$G356*INDEX([1]ratio_ins!$D:$D,MATCH('001_population_health_zone_zs'!$B356,[1]ratio_ins!$B:$B,0))</f>
        <v>2436.6315976000001</v>
      </c>
      <c r="AK356" s="10">
        <f>INDEX([1]ratio_ins!AH:AH,MATCH('001_population_health_zone_zs'!$B$2,[1]ratio_ins!$B:$B,0))*$G356*INDEX([1]ratio_ins!$D:$D,MATCH('001_population_health_zone_zs'!$B356,[1]ratio_ins!$B:$B,0))</f>
        <v>5431.0463320000008</v>
      </c>
      <c r="AL356" s="10">
        <f>INDEX([1]ratio_ins!AI:AI,MATCH('001_population_health_zone_zs'!$B$2,[1]ratio_ins!$B:$B,0))*$G356*INDEX([1]ratio_ins!$D:$D,MATCH('001_population_health_zone_zs'!$B356,[1]ratio_ins!$B:$B,0))</f>
        <v>5137.4762600000004</v>
      </c>
      <c r="AM356" s="10">
        <f>INDEX([1]ratio_ins!AJ:AJ,MATCH('001_population_health_zone_zs'!$B$2,[1]ratio_ins!$B:$B,0))*$G356*INDEX([1]ratio_ins!$D:$D,MATCH('001_population_health_zone_zs'!$B356,[1]ratio_ins!$B:$B,0))</f>
        <v>4697.1211520000006</v>
      </c>
      <c r="AN356" s="10">
        <f>INDEX([1]ratio_ins!AK:AK,MATCH('001_population_health_zone_zs'!$B$2,[1]ratio_ins!$B:$B,0))*$G356*INDEX([1]ratio_ins!$D:$D,MATCH('001_population_health_zone_zs'!$B356,[1]ratio_ins!$B:$B,0))</f>
        <v>4403.5510800000002</v>
      </c>
      <c r="AO356" s="10">
        <f>INDEX([1]ratio_ins!AL:AL,MATCH('001_population_health_zone_zs'!$B$2,[1]ratio_ins!$B:$B,0))*$G356*INDEX([1]ratio_ins!$D:$D,MATCH('001_population_health_zone_zs'!$B356,[1]ratio_ins!$B:$B,0))</f>
        <v>3302.6633099999999</v>
      </c>
      <c r="AP356" s="10">
        <f>INDEX([1]ratio_ins!AM:AM,MATCH('001_population_health_zone_zs'!$B$2,[1]ratio_ins!$B:$B,0))*$G356*INDEX([1]ratio_ins!$D:$D,MATCH('001_population_health_zone_zs'!$B356,[1]ratio_ins!$B:$B,0))</f>
        <v>2128.3830219999995</v>
      </c>
      <c r="AQ356" s="10">
        <f>INDEX([1]ratio_ins!AN:AN,MATCH('001_population_health_zone_zs'!$B$2,[1]ratio_ins!$B:$B,0))*$G356*INDEX([1]ratio_ins!$D:$D,MATCH('001_population_health_zone_zs'!$B356,[1]ratio_ins!$B:$B,0))</f>
        <v>1688.027914</v>
      </c>
      <c r="AR356" s="10">
        <f>INDEX([1]ratio_ins!AO:AO,MATCH('001_population_health_zone_zs'!$B$2,[1]ratio_ins!$B:$B,0))*$G356*INDEX([1]ratio_ins!$D:$D,MATCH('001_population_health_zone_zs'!$B356,[1]ratio_ins!$B:$B,0))</f>
        <v>807.31769800000006</v>
      </c>
      <c r="AS356" s="13">
        <f>INDEX([1]ratio_ins!AP:AP,MATCH('001_population_health_zone_zs'!$B$2,[1]ratio_ins!$B:$B,0))*$G356*INDEX([1]ratio_ins!$D:$D,MATCH('001_population_health_zone_zs'!$B356,[1]ratio_ins!$B:$B,0))</f>
        <v>30032.218365600002</v>
      </c>
      <c r="AT356" s="10">
        <f>INDEX([1]ratio_ins!AQ:AQ,MATCH('001_population_health_zone_zs'!$B$2,[1]ratio_ins!$B:$B,0))*$G356*INDEX([1]ratio_ins!$D:$D,MATCH('001_population_health_zone_zs'!$B356,[1]ratio_ins!$B:$B,0))</f>
        <v>733.92518000000007</v>
      </c>
      <c r="AU356" s="10">
        <f>INDEX([1]ratio_ins!AR:AR,MATCH('001_population_health_zone_zs'!$B$2,[1]ratio_ins!$B:$B,0))*$G356*INDEX([1]ratio_ins!$D:$D,MATCH('001_population_health_zone_zs'!$B356,[1]ratio_ins!$B:$B,0))</f>
        <v>440.35510799999997</v>
      </c>
      <c r="AV356" s="10">
        <f>INDEX([1]ratio_ins!AS:AS,MATCH('001_population_health_zone_zs'!$B$2,[1]ratio_ins!$B:$B,0))*$G356*INDEX([1]ratio_ins!$D:$D,MATCH('001_population_health_zone_zs'!$B356,[1]ratio_ins!$B:$B,0))</f>
        <v>220.17755399999999</v>
      </c>
      <c r="AW356" s="10">
        <f>INDEX([1]ratio_ins!AT:AT,MATCH('001_population_health_zone_zs'!$B$2,[1]ratio_ins!$B:$B,0))*$G356*INDEX([1]ratio_ins!$D:$D,MATCH('001_population_health_zone_zs'!$B356,[1]ratio_ins!$B:$B,0))</f>
        <v>146.78503600000002</v>
      </c>
      <c r="AX356" s="13">
        <f>INDEX([1]ratio_ins!AU:AU,MATCH('001_population_health_zone_zs'!$B$2,[1]ratio_ins!$B:$B,0))*$G356*INDEX([1]ratio_ins!$D:$D,MATCH('001_population_health_zone_zs'!$B356,[1]ratio_ins!$B:$B,0))</f>
        <v>1541.2428779999998</v>
      </c>
      <c r="AY356" s="14">
        <f t="shared" si="31"/>
        <v>73392.517999999996</v>
      </c>
      <c r="AZ356" s="15">
        <f t="shared" si="32"/>
        <v>142787</v>
      </c>
      <c r="BA356" s="16">
        <v>137137.60331382803</v>
      </c>
      <c r="BB356" s="10">
        <f t="shared" si="33"/>
        <v>31191.82015</v>
      </c>
      <c r="BC356" s="17">
        <f t="shared" si="34"/>
        <v>0.21845000000000001</v>
      </c>
      <c r="BD356" s="10">
        <f t="shared" si="35"/>
        <v>28937.498994000001</v>
      </c>
    </row>
    <row r="357" spans="1:56" x14ac:dyDescent="0.25">
      <c r="A357" s="8" t="s">
        <v>831</v>
      </c>
      <c r="B357" s="8" t="s">
        <v>832</v>
      </c>
      <c r="C357" s="8" t="s">
        <v>872</v>
      </c>
      <c r="D357" s="8" t="s">
        <v>873</v>
      </c>
      <c r="E357" s="8" t="s">
        <v>875</v>
      </c>
      <c r="F357" s="8" t="s">
        <v>876</v>
      </c>
      <c r="G357" s="9">
        <v>115246</v>
      </c>
      <c r="H357" s="10">
        <f>INDEX([1]ratio_ins!F:F,MATCH('001_population_health_zone_zs'!$B$2,[1]ratio_ins!$B:$B,0))*$G357*INDEX([1]ratio_ins!$C:$C,MATCH('001_population_health_zone_zs'!$B357,[1]ratio_ins!$B:$B,0))</f>
        <v>11705.997203999999</v>
      </c>
      <c r="I357" s="10">
        <f>INDEX([1]ratio_ins!G:G,MATCH('001_population_health_zone_zs'!$B$2,[1]ratio_ins!$B:$B,0))*$G357*INDEX([1]ratio_ins!$C:$C,MATCH('001_population_health_zone_zs'!$B357,[1]ratio_ins!$B:$B,0))</f>
        <v>9577.6340760000003</v>
      </c>
      <c r="J357" s="10">
        <f>INDEX([1]ratio_ins!H:H,MATCH('001_population_health_zone_zs'!$B$2,[1]ratio_ins!$B:$B,0))*$G357*INDEX([1]ratio_ins!$C:$C,MATCH('001_population_health_zone_zs'!$B357,[1]ratio_ins!$B:$B,0))</f>
        <v>7561.2900600000003</v>
      </c>
      <c r="K357" s="10">
        <f>INDEX([1]ratio_ins!I:I,MATCH('001_population_health_zone_zs'!$B$2,[1]ratio_ins!$B:$B,0))*$G357*INDEX([1]ratio_ins!$C:$C,MATCH('001_population_health_zone_zs'!$B357,[1]ratio_ins!$B:$B,0))</f>
        <v>4648.7931479999997</v>
      </c>
      <c r="L357" s="10">
        <f>INDEX([1]ratio_ins!J:J,MATCH('001_population_health_zone_zs'!$B$2,[1]ratio_ins!$B:$B,0))*$G357*INDEX([1]ratio_ins!$C:$C,MATCH('001_population_health_zone_zs'!$B357,[1]ratio_ins!$B:$B,0))</f>
        <v>2789.2758887999998</v>
      </c>
      <c r="M357" s="11">
        <f>INDEX([1]ratio_ins!K:K,MATCH('001_population_health_zone_zs'!$B$2,[1]ratio_ins!$B:$B,0))*$G357*INDEX([1]ratio_ins!$C:$C,MATCH('001_population_health_zone_zs'!$B357,[1]ratio_ins!$B:$B,0))</f>
        <v>31634.197228799996</v>
      </c>
      <c r="N357" s="10">
        <f>INDEX([1]ratio_ins!L:L,MATCH('001_population_health_zone_zs'!$B$2,[1]ratio_ins!$B:$B,0))*$G357*INDEX([1]ratio_ins!$C:$C,MATCH('001_population_health_zone_zs'!$B357,[1]ratio_ins!$B:$B,0))</f>
        <v>1859.5172591999999</v>
      </c>
      <c r="O357" s="10">
        <f>INDEX([1]ratio_ins!M:M,MATCH('001_population_health_zone_zs'!$B$2,[1]ratio_ins!$B:$B,0))*$G357*INDEX([1]ratio_ins!$C:$C,MATCH('001_population_health_zone_zs'!$B357,[1]ratio_ins!$B:$B,0))</f>
        <v>4032.6880320000005</v>
      </c>
      <c r="P357" s="10">
        <f>INDEX([1]ratio_ins!N:N,MATCH('001_population_health_zone_zs'!$B$2,[1]ratio_ins!$B:$B,0))*$G357*INDEX([1]ratio_ins!$C:$C,MATCH('001_population_health_zone_zs'!$B357,[1]ratio_ins!$B:$B,0))</f>
        <v>3640.6211400000002</v>
      </c>
      <c r="Q357" s="10">
        <f>INDEX([1]ratio_ins!O:O,MATCH('001_population_health_zone_zs'!$B$2,[1]ratio_ins!$B:$B,0))*$G357*INDEX([1]ratio_ins!$C:$C,MATCH('001_population_health_zone_zs'!$B357,[1]ratio_ins!$B:$B,0))</f>
        <v>3248.5542479999995</v>
      </c>
      <c r="R357" s="10">
        <f>INDEX([1]ratio_ins!P:P,MATCH('001_population_health_zone_zs'!$B$2,[1]ratio_ins!$B:$B,0))*$G357*INDEX([1]ratio_ins!$C:$C,MATCH('001_population_health_zone_zs'!$B357,[1]ratio_ins!$B:$B,0))</f>
        <v>3192.5446919999999</v>
      </c>
      <c r="S357" s="10">
        <f>INDEX([1]ratio_ins!Q:Q,MATCH('001_population_health_zone_zs'!$B$2,[1]ratio_ins!$B:$B,0))*$G357*INDEX([1]ratio_ins!$C:$C,MATCH('001_population_health_zone_zs'!$B357,[1]ratio_ins!$B:$B,0))</f>
        <v>2688.4586879999997</v>
      </c>
      <c r="T357" s="10">
        <f>INDEX([1]ratio_ins!R:R,MATCH('001_population_health_zone_zs'!$B$2,[1]ratio_ins!$B:$B,0))*$G357*INDEX([1]ratio_ins!$C:$C,MATCH('001_population_health_zone_zs'!$B357,[1]ratio_ins!$B:$B,0))</f>
        <v>1904.3249040000003</v>
      </c>
      <c r="U357" s="10">
        <f>INDEX([1]ratio_ins!S:S,MATCH('001_population_health_zone_zs'!$B$2,[1]ratio_ins!$B:$B,0))*$G357*INDEX([1]ratio_ins!$C:$C,MATCH('001_population_health_zone_zs'!$B357,[1]ratio_ins!$B:$B,0))</f>
        <v>1512.258012</v>
      </c>
      <c r="V357" s="10">
        <f>INDEX([1]ratio_ins!T:T,MATCH('001_population_health_zone_zs'!$B$2,[1]ratio_ins!$B:$B,0))*$G357*INDEX([1]ratio_ins!$C:$C,MATCH('001_population_health_zone_zs'!$B357,[1]ratio_ins!$B:$B,0))</f>
        <v>840.14333999999985</v>
      </c>
      <c r="W357" s="11">
        <f>INDEX([1]ratio_ins!U:U,MATCH('001_population_health_zone_zs'!$B$2,[1]ratio_ins!$B:$B,0))*$G357*INDEX([1]ratio_ins!$C:$C,MATCH('001_population_health_zone_zs'!$B357,[1]ratio_ins!$B:$B,0))</f>
        <v>22919.1103152</v>
      </c>
      <c r="X357" s="10">
        <f>INDEX([1]ratio_ins!V:V,MATCH('001_population_health_zone_zs'!$B$2,[1]ratio_ins!$B:$B,0))*$G357*INDEX([1]ratio_ins!$C:$C,MATCH('001_population_health_zone_zs'!$B357,[1]ratio_ins!$B:$B,0))</f>
        <v>672.11467199999993</v>
      </c>
      <c r="Y357" s="10">
        <f>INDEX([1]ratio_ins!W:W,MATCH('001_population_health_zone_zs'!$B$2,[1]ratio_ins!$B:$B,0))*$G357*INDEX([1]ratio_ins!$C:$C,MATCH('001_population_health_zone_zs'!$B357,[1]ratio_ins!$B:$B,0))</f>
        <v>448.07644800000003</v>
      </c>
      <c r="Z357" s="10">
        <f>INDEX([1]ratio_ins!X:X,MATCH('001_population_health_zone_zs'!$B$2,[1]ratio_ins!$B:$B,0))*$G357*INDEX([1]ratio_ins!$C:$C,MATCH('001_population_health_zone_zs'!$B357,[1]ratio_ins!$B:$B,0))</f>
        <v>224.03822400000001</v>
      </c>
      <c r="AA357" s="10">
        <f>INDEX([1]ratio_ins!Y:Y,MATCH('001_population_health_zone_zs'!$B$2,[1]ratio_ins!$B:$B,0))*$G357*INDEX([1]ratio_ins!$C:$C,MATCH('001_population_health_zone_zs'!$B357,[1]ratio_ins!$B:$B,0))</f>
        <v>112.01911200000001</v>
      </c>
      <c r="AB357" s="11">
        <f>INDEX([1]ratio_ins!Z:Z,MATCH('001_population_health_zone_zs'!$B$2,[1]ratio_ins!$B:$B,0))*$G357*INDEX([1]ratio_ins!$C:$C,MATCH('001_population_health_zone_zs'!$B357,[1]ratio_ins!$B:$B,0))</f>
        <v>1456.248456</v>
      </c>
      <c r="AC357" s="12">
        <f t="shared" si="30"/>
        <v>56009.555999999997</v>
      </c>
      <c r="AD357" s="10">
        <f>INDEX([1]ratio_ins!AA:AA,MATCH('001_population_health_zone_zs'!$B$2,[1]ratio_ins!$B:$B,0))*$G357*INDEX([1]ratio_ins!$D:$D,MATCH('001_population_health_zone_zs'!$B357,[1]ratio_ins!$B:$B,0))</f>
        <v>12439.65324</v>
      </c>
      <c r="AE357" s="10">
        <f>INDEX([1]ratio_ins!AB:AB,MATCH('001_population_health_zone_zs'!$B$2,[1]ratio_ins!$B:$B,0))*$G357*INDEX([1]ratio_ins!$D:$D,MATCH('001_population_health_zone_zs'!$B357,[1]ratio_ins!$B:$B,0))</f>
        <v>10247.904812000001</v>
      </c>
      <c r="AF357" s="10">
        <f>INDEX([1]ratio_ins!AC:AC,MATCH('001_population_health_zone_zs'!$B$2,[1]ratio_ins!$B:$B,0))*$G357*INDEX([1]ratio_ins!$D:$D,MATCH('001_population_health_zone_zs'!$B357,[1]ratio_ins!$B:$B,0))</f>
        <v>8115.3928279999991</v>
      </c>
      <c r="AG357" s="10">
        <f>INDEX([1]ratio_ins!AD:AD,MATCH('001_population_health_zone_zs'!$B$2,[1]ratio_ins!$B:$B,0))*$G357*INDEX([1]ratio_ins!$D:$D,MATCH('001_population_health_zone_zs'!$B357,[1]ratio_ins!$B:$B,0))</f>
        <v>4916.6248519999999</v>
      </c>
      <c r="AH357" s="10">
        <f>INDEX([1]ratio_ins!AE:AE,MATCH('001_population_health_zone_zs'!$B$2,[1]ratio_ins!$B:$B,0))*$G357*INDEX([1]ratio_ins!$D:$D,MATCH('001_population_health_zone_zs'!$B357,[1]ratio_ins!$B:$B,0))</f>
        <v>2949.9749112</v>
      </c>
      <c r="AI357" s="13">
        <f>INDEX([1]ratio_ins!AF:AF,MATCH('001_population_health_zone_zs'!$B$2,[1]ratio_ins!$B:$B,0))*$G357*INDEX([1]ratio_ins!$D:$D,MATCH('001_population_health_zone_zs'!$B357,[1]ratio_ins!$B:$B,0))</f>
        <v>33752.925791199996</v>
      </c>
      <c r="AJ357" s="10">
        <f>INDEX([1]ratio_ins!AG:AG,MATCH('001_population_health_zone_zs'!$B$2,[1]ratio_ins!$B:$B,0))*$G357*INDEX([1]ratio_ins!$D:$D,MATCH('001_population_health_zone_zs'!$B357,[1]ratio_ins!$B:$B,0))</f>
        <v>1966.6499408</v>
      </c>
      <c r="AK357" s="10">
        <f>INDEX([1]ratio_ins!AH:AH,MATCH('001_population_health_zone_zs'!$B$2,[1]ratio_ins!$B:$B,0))*$G357*INDEX([1]ratio_ins!$D:$D,MATCH('001_population_health_zone_zs'!$B357,[1]ratio_ins!$B:$B,0))</f>
        <v>4383.4968560000007</v>
      </c>
      <c r="AL357" s="10">
        <f>INDEX([1]ratio_ins!AI:AI,MATCH('001_population_health_zone_zs'!$B$2,[1]ratio_ins!$B:$B,0))*$G357*INDEX([1]ratio_ins!$D:$D,MATCH('001_population_health_zone_zs'!$B357,[1]ratio_ins!$B:$B,0))</f>
        <v>4146.5510800000011</v>
      </c>
      <c r="AM357" s="10">
        <f>INDEX([1]ratio_ins!AJ:AJ,MATCH('001_population_health_zone_zs'!$B$2,[1]ratio_ins!$B:$B,0))*$G357*INDEX([1]ratio_ins!$D:$D,MATCH('001_population_health_zone_zs'!$B357,[1]ratio_ins!$B:$B,0))</f>
        <v>3791.1324160000004</v>
      </c>
      <c r="AN357" s="10">
        <f>INDEX([1]ratio_ins!AK:AK,MATCH('001_population_health_zone_zs'!$B$2,[1]ratio_ins!$B:$B,0))*$G357*INDEX([1]ratio_ins!$D:$D,MATCH('001_population_health_zone_zs'!$B357,[1]ratio_ins!$B:$B,0))</f>
        <v>3554.1866399999999</v>
      </c>
      <c r="AO357" s="10">
        <f>INDEX([1]ratio_ins!AL:AL,MATCH('001_population_health_zone_zs'!$B$2,[1]ratio_ins!$B:$B,0))*$G357*INDEX([1]ratio_ins!$D:$D,MATCH('001_population_health_zone_zs'!$B357,[1]ratio_ins!$B:$B,0))</f>
        <v>2665.6399799999999</v>
      </c>
      <c r="AP357" s="10">
        <f>INDEX([1]ratio_ins!AM:AM,MATCH('001_population_health_zone_zs'!$B$2,[1]ratio_ins!$B:$B,0))*$G357*INDEX([1]ratio_ins!$D:$D,MATCH('001_population_health_zone_zs'!$B357,[1]ratio_ins!$B:$B,0))</f>
        <v>1717.8568759999998</v>
      </c>
      <c r="AQ357" s="10">
        <f>INDEX([1]ratio_ins!AN:AN,MATCH('001_population_health_zone_zs'!$B$2,[1]ratio_ins!$B:$B,0))*$G357*INDEX([1]ratio_ins!$D:$D,MATCH('001_population_health_zone_zs'!$B357,[1]ratio_ins!$B:$B,0))</f>
        <v>1362.438212</v>
      </c>
      <c r="AR357" s="10">
        <f>INDEX([1]ratio_ins!AO:AO,MATCH('001_population_health_zone_zs'!$B$2,[1]ratio_ins!$B:$B,0))*$G357*INDEX([1]ratio_ins!$D:$D,MATCH('001_population_health_zone_zs'!$B357,[1]ratio_ins!$B:$B,0))</f>
        <v>651.60088400000006</v>
      </c>
      <c r="AS357" s="13">
        <f>INDEX([1]ratio_ins!AP:AP,MATCH('001_population_health_zone_zs'!$B$2,[1]ratio_ins!$B:$B,0))*$G357*INDEX([1]ratio_ins!$D:$D,MATCH('001_population_health_zone_zs'!$B357,[1]ratio_ins!$B:$B,0))</f>
        <v>24239.552884800003</v>
      </c>
      <c r="AT357" s="10">
        <f>INDEX([1]ratio_ins!AQ:AQ,MATCH('001_population_health_zone_zs'!$B$2,[1]ratio_ins!$B:$B,0))*$G357*INDEX([1]ratio_ins!$D:$D,MATCH('001_population_health_zone_zs'!$B357,[1]ratio_ins!$B:$B,0))</f>
        <v>592.36444000000006</v>
      </c>
      <c r="AU357" s="10">
        <f>INDEX([1]ratio_ins!AR:AR,MATCH('001_population_health_zone_zs'!$B$2,[1]ratio_ins!$B:$B,0))*$G357*INDEX([1]ratio_ins!$D:$D,MATCH('001_population_health_zone_zs'!$B357,[1]ratio_ins!$B:$B,0))</f>
        <v>355.41866400000004</v>
      </c>
      <c r="AV357" s="10">
        <f>INDEX([1]ratio_ins!AS:AS,MATCH('001_population_health_zone_zs'!$B$2,[1]ratio_ins!$B:$B,0))*$G357*INDEX([1]ratio_ins!$D:$D,MATCH('001_population_health_zone_zs'!$B357,[1]ratio_ins!$B:$B,0))</f>
        <v>177.70933200000002</v>
      </c>
      <c r="AW357" s="10">
        <f>INDEX([1]ratio_ins!AT:AT,MATCH('001_population_health_zone_zs'!$B$2,[1]ratio_ins!$B:$B,0))*$G357*INDEX([1]ratio_ins!$D:$D,MATCH('001_population_health_zone_zs'!$B357,[1]ratio_ins!$B:$B,0))</f>
        <v>118.47288800000001</v>
      </c>
      <c r="AX357" s="13">
        <f>INDEX([1]ratio_ins!AU:AU,MATCH('001_population_health_zone_zs'!$B$2,[1]ratio_ins!$B:$B,0))*$G357*INDEX([1]ratio_ins!$D:$D,MATCH('001_population_health_zone_zs'!$B357,[1]ratio_ins!$B:$B,0))</f>
        <v>1243.9653239999998</v>
      </c>
      <c r="AY357" s="14">
        <f t="shared" si="31"/>
        <v>59236.443999999996</v>
      </c>
      <c r="AZ357" s="15">
        <f t="shared" si="32"/>
        <v>115246</v>
      </c>
      <c r="BA357" s="16">
        <v>110686.57236398508</v>
      </c>
      <c r="BB357" s="10">
        <f t="shared" si="33"/>
        <v>25175.488700000002</v>
      </c>
      <c r="BC357" s="17">
        <f t="shared" si="34"/>
        <v>0.21845000000000001</v>
      </c>
      <c r="BD357" s="10">
        <f t="shared" si="35"/>
        <v>23355.984852000001</v>
      </c>
    </row>
    <row r="358" spans="1:56" x14ac:dyDescent="0.25">
      <c r="A358" s="8" t="s">
        <v>877</v>
      </c>
      <c r="B358" s="8" t="s">
        <v>878</v>
      </c>
      <c r="C358" s="8" t="s">
        <v>879</v>
      </c>
      <c r="D358" s="8" t="s">
        <v>880</v>
      </c>
      <c r="E358" s="8" t="s">
        <v>881</v>
      </c>
      <c r="F358" s="8" t="s">
        <v>882</v>
      </c>
      <c r="G358" s="9">
        <v>79772</v>
      </c>
      <c r="H358" s="10">
        <f>INDEX([1]ratio_ins!F:F,MATCH('001_population_health_zone_zs'!$B$2,[1]ratio_ins!$B:$B,0))*$G358*INDEX([1]ratio_ins!$C:$C,MATCH('001_population_health_zone_zs'!$B358,[1]ratio_ins!$B:$B,0))</f>
        <v>8286.1569560000007</v>
      </c>
      <c r="I358" s="10">
        <f>INDEX([1]ratio_ins!G:G,MATCH('001_population_health_zone_zs'!$B$2,[1]ratio_ins!$B:$B,0))*$G358*INDEX([1]ratio_ins!$C:$C,MATCH('001_population_health_zone_zs'!$B358,[1]ratio_ins!$B:$B,0))</f>
        <v>6779.5829640000011</v>
      </c>
      <c r="J358" s="10">
        <f>INDEX([1]ratio_ins!H:H,MATCH('001_population_health_zone_zs'!$B$2,[1]ratio_ins!$B:$B,0))*$G358*INDEX([1]ratio_ins!$C:$C,MATCH('001_population_health_zone_zs'!$B358,[1]ratio_ins!$B:$B,0))</f>
        <v>5352.3023400000011</v>
      </c>
      <c r="K358" s="10">
        <f>INDEX([1]ratio_ins!I:I,MATCH('001_population_health_zone_zs'!$B$2,[1]ratio_ins!$B:$B,0))*$G358*INDEX([1]ratio_ins!$C:$C,MATCH('001_population_health_zone_zs'!$B358,[1]ratio_ins!$B:$B,0))</f>
        <v>3290.6747720000003</v>
      </c>
      <c r="L358" s="10">
        <f>INDEX([1]ratio_ins!J:J,MATCH('001_population_health_zone_zs'!$B$2,[1]ratio_ins!$B:$B,0))*$G358*INDEX([1]ratio_ins!$C:$C,MATCH('001_population_health_zone_zs'!$B358,[1]ratio_ins!$B:$B,0))</f>
        <v>1974.4048632000001</v>
      </c>
      <c r="M358" s="11">
        <f>INDEX([1]ratio_ins!K:K,MATCH('001_population_health_zone_zs'!$B$2,[1]ratio_ins!$B:$B,0))*$G358*INDEX([1]ratio_ins!$C:$C,MATCH('001_population_health_zone_zs'!$B358,[1]ratio_ins!$B:$B,0))</f>
        <v>22392.4471232</v>
      </c>
      <c r="N358" s="10">
        <f>INDEX([1]ratio_ins!L:L,MATCH('001_population_health_zone_zs'!$B$2,[1]ratio_ins!$B:$B,0))*$G358*INDEX([1]ratio_ins!$C:$C,MATCH('001_population_health_zone_zs'!$B358,[1]ratio_ins!$B:$B,0))</f>
        <v>1316.2699088000002</v>
      </c>
      <c r="O358" s="10">
        <f>INDEX([1]ratio_ins!M:M,MATCH('001_population_health_zone_zs'!$B$2,[1]ratio_ins!$B:$B,0))*$G358*INDEX([1]ratio_ins!$C:$C,MATCH('001_population_health_zone_zs'!$B358,[1]ratio_ins!$B:$B,0))</f>
        <v>2854.5612480000009</v>
      </c>
      <c r="P358" s="10">
        <f>INDEX([1]ratio_ins!N:N,MATCH('001_population_health_zone_zs'!$B$2,[1]ratio_ins!$B:$B,0))*$G358*INDEX([1]ratio_ins!$C:$C,MATCH('001_population_health_zone_zs'!$B358,[1]ratio_ins!$B:$B,0))</f>
        <v>2577.0344600000003</v>
      </c>
      <c r="Q358" s="10">
        <f>INDEX([1]ratio_ins!O:O,MATCH('001_population_health_zone_zs'!$B$2,[1]ratio_ins!$B:$B,0))*$G358*INDEX([1]ratio_ins!$C:$C,MATCH('001_population_health_zone_zs'!$B358,[1]ratio_ins!$B:$B,0))</f>
        <v>2299.5076720000002</v>
      </c>
      <c r="R358" s="10">
        <f>INDEX([1]ratio_ins!P:P,MATCH('001_population_health_zone_zs'!$B$2,[1]ratio_ins!$B:$B,0))*$G358*INDEX([1]ratio_ins!$C:$C,MATCH('001_population_health_zone_zs'!$B358,[1]ratio_ins!$B:$B,0))</f>
        <v>2259.8609880000004</v>
      </c>
      <c r="S358" s="10">
        <f>INDEX([1]ratio_ins!Q:Q,MATCH('001_population_health_zone_zs'!$B$2,[1]ratio_ins!$B:$B,0))*$G358*INDEX([1]ratio_ins!$C:$C,MATCH('001_population_health_zone_zs'!$B358,[1]ratio_ins!$B:$B,0))</f>
        <v>1903.0408320000001</v>
      </c>
      <c r="T358" s="10">
        <f>INDEX([1]ratio_ins!R:R,MATCH('001_population_health_zone_zs'!$B$2,[1]ratio_ins!$B:$B,0))*$G358*INDEX([1]ratio_ins!$C:$C,MATCH('001_population_health_zone_zs'!$B358,[1]ratio_ins!$B:$B,0))</f>
        <v>1347.9872560000001</v>
      </c>
      <c r="U358" s="10">
        <f>INDEX([1]ratio_ins!S:S,MATCH('001_population_health_zone_zs'!$B$2,[1]ratio_ins!$B:$B,0))*$G358*INDEX([1]ratio_ins!$C:$C,MATCH('001_population_health_zone_zs'!$B358,[1]ratio_ins!$B:$B,0))</f>
        <v>1070.4604680000002</v>
      </c>
      <c r="V358" s="10">
        <f>INDEX([1]ratio_ins!T:T,MATCH('001_population_health_zone_zs'!$B$2,[1]ratio_ins!$B:$B,0))*$G358*INDEX([1]ratio_ins!$C:$C,MATCH('001_population_health_zone_zs'!$B358,[1]ratio_ins!$B:$B,0))</f>
        <v>594.70026000000007</v>
      </c>
      <c r="W358" s="11">
        <f>INDEX([1]ratio_ins!U:U,MATCH('001_population_health_zone_zs'!$B$2,[1]ratio_ins!$B:$B,0))*$G358*INDEX([1]ratio_ins!$C:$C,MATCH('001_population_health_zone_zs'!$B358,[1]ratio_ins!$B:$B,0))</f>
        <v>16223.423092800003</v>
      </c>
      <c r="X358" s="10">
        <f>INDEX([1]ratio_ins!V:V,MATCH('001_population_health_zone_zs'!$B$2,[1]ratio_ins!$B:$B,0))*$G358*INDEX([1]ratio_ins!$C:$C,MATCH('001_population_health_zone_zs'!$B358,[1]ratio_ins!$B:$B,0))</f>
        <v>475.76020800000003</v>
      </c>
      <c r="Y358" s="10">
        <f>INDEX([1]ratio_ins!W:W,MATCH('001_population_health_zone_zs'!$B$2,[1]ratio_ins!$B:$B,0))*$G358*INDEX([1]ratio_ins!$C:$C,MATCH('001_population_health_zone_zs'!$B358,[1]ratio_ins!$B:$B,0))</f>
        <v>317.17347200000006</v>
      </c>
      <c r="Z358" s="10">
        <f>INDEX([1]ratio_ins!X:X,MATCH('001_population_health_zone_zs'!$B$2,[1]ratio_ins!$B:$B,0))*$G358*INDEX([1]ratio_ins!$C:$C,MATCH('001_population_health_zone_zs'!$B358,[1]ratio_ins!$B:$B,0))</f>
        <v>158.58673600000003</v>
      </c>
      <c r="AA358" s="10">
        <f>INDEX([1]ratio_ins!Y:Y,MATCH('001_population_health_zone_zs'!$B$2,[1]ratio_ins!$B:$B,0))*$G358*INDEX([1]ratio_ins!$C:$C,MATCH('001_population_health_zone_zs'!$B358,[1]ratio_ins!$B:$B,0))</f>
        <v>79.293368000000015</v>
      </c>
      <c r="AB358" s="11">
        <f>INDEX([1]ratio_ins!Z:Z,MATCH('001_population_health_zone_zs'!$B$2,[1]ratio_ins!$B:$B,0))*$G358*INDEX([1]ratio_ins!$C:$C,MATCH('001_population_health_zone_zs'!$B358,[1]ratio_ins!$B:$B,0))</f>
        <v>1030.8137840000002</v>
      </c>
      <c r="AC358" s="12">
        <f t="shared" si="30"/>
        <v>39646.684000000001</v>
      </c>
      <c r="AD358" s="10">
        <f>INDEX([1]ratio_ins!AA:AA,MATCH('001_population_health_zone_zs'!$B$2,[1]ratio_ins!$B:$B,0))*$G358*INDEX([1]ratio_ins!$D:$D,MATCH('001_population_health_zone_zs'!$B358,[1]ratio_ins!$B:$B,0))</f>
        <v>8426.3163599999989</v>
      </c>
      <c r="AE358" s="10">
        <f>INDEX([1]ratio_ins!AB:AB,MATCH('001_population_health_zone_zs'!$B$2,[1]ratio_ins!$B:$B,0))*$G358*INDEX([1]ratio_ins!$D:$D,MATCH('001_population_health_zone_zs'!$B358,[1]ratio_ins!$B:$B,0))</f>
        <v>6941.6796680000007</v>
      </c>
      <c r="AF358" s="10">
        <f>INDEX([1]ratio_ins!AC:AC,MATCH('001_population_health_zone_zs'!$B$2,[1]ratio_ins!$B:$B,0))*$G358*INDEX([1]ratio_ins!$D:$D,MATCH('001_population_health_zone_zs'!$B358,[1]ratio_ins!$B:$B,0))</f>
        <v>5497.1682919999994</v>
      </c>
      <c r="AG358" s="10">
        <f>INDEX([1]ratio_ins!AD:AD,MATCH('001_population_health_zone_zs'!$B$2,[1]ratio_ins!$B:$B,0))*$G358*INDEX([1]ratio_ins!$D:$D,MATCH('001_population_health_zone_zs'!$B358,[1]ratio_ins!$B:$B,0))</f>
        <v>3330.4012280000002</v>
      </c>
      <c r="AH358" s="10">
        <f>INDEX([1]ratio_ins!AE:AE,MATCH('001_population_health_zone_zs'!$B$2,[1]ratio_ins!$B:$B,0))*$G358*INDEX([1]ratio_ins!$D:$D,MATCH('001_population_health_zone_zs'!$B358,[1]ratio_ins!$B:$B,0))</f>
        <v>1998.2407367999999</v>
      </c>
      <c r="AI358" s="13">
        <f>INDEX([1]ratio_ins!AF:AF,MATCH('001_population_health_zone_zs'!$B$2,[1]ratio_ins!$B:$B,0))*$G358*INDEX([1]ratio_ins!$D:$D,MATCH('001_population_health_zone_zs'!$B358,[1]ratio_ins!$B:$B,0))</f>
        <v>22863.405056799998</v>
      </c>
      <c r="AJ358" s="10">
        <f>INDEX([1]ratio_ins!AG:AG,MATCH('001_population_health_zone_zs'!$B$2,[1]ratio_ins!$B:$B,0))*$G358*INDEX([1]ratio_ins!$D:$D,MATCH('001_population_health_zone_zs'!$B358,[1]ratio_ins!$B:$B,0))</f>
        <v>1332.1604912</v>
      </c>
      <c r="AK358" s="10">
        <f>INDEX([1]ratio_ins!AH:AH,MATCH('001_population_health_zone_zs'!$B$2,[1]ratio_ins!$B:$B,0))*$G358*INDEX([1]ratio_ins!$D:$D,MATCH('001_population_health_zone_zs'!$B358,[1]ratio_ins!$B:$B,0))</f>
        <v>2969.2733840000005</v>
      </c>
      <c r="AL358" s="10">
        <f>INDEX([1]ratio_ins!AI:AI,MATCH('001_population_health_zone_zs'!$B$2,[1]ratio_ins!$B:$B,0))*$G358*INDEX([1]ratio_ins!$D:$D,MATCH('001_population_health_zone_zs'!$B358,[1]ratio_ins!$B:$B,0))</f>
        <v>2808.7721200000005</v>
      </c>
      <c r="AM358" s="10">
        <f>INDEX([1]ratio_ins!AJ:AJ,MATCH('001_population_health_zone_zs'!$B$2,[1]ratio_ins!$B:$B,0))*$G358*INDEX([1]ratio_ins!$D:$D,MATCH('001_population_health_zone_zs'!$B358,[1]ratio_ins!$B:$B,0))</f>
        <v>2568.0202240000003</v>
      </c>
      <c r="AN358" s="10">
        <f>INDEX([1]ratio_ins!AK:AK,MATCH('001_population_health_zone_zs'!$B$2,[1]ratio_ins!$B:$B,0))*$G358*INDEX([1]ratio_ins!$D:$D,MATCH('001_population_health_zone_zs'!$B358,[1]ratio_ins!$B:$B,0))</f>
        <v>2407.5189599999999</v>
      </c>
      <c r="AO358" s="10">
        <f>INDEX([1]ratio_ins!AL:AL,MATCH('001_population_health_zone_zs'!$B$2,[1]ratio_ins!$B:$B,0))*$G358*INDEX([1]ratio_ins!$D:$D,MATCH('001_population_health_zone_zs'!$B358,[1]ratio_ins!$B:$B,0))</f>
        <v>1805.6392199999998</v>
      </c>
      <c r="AP358" s="10">
        <f>INDEX([1]ratio_ins!AM:AM,MATCH('001_population_health_zone_zs'!$B$2,[1]ratio_ins!$B:$B,0))*$G358*INDEX([1]ratio_ins!$D:$D,MATCH('001_population_health_zone_zs'!$B358,[1]ratio_ins!$B:$B,0))</f>
        <v>1163.6341640000001</v>
      </c>
      <c r="AQ358" s="10">
        <f>INDEX([1]ratio_ins!AN:AN,MATCH('001_population_health_zone_zs'!$B$2,[1]ratio_ins!$B:$B,0))*$G358*INDEX([1]ratio_ins!$D:$D,MATCH('001_population_health_zone_zs'!$B358,[1]ratio_ins!$B:$B,0))</f>
        <v>922.88226799999995</v>
      </c>
      <c r="AR358" s="10">
        <f>INDEX([1]ratio_ins!AO:AO,MATCH('001_population_health_zone_zs'!$B$2,[1]ratio_ins!$B:$B,0))*$G358*INDEX([1]ratio_ins!$D:$D,MATCH('001_population_health_zone_zs'!$B358,[1]ratio_ins!$B:$B,0))</f>
        <v>441.37847600000003</v>
      </c>
      <c r="AS358" s="13">
        <f>INDEX([1]ratio_ins!AP:AP,MATCH('001_population_health_zone_zs'!$B$2,[1]ratio_ins!$B:$B,0))*$G358*INDEX([1]ratio_ins!$D:$D,MATCH('001_population_health_zone_zs'!$B358,[1]ratio_ins!$B:$B,0))</f>
        <v>16419.279307200002</v>
      </c>
      <c r="AT358" s="10">
        <f>INDEX([1]ratio_ins!AQ:AQ,MATCH('001_population_health_zone_zs'!$B$2,[1]ratio_ins!$B:$B,0))*$G358*INDEX([1]ratio_ins!$D:$D,MATCH('001_population_health_zone_zs'!$B358,[1]ratio_ins!$B:$B,0))</f>
        <v>401.25316000000004</v>
      </c>
      <c r="AU358" s="10">
        <f>INDEX([1]ratio_ins!AR:AR,MATCH('001_population_health_zone_zs'!$B$2,[1]ratio_ins!$B:$B,0))*$G358*INDEX([1]ratio_ins!$D:$D,MATCH('001_population_health_zone_zs'!$B358,[1]ratio_ins!$B:$B,0))</f>
        <v>240.75189600000002</v>
      </c>
      <c r="AV358" s="10">
        <f>INDEX([1]ratio_ins!AS:AS,MATCH('001_population_health_zone_zs'!$B$2,[1]ratio_ins!$B:$B,0))*$G358*INDEX([1]ratio_ins!$D:$D,MATCH('001_population_health_zone_zs'!$B358,[1]ratio_ins!$B:$B,0))</f>
        <v>120.37594800000001</v>
      </c>
      <c r="AW358" s="10">
        <f>INDEX([1]ratio_ins!AT:AT,MATCH('001_population_health_zone_zs'!$B$2,[1]ratio_ins!$B:$B,0))*$G358*INDEX([1]ratio_ins!$D:$D,MATCH('001_population_health_zone_zs'!$B358,[1]ratio_ins!$B:$B,0))</f>
        <v>80.25063200000001</v>
      </c>
      <c r="AX358" s="13">
        <f>INDEX([1]ratio_ins!AU:AU,MATCH('001_population_health_zone_zs'!$B$2,[1]ratio_ins!$B:$B,0))*$G358*INDEX([1]ratio_ins!$D:$D,MATCH('001_population_health_zone_zs'!$B358,[1]ratio_ins!$B:$B,0))</f>
        <v>842.63163599999984</v>
      </c>
      <c r="AY358" s="14">
        <f t="shared" si="31"/>
        <v>40125.315999999999</v>
      </c>
      <c r="AZ358" s="15">
        <f t="shared" si="32"/>
        <v>79772</v>
      </c>
      <c r="BA358" s="16">
        <v>75945.277634095153</v>
      </c>
      <c r="BB358" s="10">
        <f t="shared" si="33"/>
        <v>17053.259299999998</v>
      </c>
      <c r="BC358" s="17">
        <f t="shared" si="34"/>
        <v>0.21377499999999997</v>
      </c>
      <c r="BD358" s="10">
        <f t="shared" si="35"/>
        <v>16532.667228000002</v>
      </c>
    </row>
    <row r="359" spans="1:56" x14ac:dyDescent="0.25">
      <c r="A359" s="8" t="s">
        <v>877</v>
      </c>
      <c r="B359" s="8" t="s">
        <v>878</v>
      </c>
      <c r="C359" s="8" t="s">
        <v>879</v>
      </c>
      <c r="D359" s="8" t="s">
        <v>880</v>
      </c>
      <c r="E359" s="8" t="s">
        <v>883</v>
      </c>
      <c r="F359" s="8" t="s">
        <v>884</v>
      </c>
      <c r="G359" s="9">
        <v>504281</v>
      </c>
      <c r="H359" s="10">
        <f>INDEX([1]ratio_ins!F:F,MATCH('001_population_health_zone_zs'!$B$2,[1]ratio_ins!$B:$B,0))*$G359*INDEX([1]ratio_ins!$C:$C,MATCH('001_population_health_zone_zs'!$B359,[1]ratio_ins!$B:$B,0))</f>
        <v>52381.180313000004</v>
      </c>
      <c r="I359" s="10">
        <f>INDEX([1]ratio_ins!G:G,MATCH('001_population_health_zone_zs'!$B$2,[1]ratio_ins!$B:$B,0))*$G359*INDEX([1]ratio_ins!$C:$C,MATCH('001_population_health_zone_zs'!$B359,[1]ratio_ins!$B:$B,0))</f>
        <v>42857.329347000006</v>
      </c>
      <c r="J359" s="10">
        <f>INDEX([1]ratio_ins!H:H,MATCH('001_population_health_zone_zs'!$B$2,[1]ratio_ins!$B:$B,0))*$G359*INDEX([1]ratio_ins!$C:$C,MATCH('001_population_health_zone_zs'!$B359,[1]ratio_ins!$B:$B,0))</f>
        <v>33834.733695000003</v>
      </c>
      <c r="K359" s="10">
        <f>INDEX([1]ratio_ins!I:I,MATCH('001_population_health_zone_zs'!$B$2,[1]ratio_ins!$B:$B,0))*$G359*INDEX([1]ratio_ins!$C:$C,MATCH('001_population_health_zone_zs'!$B359,[1]ratio_ins!$B:$B,0))</f>
        <v>20802.095531000003</v>
      </c>
      <c r="L359" s="10">
        <f>INDEX([1]ratio_ins!J:J,MATCH('001_population_health_zone_zs'!$B$2,[1]ratio_ins!$B:$B,0))*$G359*INDEX([1]ratio_ins!$C:$C,MATCH('001_population_health_zone_zs'!$B359,[1]ratio_ins!$B:$B,0))</f>
        <v>12481.257318600001</v>
      </c>
      <c r="M359" s="11">
        <f>INDEX([1]ratio_ins!K:K,MATCH('001_population_health_zone_zs'!$B$2,[1]ratio_ins!$B:$B,0))*$G359*INDEX([1]ratio_ins!$C:$C,MATCH('001_population_health_zone_zs'!$B359,[1]ratio_ins!$B:$B,0))</f>
        <v>141554.50067360001</v>
      </c>
      <c r="N359" s="10">
        <f>INDEX([1]ratio_ins!L:L,MATCH('001_population_health_zone_zs'!$B$2,[1]ratio_ins!$B:$B,0))*$G359*INDEX([1]ratio_ins!$C:$C,MATCH('001_population_health_zone_zs'!$B359,[1]ratio_ins!$B:$B,0))</f>
        <v>8320.8382124</v>
      </c>
      <c r="O359" s="10">
        <f>INDEX([1]ratio_ins!M:M,MATCH('001_population_health_zone_zs'!$B$2,[1]ratio_ins!$B:$B,0))*$G359*INDEX([1]ratio_ins!$C:$C,MATCH('001_population_health_zone_zs'!$B359,[1]ratio_ins!$B:$B,0))</f>
        <v>18045.191304000004</v>
      </c>
      <c r="P359" s="10">
        <f>INDEX([1]ratio_ins!N:N,MATCH('001_population_health_zone_zs'!$B$2,[1]ratio_ins!$B:$B,0))*$G359*INDEX([1]ratio_ins!$C:$C,MATCH('001_population_health_zone_zs'!$B359,[1]ratio_ins!$B:$B,0))</f>
        <v>16290.797705000001</v>
      </c>
      <c r="Q359" s="10">
        <f>INDEX([1]ratio_ins!O:O,MATCH('001_population_health_zone_zs'!$B$2,[1]ratio_ins!$B:$B,0))*$G359*INDEX([1]ratio_ins!$C:$C,MATCH('001_population_health_zone_zs'!$B359,[1]ratio_ins!$B:$B,0))</f>
        <v>14536.404106000002</v>
      </c>
      <c r="R359" s="10">
        <f>INDEX([1]ratio_ins!P:P,MATCH('001_population_health_zone_zs'!$B$2,[1]ratio_ins!$B:$B,0))*$G359*INDEX([1]ratio_ins!$C:$C,MATCH('001_population_health_zone_zs'!$B359,[1]ratio_ins!$B:$B,0))</f>
        <v>14285.776449000001</v>
      </c>
      <c r="S359" s="10">
        <f>INDEX([1]ratio_ins!Q:Q,MATCH('001_population_health_zone_zs'!$B$2,[1]ratio_ins!$B:$B,0))*$G359*INDEX([1]ratio_ins!$C:$C,MATCH('001_population_health_zone_zs'!$B359,[1]ratio_ins!$B:$B,0))</f>
        <v>12030.127536000002</v>
      </c>
      <c r="T359" s="10">
        <f>INDEX([1]ratio_ins!R:R,MATCH('001_population_health_zone_zs'!$B$2,[1]ratio_ins!$B:$B,0))*$G359*INDEX([1]ratio_ins!$C:$C,MATCH('001_population_health_zone_zs'!$B359,[1]ratio_ins!$B:$B,0))</f>
        <v>8521.3403380000018</v>
      </c>
      <c r="U359" s="10">
        <f>INDEX([1]ratio_ins!S:S,MATCH('001_population_health_zone_zs'!$B$2,[1]ratio_ins!$B:$B,0))*$G359*INDEX([1]ratio_ins!$C:$C,MATCH('001_population_health_zone_zs'!$B359,[1]ratio_ins!$B:$B,0))</f>
        <v>6766.9467390000018</v>
      </c>
      <c r="V359" s="10">
        <f>INDEX([1]ratio_ins!T:T,MATCH('001_population_health_zone_zs'!$B$2,[1]ratio_ins!$B:$B,0))*$G359*INDEX([1]ratio_ins!$C:$C,MATCH('001_population_health_zone_zs'!$B359,[1]ratio_ins!$B:$B,0))</f>
        <v>3759.4148550000004</v>
      </c>
      <c r="W359" s="11">
        <f>INDEX([1]ratio_ins!U:U,MATCH('001_population_health_zone_zs'!$B$2,[1]ratio_ins!$B:$B,0))*$G359*INDEX([1]ratio_ins!$C:$C,MATCH('001_population_health_zone_zs'!$B359,[1]ratio_ins!$B:$B,0))</f>
        <v>102556.83724440001</v>
      </c>
      <c r="X359" s="10">
        <f>INDEX([1]ratio_ins!V:V,MATCH('001_population_health_zone_zs'!$B$2,[1]ratio_ins!$B:$B,0))*$G359*INDEX([1]ratio_ins!$C:$C,MATCH('001_population_health_zone_zs'!$B359,[1]ratio_ins!$B:$B,0))</f>
        <v>3007.5318840000004</v>
      </c>
      <c r="Y359" s="10">
        <f>INDEX([1]ratio_ins!W:W,MATCH('001_population_health_zone_zs'!$B$2,[1]ratio_ins!$B:$B,0))*$G359*INDEX([1]ratio_ins!$C:$C,MATCH('001_population_health_zone_zs'!$B359,[1]ratio_ins!$B:$B,0))</f>
        <v>2005.0212560000002</v>
      </c>
      <c r="Z359" s="10">
        <f>INDEX([1]ratio_ins!X:X,MATCH('001_population_health_zone_zs'!$B$2,[1]ratio_ins!$B:$B,0))*$G359*INDEX([1]ratio_ins!$C:$C,MATCH('001_population_health_zone_zs'!$B359,[1]ratio_ins!$B:$B,0))</f>
        <v>1002.5106280000001</v>
      </c>
      <c r="AA359" s="10">
        <f>INDEX([1]ratio_ins!Y:Y,MATCH('001_population_health_zone_zs'!$B$2,[1]ratio_ins!$B:$B,0))*$G359*INDEX([1]ratio_ins!$C:$C,MATCH('001_population_health_zone_zs'!$B359,[1]ratio_ins!$B:$B,0))</f>
        <v>501.25531400000006</v>
      </c>
      <c r="AB359" s="11">
        <f>INDEX([1]ratio_ins!Z:Z,MATCH('001_population_health_zone_zs'!$B$2,[1]ratio_ins!$B:$B,0))*$G359*INDEX([1]ratio_ins!$C:$C,MATCH('001_population_health_zone_zs'!$B359,[1]ratio_ins!$B:$B,0))</f>
        <v>6516.3190820000009</v>
      </c>
      <c r="AC359" s="12">
        <f t="shared" si="30"/>
        <v>250627.65700000001</v>
      </c>
      <c r="AD359" s="10">
        <f>INDEX([1]ratio_ins!AA:AA,MATCH('001_population_health_zone_zs'!$B$2,[1]ratio_ins!$B:$B,0))*$G359*INDEX([1]ratio_ins!$D:$D,MATCH('001_population_health_zone_zs'!$B359,[1]ratio_ins!$B:$B,0))</f>
        <v>53267.20203</v>
      </c>
      <c r="AE359" s="10">
        <f>INDEX([1]ratio_ins!AB:AB,MATCH('001_population_health_zone_zs'!$B$2,[1]ratio_ins!$B:$B,0))*$G359*INDEX([1]ratio_ins!$D:$D,MATCH('001_population_health_zone_zs'!$B359,[1]ratio_ins!$B:$B,0))</f>
        <v>43882.028339000004</v>
      </c>
      <c r="AF359" s="10">
        <f>INDEX([1]ratio_ins!AC:AC,MATCH('001_population_health_zone_zs'!$B$2,[1]ratio_ins!$B:$B,0))*$G359*INDEX([1]ratio_ins!$D:$D,MATCH('001_population_health_zone_zs'!$B359,[1]ratio_ins!$B:$B,0))</f>
        <v>34750.507990999991</v>
      </c>
      <c r="AG359" s="10">
        <f>INDEX([1]ratio_ins!AD:AD,MATCH('001_population_health_zone_zs'!$B$2,[1]ratio_ins!$B:$B,0))*$G359*INDEX([1]ratio_ins!$D:$D,MATCH('001_population_health_zone_zs'!$B359,[1]ratio_ins!$B:$B,0))</f>
        <v>21053.227469000001</v>
      </c>
      <c r="AH359" s="10">
        <f>INDEX([1]ratio_ins!AE:AE,MATCH('001_population_health_zone_zs'!$B$2,[1]ratio_ins!$B:$B,0))*$G359*INDEX([1]ratio_ins!$D:$D,MATCH('001_population_health_zone_zs'!$B359,[1]ratio_ins!$B:$B,0))</f>
        <v>12631.936481399998</v>
      </c>
      <c r="AI359" s="13">
        <f>INDEX([1]ratio_ins!AF:AF,MATCH('001_population_health_zone_zs'!$B$2,[1]ratio_ins!$B:$B,0))*$G359*INDEX([1]ratio_ins!$D:$D,MATCH('001_population_health_zone_zs'!$B359,[1]ratio_ins!$B:$B,0))</f>
        <v>144531.6748414</v>
      </c>
      <c r="AJ359" s="10">
        <f>INDEX([1]ratio_ins!AG:AG,MATCH('001_population_health_zone_zs'!$B$2,[1]ratio_ins!$B:$B,0))*$G359*INDEX([1]ratio_ins!$D:$D,MATCH('001_population_health_zone_zs'!$B359,[1]ratio_ins!$B:$B,0))</f>
        <v>8421.2909875999994</v>
      </c>
      <c r="AK359" s="10">
        <f>INDEX([1]ratio_ins!AH:AH,MATCH('001_population_health_zone_zs'!$B$2,[1]ratio_ins!$B:$B,0))*$G359*INDEX([1]ratio_ins!$D:$D,MATCH('001_population_health_zone_zs'!$B359,[1]ratio_ins!$B:$B,0))</f>
        <v>18770.347382</v>
      </c>
      <c r="AL359" s="10">
        <f>INDEX([1]ratio_ins!AI:AI,MATCH('001_population_health_zone_zs'!$B$2,[1]ratio_ins!$B:$B,0))*$G359*INDEX([1]ratio_ins!$D:$D,MATCH('001_population_health_zone_zs'!$B359,[1]ratio_ins!$B:$B,0))</f>
        <v>17755.734010000004</v>
      </c>
      <c r="AM359" s="10">
        <f>INDEX([1]ratio_ins!AJ:AJ,MATCH('001_population_health_zone_zs'!$B$2,[1]ratio_ins!$B:$B,0))*$G359*INDEX([1]ratio_ins!$D:$D,MATCH('001_population_health_zone_zs'!$B359,[1]ratio_ins!$B:$B,0))</f>
        <v>16233.813952</v>
      </c>
      <c r="AN359" s="10">
        <f>INDEX([1]ratio_ins!AK:AK,MATCH('001_population_health_zone_zs'!$B$2,[1]ratio_ins!$B:$B,0))*$G359*INDEX([1]ratio_ins!$D:$D,MATCH('001_population_health_zone_zs'!$B359,[1]ratio_ins!$B:$B,0))</f>
        <v>15219.200580000001</v>
      </c>
      <c r="AO359" s="10">
        <f>INDEX([1]ratio_ins!AL:AL,MATCH('001_population_health_zone_zs'!$B$2,[1]ratio_ins!$B:$B,0))*$G359*INDEX([1]ratio_ins!$D:$D,MATCH('001_population_health_zone_zs'!$B359,[1]ratio_ins!$B:$B,0))</f>
        <v>11414.400435</v>
      </c>
      <c r="AP359" s="10">
        <f>INDEX([1]ratio_ins!AM:AM,MATCH('001_population_health_zone_zs'!$B$2,[1]ratio_ins!$B:$B,0))*$G359*INDEX([1]ratio_ins!$D:$D,MATCH('001_population_health_zone_zs'!$B359,[1]ratio_ins!$B:$B,0))</f>
        <v>7355.9469469999995</v>
      </c>
      <c r="AQ359" s="10">
        <f>INDEX([1]ratio_ins!AN:AN,MATCH('001_population_health_zone_zs'!$B$2,[1]ratio_ins!$B:$B,0))*$G359*INDEX([1]ratio_ins!$D:$D,MATCH('001_population_health_zone_zs'!$B359,[1]ratio_ins!$B:$B,0))</f>
        <v>5834.0268889999998</v>
      </c>
      <c r="AR359" s="10">
        <f>INDEX([1]ratio_ins!AO:AO,MATCH('001_population_health_zone_zs'!$B$2,[1]ratio_ins!$B:$B,0))*$G359*INDEX([1]ratio_ins!$D:$D,MATCH('001_population_health_zone_zs'!$B359,[1]ratio_ins!$B:$B,0))</f>
        <v>2790.1867730000004</v>
      </c>
      <c r="AS359" s="13">
        <f>INDEX([1]ratio_ins!AP:AP,MATCH('001_population_health_zone_zs'!$B$2,[1]ratio_ins!$B:$B,0))*$G359*INDEX([1]ratio_ins!$D:$D,MATCH('001_population_health_zone_zs'!$B359,[1]ratio_ins!$B:$B,0))</f>
        <v>103794.9479556</v>
      </c>
      <c r="AT359" s="10">
        <f>INDEX([1]ratio_ins!AQ:AQ,MATCH('001_population_health_zone_zs'!$B$2,[1]ratio_ins!$B:$B,0))*$G359*INDEX([1]ratio_ins!$D:$D,MATCH('001_population_health_zone_zs'!$B359,[1]ratio_ins!$B:$B,0))</f>
        <v>2536.5334300000004</v>
      </c>
      <c r="AU359" s="10">
        <f>INDEX([1]ratio_ins!AR:AR,MATCH('001_population_health_zone_zs'!$B$2,[1]ratio_ins!$B:$B,0))*$G359*INDEX([1]ratio_ins!$D:$D,MATCH('001_population_health_zone_zs'!$B359,[1]ratio_ins!$B:$B,0))</f>
        <v>1521.9200580000002</v>
      </c>
      <c r="AV359" s="10">
        <f>INDEX([1]ratio_ins!AS:AS,MATCH('001_population_health_zone_zs'!$B$2,[1]ratio_ins!$B:$B,0))*$G359*INDEX([1]ratio_ins!$D:$D,MATCH('001_population_health_zone_zs'!$B359,[1]ratio_ins!$B:$B,0))</f>
        <v>760.96002900000008</v>
      </c>
      <c r="AW359" s="10">
        <f>INDEX([1]ratio_ins!AT:AT,MATCH('001_population_health_zone_zs'!$B$2,[1]ratio_ins!$B:$B,0))*$G359*INDEX([1]ratio_ins!$D:$D,MATCH('001_population_health_zone_zs'!$B359,[1]ratio_ins!$B:$B,0))</f>
        <v>507.30668600000001</v>
      </c>
      <c r="AX359" s="13">
        <f>INDEX([1]ratio_ins!AU:AU,MATCH('001_population_health_zone_zs'!$B$2,[1]ratio_ins!$B:$B,0))*$G359*INDEX([1]ratio_ins!$D:$D,MATCH('001_population_health_zone_zs'!$B359,[1]ratio_ins!$B:$B,0))</f>
        <v>5326.7202029999989</v>
      </c>
      <c r="AY359" s="14">
        <f t="shared" si="31"/>
        <v>253653.34299999999</v>
      </c>
      <c r="AZ359" s="15">
        <f t="shared" si="32"/>
        <v>504281</v>
      </c>
      <c r="BA359" s="16">
        <v>480089.39128607302</v>
      </c>
      <c r="BB359" s="10">
        <f t="shared" si="33"/>
        <v>107802.67077500001</v>
      </c>
      <c r="BC359" s="17">
        <f t="shared" si="34"/>
        <v>0.21377500000000002</v>
      </c>
      <c r="BD359" s="10">
        <f t="shared" si="35"/>
        <v>104511.732969</v>
      </c>
    </row>
    <row r="360" spans="1:56" x14ac:dyDescent="0.25">
      <c r="A360" s="8" t="s">
        <v>877</v>
      </c>
      <c r="B360" s="8" t="s">
        <v>878</v>
      </c>
      <c r="C360" s="8" t="s">
        <v>879</v>
      </c>
      <c r="D360" s="8" t="s">
        <v>880</v>
      </c>
      <c r="E360" s="8" t="s">
        <v>885</v>
      </c>
      <c r="F360" s="8" t="s">
        <v>886</v>
      </c>
      <c r="G360" s="9">
        <v>314905</v>
      </c>
      <c r="H360" s="10">
        <f>INDEX([1]ratio_ins!F:F,MATCH('001_population_health_zone_zs'!$B$2,[1]ratio_ins!$B:$B,0))*$G360*INDEX([1]ratio_ins!$C:$C,MATCH('001_population_health_zone_zs'!$B360,[1]ratio_ins!$B:$B,0))</f>
        <v>32710.127065000004</v>
      </c>
      <c r="I360" s="10">
        <f>INDEX([1]ratio_ins!G:G,MATCH('001_population_health_zone_zs'!$B$2,[1]ratio_ins!$B:$B,0))*$G360*INDEX([1]ratio_ins!$C:$C,MATCH('001_population_health_zone_zs'!$B360,[1]ratio_ins!$B:$B,0))</f>
        <v>26762.831235000005</v>
      </c>
      <c r="J360" s="10">
        <f>INDEX([1]ratio_ins!H:H,MATCH('001_population_health_zone_zs'!$B$2,[1]ratio_ins!$B:$B,0))*$G360*INDEX([1]ratio_ins!$C:$C,MATCH('001_population_health_zone_zs'!$B360,[1]ratio_ins!$B:$B,0))</f>
        <v>21128.550975000002</v>
      </c>
      <c r="K360" s="10">
        <f>INDEX([1]ratio_ins!I:I,MATCH('001_population_health_zone_zs'!$B$2,[1]ratio_ins!$B:$B,0))*$G360*INDEX([1]ratio_ins!$C:$C,MATCH('001_population_health_zone_zs'!$B360,[1]ratio_ins!$B:$B,0))</f>
        <v>12990.146155000002</v>
      </c>
      <c r="L360" s="10">
        <f>INDEX([1]ratio_ins!J:J,MATCH('001_population_health_zone_zs'!$B$2,[1]ratio_ins!$B:$B,0))*$G360*INDEX([1]ratio_ins!$C:$C,MATCH('001_population_health_zone_zs'!$B360,[1]ratio_ins!$B:$B,0))</f>
        <v>7794.0876930000004</v>
      </c>
      <c r="M360" s="11">
        <f>INDEX([1]ratio_ins!K:K,MATCH('001_population_health_zone_zs'!$B$2,[1]ratio_ins!$B:$B,0))*$G360*INDEX([1]ratio_ins!$C:$C,MATCH('001_population_health_zone_zs'!$B360,[1]ratio_ins!$B:$B,0))</f>
        <v>88395.596967999998</v>
      </c>
      <c r="N360" s="10">
        <f>INDEX([1]ratio_ins!L:L,MATCH('001_population_health_zone_zs'!$B$2,[1]ratio_ins!$B:$B,0))*$G360*INDEX([1]ratio_ins!$C:$C,MATCH('001_population_health_zone_zs'!$B360,[1]ratio_ins!$B:$B,0))</f>
        <v>5196.058462</v>
      </c>
      <c r="O360" s="10">
        <f>INDEX([1]ratio_ins!M:M,MATCH('001_population_health_zone_zs'!$B$2,[1]ratio_ins!$B:$B,0))*$G360*INDEX([1]ratio_ins!$C:$C,MATCH('001_population_health_zone_zs'!$B360,[1]ratio_ins!$B:$B,0))</f>
        <v>11268.560520000003</v>
      </c>
      <c r="P360" s="10">
        <f>INDEX([1]ratio_ins!N:N,MATCH('001_population_health_zone_zs'!$B$2,[1]ratio_ins!$B:$B,0))*$G360*INDEX([1]ratio_ins!$C:$C,MATCH('001_population_health_zone_zs'!$B360,[1]ratio_ins!$B:$B,0))</f>
        <v>10173.006025000001</v>
      </c>
      <c r="Q360" s="10">
        <f>INDEX([1]ratio_ins!O:O,MATCH('001_population_health_zone_zs'!$B$2,[1]ratio_ins!$B:$B,0))*$G360*INDEX([1]ratio_ins!$C:$C,MATCH('001_population_health_zone_zs'!$B360,[1]ratio_ins!$B:$B,0))</f>
        <v>9077.4515300000003</v>
      </c>
      <c r="R360" s="10">
        <f>INDEX([1]ratio_ins!P:P,MATCH('001_population_health_zone_zs'!$B$2,[1]ratio_ins!$B:$B,0))*$G360*INDEX([1]ratio_ins!$C:$C,MATCH('001_population_health_zone_zs'!$B360,[1]ratio_ins!$B:$B,0))</f>
        <v>8920.9437450000005</v>
      </c>
      <c r="S360" s="10">
        <f>INDEX([1]ratio_ins!Q:Q,MATCH('001_population_health_zone_zs'!$B$2,[1]ratio_ins!$B:$B,0))*$G360*INDEX([1]ratio_ins!$C:$C,MATCH('001_population_health_zone_zs'!$B360,[1]ratio_ins!$B:$B,0))</f>
        <v>7512.3736800000006</v>
      </c>
      <c r="T360" s="10">
        <f>INDEX([1]ratio_ins!R:R,MATCH('001_population_health_zone_zs'!$B$2,[1]ratio_ins!$B:$B,0))*$G360*INDEX([1]ratio_ins!$C:$C,MATCH('001_population_health_zone_zs'!$B360,[1]ratio_ins!$B:$B,0))</f>
        <v>5321.2646900000009</v>
      </c>
      <c r="U360" s="10">
        <f>INDEX([1]ratio_ins!S:S,MATCH('001_population_health_zone_zs'!$B$2,[1]ratio_ins!$B:$B,0))*$G360*INDEX([1]ratio_ins!$C:$C,MATCH('001_population_health_zone_zs'!$B360,[1]ratio_ins!$B:$B,0))</f>
        <v>4225.7101950000015</v>
      </c>
      <c r="V360" s="10">
        <f>INDEX([1]ratio_ins!T:T,MATCH('001_population_health_zone_zs'!$B$2,[1]ratio_ins!$B:$B,0))*$G360*INDEX([1]ratio_ins!$C:$C,MATCH('001_population_health_zone_zs'!$B360,[1]ratio_ins!$B:$B,0))</f>
        <v>2347.616775</v>
      </c>
      <c r="W360" s="11">
        <f>INDEX([1]ratio_ins!U:U,MATCH('001_population_health_zone_zs'!$B$2,[1]ratio_ins!$B:$B,0))*$G360*INDEX([1]ratio_ins!$C:$C,MATCH('001_population_health_zone_zs'!$B360,[1]ratio_ins!$B:$B,0))</f>
        <v>64042.985622000007</v>
      </c>
      <c r="X360" s="10">
        <f>INDEX([1]ratio_ins!V:V,MATCH('001_population_health_zone_zs'!$B$2,[1]ratio_ins!$B:$B,0))*$G360*INDEX([1]ratio_ins!$C:$C,MATCH('001_population_health_zone_zs'!$B360,[1]ratio_ins!$B:$B,0))</f>
        <v>1878.0934200000002</v>
      </c>
      <c r="Y360" s="10">
        <f>INDEX([1]ratio_ins!W:W,MATCH('001_population_health_zone_zs'!$B$2,[1]ratio_ins!$B:$B,0))*$G360*INDEX([1]ratio_ins!$C:$C,MATCH('001_population_health_zone_zs'!$B360,[1]ratio_ins!$B:$B,0))</f>
        <v>1252.0622800000003</v>
      </c>
      <c r="Z360" s="10">
        <f>INDEX([1]ratio_ins!X:X,MATCH('001_population_health_zone_zs'!$B$2,[1]ratio_ins!$B:$B,0))*$G360*INDEX([1]ratio_ins!$C:$C,MATCH('001_population_health_zone_zs'!$B360,[1]ratio_ins!$B:$B,0))</f>
        <v>626.03114000000016</v>
      </c>
      <c r="AA360" s="10">
        <f>INDEX([1]ratio_ins!Y:Y,MATCH('001_population_health_zone_zs'!$B$2,[1]ratio_ins!$B:$B,0))*$G360*INDEX([1]ratio_ins!$C:$C,MATCH('001_population_health_zone_zs'!$B360,[1]ratio_ins!$B:$B,0))</f>
        <v>313.01557000000008</v>
      </c>
      <c r="AB360" s="11">
        <f>INDEX([1]ratio_ins!Z:Z,MATCH('001_population_health_zone_zs'!$B$2,[1]ratio_ins!$B:$B,0))*$G360*INDEX([1]ratio_ins!$C:$C,MATCH('001_population_health_zone_zs'!$B360,[1]ratio_ins!$B:$B,0))</f>
        <v>4069.2024100000008</v>
      </c>
      <c r="AC360" s="12">
        <f t="shared" si="30"/>
        <v>156507.785</v>
      </c>
      <c r="AD360" s="10">
        <f>INDEX([1]ratio_ins!AA:AA,MATCH('001_population_health_zone_zs'!$B$2,[1]ratio_ins!$B:$B,0))*$G360*INDEX([1]ratio_ins!$D:$D,MATCH('001_population_health_zone_zs'!$B360,[1]ratio_ins!$B:$B,0))</f>
        <v>33263.415150000001</v>
      </c>
      <c r="AE360" s="10">
        <f>INDEX([1]ratio_ins!AB:AB,MATCH('001_population_health_zone_zs'!$B$2,[1]ratio_ins!$B:$B,0))*$G360*INDEX([1]ratio_ins!$D:$D,MATCH('001_population_health_zone_zs'!$B360,[1]ratio_ins!$B:$B,0))</f>
        <v>27402.718195000001</v>
      </c>
      <c r="AF360" s="10">
        <f>INDEX([1]ratio_ins!AC:AC,MATCH('001_population_health_zone_zs'!$B$2,[1]ratio_ins!$B:$B,0))*$G360*INDEX([1]ratio_ins!$D:$D,MATCH('001_population_health_zone_zs'!$B360,[1]ratio_ins!$B:$B,0))</f>
        <v>21700.418454999995</v>
      </c>
      <c r="AG360" s="10">
        <f>INDEX([1]ratio_ins!AD:AD,MATCH('001_population_health_zone_zs'!$B$2,[1]ratio_ins!$B:$B,0))*$G360*INDEX([1]ratio_ins!$D:$D,MATCH('001_population_health_zone_zs'!$B360,[1]ratio_ins!$B:$B,0))</f>
        <v>13146.968845000001</v>
      </c>
      <c r="AH360" s="10">
        <f>INDEX([1]ratio_ins!AE:AE,MATCH('001_population_health_zone_zs'!$B$2,[1]ratio_ins!$B:$B,0))*$G360*INDEX([1]ratio_ins!$D:$D,MATCH('001_population_health_zone_zs'!$B360,[1]ratio_ins!$B:$B,0))</f>
        <v>7888.1813069999989</v>
      </c>
      <c r="AI360" s="13">
        <f>INDEX([1]ratio_ins!AF:AF,MATCH('001_population_health_zone_zs'!$B$2,[1]ratio_ins!$B:$B,0))*$G360*INDEX([1]ratio_ins!$D:$D,MATCH('001_population_health_zone_zs'!$B360,[1]ratio_ins!$B:$B,0))</f>
        <v>90254.733107000007</v>
      </c>
      <c r="AJ360" s="10">
        <f>INDEX([1]ratio_ins!AG:AG,MATCH('001_population_health_zone_zs'!$B$2,[1]ratio_ins!$B:$B,0))*$G360*INDEX([1]ratio_ins!$D:$D,MATCH('001_population_health_zone_zs'!$B360,[1]ratio_ins!$B:$B,0))</f>
        <v>5258.7875379999996</v>
      </c>
      <c r="AK360" s="10">
        <f>INDEX([1]ratio_ins!AH:AH,MATCH('001_population_health_zone_zs'!$B$2,[1]ratio_ins!$B:$B,0))*$G360*INDEX([1]ratio_ins!$D:$D,MATCH('001_population_health_zone_zs'!$B360,[1]ratio_ins!$B:$B,0))</f>
        <v>11721.393910000003</v>
      </c>
      <c r="AL360" s="10">
        <f>INDEX([1]ratio_ins!AI:AI,MATCH('001_population_health_zone_zs'!$B$2,[1]ratio_ins!$B:$B,0))*$G360*INDEX([1]ratio_ins!$D:$D,MATCH('001_population_health_zone_zs'!$B360,[1]ratio_ins!$B:$B,0))</f>
        <v>11087.805050000001</v>
      </c>
      <c r="AM360" s="10">
        <f>INDEX([1]ratio_ins!AJ:AJ,MATCH('001_population_health_zone_zs'!$B$2,[1]ratio_ins!$B:$B,0))*$G360*INDEX([1]ratio_ins!$D:$D,MATCH('001_population_health_zone_zs'!$B360,[1]ratio_ins!$B:$B,0))</f>
        <v>10137.421760000001</v>
      </c>
      <c r="AN360" s="10">
        <f>INDEX([1]ratio_ins!AK:AK,MATCH('001_population_health_zone_zs'!$B$2,[1]ratio_ins!$B:$B,0))*$G360*INDEX([1]ratio_ins!$D:$D,MATCH('001_population_health_zone_zs'!$B360,[1]ratio_ins!$B:$B,0))</f>
        <v>9503.8328999999994</v>
      </c>
      <c r="AO360" s="10">
        <f>INDEX([1]ratio_ins!AL:AL,MATCH('001_population_health_zone_zs'!$B$2,[1]ratio_ins!$B:$B,0))*$G360*INDEX([1]ratio_ins!$D:$D,MATCH('001_population_health_zone_zs'!$B360,[1]ratio_ins!$B:$B,0))</f>
        <v>7127.874675</v>
      </c>
      <c r="AP360" s="10">
        <f>INDEX([1]ratio_ins!AM:AM,MATCH('001_population_health_zone_zs'!$B$2,[1]ratio_ins!$B:$B,0))*$G360*INDEX([1]ratio_ins!$D:$D,MATCH('001_population_health_zone_zs'!$B360,[1]ratio_ins!$B:$B,0))</f>
        <v>4593.5192349999998</v>
      </c>
      <c r="AQ360" s="10">
        <f>INDEX([1]ratio_ins!AN:AN,MATCH('001_population_health_zone_zs'!$B$2,[1]ratio_ins!$B:$B,0))*$G360*INDEX([1]ratio_ins!$D:$D,MATCH('001_population_health_zone_zs'!$B360,[1]ratio_ins!$B:$B,0))</f>
        <v>3643.135945</v>
      </c>
      <c r="AR360" s="10">
        <f>INDEX([1]ratio_ins!AO:AO,MATCH('001_population_health_zone_zs'!$B$2,[1]ratio_ins!$B:$B,0))*$G360*INDEX([1]ratio_ins!$D:$D,MATCH('001_population_health_zone_zs'!$B360,[1]ratio_ins!$B:$B,0))</f>
        <v>1742.3693650000002</v>
      </c>
      <c r="AS360" s="13">
        <f>INDEX([1]ratio_ins!AP:AP,MATCH('001_population_health_zone_zs'!$B$2,[1]ratio_ins!$B:$B,0))*$G360*INDEX([1]ratio_ins!$D:$D,MATCH('001_population_health_zone_zs'!$B360,[1]ratio_ins!$B:$B,0))</f>
        <v>64816.140378000004</v>
      </c>
      <c r="AT360" s="10">
        <f>INDEX([1]ratio_ins!AQ:AQ,MATCH('001_population_health_zone_zs'!$B$2,[1]ratio_ins!$B:$B,0))*$G360*INDEX([1]ratio_ins!$D:$D,MATCH('001_population_health_zone_zs'!$B360,[1]ratio_ins!$B:$B,0))</f>
        <v>1583.9721500000001</v>
      </c>
      <c r="AU360" s="10">
        <f>INDEX([1]ratio_ins!AR:AR,MATCH('001_population_health_zone_zs'!$B$2,[1]ratio_ins!$B:$B,0))*$G360*INDEX([1]ratio_ins!$D:$D,MATCH('001_population_health_zone_zs'!$B360,[1]ratio_ins!$B:$B,0))</f>
        <v>950.38328999999999</v>
      </c>
      <c r="AV360" s="10">
        <f>INDEX([1]ratio_ins!AS:AS,MATCH('001_population_health_zone_zs'!$B$2,[1]ratio_ins!$B:$B,0))*$G360*INDEX([1]ratio_ins!$D:$D,MATCH('001_population_health_zone_zs'!$B360,[1]ratio_ins!$B:$B,0))</f>
        <v>475.19164499999999</v>
      </c>
      <c r="AW360" s="10">
        <f>INDEX([1]ratio_ins!AT:AT,MATCH('001_population_health_zone_zs'!$B$2,[1]ratio_ins!$B:$B,0))*$G360*INDEX([1]ratio_ins!$D:$D,MATCH('001_population_health_zone_zs'!$B360,[1]ratio_ins!$B:$B,0))</f>
        <v>316.79443000000003</v>
      </c>
      <c r="AX360" s="13">
        <f>INDEX([1]ratio_ins!AU:AU,MATCH('001_population_health_zone_zs'!$B$2,[1]ratio_ins!$B:$B,0))*$G360*INDEX([1]ratio_ins!$D:$D,MATCH('001_population_health_zone_zs'!$B360,[1]ratio_ins!$B:$B,0))</f>
        <v>3326.3415149999996</v>
      </c>
      <c r="AY360" s="14">
        <f t="shared" si="31"/>
        <v>158397.21500000003</v>
      </c>
      <c r="AZ360" s="15">
        <f t="shared" si="32"/>
        <v>314905</v>
      </c>
      <c r="BA360" s="16">
        <v>299798.11254159571</v>
      </c>
      <c r="BB360" s="10">
        <f t="shared" si="33"/>
        <v>67318.816374999995</v>
      </c>
      <c r="BC360" s="17">
        <f t="shared" si="34"/>
        <v>0.21377499999999999</v>
      </c>
      <c r="BD360" s="10">
        <f t="shared" si="35"/>
        <v>65263.746345000014</v>
      </c>
    </row>
    <row r="361" spans="1:56" x14ac:dyDescent="0.25">
      <c r="A361" s="8" t="s">
        <v>877</v>
      </c>
      <c r="B361" s="8" t="s">
        <v>878</v>
      </c>
      <c r="C361" s="8" t="s">
        <v>879</v>
      </c>
      <c r="D361" s="8" t="s">
        <v>880</v>
      </c>
      <c r="E361" s="8" t="s">
        <v>887</v>
      </c>
      <c r="F361" s="8" t="s">
        <v>888</v>
      </c>
      <c r="G361" s="9">
        <v>332728</v>
      </c>
      <c r="H361" s="10">
        <f>INDEX([1]ratio_ins!F:F,MATCH('001_population_health_zone_zs'!$B$2,[1]ratio_ins!$B:$B,0))*$G361*INDEX([1]ratio_ins!$C:$C,MATCH('001_population_health_zone_zs'!$B361,[1]ratio_ins!$B:$B,0))</f>
        <v>34561.455544000004</v>
      </c>
      <c r="I361" s="10">
        <f>INDEX([1]ratio_ins!G:G,MATCH('001_population_health_zone_zs'!$B$2,[1]ratio_ins!$B:$B,0))*$G361*INDEX([1]ratio_ins!$C:$C,MATCH('001_population_health_zone_zs'!$B361,[1]ratio_ins!$B:$B,0))</f>
        <v>28277.554536000007</v>
      </c>
      <c r="J361" s="10">
        <f>INDEX([1]ratio_ins!H:H,MATCH('001_population_health_zone_zs'!$B$2,[1]ratio_ins!$B:$B,0))*$G361*INDEX([1]ratio_ins!$C:$C,MATCH('001_population_health_zone_zs'!$B361,[1]ratio_ins!$B:$B,0))</f>
        <v>22324.385160000005</v>
      </c>
      <c r="K361" s="10">
        <f>INDEX([1]ratio_ins!I:I,MATCH('001_population_health_zone_zs'!$B$2,[1]ratio_ins!$B:$B,0))*$G361*INDEX([1]ratio_ins!$C:$C,MATCH('001_population_health_zone_zs'!$B361,[1]ratio_ins!$B:$B,0))</f>
        <v>13725.362728000004</v>
      </c>
      <c r="L361" s="10">
        <f>INDEX([1]ratio_ins!J:J,MATCH('001_population_health_zone_zs'!$B$2,[1]ratio_ins!$B:$B,0))*$G361*INDEX([1]ratio_ins!$C:$C,MATCH('001_population_health_zone_zs'!$B361,[1]ratio_ins!$B:$B,0))</f>
        <v>8235.2176368000019</v>
      </c>
      <c r="M361" s="11">
        <f>INDEX([1]ratio_ins!K:K,MATCH('001_population_health_zone_zs'!$B$2,[1]ratio_ins!$B:$B,0))*$G361*INDEX([1]ratio_ins!$C:$C,MATCH('001_population_health_zone_zs'!$B361,[1]ratio_ins!$B:$B,0))</f>
        <v>93398.612876800005</v>
      </c>
      <c r="N361" s="10">
        <f>INDEX([1]ratio_ins!L:L,MATCH('001_population_health_zone_zs'!$B$2,[1]ratio_ins!$B:$B,0))*$G361*INDEX([1]ratio_ins!$C:$C,MATCH('001_population_health_zone_zs'!$B361,[1]ratio_ins!$B:$B,0))</f>
        <v>5490.1450912000009</v>
      </c>
      <c r="O361" s="10">
        <f>INDEX([1]ratio_ins!M:M,MATCH('001_population_health_zone_zs'!$B$2,[1]ratio_ins!$B:$B,0))*$G361*INDEX([1]ratio_ins!$C:$C,MATCH('001_population_health_zone_zs'!$B361,[1]ratio_ins!$B:$B,0))</f>
        <v>11906.338752000001</v>
      </c>
      <c r="P361" s="10">
        <f>INDEX([1]ratio_ins!N:N,MATCH('001_population_health_zone_zs'!$B$2,[1]ratio_ins!$B:$B,0))*$G361*INDEX([1]ratio_ins!$C:$C,MATCH('001_population_health_zone_zs'!$B361,[1]ratio_ins!$B:$B,0))</f>
        <v>10748.778040000001</v>
      </c>
      <c r="Q361" s="10">
        <f>INDEX([1]ratio_ins!O:O,MATCH('001_population_health_zone_zs'!$B$2,[1]ratio_ins!$B:$B,0))*$G361*INDEX([1]ratio_ins!$C:$C,MATCH('001_population_health_zone_zs'!$B361,[1]ratio_ins!$B:$B,0))</f>
        <v>9591.2173280000006</v>
      </c>
      <c r="R361" s="10">
        <f>INDEX([1]ratio_ins!P:P,MATCH('001_population_health_zone_zs'!$B$2,[1]ratio_ins!$B:$B,0))*$G361*INDEX([1]ratio_ins!$C:$C,MATCH('001_population_health_zone_zs'!$B361,[1]ratio_ins!$B:$B,0))</f>
        <v>9425.8515120000011</v>
      </c>
      <c r="S361" s="10">
        <f>INDEX([1]ratio_ins!Q:Q,MATCH('001_population_health_zone_zs'!$B$2,[1]ratio_ins!$B:$B,0))*$G361*INDEX([1]ratio_ins!$C:$C,MATCH('001_population_health_zone_zs'!$B361,[1]ratio_ins!$B:$B,0))</f>
        <v>7937.5591680000007</v>
      </c>
      <c r="T361" s="10">
        <f>INDEX([1]ratio_ins!R:R,MATCH('001_population_health_zone_zs'!$B$2,[1]ratio_ins!$B:$B,0))*$G361*INDEX([1]ratio_ins!$C:$C,MATCH('001_population_health_zone_zs'!$B361,[1]ratio_ins!$B:$B,0))</f>
        <v>5622.4377440000007</v>
      </c>
      <c r="U361" s="10">
        <f>INDEX([1]ratio_ins!S:S,MATCH('001_population_health_zone_zs'!$B$2,[1]ratio_ins!$B:$B,0))*$G361*INDEX([1]ratio_ins!$C:$C,MATCH('001_population_health_zone_zs'!$B361,[1]ratio_ins!$B:$B,0))</f>
        <v>4464.8770320000012</v>
      </c>
      <c r="V361" s="10">
        <f>INDEX([1]ratio_ins!T:T,MATCH('001_population_health_zone_zs'!$B$2,[1]ratio_ins!$B:$B,0))*$G361*INDEX([1]ratio_ins!$C:$C,MATCH('001_population_health_zone_zs'!$B361,[1]ratio_ins!$B:$B,0))</f>
        <v>2480.4872400000004</v>
      </c>
      <c r="W361" s="11">
        <f>INDEX([1]ratio_ins!U:U,MATCH('001_population_health_zone_zs'!$B$2,[1]ratio_ins!$B:$B,0))*$G361*INDEX([1]ratio_ins!$C:$C,MATCH('001_population_health_zone_zs'!$B361,[1]ratio_ins!$B:$B,0))</f>
        <v>67667.691907200002</v>
      </c>
      <c r="X361" s="10">
        <f>INDEX([1]ratio_ins!V:V,MATCH('001_population_health_zone_zs'!$B$2,[1]ratio_ins!$B:$B,0))*$G361*INDEX([1]ratio_ins!$C:$C,MATCH('001_population_health_zone_zs'!$B361,[1]ratio_ins!$B:$B,0))</f>
        <v>1984.3897920000002</v>
      </c>
      <c r="Y361" s="10">
        <f>INDEX([1]ratio_ins!W:W,MATCH('001_population_health_zone_zs'!$B$2,[1]ratio_ins!$B:$B,0))*$G361*INDEX([1]ratio_ins!$C:$C,MATCH('001_population_health_zone_zs'!$B361,[1]ratio_ins!$B:$B,0))</f>
        <v>1322.9265280000002</v>
      </c>
      <c r="Z361" s="10">
        <f>INDEX([1]ratio_ins!X:X,MATCH('001_population_health_zone_zs'!$B$2,[1]ratio_ins!$B:$B,0))*$G361*INDEX([1]ratio_ins!$C:$C,MATCH('001_population_health_zone_zs'!$B361,[1]ratio_ins!$B:$B,0))</f>
        <v>661.46326400000009</v>
      </c>
      <c r="AA361" s="10">
        <f>INDEX([1]ratio_ins!Y:Y,MATCH('001_population_health_zone_zs'!$B$2,[1]ratio_ins!$B:$B,0))*$G361*INDEX([1]ratio_ins!$C:$C,MATCH('001_population_health_zone_zs'!$B361,[1]ratio_ins!$B:$B,0))</f>
        <v>330.73163200000005</v>
      </c>
      <c r="AB361" s="11">
        <f>INDEX([1]ratio_ins!Z:Z,MATCH('001_population_health_zone_zs'!$B$2,[1]ratio_ins!$B:$B,0))*$G361*INDEX([1]ratio_ins!$C:$C,MATCH('001_population_health_zone_zs'!$B361,[1]ratio_ins!$B:$B,0))</f>
        <v>4299.5112160000008</v>
      </c>
      <c r="AC361" s="12">
        <f t="shared" si="30"/>
        <v>165365.81600000002</v>
      </c>
      <c r="AD361" s="10">
        <f>INDEX([1]ratio_ins!AA:AA,MATCH('001_population_health_zone_zs'!$B$2,[1]ratio_ins!$B:$B,0))*$G361*INDEX([1]ratio_ins!$D:$D,MATCH('001_population_health_zone_zs'!$B361,[1]ratio_ins!$B:$B,0))</f>
        <v>35146.058640000003</v>
      </c>
      <c r="AE361" s="10">
        <f>INDEX([1]ratio_ins!AB:AB,MATCH('001_population_health_zone_zs'!$B$2,[1]ratio_ins!$B:$B,0))*$G361*INDEX([1]ratio_ins!$D:$D,MATCH('001_population_health_zone_zs'!$B361,[1]ratio_ins!$B:$B,0))</f>
        <v>28953.657832000001</v>
      </c>
      <c r="AF361" s="10">
        <f>INDEX([1]ratio_ins!AC:AC,MATCH('001_population_health_zone_zs'!$B$2,[1]ratio_ins!$B:$B,0))*$G361*INDEX([1]ratio_ins!$D:$D,MATCH('001_population_health_zone_zs'!$B361,[1]ratio_ins!$B:$B,0))</f>
        <v>22928.619208</v>
      </c>
      <c r="AG361" s="10">
        <f>INDEX([1]ratio_ins!AD:AD,MATCH('001_population_health_zone_zs'!$B$2,[1]ratio_ins!$B:$B,0))*$G361*INDEX([1]ratio_ins!$D:$D,MATCH('001_population_health_zone_zs'!$B361,[1]ratio_ins!$B:$B,0))</f>
        <v>13891.061272000001</v>
      </c>
      <c r="AH361" s="10">
        <f>INDEX([1]ratio_ins!AE:AE,MATCH('001_population_health_zone_zs'!$B$2,[1]ratio_ins!$B:$B,0))*$G361*INDEX([1]ratio_ins!$D:$D,MATCH('001_population_health_zone_zs'!$B361,[1]ratio_ins!$B:$B,0))</f>
        <v>8334.6367632000001</v>
      </c>
      <c r="AI361" s="13">
        <f>INDEX([1]ratio_ins!AF:AF,MATCH('001_population_health_zone_zs'!$B$2,[1]ratio_ins!$B:$B,0))*$G361*INDEX([1]ratio_ins!$D:$D,MATCH('001_population_health_zone_zs'!$B361,[1]ratio_ins!$B:$B,0))</f>
        <v>95362.972443199993</v>
      </c>
      <c r="AJ361" s="10">
        <f>INDEX([1]ratio_ins!AG:AG,MATCH('001_population_health_zone_zs'!$B$2,[1]ratio_ins!$B:$B,0))*$G361*INDEX([1]ratio_ins!$D:$D,MATCH('001_population_health_zone_zs'!$B361,[1]ratio_ins!$B:$B,0))</f>
        <v>5556.4245088000007</v>
      </c>
      <c r="AK361" s="10">
        <f>INDEX([1]ratio_ins!AH:AH,MATCH('001_population_health_zone_zs'!$B$2,[1]ratio_ins!$B:$B,0))*$G361*INDEX([1]ratio_ins!$D:$D,MATCH('001_population_health_zone_zs'!$B361,[1]ratio_ins!$B:$B,0))</f>
        <v>12384.801616000002</v>
      </c>
      <c r="AL361" s="10">
        <f>INDEX([1]ratio_ins!AI:AI,MATCH('001_population_health_zone_zs'!$B$2,[1]ratio_ins!$B:$B,0))*$G361*INDEX([1]ratio_ins!$D:$D,MATCH('001_population_health_zone_zs'!$B361,[1]ratio_ins!$B:$B,0))</f>
        <v>11715.352880000002</v>
      </c>
      <c r="AM361" s="10">
        <f>INDEX([1]ratio_ins!AJ:AJ,MATCH('001_population_health_zone_zs'!$B$2,[1]ratio_ins!$B:$B,0))*$G361*INDEX([1]ratio_ins!$D:$D,MATCH('001_population_health_zone_zs'!$B361,[1]ratio_ins!$B:$B,0))</f>
        <v>10711.179776000001</v>
      </c>
      <c r="AN361" s="10">
        <f>INDEX([1]ratio_ins!AK:AK,MATCH('001_population_health_zone_zs'!$B$2,[1]ratio_ins!$B:$B,0))*$G361*INDEX([1]ratio_ins!$D:$D,MATCH('001_population_health_zone_zs'!$B361,[1]ratio_ins!$B:$B,0))</f>
        <v>10041.731040000001</v>
      </c>
      <c r="AO361" s="10">
        <f>INDEX([1]ratio_ins!AL:AL,MATCH('001_population_health_zone_zs'!$B$2,[1]ratio_ins!$B:$B,0))*$G361*INDEX([1]ratio_ins!$D:$D,MATCH('001_population_health_zone_zs'!$B361,[1]ratio_ins!$B:$B,0))</f>
        <v>7531.29828</v>
      </c>
      <c r="AP361" s="10">
        <f>INDEX([1]ratio_ins!AM:AM,MATCH('001_population_health_zone_zs'!$B$2,[1]ratio_ins!$B:$B,0))*$G361*INDEX([1]ratio_ins!$D:$D,MATCH('001_population_health_zone_zs'!$B361,[1]ratio_ins!$B:$B,0))</f>
        <v>4853.5033359999998</v>
      </c>
      <c r="AQ361" s="10">
        <f>INDEX([1]ratio_ins!AN:AN,MATCH('001_population_health_zone_zs'!$B$2,[1]ratio_ins!$B:$B,0))*$G361*INDEX([1]ratio_ins!$D:$D,MATCH('001_population_health_zone_zs'!$B361,[1]ratio_ins!$B:$B,0))</f>
        <v>3849.3302319999998</v>
      </c>
      <c r="AR361" s="10">
        <f>INDEX([1]ratio_ins!AO:AO,MATCH('001_population_health_zone_zs'!$B$2,[1]ratio_ins!$B:$B,0))*$G361*INDEX([1]ratio_ins!$D:$D,MATCH('001_population_health_zone_zs'!$B361,[1]ratio_ins!$B:$B,0))</f>
        <v>1840.9840240000001</v>
      </c>
      <c r="AS361" s="13">
        <f>INDEX([1]ratio_ins!AP:AP,MATCH('001_population_health_zone_zs'!$B$2,[1]ratio_ins!$B:$B,0))*$G361*INDEX([1]ratio_ins!$D:$D,MATCH('001_population_health_zone_zs'!$B361,[1]ratio_ins!$B:$B,0))</f>
        <v>68484.605692799989</v>
      </c>
      <c r="AT361" s="10">
        <f>INDEX([1]ratio_ins!AQ:AQ,MATCH('001_population_health_zone_zs'!$B$2,[1]ratio_ins!$B:$B,0))*$G361*INDEX([1]ratio_ins!$D:$D,MATCH('001_population_health_zone_zs'!$B361,[1]ratio_ins!$B:$B,0))</f>
        <v>1673.62184</v>
      </c>
      <c r="AU361" s="10">
        <f>INDEX([1]ratio_ins!AR:AR,MATCH('001_population_health_zone_zs'!$B$2,[1]ratio_ins!$B:$B,0))*$G361*INDEX([1]ratio_ins!$D:$D,MATCH('001_population_health_zone_zs'!$B361,[1]ratio_ins!$B:$B,0))</f>
        <v>1004.173104</v>
      </c>
      <c r="AV361" s="10">
        <f>INDEX([1]ratio_ins!AS:AS,MATCH('001_population_health_zone_zs'!$B$2,[1]ratio_ins!$B:$B,0))*$G361*INDEX([1]ratio_ins!$D:$D,MATCH('001_population_health_zone_zs'!$B361,[1]ratio_ins!$B:$B,0))</f>
        <v>502.08655199999998</v>
      </c>
      <c r="AW361" s="10">
        <f>INDEX([1]ratio_ins!AT:AT,MATCH('001_population_health_zone_zs'!$B$2,[1]ratio_ins!$B:$B,0))*$G361*INDEX([1]ratio_ins!$D:$D,MATCH('001_population_health_zone_zs'!$B361,[1]ratio_ins!$B:$B,0))</f>
        <v>334.72436800000003</v>
      </c>
      <c r="AX361" s="13">
        <f>INDEX([1]ratio_ins!AU:AU,MATCH('001_population_health_zone_zs'!$B$2,[1]ratio_ins!$B:$B,0))*$G361*INDEX([1]ratio_ins!$D:$D,MATCH('001_population_health_zone_zs'!$B361,[1]ratio_ins!$B:$B,0))</f>
        <v>3514.6058639999997</v>
      </c>
      <c r="AY361" s="14">
        <f t="shared" si="31"/>
        <v>167362.18399999998</v>
      </c>
      <c r="AZ361" s="15">
        <f t="shared" si="32"/>
        <v>332728</v>
      </c>
      <c r="BA361" s="16">
        <v>316765.60449842148</v>
      </c>
      <c r="BB361" s="10">
        <f t="shared" si="33"/>
        <v>71128.928200000009</v>
      </c>
      <c r="BC361" s="17">
        <f t="shared" si="34"/>
        <v>0.21377500000000002</v>
      </c>
      <c r="BD361" s="10">
        <f t="shared" si="35"/>
        <v>68957.545272000003</v>
      </c>
    </row>
    <row r="362" spans="1:56" x14ac:dyDescent="0.25">
      <c r="A362" s="8" t="s">
        <v>877</v>
      </c>
      <c r="B362" s="8" t="s">
        <v>878</v>
      </c>
      <c r="C362" s="8" t="s">
        <v>879</v>
      </c>
      <c r="D362" s="8" t="s">
        <v>880</v>
      </c>
      <c r="E362" s="8" t="s">
        <v>889</v>
      </c>
      <c r="F362" s="8" t="s">
        <v>890</v>
      </c>
      <c r="G362" s="9">
        <v>296196</v>
      </c>
      <c r="H362" s="10">
        <f>INDEX([1]ratio_ins!F:F,MATCH('001_population_health_zone_zs'!$B$2,[1]ratio_ins!$B:$B,0))*$G362*INDEX([1]ratio_ins!$C:$C,MATCH('001_population_health_zone_zs'!$B362,[1]ratio_ins!$B:$B,0))</f>
        <v>30766.767108000004</v>
      </c>
      <c r="I362" s="10">
        <f>INDEX([1]ratio_ins!G:G,MATCH('001_population_health_zone_zs'!$B$2,[1]ratio_ins!$B:$B,0))*$G362*INDEX([1]ratio_ins!$C:$C,MATCH('001_population_health_zone_zs'!$B362,[1]ratio_ins!$B:$B,0))</f>
        <v>25172.809452000005</v>
      </c>
      <c r="J362" s="10">
        <f>INDEX([1]ratio_ins!H:H,MATCH('001_population_health_zone_zs'!$B$2,[1]ratio_ins!$B:$B,0))*$G362*INDEX([1]ratio_ins!$C:$C,MATCH('001_population_health_zone_zs'!$B362,[1]ratio_ins!$B:$B,0))</f>
        <v>19873.270620000003</v>
      </c>
      <c r="K362" s="10">
        <f>INDEX([1]ratio_ins!I:I,MATCH('001_population_health_zone_zs'!$B$2,[1]ratio_ins!$B:$B,0))*$G362*INDEX([1]ratio_ins!$C:$C,MATCH('001_population_health_zone_zs'!$B362,[1]ratio_ins!$B:$B,0))</f>
        <v>12218.381196000002</v>
      </c>
      <c r="L362" s="10">
        <f>INDEX([1]ratio_ins!J:J,MATCH('001_population_health_zone_zs'!$B$2,[1]ratio_ins!$B:$B,0))*$G362*INDEX([1]ratio_ins!$C:$C,MATCH('001_population_health_zone_zs'!$B362,[1]ratio_ins!$B:$B,0))</f>
        <v>7331.0287176000002</v>
      </c>
      <c r="M362" s="11">
        <f>INDEX([1]ratio_ins!K:K,MATCH('001_population_health_zone_zs'!$B$2,[1]ratio_ins!$B:$B,0))*$G362*INDEX([1]ratio_ins!$C:$C,MATCH('001_population_health_zone_zs'!$B362,[1]ratio_ins!$B:$B,0))</f>
        <v>83143.875897599995</v>
      </c>
      <c r="N362" s="10">
        <f>INDEX([1]ratio_ins!L:L,MATCH('001_population_health_zone_zs'!$B$2,[1]ratio_ins!$B:$B,0))*$G362*INDEX([1]ratio_ins!$C:$C,MATCH('001_population_health_zone_zs'!$B362,[1]ratio_ins!$B:$B,0))</f>
        <v>4887.352478400001</v>
      </c>
      <c r="O362" s="10">
        <f>INDEX([1]ratio_ins!M:M,MATCH('001_population_health_zone_zs'!$B$2,[1]ratio_ins!$B:$B,0))*$G362*INDEX([1]ratio_ins!$C:$C,MATCH('001_population_health_zone_zs'!$B362,[1]ratio_ins!$B:$B,0))</f>
        <v>10599.077664000002</v>
      </c>
      <c r="P362" s="10">
        <f>INDEX([1]ratio_ins!N:N,MATCH('001_population_health_zone_zs'!$B$2,[1]ratio_ins!$B:$B,0))*$G362*INDEX([1]ratio_ins!$C:$C,MATCH('001_population_health_zone_zs'!$B362,[1]ratio_ins!$B:$B,0))</f>
        <v>9568.6117800000011</v>
      </c>
      <c r="Q362" s="10">
        <f>INDEX([1]ratio_ins!O:O,MATCH('001_population_health_zone_zs'!$B$2,[1]ratio_ins!$B:$B,0))*$G362*INDEX([1]ratio_ins!$C:$C,MATCH('001_population_health_zone_zs'!$B362,[1]ratio_ins!$B:$B,0))</f>
        <v>8538.145896</v>
      </c>
      <c r="R362" s="10">
        <f>INDEX([1]ratio_ins!P:P,MATCH('001_population_health_zone_zs'!$B$2,[1]ratio_ins!$B:$B,0))*$G362*INDEX([1]ratio_ins!$C:$C,MATCH('001_population_health_zone_zs'!$B362,[1]ratio_ins!$B:$B,0))</f>
        <v>8390.9364840000017</v>
      </c>
      <c r="S362" s="10">
        <f>INDEX([1]ratio_ins!Q:Q,MATCH('001_population_health_zone_zs'!$B$2,[1]ratio_ins!$B:$B,0))*$G362*INDEX([1]ratio_ins!$C:$C,MATCH('001_population_health_zone_zs'!$B362,[1]ratio_ins!$B:$B,0))</f>
        <v>7066.0517760000002</v>
      </c>
      <c r="T362" s="10">
        <f>INDEX([1]ratio_ins!R:R,MATCH('001_population_health_zone_zs'!$B$2,[1]ratio_ins!$B:$B,0))*$G362*INDEX([1]ratio_ins!$C:$C,MATCH('001_population_health_zone_zs'!$B362,[1]ratio_ins!$B:$B,0))</f>
        <v>5005.1200080000008</v>
      </c>
      <c r="U362" s="10">
        <f>INDEX([1]ratio_ins!S:S,MATCH('001_population_health_zone_zs'!$B$2,[1]ratio_ins!$B:$B,0))*$G362*INDEX([1]ratio_ins!$C:$C,MATCH('001_population_health_zone_zs'!$B362,[1]ratio_ins!$B:$B,0))</f>
        <v>3974.654124000001</v>
      </c>
      <c r="V362" s="10">
        <f>INDEX([1]ratio_ins!T:T,MATCH('001_population_health_zone_zs'!$B$2,[1]ratio_ins!$B:$B,0))*$G362*INDEX([1]ratio_ins!$C:$C,MATCH('001_population_health_zone_zs'!$B362,[1]ratio_ins!$B:$B,0))</f>
        <v>2208.1411800000001</v>
      </c>
      <c r="W362" s="11">
        <f>INDEX([1]ratio_ins!U:U,MATCH('001_population_health_zone_zs'!$B$2,[1]ratio_ins!$B:$B,0))*$G362*INDEX([1]ratio_ins!$C:$C,MATCH('001_population_health_zone_zs'!$B362,[1]ratio_ins!$B:$B,0))</f>
        <v>60238.091390400004</v>
      </c>
      <c r="X362" s="10">
        <f>INDEX([1]ratio_ins!V:V,MATCH('001_population_health_zone_zs'!$B$2,[1]ratio_ins!$B:$B,0))*$G362*INDEX([1]ratio_ins!$C:$C,MATCH('001_population_health_zone_zs'!$B362,[1]ratio_ins!$B:$B,0))</f>
        <v>1766.5129440000001</v>
      </c>
      <c r="Y362" s="10">
        <f>INDEX([1]ratio_ins!W:W,MATCH('001_population_health_zone_zs'!$B$2,[1]ratio_ins!$B:$B,0))*$G362*INDEX([1]ratio_ins!$C:$C,MATCH('001_population_health_zone_zs'!$B362,[1]ratio_ins!$B:$B,0))</f>
        <v>1177.6752960000001</v>
      </c>
      <c r="Z362" s="10">
        <f>INDEX([1]ratio_ins!X:X,MATCH('001_population_health_zone_zs'!$B$2,[1]ratio_ins!$B:$B,0))*$G362*INDEX([1]ratio_ins!$C:$C,MATCH('001_population_health_zone_zs'!$B362,[1]ratio_ins!$B:$B,0))</f>
        <v>588.83764800000006</v>
      </c>
      <c r="AA362" s="10">
        <f>INDEX([1]ratio_ins!Y:Y,MATCH('001_population_health_zone_zs'!$B$2,[1]ratio_ins!$B:$B,0))*$G362*INDEX([1]ratio_ins!$C:$C,MATCH('001_population_health_zone_zs'!$B362,[1]ratio_ins!$B:$B,0))</f>
        <v>294.41882400000003</v>
      </c>
      <c r="AB362" s="11">
        <f>INDEX([1]ratio_ins!Z:Z,MATCH('001_population_health_zone_zs'!$B$2,[1]ratio_ins!$B:$B,0))*$G362*INDEX([1]ratio_ins!$C:$C,MATCH('001_population_health_zone_zs'!$B362,[1]ratio_ins!$B:$B,0))</f>
        <v>3827.4447120000004</v>
      </c>
      <c r="AC362" s="12">
        <f t="shared" si="30"/>
        <v>147209.41199999998</v>
      </c>
      <c r="AD362" s="10">
        <f>INDEX([1]ratio_ins!AA:AA,MATCH('001_population_health_zone_zs'!$B$2,[1]ratio_ins!$B:$B,0))*$G362*INDEX([1]ratio_ins!$D:$D,MATCH('001_population_health_zone_zs'!$B362,[1]ratio_ins!$B:$B,0))</f>
        <v>31287.18348</v>
      </c>
      <c r="AE362" s="10">
        <f>INDEX([1]ratio_ins!AB:AB,MATCH('001_population_health_zone_zs'!$B$2,[1]ratio_ins!$B:$B,0))*$G362*INDEX([1]ratio_ins!$D:$D,MATCH('001_population_health_zone_zs'!$B362,[1]ratio_ins!$B:$B,0))</f>
        <v>25774.679724000001</v>
      </c>
      <c r="AF362" s="10">
        <f>INDEX([1]ratio_ins!AC:AC,MATCH('001_population_health_zone_zs'!$B$2,[1]ratio_ins!$B:$B,0))*$G362*INDEX([1]ratio_ins!$D:$D,MATCH('001_population_health_zone_zs'!$B362,[1]ratio_ins!$B:$B,0))</f>
        <v>20411.162555999996</v>
      </c>
      <c r="AG362" s="10">
        <f>INDEX([1]ratio_ins!AD:AD,MATCH('001_population_health_zone_zs'!$B$2,[1]ratio_ins!$B:$B,0))*$G362*INDEX([1]ratio_ins!$D:$D,MATCH('001_population_health_zone_zs'!$B362,[1]ratio_ins!$B:$B,0))</f>
        <v>12365.886804</v>
      </c>
      <c r="AH362" s="10">
        <f>INDEX([1]ratio_ins!AE:AE,MATCH('001_population_health_zone_zs'!$B$2,[1]ratio_ins!$B:$B,0))*$G362*INDEX([1]ratio_ins!$D:$D,MATCH('001_population_health_zone_zs'!$B362,[1]ratio_ins!$B:$B,0))</f>
        <v>7419.5320824</v>
      </c>
      <c r="AI362" s="13">
        <f>INDEX([1]ratio_ins!AF:AF,MATCH('001_population_health_zone_zs'!$B$2,[1]ratio_ins!$B:$B,0))*$G362*INDEX([1]ratio_ins!$D:$D,MATCH('001_population_health_zone_zs'!$B362,[1]ratio_ins!$B:$B,0))</f>
        <v>84892.557842399998</v>
      </c>
      <c r="AJ362" s="10">
        <f>INDEX([1]ratio_ins!AG:AG,MATCH('001_population_health_zone_zs'!$B$2,[1]ratio_ins!$B:$B,0))*$G362*INDEX([1]ratio_ins!$D:$D,MATCH('001_population_health_zone_zs'!$B362,[1]ratio_ins!$B:$B,0))</f>
        <v>4946.3547216000006</v>
      </c>
      <c r="AK362" s="10">
        <f>INDEX([1]ratio_ins!AH:AH,MATCH('001_population_health_zone_zs'!$B$2,[1]ratio_ins!$B:$B,0))*$G362*INDEX([1]ratio_ins!$D:$D,MATCH('001_population_health_zone_zs'!$B362,[1]ratio_ins!$B:$B,0))</f>
        <v>11025.007512000002</v>
      </c>
      <c r="AL362" s="10">
        <f>INDEX([1]ratio_ins!AI:AI,MATCH('001_population_health_zone_zs'!$B$2,[1]ratio_ins!$B:$B,0))*$G362*INDEX([1]ratio_ins!$D:$D,MATCH('001_population_health_zone_zs'!$B362,[1]ratio_ins!$B:$B,0))</f>
        <v>10429.061160000001</v>
      </c>
      <c r="AM362" s="10">
        <f>INDEX([1]ratio_ins!AJ:AJ,MATCH('001_population_health_zone_zs'!$B$2,[1]ratio_ins!$B:$B,0))*$G362*INDEX([1]ratio_ins!$D:$D,MATCH('001_population_health_zone_zs'!$B362,[1]ratio_ins!$B:$B,0))</f>
        <v>9535.1416320000008</v>
      </c>
      <c r="AN362" s="10">
        <f>INDEX([1]ratio_ins!AK:AK,MATCH('001_population_health_zone_zs'!$B$2,[1]ratio_ins!$B:$B,0))*$G362*INDEX([1]ratio_ins!$D:$D,MATCH('001_population_health_zone_zs'!$B362,[1]ratio_ins!$B:$B,0))</f>
        <v>8939.1952799999999</v>
      </c>
      <c r="AO362" s="10">
        <f>INDEX([1]ratio_ins!AL:AL,MATCH('001_population_health_zone_zs'!$B$2,[1]ratio_ins!$B:$B,0))*$G362*INDEX([1]ratio_ins!$D:$D,MATCH('001_population_health_zone_zs'!$B362,[1]ratio_ins!$B:$B,0))</f>
        <v>6704.3964599999999</v>
      </c>
      <c r="AP362" s="10">
        <f>INDEX([1]ratio_ins!AM:AM,MATCH('001_population_health_zone_zs'!$B$2,[1]ratio_ins!$B:$B,0))*$G362*INDEX([1]ratio_ins!$D:$D,MATCH('001_population_health_zone_zs'!$B362,[1]ratio_ins!$B:$B,0))</f>
        <v>4320.6110519999993</v>
      </c>
      <c r="AQ362" s="10">
        <f>INDEX([1]ratio_ins!AN:AN,MATCH('001_population_health_zone_zs'!$B$2,[1]ratio_ins!$B:$B,0))*$G362*INDEX([1]ratio_ins!$D:$D,MATCH('001_population_health_zone_zs'!$B362,[1]ratio_ins!$B:$B,0))</f>
        <v>3426.6915239999998</v>
      </c>
      <c r="AR362" s="10">
        <f>INDEX([1]ratio_ins!AO:AO,MATCH('001_population_health_zone_zs'!$B$2,[1]ratio_ins!$B:$B,0))*$G362*INDEX([1]ratio_ins!$D:$D,MATCH('001_population_health_zone_zs'!$B362,[1]ratio_ins!$B:$B,0))</f>
        <v>1638.8524680000003</v>
      </c>
      <c r="AS362" s="13">
        <f>INDEX([1]ratio_ins!AP:AP,MATCH('001_population_health_zone_zs'!$B$2,[1]ratio_ins!$B:$B,0))*$G362*INDEX([1]ratio_ins!$D:$D,MATCH('001_population_health_zone_zs'!$B362,[1]ratio_ins!$B:$B,0))</f>
        <v>60965.311809600003</v>
      </c>
      <c r="AT362" s="10">
        <f>INDEX([1]ratio_ins!AQ:AQ,MATCH('001_population_health_zone_zs'!$B$2,[1]ratio_ins!$B:$B,0))*$G362*INDEX([1]ratio_ins!$D:$D,MATCH('001_population_health_zone_zs'!$B362,[1]ratio_ins!$B:$B,0))</f>
        <v>1489.8658800000001</v>
      </c>
      <c r="AU362" s="10">
        <f>INDEX([1]ratio_ins!AR:AR,MATCH('001_population_health_zone_zs'!$B$2,[1]ratio_ins!$B:$B,0))*$G362*INDEX([1]ratio_ins!$D:$D,MATCH('001_population_health_zone_zs'!$B362,[1]ratio_ins!$B:$B,0))</f>
        <v>893.91952800000001</v>
      </c>
      <c r="AV362" s="10">
        <f>INDEX([1]ratio_ins!AS:AS,MATCH('001_population_health_zone_zs'!$B$2,[1]ratio_ins!$B:$B,0))*$G362*INDEX([1]ratio_ins!$D:$D,MATCH('001_population_health_zone_zs'!$B362,[1]ratio_ins!$B:$B,0))</f>
        <v>446.95976400000001</v>
      </c>
      <c r="AW362" s="10">
        <f>INDEX([1]ratio_ins!AT:AT,MATCH('001_population_health_zone_zs'!$B$2,[1]ratio_ins!$B:$B,0))*$G362*INDEX([1]ratio_ins!$D:$D,MATCH('001_population_health_zone_zs'!$B362,[1]ratio_ins!$B:$B,0))</f>
        <v>297.97317600000002</v>
      </c>
      <c r="AX362" s="13">
        <f>INDEX([1]ratio_ins!AU:AU,MATCH('001_population_health_zone_zs'!$B$2,[1]ratio_ins!$B:$B,0))*$G362*INDEX([1]ratio_ins!$D:$D,MATCH('001_population_health_zone_zs'!$B362,[1]ratio_ins!$B:$B,0))</f>
        <v>3128.7183479999994</v>
      </c>
      <c r="AY362" s="14">
        <f t="shared" si="31"/>
        <v>148986.58799999999</v>
      </c>
      <c r="AZ362" s="15">
        <f t="shared" si="32"/>
        <v>296196</v>
      </c>
      <c r="BA362" s="16">
        <v>281986.91666820995</v>
      </c>
      <c r="BB362" s="10">
        <f t="shared" si="33"/>
        <v>63319.299900000005</v>
      </c>
      <c r="BC362" s="17">
        <f t="shared" si="34"/>
        <v>0.21377500000000002</v>
      </c>
      <c r="BD362" s="10">
        <f t="shared" si="35"/>
        <v>61386.324804000011</v>
      </c>
    </row>
    <row r="363" spans="1:56" x14ac:dyDescent="0.25">
      <c r="A363" s="8" t="s">
        <v>877</v>
      </c>
      <c r="B363" s="8" t="s">
        <v>878</v>
      </c>
      <c r="C363" s="8" t="s">
        <v>879</v>
      </c>
      <c r="D363" s="8" t="s">
        <v>880</v>
      </c>
      <c r="E363" s="8" t="s">
        <v>891</v>
      </c>
      <c r="F363" s="8" t="s">
        <v>892</v>
      </c>
      <c r="G363" s="9">
        <v>45448</v>
      </c>
      <c r="H363" s="10">
        <f>INDEX([1]ratio_ins!F:F,MATCH('001_population_health_zone_zs'!$B$2,[1]ratio_ins!$B:$B,0))*$G363*INDEX([1]ratio_ins!$C:$C,MATCH('001_population_health_zone_zs'!$B363,[1]ratio_ins!$B:$B,0))</f>
        <v>4720.8201040000004</v>
      </c>
      <c r="I363" s="10">
        <f>INDEX([1]ratio_ins!G:G,MATCH('001_population_health_zone_zs'!$B$2,[1]ratio_ins!$B:$B,0))*$G363*INDEX([1]ratio_ins!$C:$C,MATCH('001_population_health_zone_zs'!$B363,[1]ratio_ins!$B:$B,0))</f>
        <v>3862.4891760000005</v>
      </c>
      <c r="J363" s="10">
        <f>INDEX([1]ratio_ins!H:H,MATCH('001_population_health_zone_zs'!$B$2,[1]ratio_ins!$B:$B,0))*$G363*INDEX([1]ratio_ins!$C:$C,MATCH('001_population_health_zone_zs'!$B363,[1]ratio_ins!$B:$B,0))</f>
        <v>3049.3335600000005</v>
      </c>
      <c r="K363" s="10">
        <f>INDEX([1]ratio_ins!I:I,MATCH('001_population_health_zone_zs'!$B$2,[1]ratio_ins!$B:$B,0))*$G363*INDEX([1]ratio_ins!$C:$C,MATCH('001_population_health_zone_zs'!$B363,[1]ratio_ins!$B:$B,0))</f>
        <v>1874.7754480000003</v>
      </c>
      <c r="L363" s="10">
        <f>INDEX([1]ratio_ins!J:J,MATCH('001_population_health_zone_zs'!$B$2,[1]ratio_ins!$B:$B,0))*$G363*INDEX([1]ratio_ins!$C:$C,MATCH('001_population_health_zone_zs'!$B363,[1]ratio_ins!$B:$B,0))</f>
        <v>1124.8652688</v>
      </c>
      <c r="M363" s="11">
        <f>INDEX([1]ratio_ins!K:K,MATCH('001_population_health_zone_zs'!$B$2,[1]ratio_ins!$B:$B,0))*$G363*INDEX([1]ratio_ins!$C:$C,MATCH('001_population_health_zone_zs'!$B363,[1]ratio_ins!$B:$B,0))</f>
        <v>12757.508108800001</v>
      </c>
      <c r="N363" s="10">
        <f>INDEX([1]ratio_ins!L:L,MATCH('001_population_health_zone_zs'!$B$2,[1]ratio_ins!$B:$B,0))*$G363*INDEX([1]ratio_ins!$C:$C,MATCH('001_population_health_zone_zs'!$B363,[1]ratio_ins!$B:$B,0))</f>
        <v>749.91017920000013</v>
      </c>
      <c r="O363" s="10">
        <f>INDEX([1]ratio_ins!M:M,MATCH('001_population_health_zone_zs'!$B$2,[1]ratio_ins!$B:$B,0))*$G363*INDEX([1]ratio_ins!$C:$C,MATCH('001_population_health_zone_zs'!$B363,[1]ratio_ins!$B:$B,0))</f>
        <v>1626.3112320000002</v>
      </c>
      <c r="P363" s="10">
        <f>INDEX([1]ratio_ins!N:N,MATCH('001_population_health_zone_zs'!$B$2,[1]ratio_ins!$B:$B,0))*$G363*INDEX([1]ratio_ins!$C:$C,MATCH('001_population_health_zone_zs'!$B363,[1]ratio_ins!$B:$B,0))</f>
        <v>1468.1976400000001</v>
      </c>
      <c r="Q363" s="10">
        <f>INDEX([1]ratio_ins!O:O,MATCH('001_population_health_zone_zs'!$B$2,[1]ratio_ins!$B:$B,0))*$G363*INDEX([1]ratio_ins!$C:$C,MATCH('001_population_health_zone_zs'!$B363,[1]ratio_ins!$B:$B,0))</f>
        <v>1310.0840480000002</v>
      </c>
      <c r="R363" s="10">
        <f>INDEX([1]ratio_ins!P:P,MATCH('001_population_health_zone_zs'!$B$2,[1]ratio_ins!$B:$B,0))*$G363*INDEX([1]ratio_ins!$C:$C,MATCH('001_population_health_zone_zs'!$B363,[1]ratio_ins!$B:$B,0))</f>
        <v>1287.4963920000002</v>
      </c>
      <c r="S363" s="10">
        <f>INDEX([1]ratio_ins!Q:Q,MATCH('001_population_health_zone_zs'!$B$2,[1]ratio_ins!$B:$B,0))*$G363*INDEX([1]ratio_ins!$C:$C,MATCH('001_population_health_zone_zs'!$B363,[1]ratio_ins!$B:$B,0))</f>
        <v>1084.207488</v>
      </c>
      <c r="T363" s="10">
        <f>INDEX([1]ratio_ins!R:R,MATCH('001_population_health_zone_zs'!$B$2,[1]ratio_ins!$B:$B,0))*$G363*INDEX([1]ratio_ins!$C:$C,MATCH('001_population_health_zone_zs'!$B363,[1]ratio_ins!$B:$B,0))</f>
        <v>767.98030400000016</v>
      </c>
      <c r="U363" s="10">
        <f>INDEX([1]ratio_ins!S:S,MATCH('001_population_health_zone_zs'!$B$2,[1]ratio_ins!$B:$B,0))*$G363*INDEX([1]ratio_ins!$C:$C,MATCH('001_population_health_zone_zs'!$B363,[1]ratio_ins!$B:$B,0))</f>
        <v>609.86671200000023</v>
      </c>
      <c r="V363" s="10">
        <f>INDEX([1]ratio_ins!T:T,MATCH('001_population_health_zone_zs'!$B$2,[1]ratio_ins!$B:$B,0))*$G363*INDEX([1]ratio_ins!$C:$C,MATCH('001_population_health_zone_zs'!$B363,[1]ratio_ins!$B:$B,0))</f>
        <v>338.81484000000006</v>
      </c>
      <c r="W363" s="11">
        <f>INDEX([1]ratio_ins!U:U,MATCH('001_population_health_zone_zs'!$B$2,[1]ratio_ins!$B:$B,0))*$G363*INDEX([1]ratio_ins!$C:$C,MATCH('001_population_health_zone_zs'!$B363,[1]ratio_ins!$B:$B,0))</f>
        <v>9242.8688352000008</v>
      </c>
      <c r="X363" s="10">
        <f>INDEX([1]ratio_ins!V:V,MATCH('001_population_health_zone_zs'!$B$2,[1]ratio_ins!$B:$B,0))*$G363*INDEX([1]ratio_ins!$C:$C,MATCH('001_population_health_zone_zs'!$B363,[1]ratio_ins!$B:$B,0))</f>
        <v>271.051872</v>
      </c>
      <c r="Y363" s="10">
        <f>INDEX([1]ratio_ins!W:W,MATCH('001_population_health_zone_zs'!$B$2,[1]ratio_ins!$B:$B,0))*$G363*INDEX([1]ratio_ins!$C:$C,MATCH('001_population_health_zone_zs'!$B363,[1]ratio_ins!$B:$B,0))</f>
        <v>180.70124800000002</v>
      </c>
      <c r="Z363" s="10">
        <f>INDEX([1]ratio_ins!X:X,MATCH('001_population_health_zone_zs'!$B$2,[1]ratio_ins!$B:$B,0))*$G363*INDEX([1]ratio_ins!$C:$C,MATCH('001_population_health_zone_zs'!$B363,[1]ratio_ins!$B:$B,0))</f>
        <v>90.35062400000001</v>
      </c>
      <c r="AA363" s="10">
        <f>INDEX([1]ratio_ins!Y:Y,MATCH('001_population_health_zone_zs'!$B$2,[1]ratio_ins!$B:$B,0))*$G363*INDEX([1]ratio_ins!$C:$C,MATCH('001_population_health_zone_zs'!$B363,[1]ratio_ins!$B:$B,0))</f>
        <v>45.175312000000005</v>
      </c>
      <c r="AB363" s="11">
        <f>INDEX([1]ratio_ins!Z:Z,MATCH('001_population_health_zone_zs'!$B$2,[1]ratio_ins!$B:$B,0))*$G363*INDEX([1]ratio_ins!$C:$C,MATCH('001_population_health_zone_zs'!$B363,[1]ratio_ins!$B:$B,0))</f>
        <v>587.27905600000008</v>
      </c>
      <c r="AC363" s="12">
        <f t="shared" si="30"/>
        <v>22587.656000000003</v>
      </c>
      <c r="AD363" s="10">
        <f>INDEX([1]ratio_ins!AA:AA,MATCH('001_population_health_zone_zs'!$B$2,[1]ratio_ins!$B:$B,0))*$G363*INDEX([1]ratio_ins!$D:$D,MATCH('001_population_health_zone_zs'!$B363,[1]ratio_ins!$B:$B,0))</f>
        <v>4800.6722399999999</v>
      </c>
      <c r="AE363" s="10">
        <f>INDEX([1]ratio_ins!AB:AB,MATCH('001_population_health_zone_zs'!$B$2,[1]ratio_ins!$B:$B,0))*$G363*INDEX([1]ratio_ins!$D:$D,MATCH('001_population_health_zone_zs'!$B363,[1]ratio_ins!$B:$B,0))</f>
        <v>3954.8395120000005</v>
      </c>
      <c r="AF363" s="10">
        <f>INDEX([1]ratio_ins!AC:AC,MATCH('001_population_health_zone_zs'!$B$2,[1]ratio_ins!$B:$B,0))*$G363*INDEX([1]ratio_ins!$D:$D,MATCH('001_population_health_zone_zs'!$B363,[1]ratio_ins!$B:$B,0))</f>
        <v>3131.8671279999999</v>
      </c>
      <c r="AG363" s="10">
        <f>INDEX([1]ratio_ins!AD:AD,MATCH('001_population_health_zone_zs'!$B$2,[1]ratio_ins!$B:$B,0))*$G363*INDEX([1]ratio_ins!$D:$D,MATCH('001_population_health_zone_zs'!$B363,[1]ratio_ins!$B:$B,0))</f>
        <v>1897.4085520000001</v>
      </c>
      <c r="AH363" s="10">
        <f>INDEX([1]ratio_ins!AE:AE,MATCH('001_population_health_zone_zs'!$B$2,[1]ratio_ins!$B:$B,0))*$G363*INDEX([1]ratio_ins!$D:$D,MATCH('001_population_health_zone_zs'!$B363,[1]ratio_ins!$B:$B,0))</f>
        <v>1138.4451311999999</v>
      </c>
      <c r="AI363" s="13">
        <f>INDEX([1]ratio_ins!AF:AF,MATCH('001_population_health_zone_zs'!$B$2,[1]ratio_ins!$B:$B,0))*$G363*INDEX([1]ratio_ins!$D:$D,MATCH('001_population_health_zone_zs'!$B363,[1]ratio_ins!$B:$B,0))</f>
        <v>13025.824011199998</v>
      </c>
      <c r="AJ363" s="10">
        <f>INDEX([1]ratio_ins!AG:AG,MATCH('001_population_health_zone_zs'!$B$2,[1]ratio_ins!$B:$B,0))*$G363*INDEX([1]ratio_ins!$D:$D,MATCH('001_population_health_zone_zs'!$B363,[1]ratio_ins!$B:$B,0))</f>
        <v>758.96342080000011</v>
      </c>
      <c r="AK363" s="10">
        <f>INDEX([1]ratio_ins!AH:AH,MATCH('001_population_health_zone_zs'!$B$2,[1]ratio_ins!$B:$B,0))*$G363*INDEX([1]ratio_ins!$D:$D,MATCH('001_population_health_zone_zs'!$B363,[1]ratio_ins!$B:$B,0))</f>
        <v>1691.6654560000002</v>
      </c>
      <c r="AL363" s="10">
        <f>INDEX([1]ratio_ins!AI:AI,MATCH('001_population_health_zone_zs'!$B$2,[1]ratio_ins!$B:$B,0))*$G363*INDEX([1]ratio_ins!$D:$D,MATCH('001_population_health_zone_zs'!$B363,[1]ratio_ins!$B:$B,0))</f>
        <v>1600.2240800000002</v>
      </c>
      <c r="AM363" s="10">
        <f>INDEX([1]ratio_ins!AJ:AJ,MATCH('001_population_health_zone_zs'!$B$2,[1]ratio_ins!$B:$B,0))*$G363*INDEX([1]ratio_ins!$D:$D,MATCH('001_population_health_zone_zs'!$B363,[1]ratio_ins!$B:$B,0))</f>
        <v>1463.0620160000001</v>
      </c>
      <c r="AN363" s="10">
        <f>INDEX([1]ratio_ins!AK:AK,MATCH('001_population_health_zone_zs'!$B$2,[1]ratio_ins!$B:$B,0))*$G363*INDEX([1]ratio_ins!$D:$D,MATCH('001_population_health_zone_zs'!$B363,[1]ratio_ins!$B:$B,0))</f>
        <v>1371.6206400000001</v>
      </c>
      <c r="AO363" s="10">
        <f>INDEX([1]ratio_ins!AL:AL,MATCH('001_population_health_zone_zs'!$B$2,[1]ratio_ins!$B:$B,0))*$G363*INDEX([1]ratio_ins!$D:$D,MATCH('001_population_health_zone_zs'!$B363,[1]ratio_ins!$B:$B,0))</f>
        <v>1028.7154799999998</v>
      </c>
      <c r="AP363" s="10">
        <f>INDEX([1]ratio_ins!AM:AM,MATCH('001_population_health_zone_zs'!$B$2,[1]ratio_ins!$B:$B,0))*$G363*INDEX([1]ratio_ins!$D:$D,MATCH('001_population_health_zone_zs'!$B363,[1]ratio_ins!$B:$B,0))</f>
        <v>662.94997599999999</v>
      </c>
      <c r="AQ363" s="10">
        <f>INDEX([1]ratio_ins!AN:AN,MATCH('001_population_health_zone_zs'!$B$2,[1]ratio_ins!$B:$B,0))*$G363*INDEX([1]ratio_ins!$D:$D,MATCH('001_population_health_zone_zs'!$B363,[1]ratio_ins!$B:$B,0))</f>
        <v>525.78791200000001</v>
      </c>
      <c r="AR363" s="10">
        <f>INDEX([1]ratio_ins!AO:AO,MATCH('001_population_health_zone_zs'!$B$2,[1]ratio_ins!$B:$B,0))*$G363*INDEX([1]ratio_ins!$D:$D,MATCH('001_population_health_zone_zs'!$B363,[1]ratio_ins!$B:$B,0))</f>
        <v>251.46378400000003</v>
      </c>
      <c r="AS363" s="13">
        <f>INDEX([1]ratio_ins!AP:AP,MATCH('001_population_health_zone_zs'!$B$2,[1]ratio_ins!$B:$B,0))*$G363*INDEX([1]ratio_ins!$D:$D,MATCH('001_population_health_zone_zs'!$B363,[1]ratio_ins!$B:$B,0))</f>
        <v>9354.4527648000003</v>
      </c>
      <c r="AT363" s="10">
        <f>INDEX([1]ratio_ins!AQ:AQ,MATCH('001_population_health_zone_zs'!$B$2,[1]ratio_ins!$B:$B,0))*$G363*INDEX([1]ratio_ins!$D:$D,MATCH('001_population_health_zone_zs'!$B363,[1]ratio_ins!$B:$B,0))</f>
        <v>228.60344000000001</v>
      </c>
      <c r="AU363" s="10">
        <f>INDEX([1]ratio_ins!AR:AR,MATCH('001_population_health_zone_zs'!$B$2,[1]ratio_ins!$B:$B,0))*$G363*INDEX([1]ratio_ins!$D:$D,MATCH('001_population_health_zone_zs'!$B363,[1]ratio_ins!$B:$B,0))</f>
        <v>137.16206399999999</v>
      </c>
      <c r="AV363" s="10">
        <f>INDEX([1]ratio_ins!AS:AS,MATCH('001_population_health_zone_zs'!$B$2,[1]ratio_ins!$B:$B,0))*$G363*INDEX([1]ratio_ins!$D:$D,MATCH('001_population_health_zone_zs'!$B363,[1]ratio_ins!$B:$B,0))</f>
        <v>68.581031999999993</v>
      </c>
      <c r="AW363" s="10">
        <f>INDEX([1]ratio_ins!AT:AT,MATCH('001_population_health_zone_zs'!$B$2,[1]ratio_ins!$B:$B,0))*$G363*INDEX([1]ratio_ins!$D:$D,MATCH('001_population_health_zone_zs'!$B363,[1]ratio_ins!$B:$B,0))</f>
        <v>45.720688000000003</v>
      </c>
      <c r="AX363" s="13">
        <f>INDEX([1]ratio_ins!AU:AU,MATCH('001_population_health_zone_zs'!$B$2,[1]ratio_ins!$B:$B,0))*$G363*INDEX([1]ratio_ins!$D:$D,MATCH('001_population_health_zone_zs'!$B363,[1]ratio_ins!$B:$B,0))</f>
        <v>480.06722399999995</v>
      </c>
      <c r="AY363" s="14">
        <f t="shared" si="31"/>
        <v>22860.343999999997</v>
      </c>
      <c r="AZ363" s="15">
        <f t="shared" si="32"/>
        <v>45448</v>
      </c>
      <c r="BA363" s="16">
        <v>43267.402618498192</v>
      </c>
      <c r="BB363" s="10">
        <f t="shared" si="33"/>
        <v>9715.6461999999992</v>
      </c>
      <c r="BC363" s="17">
        <f t="shared" si="34"/>
        <v>0.21377499999999999</v>
      </c>
      <c r="BD363" s="10">
        <f t="shared" si="35"/>
        <v>9419.052552000001</v>
      </c>
    </row>
    <row r="364" spans="1:56" x14ac:dyDescent="0.25">
      <c r="A364" s="8" t="s">
        <v>877</v>
      </c>
      <c r="B364" s="8" t="s">
        <v>878</v>
      </c>
      <c r="C364" s="8" t="s">
        <v>879</v>
      </c>
      <c r="D364" s="8" t="s">
        <v>880</v>
      </c>
      <c r="E364" s="8" t="s">
        <v>879</v>
      </c>
      <c r="F364" s="8" t="s">
        <v>893</v>
      </c>
      <c r="G364" s="9">
        <v>199248</v>
      </c>
      <c r="H364" s="10">
        <f>INDEX([1]ratio_ins!F:F,MATCH('001_population_health_zone_zs'!$B$2,[1]ratio_ins!$B:$B,0))*$G364*INDEX([1]ratio_ins!$C:$C,MATCH('001_population_health_zone_zs'!$B364,[1]ratio_ins!$B:$B,0))</f>
        <v>20696.487504000001</v>
      </c>
      <c r="I364" s="10">
        <f>INDEX([1]ratio_ins!G:G,MATCH('001_population_health_zone_zs'!$B$2,[1]ratio_ins!$B:$B,0))*$G364*INDEX([1]ratio_ins!$C:$C,MATCH('001_population_health_zone_zs'!$B364,[1]ratio_ins!$B:$B,0))</f>
        <v>16933.489776000002</v>
      </c>
      <c r="J364" s="10">
        <f>INDEX([1]ratio_ins!H:H,MATCH('001_population_health_zone_zs'!$B$2,[1]ratio_ins!$B:$B,0))*$G364*INDEX([1]ratio_ins!$C:$C,MATCH('001_population_health_zone_zs'!$B364,[1]ratio_ins!$B:$B,0))</f>
        <v>13368.544560000004</v>
      </c>
      <c r="K364" s="10">
        <f>INDEX([1]ratio_ins!I:I,MATCH('001_population_health_zone_zs'!$B$2,[1]ratio_ins!$B:$B,0))*$G364*INDEX([1]ratio_ins!$C:$C,MATCH('001_population_health_zone_zs'!$B364,[1]ratio_ins!$B:$B,0))</f>
        <v>8219.1792480000022</v>
      </c>
      <c r="L364" s="10">
        <f>INDEX([1]ratio_ins!J:J,MATCH('001_population_health_zone_zs'!$B$2,[1]ratio_ins!$B:$B,0))*$G364*INDEX([1]ratio_ins!$C:$C,MATCH('001_population_health_zone_zs'!$B364,[1]ratio_ins!$B:$B,0))</f>
        <v>4931.5075488000002</v>
      </c>
      <c r="M364" s="11">
        <f>INDEX([1]ratio_ins!K:K,MATCH('001_population_health_zone_zs'!$B$2,[1]ratio_ins!$B:$B,0))*$G364*INDEX([1]ratio_ins!$C:$C,MATCH('001_population_health_zone_zs'!$B364,[1]ratio_ins!$B:$B,0))</f>
        <v>55930.029388800001</v>
      </c>
      <c r="N364" s="10">
        <f>INDEX([1]ratio_ins!L:L,MATCH('001_population_health_zone_zs'!$B$2,[1]ratio_ins!$B:$B,0))*$G364*INDEX([1]ratio_ins!$C:$C,MATCH('001_population_health_zone_zs'!$B364,[1]ratio_ins!$B:$B,0))</f>
        <v>3287.6716992000001</v>
      </c>
      <c r="O364" s="10">
        <f>INDEX([1]ratio_ins!M:M,MATCH('001_population_health_zone_zs'!$B$2,[1]ratio_ins!$B:$B,0))*$G364*INDEX([1]ratio_ins!$C:$C,MATCH('001_population_health_zone_zs'!$B364,[1]ratio_ins!$B:$B,0))</f>
        <v>7129.890432000002</v>
      </c>
      <c r="P364" s="10">
        <f>INDEX([1]ratio_ins!N:N,MATCH('001_population_health_zone_zs'!$B$2,[1]ratio_ins!$B:$B,0))*$G364*INDEX([1]ratio_ins!$C:$C,MATCH('001_population_health_zone_zs'!$B364,[1]ratio_ins!$B:$B,0))</f>
        <v>6436.7066400000012</v>
      </c>
      <c r="Q364" s="10">
        <f>INDEX([1]ratio_ins!O:O,MATCH('001_population_health_zone_zs'!$B$2,[1]ratio_ins!$B:$B,0))*$G364*INDEX([1]ratio_ins!$C:$C,MATCH('001_population_health_zone_zs'!$B364,[1]ratio_ins!$B:$B,0))</f>
        <v>5743.5228480000005</v>
      </c>
      <c r="R364" s="10">
        <f>INDEX([1]ratio_ins!P:P,MATCH('001_population_health_zone_zs'!$B$2,[1]ratio_ins!$B:$B,0))*$G364*INDEX([1]ratio_ins!$C:$C,MATCH('001_population_health_zone_zs'!$B364,[1]ratio_ins!$B:$B,0))</f>
        <v>5644.4965920000004</v>
      </c>
      <c r="S364" s="10">
        <f>INDEX([1]ratio_ins!Q:Q,MATCH('001_population_health_zone_zs'!$B$2,[1]ratio_ins!$B:$B,0))*$G364*INDEX([1]ratio_ins!$C:$C,MATCH('001_population_health_zone_zs'!$B364,[1]ratio_ins!$B:$B,0))</f>
        <v>4753.2602880000004</v>
      </c>
      <c r="T364" s="10">
        <f>INDEX([1]ratio_ins!R:R,MATCH('001_population_health_zone_zs'!$B$2,[1]ratio_ins!$B:$B,0))*$G364*INDEX([1]ratio_ins!$C:$C,MATCH('001_population_health_zone_zs'!$B364,[1]ratio_ins!$B:$B,0))</f>
        <v>3366.8927040000008</v>
      </c>
      <c r="U364" s="10">
        <f>INDEX([1]ratio_ins!S:S,MATCH('001_population_health_zone_zs'!$B$2,[1]ratio_ins!$B:$B,0))*$G364*INDEX([1]ratio_ins!$C:$C,MATCH('001_population_health_zone_zs'!$B364,[1]ratio_ins!$B:$B,0))</f>
        <v>2673.7089120000005</v>
      </c>
      <c r="V364" s="10">
        <f>INDEX([1]ratio_ins!T:T,MATCH('001_population_health_zone_zs'!$B$2,[1]ratio_ins!$B:$B,0))*$G364*INDEX([1]ratio_ins!$C:$C,MATCH('001_population_health_zone_zs'!$B364,[1]ratio_ins!$B:$B,0))</f>
        <v>1485.39384</v>
      </c>
      <c r="W364" s="11">
        <f>INDEX([1]ratio_ins!U:U,MATCH('001_population_health_zone_zs'!$B$2,[1]ratio_ins!$B:$B,0))*$G364*INDEX([1]ratio_ins!$C:$C,MATCH('001_population_health_zone_zs'!$B364,[1]ratio_ins!$B:$B,0))</f>
        <v>40521.543955200003</v>
      </c>
      <c r="X364" s="10">
        <f>INDEX([1]ratio_ins!V:V,MATCH('001_population_health_zone_zs'!$B$2,[1]ratio_ins!$B:$B,0))*$G364*INDEX([1]ratio_ins!$C:$C,MATCH('001_population_health_zone_zs'!$B364,[1]ratio_ins!$B:$B,0))</f>
        <v>1188.3150720000001</v>
      </c>
      <c r="Y364" s="10">
        <f>INDEX([1]ratio_ins!W:W,MATCH('001_population_health_zone_zs'!$B$2,[1]ratio_ins!$B:$B,0))*$G364*INDEX([1]ratio_ins!$C:$C,MATCH('001_population_health_zone_zs'!$B364,[1]ratio_ins!$B:$B,0))</f>
        <v>792.21004800000003</v>
      </c>
      <c r="Z364" s="10">
        <f>INDEX([1]ratio_ins!X:X,MATCH('001_population_health_zone_zs'!$B$2,[1]ratio_ins!$B:$B,0))*$G364*INDEX([1]ratio_ins!$C:$C,MATCH('001_population_health_zone_zs'!$B364,[1]ratio_ins!$B:$B,0))</f>
        <v>396.10502400000001</v>
      </c>
      <c r="AA364" s="10">
        <f>INDEX([1]ratio_ins!Y:Y,MATCH('001_population_health_zone_zs'!$B$2,[1]ratio_ins!$B:$B,0))*$G364*INDEX([1]ratio_ins!$C:$C,MATCH('001_population_health_zone_zs'!$B364,[1]ratio_ins!$B:$B,0))</f>
        <v>198.05251200000001</v>
      </c>
      <c r="AB364" s="11">
        <f>INDEX([1]ratio_ins!Z:Z,MATCH('001_population_health_zone_zs'!$B$2,[1]ratio_ins!$B:$B,0))*$G364*INDEX([1]ratio_ins!$C:$C,MATCH('001_population_health_zone_zs'!$B364,[1]ratio_ins!$B:$B,0))</f>
        <v>2574.6826560000004</v>
      </c>
      <c r="AC364" s="12">
        <f t="shared" si="30"/>
        <v>99026.256000000008</v>
      </c>
      <c r="AD364" s="10">
        <f>INDEX([1]ratio_ins!AA:AA,MATCH('001_population_health_zone_zs'!$B$2,[1]ratio_ins!$B:$B,0))*$G364*INDEX([1]ratio_ins!$D:$D,MATCH('001_population_health_zone_zs'!$B364,[1]ratio_ins!$B:$B,0))</f>
        <v>21046.56624</v>
      </c>
      <c r="AE364" s="10">
        <f>INDEX([1]ratio_ins!AB:AB,MATCH('001_population_health_zone_zs'!$B$2,[1]ratio_ins!$B:$B,0))*$G364*INDEX([1]ratio_ins!$D:$D,MATCH('001_population_health_zone_zs'!$B364,[1]ratio_ins!$B:$B,0))</f>
        <v>17338.361712000002</v>
      </c>
      <c r="AF364" s="10">
        <f>INDEX([1]ratio_ins!AC:AC,MATCH('001_population_health_zone_zs'!$B$2,[1]ratio_ins!$B:$B,0))*$G364*INDEX([1]ratio_ins!$D:$D,MATCH('001_population_health_zone_zs'!$B364,[1]ratio_ins!$B:$B,0))</f>
        <v>13730.378927999998</v>
      </c>
      <c r="AG364" s="10">
        <f>INDEX([1]ratio_ins!AD:AD,MATCH('001_population_health_zone_zs'!$B$2,[1]ratio_ins!$B:$B,0))*$G364*INDEX([1]ratio_ins!$D:$D,MATCH('001_population_health_zone_zs'!$B364,[1]ratio_ins!$B:$B,0))</f>
        <v>8318.4047520000022</v>
      </c>
      <c r="AH364" s="10">
        <f>INDEX([1]ratio_ins!AE:AE,MATCH('001_population_health_zone_zs'!$B$2,[1]ratio_ins!$B:$B,0))*$G364*INDEX([1]ratio_ins!$D:$D,MATCH('001_population_health_zone_zs'!$B364,[1]ratio_ins!$B:$B,0))</f>
        <v>4991.0428511999999</v>
      </c>
      <c r="AI364" s="13">
        <f>INDEX([1]ratio_ins!AF:AF,MATCH('001_population_health_zone_zs'!$B$2,[1]ratio_ins!$B:$B,0))*$G364*INDEX([1]ratio_ins!$D:$D,MATCH('001_population_health_zone_zs'!$B364,[1]ratio_ins!$B:$B,0))</f>
        <v>57106.349731199996</v>
      </c>
      <c r="AJ364" s="10">
        <f>INDEX([1]ratio_ins!AG:AG,MATCH('001_population_health_zone_zs'!$B$2,[1]ratio_ins!$B:$B,0))*$G364*INDEX([1]ratio_ins!$D:$D,MATCH('001_population_health_zone_zs'!$B364,[1]ratio_ins!$B:$B,0))</f>
        <v>3327.3619008000001</v>
      </c>
      <c r="AK364" s="10">
        <f>INDEX([1]ratio_ins!AH:AH,MATCH('001_population_health_zone_zs'!$B$2,[1]ratio_ins!$B:$B,0))*$G364*INDEX([1]ratio_ins!$D:$D,MATCH('001_population_health_zone_zs'!$B364,[1]ratio_ins!$B:$B,0))</f>
        <v>7416.4090560000013</v>
      </c>
      <c r="AL364" s="10">
        <f>INDEX([1]ratio_ins!AI:AI,MATCH('001_population_health_zone_zs'!$B$2,[1]ratio_ins!$B:$B,0))*$G364*INDEX([1]ratio_ins!$D:$D,MATCH('001_population_health_zone_zs'!$B364,[1]ratio_ins!$B:$B,0))</f>
        <v>7015.5220800000006</v>
      </c>
      <c r="AM364" s="10">
        <f>INDEX([1]ratio_ins!AJ:AJ,MATCH('001_population_health_zone_zs'!$B$2,[1]ratio_ins!$B:$B,0))*$G364*INDEX([1]ratio_ins!$D:$D,MATCH('001_population_health_zone_zs'!$B364,[1]ratio_ins!$B:$B,0))</f>
        <v>6414.1916160000001</v>
      </c>
      <c r="AN364" s="10">
        <f>INDEX([1]ratio_ins!AK:AK,MATCH('001_population_health_zone_zs'!$B$2,[1]ratio_ins!$B:$B,0))*$G364*INDEX([1]ratio_ins!$D:$D,MATCH('001_population_health_zone_zs'!$B364,[1]ratio_ins!$B:$B,0))</f>
        <v>6013.3046399999994</v>
      </c>
      <c r="AO364" s="10">
        <f>INDEX([1]ratio_ins!AL:AL,MATCH('001_population_health_zone_zs'!$B$2,[1]ratio_ins!$B:$B,0))*$G364*INDEX([1]ratio_ins!$D:$D,MATCH('001_population_health_zone_zs'!$B364,[1]ratio_ins!$B:$B,0))</f>
        <v>4509.9784799999998</v>
      </c>
      <c r="AP364" s="10">
        <f>INDEX([1]ratio_ins!AM:AM,MATCH('001_population_health_zone_zs'!$B$2,[1]ratio_ins!$B:$B,0))*$G364*INDEX([1]ratio_ins!$D:$D,MATCH('001_population_health_zone_zs'!$B364,[1]ratio_ins!$B:$B,0))</f>
        <v>2906.4305760000002</v>
      </c>
      <c r="AQ364" s="10">
        <f>INDEX([1]ratio_ins!AN:AN,MATCH('001_population_health_zone_zs'!$B$2,[1]ratio_ins!$B:$B,0))*$G364*INDEX([1]ratio_ins!$D:$D,MATCH('001_population_health_zone_zs'!$B364,[1]ratio_ins!$B:$B,0))</f>
        <v>2305.1001120000001</v>
      </c>
      <c r="AR364" s="10">
        <f>INDEX([1]ratio_ins!AO:AO,MATCH('001_population_health_zone_zs'!$B$2,[1]ratio_ins!$B:$B,0))*$G364*INDEX([1]ratio_ins!$D:$D,MATCH('001_population_health_zone_zs'!$B364,[1]ratio_ins!$B:$B,0))</f>
        <v>1102.4391840000001</v>
      </c>
      <c r="AS364" s="13">
        <f>INDEX([1]ratio_ins!AP:AP,MATCH('001_population_health_zone_zs'!$B$2,[1]ratio_ins!$B:$B,0))*$G364*INDEX([1]ratio_ins!$D:$D,MATCH('001_population_health_zone_zs'!$B364,[1]ratio_ins!$B:$B,0))</f>
        <v>41010.7376448</v>
      </c>
      <c r="AT364" s="10">
        <f>INDEX([1]ratio_ins!AQ:AQ,MATCH('001_population_health_zone_zs'!$B$2,[1]ratio_ins!$B:$B,0))*$G364*INDEX([1]ratio_ins!$D:$D,MATCH('001_population_health_zone_zs'!$B364,[1]ratio_ins!$B:$B,0))</f>
        <v>1002.21744</v>
      </c>
      <c r="AU364" s="10">
        <f>INDEX([1]ratio_ins!AR:AR,MATCH('001_population_health_zone_zs'!$B$2,[1]ratio_ins!$B:$B,0))*$G364*INDEX([1]ratio_ins!$D:$D,MATCH('001_population_health_zone_zs'!$B364,[1]ratio_ins!$B:$B,0))</f>
        <v>601.33046400000001</v>
      </c>
      <c r="AV364" s="10">
        <f>INDEX([1]ratio_ins!AS:AS,MATCH('001_population_health_zone_zs'!$B$2,[1]ratio_ins!$B:$B,0))*$G364*INDEX([1]ratio_ins!$D:$D,MATCH('001_population_health_zone_zs'!$B364,[1]ratio_ins!$B:$B,0))</f>
        <v>300.665232</v>
      </c>
      <c r="AW364" s="10">
        <f>INDEX([1]ratio_ins!AT:AT,MATCH('001_population_health_zone_zs'!$B$2,[1]ratio_ins!$B:$B,0))*$G364*INDEX([1]ratio_ins!$D:$D,MATCH('001_population_health_zone_zs'!$B364,[1]ratio_ins!$B:$B,0))</f>
        <v>200.443488</v>
      </c>
      <c r="AX364" s="13">
        <f>INDEX([1]ratio_ins!AU:AU,MATCH('001_population_health_zone_zs'!$B$2,[1]ratio_ins!$B:$B,0))*$G364*INDEX([1]ratio_ins!$D:$D,MATCH('001_population_health_zone_zs'!$B364,[1]ratio_ins!$B:$B,0))</f>
        <v>2104.6566239999997</v>
      </c>
      <c r="AY364" s="14">
        <f t="shared" si="31"/>
        <v>100221.74399999999</v>
      </c>
      <c r="AZ364" s="15">
        <f t="shared" si="32"/>
        <v>199248</v>
      </c>
      <c r="BA364" s="16">
        <v>189689.28573965721</v>
      </c>
      <c r="BB364" s="10">
        <f t="shared" si="33"/>
        <v>42594.241199999997</v>
      </c>
      <c r="BC364" s="17">
        <f t="shared" si="34"/>
        <v>0.21377499999999999</v>
      </c>
      <c r="BD364" s="10">
        <f t="shared" si="35"/>
        <v>41293.948752000004</v>
      </c>
    </row>
    <row r="365" spans="1:56" x14ac:dyDescent="0.25">
      <c r="A365" s="8" t="s">
        <v>877</v>
      </c>
      <c r="B365" s="8" t="s">
        <v>878</v>
      </c>
      <c r="C365" s="8" t="s">
        <v>879</v>
      </c>
      <c r="D365" s="8" t="s">
        <v>880</v>
      </c>
      <c r="E365" s="8" t="s">
        <v>894</v>
      </c>
      <c r="F365" s="8" t="s">
        <v>895</v>
      </c>
      <c r="G365" s="9">
        <v>334249</v>
      </c>
      <c r="H365" s="10">
        <f>INDEX([1]ratio_ins!F:F,MATCH('001_population_health_zone_zs'!$B$2,[1]ratio_ins!$B:$B,0))*$G365*INDEX([1]ratio_ins!$C:$C,MATCH('001_population_health_zone_zs'!$B365,[1]ratio_ins!$B:$B,0))</f>
        <v>34719.446377</v>
      </c>
      <c r="I365" s="10">
        <f>INDEX([1]ratio_ins!G:G,MATCH('001_population_health_zone_zs'!$B$2,[1]ratio_ins!$B:$B,0))*$G365*INDEX([1]ratio_ins!$C:$C,MATCH('001_population_health_zone_zs'!$B365,[1]ratio_ins!$B:$B,0))</f>
        <v>28406.819763000007</v>
      </c>
      <c r="J365" s="10">
        <f>INDEX([1]ratio_ins!H:H,MATCH('001_population_health_zone_zs'!$B$2,[1]ratio_ins!$B:$B,0))*$G365*INDEX([1]ratio_ins!$C:$C,MATCH('001_population_health_zone_zs'!$B365,[1]ratio_ins!$B:$B,0))</f>
        <v>22426.436655000005</v>
      </c>
      <c r="K365" s="10">
        <f>INDEX([1]ratio_ins!I:I,MATCH('001_population_health_zone_zs'!$B$2,[1]ratio_ins!$B:$B,0))*$G365*INDEX([1]ratio_ins!$C:$C,MATCH('001_population_health_zone_zs'!$B365,[1]ratio_ins!$B:$B,0))</f>
        <v>13788.105499000003</v>
      </c>
      <c r="L365" s="10">
        <f>INDEX([1]ratio_ins!J:J,MATCH('001_population_health_zone_zs'!$B$2,[1]ratio_ins!$B:$B,0))*$G365*INDEX([1]ratio_ins!$C:$C,MATCH('001_population_health_zone_zs'!$B365,[1]ratio_ins!$B:$B,0))</f>
        <v>8272.8632994000018</v>
      </c>
      <c r="M365" s="11">
        <f>INDEX([1]ratio_ins!K:K,MATCH('001_population_health_zone_zs'!$B$2,[1]ratio_ins!$B:$B,0))*$G365*INDEX([1]ratio_ins!$C:$C,MATCH('001_population_health_zone_zs'!$B365,[1]ratio_ins!$B:$B,0))</f>
        <v>93825.566094400012</v>
      </c>
      <c r="N365" s="10">
        <f>INDEX([1]ratio_ins!L:L,MATCH('001_population_health_zone_zs'!$B$2,[1]ratio_ins!$B:$B,0))*$G365*INDEX([1]ratio_ins!$C:$C,MATCH('001_population_health_zone_zs'!$B365,[1]ratio_ins!$B:$B,0))</f>
        <v>5515.2421996000012</v>
      </c>
      <c r="O365" s="10">
        <f>INDEX([1]ratio_ins!M:M,MATCH('001_population_health_zone_zs'!$B$2,[1]ratio_ins!$B:$B,0))*$G365*INDEX([1]ratio_ins!$C:$C,MATCH('001_population_health_zone_zs'!$B365,[1]ratio_ins!$B:$B,0))</f>
        <v>11960.766216000004</v>
      </c>
      <c r="P365" s="10">
        <f>INDEX([1]ratio_ins!N:N,MATCH('001_population_health_zone_zs'!$B$2,[1]ratio_ins!$B:$B,0))*$G365*INDEX([1]ratio_ins!$C:$C,MATCH('001_population_health_zone_zs'!$B365,[1]ratio_ins!$B:$B,0))</f>
        <v>10797.913945000002</v>
      </c>
      <c r="Q365" s="10">
        <f>INDEX([1]ratio_ins!O:O,MATCH('001_population_health_zone_zs'!$B$2,[1]ratio_ins!$B:$B,0))*$G365*INDEX([1]ratio_ins!$C:$C,MATCH('001_population_health_zone_zs'!$B365,[1]ratio_ins!$B:$B,0))</f>
        <v>9635.0616740000005</v>
      </c>
      <c r="R365" s="10">
        <f>INDEX([1]ratio_ins!P:P,MATCH('001_population_health_zone_zs'!$B$2,[1]ratio_ins!$B:$B,0))*$G365*INDEX([1]ratio_ins!$C:$C,MATCH('001_population_health_zone_zs'!$B365,[1]ratio_ins!$B:$B,0))</f>
        <v>9468.939921000001</v>
      </c>
      <c r="S365" s="10">
        <f>INDEX([1]ratio_ins!Q:Q,MATCH('001_population_health_zone_zs'!$B$2,[1]ratio_ins!$B:$B,0))*$G365*INDEX([1]ratio_ins!$C:$C,MATCH('001_population_health_zone_zs'!$B365,[1]ratio_ins!$B:$B,0))</f>
        <v>7973.8441440000015</v>
      </c>
      <c r="T365" s="10">
        <f>INDEX([1]ratio_ins!R:R,MATCH('001_population_health_zone_zs'!$B$2,[1]ratio_ins!$B:$B,0))*$G365*INDEX([1]ratio_ins!$C:$C,MATCH('001_population_health_zone_zs'!$B365,[1]ratio_ins!$B:$B,0))</f>
        <v>5648.1396020000011</v>
      </c>
      <c r="U365" s="10">
        <f>INDEX([1]ratio_ins!S:S,MATCH('001_population_health_zone_zs'!$B$2,[1]ratio_ins!$B:$B,0))*$G365*INDEX([1]ratio_ins!$C:$C,MATCH('001_population_health_zone_zs'!$B365,[1]ratio_ins!$B:$B,0))</f>
        <v>4485.2873310000014</v>
      </c>
      <c r="V365" s="10">
        <f>INDEX([1]ratio_ins!T:T,MATCH('001_population_health_zone_zs'!$B$2,[1]ratio_ins!$B:$B,0))*$G365*INDEX([1]ratio_ins!$C:$C,MATCH('001_population_health_zone_zs'!$B365,[1]ratio_ins!$B:$B,0))</f>
        <v>2491.8262950000003</v>
      </c>
      <c r="W365" s="11">
        <f>INDEX([1]ratio_ins!U:U,MATCH('001_population_health_zone_zs'!$B$2,[1]ratio_ins!$B:$B,0))*$G365*INDEX([1]ratio_ins!$C:$C,MATCH('001_population_health_zone_zs'!$B365,[1]ratio_ins!$B:$B,0))</f>
        <v>67977.021327600014</v>
      </c>
      <c r="X365" s="10">
        <f>INDEX([1]ratio_ins!V:V,MATCH('001_population_health_zone_zs'!$B$2,[1]ratio_ins!$B:$B,0))*$G365*INDEX([1]ratio_ins!$C:$C,MATCH('001_population_health_zone_zs'!$B365,[1]ratio_ins!$B:$B,0))</f>
        <v>1993.4610360000004</v>
      </c>
      <c r="Y365" s="10">
        <f>INDEX([1]ratio_ins!W:W,MATCH('001_population_health_zone_zs'!$B$2,[1]ratio_ins!$B:$B,0))*$G365*INDEX([1]ratio_ins!$C:$C,MATCH('001_population_health_zone_zs'!$B365,[1]ratio_ins!$B:$B,0))</f>
        <v>1328.9740240000003</v>
      </c>
      <c r="Z365" s="10">
        <f>INDEX([1]ratio_ins!X:X,MATCH('001_population_health_zone_zs'!$B$2,[1]ratio_ins!$B:$B,0))*$G365*INDEX([1]ratio_ins!$C:$C,MATCH('001_population_health_zone_zs'!$B365,[1]ratio_ins!$B:$B,0))</f>
        <v>664.48701200000016</v>
      </c>
      <c r="AA365" s="10">
        <f>INDEX([1]ratio_ins!Y:Y,MATCH('001_population_health_zone_zs'!$B$2,[1]ratio_ins!$B:$B,0))*$G365*INDEX([1]ratio_ins!$C:$C,MATCH('001_population_health_zone_zs'!$B365,[1]ratio_ins!$B:$B,0))</f>
        <v>332.24350600000008</v>
      </c>
      <c r="AB365" s="11">
        <f>INDEX([1]ratio_ins!Z:Z,MATCH('001_population_health_zone_zs'!$B$2,[1]ratio_ins!$B:$B,0))*$G365*INDEX([1]ratio_ins!$C:$C,MATCH('001_population_health_zone_zs'!$B365,[1]ratio_ins!$B:$B,0))</f>
        <v>4319.1655780000001</v>
      </c>
      <c r="AC365" s="12">
        <f t="shared" si="30"/>
        <v>166121.75300000003</v>
      </c>
      <c r="AD365" s="10">
        <f>INDEX([1]ratio_ins!AA:AA,MATCH('001_population_health_zone_zs'!$B$2,[1]ratio_ins!$B:$B,0))*$G365*INDEX([1]ratio_ins!$D:$D,MATCH('001_population_health_zone_zs'!$B365,[1]ratio_ins!$B:$B,0))</f>
        <v>35306.721869999994</v>
      </c>
      <c r="AE365" s="10">
        <f>INDEX([1]ratio_ins!AB:AB,MATCH('001_population_health_zone_zs'!$B$2,[1]ratio_ins!$B:$B,0))*$G365*INDEX([1]ratio_ins!$D:$D,MATCH('001_population_health_zone_zs'!$B365,[1]ratio_ins!$B:$B,0))</f>
        <v>29086.013731000003</v>
      </c>
      <c r="AF365" s="10">
        <f>INDEX([1]ratio_ins!AC:AC,MATCH('001_population_health_zone_zs'!$B$2,[1]ratio_ins!$B:$B,0))*$G365*INDEX([1]ratio_ins!$D:$D,MATCH('001_population_health_zone_zs'!$B365,[1]ratio_ins!$B:$B,0))</f>
        <v>23033.432838999997</v>
      </c>
      <c r="AG365" s="10">
        <f>INDEX([1]ratio_ins!AD:AD,MATCH('001_population_health_zone_zs'!$B$2,[1]ratio_ins!$B:$B,0))*$G365*INDEX([1]ratio_ins!$D:$D,MATCH('001_population_health_zone_zs'!$B365,[1]ratio_ins!$B:$B,0))</f>
        <v>13954.561501</v>
      </c>
      <c r="AH365" s="10">
        <f>INDEX([1]ratio_ins!AE:AE,MATCH('001_population_health_zone_zs'!$B$2,[1]ratio_ins!$B:$B,0))*$G365*INDEX([1]ratio_ins!$D:$D,MATCH('001_population_health_zone_zs'!$B365,[1]ratio_ins!$B:$B,0))</f>
        <v>8372.7369006000008</v>
      </c>
      <c r="AI365" s="13">
        <f>INDEX([1]ratio_ins!AF:AF,MATCH('001_population_health_zone_zs'!$B$2,[1]ratio_ins!$B:$B,0))*$G365*INDEX([1]ratio_ins!$D:$D,MATCH('001_population_health_zone_zs'!$B365,[1]ratio_ins!$B:$B,0))</f>
        <v>95798.905340600002</v>
      </c>
      <c r="AJ365" s="10">
        <f>INDEX([1]ratio_ins!AG:AG,MATCH('001_population_health_zone_zs'!$B$2,[1]ratio_ins!$B:$B,0))*$G365*INDEX([1]ratio_ins!$D:$D,MATCH('001_population_health_zone_zs'!$B365,[1]ratio_ins!$B:$B,0))</f>
        <v>5581.8246004000002</v>
      </c>
      <c r="AK365" s="10">
        <f>INDEX([1]ratio_ins!AH:AH,MATCH('001_population_health_zone_zs'!$B$2,[1]ratio_ins!$B:$B,0))*$G365*INDEX([1]ratio_ins!$D:$D,MATCH('001_population_health_zone_zs'!$B365,[1]ratio_ins!$B:$B,0))</f>
        <v>12441.416278000002</v>
      </c>
      <c r="AL365" s="10">
        <f>INDEX([1]ratio_ins!AI:AI,MATCH('001_population_health_zone_zs'!$B$2,[1]ratio_ins!$B:$B,0))*$G365*INDEX([1]ratio_ins!$D:$D,MATCH('001_population_health_zone_zs'!$B365,[1]ratio_ins!$B:$B,0))</f>
        <v>11768.907290000003</v>
      </c>
      <c r="AM365" s="10">
        <f>INDEX([1]ratio_ins!AJ:AJ,MATCH('001_population_health_zone_zs'!$B$2,[1]ratio_ins!$B:$B,0))*$G365*INDEX([1]ratio_ins!$D:$D,MATCH('001_population_health_zone_zs'!$B365,[1]ratio_ins!$B:$B,0))</f>
        <v>10760.143808000001</v>
      </c>
      <c r="AN365" s="10">
        <f>INDEX([1]ratio_ins!AK:AK,MATCH('001_population_health_zone_zs'!$B$2,[1]ratio_ins!$B:$B,0))*$G365*INDEX([1]ratio_ins!$D:$D,MATCH('001_population_health_zone_zs'!$B365,[1]ratio_ins!$B:$B,0))</f>
        <v>10087.634819999999</v>
      </c>
      <c r="AO365" s="10">
        <f>INDEX([1]ratio_ins!AL:AL,MATCH('001_population_health_zone_zs'!$B$2,[1]ratio_ins!$B:$B,0))*$G365*INDEX([1]ratio_ins!$D:$D,MATCH('001_population_health_zone_zs'!$B365,[1]ratio_ins!$B:$B,0))</f>
        <v>7565.7261150000004</v>
      </c>
      <c r="AP365" s="10">
        <f>INDEX([1]ratio_ins!AM:AM,MATCH('001_population_health_zone_zs'!$B$2,[1]ratio_ins!$B:$B,0))*$G365*INDEX([1]ratio_ins!$D:$D,MATCH('001_population_health_zone_zs'!$B365,[1]ratio_ins!$B:$B,0))</f>
        <v>4875.6901630000002</v>
      </c>
      <c r="AQ365" s="10">
        <f>INDEX([1]ratio_ins!AN:AN,MATCH('001_population_health_zone_zs'!$B$2,[1]ratio_ins!$B:$B,0))*$G365*INDEX([1]ratio_ins!$D:$D,MATCH('001_population_health_zone_zs'!$B365,[1]ratio_ins!$B:$B,0))</f>
        <v>3866.9266809999999</v>
      </c>
      <c r="AR365" s="10">
        <f>INDEX([1]ratio_ins!AO:AO,MATCH('001_population_health_zone_zs'!$B$2,[1]ratio_ins!$B:$B,0))*$G365*INDEX([1]ratio_ins!$D:$D,MATCH('001_population_health_zone_zs'!$B365,[1]ratio_ins!$B:$B,0))</f>
        <v>1849.3997170000002</v>
      </c>
      <c r="AS365" s="13">
        <f>INDEX([1]ratio_ins!AP:AP,MATCH('001_population_health_zone_zs'!$B$2,[1]ratio_ins!$B:$B,0))*$G365*INDEX([1]ratio_ins!$D:$D,MATCH('001_population_health_zone_zs'!$B365,[1]ratio_ins!$B:$B,0))</f>
        <v>68797.669472400012</v>
      </c>
      <c r="AT365" s="10">
        <f>INDEX([1]ratio_ins!AQ:AQ,MATCH('001_population_health_zone_zs'!$B$2,[1]ratio_ins!$B:$B,0))*$G365*INDEX([1]ratio_ins!$D:$D,MATCH('001_population_health_zone_zs'!$B365,[1]ratio_ins!$B:$B,0))</f>
        <v>1681.2724700000001</v>
      </c>
      <c r="AU365" s="10">
        <f>INDEX([1]ratio_ins!AR:AR,MATCH('001_population_health_zone_zs'!$B$2,[1]ratio_ins!$B:$B,0))*$G365*INDEX([1]ratio_ins!$D:$D,MATCH('001_population_health_zone_zs'!$B365,[1]ratio_ins!$B:$B,0))</f>
        <v>1008.7634820000001</v>
      </c>
      <c r="AV365" s="10">
        <f>INDEX([1]ratio_ins!AS:AS,MATCH('001_population_health_zone_zs'!$B$2,[1]ratio_ins!$B:$B,0))*$G365*INDEX([1]ratio_ins!$D:$D,MATCH('001_population_health_zone_zs'!$B365,[1]ratio_ins!$B:$B,0))</f>
        <v>504.38174100000003</v>
      </c>
      <c r="AW365" s="10">
        <f>INDEX([1]ratio_ins!AT:AT,MATCH('001_population_health_zone_zs'!$B$2,[1]ratio_ins!$B:$B,0))*$G365*INDEX([1]ratio_ins!$D:$D,MATCH('001_population_health_zone_zs'!$B365,[1]ratio_ins!$B:$B,0))</f>
        <v>336.25449400000002</v>
      </c>
      <c r="AX365" s="13">
        <f>INDEX([1]ratio_ins!AU:AU,MATCH('001_population_health_zone_zs'!$B$2,[1]ratio_ins!$B:$B,0))*$G365*INDEX([1]ratio_ins!$D:$D,MATCH('001_population_health_zone_zs'!$B365,[1]ratio_ins!$B:$B,0))</f>
        <v>3530.6721869999997</v>
      </c>
      <c r="AY365" s="14">
        <f t="shared" si="31"/>
        <v>168127.247</v>
      </c>
      <c r="AZ365" s="15">
        <f t="shared" si="32"/>
        <v>334249</v>
      </c>
      <c r="BA365" s="16">
        <v>318213.51569562749</v>
      </c>
      <c r="BB365" s="10">
        <f t="shared" si="33"/>
        <v>71454.079975000015</v>
      </c>
      <c r="BC365" s="17">
        <f t="shared" si="34"/>
        <v>0.21377500000000005</v>
      </c>
      <c r="BD365" s="10">
        <f t="shared" si="35"/>
        <v>69272.771001000001</v>
      </c>
    </row>
    <row r="366" spans="1:56" x14ac:dyDescent="0.25">
      <c r="A366" s="8" t="s">
        <v>877</v>
      </c>
      <c r="B366" s="8" t="s">
        <v>878</v>
      </c>
      <c r="C366" s="8" t="s">
        <v>879</v>
      </c>
      <c r="D366" s="8" t="s">
        <v>880</v>
      </c>
      <c r="E366" s="8" t="s">
        <v>896</v>
      </c>
      <c r="F366" s="8" t="s">
        <v>897</v>
      </c>
      <c r="G366" s="9">
        <v>461129</v>
      </c>
      <c r="H366" s="10">
        <f>INDEX([1]ratio_ins!F:F,MATCH('001_population_health_zone_zs'!$B$2,[1]ratio_ins!$B:$B,0))*$G366*INDEX([1]ratio_ins!$C:$C,MATCH('001_population_health_zone_zs'!$B366,[1]ratio_ins!$B:$B,0))</f>
        <v>47898.852617000004</v>
      </c>
      <c r="I366" s="10">
        <f>INDEX([1]ratio_ins!G:G,MATCH('001_population_health_zone_zs'!$B$2,[1]ratio_ins!$B:$B,0))*$G366*INDEX([1]ratio_ins!$C:$C,MATCH('001_population_health_zone_zs'!$B366,[1]ratio_ins!$B:$B,0))</f>
        <v>39189.970323000009</v>
      </c>
      <c r="J366" s="10">
        <f>INDEX([1]ratio_ins!H:H,MATCH('001_population_health_zone_zs'!$B$2,[1]ratio_ins!$B:$B,0))*$G366*INDEX([1]ratio_ins!$C:$C,MATCH('001_population_health_zone_zs'!$B366,[1]ratio_ins!$B:$B,0))</f>
        <v>30939.450255000003</v>
      </c>
      <c r="K366" s="10">
        <f>INDEX([1]ratio_ins!I:I,MATCH('001_population_health_zone_zs'!$B$2,[1]ratio_ins!$B:$B,0))*$G366*INDEX([1]ratio_ins!$C:$C,MATCH('001_population_health_zone_zs'!$B366,[1]ratio_ins!$B:$B,0))</f>
        <v>19022.032379000004</v>
      </c>
      <c r="L366" s="10">
        <f>INDEX([1]ratio_ins!J:J,MATCH('001_population_health_zone_zs'!$B$2,[1]ratio_ins!$B:$B,0))*$G366*INDEX([1]ratio_ins!$C:$C,MATCH('001_population_health_zone_zs'!$B366,[1]ratio_ins!$B:$B,0))</f>
        <v>11413.219427399999</v>
      </c>
      <c r="M366" s="11">
        <f>INDEX([1]ratio_ins!K:K,MATCH('001_population_health_zone_zs'!$B$2,[1]ratio_ins!$B:$B,0))*$G366*INDEX([1]ratio_ins!$C:$C,MATCH('001_population_health_zone_zs'!$B366,[1]ratio_ins!$B:$B,0))</f>
        <v>129441.49262240001</v>
      </c>
      <c r="N366" s="10">
        <f>INDEX([1]ratio_ins!L:L,MATCH('001_population_health_zone_zs'!$B$2,[1]ratio_ins!$B:$B,0))*$G366*INDEX([1]ratio_ins!$C:$C,MATCH('001_population_health_zone_zs'!$B366,[1]ratio_ins!$B:$B,0))</f>
        <v>7608.8129516000008</v>
      </c>
      <c r="O366" s="10">
        <f>INDEX([1]ratio_ins!M:M,MATCH('001_population_health_zone_zs'!$B$2,[1]ratio_ins!$B:$B,0))*$G366*INDEX([1]ratio_ins!$C:$C,MATCH('001_population_health_zone_zs'!$B366,[1]ratio_ins!$B:$B,0))</f>
        <v>16501.040136000003</v>
      </c>
      <c r="P366" s="10">
        <f>INDEX([1]ratio_ins!N:N,MATCH('001_population_health_zone_zs'!$B$2,[1]ratio_ins!$B:$B,0))*$G366*INDEX([1]ratio_ins!$C:$C,MATCH('001_population_health_zone_zs'!$B366,[1]ratio_ins!$B:$B,0))</f>
        <v>14896.772345000003</v>
      </c>
      <c r="Q366" s="10">
        <f>INDEX([1]ratio_ins!O:O,MATCH('001_population_health_zone_zs'!$B$2,[1]ratio_ins!$B:$B,0))*$G366*INDEX([1]ratio_ins!$C:$C,MATCH('001_population_health_zone_zs'!$B366,[1]ratio_ins!$B:$B,0))</f>
        <v>13292.504554000001</v>
      </c>
      <c r="R366" s="10">
        <f>INDEX([1]ratio_ins!P:P,MATCH('001_population_health_zone_zs'!$B$2,[1]ratio_ins!$B:$B,0))*$G366*INDEX([1]ratio_ins!$C:$C,MATCH('001_population_health_zone_zs'!$B366,[1]ratio_ins!$B:$B,0))</f>
        <v>13063.323441</v>
      </c>
      <c r="S366" s="10">
        <f>INDEX([1]ratio_ins!Q:Q,MATCH('001_population_health_zone_zs'!$B$2,[1]ratio_ins!$B:$B,0))*$G366*INDEX([1]ratio_ins!$C:$C,MATCH('001_population_health_zone_zs'!$B366,[1]ratio_ins!$B:$B,0))</f>
        <v>11000.693424000001</v>
      </c>
      <c r="T366" s="10">
        <f>INDEX([1]ratio_ins!R:R,MATCH('001_population_health_zone_zs'!$B$2,[1]ratio_ins!$B:$B,0))*$G366*INDEX([1]ratio_ins!$C:$C,MATCH('001_population_health_zone_zs'!$B366,[1]ratio_ins!$B:$B,0))</f>
        <v>7792.1578420000014</v>
      </c>
      <c r="U366" s="10">
        <f>INDEX([1]ratio_ins!S:S,MATCH('001_population_health_zone_zs'!$B$2,[1]ratio_ins!$B:$B,0))*$G366*INDEX([1]ratio_ins!$C:$C,MATCH('001_population_health_zone_zs'!$B366,[1]ratio_ins!$B:$B,0))</f>
        <v>6187.8900510000012</v>
      </c>
      <c r="V366" s="10">
        <f>INDEX([1]ratio_ins!T:T,MATCH('001_population_health_zone_zs'!$B$2,[1]ratio_ins!$B:$B,0))*$G366*INDEX([1]ratio_ins!$C:$C,MATCH('001_population_health_zone_zs'!$B366,[1]ratio_ins!$B:$B,0))</f>
        <v>3437.7166950000001</v>
      </c>
      <c r="W366" s="11">
        <f>INDEX([1]ratio_ins!U:U,MATCH('001_population_health_zone_zs'!$B$2,[1]ratio_ins!$B:$B,0))*$G366*INDEX([1]ratio_ins!$C:$C,MATCH('001_population_health_zone_zs'!$B366,[1]ratio_ins!$B:$B,0))</f>
        <v>93780.911439600022</v>
      </c>
      <c r="X366" s="10">
        <f>INDEX([1]ratio_ins!V:V,MATCH('001_population_health_zone_zs'!$B$2,[1]ratio_ins!$B:$B,0))*$G366*INDEX([1]ratio_ins!$C:$C,MATCH('001_population_health_zone_zs'!$B366,[1]ratio_ins!$B:$B,0))</f>
        <v>2750.1733560000002</v>
      </c>
      <c r="Y366" s="10">
        <f>INDEX([1]ratio_ins!W:W,MATCH('001_population_health_zone_zs'!$B$2,[1]ratio_ins!$B:$B,0))*$G366*INDEX([1]ratio_ins!$C:$C,MATCH('001_population_health_zone_zs'!$B366,[1]ratio_ins!$B:$B,0))</f>
        <v>1833.4489040000003</v>
      </c>
      <c r="Z366" s="10">
        <f>INDEX([1]ratio_ins!X:X,MATCH('001_population_health_zone_zs'!$B$2,[1]ratio_ins!$B:$B,0))*$G366*INDEX([1]ratio_ins!$C:$C,MATCH('001_population_health_zone_zs'!$B366,[1]ratio_ins!$B:$B,0))</f>
        <v>916.72445200000016</v>
      </c>
      <c r="AA366" s="10">
        <f>INDEX([1]ratio_ins!Y:Y,MATCH('001_population_health_zone_zs'!$B$2,[1]ratio_ins!$B:$B,0))*$G366*INDEX([1]ratio_ins!$C:$C,MATCH('001_population_health_zone_zs'!$B366,[1]ratio_ins!$B:$B,0))</f>
        <v>458.36222600000008</v>
      </c>
      <c r="AB366" s="11">
        <f>INDEX([1]ratio_ins!Z:Z,MATCH('001_population_health_zone_zs'!$B$2,[1]ratio_ins!$B:$B,0))*$G366*INDEX([1]ratio_ins!$C:$C,MATCH('001_population_health_zone_zs'!$B366,[1]ratio_ins!$B:$B,0))</f>
        <v>5958.7089380000016</v>
      </c>
      <c r="AC366" s="12">
        <f t="shared" si="30"/>
        <v>229181.11300000004</v>
      </c>
      <c r="AD366" s="10">
        <f>INDEX([1]ratio_ins!AA:AA,MATCH('001_population_health_zone_zs'!$B$2,[1]ratio_ins!$B:$B,0))*$G366*INDEX([1]ratio_ins!$D:$D,MATCH('001_population_health_zone_zs'!$B366,[1]ratio_ins!$B:$B,0))</f>
        <v>48709.056270000001</v>
      </c>
      <c r="AE366" s="10">
        <f>INDEX([1]ratio_ins!AB:AB,MATCH('001_population_health_zone_zs'!$B$2,[1]ratio_ins!$B:$B,0))*$G366*INDEX([1]ratio_ins!$D:$D,MATCH('001_population_health_zone_zs'!$B366,[1]ratio_ins!$B:$B,0))</f>
        <v>40126.984451000004</v>
      </c>
      <c r="AF366" s="10">
        <f>INDEX([1]ratio_ins!AC:AC,MATCH('001_population_health_zone_zs'!$B$2,[1]ratio_ins!$B:$B,0))*$G366*INDEX([1]ratio_ins!$D:$D,MATCH('001_population_health_zone_zs'!$B366,[1]ratio_ins!$B:$B,0))</f>
        <v>31776.860518999998</v>
      </c>
      <c r="AG366" s="10">
        <f>INDEX([1]ratio_ins!AD:AD,MATCH('001_population_health_zone_zs'!$B$2,[1]ratio_ins!$B:$B,0))*$G366*INDEX([1]ratio_ins!$D:$D,MATCH('001_population_health_zone_zs'!$B366,[1]ratio_ins!$B:$B,0))</f>
        <v>19251.674621000002</v>
      </c>
      <c r="AH366" s="10">
        <f>INDEX([1]ratio_ins!AE:AE,MATCH('001_population_health_zone_zs'!$B$2,[1]ratio_ins!$B:$B,0))*$G366*INDEX([1]ratio_ins!$D:$D,MATCH('001_population_health_zone_zs'!$B366,[1]ratio_ins!$B:$B,0))</f>
        <v>11551.004772599999</v>
      </c>
      <c r="AI366" s="13">
        <f>INDEX([1]ratio_ins!AF:AF,MATCH('001_population_health_zone_zs'!$B$2,[1]ratio_ins!$B:$B,0))*$G366*INDEX([1]ratio_ins!$D:$D,MATCH('001_population_health_zone_zs'!$B366,[1]ratio_ins!$B:$B,0))</f>
        <v>132163.9060126</v>
      </c>
      <c r="AJ366" s="10">
        <f>INDEX([1]ratio_ins!AG:AG,MATCH('001_population_health_zone_zs'!$B$2,[1]ratio_ins!$B:$B,0))*$G366*INDEX([1]ratio_ins!$D:$D,MATCH('001_population_health_zone_zs'!$B366,[1]ratio_ins!$B:$B,0))</f>
        <v>7700.6698483999999</v>
      </c>
      <c r="AK366" s="10">
        <f>INDEX([1]ratio_ins!AH:AH,MATCH('001_population_health_zone_zs'!$B$2,[1]ratio_ins!$B:$B,0))*$G366*INDEX([1]ratio_ins!$D:$D,MATCH('001_population_health_zone_zs'!$B366,[1]ratio_ins!$B:$B,0))</f>
        <v>17164.143638000001</v>
      </c>
      <c r="AL366" s="10">
        <f>INDEX([1]ratio_ins!AI:AI,MATCH('001_population_health_zone_zs'!$B$2,[1]ratio_ins!$B:$B,0))*$G366*INDEX([1]ratio_ins!$D:$D,MATCH('001_population_health_zone_zs'!$B366,[1]ratio_ins!$B:$B,0))</f>
        <v>16236.352090000002</v>
      </c>
      <c r="AM366" s="10">
        <f>INDEX([1]ratio_ins!AJ:AJ,MATCH('001_population_health_zone_zs'!$B$2,[1]ratio_ins!$B:$B,0))*$G366*INDEX([1]ratio_ins!$D:$D,MATCH('001_population_health_zone_zs'!$B366,[1]ratio_ins!$B:$B,0))</f>
        <v>14844.664768000001</v>
      </c>
      <c r="AN366" s="10">
        <f>INDEX([1]ratio_ins!AK:AK,MATCH('001_population_health_zone_zs'!$B$2,[1]ratio_ins!$B:$B,0))*$G366*INDEX([1]ratio_ins!$D:$D,MATCH('001_population_health_zone_zs'!$B366,[1]ratio_ins!$B:$B,0))</f>
        <v>13916.873219999999</v>
      </c>
      <c r="AO366" s="10">
        <f>INDEX([1]ratio_ins!AL:AL,MATCH('001_population_health_zone_zs'!$B$2,[1]ratio_ins!$B:$B,0))*$G366*INDEX([1]ratio_ins!$D:$D,MATCH('001_population_health_zone_zs'!$B366,[1]ratio_ins!$B:$B,0))</f>
        <v>10437.654915000001</v>
      </c>
      <c r="AP366" s="10">
        <f>INDEX([1]ratio_ins!AM:AM,MATCH('001_population_health_zone_zs'!$B$2,[1]ratio_ins!$B:$B,0))*$G366*INDEX([1]ratio_ins!$D:$D,MATCH('001_population_health_zone_zs'!$B366,[1]ratio_ins!$B:$B,0))</f>
        <v>6726.4887230000004</v>
      </c>
      <c r="AQ366" s="10">
        <f>INDEX([1]ratio_ins!AN:AN,MATCH('001_population_health_zone_zs'!$B$2,[1]ratio_ins!$B:$B,0))*$G366*INDEX([1]ratio_ins!$D:$D,MATCH('001_population_health_zone_zs'!$B366,[1]ratio_ins!$B:$B,0))</f>
        <v>5334.8014010000006</v>
      </c>
      <c r="AR366" s="10">
        <f>INDEX([1]ratio_ins!AO:AO,MATCH('001_population_health_zone_zs'!$B$2,[1]ratio_ins!$B:$B,0))*$G366*INDEX([1]ratio_ins!$D:$D,MATCH('001_population_health_zone_zs'!$B366,[1]ratio_ins!$B:$B,0))</f>
        <v>2551.4267570000002</v>
      </c>
      <c r="AS366" s="13">
        <f>INDEX([1]ratio_ins!AP:AP,MATCH('001_population_health_zone_zs'!$B$2,[1]ratio_ins!$B:$B,0))*$G366*INDEX([1]ratio_ins!$D:$D,MATCH('001_population_health_zone_zs'!$B366,[1]ratio_ins!$B:$B,0))</f>
        <v>94913.075360400006</v>
      </c>
      <c r="AT366" s="10">
        <f>INDEX([1]ratio_ins!AQ:AQ,MATCH('001_population_health_zone_zs'!$B$2,[1]ratio_ins!$B:$B,0))*$G366*INDEX([1]ratio_ins!$D:$D,MATCH('001_population_health_zone_zs'!$B366,[1]ratio_ins!$B:$B,0))</f>
        <v>2319.4788699999999</v>
      </c>
      <c r="AU366" s="10">
        <f>INDEX([1]ratio_ins!AR:AR,MATCH('001_population_health_zone_zs'!$B$2,[1]ratio_ins!$B:$B,0))*$G366*INDEX([1]ratio_ins!$D:$D,MATCH('001_population_health_zone_zs'!$B366,[1]ratio_ins!$B:$B,0))</f>
        <v>1391.687322</v>
      </c>
      <c r="AV366" s="10">
        <f>INDEX([1]ratio_ins!AS:AS,MATCH('001_population_health_zone_zs'!$B$2,[1]ratio_ins!$B:$B,0))*$G366*INDEX([1]ratio_ins!$D:$D,MATCH('001_population_health_zone_zs'!$B366,[1]ratio_ins!$B:$B,0))</f>
        <v>695.843661</v>
      </c>
      <c r="AW366" s="10">
        <f>INDEX([1]ratio_ins!AT:AT,MATCH('001_population_health_zone_zs'!$B$2,[1]ratio_ins!$B:$B,0))*$G366*INDEX([1]ratio_ins!$D:$D,MATCH('001_population_health_zone_zs'!$B366,[1]ratio_ins!$B:$B,0))</f>
        <v>463.89577400000002</v>
      </c>
      <c r="AX366" s="13">
        <f>INDEX([1]ratio_ins!AU:AU,MATCH('001_population_health_zone_zs'!$B$2,[1]ratio_ins!$B:$B,0))*$G366*INDEX([1]ratio_ins!$D:$D,MATCH('001_population_health_zone_zs'!$B366,[1]ratio_ins!$B:$B,0))</f>
        <v>4870.9056269999992</v>
      </c>
      <c r="AY366" s="14">
        <f t="shared" si="31"/>
        <v>231947.88700000002</v>
      </c>
      <c r="AZ366" s="15">
        <f t="shared" si="32"/>
        <v>461129.00000000006</v>
      </c>
      <c r="BA366" s="16">
        <v>439007.27125004289</v>
      </c>
      <c r="BB366" s="10">
        <f t="shared" si="33"/>
        <v>98577.851974999998</v>
      </c>
      <c r="BC366" s="17">
        <f t="shared" si="34"/>
        <v>0.21377499999999999</v>
      </c>
      <c r="BD366" s="10">
        <f t="shared" si="35"/>
        <v>95568.524121000009</v>
      </c>
    </row>
    <row r="367" spans="1:56" x14ac:dyDescent="0.25">
      <c r="A367" s="8" t="s">
        <v>877</v>
      </c>
      <c r="B367" s="8" t="s">
        <v>878</v>
      </c>
      <c r="C367" s="8" t="s">
        <v>879</v>
      </c>
      <c r="D367" s="8" t="s">
        <v>880</v>
      </c>
      <c r="E367" s="8" t="s">
        <v>898</v>
      </c>
      <c r="F367" s="8" t="s">
        <v>899</v>
      </c>
      <c r="G367" s="9">
        <v>270960</v>
      </c>
      <c r="H367" s="10">
        <f>INDEX([1]ratio_ins!F:F,MATCH('001_population_health_zone_zs'!$B$2,[1]ratio_ins!$B:$B,0))*$G367*INDEX([1]ratio_ins!$C:$C,MATCH('001_population_health_zone_zs'!$B367,[1]ratio_ins!$B:$B,0))</f>
        <v>28145.428080000002</v>
      </c>
      <c r="I367" s="10">
        <f>INDEX([1]ratio_ins!G:G,MATCH('001_population_health_zone_zs'!$B$2,[1]ratio_ins!$B:$B,0))*$G367*INDEX([1]ratio_ins!$C:$C,MATCH('001_population_health_zone_zs'!$B367,[1]ratio_ins!$B:$B,0))</f>
        <v>23028.077520000003</v>
      </c>
      <c r="J367" s="10">
        <f>INDEX([1]ratio_ins!H:H,MATCH('001_population_health_zone_zs'!$B$2,[1]ratio_ins!$B:$B,0))*$G367*INDEX([1]ratio_ins!$C:$C,MATCH('001_population_health_zone_zs'!$B367,[1]ratio_ins!$B:$B,0))</f>
        <v>18180.061200000004</v>
      </c>
      <c r="K367" s="10">
        <f>INDEX([1]ratio_ins!I:I,MATCH('001_population_health_zone_zs'!$B$2,[1]ratio_ins!$B:$B,0))*$G367*INDEX([1]ratio_ins!$C:$C,MATCH('001_population_health_zone_zs'!$B367,[1]ratio_ins!$B:$B,0))</f>
        <v>11177.370960000002</v>
      </c>
      <c r="L367" s="10">
        <f>INDEX([1]ratio_ins!J:J,MATCH('001_population_health_zone_zs'!$B$2,[1]ratio_ins!$B:$B,0))*$G367*INDEX([1]ratio_ins!$C:$C,MATCH('001_population_health_zone_zs'!$B367,[1]ratio_ins!$B:$B,0))</f>
        <v>6706.4225759999999</v>
      </c>
      <c r="M367" s="11">
        <f>INDEX([1]ratio_ins!K:K,MATCH('001_population_health_zone_zs'!$B$2,[1]ratio_ins!$B:$B,0))*$G367*INDEX([1]ratio_ins!$C:$C,MATCH('001_population_health_zone_zs'!$B367,[1]ratio_ins!$B:$B,0))</f>
        <v>76059.989375999998</v>
      </c>
      <c r="N367" s="10">
        <f>INDEX([1]ratio_ins!L:L,MATCH('001_population_health_zone_zs'!$B$2,[1]ratio_ins!$B:$B,0))*$G367*INDEX([1]ratio_ins!$C:$C,MATCH('001_population_health_zone_zs'!$B367,[1]ratio_ins!$B:$B,0))</f>
        <v>4470.9483840000003</v>
      </c>
      <c r="O367" s="10">
        <f>INDEX([1]ratio_ins!M:M,MATCH('001_population_health_zone_zs'!$B$2,[1]ratio_ins!$B:$B,0))*$G367*INDEX([1]ratio_ins!$C:$C,MATCH('001_population_health_zone_zs'!$B367,[1]ratio_ins!$B:$B,0))</f>
        <v>9696.0326400000031</v>
      </c>
      <c r="P367" s="10">
        <f>INDEX([1]ratio_ins!N:N,MATCH('001_population_health_zone_zs'!$B$2,[1]ratio_ins!$B:$B,0))*$G367*INDEX([1]ratio_ins!$C:$C,MATCH('001_population_health_zone_zs'!$B367,[1]ratio_ins!$B:$B,0))</f>
        <v>8753.3628000000008</v>
      </c>
      <c r="Q367" s="10">
        <f>INDEX([1]ratio_ins!O:O,MATCH('001_population_health_zone_zs'!$B$2,[1]ratio_ins!$B:$B,0))*$G367*INDEX([1]ratio_ins!$C:$C,MATCH('001_population_health_zone_zs'!$B367,[1]ratio_ins!$B:$B,0))</f>
        <v>7810.6929600000003</v>
      </c>
      <c r="R367" s="10">
        <f>INDEX([1]ratio_ins!P:P,MATCH('001_population_health_zone_zs'!$B$2,[1]ratio_ins!$B:$B,0))*$G367*INDEX([1]ratio_ins!$C:$C,MATCH('001_population_health_zone_zs'!$B367,[1]ratio_ins!$B:$B,0))</f>
        <v>7676.0258400000012</v>
      </c>
      <c r="S367" s="10">
        <f>INDEX([1]ratio_ins!Q:Q,MATCH('001_population_health_zone_zs'!$B$2,[1]ratio_ins!$B:$B,0))*$G367*INDEX([1]ratio_ins!$C:$C,MATCH('001_population_health_zone_zs'!$B367,[1]ratio_ins!$B:$B,0))</f>
        <v>6464.0217600000005</v>
      </c>
      <c r="T367" s="10">
        <f>INDEX([1]ratio_ins!R:R,MATCH('001_population_health_zone_zs'!$B$2,[1]ratio_ins!$B:$B,0))*$G367*INDEX([1]ratio_ins!$C:$C,MATCH('001_population_health_zone_zs'!$B367,[1]ratio_ins!$B:$B,0))</f>
        <v>4578.6820800000014</v>
      </c>
      <c r="U367" s="10">
        <f>INDEX([1]ratio_ins!S:S,MATCH('001_population_health_zone_zs'!$B$2,[1]ratio_ins!$B:$B,0))*$G367*INDEX([1]ratio_ins!$C:$C,MATCH('001_population_health_zone_zs'!$B367,[1]ratio_ins!$B:$B,0))</f>
        <v>3636.0122400000009</v>
      </c>
      <c r="V367" s="10">
        <f>INDEX([1]ratio_ins!T:T,MATCH('001_population_health_zone_zs'!$B$2,[1]ratio_ins!$B:$B,0))*$G367*INDEX([1]ratio_ins!$C:$C,MATCH('001_population_health_zone_zs'!$B367,[1]ratio_ins!$B:$B,0))</f>
        <v>2020.0068000000001</v>
      </c>
      <c r="W367" s="11">
        <f>INDEX([1]ratio_ins!U:U,MATCH('001_population_health_zone_zs'!$B$2,[1]ratio_ins!$B:$B,0))*$G367*INDEX([1]ratio_ins!$C:$C,MATCH('001_population_health_zone_zs'!$B367,[1]ratio_ins!$B:$B,0))</f>
        <v>55105.785504000014</v>
      </c>
      <c r="X367" s="10">
        <f>INDEX([1]ratio_ins!V:V,MATCH('001_population_health_zone_zs'!$B$2,[1]ratio_ins!$B:$B,0))*$G367*INDEX([1]ratio_ins!$C:$C,MATCH('001_population_health_zone_zs'!$B367,[1]ratio_ins!$B:$B,0))</f>
        <v>1616.0054400000001</v>
      </c>
      <c r="Y367" s="10">
        <f>INDEX([1]ratio_ins!W:W,MATCH('001_population_health_zone_zs'!$B$2,[1]ratio_ins!$B:$B,0))*$G367*INDEX([1]ratio_ins!$C:$C,MATCH('001_population_health_zone_zs'!$B367,[1]ratio_ins!$B:$B,0))</f>
        <v>1077.3369600000001</v>
      </c>
      <c r="Z367" s="10">
        <f>INDEX([1]ratio_ins!X:X,MATCH('001_population_health_zone_zs'!$B$2,[1]ratio_ins!$B:$B,0))*$G367*INDEX([1]ratio_ins!$C:$C,MATCH('001_population_health_zone_zs'!$B367,[1]ratio_ins!$B:$B,0))</f>
        <v>538.66848000000005</v>
      </c>
      <c r="AA367" s="10">
        <f>INDEX([1]ratio_ins!Y:Y,MATCH('001_population_health_zone_zs'!$B$2,[1]ratio_ins!$B:$B,0))*$G367*INDEX([1]ratio_ins!$C:$C,MATCH('001_population_health_zone_zs'!$B367,[1]ratio_ins!$B:$B,0))</f>
        <v>269.33424000000002</v>
      </c>
      <c r="AB367" s="11">
        <f>INDEX([1]ratio_ins!Z:Z,MATCH('001_population_health_zone_zs'!$B$2,[1]ratio_ins!$B:$B,0))*$G367*INDEX([1]ratio_ins!$C:$C,MATCH('001_population_health_zone_zs'!$B367,[1]ratio_ins!$B:$B,0))</f>
        <v>3501.3451200000009</v>
      </c>
      <c r="AC367" s="12">
        <f t="shared" si="30"/>
        <v>134667.12000000002</v>
      </c>
      <c r="AD367" s="10">
        <f>INDEX([1]ratio_ins!AA:AA,MATCH('001_population_health_zone_zs'!$B$2,[1]ratio_ins!$B:$B,0))*$G367*INDEX([1]ratio_ins!$D:$D,MATCH('001_population_health_zone_zs'!$B367,[1]ratio_ins!$B:$B,0))</f>
        <v>28621.504799999999</v>
      </c>
      <c r="AE367" s="10">
        <f>INDEX([1]ratio_ins!AB:AB,MATCH('001_population_health_zone_zs'!$B$2,[1]ratio_ins!$B:$B,0))*$G367*INDEX([1]ratio_ins!$D:$D,MATCH('001_population_health_zone_zs'!$B367,[1]ratio_ins!$B:$B,0))</f>
        <v>23578.668240000003</v>
      </c>
      <c r="AF367" s="10">
        <f>INDEX([1]ratio_ins!AC:AC,MATCH('001_population_health_zone_zs'!$B$2,[1]ratio_ins!$B:$B,0))*$G367*INDEX([1]ratio_ins!$D:$D,MATCH('001_population_health_zone_zs'!$B367,[1]ratio_ins!$B:$B,0))</f>
        <v>18672.12456</v>
      </c>
      <c r="AG367" s="10">
        <f>INDEX([1]ratio_ins!AD:AD,MATCH('001_population_health_zone_zs'!$B$2,[1]ratio_ins!$B:$B,0))*$G367*INDEX([1]ratio_ins!$D:$D,MATCH('001_population_health_zone_zs'!$B367,[1]ratio_ins!$B:$B,0))</f>
        <v>11312.30904</v>
      </c>
      <c r="AH367" s="10">
        <f>INDEX([1]ratio_ins!AE:AE,MATCH('001_population_health_zone_zs'!$B$2,[1]ratio_ins!$B:$B,0))*$G367*INDEX([1]ratio_ins!$D:$D,MATCH('001_population_health_zone_zs'!$B367,[1]ratio_ins!$B:$B,0))</f>
        <v>6787.3854239999991</v>
      </c>
      <c r="AI367" s="13">
        <f>INDEX([1]ratio_ins!AF:AF,MATCH('001_population_health_zone_zs'!$B$2,[1]ratio_ins!$B:$B,0))*$G367*INDEX([1]ratio_ins!$D:$D,MATCH('001_population_health_zone_zs'!$B367,[1]ratio_ins!$B:$B,0))</f>
        <v>77659.683023999998</v>
      </c>
      <c r="AJ367" s="10">
        <f>INDEX([1]ratio_ins!AG:AG,MATCH('001_population_health_zone_zs'!$B$2,[1]ratio_ins!$B:$B,0))*$G367*INDEX([1]ratio_ins!$D:$D,MATCH('001_population_health_zone_zs'!$B367,[1]ratio_ins!$B:$B,0))</f>
        <v>4524.923616</v>
      </c>
      <c r="AK367" s="10">
        <f>INDEX([1]ratio_ins!AH:AH,MATCH('001_population_health_zone_zs'!$B$2,[1]ratio_ins!$B:$B,0))*$G367*INDEX([1]ratio_ins!$D:$D,MATCH('001_population_health_zone_zs'!$B367,[1]ratio_ins!$B:$B,0))</f>
        <v>10085.673120000003</v>
      </c>
      <c r="AL367" s="10">
        <f>INDEX([1]ratio_ins!AI:AI,MATCH('001_population_health_zone_zs'!$B$2,[1]ratio_ins!$B:$B,0))*$G367*INDEX([1]ratio_ins!$D:$D,MATCH('001_population_health_zone_zs'!$B367,[1]ratio_ins!$B:$B,0))</f>
        <v>9540.5015999999996</v>
      </c>
      <c r="AM367" s="10">
        <f>INDEX([1]ratio_ins!AJ:AJ,MATCH('001_population_health_zone_zs'!$B$2,[1]ratio_ins!$B:$B,0))*$G367*INDEX([1]ratio_ins!$D:$D,MATCH('001_population_health_zone_zs'!$B367,[1]ratio_ins!$B:$B,0))</f>
        <v>8722.7443199999998</v>
      </c>
      <c r="AN367" s="10">
        <f>INDEX([1]ratio_ins!AK:AK,MATCH('001_population_health_zone_zs'!$B$2,[1]ratio_ins!$B:$B,0))*$G367*INDEX([1]ratio_ins!$D:$D,MATCH('001_population_health_zone_zs'!$B367,[1]ratio_ins!$B:$B,0))</f>
        <v>8177.572799999999</v>
      </c>
      <c r="AO367" s="10">
        <f>INDEX([1]ratio_ins!AL:AL,MATCH('001_population_health_zone_zs'!$B$2,[1]ratio_ins!$B:$B,0))*$G367*INDEX([1]ratio_ins!$D:$D,MATCH('001_population_health_zone_zs'!$B367,[1]ratio_ins!$B:$B,0))</f>
        <v>6133.1795999999995</v>
      </c>
      <c r="AP367" s="10">
        <f>INDEX([1]ratio_ins!AM:AM,MATCH('001_population_health_zone_zs'!$B$2,[1]ratio_ins!$B:$B,0))*$G367*INDEX([1]ratio_ins!$D:$D,MATCH('001_population_health_zone_zs'!$B367,[1]ratio_ins!$B:$B,0))</f>
        <v>3952.4935199999995</v>
      </c>
      <c r="AQ367" s="10">
        <f>INDEX([1]ratio_ins!AN:AN,MATCH('001_population_health_zone_zs'!$B$2,[1]ratio_ins!$B:$B,0))*$G367*INDEX([1]ratio_ins!$D:$D,MATCH('001_population_health_zone_zs'!$B367,[1]ratio_ins!$B:$B,0))</f>
        <v>3134.7362400000002</v>
      </c>
      <c r="AR367" s="10">
        <f>INDEX([1]ratio_ins!AO:AO,MATCH('001_population_health_zone_zs'!$B$2,[1]ratio_ins!$B:$B,0))*$G367*INDEX([1]ratio_ins!$D:$D,MATCH('001_population_health_zone_zs'!$B367,[1]ratio_ins!$B:$B,0))</f>
        <v>1499.2216800000001</v>
      </c>
      <c r="AS367" s="13">
        <f>INDEX([1]ratio_ins!AP:AP,MATCH('001_population_health_zone_zs'!$B$2,[1]ratio_ins!$B:$B,0))*$G367*INDEX([1]ratio_ins!$D:$D,MATCH('001_population_health_zone_zs'!$B367,[1]ratio_ins!$B:$B,0))</f>
        <v>55771.046496000003</v>
      </c>
      <c r="AT367" s="10">
        <f>INDEX([1]ratio_ins!AQ:AQ,MATCH('001_population_health_zone_zs'!$B$2,[1]ratio_ins!$B:$B,0))*$G367*INDEX([1]ratio_ins!$D:$D,MATCH('001_population_health_zone_zs'!$B367,[1]ratio_ins!$B:$B,0))</f>
        <v>1362.9287999999999</v>
      </c>
      <c r="AU367" s="10">
        <f>INDEX([1]ratio_ins!AR:AR,MATCH('001_population_health_zone_zs'!$B$2,[1]ratio_ins!$B:$B,0))*$G367*INDEX([1]ratio_ins!$D:$D,MATCH('001_population_health_zone_zs'!$B367,[1]ratio_ins!$B:$B,0))</f>
        <v>817.75728000000004</v>
      </c>
      <c r="AV367" s="10">
        <f>INDEX([1]ratio_ins!AS:AS,MATCH('001_population_health_zone_zs'!$B$2,[1]ratio_ins!$B:$B,0))*$G367*INDEX([1]ratio_ins!$D:$D,MATCH('001_population_health_zone_zs'!$B367,[1]ratio_ins!$B:$B,0))</f>
        <v>408.87864000000002</v>
      </c>
      <c r="AW367" s="10">
        <f>INDEX([1]ratio_ins!AT:AT,MATCH('001_population_health_zone_zs'!$B$2,[1]ratio_ins!$B:$B,0))*$G367*INDEX([1]ratio_ins!$D:$D,MATCH('001_population_health_zone_zs'!$B367,[1]ratio_ins!$B:$B,0))</f>
        <v>272.58575999999999</v>
      </c>
      <c r="AX367" s="13">
        <f>INDEX([1]ratio_ins!AU:AU,MATCH('001_population_health_zone_zs'!$B$2,[1]ratio_ins!$B:$B,0))*$G367*INDEX([1]ratio_ins!$D:$D,MATCH('001_population_health_zone_zs'!$B367,[1]ratio_ins!$B:$B,0))</f>
        <v>2862.1504799999998</v>
      </c>
      <c r="AY367" s="14">
        <f t="shared" si="31"/>
        <v>136292.88</v>
      </c>
      <c r="AZ367" s="15">
        <f t="shared" si="32"/>
        <v>270960</v>
      </c>
      <c r="BA367" s="16">
        <v>257960.73340475807</v>
      </c>
      <c r="BB367" s="10">
        <f t="shared" si="33"/>
        <v>57924.473999999995</v>
      </c>
      <c r="BC367" s="17">
        <f t="shared" si="34"/>
        <v>0.21377499999999999</v>
      </c>
      <c r="BD367" s="10">
        <f t="shared" si="35"/>
        <v>56156.189040000012</v>
      </c>
    </row>
    <row r="368" spans="1:56" x14ac:dyDescent="0.25">
      <c r="A368" s="8" t="s">
        <v>877</v>
      </c>
      <c r="B368" s="8" t="s">
        <v>878</v>
      </c>
      <c r="C368" s="8" t="s">
        <v>879</v>
      </c>
      <c r="D368" s="8" t="s">
        <v>880</v>
      </c>
      <c r="E368" s="8" t="s">
        <v>900</v>
      </c>
      <c r="F368" s="8" t="s">
        <v>901</v>
      </c>
      <c r="G368" s="9">
        <v>174594</v>
      </c>
      <c r="H368" s="10">
        <f>INDEX([1]ratio_ins!F:F,MATCH('001_population_health_zone_zs'!$B$2,[1]ratio_ins!$B:$B,0))*$G368*INDEX([1]ratio_ins!$C:$C,MATCH('001_population_health_zone_zs'!$B368,[1]ratio_ins!$B:$B,0))</f>
        <v>18135.602562000004</v>
      </c>
      <c r="I368" s="10">
        <f>INDEX([1]ratio_ins!G:G,MATCH('001_population_health_zone_zs'!$B$2,[1]ratio_ins!$B:$B,0))*$G368*INDEX([1]ratio_ins!$C:$C,MATCH('001_population_health_zone_zs'!$B368,[1]ratio_ins!$B:$B,0))</f>
        <v>14838.220278000003</v>
      </c>
      <c r="J368" s="10">
        <f>INDEX([1]ratio_ins!H:H,MATCH('001_population_health_zone_zs'!$B$2,[1]ratio_ins!$B:$B,0))*$G368*INDEX([1]ratio_ins!$C:$C,MATCH('001_population_health_zone_zs'!$B368,[1]ratio_ins!$B:$B,0))</f>
        <v>11714.384430000002</v>
      </c>
      <c r="K368" s="10">
        <f>INDEX([1]ratio_ins!I:I,MATCH('001_population_health_zone_zs'!$B$2,[1]ratio_ins!$B:$B,0))*$G368*INDEX([1]ratio_ins!$C:$C,MATCH('001_population_health_zone_zs'!$B368,[1]ratio_ins!$B:$B,0))</f>
        <v>7202.1770940000015</v>
      </c>
      <c r="L368" s="10">
        <f>INDEX([1]ratio_ins!J:J,MATCH('001_population_health_zone_zs'!$B$2,[1]ratio_ins!$B:$B,0))*$G368*INDEX([1]ratio_ins!$C:$C,MATCH('001_population_health_zone_zs'!$B368,[1]ratio_ins!$B:$B,0))</f>
        <v>4321.3062564000002</v>
      </c>
      <c r="M368" s="11">
        <f>INDEX([1]ratio_ins!K:K,MATCH('001_population_health_zone_zs'!$B$2,[1]ratio_ins!$B:$B,0))*$G368*INDEX([1]ratio_ins!$C:$C,MATCH('001_population_health_zone_zs'!$B368,[1]ratio_ins!$B:$B,0))</f>
        <v>49009.513526400006</v>
      </c>
      <c r="N368" s="10">
        <f>INDEX([1]ratio_ins!L:L,MATCH('001_population_health_zone_zs'!$B$2,[1]ratio_ins!$B:$B,0))*$G368*INDEX([1]ratio_ins!$C:$C,MATCH('001_population_health_zone_zs'!$B368,[1]ratio_ins!$B:$B,0))</f>
        <v>2880.8708376000004</v>
      </c>
      <c r="O368" s="10">
        <f>INDEX([1]ratio_ins!M:M,MATCH('001_population_health_zone_zs'!$B$2,[1]ratio_ins!$B:$B,0))*$G368*INDEX([1]ratio_ins!$C:$C,MATCH('001_population_health_zone_zs'!$B368,[1]ratio_ins!$B:$B,0))</f>
        <v>6247.6716960000012</v>
      </c>
      <c r="P368" s="10">
        <f>INDEX([1]ratio_ins!N:N,MATCH('001_population_health_zone_zs'!$B$2,[1]ratio_ins!$B:$B,0))*$G368*INDEX([1]ratio_ins!$C:$C,MATCH('001_population_health_zone_zs'!$B368,[1]ratio_ins!$B:$B,0))</f>
        <v>5640.2591700000012</v>
      </c>
      <c r="Q368" s="10">
        <f>INDEX([1]ratio_ins!O:O,MATCH('001_population_health_zone_zs'!$B$2,[1]ratio_ins!$B:$B,0))*$G368*INDEX([1]ratio_ins!$C:$C,MATCH('001_population_health_zone_zs'!$B368,[1]ratio_ins!$B:$B,0))</f>
        <v>5032.8466440000002</v>
      </c>
      <c r="R368" s="10">
        <f>INDEX([1]ratio_ins!P:P,MATCH('001_population_health_zone_zs'!$B$2,[1]ratio_ins!$B:$B,0))*$G368*INDEX([1]ratio_ins!$C:$C,MATCH('001_population_health_zone_zs'!$B368,[1]ratio_ins!$B:$B,0))</f>
        <v>4946.0734260000008</v>
      </c>
      <c r="S368" s="10">
        <f>INDEX([1]ratio_ins!Q:Q,MATCH('001_population_health_zone_zs'!$B$2,[1]ratio_ins!$B:$B,0))*$G368*INDEX([1]ratio_ins!$C:$C,MATCH('001_population_health_zone_zs'!$B368,[1]ratio_ins!$B:$B,0))</f>
        <v>4165.1144640000011</v>
      </c>
      <c r="T368" s="10">
        <f>INDEX([1]ratio_ins!R:R,MATCH('001_population_health_zone_zs'!$B$2,[1]ratio_ins!$B:$B,0))*$G368*INDEX([1]ratio_ins!$C:$C,MATCH('001_population_health_zone_zs'!$B368,[1]ratio_ins!$B:$B,0))</f>
        <v>2950.2894120000005</v>
      </c>
      <c r="U368" s="10">
        <f>INDEX([1]ratio_ins!S:S,MATCH('001_population_health_zone_zs'!$B$2,[1]ratio_ins!$B:$B,0))*$G368*INDEX([1]ratio_ins!$C:$C,MATCH('001_population_health_zone_zs'!$B368,[1]ratio_ins!$B:$B,0))</f>
        <v>2342.8768860000005</v>
      </c>
      <c r="V368" s="10">
        <f>INDEX([1]ratio_ins!T:T,MATCH('001_population_health_zone_zs'!$B$2,[1]ratio_ins!$B:$B,0))*$G368*INDEX([1]ratio_ins!$C:$C,MATCH('001_population_health_zone_zs'!$B368,[1]ratio_ins!$B:$B,0))</f>
        <v>1301.59827</v>
      </c>
      <c r="W368" s="11">
        <f>INDEX([1]ratio_ins!U:U,MATCH('001_population_health_zone_zs'!$B$2,[1]ratio_ins!$B:$B,0))*$G368*INDEX([1]ratio_ins!$C:$C,MATCH('001_population_health_zone_zs'!$B368,[1]ratio_ins!$B:$B,0))</f>
        <v>35507.600805599999</v>
      </c>
      <c r="X368" s="10">
        <f>INDEX([1]ratio_ins!V:V,MATCH('001_population_health_zone_zs'!$B$2,[1]ratio_ins!$B:$B,0))*$G368*INDEX([1]ratio_ins!$C:$C,MATCH('001_population_health_zone_zs'!$B368,[1]ratio_ins!$B:$B,0))</f>
        <v>1041.2786160000003</v>
      </c>
      <c r="Y368" s="10">
        <f>INDEX([1]ratio_ins!W:W,MATCH('001_population_health_zone_zs'!$B$2,[1]ratio_ins!$B:$B,0))*$G368*INDEX([1]ratio_ins!$C:$C,MATCH('001_population_health_zone_zs'!$B368,[1]ratio_ins!$B:$B,0))</f>
        <v>694.185744</v>
      </c>
      <c r="Z368" s="10">
        <f>INDEX([1]ratio_ins!X:X,MATCH('001_population_health_zone_zs'!$B$2,[1]ratio_ins!$B:$B,0))*$G368*INDEX([1]ratio_ins!$C:$C,MATCH('001_population_health_zone_zs'!$B368,[1]ratio_ins!$B:$B,0))</f>
        <v>347.092872</v>
      </c>
      <c r="AA368" s="10">
        <f>INDEX([1]ratio_ins!Y:Y,MATCH('001_population_health_zone_zs'!$B$2,[1]ratio_ins!$B:$B,0))*$G368*INDEX([1]ratio_ins!$C:$C,MATCH('001_population_health_zone_zs'!$B368,[1]ratio_ins!$B:$B,0))</f>
        <v>173.546436</v>
      </c>
      <c r="AB368" s="11">
        <f>INDEX([1]ratio_ins!Z:Z,MATCH('001_population_health_zone_zs'!$B$2,[1]ratio_ins!$B:$B,0))*$G368*INDEX([1]ratio_ins!$C:$C,MATCH('001_population_health_zone_zs'!$B368,[1]ratio_ins!$B:$B,0))</f>
        <v>2256.1036680000007</v>
      </c>
      <c r="AC368" s="12">
        <f t="shared" si="30"/>
        <v>86773.217999999993</v>
      </c>
      <c r="AD368" s="10">
        <f>INDEX([1]ratio_ins!AA:AA,MATCH('001_population_health_zone_zs'!$B$2,[1]ratio_ins!$B:$B,0))*$G368*INDEX([1]ratio_ins!$D:$D,MATCH('001_population_health_zone_zs'!$B368,[1]ratio_ins!$B:$B,0))</f>
        <v>18442.364219999999</v>
      </c>
      <c r="AE368" s="10">
        <f>INDEX([1]ratio_ins!AB:AB,MATCH('001_population_health_zone_zs'!$B$2,[1]ratio_ins!$B:$B,0))*$G368*INDEX([1]ratio_ins!$D:$D,MATCH('001_population_health_zone_zs'!$B368,[1]ratio_ins!$B:$B,0))</f>
        <v>15192.995286000001</v>
      </c>
      <c r="AF368" s="10">
        <f>INDEX([1]ratio_ins!AC:AC,MATCH('001_population_health_zone_zs'!$B$2,[1]ratio_ins!$B:$B,0))*$G368*INDEX([1]ratio_ins!$D:$D,MATCH('001_population_health_zone_zs'!$B368,[1]ratio_ins!$B:$B,0))</f>
        <v>12031.447133999998</v>
      </c>
      <c r="AG368" s="10">
        <f>INDEX([1]ratio_ins!AD:AD,MATCH('001_population_health_zone_zs'!$B$2,[1]ratio_ins!$B:$B,0))*$G368*INDEX([1]ratio_ins!$D:$D,MATCH('001_population_health_zone_zs'!$B368,[1]ratio_ins!$B:$B,0))</f>
        <v>7289.1249060000009</v>
      </c>
      <c r="AH368" s="10">
        <f>INDEX([1]ratio_ins!AE:AE,MATCH('001_population_health_zone_zs'!$B$2,[1]ratio_ins!$B:$B,0))*$G368*INDEX([1]ratio_ins!$D:$D,MATCH('001_population_health_zone_zs'!$B368,[1]ratio_ins!$B:$B,0))</f>
        <v>4373.4749436000002</v>
      </c>
      <c r="AI368" s="13">
        <f>INDEX([1]ratio_ins!AF:AF,MATCH('001_population_health_zone_zs'!$B$2,[1]ratio_ins!$B:$B,0))*$G368*INDEX([1]ratio_ins!$D:$D,MATCH('001_population_health_zone_zs'!$B368,[1]ratio_ins!$B:$B,0))</f>
        <v>50040.281583600001</v>
      </c>
      <c r="AJ368" s="10">
        <f>INDEX([1]ratio_ins!AG:AG,MATCH('001_population_health_zone_zs'!$B$2,[1]ratio_ins!$B:$B,0))*$G368*INDEX([1]ratio_ins!$D:$D,MATCH('001_population_health_zone_zs'!$B368,[1]ratio_ins!$B:$B,0))</f>
        <v>2915.6499624000003</v>
      </c>
      <c r="AK368" s="10">
        <f>INDEX([1]ratio_ins!AH:AH,MATCH('001_population_health_zone_zs'!$B$2,[1]ratio_ins!$B:$B,0))*$G368*INDEX([1]ratio_ins!$D:$D,MATCH('001_population_health_zone_zs'!$B368,[1]ratio_ins!$B:$B,0))</f>
        <v>6498.7378680000011</v>
      </c>
      <c r="AL368" s="10">
        <f>INDEX([1]ratio_ins!AI:AI,MATCH('001_population_health_zone_zs'!$B$2,[1]ratio_ins!$B:$B,0))*$G368*INDEX([1]ratio_ins!$D:$D,MATCH('001_population_health_zone_zs'!$B368,[1]ratio_ins!$B:$B,0))</f>
        <v>6147.454740000001</v>
      </c>
      <c r="AM368" s="10">
        <f>INDEX([1]ratio_ins!AJ:AJ,MATCH('001_population_health_zone_zs'!$B$2,[1]ratio_ins!$B:$B,0))*$G368*INDEX([1]ratio_ins!$D:$D,MATCH('001_population_health_zone_zs'!$B368,[1]ratio_ins!$B:$B,0))</f>
        <v>5620.5300479999996</v>
      </c>
      <c r="AN368" s="10">
        <f>INDEX([1]ratio_ins!AK:AK,MATCH('001_population_health_zone_zs'!$B$2,[1]ratio_ins!$B:$B,0))*$G368*INDEX([1]ratio_ins!$D:$D,MATCH('001_population_health_zone_zs'!$B368,[1]ratio_ins!$B:$B,0))</f>
        <v>5269.2469199999996</v>
      </c>
      <c r="AO368" s="10">
        <f>INDEX([1]ratio_ins!AL:AL,MATCH('001_population_health_zone_zs'!$B$2,[1]ratio_ins!$B:$B,0))*$G368*INDEX([1]ratio_ins!$D:$D,MATCH('001_population_health_zone_zs'!$B368,[1]ratio_ins!$B:$B,0))</f>
        <v>3951.9351899999997</v>
      </c>
      <c r="AP368" s="10">
        <f>INDEX([1]ratio_ins!AM:AM,MATCH('001_population_health_zone_zs'!$B$2,[1]ratio_ins!$B:$B,0))*$G368*INDEX([1]ratio_ins!$D:$D,MATCH('001_population_health_zone_zs'!$B368,[1]ratio_ins!$B:$B,0))</f>
        <v>2546.802678</v>
      </c>
      <c r="AQ368" s="10">
        <f>INDEX([1]ratio_ins!AN:AN,MATCH('001_population_health_zone_zs'!$B$2,[1]ratio_ins!$B:$B,0))*$G368*INDEX([1]ratio_ins!$D:$D,MATCH('001_population_health_zone_zs'!$B368,[1]ratio_ins!$B:$B,0))</f>
        <v>2019.877986</v>
      </c>
      <c r="AR368" s="10">
        <f>INDEX([1]ratio_ins!AO:AO,MATCH('001_population_health_zone_zs'!$B$2,[1]ratio_ins!$B:$B,0))*$G368*INDEX([1]ratio_ins!$D:$D,MATCH('001_population_health_zone_zs'!$B368,[1]ratio_ins!$B:$B,0))</f>
        <v>966.02860200000009</v>
      </c>
      <c r="AS368" s="13">
        <f>INDEX([1]ratio_ins!AP:AP,MATCH('001_population_health_zone_zs'!$B$2,[1]ratio_ins!$B:$B,0))*$G368*INDEX([1]ratio_ins!$D:$D,MATCH('001_population_health_zone_zs'!$B368,[1]ratio_ins!$B:$B,0))</f>
        <v>35936.263994399997</v>
      </c>
      <c r="AT368" s="10">
        <f>INDEX([1]ratio_ins!AQ:AQ,MATCH('001_population_health_zone_zs'!$B$2,[1]ratio_ins!$B:$B,0))*$G368*INDEX([1]ratio_ins!$D:$D,MATCH('001_population_health_zone_zs'!$B368,[1]ratio_ins!$B:$B,0))</f>
        <v>878.20782000000008</v>
      </c>
      <c r="AU368" s="10">
        <f>INDEX([1]ratio_ins!AR:AR,MATCH('001_population_health_zone_zs'!$B$2,[1]ratio_ins!$B:$B,0))*$G368*INDEX([1]ratio_ins!$D:$D,MATCH('001_population_health_zone_zs'!$B368,[1]ratio_ins!$B:$B,0))</f>
        <v>526.92469200000005</v>
      </c>
      <c r="AV368" s="10">
        <f>INDEX([1]ratio_ins!AS:AS,MATCH('001_population_health_zone_zs'!$B$2,[1]ratio_ins!$B:$B,0))*$G368*INDEX([1]ratio_ins!$D:$D,MATCH('001_population_health_zone_zs'!$B368,[1]ratio_ins!$B:$B,0))</f>
        <v>263.46234600000003</v>
      </c>
      <c r="AW368" s="10">
        <f>INDEX([1]ratio_ins!AT:AT,MATCH('001_population_health_zone_zs'!$B$2,[1]ratio_ins!$B:$B,0))*$G368*INDEX([1]ratio_ins!$D:$D,MATCH('001_population_health_zone_zs'!$B368,[1]ratio_ins!$B:$B,0))</f>
        <v>175.64156399999999</v>
      </c>
      <c r="AX368" s="13">
        <f>INDEX([1]ratio_ins!AU:AU,MATCH('001_population_health_zone_zs'!$B$2,[1]ratio_ins!$B:$B,0))*$G368*INDEX([1]ratio_ins!$D:$D,MATCH('001_population_health_zone_zs'!$B368,[1]ratio_ins!$B:$B,0))</f>
        <v>1844.2364219999999</v>
      </c>
      <c r="AY368" s="14">
        <f t="shared" si="31"/>
        <v>87820.781999999992</v>
      </c>
      <c r="AZ368" s="15">
        <f t="shared" si="32"/>
        <v>174594</v>
      </c>
      <c r="BA368" s="16">
        <v>166218.61542008875</v>
      </c>
      <c r="BB368" s="10">
        <f t="shared" si="33"/>
        <v>37323.832349999997</v>
      </c>
      <c r="BC368" s="17">
        <f t="shared" si="34"/>
        <v>0.21377499999999999</v>
      </c>
      <c r="BD368" s="10">
        <f t="shared" si="35"/>
        <v>36184.431905999998</v>
      </c>
    </row>
    <row r="369" spans="1:56" x14ac:dyDescent="0.25">
      <c r="A369" s="8" t="s">
        <v>877</v>
      </c>
      <c r="B369" s="8" t="s">
        <v>878</v>
      </c>
      <c r="C369" s="8" t="s">
        <v>902</v>
      </c>
      <c r="D369" s="8" t="s">
        <v>903</v>
      </c>
      <c r="E369" s="8" t="s">
        <v>904</v>
      </c>
      <c r="F369" s="8" t="s">
        <v>905</v>
      </c>
      <c r="G369" s="9">
        <v>121517</v>
      </c>
      <c r="H369" s="10">
        <f>INDEX([1]ratio_ins!F:F,MATCH('001_population_health_zone_zs'!$B$2,[1]ratio_ins!$B:$B,0))*$G369*INDEX([1]ratio_ins!$C:$C,MATCH('001_population_health_zone_zs'!$B369,[1]ratio_ins!$B:$B,0))</f>
        <v>12622.335341000002</v>
      </c>
      <c r="I369" s="10">
        <f>INDEX([1]ratio_ins!G:G,MATCH('001_population_health_zone_zs'!$B$2,[1]ratio_ins!$B:$B,0))*$G369*INDEX([1]ratio_ins!$C:$C,MATCH('001_population_health_zone_zs'!$B369,[1]ratio_ins!$B:$B,0))</f>
        <v>10327.365279000003</v>
      </c>
      <c r="J369" s="10">
        <f>INDEX([1]ratio_ins!H:H,MATCH('001_population_health_zone_zs'!$B$2,[1]ratio_ins!$B:$B,0))*$G369*INDEX([1]ratio_ins!$C:$C,MATCH('001_population_health_zone_zs'!$B369,[1]ratio_ins!$B:$B,0))</f>
        <v>8153.1831150000016</v>
      </c>
      <c r="K369" s="10">
        <f>INDEX([1]ratio_ins!I:I,MATCH('001_population_health_zone_zs'!$B$2,[1]ratio_ins!$B:$B,0))*$G369*INDEX([1]ratio_ins!$C:$C,MATCH('001_population_health_zone_zs'!$B369,[1]ratio_ins!$B:$B,0))</f>
        <v>5012.6977670000006</v>
      </c>
      <c r="L369" s="10">
        <f>INDEX([1]ratio_ins!J:J,MATCH('001_population_health_zone_zs'!$B$2,[1]ratio_ins!$B:$B,0))*$G369*INDEX([1]ratio_ins!$C:$C,MATCH('001_population_health_zone_zs'!$B369,[1]ratio_ins!$B:$B,0))</f>
        <v>3007.6186602000002</v>
      </c>
      <c r="M369" s="11">
        <f>INDEX([1]ratio_ins!K:K,MATCH('001_population_health_zone_zs'!$B$2,[1]ratio_ins!$B:$B,0))*$G369*INDEX([1]ratio_ins!$C:$C,MATCH('001_population_health_zone_zs'!$B369,[1]ratio_ins!$B:$B,0))</f>
        <v>34110.502395199997</v>
      </c>
      <c r="N369" s="10">
        <f>INDEX([1]ratio_ins!L:L,MATCH('001_population_health_zone_zs'!$B$2,[1]ratio_ins!$B:$B,0))*$G369*INDEX([1]ratio_ins!$C:$C,MATCH('001_population_health_zone_zs'!$B369,[1]ratio_ins!$B:$B,0))</f>
        <v>2005.0791068000001</v>
      </c>
      <c r="O369" s="10">
        <f>INDEX([1]ratio_ins!M:M,MATCH('001_population_health_zone_zs'!$B$2,[1]ratio_ins!$B:$B,0))*$G369*INDEX([1]ratio_ins!$C:$C,MATCH('001_population_health_zone_zs'!$B369,[1]ratio_ins!$B:$B,0))</f>
        <v>4348.3643280000006</v>
      </c>
      <c r="P369" s="10">
        <f>INDEX([1]ratio_ins!N:N,MATCH('001_population_health_zone_zs'!$B$2,[1]ratio_ins!$B:$B,0))*$G369*INDEX([1]ratio_ins!$C:$C,MATCH('001_population_health_zone_zs'!$B369,[1]ratio_ins!$B:$B,0))</f>
        <v>3925.6066850000007</v>
      </c>
      <c r="Q369" s="10">
        <f>INDEX([1]ratio_ins!O:O,MATCH('001_population_health_zone_zs'!$B$2,[1]ratio_ins!$B:$B,0))*$G369*INDEX([1]ratio_ins!$C:$C,MATCH('001_population_health_zone_zs'!$B369,[1]ratio_ins!$B:$B,0))</f>
        <v>3502.8490420000003</v>
      </c>
      <c r="R369" s="10">
        <f>INDEX([1]ratio_ins!P:P,MATCH('001_population_health_zone_zs'!$B$2,[1]ratio_ins!$B:$B,0))*$G369*INDEX([1]ratio_ins!$C:$C,MATCH('001_population_health_zone_zs'!$B369,[1]ratio_ins!$B:$B,0))</f>
        <v>3442.4550930000005</v>
      </c>
      <c r="S369" s="10">
        <f>INDEX([1]ratio_ins!Q:Q,MATCH('001_population_health_zone_zs'!$B$2,[1]ratio_ins!$B:$B,0))*$G369*INDEX([1]ratio_ins!$C:$C,MATCH('001_population_health_zone_zs'!$B369,[1]ratio_ins!$B:$B,0))</f>
        <v>2898.9095520000001</v>
      </c>
      <c r="T369" s="10">
        <f>INDEX([1]ratio_ins!R:R,MATCH('001_population_health_zone_zs'!$B$2,[1]ratio_ins!$B:$B,0))*$G369*INDEX([1]ratio_ins!$C:$C,MATCH('001_population_health_zone_zs'!$B369,[1]ratio_ins!$B:$B,0))</f>
        <v>2053.3942660000002</v>
      </c>
      <c r="U369" s="10">
        <f>INDEX([1]ratio_ins!S:S,MATCH('001_population_health_zone_zs'!$B$2,[1]ratio_ins!$B:$B,0))*$G369*INDEX([1]ratio_ins!$C:$C,MATCH('001_population_health_zone_zs'!$B369,[1]ratio_ins!$B:$B,0))</f>
        <v>1630.6366230000003</v>
      </c>
      <c r="V369" s="10">
        <f>INDEX([1]ratio_ins!T:T,MATCH('001_population_health_zone_zs'!$B$2,[1]ratio_ins!$B:$B,0))*$G369*INDEX([1]ratio_ins!$C:$C,MATCH('001_population_health_zone_zs'!$B369,[1]ratio_ins!$B:$B,0))</f>
        <v>905.90923500000008</v>
      </c>
      <c r="W369" s="11">
        <f>INDEX([1]ratio_ins!U:U,MATCH('001_population_health_zone_zs'!$B$2,[1]ratio_ins!$B:$B,0))*$G369*INDEX([1]ratio_ins!$C:$C,MATCH('001_population_health_zone_zs'!$B369,[1]ratio_ins!$B:$B,0))</f>
        <v>24713.203930800002</v>
      </c>
      <c r="X369" s="10">
        <f>INDEX([1]ratio_ins!V:V,MATCH('001_population_health_zone_zs'!$B$2,[1]ratio_ins!$B:$B,0))*$G369*INDEX([1]ratio_ins!$C:$C,MATCH('001_population_health_zone_zs'!$B369,[1]ratio_ins!$B:$B,0))</f>
        <v>724.72738800000002</v>
      </c>
      <c r="Y369" s="10">
        <f>INDEX([1]ratio_ins!W:W,MATCH('001_population_health_zone_zs'!$B$2,[1]ratio_ins!$B:$B,0))*$G369*INDEX([1]ratio_ins!$C:$C,MATCH('001_population_health_zone_zs'!$B369,[1]ratio_ins!$B:$B,0))</f>
        <v>483.15159200000005</v>
      </c>
      <c r="Z369" s="10">
        <f>INDEX([1]ratio_ins!X:X,MATCH('001_population_health_zone_zs'!$B$2,[1]ratio_ins!$B:$B,0))*$G369*INDEX([1]ratio_ins!$C:$C,MATCH('001_population_health_zone_zs'!$B369,[1]ratio_ins!$B:$B,0))</f>
        <v>241.57579600000003</v>
      </c>
      <c r="AA369" s="10">
        <f>INDEX([1]ratio_ins!Y:Y,MATCH('001_population_health_zone_zs'!$B$2,[1]ratio_ins!$B:$B,0))*$G369*INDEX([1]ratio_ins!$C:$C,MATCH('001_population_health_zone_zs'!$B369,[1]ratio_ins!$B:$B,0))</f>
        <v>120.78789800000001</v>
      </c>
      <c r="AB369" s="11">
        <f>INDEX([1]ratio_ins!Z:Z,MATCH('001_population_health_zone_zs'!$B$2,[1]ratio_ins!$B:$B,0))*$G369*INDEX([1]ratio_ins!$C:$C,MATCH('001_population_health_zone_zs'!$B369,[1]ratio_ins!$B:$B,0))</f>
        <v>1570.2426740000003</v>
      </c>
      <c r="AC369" s="12">
        <f t="shared" si="30"/>
        <v>60393.949000000001</v>
      </c>
      <c r="AD369" s="10">
        <f>INDEX([1]ratio_ins!AA:AA,MATCH('001_population_health_zone_zs'!$B$2,[1]ratio_ins!$B:$B,0))*$G369*INDEX([1]ratio_ins!$D:$D,MATCH('001_population_health_zone_zs'!$B369,[1]ratio_ins!$B:$B,0))</f>
        <v>12835.84071</v>
      </c>
      <c r="AE369" s="10">
        <f>INDEX([1]ratio_ins!AB:AB,MATCH('001_population_health_zone_zs'!$B$2,[1]ratio_ins!$B:$B,0))*$G369*INDEX([1]ratio_ins!$D:$D,MATCH('001_population_health_zone_zs'!$B369,[1]ratio_ins!$B:$B,0))</f>
        <v>10574.287823000001</v>
      </c>
      <c r="AF369" s="10">
        <f>INDEX([1]ratio_ins!AC:AC,MATCH('001_population_health_zone_zs'!$B$2,[1]ratio_ins!$B:$B,0))*$G369*INDEX([1]ratio_ins!$D:$D,MATCH('001_population_health_zone_zs'!$B369,[1]ratio_ins!$B:$B,0))</f>
        <v>8373.8579869999994</v>
      </c>
      <c r="AG369" s="10">
        <f>INDEX([1]ratio_ins!AD:AD,MATCH('001_population_health_zone_zs'!$B$2,[1]ratio_ins!$B:$B,0))*$G369*INDEX([1]ratio_ins!$D:$D,MATCH('001_population_health_zone_zs'!$B369,[1]ratio_ins!$B:$B,0))</f>
        <v>5073.2132330000004</v>
      </c>
      <c r="AH369" s="10">
        <f>INDEX([1]ratio_ins!AE:AE,MATCH('001_population_health_zone_zs'!$B$2,[1]ratio_ins!$B:$B,0))*$G369*INDEX([1]ratio_ins!$D:$D,MATCH('001_population_health_zone_zs'!$B369,[1]ratio_ins!$B:$B,0))</f>
        <v>3043.9279397999999</v>
      </c>
      <c r="AI369" s="13">
        <f>INDEX([1]ratio_ins!AF:AF,MATCH('001_population_health_zone_zs'!$B$2,[1]ratio_ins!$B:$B,0))*$G369*INDEX([1]ratio_ins!$D:$D,MATCH('001_population_health_zone_zs'!$B369,[1]ratio_ins!$B:$B,0))</f>
        <v>34827.914459799998</v>
      </c>
      <c r="AJ369" s="10">
        <f>INDEX([1]ratio_ins!AG:AG,MATCH('001_population_health_zone_zs'!$B$2,[1]ratio_ins!$B:$B,0))*$G369*INDEX([1]ratio_ins!$D:$D,MATCH('001_population_health_zone_zs'!$B369,[1]ratio_ins!$B:$B,0))</f>
        <v>2029.2852932000001</v>
      </c>
      <c r="AK369" s="10">
        <f>INDEX([1]ratio_ins!AH:AH,MATCH('001_population_health_zone_zs'!$B$2,[1]ratio_ins!$B:$B,0))*$G369*INDEX([1]ratio_ins!$D:$D,MATCH('001_population_health_zone_zs'!$B369,[1]ratio_ins!$B:$B,0))</f>
        <v>4523.1057740000006</v>
      </c>
      <c r="AL369" s="10">
        <f>INDEX([1]ratio_ins!AI:AI,MATCH('001_population_health_zone_zs'!$B$2,[1]ratio_ins!$B:$B,0))*$G369*INDEX([1]ratio_ins!$D:$D,MATCH('001_population_health_zone_zs'!$B369,[1]ratio_ins!$B:$B,0))</f>
        <v>4278.6135700000004</v>
      </c>
      <c r="AM369" s="10">
        <f>INDEX([1]ratio_ins!AJ:AJ,MATCH('001_population_health_zone_zs'!$B$2,[1]ratio_ins!$B:$B,0))*$G369*INDEX([1]ratio_ins!$D:$D,MATCH('001_population_health_zone_zs'!$B369,[1]ratio_ins!$B:$B,0))</f>
        <v>3911.8752639999998</v>
      </c>
      <c r="AN369" s="10">
        <f>INDEX([1]ratio_ins!AK:AK,MATCH('001_population_health_zone_zs'!$B$2,[1]ratio_ins!$B:$B,0))*$G369*INDEX([1]ratio_ins!$D:$D,MATCH('001_population_health_zone_zs'!$B369,[1]ratio_ins!$B:$B,0))</f>
        <v>3667.3830599999997</v>
      </c>
      <c r="AO369" s="10">
        <f>INDEX([1]ratio_ins!AL:AL,MATCH('001_population_health_zone_zs'!$B$2,[1]ratio_ins!$B:$B,0))*$G369*INDEX([1]ratio_ins!$D:$D,MATCH('001_population_health_zone_zs'!$B369,[1]ratio_ins!$B:$B,0))</f>
        <v>2750.5372949999996</v>
      </c>
      <c r="AP369" s="10">
        <f>INDEX([1]ratio_ins!AM:AM,MATCH('001_population_health_zone_zs'!$B$2,[1]ratio_ins!$B:$B,0))*$G369*INDEX([1]ratio_ins!$D:$D,MATCH('001_population_health_zone_zs'!$B369,[1]ratio_ins!$B:$B,0))</f>
        <v>1772.568479</v>
      </c>
      <c r="AQ369" s="10">
        <f>INDEX([1]ratio_ins!AN:AN,MATCH('001_population_health_zone_zs'!$B$2,[1]ratio_ins!$B:$B,0))*$G369*INDEX([1]ratio_ins!$D:$D,MATCH('001_population_health_zone_zs'!$B369,[1]ratio_ins!$B:$B,0))</f>
        <v>1405.8301730000001</v>
      </c>
      <c r="AR369" s="10">
        <f>INDEX([1]ratio_ins!AO:AO,MATCH('001_population_health_zone_zs'!$B$2,[1]ratio_ins!$B:$B,0))*$G369*INDEX([1]ratio_ins!$D:$D,MATCH('001_population_health_zone_zs'!$B369,[1]ratio_ins!$B:$B,0))</f>
        <v>672.35356100000001</v>
      </c>
      <c r="AS369" s="13">
        <f>INDEX([1]ratio_ins!AP:AP,MATCH('001_population_health_zone_zs'!$B$2,[1]ratio_ins!$B:$B,0))*$G369*INDEX([1]ratio_ins!$D:$D,MATCH('001_population_health_zone_zs'!$B369,[1]ratio_ins!$B:$B,0))</f>
        <v>25011.5524692</v>
      </c>
      <c r="AT369" s="10">
        <f>INDEX([1]ratio_ins!AQ:AQ,MATCH('001_population_health_zone_zs'!$B$2,[1]ratio_ins!$B:$B,0))*$G369*INDEX([1]ratio_ins!$D:$D,MATCH('001_population_health_zone_zs'!$B369,[1]ratio_ins!$B:$B,0))</f>
        <v>611.23051000000009</v>
      </c>
      <c r="AU369" s="10">
        <f>INDEX([1]ratio_ins!AR:AR,MATCH('001_population_health_zone_zs'!$B$2,[1]ratio_ins!$B:$B,0))*$G369*INDEX([1]ratio_ins!$D:$D,MATCH('001_population_health_zone_zs'!$B369,[1]ratio_ins!$B:$B,0))</f>
        <v>366.73830599999997</v>
      </c>
      <c r="AV369" s="10">
        <f>INDEX([1]ratio_ins!AS:AS,MATCH('001_population_health_zone_zs'!$B$2,[1]ratio_ins!$B:$B,0))*$G369*INDEX([1]ratio_ins!$D:$D,MATCH('001_population_health_zone_zs'!$B369,[1]ratio_ins!$B:$B,0))</f>
        <v>183.36915299999998</v>
      </c>
      <c r="AW369" s="10">
        <f>INDEX([1]ratio_ins!AT:AT,MATCH('001_population_health_zone_zs'!$B$2,[1]ratio_ins!$B:$B,0))*$G369*INDEX([1]ratio_ins!$D:$D,MATCH('001_population_health_zone_zs'!$B369,[1]ratio_ins!$B:$B,0))</f>
        <v>122.24610199999999</v>
      </c>
      <c r="AX369" s="13">
        <f>INDEX([1]ratio_ins!AU:AU,MATCH('001_population_health_zone_zs'!$B$2,[1]ratio_ins!$B:$B,0))*$G369*INDEX([1]ratio_ins!$D:$D,MATCH('001_population_health_zone_zs'!$B369,[1]ratio_ins!$B:$B,0))</f>
        <v>1283.5840709999998</v>
      </c>
      <c r="AY369" s="14">
        <f t="shared" si="31"/>
        <v>61123.050999999999</v>
      </c>
      <c r="AZ369" s="15">
        <f t="shared" si="32"/>
        <v>121517</v>
      </c>
      <c r="BA369" s="16">
        <v>115687.80652816668</v>
      </c>
      <c r="BB369" s="10">
        <f t="shared" si="33"/>
        <v>25977.296675000001</v>
      </c>
      <c r="BC369" s="17">
        <f t="shared" si="34"/>
        <v>0.21377500000000002</v>
      </c>
      <c r="BD369" s="10">
        <f t="shared" si="35"/>
        <v>25184.276733000002</v>
      </c>
    </row>
    <row r="370" spans="1:56" x14ac:dyDescent="0.25">
      <c r="A370" s="8" t="s">
        <v>877</v>
      </c>
      <c r="B370" s="8" t="s">
        <v>878</v>
      </c>
      <c r="C370" s="8" t="s">
        <v>902</v>
      </c>
      <c r="D370" s="8" t="s">
        <v>903</v>
      </c>
      <c r="E370" s="8" t="s">
        <v>902</v>
      </c>
      <c r="F370" s="8" t="s">
        <v>906</v>
      </c>
      <c r="G370" s="9">
        <v>256446</v>
      </c>
      <c r="H370" s="10">
        <f>INDEX([1]ratio_ins!F:F,MATCH('001_population_health_zone_zs'!$B$2,[1]ratio_ins!$B:$B,0))*$G370*INDEX([1]ratio_ins!$C:$C,MATCH('001_population_health_zone_zs'!$B370,[1]ratio_ins!$B:$B,0))</f>
        <v>26637.815358000003</v>
      </c>
      <c r="I370" s="10">
        <f>INDEX([1]ratio_ins!G:G,MATCH('001_population_health_zone_zs'!$B$2,[1]ratio_ins!$B:$B,0))*$G370*INDEX([1]ratio_ins!$C:$C,MATCH('001_population_health_zone_zs'!$B370,[1]ratio_ins!$B:$B,0))</f>
        <v>21794.576202000004</v>
      </c>
      <c r="J370" s="10">
        <f>INDEX([1]ratio_ins!H:H,MATCH('001_population_health_zone_zs'!$B$2,[1]ratio_ins!$B:$B,0))*$G370*INDEX([1]ratio_ins!$C:$C,MATCH('001_population_health_zone_zs'!$B370,[1]ratio_ins!$B:$B,0))</f>
        <v>17206.24437</v>
      </c>
      <c r="K370" s="10">
        <f>INDEX([1]ratio_ins!I:I,MATCH('001_population_health_zone_zs'!$B$2,[1]ratio_ins!$B:$B,0))*$G370*INDEX([1]ratio_ins!$C:$C,MATCH('001_population_health_zone_zs'!$B370,[1]ratio_ins!$B:$B,0))</f>
        <v>10578.653946</v>
      </c>
      <c r="L370" s="10">
        <f>INDEX([1]ratio_ins!J:J,MATCH('001_population_health_zone_zs'!$B$2,[1]ratio_ins!$B:$B,0))*$G370*INDEX([1]ratio_ins!$C:$C,MATCH('001_population_health_zone_zs'!$B370,[1]ratio_ins!$B:$B,0))</f>
        <v>6347.1923676000006</v>
      </c>
      <c r="M370" s="11">
        <f>INDEX([1]ratio_ins!K:K,MATCH('001_population_health_zone_zs'!$B$2,[1]ratio_ins!$B:$B,0))*$G370*INDEX([1]ratio_ins!$C:$C,MATCH('001_population_health_zone_zs'!$B370,[1]ratio_ins!$B:$B,0))</f>
        <v>71985.828297600005</v>
      </c>
      <c r="N370" s="10">
        <f>INDEX([1]ratio_ins!L:L,MATCH('001_population_health_zone_zs'!$B$2,[1]ratio_ins!$B:$B,0))*$G370*INDEX([1]ratio_ins!$C:$C,MATCH('001_population_health_zone_zs'!$B370,[1]ratio_ins!$B:$B,0))</f>
        <v>4231.4615784000007</v>
      </c>
      <c r="O370" s="10">
        <f>INDEX([1]ratio_ins!M:M,MATCH('001_population_health_zone_zs'!$B$2,[1]ratio_ins!$B:$B,0))*$G370*INDEX([1]ratio_ins!$C:$C,MATCH('001_population_health_zone_zs'!$B370,[1]ratio_ins!$B:$B,0))</f>
        <v>9176.6636640000015</v>
      </c>
      <c r="P370" s="10">
        <f>INDEX([1]ratio_ins!N:N,MATCH('001_population_health_zone_zs'!$B$2,[1]ratio_ins!$B:$B,0))*$G370*INDEX([1]ratio_ins!$C:$C,MATCH('001_population_health_zone_zs'!$B370,[1]ratio_ins!$B:$B,0))</f>
        <v>8284.4880300000023</v>
      </c>
      <c r="Q370" s="10">
        <f>INDEX([1]ratio_ins!O:O,MATCH('001_population_health_zone_zs'!$B$2,[1]ratio_ins!$B:$B,0))*$G370*INDEX([1]ratio_ins!$C:$C,MATCH('001_population_health_zone_zs'!$B370,[1]ratio_ins!$B:$B,0))</f>
        <v>7392.3123960000003</v>
      </c>
      <c r="R370" s="10">
        <f>INDEX([1]ratio_ins!P:P,MATCH('001_population_health_zone_zs'!$B$2,[1]ratio_ins!$B:$B,0))*$G370*INDEX([1]ratio_ins!$C:$C,MATCH('001_population_health_zone_zs'!$B370,[1]ratio_ins!$B:$B,0))</f>
        <v>7264.8587340000013</v>
      </c>
      <c r="S370" s="10">
        <f>INDEX([1]ratio_ins!Q:Q,MATCH('001_population_health_zone_zs'!$B$2,[1]ratio_ins!$B:$B,0))*$G370*INDEX([1]ratio_ins!$C:$C,MATCH('001_population_health_zone_zs'!$B370,[1]ratio_ins!$B:$B,0))</f>
        <v>6117.7757760000004</v>
      </c>
      <c r="T370" s="10">
        <f>INDEX([1]ratio_ins!R:R,MATCH('001_population_health_zone_zs'!$B$2,[1]ratio_ins!$B:$B,0))*$G370*INDEX([1]ratio_ins!$C:$C,MATCH('001_population_health_zone_zs'!$B370,[1]ratio_ins!$B:$B,0))</f>
        <v>4333.424508000001</v>
      </c>
      <c r="U370" s="10">
        <f>INDEX([1]ratio_ins!S:S,MATCH('001_population_health_zone_zs'!$B$2,[1]ratio_ins!$B:$B,0))*$G370*INDEX([1]ratio_ins!$C:$C,MATCH('001_population_health_zone_zs'!$B370,[1]ratio_ins!$B:$B,0))</f>
        <v>3441.2488740000003</v>
      </c>
      <c r="V370" s="10">
        <f>INDEX([1]ratio_ins!T:T,MATCH('001_population_health_zone_zs'!$B$2,[1]ratio_ins!$B:$B,0))*$G370*INDEX([1]ratio_ins!$C:$C,MATCH('001_population_health_zone_zs'!$B370,[1]ratio_ins!$B:$B,0))</f>
        <v>1911.8049300000002</v>
      </c>
      <c r="W370" s="11">
        <f>INDEX([1]ratio_ins!U:U,MATCH('001_population_health_zone_zs'!$B$2,[1]ratio_ins!$B:$B,0))*$G370*INDEX([1]ratio_ins!$C:$C,MATCH('001_population_health_zone_zs'!$B370,[1]ratio_ins!$B:$B,0))</f>
        <v>52154.038490400009</v>
      </c>
      <c r="X370" s="10">
        <f>INDEX([1]ratio_ins!V:V,MATCH('001_population_health_zone_zs'!$B$2,[1]ratio_ins!$B:$B,0))*$G370*INDEX([1]ratio_ins!$C:$C,MATCH('001_population_health_zone_zs'!$B370,[1]ratio_ins!$B:$B,0))</f>
        <v>1529.4439440000001</v>
      </c>
      <c r="Y370" s="10">
        <f>INDEX([1]ratio_ins!W:W,MATCH('001_population_health_zone_zs'!$B$2,[1]ratio_ins!$B:$B,0))*$G370*INDEX([1]ratio_ins!$C:$C,MATCH('001_population_health_zone_zs'!$B370,[1]ratio_ins!$B:$B,0))</f>
        <v>1019.6292960000002</v>
      </c>
      <c r="Z370" s="10">
        <f>INDEX([1]ratio_ins!X:X,MATCH('001_population_health_zone_zs'!$B$2,[1]ratio_ins!$B:$B,0))*$G370*INDEX([1]ratio_ins!$C:$C,MATCH('001_population_health_zone_zs'!$B370,[1]ratio_ins!$B:$B,0))</f>
        <v>509.81464800000009</v>
      </c>
      <c r="AA370" s="10">
        <f>INDEX([1]ratio_ins!Y:Y,MATCH('001_population_health_zone_zs'!$B$2,[1]ratio_ins!$B:$B,0))*$G370*INDEX([1]ratio_ins!$C:$C,MATCH('001_population_health_zone_zs'!$B370,[1]ratio_ins!$B:$B,0))</f>
        <v>254.90732400000005</v>
      </c>
      <c r="AB370" s="11">
        <f>INDEX([1]ratio_ins!Z:Z,MATCH('001_population_health_zone_zs'!$B$2,[1]ratio_ins!$B:$B,0))*$G370*INDEX([1]ratio_ins!$C:$C,MATCH('001_population_health_zone_zs'!$B370,[1]ratio_ins!$B:$B,0))</f>
        <v>3313.7952120000004</v>
      </c>
      <c r="AC370" s="12">
        <f t="shared" si="30"/>
        <v>127453.66200000001</v>
      </c>
      <c r="AD370" s="10">
        <f>INDEX([1]ratio_ins!AA:AA,MATCH('001_population_health_zone_zs'!$B$2,[1]ratio_ins!$B:$B,0))*$G370*INDEX([1]ratio_ins!$D:$D,MATCH('001_population_health_zone_zs'!$B370,[1]ratio_ins!$B:$B,0))</f>
        <v>27088.390979999996</v>
      </c>
      <c r="AE370" s="10">
        <f>INDEX([1]ratio_ins!AB:AB,MATCH('001_population_health_zone_zs'!$B$2,[1]ratio_ins!$B:$B,0))*$G370*INDEX([1]ratio_ins!$D:$D,MATCH('001_population_health_zone_zs'!$B370,[1]ratio_ins!$B:$B,0))</f>
        <v>22315.674474000003</v>
      </c>
      <c r="AF370" s="10">
        <f>INDEX([1]ratio_ins!AC:AC,MATCH('001_population_health_zone_zs'!$B$2,[1]ratio_ins!$B:$B,0))*$G370*INDEX([1]ratio_ins!$D:$D,MATCH('001_population_health_zone_zs'!$B370,[1]ratio_ins!$B:$B,0))</f>
        <v>17671.950305999999</v>
      </c>
      <c r="AG370" s="10">
        <f>INDEX([1]ratio_ins!AD:AD,MATCH('001_population_health_zone_zs'!$B$2,[1]ratio_ins!$B:$B,0))*$G370*INDEX([1]ratio_ins!$D:$D,MATCH('001_population_health_zone_zs'!$B370,[1]ratio_ins!$B:$B,0))</f>
        <v>10706.364054</v>
      </c>
      <c r="AH370" s="10">
        <f>INDEX([1]ratio_ins!AE:AE,MATCH('001_population_health_zone_zs'!$B$2,[1]ratio_ins!$B:$B,0))*$G370*INDEX([1]ratio_ins!$D:$D,MATCH('001_population_health_zone_zs'!$B370,[1]ratio_ins!$B:$B,0))</f>
        <v>6423.8184324000003</v>
      </c>
      <c r="AI370" s="13">
        <f>INDEX([1]ratio_ins!AF:AF,MATCH('001_population_health_zone_zs'!$B$2,[1]ratio_ins!$B:$B,0))*$G370*INDEX([1]ratio_ins!$D:$D,MATCH('001_population_health_zone_zs'!$B370,[1]ratio_ins!$B:$B,0))</f>
        <v>73499.834192399998</v>
      </c>
      <c r="AJ370" s="10">
        <f>INDEX([1]ratio_ins!AG:AG,MATCH('001_population_health_zone_zs'!$B$2,[1]ratio_ins!$B:$B,0))*$G370*INDEX([1]ratio_ins!$D:$D,MATCH('001_population_health_zone_zs'!$B370,[1]ratio_ins!$B:$B,0))</f>
        <v>4282.5456216000002</v>
      </c>
      <c r="AK370" s="10">
        <f>INDEX([1]ratio_ins!AH:AH,MATCH('001_population_health_zone_zs'!$B$2,[1]ratio_ins!$B:$B,0))*$G370*INDEX([1]ratio_ins!$D:$D,MATCH('001_population_health_zone_zs'!$B370,[1]ratio_ins!$B:$B,0))</f>
        <v>9545.4330120000013</v>
      </c>
      <c r="AL370" s="10">
        <f>INDEX([1]ratio_ins!AI:AI,MATCH('001_population_health_zone_zs'!$B$2,[1]ratio_ins!$B:$B,0))*$G370*INDEX([1]ratio_ins!$D:$D,MATCH('001_population_health_zone_zs'!$B370,[1]ratio_ins!$B:$B,0))</f>
        <v>9029.4636600000013</v>
      </c>
      <c r="AM370" s="10">
        <f>INDEX([1]ratio_ins!AJ:AJ,MATCH('001_population_health_zone_zs'!$B$2,[1]ratio_ins!$B:$B,0))*$G370*INDEX([1]ratio_ins!$D:$D,MATCH('001_population_health_zone_zs'!$B370,[1]ratio_ins!$B:$B,0))</f>
        <v>8255.5096320000011</v>
      </c>
      <c r="AN370" s="10">
        <f>INDEX([1]ratio_ins!AK:AK,MATCH('001_population_health_zone_zs'!$B$2,[1]ratio_ins!$B:$B,0))*$G370*INDEX([1]ratio_ins!$D:$D,MATCH('001_population_health_zone_zs'!$B370,[1]ratio_ins!$B:$B,0))</f>
        <v>7739.5402800000002</v>
      </c>
      <c r="AO370" s="10">
        <f>INDEX([1]ratio_ins!AL:AL,MATCH('001_population_health_zone_zs'!$B$2,[1]ratio_ins!$B:$B,0))*$G370*INDEX([1]ratio_ins!$D:$D,MATCH('001_population_health_zone_zs'!$B370,[1]ratio_ins!$B:$B,0))</f>
        <v>5804.6552099999999</v>
      </c>
      <c r="AP370" s="10">
        <f>INDEX([1]ratio_ins!AM:AM,MATCH('001_population_health_zone_zs'!$B$2,[1]ratio_ins!$B:$B,0))*$G370*INDEX([1]ratio_ins!$D:$D,MATCH('001_population_health_zone_zs'!$B370,[1]ratio_ins!$B:$B,0))</f>
        <v>3740.7778019999996</v>
      </c>
      <c r="AQ370" s="10">
        <f>INDEX([1]ratio_ins!AN:AN,MATCH('001_population_health_zone_zs'!$B$2,[1]ratio_ins!$B:$B,0))*$G370*INDEX([1]ratio_ins!$D:$D,MATCH('001_population_health_zone_zs'!$B370,[1]ratio_ins!$B:$B,0))</f>
        <v>2966.823774</v>
      </c>
      <c r="AR370" s="10">
        <f>INDEX([1]ratio_ins!AO:AO,MATCH('001_population_health_zone_zs'!$B$2,[1]ratio_ins!$B:$B,0))*$G370*INDEX([1]ratio_ins!$D:$D,MATCH('001_population_health_zone_zs'!$B370,[1]ratio_ins!$B:$B,0))</f>
        <v>1418.9157180000002</v>
      </c>
      <c r="AS370" s="13">
        <f>INDEX([1]ratio_ins!AP:AP,MATCH('001_population_health_zone_zs'!$B$2,[1]ratio_ins!$B:$B,0))*$G370*INDEX([1]ratio_ins!$D:$D,MATCH('001_population_health_zone_zs'!$B370,[1]ratio_ins!$B:$B,0))</f>
        <v>52783.664709600002</v>
      </c>
      <c r="AT370" s="10">
        <f>INDEX([1]ratio_ins!AQ:AQ,MATCH('001_population_health_zone_zs'!$B$2,[1]ratio_ins!$B:$B,0))*$G370*INDEX([1]ratio_ins!$D:$D,MATCH('001_population_health_zone_zs'!$B370,[1]ratio_ins!$B:$B,0))</f>
        <v>1289.92338</v>
      </c>
      <c r="AU370" s="10">
        <f>INDEX([1]ratio_ins!AR:AR,MATCH('001_population_health_zone_zs'!$B$2,[1]ratio_ins!$B:$B,0))*$G370*INDEX([1]ratio_ins!$D:$D,MATCH('001_population_health_zone_zs'!$B370,[1]ratio_ins!$B:$B,0))</f>
        <v>773.95402799999999</v>
      </c>
      <c r="AV370" s="10">
        <f>INDEX([1]ratio_ins!AS:AS,MATCH('001_population_health_zone_zs'!$B$2,[1]ratio_ins!$B:$B,0))*$G370*INDEX([1]ratio_ins!$D:$D,MATCH('001_population_health_zone_zs'!$B370,[1]ratio_ins!$B:$B,0))</f>
        <v>386.977014</v>
      </c>
      <c r="AW370" s="10">
        <f>INDEX([1]ratio_ins!AT:AT,MATCH('001_population_health_zone_zs'!$B$2,[1]ratio_ins!$B:$B,0))*$G370*INDEX([1]ratio_ins!$D:$D,MATCH('001_population_health_zone_zs'!$B370,[1]ratio_ins!$B:$B,0))</f>
        <v>257.98467600000004</v>
      </c>
      <c r="AX370" s="13">
        <f>INDEX([1]ratio_ins!AU:AU,MATCH('001_population_health_zone_zs'!$B$2,[1]ratio_ins!$B:$B,0))*$G370*INDEX([1]ratio_ins!$D:$D,MATCH('001_population_health_zone_zs'!$B370,[1]ratio_ins!$B:$B,0))</f>
        <v>2708.8390979999995</v>
      </c>
      <c r="AY370" s="14">
        <f t="shared" si="31"/>
        <v>128992.33799999999</v>
      </c>
      <c r="AZ370" s="15">
        <f t="shared" si="32"/>
        <v>256446</v>
      </c>
      <c r="BA370" s="16">
        <v>244143.4669078794</v>
      </c>
      <c r="BB370" s="10">
        <f t="shared" si="33"/>
        <v>54821.743650000004</v>
      </c>
      <c r="BC370" s="17">
        <f t="shared" si="34"/>
        <v>0.21377500000000002</v>
      </c>
      <c r="BD370" s="10">
        <f t="shared" si="35"/>
        <v>53148.177054000014</v>
      </c>
    </row>
    <row r="371" spans="1:56" x14ac:dyDescent="0.25">
      <c r="A371" s="8" t="s">
        <v>877</v>
      </c>
      <c r="B371" s="8" t="s">
        <v>878</v>
      </c>
      <c r="C371" s="8" t="s">
        <v>907</v>
      </c>
      <c r="D371" s="8" t="s">
        <v>908</v>
      </c>
      <c r="E371" s="8" t="s">
        <v>907</v>
      </c>
      <c r="F371" s="8" t="s">
        <v>909</v>
      </c>
      <c r="G371" s="9">
        <v>299028</v>
      </c>
      <c r="H371" s="10">
        <f>INDEX([1]ratio_ins!F:F,MATCH('001_population_health_zone_zs'!$B$2,[1]ratio_ins!$B:$B,0))*$G371*INDEX([1]ratio_ins!$C:$C,MATCH('001_population_health_zone_zs'!$B371,[1]ratio_ins!$B:$B,0))</f>
        <v>31060.935444000002</v>
      </c>
      <c r="I371" s="10">
        <f>INDEX([1]ratio_ins!G:G,MATCH('001_population_health_zone_zs'!$B$2,[1]ratio_ins!$B:$B,0))*$G371*INDEX([1]ratio_ins!$C:$C,MATCH('001_population_health_zone_zs'!$B371,[1]ratio_ins!$B:$B,0))</f>
        <v>25413.492636000003</v>
      </c>
      <c r="J371" s="10">
        <f>INDEX([1]ratio_ins!H:H,MATCH('001_population_health_zone_zs'!$B$2,[1]ratio_ins!$B:$B,0))*$G371*INDEX([1]ratio_ins!$C:$C,MATCH('001_population_health_zone_zs'!$B371,[1]ratio_ins!$B:$B,0))</f>
        <v>20063.283660000005</v>
      </c>
      <c r="K371" s="10">
        <f>INDEX([1]ratio_ins!I:I,MATCH('001_population_health_zone_zs'!$B$2,[1]ratio_ins!$B:$B,0))*$G371*INDEX([1]ratio_ins!$C:$C,MATCH('001_population_health_zone_zs'!$B371,[1]ratio_ins!$B:$B,0))</f>
        <v>12335.204028000002</v>
      </c>
      <c r="L371" s="10">
        <f>INDEX([1]ratio_ins!J:J,MATCH('001_population_health_zone_zs'!$B$2,[1]ratio_ins!$B:$B,0))*$G371*INDEX([1]ratio_ins!$C:$C,MATCH('001_population_health_zone_zs'!$B371,[1]ratio_ins!$B:$B,0))</f>
        <v>7401.1224168000008</v>
      </c>
      <c r="M371" s="11">
        <f>INDEX([1]ratio_ins!K:K,MATCH('001_population_health_zone_zs'!$B$2,[1]ratio_ins!$B:$B,0))*$G371*INDEX([1]ratio_ins!$C:$C,MATCH('001_population_health_zone_zs'!$B371,[1]ratio_ins!$B:$B,0))</f>
        <v>83938.834156800003</v>
      </c>
      <c r="N371" s="10">
        <f>INDEX([1]ratio_ins!L:L,MATCH('001_population_health_zone_zs'!$B$2,[1]ratio_ins!$B:$B,0))*$G371*INDEX([1]ratio_ins!$C:$C,MATCH('001_population_health_zone_zs'!$B371,[1]ratio_ins!$B:$B,0))</f>
        <v>4934.0816112000011</v>
      </c>
      <c r="O371" s="10">
        <f>INDEX([1]ratio_ins!M:M,MATCH('001_population_health_zone_zs'!$B$2,[1]ratio_ins!$B:$B,0))*$G371*INDEX([1]ratio_ins!$C:$C,MATCH('001_population_health_zone_zs'!$B371,[1]ratio_ins!$B:$B,0))</f>
        <v>10700.417952000003</v>
      </c>
      <c r="P371" s="10">
        <f>INDEX([1]ratio_ins!N:N,MATCH('001_population_health_zone_zs'!$B$2,[1]ratio_ins!$B:$B,0))*$G371*INDEX([1]ratio_ins!$C:$C,MATCH('001_population_health_zone_zs'!$B371,[1]ratio_ins!$B:$B,0))</f>
        <v>9660.0995400000011</v>
      </c>
      <c r="Q371" s="10">
        <f>INDEX([1]ratio_ins!O:O,MATCH('001_population_health_zone_zs'!$B$2,[1]ratio_ins!$B:$B,0))*$G371*INDEX([1]ratio_ins!$C:$C,MATCH('001_population_health_zone_zs'!$B371,[1]ratio_ins!$B:$B,0))</f>
        <v>8619.7811280000005</v>
      </c>
      <c r="R371" s="10">
        <f>INDEX([1]ratio_ins!P:P,MATCH('001_population_health_zone_zs'!$B$2,[1]ratio_ins!$B:$B,0))*$G371*INDEX([1]ratio_ins!$C:$C,MATCH('001_population_health_zone_zs'!$B371,[1]ratio_ins!$B:$B,0))</f>
        <v>8471.1642120000015</v>
      </c>
      <c r="S371" s="10">
        <f>INDEX([1]ratio_ins!Q:Q,MATCH('001_population_health_zone_zs'!$B$2,[1]ratio_ins!$B:$B,0))*$G371*INDEX([1]ratio_ins!$C:$C,MATCH('001_population_health_zone_zs'!$B371,[1]ratio_ins!$B:$B,0))</f>
        <v>7133.6119680000011</v>
      </c>
      <c r="T371" s="10">
        <f>INDEX([1]ratio_ins!R:R,MATCH('001_population_health_zone_zs'!$B$2,[1]ratio_ins!$B:$B,0))*$G371*INDEX([1]ratio_ins!$C:$C,MATCH('001_population_health_zone_zs'!$B371,[1]ratio_ins!$B:$B,0))</f>
        <v>5052.9751440000009</v>
      </c>
      <c r="U371" s="10">
        <f>INDEX([1]ratio_ins!S:S,MATCH('001_population_health_zone_zs'!$B$2,[1]ratio_ins!$B:$B,0))*$G371*INDEX([1]ratio_ins!$C:$C,MATCH('001_population_health_zone_zs'!$B371,[1]ratio_ins!$B:$B,0))</f>
        <v>4012.6567320000008</v>
      </c>
      <c r="V371" s="10">
        <f>INDEX([1]ratio_ins!T:T,MATCH('001_population_health_zone_zs'!$B$2,[1]ratio_ins!$B:$B,0))*$G371*INDEX([1]ratio_ins!$C:$C,MATCH('001_population_health_zone_zs'!$B371,[1]ratio_ins!$B:$B,0))</f>
        <v>2229.2537400000001</v>
      </c>
      <c r="W371" s="11">
        <f>INDEX([1]ratio_ins!U:U,MATCH('001_population_health_zone_zs'!$B$2,[1]ratio_ins!$B:$B,0))*$G371*INDEX([1]ratio_ins!$C:$C,MATCH('001_population_health_zone_zs'!$B371,[1]ratio_ins!$B:$B,0))</f>
        <v>60814.042027200005</v>
      </c>
      <c r="X371" s="10">
        <f>INDEX([1]ratio_ins!V:V,MATCH('001_population_health_zone_zs'!$B$2,[1]ratio_ins!$B:$B,0))*$G371*INDEX([1]ratio_ins!$C:$C,MATCH('001_population_health_zone_zs'!$B371,[1]ratio_ins!$B:$B,0))</f>
        <v>1783.4029920000003</v>
      </c>
      <c r="Y371" s="10">
        <f>INDEX([1]ratio_ins!W:W,MATCH('001_population_health_zone_zs'!$B$2,[1]ratio_ins!$B:$B,0))*$G371*INDEX([1]ratio_ins!$C:$C,MATCH('001_population_health_zone_zs'!$B371,[1]ratio_ins!$B:$B,0))</f>
        <v>1188.9353280000003</v>
      </c>
      <c r="Z371" s="10">
        <f>INDEX([1]ratio_ins!X:X,MATCH('001_population_health_zone_zs'!$B$2,[1]ratio_ins!$B:$B,0))*$G371*INDEX([1]ratio_ins!$C:$C,MATCH('001_population_health_zone_zs'!$B371,[1]ratio_ins!$B:$B,0))</f>
        <v>594.46766400000013</v>
      </c>
      <c r="AA371" s="10">
        <f>INDEX([1]ratio_ins!Y:Y,MATCH('001_population_health_zone_zs'!$B$2,[1]ratio_ins!$B:$B,0))*$G371*INDEX([1]ratio_ins!$C:$C,MATCH('001_population_health_zone_zs'!$B371,[1]ratio_ins!$B:$B,0))</f>
        <v>297.23383200000006</v>
      </c>
      <c r="AB371" s="11">
        <f>INDEX([1]ratio_ins!Z:Z,MATCH('001_population_health_zone_zs'!$B$2,[1]ratio_ins!$B:$B,0))*$G371*INDEX([1]ratio_ins!$C:$C,MATCH('001_population_health_zone_zs'!$B371,[1]ratio_ins!$B:$B,0))</f>
        <v>3864.0398160000009</v>
      </c>
      <c r="AC371" s="12">
        <f t="shared" si="30"/>
        <v>148616.916</v>
      </c>
      <c r="AD371" s="10">
        <f>INDEX([1]ratio_ins!AA:AA,MATCH('001_population_health_zone_zs'!$B$2,[1]ratio_ins!$B:$B,0))*$G371*INDEX([1]ratio_ins!$D:$D,MATCH('001_population_health_zone_zs'!$B371,[1]ratio_ins!$B:$B,0))</f>
        <v>31586.32764</v>
      </c>
      <c r="AE371" s="10">
        <f>INDEX([1]ratio_ins!AB:AB,MATCH('001_population_health_zone_zs'!$B$2,[1]ratio_ins!$B:$B,0))*$G371*INDEX([1]ratio_ins!$D:$D,MATCH('001_population_health_zone_zs'!$B371,[1]ratio_ins!$B:$B,0))</f>
        <v>26021.117532000004</v>
      </c>
      <c r="AF371" s="10">
        <f>INDEX([1]ratio_ins!AC:AC,MATCH('001_population_health_zone_zs'!$B$2,[1]ratio_ins!$B:$B,0))*$G371*INDEX([1]ratio_ins!$D:$D,MATCH('001_population_health_zone_zs'!$B371,[1]ratio_ins!$B:$B,0))</f>
        <v>20606.318507999997</v>
      </c>
      <c r="AG371" s="10">
        <f>INDEX([1]ratio_ins!AD:AD,MATCH('001_population_health_zone_zs'!$B$2,[1]ratio_ins!$B:$B,0))*$G371*INDEX([1]ratio_ins!$D:$D,MATCH('001_population_health_zone_zs'!$B371,[1]ratio_ins!$B:$B,0))</f>
        <v>12484.119972</v>
      </c>
      <c r="AH371" s="10">
        <f>INDEX([1]ratio_ins!AE:AE,MATCH('001_population_health_zone_zs'!$B$2,[1]ratio_ins!$B:$B,0))*$G371*INDEX([1]ratio_ins!$D:$D,MATCH('001_population_health_zone_zs'!$B371,[1]ratio_ins!$B:$B,0))</f>
        <v>7490.4719832000001</v>
      </c>
      <c r="AI371" s="13">
        <f>INDEX([1]ratio_ins!AF:AF,MATCH('001_population_health_zone_zs'!$B$2,[1]ratio_ins!$B:$B,0))*$G371*INDEX([1]ratio_ins!$D:$D,MATCH('001_population_health_zone_zs'!$B371,[1]ratio_ins!$B:$B,0))</f>
        <v>85704.235663200001</v>
      </c>
      <c r="AJ371" s="10">
        <f>INDEX([1]ratio_ins!AG:AG,MATCH('001_population_health_zone_zs'!$B$2,[1]ratio_ins!$B:$B,0))*$G371*INDEX([1]ratio_ins!$D:$D,MATCH('001_population_health_zone_zs'!$B371,[1]ratio_ins!$B:$B,0))</f>
        <v>4993.6479888000003</v>
      </c>
      <c r="AK371" s="10">
        <f>INDEX([1]ratio_ins!AH:AH,MATCH('001_population_health_zone_zs'!$B$2,[1]ratio_ins!$B:$B,0))*$G371*INDEX([1]ratio_ins!$D:$D,MATCH('001_population_health_zone_zs'!$B371,[1]ratio_ins!$B:$B,0))</f>
        <v>11130.420216000002</v>
      </c>
      <c r="AL371" s="10">
        <f>INDEX([1]ratio_ins!AI:AI,MATCH('001_population_health_zone_zs'!$B$2,[1]ratio_ins!$B:$B,0))*$G371*INDEX([1]ratio_ins!$D:$D,MATCH('001_population_health_zone_zs'!$B371,[1]ratio_ins!$B:$B,0))</f>
        <v>10528.775880000001</v>
      </c>
      <c r="AM371" s="10">
        <f>INDEX([1]ratio_ins!AJ:AJ,MATCH('001_population_health_zone_zs'!$B$2,[1]ratio_ins!$B:$B,0))*$G371*INDEX([1]ratio_ins!$D:$D,MATCH('001_population_health_zone_zs'!$B371,[1]ratio_ins!$B:$B,0))</f>
        <v>9626.3093760000011</v>
      </c>
      <c r="AN371" s="10">
        <f>INDEX([1]ratio_ins!AK:AK,MATCH('001_population_health_zone_zs'!$B$2,[1]ratio_ins!$B:$B,0))*$G371*INDEX([1]ratio_ins!$D:$D,MATCH('001_population_health_zone_zs'!$B371,[1]ratio_ins!$B:$B,0))</f>
        <v>9024.6650399999999</v>
      </c>
      <c r="AO371" s="10">
        <f>INDEX([1]ratio_ins!AL:AL,MATCH('001_population_health_zone_zs'!$B$2,[1]ratio_ins!$B:$B,0))*$G371*INDEX([1]ratio_ins!$D:$D,MATCH('001_population_health_zone_zs'!$B371,[1]ratio_ins!$B:$B,0))</f>
        <v>6768.4987799999999</v>
      </c>
      <c r="AP371" s="10">
        <f>INDEX([1]ratio_ins!AM:AM,MATCH('001_population_health_zone_zs'!$B$2,[1]ratio_ins!$B:$B,0))*$G371*INDEX([1]ratio_ins!$D:$D,MATCH('001_population_health_zone_zs'!$B371,[1]ratio_ins!$B:$B,0))</f>
        <v>4361.9214359999996</v>
      </c>
      <c r="AQ371" s="10">
        <f>INDEX([1]ratio_ins!AN:AN,MATCH('001_population_health_zone_zs'!$B$2,[1]ratio_ins!$B:$B,0))*$G371*INDEX([1]ratio_ins!$D:$D,MATCH('001_population_health_zone_zs'!$B371,[1]ratio_ins!$B:$B,0))</f>
        <v>3459.4549320000001</v>
      </c>
      <c r="AR371" s="10">
        <f>INDEX([1]ratio_ins!AO:AO,MATCH('001_population_health_zone_zs'!$B$2,[1]ratio_ins!$B:$B,0))*$G371*INDEX([1]ratio_ins!$D:$D,MATCH('001_population_health_zone_zs'!$B371,[1]ratio_ins!$B:$B,0))</f>
        <v>1654.5219240000001</v>
      </c>
      <c r="AS371" s="13">
        <f>INDEX([1]ratio_ins!AP:AP,MATCH('001_population_health_zone_zs'!$B$2,[1]ratio_ins!$B:$B,0))*$G371*INDEX([1]ratio_ins!$D:$D,MATCH('001_population_health_zone_zs'!$B371,[1]ratio_ins!$B:$B,0))</f>
        <v>61548.2155728</v>
      </c>
      <c r="AT371" s="10">
        <f>INDEX([1]ratio_ins!AQ:AQ,MATCH('001_population_health_zone_zs'!$B$2,[1]ratio_ins!$B:$B,0))*$G371*INDEX([1]ratio_ins!$D:$D,MATCH('001_population_health_zone_zs'!$B371,[1]ratio_ins!$B:$B,0))</f>
        <v>1504.1108400000001</v>
      </c>
      <c r="AU371" s="10">
        <f>INDEX([1]ratio_ins!AR:AR,MATCH('001_population_health_zone_zs'!$B$2,[1]ratio_ins!$B:$B,0))*$G371*INDEX([1]ratio_ins!$D:$D,MATCH('001_population_health_zone_zs'!$B371,[1]ratio_ins!$B:$B,0))</f>
        <v>902.4665040000001</v>
      </c>
      <c r="AV371" s="10">
        <f>INDEX([1]ratio_ins!AS:AS,MATCH('001_population_health_zone_zs'!$B$2,[1]ratio_ins!$B:$B,0))*$G371*INDEX([1]ratio_ins!$D:$D,MATCH('001_population_health_zone_zs'!$B371,[1]ratio_ins!$B:$B,0))</f>
        <v>451.23325200000005</v>
      </c>
      <c r="AW371" s="10">
        <f>INDEX([1]ratio_ins!AT:AT,MATCH('001_population_health_zone_zs'!$B$2,[1]ratio_ins!$B:$B,0))*$G371*INDEX([1]ratio_ins!$D:$D,MATCH('001_population_health_zone_zs'!$B371,[1]ratio_ins!$B:$B,0))</f>
        <v>300.82216800000003</v>
      </c>
      <c r="AX371" s="13">
        <f>INDEX([1]ratio_ins!AU:AU,MATCH('001_population_health_zone_zs'!$B$2,[1]ratio_ins!$B:$B,0))*$G371*INDEX([1]ratio_ins!$D:$D,MATCH('001_population_health_zone_zs'!$B371,[1]ratio_ins!$B:$B,0))</f>
        <v>3158.632764</v>
      </c>
      <c r="AY371" s="14">
        <f t="shared" si="31"/>
        <v>150411.084</v>
      </c>
      <c r="AZ371" s="15">
        <f t="shared" si="32"/>
        <v>299028</v>
      </c>
      <c r="BA371" s="16">
        <v>284682.99290569784</v>
      </c>
      <c r="BB371" s="10">
        <f t="shared" si="33"/>
        <v>63924.710700000003</v>
      </c>
      <c r="BC371" s="17">
        <f t="shared" si="34"/>
        <v>0.21377500000000002</v>
      </c>
      <c r="BD371" s="10">
        <f t="shared" si="35"/>
        <v>61973.253972000013</v>
      </c>
    </row>
    <row r="372" spans="1:56" x14ac:dyDescent="0.25">
      <c r="A372" s="8" t="s">
        <v>877</v>
      </c>
      <c r="B372" s="8" t="s">
        <v>878</v>
      </c>
      <c r="C372" s="8" t="s">
        <v>910</v>
      </c>
      <c r="D372" s="8" t="s">
        <v>911</v>
      </c>
      <c r="E372" s="8" t="s">
        <v>910</v>
      </c>
      <c r="F372" s="8" t="s">
        <v>912</v>
      </c>
      <c r="G372" s="9">
        <v>155738</v>
      </c>
      <c r="H372" s="10">
        <f>INDEX([1]ratio_ins!F:F,MATCH('001_population_health_zone_zs'!$B$2,[1]ratio_ins!$B:$B,0))*$G372*INDEX([1]ratio_ins!$C:$C,MATCH('001_population_health_zone_zs'!$B372,[1]ratio_ins!$B:$B,0))</f>
        <v>16176.973274000002</v>
      </c>
      <c r="I372" s="10">
        <f>INDEX([1]ratio_ins!G:G,MATCH('001_population_health_zone_zs'!$B$2,[1]ratio_ins!$B:$B,0))*$G372*INDEX([1]ratio_ins!$C:$C,MATCH('001_population_health_zone_zs'!$B372,[1]ratio_ins!$B:$B,0))</f>
        <v>13235.705406000001</v>
      </c>
      <c r="J372" s="10">
        <f>INDEX([1]ratio_ins!H:H,MATCH('001_population_health_zone_zs'!$B$2,[1]ratio_ins!$B:$B,0))*$G372*INDEX([1]ratio_ins!$C:$C,MATCH('001_population_health_zone_zs'!$B372,[1]ratio_ins!$B:$B,0))</f>
        <v>10449.241110000001</v>
      </c>
      <c r="K372" s="10">
        <f>INDEX([1]ratio_ins!I:I,MATCH('001_population_health_zone_zs'!$B$2,[1]ratio_ins!$B:$B,0))*$G372*INDEX([1]ratio_ins!$C:$C,MATCH('001_population_health_zone_zs'!$B372,[1]ratio_ins!$B:$B,0))</f>
        <v>6424.3482380000014</v>
      </c>
      <c r="L372" s="10">
        <f>INDEX([1]ratio_ins!J:J,MATCH('001_population_health_zone_zs'!$B$2,[1]ratio_ins!$B:$B,0))*$G372*INDEX([1]ratio_ins!$C:$C,MATCH('001_population_health_zone_zs'!$B372,[1]ratio_ins!$B:$B,0))</f>
        <v>3854.6089428</v>
      </c>
      <c r="M372" s="11">
        <f>INDEX([1]ratio_ins!K:K,MATCH('001_population_health_zone_zs'!$B$2,[1]ratio_ins!$B:$B,0))*$G372*INDEX([1]ratio_ins!$C:$C,MATCH('001_population_health_zone_zs'!$B372,[1]ratio_ins!$B:$B,0))</f>
        <v>43716.528732799998</v>
      </c>
      <c r="N372" s="10">
        <f>INDEX([1]ratio_ins!L:L,MATCH('001_population_health_zone_zs'!$B$2,[1]ratio_ins!$B:$B,0))*$G372*INDEX([1]ratio_ins!$C:$C,MATCH('001_population_health_zone_zs'!$B372,[1]ratio_ins!$B:$B,0))</f>
        <v>2569.7392952000005</v>
      </c>
      <c r="O372" s="10">
        <f>INDEX([1]ratio_ins!M:M,MATCH('001_population_health_zone_zs'!$B$2,[1]ratio_ins!$B:$B,0))*$G372*INDEX([1]ratio_ins!$C:$C,MATCH('001_population_health_zone_zs'!$B372,[1]ratio_ins!$B:$B,0))</f>
        <v>5572.9285920000011</v>
      </c>
      <c r="P372" s="10">
        <f>INDEX([1]ratio_ins!N:N,MATCH('001_population_health_zone_zs'!$B$2,[1]ratio_ins!$B:$B,0))*$G372*INDEX([1]ratio_ins!$C:$C,MATCH('001_population_health_zone_zs'!$B372,[1]ratio_ins!$B:$B,0))</f>
        <v>5031.1160900000013</v>
      </c>
      <c r="Q372" s="10">
        <f>INDEX([1]ratio_ins!O:O,MATCH('001_population_health_zone_zs'!$B$2,[1]ratio_ins!$B:$B,0))*$G372*INDEX([1]ratio_ins!$C:$C,MATCH('001_population_health_zone_zs'!$B372,[1]ratio_ins!$B:$B,0))</f>
        <v>4489.3035880000007</v>
      </c>
      <c r="R372" s="10">
        <f>INDEX([1]ratio_ins!P:P,MATCH('001_population_health_zone_zs'!$B$2,[1]ratio_ins!$B:$B,0))*$G372*INDEX([1]ratio_ins!$C:$C,MATCH('001_population_health_zone_zs'!$B372,[1]ratio_ins!$B:$B,0))</f>
        <v>4411.9018020000012</v>
      </c>
      <c r="S372" s="10">
        <f>INDEX([1]ratio_ins!Q:Q,MATCH('001_population_health_zone_zs'!$B$2,[1]ratio_ins!$B:$B,0))*$G372*INDEX([1]ratio_ins!$C:$C,MATCH('001_population_health_zone_zs'!$B372,[1]ratio_ins!$B:$B,0))</f>
        <v>3715.2857280000003</v>
      </c>
      <c r="T372" s="10">
        <f>INDEX([1]ratio_ins!R:R,MATCH('001_population_health_zone_zs'!$B$2,[1]ratio_ins!$B:$B,0))*$G372*INDEX([1]ratio_ins!$C:$C,MATCH('001_population_health_zone_zs'!$B372,[1]ratio_ins!$B:$B,0))</f>
        <v>2631.6607240000008</v>
      </c>
      <c r="U372" s="10">
        <f>INDEX([1]ratio_ins!S:S,MATCH('001_population_health_zone_zs'!$B$2,[1]ratio_ins!$B:$B,0))*$G372*INDEX([1]ratio_ins!$C:$C,MATCH('001_population_health_zone_zs'!$B372,[1]ratio_ins!$B:$B,0))</f>
        <v>2089.8482220000005</v>
      </c>
      <c r="V372" s="10">
        <f>INDEX([1]ratio_ins!T:T,MATCH('001_population_health_zone_zs'!$B$2,[1]ratio_ins!$B:$B,0))*$G372*INDEX([1]ratio_ins!$C:$C,MATCH('001_population_health_zone_zs'!$B372,[1]ratio_ins!$B:$B,0))</f>
        <v>1161.0267899999999</v>
      </c>
      <c r="W372" s="11">
        <f>INDEX([1]ratio_ins!U:U,MATCH('001_population_health_zone_zs'!$B$2,[1]ratio_ins!$B:$B,0))*$G372*INDEX([1]ratio_ins!$C:$C,MATCH('001_population_health_zone_zs'!$B372,[1]ratio_ins!$B:$B,0))</f>
        <v>31672.810831200004</v>
      </c>
      <c r="X372" s="10">
        <f>INDEX([1]ratio_ins!V:V,MATCH('001_population_health_zone_zs'!$B$2,[1]ratio_ins!$B:$B,0))*$G372*INDEX([1]ratio_ins!$C:$C,MATCH('001_population_health_zone_zs'!$B372,[1]ratio_ins!$B:$B,0))</f>
        <v>928.82143200000007</v>
      </c>
      <c r="Y372" s="10">
        <f>INDEX([1]ratio_ins!W:W,MATCH('001_population_health_zone_zs'!$B$2,[1]ratio_ins!$B:$B,0))*$G372*INDEX([1]ratio_ins!$C:$C,MATCH('001_population_health_zone_zs'!$B372,[1]ratio_ins!$B:$B,0))</f>
        <v>619.21428800000001</v>
      </c>
      <c r="Z372" s="10">
        <f>INDEX([1]ratio_ins!X:X,MATCH('001_population_health_zone_zs'!$B$2,[1]ratio_ins!$B:$B,0))*$G372*INDEX([1]ratio_ins!$C:$C,MATCH('001_population_health_zone_zs'!$B372,[1]ratio_ins!$B:$B,0))</f>
        <v>309.60714400000001</v>
      </c>
      <c r="AA372" s="10">
        <f>INDEX([1]ratio_ins!Y:Y,MATCH('001_population_health_zone_zs'!$B$2,[1]ratio_ins!$B:$B,0))*$G372*INDEX([1]ratio_ins!$C:$C,MATCH('001_population_health_zone_zs'!$B372,[1]ratio_ins!$B:$B,0))</f>
        <v>154.803572</v>
      </c>
      <c r="AB372" s="11">
        <f>INDEX([1]ratio_ins!Z:Z,MATCH('001_population_health_zone_zs'!$B$2,[1]ratio_ins!$B:$B,0))*$G372*INDEX([1]ratio_ins!$C:$C,MATCH('001_population_health_zone_zs'!$B372,[1]ratio_ins!$B:$B,0))</f>
        <v>2012.4464360000004</v>
      </c>
      <c r="AC372" s="12">
        <f t="shared" si="30"/>
        <v>77401.785999999993</v>
      </c>
      <c r="AD372" s="10">
        <f>INDEX([1]ratio_ins!AA:AA,MATCH('001_population_health_zone_zs'!$B$2,[1]ratio_ins!$B:$B,0))*$G372*INDEX([1]ratio_ins!$D:$D,MATCH('001_population_health_zone_zs'!$B372,[1]ratio_ins!$B:$B,0))</f>
        <v>16450.604940000001</v>
      </c>
      <c r="AE372" s="10">
        <f>INDEX([1]ratio_ins!AB:AB,MATCH('001_population_health_zone_zs'!$B$2,[1]ratio_ins!$B:$B,0))*$G372*INDEX([1]ratio_ins!$D:$D,MATCH('001_population_health_zone_zs'!$B372,[1]ratio_ins!$B:$B,0))</f>
        <v>13552.165022000001</v>
      </c>
      <c r="AF372" s="10">
        <f>INDEX([1]ratio_ins!AC:AC,MATCH('001_population_health_zone_zs'!$B$2,[1]ratio_ins!$B:$B,0))*$G372*INDEX([1]ratio_ins!$D:$D,MATCH('001_population_health_zone_zs'!$B372,[1]ratio_ins!$B:$B,0))</f>
        <v>10732.061317999998</v>
      </c>
      <c r="AG372" s="10">
        <f>INDEX([1]ratio_ins!AD:AD,MATCH('001_population_health_zone_zs'!$B$2,[1]ratio_ins!$B:$B,0))*$G372*INDEX([1]ratio_ins!$D:$D,MATCH('001_population_health_zone_zs'!$B372,[1]ratio_ins!$B:$B,0))</f>
        <v>6501.9057620000003</v>
      </c>
      <c r="AH372" s="10">
        <f>INDEX([1]ratio_ins!AE:AE,MATCH('001_population_health_zone_zs'!$B$2,[1]ratio_ins!$B:$B,0))*$G372*INDEX([1]ratio_ins!$D:$D,MATCH('001_population_health_zone_zs'!$B372,[1]ratio_ins!$B:$B,0))</f>
        <v>3901.1434571999998</v>
      </c>
      <c r="AI372" s="13">
        <f>INDEX([1]ratio_ins!AF:AF,MATCH('001_population_health_zone_zs'!$B$2,[1]ratio_ins!$B:$B,0))*$G372*INDEX([1]ratio_ins!$D:$D,MATCH('001_population_health_zone_zs'!$B372,[1]ratio_ins!$B:$B,0))</f>
        <v>44635.974737199998</v>
      </c>
      <c r="AJ372" s="10">
        <f>INDEX([1]ratio_ins!AG:AG,MATCH('001_population_health_zone_zs'!$B$2,[1]ratio_ins!$B:$B,0))*$G372*INDEX([1]ratio_ins!$D:$D,MATCH('001_population_health_zone_zs'!$B372,[1]ratio_ins!$B:$B,0))</f>
        <v>2600.7623048000005</v>
      </c>
      <c r="AK372" s="10">
        <f>INDEX([1]ratio_ins!AH:AH,MATCH('001_population_health_zone_zs'!$B$2,[1]ratio_ins!$B:$B,0))*$G372*INDEX([1]ratio_ins!$D:$D,MATCH('001_population_health_zone_zs'!$B372,[1]ratio_ins!$B:$B,0))</f>
        <v>5796.879836000001</v>
      </c>
      <c r="AL372" s="10">
        <f>INDEX([1]ratio_ins!AI:AI,MATCH('001_population_health_zone_zs'!$B$2,[1]ratio_ins!$B:$B,0))*$G372*INDEX([1]ratio_ins!$D:$D,MATCH('001_population_health_zone_zs'!$B372,[1]ratio_ins!$B:$B,0))</f>
        <v>5483.5349800000013</v>
      </c>
      <c r="AM372" s="10">
        <f>INDEX([1]ratio_ins!AJ:AJ,MATCH('001_population_health_zone_zs'!$B$2,[1]ratio_ins!$B:$B,0))*$G372*INDEX([1]ratio_ins!$D:$D,MATCH('001_population_health_zone_zs'!$B372,[1]ratio_ins!$B:$B,0))</f>
        <v>5013.5176959999999</v>
      </c>
      <c r="AN372" s="10">
        <f>INDEX([1]ratio_ins!AK:AK,MATCH('001_population_health_zone_zs'!$B$2,[1]ratio_ins!$B:$B,0))*$G372*INDEX([1]ratio_ins!$D:$D,MATCH('001_population_health_zone_zs'!$B372,[1]ratio_ins!$B:$B,0))</f>
        <v>4700.1728399999993</v>
      </c>
      <c r="AO372" s="10">
        <f>INDEX([1]ratio_ins!AL:AL,MATCH('001_population_health_zone_zs'!$B$2,[1]ratio_ins!$B:$B,0))*$G372*INDEX([1]ratio_ins!$D:$D,MATCH('001_population_health_zone_zs'!$B372,[1]ratio_ins!$B:$B,0))</f>
        <v>3525.1296299999999</v>
      </c>
      <c r="AP372" s="10">
        <f>INDEX([1]ratio_ins!AM:AM,MATCH('001_population_health_zone_zs'!$B$2,[1]ratio_ins!$B:$B,0))*$G372*INDEX([1]ratio_ins!$D:$D,MATCH('001_population_health_zone_zs'!$B372,[1]ratio_ins!$B:$B,0))</f>
        <v>2271.7502060000002</v>
      </c>
      <c r="AQ372" s="10">
        <f>INDEX([1]ratio_ins!AN:AN,MATCH('001_population_health_zone_zs'!$B$2,[1]ratio_ins!$B:$B,0))*$G372*INDEX([1]ratio_ins!$D:$D,MATCH('001_population_health_zone_zs'!$B372,[1]ratio_ins!$B:$B,0))</f>
        <v>1801.7329220000001</v>
      </c>
      <c r="AR372" s="10">
        <f>INDEX([1]ratio_ins!AO:AO,MATCH('001_population_health_zone_zs'!$B$2,[1]ratio_ins!$B:$B,0))*$G372*INDEX([1]ratio_ins!$D:$D,MATCH('001_population_health_zone_zs'!$B372,[1]ratio_ins!$B:$B,0))</f>
        <v>861.69835400000011</v>
      </c>
      <c r="AS372" s="13">
        <f>INDEX([1]ratio_ins!AP:AP,MATCH('001_population_health_zone_zs'!$B$2,[1]ratio_ins!$B:$B,0))*$G372*INDEX([1]ratio_ins!$D:$D,MATCH('001_population_health_zone_zs'!$B372,[1]ratio_ins!$B:$B,0))</f>
        <v>32055.1787688</v>
      </c>
      <c r="AT372" s="10">
        <f>INDEX([1]ratio_ins!AQ:AQ,MATCH('001_population_health_zone_zs'!$B$2,[1]ratio_ins!$B:$B,0))*$G372*INDEX([1]ratio_ins!$D:$D,MATCH('001_population_health_zone_zs'!$B372,[1]ratio_ins!$B:$B,0))</f>
        <v>783.36214000000007</v>
      </c>
      <c r="AU372" s="10">
        <f>INDEX([1]ratio_ins!AR:AR,MATCH('001_population_health_zone_zs'!$B$2,[1]ratio_ins!$B:$B,0))*$G372*INDEX([1]ratio_ins!$D:$D,MATCH('001_population_health_zone_zs'!$B372,[1]ratio_ins!$B:$B,0))</f>
        <v>470.01728400000002</v>
      </c>
      <c r="AV372" s="10">
        <f>INDEX([1]ratio_ins!AS:AS,MATCH('001_population_health_zone_zs'!$B$2,[1]ratio_ins!$B:$B,0))*$G372*INDEX([1]ratio_ins!$D:$D,MATCH('001_population_health_zone_zs'!$B372,[1]ratio_ins!$B:$B,0))</f>
        <v>235.00864200000001</v>
      </c>
      <c r="AW372" s="10">
        <f>INDEX([1]ratio_ins!AT:AT,MATCH('001_population_health_zone_zs'!$B$2,[1]ratio_ins!$B:$B,0))*$G372*INDEX([1]ratio_ins!$D:$D,MATCH('001_population_health_zone_zs'!$B372,[1]ratio_ins!$B:$B,0))</f>
        <v>156.672428</v>
      </c>
      <c r="AX372" s="13">
        <f>INDEX([1]ratio_ins!AU:AU,MATCH('001_population_health_zone_zs'!$B$2,[1]ratio_ins!$B:$B,0))*$G372*INDEX([1]ratio_ins!$D:$D,MATCH('001_population_health_zone_zs'!$B372,[1]ratio_ins!$B:$B,0))</f>
        <v>1645.0604939999998</v>
      </c>
      <c r="AY372" s="14">
        <f t="shared" si="31"/>
        <v>78336.214000000007</v>
      </c>
      <c r="AZ372" s="15">
        <f t="shared" si="32"/>
        <v>155738</v>
      </c>
      <c r="BA372" s="16">
        <v>148266.30534628895</v>
      </c>
      <c r="BB372" s="10">
        <f t="shared" si="33"/>
        <v>33292.890950000001</v>
      </c>
      <c r="BC372" s="17">
        <f t="shared" si="34"/>
        <v>0.21377499999999999</v>
      </c>
      <c r="BD372" s="10">
        <f t="shared" si="35"/>
        <v>32276.544762000009</v>
      </c>
    </row>
    <row r="373" spans="1:56" x14ac:dyDescent="0.25">
      <c r="A373" s="8" t="s">
        <v>877</v>
      </c>
      <c r="B373" s="8" t="s">
        <v>878</v>
      </c>
      <c r="C373" s="8" t="s">
        <v>910</v>
      </c>
      <c r="D373" s="8" t="s">
        <v>911</v>
      </c>
      <c r="E373" s="8" t="s">
        <v>913</v>
      </c>
      <c r="F373" s="8" t="s">
        <v>914</v>
      </c>
      <c r="G373" s="9">
        <v>191631</v>
      </c>
      <c r="H373" s="10">
        <f>INDEX([1]ratio_ins!F:F,MATCH('001_population_health_zone_zs'!$B$2,[1]ratio_ins!$B:$B,0))*$G373*INDEX([1]ratio_ins!$C:$C,MATCH('001_population_health_zone_zs'!$B373,[1]ratio_ins!$B:$B,0))</f>
        <v>19905.286863000001</v>
      </c>
      <c r="I373" s="10">
        <f>INDEX([1]ratio_ins!G:G,MATCH('001_population_health_zone_zs'!$B$2,[1]ratio_ins!$B:$B,0))*$G373*INDEX([1]ratio_ins!$C:$C,MATCH('001_population_health_zone_zs'!$B373,[1]ratio_ins!$B:$B,0))</f>
        <v>16286.143797000004</v>
      </c>
      <c r="J373" s="10">
        <f>INDEX([1]ratio_ins!H:H,MATCH('001_population_health_zone_zs'!$B$2,[1]ratio_ins!$B:$B,0))*$G373*INDEX([1]ratio_ins!$C:$C,MATCH('001_population_health_zone_zs'!$B373,[1]ratio_ins!$B:$B,0))</f>
        <v>12857.481945000001</v>
      </c>
      <c r="K373" s="10">
        <f>INDEX([1]ratio_ins!I:I,MATCH('001_population_health_zone_zs'!$B$2,[1]ratio_ins!$B:$B,0))*$G373*INDEX([1]ratio_ins!$C:$C,MATCH('001_population_health_zone_zs'!$B373,[1]ratio_ins!$B:$B,0))</f>
        <v>7904.9703810000019</v>
      </c>
      <c r="L373" s="10">
        <f>INDEX([1]ratio_ins!J:J,MATCH('001_population_health_zone_zs'!$B$2,[1]ratio_ins!$B:$B,0))*$G373*INDEX([1]ratio_ins!$C:$C,MATCH('001_population_health_zone_zs'!$B373,[1]ratio_ins!$B:$B,0))</f>
        <v>4742.9822286000008</v>
      </c>
      <c r="M373" s="11">
        <f>INDEX([1]ratio_ins!K:K,MATCH('001_population_health_zone_zs'!$B$2,[1]ratio_ins!$B:$B,0))*$G373*INDEX([1]ratio_ins!$C:$C,MATCH('001_population_health_zone_zs'!$B373,[1]ratio_ins!$B:$B,0))</f>
        <v>53791.894833600003</v>
      </c>
      <c r="N373" s="10">
        <f>INDEX([1]ratio_ins!L:L,MATCH('001_population_health_zone_zs'!$B$2,[1]ratio_ins!$B:$B,0))*$G373*INDEX([1]ratio_ins!$C:$C,MATCH('001_population_health_zone_zs'!$B373,[1]ratio_ins!$B:$B,0))</f>
        <v>3161.9881524000002</v>
      </c>
      <c r="O373" s="10">
        <f>INDEX([1]ratio_ins!M:M,MATCH('001_population_health_zone_zs'!$B$2,[1]ratio_ins!$B:$B,0))*$G373*INDEX([1]ratio_ins!$C:$C,MATCH('001_population_health_zone_zs'!$B373,[1]ratio_ins!$B:$B,0))</f>
        <v>6857.3237040000022</v>
      </c>
      <c r="P373" s="10">
        <f>INDEX([1]ratio_ins!N:N,MATCH('001_population_health_zone_zs'!$B$2,[1]ratio_ins!$B:$B,0))*$G373*INDEX([1]ratio_ins!$C:$C,MATCH('001_population_health_zone_zs'!$B373,[1]ratio_ins!$B:$B,0))</f>
        <v>6190.6394550000014</v>
      </c>
      <c r="Q373" s="10">
        <f>INDEX([1]ratio_ins!O:O,MATCH('001_population_health_zone_zs'!$B$2,[1]ratio_ins!$B:$B,0))*$G373*INDEX([1]ratio_ins!$C:$C,MATCH('001_population_health_zone_zs'!$B373,[1]ratio_ins!$B:$B,0))</f>
        <v>5523.9552060000005</v>
      </c>
      <c r="R373" s="10">
        <f>INDEX([1]ratio_ins!P:P,MATCH('001_population_health_zone_zs'!$B$2,[1]ratio_ins!$B:$B,0))*$G373*INDEX([1]ratio_ins!$C:$C,MATCH('001_population_health_zone_zs'!$B373,[1]ratio_ins!$B:$B,0))</f>
        <v>5428.7145990000008</v>
      </c>
      <c r="S373" s="10">
        <f>INDEX([1]ratio_ins!Q:Q,MATCH('001_population_health_zone_zs'!$B$2,[1]ratio_ins!$B:$B,0))*$G373*INDEX([1]ratio_ins!$C:$C,MATCH('001_population_health_zone_zs'!$B373,[1]ratio_ins!$B:$B,0))</f>
        <v>4571.5491360000005</v>
      </c>
      <c r="T373" s="10">
        <f>INDEX([1]ratio_ins!R:R,MATCH('001_population_health_zone_zs'!$B$2,[1]ratio_ins!$B:$B,0))*$G373*INDEX([1]ratio_ins!$C:$C,MATCH('001_population_health_zone_zs'!$B373,[1]ratio_ins!$B:$B,0))</f>
        <v>3238.1806380000007</v>
      </c>
      <c r="U373" s="10">
        <f>INDEX([1]ratio_ins!S:S,MATCH('001_population_health_zone_zs'!$B$2,[1]ratio_ins!$B:$B,0))*$G373*INDEX([1]ratio_ins!$C:$C,MATCH('001_population_health_zone_zs'!$B373,[1]ratio_ins!$B:$B,0))</f>
        <v>2571.4963890000004</v>
      </c>
      <c r="V373" s="10">
        <f>INDEX([1]ratio_ins!T:T,MATCH('001_population_health_zone_zs'!$B$2,[1]ratio_ins!$B:$B,0))*$G373*INDEX([1]ratio_ins!$C:$C,MATCH('001_population_health_zone_zs'!$B373,[1]ratio_ins!$B:$B,0))</f>
        <v>1428.609105</v>
      </c>
      <c r="W373" s="11">
        <f>INDEX([1]ratio_ins!U:U,MATCH('001_population_health_zone_zs'!$B$2,[1]ratio_ins!$B:$B,0))*$G373*INDEX([1]ratio_ins!$C:$C,MATCH('001_population_health_zone_zs'!$B373,[1]ratio_ins!$B:$B,0))</f>
        <v>38972.456384400008</v>
      </c>
      <c r="X373" s="10">
        <f>INDEX([1]ratio_ins!V:V,MATCH('001_population_health_zone_zs'!$B$2,[1]ratio_ins!$B:$B,0))*$G373*INDEX([1]ratio_ins!$C:$C,MATCH('001_population_health_zone_zs'!$B373,[1]ratio_ins!$B:$B,0))</f>
        <v>1142.8872840000001</v>
      </c>
      <c r="Y373" s="10">
        <f>INDEX([1]ratio_ins!W:W,MATCH('001_population_health_zone_zs'!$B$2,[1]ratio_ins!$B:$B,0))*$G373*INDEX([1]ratio_ins!$C:$C,MATCH('001_population_health_zone_zs'!$B373,[1]ratio_ins!$B:$B,0))</f>
        <v>761.92485600000009</v>
      </c>
      <c r="Z373" s="10">
        <f>INDEX([1]ratio_ins!X:X,MATCH('001_population_health_zone_zs'!$B$2,[1]ratio_ins!$B:$B,0))*$G373*INDEX([1]ratio_ins!$C:$C,MATCH('001_population_health_zone_zs'!$B373,[1]ratio_ins!$B:$B,0))</f>
        <v>380.96242800000005</v>
      </c>
      <c r="AA373" s="10">
        <f>INDEX([1]ratio_ins!Y:Y,MATCH('001_population_health_zone_zs'!$B$2,[1]ratio_ins!$B:$B,0))*$G373*INDEX([1]ratio_ins!$C:$C,MATCH('001_population_health_zone_zs'!$B373,[1]ratio_ins!$B:$B,0))</f>
        <v>190.48121400000002</v>
      </c>
      <c r="AB373" s="11">
        <f>INDEX([1]ratio_ins!Z:Z,MATCH('001_population_health_zone_zs'!$B$2,[1]ratio_ins!$B:$B,0))*$G373*INDEX([1]ratio_ins!$C:$C,MATCH('001_population_health_zone_zs'!$B373,[1]ratio_ins!$B:$B,0))</f>
        <v>2476.2557820000006</v>
      </c>
      <c r="AC373" s="12">
        <f t="shared" si="30"/>
        <v>95240.607000000018</v>
      </c>
      <c r="AD373" s="10">
        <f>INDEX([1]ratio_ins!AA:AA,MATCH('001_population_health_zone_zs'!$B$2,[1]ratio_ins!$B:$B,0))*$G373*INDEX([1]ratio_ins!$D:$D,MATCH('001_population_health_zone_zs'!$B373,[1]ratio_ins!$B:$B,0))</f>
        <v>20241.982530000001</v>
      </c>
      <c r="AE373" s="10">
        <f>INDEX([1]ratio_ins!AB:AB,MATCH('001_population_health_zone_zs'!$B$2,[1]ratio_ins!$B:$B,0))*$G373*INDEX([1]ratio_ins!$D:$D,MATCH('001_population_health_zone_zs'!$B373,[1]ratio_ins!$B:$B,0))</f>
        <v>16675.537989</v>
      </c>
      <c r="AF373" s="10">
        <f>INDEX([1]ratio_ins!AC:AC,MATCH('001_population_health_zone_zs'!$B$2,[1]ratio_ins!$B:$B,0))*$G373*INDEX([1]ratio_ins!$D:$D,MATCH('001_population_health_zone_zs'!$B373,[1]ratio_ins!$B:$B,0))</f>
        <v>13205.483840999997</v>
      </c>
      <c r="AG373" s="10">
        <f>INDEX([1]ratio_ins!AD:AD,MATCH('001_population_health_zone_zs'!$B$2,[1]ratio_ins!$B:$B,0))*$G373*INDEX([1]ratio_ins!$D:$D,MATCH('001_population_health_zone_zs'!$B373,[1]ratio_ins!$B:$B,0))</f>
        <v>8000.4026190000004</v>
      </c>
      <c r="AH373" s="10">
        <f>INDEX([1]ratio_ins!AE:AE,MATCH('001_population_health_zone_zs'!$B$2,[1]ratio_ins!$B:$B,0))*$G373*INDEX([1]ratio_ins!$D:$D,MATCH('001_population_health_zone_zs'!$B373,[1]ratio_ins!$B:$B,0))</f>
        <v>4800.2415713999999</v>
      </c>
      <c r="AI373" s="13">
        <f>INDEX([1]ratio_ins!AF:AF,MATCH('001_population_health_zone_zs'!$B$2,[1]ratio_ins!$B:$B,0))*$G373*INDEX([1]ratio_ins!$D:$D,MATCH('001_population_health_zone_zs'!$B373,[1]ratio_ins!$B:$B,0))</f>
        <v>54923.245931399993</v>
      </c>
      <c r="AJ373" s="10">
        <f>INDEX([1]ratio_ins!AG:AG,MATCH('001_population_health_zone_zs'!$B$2,[1]ratio_ins!$B:$B,0))*$G373*INDEX([1]ratio_ins!$D:$D,MATCH('001_population_health_zone_zs'!$B373,[1]ratio_ins!$B:$B,0))</f>
        <v>3200.1610476000001</v>
      </c>
      <c r="AK373" s="10">
        <f>INDEX([1]ratio_ins!AH:AH,MATCH('001_population_health_zone_zs'!$B$2,[1]ratio_ins!$B:$B,0))*$G373*INDEX([1]ratio_ins!$D:$D,MATCH('001_population_health_zone_zs'!$B373,[1]ratio_ins!$B:$B,0))</f>
        <v>7132.8890820000006</v>
      </c>
      <c r="AL373" s="10">
        <f>INDEX([1]ratio_ins!AI:AI,MATCH('001_population_health_zone_zs'!$B$2,[1]ratio_ins!$B:$B,0))*$G373*INDEX([1]ratio_ins!$D:$D,MATCH('001_population_health_zone_zs'!$B373,[1]ratio_ins!$B:$B,0))</f>
        <v>6747.327510000001</v>
      </c>
      <c r="AM373" s="10">
        <f>INDEX([1]ratio_ins!AJ:AJ,MATCH('001_population_health_zone_zs'!$B$2,[1]ratio_ins!$B:$B,0))*$G373*INDEX([1]ratio_ins!$D:$D,MATCH('001_population_health_zone_zs'!$B373,[1]ratio_ins!$B:$B,0))</f>
        <v>6168.9851520000002</v>
      </c>
      <c r="AN373" s="10">
        <f>INDEX([1]ratio_ins!AK:AK,MATCH('001_population_health_zone_zs'!$B$2,[1]ratio_ins!$B:$B,0))*$G373*INDEX([1]ratio_ins!$D:$D,MATCH('001_population_health_zone_zs'!$B373,[1]ratio_ins!$B:$B,0))</f>
        <v>5783.4235799999997</v>
      </c>
      <c r="AO373" s="10">
        <f>INDEX([1]ratio_ins!AL:AL,MATCH('001_population_health_zone_zs'!$B$2,[1]ratio_ins!$B:$B,0))*$G373*INDEX([1]ratio_ins!$D:$D,MATCH('001_population_health_zone_zs'!$B373,[1]ratio_ins!$B:$B,0))</f>
        <v>4337.567685</v>
      </c>
      <c r="AP373" s="10">
        <f>INDEX([1]ratio_ins!AM:AM,MATCH('001_population_health_zone_zs'!$B$2,[1]ratio_ins!$B:$B,0))*$G373*INDEX([1]ratio_ins!$D:$D,MATCH('001_population_health_zone_zs'!$B373,[1]ratio_ins!$B:$B,0))</f>
        <v>2795.3213970000002</v>
      </c>
      <c r="AQ373" s="10">
        <f>INDEX([1]ratio_ins!AN:AN,MATCH('001_population_health_zone_zs'!$B$2,[1]ratio_ins!$B:$B,0))*$G373*INDEX([1]ratio_ins!$D:$D,MATCH('001_population_health_zone_zs'!$B373,[1]ratio_ins!$B:$B,0))</f>
        <v>2216.9790389999998</v>
      </c>
      <c r="AR373" s="10">
        <f>INDEX([1]ratio_ins!AO:AO,MATCH('001_population_health_zone_zs'!$B$2,[1]ratio_ins!$B:$B,0))*$G373*INDEX([1]ratio_ins!$D:$D,MATCH('001_population_health_zone_zs'!$B373,[1]ratio_ins!$B:$B,0))</f>
        <v>1060.2943230000001</v>
      </c>
      <c r="AS373" s="13">
        <f>INDEX([1]ratio_ins!AP:AP,MATCH('001_population_health_zone_zs'!$B$2,[1]ratio_ins!$B:$B,0))*$G373*INDEX([1]ratio_ins!$D:$D,MATCH('001_population_health_zone_zs'!$B373,[1]ratio_ins!$B:$B,0))</f>
        <v>39442.948815600008</v>
      </c>
      <c r="AT373" s="10">
        <f>INDEX([1]ratio_ins!AQ:AQ,MATCH('001_population_health_zone_zs'!$B$2,[1]ratio_ins!$B:$B,0))*$G373*INDEX([1]ratio_ins!$D:$D,MATCH('001_population_health_zone_zs'!$B373,[1]ratio_ins!$B:$B,0))</f>
        <v>963.90392999999995</v>
      </c>
      <c r="AU373" s="10">
        <f>INDEX([1]ratio_ins!AR:AR,MATCH('001_population_health_zone_zs'!$B$2,[1]ratio_ins!$B:$B,0))*$G373*INDEX([1]ratio_ins!$D:$D,MATCH('001_population_health_zone_zs'!$B373,[1]ratio_ins!$B:$B,0))</f>
        <v>578.34235799999999</v>
      </c>
      <c r="AV373" s="10">
        <f>INDEX([1]ratio_ins!AS:AS,MATCH('001_population_health_zone_zs'!$B$2,[1]ratio_ins!$B:$B,0))*$G373*INDEX([1]ratio_ins!$D:$D,MATCH('001_population_health_zone_zs'!$B373,[1]ratio_ins!$B:$B,0))</f>
        <v>289.171179</v>
      </c>
      <c r="AW373" s="10">
        <f>INDEX([1]ratio_ins!AT:AT,MATCH('001_population_health_zone_zs'!$B$2,[1]ratio_ins!$B:$B,0))*$G373*INDEX([1]ratio_ins!$D:$D,MATCH('001_population_health_zone_zs'!$B373,[1]ratio_ins!$B:$B,0))</f>
        <v>192.78078600000001</v>
      </c>
      <c r="AX373" s="13">
        <f>INDEX([1]ratio_ins!AU:AU,MATCH('001_population_health_zone_zs'!$B$2,[1]ratio_ins!$B:$B,0))*$G373*INDEX([1]ratio_ins!$D:$D,MATCH('001_population_health_zone_zs'!$B373,[1]ratio_ins!$B:$B,0))</f>
        <v>2024.1982529999998</v>
      </c>
      <c r="AY373" s="14">
        <f t="shared" si="31"/>
        <v>96390.392999999996</v>
      </c>
      <c r="AZ373" s="15">
        <f t="shared" si="32"/>
        <v>191631</v>
      </c>
      <c r="BA373" s="16">
        <v>182437.80460993026</v>
      </c>
      <c r="BB373" s="10">
        <f t="shared" si="33"/>
        <v>40965.91702500001</v>
      </c>
      <c r="BC373" s="17">
        <f t="shared" si="34"/>
        <v>0.21377500000000005</v>
      </c>
      <c r="BD373" s="10">
        <f t="shared" si="35"/>
        <v>39715.333119000003</v>
      </c>
    </row>
    <row r="374" spans="1:56" x14ac:dyDescent="0.25">
      <c r="A374" s="8" t="s">
        <v>877</v>
      </c>
      <c r="B374" s="8" t="s">
        <v>878</v>
      </c>
      <c r="C374" s="8" t="s">
        <v>910</v>
      </c>
      <c r="D374" s="8" t="s">
        <v>911</v>
      </c>
      <c r="E374" s="8" t="s">
        <v>915</v>
      </c>
      <c r="F374" s="8" t="s">
        <v>916</v>
      </c>
      <c r="G374" s="9">
        <v>88010</v>
      </c>
      <c r="H374" s="10">
        <f>INDEX([1]ratio_ins!F:F,MATCH('001_population_health_zone_zs'!$B$2,[1]ratio_ins!$B:$B,0))*$G374*INDEX([1]ratio_ins!$C:$C,MATCH('001_population_health_zone_zs'!$B374,[1]ratio_ins!$B:$B,0))</f>
        <v>9141.8627300000007</v>
      </c>
      <c r="I374" s="10">
        <f>INDEX([1]ratio_ins!G:G,MATCH('001_population_health_zone_zs'!$B$2,[1]ratio_ins!$B:$B,0))*$G374*INDEX([1]ratio_ins!$C:$C,MATCH('001_population_health_zone_zs'!$B374,[1]ratio_ins!$B:$B,0))</f>
        <v>7479.7058700000016</v>
      </c>
      <c r="J374" s="10">
        <f>INDEX([1]ratio_ins!H:H,MATCH('001_population_health_zone_zs'!$B$2,[1]ratio_ins!$B:$B,0))*$G374*INDEX([1]ratio_ins!$C:$C,MATCH('001_population_health_zone_zs'!$B374,[1]ratio_ins!$B:$B,0))</f>
        <v>5905.0309500000012</v>
      </c>
      <c r="K374" s="10">
        <f>INDEX([1]ratio_ins!I:I,MATCH('001_population_health_zone_zs'!$B$2,[1]ratio_ins!$B:$B,0))*$G374*INDEX([1]ratio_ins!$C:$C,MATCH('001_population_health_zone_zs'!$B374,[1]ratio_ins!$B:$B,0))</f>
        <v>3630.5005100000003</v>
      </c>
      <c r="L374" s="10">
        <f>INDEX([1]ratio_ins!J:J,MATCH('001_population_health_zone_zs'!$B$2,[1]ratio_ins!$B:$B,0))*$G374*INDEX([1]ratio_ins!$C:$C,MATCH('001_population_health_zone_zs'!$B374,[1]ratio_ins!$B:$B,0))</f>
        <v>2178.3003060000001</v>
      </c>
      <c r="M374" s="11">
        <f>INDEX([1]ratio_ins!K:K,MATCH('001_population_health_zone_zs'!$B$2,[1]ratio_ins!$B:$B,0))*$G374*INDEX([1]ratio_ins!$C:$C,MATCH('001_population_health_zone_zs'!$B374,[1]ratio_ins!$B:$B,0))</f>
        <v>24704.899856</v>
      </c>
      <c r="N374" s="10">
        <f>INDEX([1]ratio_ins!L:L,MATCH('001_population_health_zone_zs'!$B$2,[1]ratio_ins!$B:$B,0))*$G374*INDEX([1]ratio_ins!$C:$C,MATCH('001_population_health_zone_zs'!$B374,[1]ratio_ins!$B:$B,0))</f>
        <v>1452.2002040000002</v>
      </c>
      <c r="O374" s="10">
        <f>INDEX([1]ratio_ins!M:M,MATCH('001_population_health_zone_zs'!$B$2,[1]ratio_ins!$B:$B,0))*$G374*INDEX([1]ratio_ins!$C:$C,MATCH('001_population_health_zone_zs'!$B374,[1]ratio_ins!$B:$B,0))</f>
        <v>3149.3498400000008</v>
      </c>
      <c r="P374" s="10">
        <f>INDEX([1]ratio_ins!N:N,MATCH('001_population_health_zone_zs'!$B$2,[1]ratio_ins!$B:$B,0))*$G374*INDEX([1]ratio_ins!$C:$C,MATCH('001_population_health_zone_zs'!$B374,[1]ratio_ins!$B:$B,0))</f>
        <v>2843.1630500000006</v>
      </c>
      <c r="Q374" s="10">
        <f>INDEX([1]ratio_ins!O:O,MATCH('001_population_health_zone_zs'!$B$2,[1]ratio_ins!$B:$B,0))*$G374*INDEX([1]ratio_ins!$C:$C,MATCH('001_population_health_zone_zs'!$B374,[1]ratio_ins!$B:$B,0))</f>
        <v>2536.9762600000004</v>
      </c>
      <c r="R374" s="10">
        <f>INDEX([1]ratio_ins!P:P,MATCH('001_population_health_zone_zs'!$B$2,[1]ratio_ins!$B:$B,0))*$G374*INDEX([1]ratio_ins!$C:$C,MATCH('001_population_health_zone_zs'!$B374,[1]ratio_ins!$B:$B,0))</f>
        <v>2493.2352900000005</v>
      </c>
      <c r="S374" s="10">
        <f>INDEX([1]ratio_ins!Q:Q,MATCH('001_population_health_zone_zs'!$B$2,[1]ratio_ins!$B:$B,0))*$G374*INDEX([1]ratio_ins!$C:$C,MATCH('001_population_health_zone_zs'!$B374,[1]ratio_ins!$B:$B,0))</f>
        <v>2099.5665600000007</v>
      </c>
      <c r="T374" s="10">
        <f>INDEX([1]ratio_ins!R:R,MATCH('001_population_health_zone_zs'!$B$2,[1]ratio_ins!$B:$B,0))*$G374*INDEX([1]ratio_ins!$C:$C,MATCH('001_population_health_zone_zs'!$B374,[1]ratio_ins!$B:$B,0))</f>
        <v>1487.1929800000003</v>
      </c>
      <c r="U374" s="10">
        <f>INDEX([1]ratio_ins!S:S,MATCH('001_population_health_zone_zs'!$B$2,[1]ratio_ins!$B:$B,0))*$G374*INDEX([1]ratio_ins!$C:$C,MATCH('001_population_health_zone_zs'!$B374,[1]ratio_ins!$B:$B,0))</f>
        <v>1181.0061900000003</v>
      </c>
      <c r="V374" s="10">
        <f>INDEX([1]ratio_ins!T:T,MATCH('001_population_health_zone_zs'!$B$2,[1]ratio_ins!$B:$B,0))*$G374*INDEX([1]ratio_ins!$C:$C,MATCH('001_population_health_zone_zs'!$B374,[1]ratio_ins!$B:$B,0))</f>
        <v>656.11455000000001</v>
      </c>
      <c r="W374" s="11">
        <f>INDEX([1]ratio_ins!U:U,MATCH('001_population_health_zone_zs'!$B$2,[1]ratio_ins!$B:$B,0))*$G374*INDEX([1]ratio_ins!$C:$C,MATCH('001_population_health_zone_zs'!$B374,[1]ratio_ins!$B:$B,0))</f>
        <v>17898.804924000004</v>
      </c>
      <c r="X374" s="10">
        <f>INDEX([1]ratio_ins!V:V,MATCH('001_population_health_zone_zs'!$B$2,[1]ratio_ins!$B:$B,0))*$G374*INDEX([1]ratio_ins!$C:$C,MATCH('001_population_health_zone_zs'!$B374,[1]ratio_ins!$B:$B,0))</f>
        <v>524.89164000000017</v>
      </c>
      <c r="Y374" s="10">
        <f>INDEX([1]ratio_ins!W:W,MATCH('001_population_health_zone_zs'!$B$2,[1]ratio_ins!$B:$B,0))*$G374*INDEX([1]ratio_ins!$C:$C,MATCH('001_population_health_zone_zs'!$B374,[1]ratio_ins!$B:$B,0))</f>
        <v>349.92776000000003</v>
      </c>
      <c r="Z374" s="10">
        <f>INDEX([1]ratio_ins!X:X,MATCH('001_population_health_zone_zs'!$B$2,[1]ratio_ins!$B:$B,0))*$G374*INDEX([1]ratio_ins!$C:$C,MATCH('001_population_health_zone_zs'!$B374,[1]ratio_ins!$B:$B,0))</f>
        <v>174.96388000000002</v>
      </c>
      <c r="AA374" s="10">
        <f>INDEX([1]ratio_ins!Y:Y,MATCH('001_population_health_zone_zs'!$B$2,[1]ratio_ins!$B:$B,0))*$G374*INDEX([1]ratio_ins!$C:$C,MATCH('001_population_health_zone_zs'!$B374,[1]ratio_ins!$B:$B,0))</f>
        <v>87.481940000000009</v>
      </c>
      <c r="AB374" s="11">
        <f>INDEX([1]ratio_ins!Z:Z,MATCH('001_population_health_zone_zs'!$B$2,[1]ratio_ins!$B:$B,0))*$G374*INDEX([1]ratio_ins!$C:$C,MATCH('001_population_health_zone_zs'!$B374,[1]ratio_ins!$B:$B,0))</f>
        <v>1137.2652200000002</v>
      </c>
      <c r="AC374" s="12">
        <f t="shared" si="30"/>
        <v>43740.97</v>
      </c>
      <c r="AD374" s="10">
        <f>INDEX([1]ratio_ins!AA:AA,MATCH('001_population_health_zone_zs'!$B$2,[1]ratio_ins!$B:$B,0))*$G374*INDEX([1]ratio_ins!$D:$D,MATCH('001_population_health_zone_zs'!$B374,[1]ratio_ins!$B:$B,0))</f>
        <v>9296.4962999999989</v>
      </c>
      <c r="AE374" s="10">
        <f>INDEX([1]ratio_ins!AB:AB,MATCH('001_population_health_zone_zs'!$B$2,[1]ratio_ins!$B:$B,0))*$G374*INDEX([1]ratio_ins!$D:$D,MATCH('001_population_health_zone_zs'!$B374,[1]ratio_ins!$B:$B,0))</f>
        <v>7658.542190000001</v>
      </c>
      <c r="AF374" s="10">
        <f>INDEX([1]ratio_ins!AC:AC,MATCH('001_population_health_zone_zs'!$B$2,[1]ratio_ins!$B:$B,0))*$G374*INDEX([1]ratio_ins!$D:$D,MATCH('001_population_health_zone_zs'!$B374,[1]ratio_ins!$B:$B,0))</f>
        <v>6064.8571099999999</v>
      </c>
      <c r="AG374" s="10">
        <f>INDEX([1]ratio_ins!AD:AD,MATCH('001_population_health_zone_zs'!$B$2,[1]ratio_ins!$B:$B,0))*$G374*INDEX([1]ratio_ins!$D:$D,MATCH('001_population_health_zone_zs'!$B374,[1]ratio_ins!$B:$B,0))</f>
        <v>3674.3294900000001</v>
      </c>
      <c r="AH374" s="10">
        <f>INDEX([1]ratio_ins!AE:AE,MATCH('001_population_health_zone_zs'!$B$2,[1]ratio_ins!$B:$B,0))*$G374*INDEX([1]ratio_ins!$D:$D,MATCH('001_population_health_zone_zs'!$B374,[1]ratio_ins!$B:$B,0))</f>
        <v>2204.597694</v>
      </c>
      <c r="AI374" s="13">
        <f>INDEX([1]ratio_ins!AF:AF,MATCH('001_population_health_zone_zs'!$B$2,[1]ratio_ins!$B:$B,0))*$G374*INDEX([1]ratio_ins!$D:$D,MATCH('001_population_health_zone_zs'!$B374,[1]ratio_ins!$B:$B,0))</f>
        <v>25224.493294</v>
      </c>
      <c r="AJ374" s="10">
        <f>INDEX([1]ratio_ins!AG:AG,MATCH('001_population_health_zone_zs'!$B$2,[1]ratio_ins!$B:$B,0))*$G374*INDEX([1]ratio_ins!$D:$D,MATCH('001_population_health_zone_zs'!$B374,[1]ratio_ins!$B:$B,0))</f>
        <v>1469.731796</v>
      </c>
      <c r="AK374" s="10">
        <f>INDEX([1]ratio_ins!AH:AH,MATCH('001_population_health_zone_zs'!$B$2,[1]ratio_ins!$B:$B,0))*$G374*INDEX([1]ratio_ins!$D:$D,MATCH('001_population_health_zone_zs'!$B374,[1]ratio_ins!$B:$B,0))</f>
        <v>3275.9082200000003</v>
      </c>
      <c r="AL374" s="10">
        <f>INDEX([1]ratio_ins!AI:AI,MATCH('001_population_health_zone_zs'!$B$2,[1]ratio_ins!$B:$B,0))*$G374*INDEX([1]ratio_ins!$D:$D,MATCH('001_population_health_zone_zs'!$B374,[1]ratio_ins!$B:$B,0))</f>
        <v>3098.8321000000005</v>
      </c>
      <c r="AM374" s="10">
        <f>INDEX([1]ratio_ins!AJ:AJ,MATCH('001_population_health_zone_zs'!$B$2,[1]ratio_ins!$B:$B,0))*$G374*INDEX([1]ratio_ins!$D:$D,MATCH('001_population_health_zone_zs'!$B374,[1]ratio_ins!$B:$B,0))</f>
        <v>2833.21792</v>
      </c>
      <c r="AN374" s="10">
        <f>INDEX([1]ratio_ins!AK:AK,MATCH('001_population_health_zone_zs'!$B$2,[1]ratio_ins!$B:$B,0))*$G374*INDEX([1]ratio_ins!$D:$D,MATCH('001_population_health_zone_zs'!$B374,[1]ratio_ins!$B:$B,0))</f>
        <v>2656.1417999999999</v>
      </c>
      <c r="AO374" s="10">
        <f>INDEX([1]ratio_ins!AL:AL,MATCH('001_population_health_zone_zs'!$B$2,[1]ratio_ins!$B:$B,0))*$G374*INDEX([1]ratio_ins!$D:$D,MATCH('001_population_health_zone_zs'!$B374,[1]ratio_ins!$B:$B,0))</f>
        <v>1992.10635</v>
      </c>
      <c r="AP374" s="10">
        <f>INDEX([1]ratio_ins!AM:AM,MATCH('001_population_health_zone_zs'!$B$2,[1]ratio_ins!$B:$B,0))*$G374*INDEX([1]ratio_ins!$D:$D,MATCH('001_population_health_zone_zs'!$B374,[1]ratio_ins!$B:$B,0))</f>
        <v>1283.80187</v>
      </c>
      <c r="AQ374" s="10">
        <f>INDEX([1]ratio_ins!AN:AN,MATCH('001_population_health_zone_zs'!$B$2,[1]ratio_ins!$B:$B,0))*$G374*INDEX([1]ratio_ins!$D:$D,MATCH('001_population_health_zone_zs'!$B374,[1]ratio_ins!$B:$B,0))</f>
        <v>1018.18769</v>
      </c>
      <c r="AR374" s="10">
        <f>INDEX([1]ratio_ins!AO:AO,MATCH('001_population_health_zone_zs'!$B$2,[1]ratio_ins!$B:$B,0))*$G374*INDEX([1]ratio_ins!$D:$D,MATCH('001_population_health_zone_zs'!$B374,[1]ratio_ins!$B:$B,0))</f>
        <v>486.95933000000008</v>
      </c>
      <c r="AS374" s="13">
        <f>INDEX([1]ratio_ins!AP:AP,MATCH('001_population_health_zone_zs'!$B$2,[1]ratio_ins!$B:$B,0))*$G374*INDEX([1]ratio_ins!$D:$D,MATCH('001_population_health_zone_zs'!$B374,[1]ratio_ins!$B:$B,0))</f>
        <v>18114.887076000003</v>
      </c>
      <c r="AT374" s="10">
        <f>INDEX([1]ratio_ins!AQ:AQ,MATCH('001_population_health_zone_zs'!$B$2,[1]ratio_ins!$B:$B,0))*$G374*INDEX([1]ratio_ins!$D:$D,MATCH('001_population_health_zone_zs'!$B374,[1]ratio_ins!$B:$B,0))</f>
        <v>442.69030000000004</v>
      </c>
      <c r="AU374" s="10">
        <f>INDEX([1]ratio_ins!AR:AR,MATCH('001_population_health_zone_zs'!$B$2,[1]ratio_ins!$B:$B,0))*$G374*INDEX([1]ratio_ins!$D:$D,MATCH('001_population_health_zone_zs'!$B374,[1]ratio_ins!$B:$B,0))</f>
        <v>265.61418000000003</v>
      </c>
      <c r="AV374" s="10">
        <f>INDEX([1]ratio_ins!AS:AS,MATCH('001_population_health_zone_zs'!$B$2,[1]ratio_ins!$B:$B,0))*$G374*INDEX([1]ratio_ins!$D:$D,MATCH('001_population_health_zone_zs'!$B374,[1]ratio_ins!$B:$B,0))</f>
        <v>132.80709000000002</v>
      </c>
      <c r="AW374" s="10">
        <f>INDEX([1]ratio_ins!AT:AT,MATCH('001_population_health_zone_zs'!$B$2,[1]ratio_ins!$B:$B,0))*$G374*INDEX([1]ratio_ins!$D:$D,MATCH('001_population_health_zone_zs'!$B374,[1]ratio_ins!$B:$B,0))</f>
        <v>88.538060000000002</v>
      </c>
      <c r="AX374" s="13">
        <f>INDEX([1]ratio_ins!AU:AU,MATCH('001_population_health_zone_zs'!$B$2,[1]ratio_ins!$B:$B,0))*$G374*INDEX([1]ratio_ins!$D:$D,MATCH('001_population_health_zone_zs'!$B374,[1]ratio_ins!$B:$B,0))</f>
        <v>929.64962999999989</v>
      </c>
      <c r="AY374" s="14">
        <f t="shared" si="31"/>
        <v>44269.03</v>
      </c>
      <c r="AZ374" s="15">
        <f t="shared" si="32"/>
        <v>88010</v>
      </c>
      <c r="BA374" s="16">
        <v>83788.047138796406</v>
      </c>
      <c r="BB374" s="10">
        <f t="shared" si="33"/>
        <v>18814.337749999999</v>
      </c>
      <c r="BC374" s="17">
        <f t="shared" si="34"/>
        <v>0.21377499999999999</v>
      </c>
      <c r="BD374" s="10">
        <f t="shared" si="35"/>
        <v>18239.984490000003</v>
      </c>
    </row>
    <row r="375" spans="1:56" x14ac:dyDescent="0.25">
      <c r="A375" s="8" t="s">
        <v>877</v>
      </c>
      <c r="B375" s="8" t="s">
        <v>878</v>
      </c>
      <c r="C375" s="8" t="s">
        <v>910</v>
      </c>
      <c r="D375" s="8" t="s">
        <v>911</v>
      </c>
      <c r="E375" s="8" t="s">
        <v>917</v>
      </c>
      <c r="F375" s="8" t="s">
        <v>918</v>
      </c>
      <c r="G375" s="9">
        <v>588689</v>
      </c>
      <c r="H375" s="10">
        <f>INDEX([1]ratio_ins!F:F,MATCH('001_population_health_zone_zs'!$B$2,[1]ratio_ins!$B:$B,0))*$G375*INDEX([1]ratio_ins!$C:$C,MATCH('001_population_health_zone_zs'!$B375,[1]ratio_ins!$B:$B,0))</f>
        <v>61148.892497000001</v>
      </c>
      <c r="I375" s="10">
        <f>INDEX([1]ratio_ins!G:G,MATCH('001_population_health_zone_zs'!$B$2,[1]ratio_ins!$B:$B,0))*$G375*INDEX([1]ratio_ins!$C:$C,MATCH('001_population_health_zone_zs'!$B375,[1]ratio_ins!$B:$B,0))</f>
        <v>50030.912043000004</v>
      </c>
      <c r="J375" s="10">
        <f>INDEX([1]ratio_ins!H:H,MATCH('001_population_health_zone_zs'!$B$2,[1]ratio_ins!$B:$B,0))*$G375*INDEX([1]ratio_ins!$C:$C,MATCH('001_population_health_zone_zs'!$B375,[1]ratio_ins!$B:$B,0))</f>
        <v>39498.088455000005</v>
      </c>
      <c r="K375" s="10">
        <f>INDEX([1]ratio_ins!I:I,MATCH('001_population_health_zone_zs'!$B$2,[1]ratio_ins!$B:$B,0))*$G375*INDEX([1]ratio_ins!$C:$C,MATCH('001_population_health_zone_zs'!$B375,[1]ratio_ins!$B:$B,0))</f>
        <v>24284.009939000007</v>
      </c>
      <c r="L375" s="10">
        <f>INDEX([1]ratio_ins!J:J,MATCH('001_population_health_zone_zs'!$B$2,[1]ratio_ins!$B:$B,0))*$G375*INDEX([1]ratio_ins!$C:$C,MATCH('001_population_health_zone_zs'!$B375,[1]ratio_ins!$B:$B,0))</f>
        <v>14570.4059634</v>
      </c>
      <c r="M375" s="11">
        <f>INDEX([1]ratio_ins!K:K,MATCH('001_population_health_zone_zs'!$B$2,[1]ratio_ins!$B:$B,0))*$G375*INDEX([1]ratio_ins!$C:$C,MATCH('001_population_health_zone_zs'!$B375,[1]ratio_ins!$B:$B,0))</f>
        <v>165248.2989584</v>
      </c>
      <c r="N375" s="10">
        <f>INDEX([1]ratio_ins!L:L,MATCH('001_population_health_zone_zs'!$B$2,[1]ratio_ins!$B:$B,0))*$G375*INDEX([1]ratio_ins!$C:$C,MATCH('001_population_health_zone_zs'!$B375,[1]ratio_ins!$B:$B,0))</f>
        <v>9713.6039756000009</v>
      </c>
      <c r="O375" s="10">
        <f>INDEX([1]ratio_ins!M:M,MATCH('001_population_health_zone_zs'!$B$2,[1]ratio_ins!$B:$B,0))*$G375*INDEX([1]ratio_ins!$C:$C,MATCH('001_population_health_zone_zs'!$B375,[1]ratio_ins!$B:$B,0))</f>
        <v>21065.647176000006</v>
      </c>
      <c r="P375" s="10">
        <f>INDEX([1]ratio_ins!N:N,MATCH('001_population_health_zone_zs'!$B$2,[1]ratio_ins!$B:$B,0))*$G375*INDEX([1]ratio_ins!$C:$C,MATCH('001_population_health_zone_zs'!$B375,[1]ratio_ins!$B:$B,0))</f>
        <v>19017.598145000004</v>
      </c>
      <c r="Q375" s="10">
        <f>INDEX([1]ratio_ins!O:O,MATCH('001_population_health_zone_zs'!$B$2,[1]ratio_ins!$B:$B,0))*$G375*INDEX([1]ratio_ins!$C:$C,MATCH('001_population_health_zone_zs'!$B375,[1]ratio_ins!$B:$B,0))</f>
        <v>16969.549114000001</v>
      </c>
      <c r="R375" s="10">
        <f>INDEX([1]ratio_ins!P:P,MATCH('001_population_health_zone_zs'!$B$2,[1]ratio_ins!$B:$B,0))*$G375*INDEX([1]ratio_ins!$C:$C,MATCH('001_population_health_zone_zs'!$B375,[1]ratio_ins!$B:$B,0))</f>
        <v>16676.970681000003</v>
      </c>
      <c r="S375" s="10">
        <f>INDEX([1]ratio_ins!Q:Q,MATCH('001_population_health_zone_zs'!$B$2,[1]ratio_ins!$B:$B,0))*$G375*INDEX([1]ratio_ins!$C:$C,MATCH('001_population_health_zone_zs'!$B375,[1]ratio_ins!$B:$B,0))</f>
        <v>14043.764784000001</v>
      </c>
      <c r="T375" s="10">
        <f>INDEX([1]ratio_ins!R:R,MATCH('001_population_health_zone_zs'!$B$2,[1]ratio_ins!$B:$B,0))*$G375*INDEX([1]ratio_ins!$C:$C,MATCH('001_population_health_zone_zs'!$B375,[1]ratio_ins!$B:$B,0))</f>
        <v>9947.6667220000018</v>
      </c>
      <c r="U375" s="10">
        <f>INDEX([1]ratio_ins!S:S,MATCH('001_population_health_zone_zs'!$B$2,[1]ratio_ins!$B:$B,0))*$G375*INDEX([1]ratio_ins!$C:$C,MATCH('001_population_health_zone_zs'!$B375,[1]ratio_ins!$B:$B,0))</f>
        <v>7899.6176910000013</v>
      </c>
      <c r="V375" s="10">
        <f>INDEX([1]ratio_ins!T:T,MATCH('001_population_health_zone_zs'!$B$2,[1]ratio_ins!$B:$B,0))*$G375*INDEX([1]ratio_ins!$C:$C,MATCH('001_population_health_zone_zs'!$B375,[1]ratio_ins!$B:$B,0))</f>
        <v>4388.6764949999997</v>
      </c>
      <c r="W375" s="11">
        <f>INDEX([1]ratio_ins!U:U,MATCH('001_population_health_zone_zs'!$B$2,[1]ratio_ins!$B:$B,0))*$G375*INDEX([1]ratio_ins!$C:$C,MATCH('001_population_health_zone_zs'!$B375,[1]ratio_ins!$B:$B,0))</f>
        <v>119723.09478360001</v>
      </c>
      <c r="X375" s="10">
        <f>INDEX([1]ratio_ins!V:V,MATCH('001_population_health_zone_zs'!$B$2,[1]ratio_ins!$B:$B,0))*$G375*INDEX([1]ratio_ins!$C:$C,MATCH('001_population_health_zone_zs'!$B375,[1]ratio_ins!$B:$B,0))</f>
        <v>3510.9411960000002</v>
      </c>
      <c r="Y375" s="10">
        <f>INDEX([1]ratio_ins!W:W,MATCH('001_population_health_zone_zs'!$B$2,[1]ratio_ins!$B:$B,0))*$G375*INDEX([1]ratio_ins!$C:$C,MATCH('001_population_health_zone_zs'!$B375,[1]ratio_ins!$B:$B,0))</f>
        <v>2340.6274640000001</v>
      </c>
      <c r="Z375" s="10">
        <f>INDEX([1]ratio_ins!X:X,MATCH('001_population_health_zone_zs'!$B$2,[1]ratio_ins!$B:$B,0))*$G375*INDEX([1]ratio_ins!$C:$C,MATCH('001_population_health_zone_zs'!$B375,[1]ratio_ins!$B:$B,0))</f>
        <v>1170.3137320000001</v>
      </c>
      <c r="AA375" s="10">
        <f>INDEX([1]ratio_ins!Y:Y,MATCH('001_population_health_zone_zs'!$B$2,[1]ratio_ins!$B:$B,0))*$G375*INDEX([1]ratio_ins!$C:$C,MATCH('001_population_health_zone_zs'!$B375,[1]ratio_ins!$B:$B,0))</f>
        <v>585.15686600000004</v>
      </c>
      <c r="AB375" s="11">
        <f>INDEX([1]ratio_ins!Z:Z,MATCH('001_population_health_zone_zs'!$B$2,[1]ratio_ins!$B:$B,0))*$G375*INDEX([1]ratio_ins!$C:$C,MATCH('001_population_health_zone_zs'!$B375,[1]ratio_ins!$B:$B,0))</f>
        <v>7607.0392580000007</v>
      </c>
      <c r="AC375" s="12">
        <f t="shared" si="30"/>
        <v>292578.43299999996</v>
      </c>
      <c r="AD375" s="10">
        <f>INDEX([1]ratio_ins!AA:AA,MATCH('001_population_health_zone_zs'!$B$2,[1]ratio_ins!$B:$B,0))*$G375*INDEX([1]ratio_ins!$D:$D,MATCH('001_population_health_zone_zs'!$B375,[1]ratio_ins!$B:$B,0))</f>
        <v>62183.219069999999</v>
      </c>
      <c r="AE375" s="10">
        <f>INDEX([1]ratio_ins!AB:AB,MATCH('001_population_health_zone_zs'!$B$2,[1]ratio_ins!$B:$B,0))*$G375*INDEX([1]ratio_ins!$D:$D,MATCH('001_population_health_zone_zs'!$B375,[1]ratio_ins!$B:$B,0))</f>
        <v>51227.128091000006</v>
      </c>
      <c r="AF375" s="10">
        <f>INDEX([1]ratio_ins!AC:AC,MATCH('001_population_health_zone_zs'!$B$2,[1]ratio_ins!$B:$B,0))*$G375*INDEX([1]ratio_ins!$D:$D,MATCH('001_population_health_zone_zs'!$B375,[1]ratio_ins!$B:$B,0))</f>
        <v>40567.147679000002</v>
      </c>
      <c r="AG375" s="10">
        <f>INDEX([1]ratio_ins!AD:AD,MATCH('001_population_health_zone_zs'!$B$2,[1]ratio_ins!$B:$B,0))*$G375*INDEX([1]ratio_ins!$D:$D,MATCH('001_population_health_zone_zs'!$B375,[1]ratio_ins!$B:$B,0))</f>
        <v>24577.177061000002</v>
      </c>
      <c r="AH375" s="10">
        <f>INDEX([1]ratio_ins!AE:AE,MATCH('001_population_health_zone_zs'!$B$2,[1]ratio_ins!$B:$B,0))*$G375*INDEX([1]ratio_ins!$D:$D,MATCH('001_population_health_zone_zs'!$B375,[1]ratio_ins!$B:$B,0))</f>
        <v>14746.306236599999</v>
      </c>
      <c r="AI375" s="13">
        <f>INDEX([1]ratio_ins!AF:AF,MATCH('001_population_health_zone_zs'!$B$2,[1]ratio_ins!$B:$B,0))*$G375*INDEX([1]ratio_ins!$D:$D,MATCH('001_population_health_zone_zs'!$B375,[1]ratio_ins!$B:$B,0))</f>
        <v>168723.80107659998</v>
      </c>
      <c r="AJ375" s="10">
        <f>INDEX([1]ratio_ins!AG:AG,MATCH('001_population_health_zone_zs'!$B$2,[1]ratio_ins!$B:$B,0))*$G375*INDEX([1]ratio_ins!$D:$D,MATCH('001_population_health_zone_zs'!$B375,[1]ratio_ins!$B:$B,0))</f>
        <v>9830.8708244000009</v>
      </c>
      <c r="AK375" s="10">
        <f>INDEX([1]ratio_ins!AH:AH,MATCH('001_population_health_zone_zs'!$B$2,[1]ratio_ins!$B:$B,0))*$G375*INDEX([1]ratio_ins!$D:$D,MATCH('001_population_health_zone_zs'!$B375,[1]ratio_ins!$B:$B,0))</f>
        <v>21912.181958000001</v>
      </c>
      <c r="AL375" s="10">
        <f>INDEX([1]ratio_ins!AI:AI,MATCH('001_population_health_zone_zs'!$B$2,[1]ratio_ins!$B:$B,0))*$G375*INDEX([1]ratio_ins!$D:$D,MATCH('001_population_health_zone_zs'!$B375,[1]ratio_ins!$B:$B,0))</f>
        <v>20727.739690000002</v>
      </c>
      <c r="AM375" s="10">
        <f>INDEX([1]ratio_ins!AJ:AJ,MATCH('001_population_health_zone_zs'!$B$2,[1]ratio_ins!$B:$B,0))*$G375*INDEX([1]ratio_ins!$D:$D,MATCH('001_population_health_zone_zs'!$B375,[1]ratio_ins!$B:$B,0))</f>
        <v>18951.076288</v>
      </c>
      <c r="AN375" s="10">
        <f>INDEX([1]ratio_ins!AK:AK,MATCH('001_population_health_zone_zs'!$B$2,[1]ratio_ins!$B:$B,0))*$G375*INDEX([1]ratio_ins!$D:$D,MATCH('001_population_health_zone_zs'!$B375,[1]ratio_ins!$B:$B,0))</f>
        <v>17766.634019999998</v>
      </c>
      <c r="AO375" s="10">
        <f>INDEX([1]ratio_ins!AL:AL,MATCH('001_population_health_zone_zs'!$B$2,[1]ratio_ins!$B:$B,0))*$G375*INDEX([1]ratio_ins!$D:$D,MATCH('001_population_health_zone_zs'!$B375,[1]ratio_ins!$B:$B,0))</f>
        <v>13324.975514999998</v>
      </c>
      <c r="AP375" s="10">
        <f>INDEX([1]ratio_ins!AM:AM,MATCH('001_population_health_zone_zs'!$B$2,[1]ratio_ins!$B:$B,0))*$G375*INDEX([1]ratio_ins!$D:$D,MATCH('001_population_health_zone_zs'!$B375,[1]ratio_ins!$B:$B,0))</f>
        <v>8587.2064429999991</v>
      </c>
      <c r="AQ375" s="10">
        <f>INDEX([1]ratio_ins!AN:AN,MATCH('001_population_health_zone_zs'!$B$2,[1]ratio_ins!$B:$B,0))*$G375*INDEX([1]ratio_ins!$D:$D,MATCH('001_population_health_zone_zs'!$B375,[1]ratio_ins!$B:$B,0))</f>
        <v>6810.5430409999999</v>
      </c>
      <c r="AR375" s="10">
        <f>INDEX([1]ratio_ins!AO:AO,MATCH('001_population_health_zone_zs'!$B$2,[1]ratio_ins!$B:$B,0))*$G375*INDEX([1]ratio_ins!$D:$D,MATCH('001_population_health_zone_zs'!$B375,[1]ratio_ins!$B:$B,0))</f>
        <v>3257.2162370000005</v>
      </c>
      <c r="AS375" s="13">
        <f>INDEX([1]ratio_ins!AP:AP,MATCH('001_population_health_zone_zs'!$B$2,[1]ratio_ins!$B:$B,0))*$G375*INDEX([1]ratio_ins!$D:$D,MATCH('001_population_health_zone_zs'!$B375,[1]ratio_ins!$B:$B,0))</f>
        <v>121168.44401640001</v>
      </c>
      <c r="AT375" s="10">
        <f>INDEX([1]ratio_ins!AQ:AQ,MATCH('001_population_health_zone_zs'!$B$2,[1]ratio_ins!$B:$B,0))*$G375*INDEX([1]ratio_ins!$D:$D,MATCH('001_population_health_zone_zs'!$B375,[1]ratio_ins!$B:$B,0))</f>
        <v>2961.1056700000004</v>
      </c>
      <c r="AU375" s="10">
        <f>INDEX([1]ratio_ins!AR:AR,MATCH('001_population_health_zone_zs'!$B$2,[1]ratio_ins!$B:$B,0))*$G375*INDEX([1]ratio_ins!$D:$D,MATCH('001_population_health_zone_zs'!$B375,[1]ratio_ins!$B:$B,0))</f>
        <v>1776.6634019999999</v>
      </c>
      <c r="AV375" s="10">
        <f>INDEX([1]ratio_ins!AS:AS,MATCH('001_population_health_zone_zs'!$B$2,[1]ratio_ins!$B:$B,0))*$G375*INDEX([1]ratio_ins!$D:$D,MATCH('001_population_health_zone_zs'!$B375,[1]ratio_ins!$B:$B,0))</f>
        <v>888.33170099999995</v>
      </c>
      <c r="AW375" s="10">
        <f>INDEX([1]ratio_ins!AT:AT,MATCH('001_population_health_zone_zs'!$B$2,[1]ratio_ins!$B:$B,0))*$G375*INDEX([1]ratio_ins!$D:$D,MATCH('001_population_health_zone_zs'!$B375,[1]ratio_ins!$B:$B,0))</f>
        <v>592.22113400000001</v>
      </c>
      <c r="AX375" s="13">
        <f>INDEX([1]ratio_ins!AU:AU,MATCH('001_population_health_zone_zs'!$B$2,[1]ratio_ins!$B:$B,0))*$G375*INDEX([1]ratio_ins!$D:$D,MATCH('001_population_health_zone_zs'!$B375,[1]ratio_ins!$B:$B,0))</f>
        <v>6218.3219069999996</v>
      </c>
      <c r="AY375" s="14">
        <f t="shared" si="31"/>
        <v>296110.56699999998</v>
      </c>
      <c r="AZ375" s="15">
        <f t="shared" si="32"/>
        <v>588689</v>
      </c>
      <c r="BA375" s="16">
        <v>560447.96585001843</v>
      </c>
      <c r="BB375" s="10">
        <f t="shared" si="33"/>
        <v>125846.99097500001</v>
      </c>
      <c r="BC375" s="17">
        <f t="shared" si="34"/>
        <v>0.21377500000000002</v>
      </c>
      <c r="BD375" s="10">
        <f t="shared" si="35"/>
        <v>122005.20656100003</v>
      </c>
    </row>
    <row r="376" spans="1:56" x14ac:dyDescent="0.25">
      <c r="A376" s="8" t="s">
        <v>877</v>
      </c>
      <c r="B376" s="8" t="s">
        <v>878</v>
      </c>
      <c r="C376" s="8" t="s">
        <v>910</v>
      </c>
      <c r="D376" s="8" t="s">
        <v>911</v>
      </c>
      <c r="E376" s="8" t="s">
        <v>919</v>
      </c>
      <c r="F376" s="8" t="s">
        <v>920</v>
      </c>
      <c r="G376" s="9">
        <v>111425</v>
      </c>
      <c r="H376" s="10">
        <f>INDEX([1]ratio_ins!F:F,MATCH('001_population_health_zone_zs'!$B$2,[1]ratio_ins!$B:$B,0))*$G376*INDEX([1]ratio_ins!$C:$C,MATCH('001_population_health_zone_zs'!$B376,[1]ratio_ins!$B:$B,0))</f>
        <v>11574.049025000002</v>
      </c>
      <c r="I376" s="10">
        <f>INDEX([1]ratio_ins!G:G,MATCH('001_population_health_zone_zs'!$B$2,[1]ratio_ins!$B:$B,0))*$G376*INDEX([1]ratio_ins!$C:$C,MATCH('001_population_health_zone_zs'!$B376,[1]ratio_ins!$B:$B,0))</f>
        <v>9469.676475000002</v>
      </c>
      <c r="J376" s="10">
        <f>INDEX([1]ratio_ins!H:H,MATCH('001_population_health_zone_zs'!$B$2,[1]ratio_ins!$B:$B,0))*$G376*INDEX([1]ratio_ins!$C:$C,MATCH('001_population_health_zone_zs'!$B376,[1]ratio_ins!$B:$B,0))</f>
        <v>7476.0603750000018</v>
      </c>
      <c r="K376" s="10">
        <f>INDEX([1]ratio_ins!I:I,MATCH('001_population_health_zone_zs'!$B$2,[1]ratio_ins!$B:$B,0))*$G376*INDEX([1]ratio_ins!$C:$C,MATCH('001_population_health_zone_zs'!$B376,[1]ratio_ins!$B:$B,0))</f>
        <v>4596.3926750000001</v>
      </c>
      <c r="L376" s="10">
        <f>INDEX([1]ratio_ins!J:J,MATCH('001_population_health_zone_zs'!$B$2,[1]ratio_ins!$B:$B,0))*$G376*INDEX([1]ratio_ins!$C:$C,MATCH('001_population_health_zone_zs'!$B376,[1]ratio_ins!$B:$B,0))</f>
        <v>2757.8356049999998</v>
      </c>
      <c r="M376" s="11">
        <f>INDEX([1]ratio_ins!K:K,MATCH('001_population_health_zone_zs'!$B$2,[1]ratio_ins!$B:$B,0))*$G376*INDEX([1]ratio_ins!$C:$C,MATCH('001_population_health_zone_zs'!$B376,[1]ratio_ins!$B:$B,0))</f>
        <v>31277.621480000002</v>
      </c>
      <c r="N376" s="10">
        <f>INDEX([1]ratio_ins!L:L,MATCH('001_population_health_zone_zs'!$B$2,[1]ratio_ins!$B:$B,0))*$G376*INDEX([1]ratio_ins!$C:$C,MATCH('001_population_health_zone_zs'!$B376,[1]ratio_ins!$B:$B,0))</f>
        <v>1838.5570700000001</v>
      </c>
      <c r="O376" s="10">
        <f>INDEX([1]ratio_ins!M:M,MATCH('001_population_health_zone_zs'!$B$2,[1]ratio_ins!$B:$B,0))*$G376*INDEX([1]ratio_ins!$C:$C,MATCH('001_population_health_zone_zs'!$B376,[1]ratio_ins!$B:$B,0))</f>
        <v>3987.2322000000008</v>
      </c>
      <c r="P376" s="10">
        <f>INDEX([1]ratio_ins!N:N,MATCH('001_population_health_zone_zs'!$B$2,[1]ratio_ins!$B:$B,0))*$G376*INDEX([1]ratio_ins!$C:$C,MATCH('001_population_health_zone_zs'!$B376,[1]ratio_ins!$B:$B,0))</f>
        <v>3599.5846250000004</v>
      </c>
      <c r="Q376" s="10">
        <f>INDEX([1]ratio_ins!O:O,MATCH('001_population_health_zone_zs'!$B$2,[1]ratio_ins!$B:$B,0))*$G376*INDEX([1]ratio_ins!$C:$C,MATCH('001_population_health_zone_zs'!$B376,[1]ratio_ins!$B:$B,0))</f>
        <v>3211.93705</v>
      </c>
      <c r="R376" s="10">
        <f>INDEX([1]ratio_ins!P:P,MATCH('001_population_health_zone_zs'!$B$2,[1]ratio_ins!$B:$B,0))*$G376*INDEX([1]ratio_ins!$C:$C,MATCH('001_population_health_zone_zs'!$B376,[1]ratio_ins!$B:$B,0))</f>
        <v>3156.5588250000005</v>
      </c>
      <c r="S376" s="10">
        <f>INDEX([1]ratio_ins!Q:Q,MATCH('001_population_health_zone_zs'!$B$2,[1]ratio_ins!$B:$B,0))*$G376*INDEX([1]ratio_ins!$C:$C,MATCH('001_population_health_zone_zs'!$B376,[1]ratio_ins!$B:$B,0))</f>
        <v>2658.1548000000007</v>
      </c>
      <c r="T376" s="10">
        <f>INDEX([1]ratio_ins!R:R,MATCH('001_population_health_zone_zs'!$B$2,[1]ratio_ins!$B:$B,0))*$G376*INDEX([1]ratio_ins!$C:$C,MATCH('001_population_health_zone_zs'!$B376,[1]ratio_ins!$B:$B,0))</f>
        <v>1882.8596500000003</v>
      </c>
      <c r="U376" s="10">
        <f>INDEX([1]ratio_ins!S:S,MATCH('001_population_health_zone_zs'!$B$2,[1]ratio_ins!$B:$B,0))*$G376*INDEX([1]ratio_ins!$C:$C,MATCH('001_population_health_zone_zs'!$B376,[1]ratio_ins!$B:$B,0))</f>
        <v>1495.2120750000004</v>
      </c>
      <c r="V376" s="10">
        <f>INDEX([1]ratio_ins!T:T,MATCH('001_population_health_zone_zs'!$B$2,[1]ratio_ins!$B:$B,0))*$G376*INDEX([1]ratio_ins!$C:$C,MATCH('001_population_health_zone_zs'!$B376,[1]ratio_ins!$B:$B,0))</f>
        <v>830.67337500000008</v>
      </c>
      <c r="W376" s="11">
        <f>INDEX([1]ratio_ins!U:U,MATCH('001_population_health_zone_zs'!$B$2,[1]ratio_ins!$B:$B,0))*$G376*INDEX([1]ratio_ins!$C:$C,MATCH('001_population_health_zone_zs'!$B376,[1]ratio_ins!$B:$B,0))</f>
        <v>22660.769670000001</v>
      </c>
      <c r="X376" s="10">
        <f>INDEX([1]ratio_ins!V:V,MATCH('001_population_health_zone_zs'!$B$2,[1]ratio_ins!$B:$B,0))*$G376*INDEX([1]ratio_ins!$C:$C,MATCH('001_population_health_zone_zs'!$B376,[1]ratio_ins!$B:$B,0))</f>
        <v>664.53870000000018</v>
      </c>
      <c r="Y376" s="10">
        <f>INDEX([1]ratio_ins!W:W,MATCH('001_population_health_zone_zs'!$B$2,[1]ratio_ins!$B:$B,0))*$G376*INDEX([1]ratio_ins!$C:$C,MATCH('001_population_health_zone_zs'!$B376,[1]ratio_ins!$B:$B,0))</f>
        <v>443.02580000000006</v>
      </c>
      <c r="Z376" s="10">
        <f>INDEX([1]ratio_ins!X:X,MATCH('001_population_health_zone_zs'!$B$2,[1]ratio_ins!$B:$B,0))*$G376*INDEX([1]ratio_ins!$C:$C,MATCH('001_population_health_zone_zs'!$B376,[1]ratio_ins!$B:$B,0))</f>
        <v>221.51290000000003</v>
      </c>
      <c r="AA376" s="10">
        <f>INDEX([1]ratio_ins!Y:Y,MATCH('001_population_health_zone_zs'!$B$2,[1]ratio_ins!$B:$B,0))*$G376*INDEX([1]ratio_ins!$C:$C,MATCH('001_population_health_zone_zs'!$B376,[1]ratio_ins!$B:$B,0))</f>
        <v>110.75645000000002</v>
      </c>
      <c r="AB376" s="11">
        <f>INDEX([1]ratio_ins!Z:Z,MATCH('001_population_health_zone_zs'!$B$2,[1]ratio_ins!$B:$B,0))*$G376*INDEX([1]ratio_ins!$C:$C,MATCH('001_population_health_zone_zs'!$B376,[1]ratio_ins!$B:$B,0))</f>
        <v>1439.8338500000002</v>
      </c>
      <c r="AC376" s="12">
        <f t="shared" si="30"/>
        <v>55378.225000000006</v>
      </c>
      <c r="AD376" s="10">
        <f>INDEX([1]ratio_ins!AA:AA,MATCH('001_population_health_zone_zs'!$B$2,[1]ratio_ins!$B:$B,0))*$G376*INDEX([1]ratio_ins!$D:$D,MATCH('001_population_health_zone_zs'!$B376,[1]ratio_ins!$B:$B,0))</f>
        <v>11769.822749999999</v>
      </c>
      <c r="AE376" s="10">
        <f>INDEX([1]ratio_ins!AB:AB,MATCH('001_population_health_zone_zs'!$B$2,[1]ratio_ins!$B:$B,0))*$G376*INDEX([1]ratio_ins!$D:$D,MATCH('001_population_health_zone_zs'!$B376,[1]ratio_ins!$B:$B,0))</f>
        <v>9696.0920750000005</v>
      </c>
      <c r="AF376" s="10">
        <f>INDEX([1]ratio_ins!AC:AC,MATCH('001_population_health_zone_zs'!$B$2,[1]ratio_ins!$B:$B,0))*$G376*INDEX([1]ratio_ins!$D:$D,MATCH('001_population_health_zone_zs'!$B376,[1]ratio_ins!$B:$B,0))</f>
        <v>7678.4081749999996</v>
      </c>
      <c r="AG376" s="10">
        <f>INDEX([1]ratio_ins!AD:AD,MATCH('001_population_health_zone_zs'!$B$2,[1]ratio_ins!$B:$B,0))*$G376*INDEX([1]ratio_ins!$D:$D,MATCH('001_population_health_zone_zs'!$B376,[1]ratio_ins!$B:$B,0))</f>
        <v>4651.8823249999996</v>
      </c>
      <c r="AH376" s="10">
        <f>INDEX([1]ratio_ins!AE:AE,MATCH('001_population_health_zone_zs'!$B$2,[1]ratio_ins!$B:$B,0))*$G376*INDEX([1]ratio_ins!$D:$D,MATCH('001_population_health_zone_zs'!$B376,[1]ratio_ins!$B:$B,0))</f>
        <v>2791.1293949999995</v>
      </c>
      <c r="AI376" s="13">
        <f>INDEX([1]ratio_ins!AF:AF,MATCH('001_population_health_zone_zs'!$B$2,[1]ratio_ins!$B:$B,0))*$G376*INDEX([1]ratio_ins!$D:$D,MATCH('001_population_health_zone_zs'!$B376,[1]ratio_ins!$B:$B,0))</f>
        <v>31935.452394999997</v>
      </c>
      <c r="AJ376" s="10">
        <f>INDEX([1]ratio_ins!AG:AG,MATCH('001_population_health_zone_zs'!$B$2,[1]ratio_ins!$B:$B,0))*$G376*INDEX([1]ratio_ins!$D:$D,MATCH('001_population_health_zone_zs'!$B376,[1]ratio_ins!$B:$B,0))</f>
        <v>1860.7529299999999</v>
      </c>
      <c r="AK376" s="10">
        <f>INDEX([1]ratio_ins!AH:AH,MATCH('001_population_health_zone_zs'!$B$2,[1]ratio_ins!$B:$B,0))*$G376*INDEX([1]ratio_ins!$D:$D,MATCH('001_population_health_zone_zs'!$B376,[1]ratio_ins!$B:$B,0))</f>
        <v>4147.4613500000005</v>
      </c>
      <c r="AL376" s="10">
        <f>INDEX([1]ratio_ins!AI:AI,MATCH('001_population_health_zone_zs'!$B$2,[1]ratio_ins!$B:$B,0))*$G376*INDEX([1]ratio_ins!$D:$D,MATCH('001_population_health_zone_zs'!$B376,[1]ratio_ins!$B:$B,0))</f>
        <v>3923.2742500000004</v>
      </c>
      <c r="AM376" s="10">
        <f>INDEX([1]ratio_ins!AJ:AJ,MATCH('001_population_health_zone_zs'!$B$2,[1]ratio_ins!$B:$B,0))*$G376*INDEX([1]ratio_ins!$D:$D,MATCH('001_population_health_zone_zs'!$B376,[1]ratio_ins!$B:$B,0))</f>
        <v>3586.9935999999998</v>
      </c>
      <c r="AN376" s="10">
        <f>INDEX([1]ratio_ins!AK:AK,MATCH('001_population_health_zone_zs'!$B$2,[1]ratio_ins!$B:$B,0))*$G376*INDEX([1]ratio_ins!$D:$D,MATCH('001_population_health_zone_zs'!$B376,[1]ratio_ins!$B:$B,0))</f>
        <v>3362.8065000000001</v>
      </c>
      <c r="AO376" s="10">
        <f>INDEX([1]ratio_ins!AL:AL,MATCH('001_population_health_zone_zs'!$B$2,[1]ratio_ins!$B:$B,0))*$G376*INDEX([1]ratio_ins!$D:$D,MATCH('001_population_health_zone_zs'!$B376,[1]ratio_ins!$B:$B,0))</f>
        <v>2522.104875</v>
      </c>
      <c r="AP376" s="10">
        <f>INDEX([1]ratio_ins!AM:AM,MATCH('001_population_health_zone_zs'!$B$2,[1]ratio_ins!$B:$B,0))*$G376*INDEX([1]ratio_ins!$D:$D,MATCH('001_population_health_zone_zs'!$B376,[1]ratio_ins!$B:$B,0))</f>
        <v>1625.3564749999998</v>
      </c>
      <c r="AQ376" s="10">
        <f>INDEX([1]ratio_ins!AN:AN,MATCH('001_population_health_zone_zs'!$B$2,[1]ratio_ins!$B:$B,0))*$G376*INDEX([1]ratio_ins!$D:$D,MATCH('001_population_health_zone_zs'!$B376,[1]ratio_ins!$B:$B,0))</f>
        <v>1289.0758250000001</v>
      </c>
      <c r="AR376" s="10">
        <f>INDEX([1]ratio_ins!AO:AO,MATCH('001_population_health_zone_zs'!$B$2,[1]ratio_ins!$B:$B,0))*$G376*INDEX([1]ratio_ins!$D:$D,MATCH('001_population_health_zone_zs'!$B376,[1]ratio_ins!$B:$B,0))</f>
        <v>616.51452500000005</v>
      </c>
      <c r="AS376" s="13">
        <f>INDEX([1]ratio_ins!AP:AP,MATCH('001_population_health_zone_zs'!$B$2,[1]ratio_ins!$B:$B,0))*$G376*INDEX([1]ratio_ins!$D:$D,MATCH('001_population_health_zone_zs'!$B376,[1]ratio_ins!$B:$B,0))</f>
        <v>22934.340329999999</v>
      </c>
      <c r="AT376" s="10">
        <f>INDEX([1]ratio_ins!AQ:AQ,MATCH('001_population_health_zone_zs'!$B$2,[1]ratio_ins!$B:$B,0))*$G376*INDEX([1]ratio_ins!$D:$D,MATCH('001_population_health_zone_zs'!$B376,[1]ratio_ins!$B:$B,0))</f>
        <v>560.46775000000002</v>
      </c>
      <c r="AU376" s="10">
        <f>INDEX([1]ratio_ins!AR:AR,MATCH('001_population_health_zone_zs'!$B$2,[1]ratio_ins!$B:$B,0))*$G376*INDEX([1]ratio_ins!$D:$D,MATCH('001_population_health_zone_zs'!$B376,[1]ratio_ins!$B:$B,0))</f>
        <v>336.28065000000004</v>
      </c>
      <c r="AV376" s="10">
        <f>INDEX([1]ratio_ins!AS:AS,MATCH('001_population_health_zone_zs'!$B$2,[1]ratio_ins!$B:$B,0))*$G376*INDEX([1]ratio_ins!$D:$D,MATCH('001_population_health_zone_zs'!$B376,[1]ratio_ins!$B:$B,0))</f>
        <v>168.14032500000002</v>
      </c>
      <c r="AW376" s="10">
        <f>INDEX([1]ratio_ins!AT:AT,MATCH('001_population_health_zone_zs'!$B$2,[1]ratio_ins!$B:$B,0))*$G376*INDEX([1]ratio_ins!$D:$D,MATCH('001_population_health_zone_zs'!$B376,[1]ratio_ins!$B:$B,0))</f>
        <v>112.09354999999999</v>
      </c>
      <c r="AX376" s="13">
        <f>INDEX([1]ratio_ins!AU:AU,MATCH('001_population_health_zone_zs'!$B$2,[1]ratio_ins!$B:$B,0))*$G376*INDEX([1]ratio_ins!$D:$D,MATCH('001_population_health_zone_zs'!$B376,[1]ratio_ins!$B:$B,0))</f>
        <v>1176.9822749999998</v>
      </c>
      <c r="AY376" s="14">
        <f t="shared" si="31"/>
        <v>56046.774999999994</v>
      </c>
      <c r="AZ376" s="15">
        <f t="shared" si="32"/>
        <v>111425</v>
      </c>
      <c r="BA376" s="16">
        <v>106079.12199434047</v>
      </c>
      <c r="BB376" s="10">
        <f t="shared" si="33"/>
        <v>23819.879375</v>
      </c>
      <c r="BC376" s="17">
        <f t="shared" si="34"/>
        <v>0.21377499999999999</v>
      </c>
      <c r="BD376" s="10">
        <f t="shared" si="35"/>
        <v>23092.719825</v>
      </c>
    </row>
    <row r="377" spans="1:56" x14ac:dyDescent="0.25">
      <c r="A377" s="8" t="s">
        <v>877</v>
      </c>
      <c r="B377" s="8" t="s">
        <v>878</v>
      </c>
      <c r="C377" s="8" t="s">
        <v>921</v>
      </c>
      <c r="D377" s="8" t="s">
        <v>922</v>
      </c>
      <c r="E377" s="8" t="s">
        <v>921</v>
      </c>
      <c r="F377" s="8" t="s">
        <v>923</v>
      </c>
      <c r="G377" s="9">
        <v>179860</v>
      </c>
      <c r="H377" s="10">
        <f>INDEX([1]ratio_ins!F:F,MATCH('001_population_health_zone_zs'!$B$2,[1]ratio_ins!$B:$B,0))*$G377*INDEX([1]ratio_ins!$C:$C,MATCH('001_population_health_zone_zs'!$B377,[1]ratio_ins!$B:$B,0))</f>
        <v>18682.59778</v>
      </c>
      <c r="I377" s="10">
        <f>INDEX([1]ratio_ins!G:G,MATCH('001_population_health_zone_zs'!$B$2,[1]ratio_ins!$B:$B,0))*$G377*INDEX([1]ratio_ins!$C:$C,MATCH('001_population_health_zone_zs'!$B377,[1]ratio_ins!$B:$B,0))</f>
        <v>15285.761820000002</v>
      </c>
      <c r="J377" s="10">
        <f>INDEX([1]ratio_ins!H:H,MATCH('001_population_health_zone_zs'!$B$2,[1]ratio_ins!$B:$B,0))*$G377*INDEX([1]ratio_ins!$C:$C,MATCH('001_population_health_zone_zs'!$B377,[1]ratio_ins!$B:$B,0))</f>
        <v>12067.706700000002</v>
      </c>
      <c r="K377" s="10">
        <f>INDEX([1]ratio_ins!I:I,MATCH('001_population_health_zone_zs'!$B$2,[1]ratio_ins!$B:$B,0))*$G377*INDEX([1]ratio_ins!$C:$C,MATCH('001_population_health_zone_zs'!$B377,[1]ratio_ins!$B:$B,0))</f>
        <v>7419.4048600000015</v>
      </c>
      <c r="L377" s="10">
        <f>INDEX([1]ratio_ins!J:J,MATCH('001_population_health_zone_zs'!$B$2,[1]ratio_ins!$B:$B,0))*$G377*INDEX([1]ratio_ins!$C:$C,MATCH('001_population_health_zone_zs'!$B377,[1]ratio_ins!$B:$B,0))</f>
        <v>4451.6429160000007</v>
      </c>
      <c r="M377" s="11">
        <f>INDEX([1]ratio_ins!K:K,MATCH('001_population_health_zone_zs'!$B$2,[1]ratio_ins!$B:$B,0))*$G377*INDEX([1]ratio_ins!$C:$C,MATCH('001_population_health_zone_zs'!$B377,[1]ratio_ins!$B:$B,0))</f>
        <v>50487.709216000003</v>
      </c>
      <c r="N377" s="10">
        <f>INDEX([1]ratio_ins!L:L,MATCH('001_population_health_zone_zs'!$B$2,[1]ratio_ins!$B:$B,0))*$G377*INDEX([1]ratio_ins!$C:$C,MATCH('001_population_health_zone_zs'!$B377,[1]ratio_ins!$B:$B,0))</f>
        <v>2967.7619440000003</v>
      </c>
      <c r="O377" s="10">
        <f>INDEX([1]ratio_ins!M:M,MATCH('001_population_health_zone_zs'!$B$2,[1]ratio_ins!$B:$B,0))*$G377*INDEX([1]ratio_ins!$C:$C,MATCH('001_population_health_zone_zs'!$B377,[1]ratio_ins!$B:$B,0))</f>
        <v>6436.1102400000018</v>
      </c>
      <c r="P377" s="10">
        <f>INDEX([1]ratio_ins!N:N,MATCH('001_population_health_zone_zs'!$B$2,[1]ratio_ins!$B:$B,0))*$G377*INDEX([1]ratio_ins!$C:$C,MATCH('001_population_health_zone_zs'!$B377,[1]ratio_ins!$B:$B,0))</f>
        <v>5810.3773000000001</v>
      </c>
      <c r="Q377" s="10">
        <f>INDEX([1]ratio_ins!O:O,MATCH('001_population_health_zone_zs'!$B$2,[1]ratio_ins!$B:$B,0))*$G377*INDEX([1]ratio_ins!$C:$C,MATCH('001_population_health_zone_zs'!$B377,[1]ratio_ins!$B:$B,0))</f>
        <v>5184.6443600000002</v>
      </c>
      <c r="R377" s="10">
        <f>INDEX([1]ratio_ins!P:P,MATCH('001_population_health_zone_zs'!$B$2,[1]ratio_ins!$B:$B,0))*$G377*INDEX([1]ratio_ins!$C:$C,MATCH('001_population_health_zone_zs'!$B377,[1]ratio_ins!$B:$B,0))</f>
        <v>5095.2539400000005</v>
      </c>
      <c r="S377" s="10">
        <f>INDEX([1]ratio_ins!Q:Q,MATCH('001_population_health_zone_zs'!$B$2,[1]ratio_ins!$B:$B,0))*$G377*INDEX([1]ratio_ins!$C:$C,MATCH('001_population_health_zone_zs'!$B377,[1]ratio_ins!$B:$B,0))</f>
        <v>4290.7401600000012</v>
      </c>
      <c r="T377" s="10">
        <f>INDEX([1]ratio_ins!R:R,MATCH('001_population_health_zone_zs'!$B$2,[1]ratio_ins!$B:$B,0))*$G377*INDEX([1]ratio_ins!$C:$C,MATCH('001_population_health_zone_zs'!$B377,[1]ratio_ins!$B:$B,0))</f>
        <v>3039.2742800000005</v>
      </c>
      <c r="U377" s="10">
        <f>INDEX([1]ratio_ins!S:S,MATCH('001_population_health_zone_zs'!$B$2,[1]ratio_ins!$B:$B,0))*$G377*INDEX([1]ratio_ins!$C:$C,MATCH('001_population_health_zone_zs'!$B377,[1]ratio_ins!$B:$B,0))</f>
        <v>2413.5413400000002</v>
      </c>
      <c r="V377" s="10">
        <f>INDEX([1]ratio_ins!T:T,MATCH('001_population_health_zone_zs'!$B$2,[1]ratio_ins!$B:$B,0))*$G377*INDEX([1]ratio_ins!$C:$C,MATCH('001_population_health_zone_zs'!$B377,[1]ratio_ins!$B:$B,0))</f>
        <v>1340.8563000000001</v>
      </c>
      <c r="W377" s="11">
        <f>INDEX([1]ratio_ins!U:U,MATCH('001_population_health_zone_zs'!$B$2,[1]ratio_ins!$B:$B,0))*$G377*INDEX([1]ratio_ins!$C:$C,MATCH('001_population_health_zone_zs'!$B377,[1]ratio_ins!$B:$B,0))</f>
        <v>36578.559864000003</v>
      </c>
      <c r="X377" s="10">
        <f>INDEX([1]ratio_ins!V:V,MATCH('001_population_health_zone_zs'!$B$2,[1]ratio_ins!$B:$B,0))*$G377*INDEX([1]ratio_ins!$C:$C,MATCH('001_population_health_zone_zs'!$B377,[1]ratio_ins!$B:$B,0))</f>
        <v>1072.6850400000003</v>
      </c>
      <c r="Y377" s="10">
        <f>INDEX([1]ratio_ins!W:W,MATCH('001_population_health_zone_zs'!$B$2,[1]ratio_ins!$B:$B,0))*$G377*INDEX([1]ratio_ins!$C:$C,MATCH('001_population_health_zone_zs'!$B377,[1]ratio_ins!$B:$B,0))</f>
        <v>715.12336000000016</v>
      </c>
      <c r="Z377" s="10">
        <f>INDEX([1]ratio_ins!X:X,MATCH('001_population_health_zone_zs'!$B$2,[1]ratio_ins!$B:$B,0))*$G377*INDEX([1]ratio_ins!$C:$C,MATCH('001_population_health_zone_zs'!$B377,[1]ratio_ins!$B:$B,0))</f>
        <v>357.56168000000008</v>
      </c>
      <c r="AA377" s="10">
        <f>INDEX([1]ratio_ins!Y:Y,MATCH('001_population_health_zone_zs'!$B$2,[1]ratio_ins!$B:$B,0))*$G377*INDEX([1]ratio_ins!$C:$C,MATCH('001_population_health_zone_zs'!$B377,[1]ratio_ins!$B:$B,0))</f>
        <v>178.78084000000004</v>
      </c>
      <c r="AB377" s="11">
        <f>INDEX([1]ratio_ins!Z:Z,MATCH('001_population_health_zone_zs'!$B$2,[1]ratio_ins!$B:$B,0))*$G377*INDEX([1]ratio_ins!$C:$C,MATCH('001_population_health_zone_zs'!$B377,[1]ratio_ins!$B:$B,0))</f>
        <v>2324.1509200000005</v>
      </c>
      <c r="AC377" s="12">
        <f t="shared" si="30"/>
        <v>89390.42</v>
      </c>
      <c r="AD377" s="10">
        <f>INDEX([1]ratio_ins!AA:AA,MATCH('001_population_health_zone_zs'!$B$2,[1]ratio_ins!$B:$B,0))*$G377*INDEX([1]ratio_ins!$D:$D,MATCH('001_population_health_zone_zs'!$B377,[1]ratio_ins!$B:$B,0))</f>
        <v>18998.611799999999</v>
      </c>
      <c r="AE377" s="10">
        <f>INDEX([1]ratio_ins!AB:AB,MATCH('001_population_health_zone_zs'!$B$2,[1]ratio_ins!$B:$B,0))*$G377*INDEX([1]ratio_ins!$D:$D,MATCH('001_population_health_zone_zs'!$B377,[1]ratio_ins!$B:$B,0))</f>
        <v>15651.237340000001</v>
      </c>
      <c r="AF377" s="10">
        <f>INDEX([1]ratio_ins!AC:AC,MATCH('001_population_health_zone_zs'!$B$2,[1]ratio_ins!$B:$B,0))*$G377*INDEX([1]ratio_ins!$D:$D,MATCH('001_population_health_zone_zs'!$B377,[1]ratio_ins!$B:$B,0))</f>
        <v>12394.332459999998</v>
      </c>
      <c r="AG377" s="10">
        <f>INDEX([1]ratio_ins!AD:AD,MATCH('001_population_health_zone_zs'!$B$2,[1]ratio_ins!$B:$B,0))*$G377*INDEX([1]ratio_ins!$D:$D,MATCH('001_population_health_zone_zs'!$B377,[1]ratio_ins!$B:$B,0))</f>
        <v>7508.9751400000005</v>
      </c>
      <c r="AH377" s="10">
        <f>INDEX([1]ratio_ins!AE:AE,MATCH('001_population_health_zone_zs'!$B$2,[1]ratio_ins!$B:$B,0))*$G377*INDEX([1]ratio_ins!$D:$D,MATCH('001_population_health_zone_zs'!$B377,[1]ratio_ins!$B:$B,0))</f>
        <v>4505.3850840000005</v>
      </c>
      <c r="AI377" s="13">
        <f>INDEX([1]ratio_ins!AF:AF,MATCH('001_population_health_zone_zs'!$B$2,[1]ratio_ins!$B:$B,0))*$G377*INDEX([1]ratio_ins!$D:$D,MATCH('001_population_health_zone_zs'!$B377,[1]ratio_ins!$B:$B,0))</f>
        <v>51549.566683999998</v>
      </c>
      <c r="AJ377" s="10">
        <f>INDEX([1]ratio_ins!AG:AG,MATCH('001_population_health_zone_zs'!$B$2,[1]ratio_ins!$B:$B,0))*$G377*INDEX([1]ratio_ins!$D:$D,MATCH('001_population_health_zone_zs'!$B377,[1]ratio_ins!$B:$B,0))</f>
        <v>3003.590056</v>
      </c>
      <c r="AK377" s="10">
        <f>INDEX([1]ratio_ins!AH:AH,MATCH('001_population_health_zone_zs'!$B$2,[1]ratio_ins!$B:$B,0))*$G377*INDEX([1]ratio_ins!$D:$D,MATCH('001_population_health_zone_zs'!$B377,[1]ratio_ins!$B:$B,0))</f>
        <v>6694.7489200000009</v>
      </c>
      <c r="AL377" s="10">
        <f>INDEX([1]ratio_ins!AI:AI,MATCH('001_population_health_zone_zs'!$B$2,[1]ratio_ins!$B:$B,0))*$G377*INDEX([1]ratio_ins!$D:$D,MATCH('001_population_health_zone_zs'!$B377,[1]ratio_ins!$B:$B,0))</f>
        <v>6332.8706000000002</v>
      </c>
      <c r="AM377" s="10">
        <f>INDEX([1]ratio_ins!AJ:AJ,MATCH('001_population_health_zone_zs'!$B$2,[1]ratio_ins!$B:$B,0))*$G377*INDEX([1]ratio_ins!$D:$D,MATCH('001_population_health_zone_zs'!$B377,[1]ratio_ins!$B:$B,0))</f>
        <v>5790.0531200000005</v>
      </c>
      <c r="AN377" s="10">
        <f>INDEX([1]ratio_ins!AK:AK,MATCH('001_population_health_zone_zs'!$B$2,[1]ratio_ins!$B:$B,0))*$G377*INDEX([1]ratio_ins!$D:$D,MATCH('001_population_health_zone_zs'!$B377,[1]ratio_ins!$B:$B,0))</f>
        <v>5428.1747999999998</v>
      </c>
      <c r="AO377" s="10">
        <f>INDEX([1]ratio_ins!AL:AL,MATCH('001_population_health_zone_zs'!$B$2,[1]ratio_ins!$B:$B,0))*$G377*INDEX([1]ratio_ins!$D:$D,MATCH('001_population_health_zone_zs'!$B377,[1]ratio_ins!$B:$B,0))</f>
        <v>4071.1311000000001</v>
      </c>
      <c r="AP377" s="10">
        <f>INDEX([1]ratio_ins!AM:AM,MATCH('001_population_health_zone_zs'!$B$2,[1]ratio_ins!$B:$B,0))*$G377*INDEX([1]ratio_ins!$D:$D,MATCH('001_population_health_zone_zs'!$B377,[1]ratio_ins!$B:$B,0))</f>
        <v>2623.6178199999999</v>
      </c>
      <c r="AQ377" s="10">
        <f>INDEX([1]ratio_ins!AN:AN,MATCH('001_population_health_zone_zs'!$B$2,[1]ratio_ins!$B:$B,0))*$G377*INDEX([1]ratio_ins!$D:$D,MATCH('001_population_health_zone_zs'!$B377,[1]ratio_ins!$B:$B,0))</f>
        <v>2080.8003399999998</v>
      </c>
      <c r="AR377" s="10">
        <f>INDEX([1]ratio_ins!AO:AO,MATCH('001_population_health_zone_zs'!$B$2,[1]ratio_ins!$B:$B,0))*$G377*INDEX([1]ratio_ins!$D:$D,MATCH('001_population_health_zone_zs'!$B377,[1]ratio_ins!$B:$B,0))</f>
        <v>995.16538000000014</v>
      </c>
      <c r="AS377" s="13">
        <f>INDEX([1]ratio_ins!AP:AP,MATCH('001_population_health_zone_zs'!$B$2,[1]ratio_ins!$B:$B,0))*$G377*INDEX([1]ratio_ins!$D:$D,MATCH('001_population_health_zone_zs'!$B377,[1]ratio_ins!$B:$B,0))</f>
        <v>37020.152135999997</v>
      </c>
      <c r="AT377" s="10">
        <f>INDEX([1]ratio_ins!AQ:AQ,MATCH('001_population_health_zone_zs'!$B$2,[1]ratio_ins!$B:$B,0))*$G377*INDEX([1]ratio_ins!$D:$D,MATCH('001_population_health_zone_zs'!$B377,[1]ratio_ins!$B:$B,0))</f>
        <v>904.69580000000008</v>
      </c>
      <c r="AU377" s="10">
        <f>INDEX([1]ratio_ins!AR:AR,MATCH('001_population_health_zone_zs'!$B$2,[1]ratio_ins!$B:$B,0))*$G377*INDEX([1]ratio_ins!$D:$D,MATCH('001_population_health_zone_zs'!$B377,[1]ratio_ins!$B:$B,0))</f>
        <v>542.81748000000005</v>
      </c>
      <c r="AV377" s="10">
        <f>INDEX([1]ratio_ins!AS:AS,MATCH('001_population_health_zone_zs'!$B$2,[1]ratio_ins!$B:$B,0))*$G377*INDEX([1]ratio_ins!$D:$D,MATCH('001_population_health_zone_zs'!$B377,[1]ratio_ins!$B:$B,0))</f>
        <v>271.40874000000002</v>
      </c>
      <c r="AW377" s="10">
        <f>INDEX([1]ratio_ins!AT:AT,MATCH('001_population_health_zone_zs'!$B$2,[1]ratio_ins!$B:$B,0))*$G377*INDEX([1]ratio_ins!$D:$D,MATCH('001_population_health_zone_zs'!$B377,[1]ratio_ins!$B:$B,0))</f>
        <v>180.93916000000002</v>
      </c>
      <c r="AX377" s="13">
        <f>INDEX([1]ratio_ins!AU:AU,MATCH('001_population_health_zone_zs'!$B$2,[1]ratio_ins!$B:$B,0))*$G377*INDEX([1]ratio_ins!$D:$D,MATCH('001_population_health_zone_zs'!$B377,[1]ratio_ins!$B:$B,0))</f>
        <v>1899.8611799999996</v>
      </c>
      <c r="AY377" s="14">
        <f t="shared" si="31"/>
        <v>90469.579999999987</v>
      </c>
      <c r="AZ377" s="15">
        <f t="shared" si="32"/>
        <v>179860</v>
      </c>
      <c r="BA377" s="16">
        <v>171231.15082071131</v>
      </c>
      <c r="BB377" s="10">
        <f t="shared" si="33"/>
        <v>38449.571500000005</v>
      </c>
      <c r="BC377" s="17">
        <f t="shared" si="34"/>
        <v>0.21377500000000002</v>
      </c>
      <c r="BD377" s="10">
        <f t="shared" si="35"/>
        <v>37275.805140000004</v>
      </c>
    </row>
    <row r="378" spans="1:56" x14ac:dyDescent="0.25">
      <c r="A378" s="8" t="s">
        <v>877</v>
      </c>
      <c r="B378" s="8" t="s">
        <v>878</v>
      </c>
      <c r="C378" s="8" t="s">
        <v>924</v>
      </c>
      <c r="D378" s="8" t="s">
        <v>925</v>
      </c>
      <c r="E378" s="8" t="s">
        <v>924</v>
      </c>
      <c r="F378" s="8" t="s">
        <v>926</v>
      </c>
      <c r="G378" s="9">
        <v>191567</v>
      </c>
      <c r="H378" s="10">
        <f>INDEX([1]ratio_ins!F:F,MATCH('001_population_health_zone_zs'!$B$2,[1]ratio_ins!$B:$B,0))*$G378*INDEX([1]ratio_ins!$C:$C,MATCH('001_population_health_zone_zs'!$B378,[1]ratio_ins!$B:$B,0))</f>
        <v>19898.638991</v>
      </c>
      <c r="I378" s="10">
        <f>INDEX([1]ratio_ins!G:G,MATCH('001_population_health_zone_zs'!$B$2,[1]ratio_ins!$B:$B,0))*$G378*INDEX([1]ratio_ins!$C:$C,MATCH('001_population_health_zone_zs'!$B378,[1]ratio_ins!$B:$B,0))</f>
        <v>16280.704629000003</v>
      </c>
      <c r="J378" s="10">
        <f>INDEX([1]ratio_ins!H:H,MATCH('001_population_health_zone_zs'!$B$2,[1]ratio_ins!$B:$B,0))*$G378*INDEX([1]ratio_ins!$C:$C,MATCH('001_population_health_zone_zs'!$B378,[1]ratio_ins!$B:$B,0))</f>
        <v>12853.187865000002</v>
      </c>
      <c r="K378" s="10">
        <f>INDEX([1]ratio_ins!I:I,MATCH('001_population_health_zone_zs'!$B$2,[1]ratio_ins!$B:$B,0))*$G378*INDEX([1]ratio_ins!$C:$C,MATCH('001_population_health_zone_zs'!$B378,[1]ratio_ins!$B:$B,0))</f>
        <v>7902.3303170000017</v>
      </c>
      <c r="L378" s="10">
        <f>INDEX([1]ratio_ins!J:J,MATCH('001_population_health_zone_zs'!$B$2,[1]ratio_ins!$B:$B,0))*$G378*INDEX([1]ratio_ins!$C:$C,MATCH('001_population_health_zone_zs'!$B378,[1]ratio_ins!$B:$B,0))</f>
        <v>4741.3981902000005</v>
      </c>
      <c r="M378" s="11">
        <f>INDEX([1]ratio_ins!K:K,MATCH('001_population_health_zone_zs'!$B$2,[1]ratio_ins!$B:$B,0))*$G378*INDEX([1]ratio_ins!$C:$C,MATCH('001_population_health_zone_zs'!$B378,[1]ratio_ins!$B:$B,0))</f>
        <v>53773.929675200001</v>
      </c>
      <c r="N378" s="10">
        <f>INDEX([1]ratio_ins!L:L,MATCH('001_population_health_zone_zs'!$B$2,[1]ratio_ins!$B:$B,0))*$G378*INDEX([1]ratio_ins!$C:$C,MATCH('001_population_health_zone_zs'!$B378,[1]ratio_ins!$B:$B,0))</f>
        <v>3160.9321268000003</v>
      </c>
      <c r="O378" s="10">
        <f>INDEX([1]ratio_ins!M:M,MATCH('001_population_health_zone_zs'!$B$2,[1]ratio_ins!$B:$B,0))*$G378*INDEX([1]ratio_ins!$C:$C,MATCH('001_population_health_zone_zs'!$B378,[1]ratio_ins!$B:$B,0))</f>
        <v>6855.0335280000018</v>
      </c>
      <c r="P378" s="10">
        <f>INDEX([1]ratio_ins!N:N,MATCH('001_population_health_zone_zs'!$B$2,[1]ratio_ins!$B:$B,0))*$G378*INDEX([1]ratio_ins!$C:$C,MATCH('001_population_health_zone_zs'!$B378,[1]ratio_ins!$B:$B,0))</f>
        <v>6188.5719350000008</v>
      </c>
      <c r="Q378" s="10">
        <f>INDEX([1]ratio_ins!O:O,MATCH('001_population_health_zone_zs'!$B$2,[1]ratio_ins!$B:$B,0))*$G378*INDEX([1]ratio_ins!$C:$C,MATCH('001_population_health_zone_zs'!$B378,[1]ratio_ins!$B:$B,0))</f>
        <v>5522.1103419999999</v>
      </c>
      <c r="R378" s="10">
        <f>INDEX([1]ratio_ins!P:P,MATCH('001_population_health_zone_zs'!$B$2,[1]ratio_ins!$B:$B,0))*$G378*INDEX([1]ratio_ins!$C:$C,MATCH('001_population_health_zone_zs'!$B378,[1]ratio_ins!$B:$B,0))</f>
        <v>5426.9015429999999</v>
      </c>
      <c r="S378" s="10">
        <f>INDEX([1]ratio_ins!Q:Q,MATCH('001_population_health_zone_zs'!$B$2,[1]ratio_ins!$B:$B,0))*$G378*INDEX([1]ratio_ins!$C:$C,MATCH('001_population_health_zone_zs'!$B378,[1]ratio_ins!$B:$B,0))</f>
        <v>4570.0223520000009</v>
      </c>
      <c r="T378" s="10">
        <f>INDEX([1]ratio_ins!R:R,MATCH('001_population_health_zone_zs'!$B$2,[1]ratio_ins!$B:$B,0))*$G378*INDEX([1]ratio_ins!$C:$C,MATCH('001_population_health_zone_zs'!$B378,[1]ratio_ins!$B:$B,0))</f>
        <v>3237.0991660000004</v>
      </c>
      <c r="U378" s="10">
        <f>INDEX([1]ratio_ins!S:S,MATCH('001_population_health_zone_zs'!$B$2,[1]ratio_ins!$B:$B,0))*$G378*INDEX([1]ratio_ins!$C:$C,MATCH('001_population_health_zone_zs'!$B378,[1]ratio_ins!$B:$B,0))</f>
        <v>2570.6375730000004</v>
      </c>
      <c r="V378" s="10">
        <f>INDEX([1]ratio_ins!T:T,MATCH('001_population_health_zone_zs'!$B$2,[1]ratio_ins!$B:$B,0))*$G378*INDEX([1]ratio_ins!$C:$C,MATCH('001_population_health_zone_zs'!$B378,[1]ratio_ins!$B:$B,0))</f>
        <v>1428.1319850000002</v>
      </c>
      <c r="W378" s="11">
        <f>INDEX([1]ratio_ins!U:U,MATCH('001_population_health_zone_zs'!$B$2,[1]ratio_ins!$B:$B,0))*$G378*INDEX([1]ratio_ins!$C:$C,MATCH('001_population_health_zone_zs'!$B378,[1]ratio_ins!$B:$B,0))</f>
        <v>38959.440550800005</v>
      </c>
      <c r="X378" s="10">
        <f>INDEX([1]ratio_ins!V:V,MATCH('001_population_health_zone_zs'!$B$2,[1]ratio_ins!$B:$B,0))*$G378*INDEX([1]ratio_ins!$C:$C,MATCH('001_population_health_zone_zs'!$B378,[1]ratio_ins!$B:$B,0))</f>
        <v>1142.5055880000002</v>
      </c>
      <c r="Y378" s="10">
        <f>INDEX([1]ratio_ins!W:W,MATCH('001_population_health_zone_zs'!$B$2,[1]ratio_ins!$B:$B,0))*$G378*INDEX([1]ratio_ins!$C:$C,MATCH('001_population_health_zone_zs'!$B378,[1]ratio_ins!$B:$B,0))</f>
        <v>761.67039200000011</v>
      </c>
      <c r="Z378" s="10">
        <f>INDEX([1]ratio_ins!X:X,MATCH('001_population_health_zone_zs'!$B$2,[1]ratio_ins!$B:$B,0))*$G378*INDEX([1]ratio_ins!$C:$C,MATCH('001_population_health_zone_zs'!$B378,[1]ratio_ins!$B:$B,0))</f>
        <v>380.83519600000005</v>
      </c>
      <c r="AA378" s="10">
        <f>INDEX([1]ratio_ins!Y:Y,MATCH('001_population_health_zone_zs'!$B$2,[1]ratio_ins!$B:$B,0))*$G378*INDEX([1]ratio_ins!$C:$C,MATCH('001_population_health_zone_zs'!$B378,[1]ratio_ins!$B:$B,0))</f>
        <v>190.41759800000003</v>
      </c>
      <c r="AB378" s="11">
        <f>INDEX([1]ratio_ins!Z:Z,MATCH('001_population_health_zone_zs'!$B$2,[1]ratio_ins!$B:$B,0))*$G378*INDEX([1]ratio_ins!$C:$C,MATCH('001_population_health_zone_zs'!$B378,[1]ratio_ins!$B:$B,0))</f>
        <v>2475.4287740000004</v>
      </c>
      <c r="AC378" s="12">
        <f t="shared" si="30"/>
        <v>95208.798999999999</v>
      </c>
      <c r="AD378" s="10">
        <f>INDEX([1]ratio_ins!AA:AA,MATCH('001_population_health_zone_zs'!$B$2,[1]ratio_ins!$B:$B,0))*$G378*INDEX([1]ratio_ins!$D:$D,MATCH('001_population_health_zone_zs'!$B378,[1]ratio_ins!$B:$B,0))</f>
        <v>20235.22221</v>
      </c>
      <c r="AE378" s="10">
        <f>INDEX([1]ratio_ins!AB:AB,MATCH('001_population_health_zone_zs'!$B$2,[1]ratio_ins!$B:$B,0))*$G378*INDEX([1]ratio_ins!$D:$D,MATCH('001_population_health_zone_zs'!$B378,[1]ratio_ins!$B:$B,0))</f>
        <v>16669.968773000001</v>
      </c>
      <c r="AF378" s="10">
        <f>INDEX([1]ratio_ins!AC:AC,MATCH('001_population_health_zone_zs'!$B$2,[1]ratio_ins!$B:$B,0))*$G378*INDEX([1]ratio_ins!$D:$D,MATCH('001_population_health_zone_zs'!$B378,[1]ratio_ins!$B:$B,0))</f>
        <v>13201.073536999998</v>
      </c>
      <c r="AG378" s="10">
        <f>INDEX([1]ratio_ins!AD:AD,MATCH('001_population_health_zone_zs'!$B$2,[1]ratio_ins!$B:$B,0))*$G378*INDEX([1]ratio_ins!$D:$D,MATCH('001_population_health_zone_zs'!$B378,[1]ratio_ins!$B:$B,0))</f>
        <v>7997.7306830000007</v>
      </c>
      <c r="AH378" s="10">
        <f>INDEX([1]ratio_ins!AE:AE,MATCH('001_population_health_zone_zs'!$B$2,[1]ratio_ins!$B:$B,0))*$G378*INDEX([1]ratio_ins!$D:$D,MATCH('001_population_health_zone_zs'!$B378,[1]ratio_ins!$B:$B,0))</f>
        <v>4798.6384097999999</v>
      </c>
      <c r="AI378" s="13">
        <f>INDEX([1]ratio_ins!AF:AF,MATCH('001_population_health_zone_zs'!$B$2,[1]ratio_ins!$B:$B,0))*$G378*INDEX([1]ratio_ins!$D:$D,MATCH('001_population_health_zone_zs'!$B378,[1]ratio_ins!$B:$B,0))</f>
        <v>54904.902929799995</v>
      </c>
      <c r="AJ378" s="10">
        <f>INDEX([1]ratio_ins!AG:AG,MATCH('001_population_health_zone_zs'!$B$2,[1]ratio_ins!$B:$B,0))*$G378*INDEX([1]ratio_ins!$D:$D,MATCH('001_population_health_zone_zs'!$B378,[1]ratio_ins!$B:$B,0))</f>
        <v>3199.0922732000004</v>
      </c>
      <c r="AK378" s="10">
        <f>INDEX([1]ratio_ins!AH:AH,MATCH('001_population_health_zone_zs'!$B$2,[1]ratio_ins!$B:$B,0))*$G378*INDEX([1]ratio_ins!$D:$D,MATCH('001_population_health_zone_zs'!$B378,[1]ratio_ins!$B:$B,0))</f>
        <v>7130.5068740000015</v>
      </c>
      <c r="AL378" s="10">
        <f>INDEX([1]ratio_ins!AI:AI,MATCH('001_population_health_zone_zs'!$B$2,[1]ratio_ins!$B:$B,0))*$G378*INDEX([1]ratio_ins!$D:$D,MATCH('001_population_health_zone_zs'!$B378,[1]ratio_ins!$B:$B,0))</f>
        <v>6745.0740700000006</v>
      </c>
      <c r="AM378" s="10">
        <f>INDEX([1]ratio_ins!AJ:AJ,MATCH('001_population_health_zone_zs'!$B$2,[1]ratio_ins!$B:$B,0))*$G378*INDEX([1]ratio_ins!$D:$D,MATCH('001_population_health_zone_zs'!$B378,[1]ratio_ins!$B:$B,0))</f>
        <v>6166.9248640000005</v>
      </c>
      <c r="AN378" s="10">
        <f>INDEX([1]ratio_ins!AK:AK,MATCH('001_population_health_zone_zs'!$B$2,[1]ratio_ins!$B:$B,0))*$G378*INDEX([1]ratio_ins!$D:$D,MATCH('001_population_health_zone_zs'!$B378,[1]ratio_ins!$B:$B,0))</f>
        <v>5781.4920600000005</v>
      </c>
      <c r="AO378" s="10">
        <f>INDEX([1]ratio_ins!AL:AL,MATCH('001_population_health_zone_zs'!$B$2,[1]ratio_ins!$B:$B,0))*$G378*INDEX([1]ratio_ins!$D:$D,MATCH('001_population_health_zone_zs'!$B378,[1]ratio_ins!$B:$B,0))</f>
        <v>4336.1190449999995</v>
      </c>
      <c r="AP378" s="10">
        <f>INDEX([1]ratio_ins!AM:AM,MATCH('001_population_health_zone_zs'!$B$2,[1]ratio_ins!$B:$B,0))*$G378*INDEX([1]ratio_ins!$D:$D,MATCH('001_population_health_zone_zs'!$B378,[1]ratio_ins!$B:$B,0))</f>
        <v>2794.3878289999998</v>
      </c>
      <c r="AQ378" s="10">
        <f>INDEX([1]ratio_ins!AN:AN,MATCH('001_population_health_zone_zs'!$B$2,[1]ratio_ins!$B:$B,0))*$G378*INDEX([1]ratio_ins!$D:$D,MATCH('001_population_health_zone_zs'!$B378,[1]ratio_ins!$B:$B,0))</f>
        <v>2216.2386230000002</v>
      </c>
      <c r="AR378" s="10">
        <f>INDEX([1]ratio_ins!AO:AO,MATCH('001_population_health_zone_zs'!$B$2,[1]ratio_ins!$B:$B,0))*$G378*INDEX([1]ratio_ins!$D:$D,MATCH('001_population_health_zone_zs'!$B378,[1]ratio_ins!$B:$B,0))</f>
        <v>1059.9402110000001</v>
      </c>
      <c r="AS378" s="13">
        <f>INDEX([1]ratio_ins!AP:AP,MATCH('001_population_health_zone_zs'!$B$2,[1]ratio_ins!$B:$B,0))*$G378*INDEX([1]ratio_ins!$D:$D,MATCH('001_population_health_zone_zs'!$B378,[1]ratio_ins!$B:$B,0))</f>
        <v>39429.775849199999</v>
      </c>
      <c r="AT378" s="10">
        <f>INDEX([1]ratio_ins!AQ:AQ,MATCH('001_population_health_zone_zs'!$B$2,[1]ratio_ins!$B:$B,0))*$G378*INDEX([1]ratio_ins!$D:$D,MATCH('001_population_health_zone_zs'!$B378,[1]ratio_ins!$B:$B,0))</f>
        <v>963.58201000000008</v>
      </c>
      <c r="AU378" s="10">
        <f>INDEX([1]ratio_ins!AR:AR,MATCH('001_population_health_zone_zs'!$B$2,[1]ratio_ins!$B:$B,0))*$G378*INDEX([1]ratio_ins!$D:$D,MATCH('001_population_health_zone_zs'!$B378,[1]ratio_ins!$B:$B,0))</f>
        <v>578.14920600000005</v>
      </c>
      <c r="AV378" s="10">
        <f>INDEX([1]ratio_ins!AS:AS,MATCH('001_population_health_zone_zs'!$B$2,[1]ratio_ins!$B:$B,0))*$G378*INDEX([1]ratio_ins!$D:$D,MATCH('001_population_health_zone_zs'!$B378,[1]ratio_ins!$B:$B,0))</f>
        <v>289.07460300000002</v>
      </c>
      <c r="AW378" s="10">
        <f>INDEX([1]ratio_ins!AT:AT,MATCH('001_population_health_zone_zs'!$B$2,[1]ratio_ins!$B:$B,0))*$G378*INDEX([1]ratio_ins!$D:$D,MATCH('001_population_health_zone_zs'!$B378,[1]ratio_ins!$B:$B,0))</f>
        <v>192.71640200000002</v>
      </c>
      <c r="AX378" s="13">
        <f>INDEX([1]ratio_ins!AU:AU,MATCH('001_population_health_zone_zs'!$B$2,[1]ratio_ins!$B:$B,0))*$G378*INDEX([1]ratio_ins!$D:$D,MATCH('001_population_health_zone_zs'!$B378,[1]ratio_ins!$B:$B,0))</f>
        <v>2023.5222209999999</v>
      </c>
      <c r="AY378" s="14">
        <f t="shared" si="31"/>
        <v>96358.201000000001</v>
      </c>
      <c r="AZ378" s="15">
        <f t="shared" si="32"/>
        <v>191567</v>
      </c>
      <c r="BA378" s="16">
        <v>182377.18512947072</v>
      </c>
      <c r="BB378" s="10">
        <f t="shared" si="33"/>
        <v>40952.235425000006</v>
      </c>
      <c r="BC378" s="17">
        <f t="shared" si="34"/>
        <v>0.21377500000000002</v>
      </c>
      <c r="BD378" s="10">
        <f t="shared" si="35"/>
        <v>39702.069183000007</v>
      </c>
    </row>
    <row r="379" spans="1:56" x14ac:dyDescent="0.25">
      <c r="A379" s="8" t="s">
        <v>877</v>
      </c>
      <c r="B379" s="8" t="s">
        <v>878</v>
      </c>
      <c r="C379" s="8" t="s">
        <v>924</v>
      </c>
      <c r="D379" s="8" t="s">
        <v>925</v>
      </c>
      <c r="E379" s="8" t="s">
        <v>927</v>
      </c>
      <c r="F379" s="8" t="s">
        <v>928</v>
      </c>
      <c r="G379" s="9">
        <v>296447</v>
      </c>
      <c r="H379" s="10">
        <f>INDEX([1]ratio_ins!F:F,MATCH('001_population_health_zone_zs'!$B$2,[1]ratio_ins!$B:$B,0))*$G379*INDEX([1]ratio_ins!$C:$C,MATCH('001_population_health_zone_zs'!$B379,[1]ratio_ins!$B:$B,0))</f>
        <v>30792.839231000002</v>
      </c>
      <c r="I379" s="10">
        <f>INDEX([1]ratio_ins!G:G,MATCH('001_population_health_zone_zs'!$B$2,[1]ratio_ins!$B:$B,0))*$G379*INDEX([1]ratio_ins!$C:$C,MATCH('001_population_health_zone_zs'!$B379,[1]ratio_ins!$B:$B,0))</f>
        <v>25194.141189000005</v>
      </c>
      <c r="J379" s="10">
        <f>INDEX([1]ratio_ins!H:H,MATCH('001_population_health_zone_zs'!$B$2,[1]ratio_ins!$B:$B,0))*$G379*INDEX([1]ratio_ins!$C:$C,MATCH('001_population_health_zone_zs'!$B379,[1]ratio_ins!$B:$B,0))</f>
        <v>19890.111465000002</v>
      </c>
      <c r="K379" s="10">
        <f>INDEX([1]ratio_ins!I:I,MATCH('001_population_health_zone_zs'!$B$2,[1]ratio_ins!$B:$B,0))*$G379*INDEX([1]ratio_ins!$C:$C,MATCH('001_population_health_zone_zs'!$B379,[1]ratio_ins!$B:$B,0))</f>
        <v>12228.735197000002</v>
      </c>
      <c r="L379" s="10">
        <f>INDEX([1]ratio_ins!J:J,MATCH('001_population_health_zone_zs'!$B$2,[1]ratio_ins!$B:$B,0))*$G379*INDEX([1]ratio_ins!$C:$C,MATCH('001_population_health_zone_zs'!$B379,[1]ratio_ins!$B:$B,0))</f>
        <v>7337.2411182000005</v>
      </c>
      <c r="M379" s="11">
        <f>INDEX([1]ratio_ins!K:K,MATCH('001_population_health_zone_zs'!$B$2,[1]ratio_ins!$B:$B,0))*$G379*INDEX([1]ratio_ins!$C:$C,MATCH('001_population_health_zone_zs'!$B379,[1]ratio_ins!$B:$B,0))</f>
        <v>83214.333003199994</v>
      </c>
      <c r="N379" s="10">
        <f>INDEX([1]ratio_ins!L:L,MATCH('001_population_health_zone_zs'!$B$2,[1]ratio_ins!$B:$B,0))*$G379*INDEX([1]ratio_ins!$C:$C,MATCH('001_population_health_zone_zs'!$B379,[1]ratio_ins!$B:$B,0))</f>
        <v>4891.4940788000004</v>
      </c>
      <c r="O379" s="10">
        <f>INDEX([1]ratio_ins!M:M,MATCH('001_population_health_zone_zs'!$B$2,[1]ratio_ins!$B:$B,0))*$G379*INDEX([1]ratio_ins!$C:$C,MATCH('001_population_health_zone_zs'!$B379,[1]ratio_ins!$B:$B,0))</f>
        <v>10608.059448000002</v>
      </c>
      <c r="P379" s="10">
        <f>INDEX([1]ratio_ins!N:N,MATCH('001_population_health_zone_zs'!$B$2,[1]ratio_ins!$B:$B,0))*$G379*INDEX([1]ratio_ins!$C:$C,MATCH('001_population_health_zone_zs'!$B379,[1]ratio_ins!$B:$B,0))</f>
        <v>9576.7203350000018</v>
      </c>
      <c r="Q379" s="10">
        <f>INDEX([1]ratio_ins!O:O,MATCH('001_population_health_zone_zs'!$B$2,[1]ratio_ins!$B:$B,0))*$G379*INDEX([1]ratio_ins!$C:$C,MATCH('001_population_health_zone_zs'!$B379,[1]ratio_ins!$B:$B,0))</f>
        <v>8545.381222</v>
      </c>
      <c r="R379" s="10">
        <f>INDEX([1]ratio_ins!P:P,MATCH('001_population_health_zone_zs'!$B$2,[1]ratio_ins!$B:$B,0))*$G379*INDEX([1]ratio_ins!$C:$C,MATCH('001_population_health_zone_zs'!$B379,[1]ratio_ins!$B:$B,0))</f>
        <v>8398.047063</v>
      </c>
      <c r="S379" s="10">
        <f>INDEX([1]ratio_ins!Q:Q,MATCH('001_population_health_zone_zs'!$B$2,[1]ratio_ins!$B:$B,0))*$G379*INDEX([1]ratio_ins!$C:$C,MATCH('001_population_health_zone_zs'!$B379,[1]ratio_ins!$B:$B,0))</f>
        <v>7072.0396320000009</v>
      </c>
      <c r="T379" s="10">
        <f>INDEX([1]ratio_ins!R:R,MATCH('001_population_health_zone_zs'!$B$2,[1]ratio_ins!$B:$B,0))*$G379*INDEX([1]ratio_ins!$C:$C,MATCH('001_population_health_zone_zs'!$B379,[1]ratio_ins!$B:$B,0))</f>
        <v>5009.3614060000009</v>
      </c>
      <c r="U379" s="10">
        <f>INDEX([1]ratio_ins!S:S,MATCH('001_population_health_zone_zs'!$B$2,[1]ratio_ins!$B:$B,0))*$G379*INDEX([1]ratio_ins!$C:$C,MATCH('001_population_health_zone_zs'!$B379,[1]ratio_ins!$B:$B,0))</f>
        <v>3978.0222930000009</v>
      </c>
      <c r="V379" s="10">
        <f>INDEX([1]ratio_ins!T:T,MATCH('001_population_health_zone_zs'!$B$2,[1]ratio_ins!$B:$B,0))*$G379*INDEX([1]ratio_ins!$C:$C,MATCH('001_population_health_zone_zs'!$B379,[1]ratio_ins!$B:$B,0))</f>
        <v>2210.012385</v>
      </c>
      <c r="W379" s="11">
        <f>INDEX([1]ratio_ins!U:U,MATCH('001_population_health_zone_zs'!$B$2,[1]ratio_ins!$B:$B,0))*$G379*INDEX([1]ratio_ins!$C:$C,MATCH('001_population_health_zone_zs'!$B379,[1]ratio_ins!$B:$B,0))</f>
        <v>60289.137862800002</v>
      </c>
      <c r="X379" s="10">
        <f>INDEX([1]ratio_ins!V:V,MATCH('001_population_health_zone_zs'!$B$2,[1]ratio_ins!$B:$B,0))*$G379*INDEX([1]ratio_ins!$C:$C,MATCH('001_population_health_zone_zs'!$B379,[1]ratio_ins!$B:$B,0))</f>
        <v>1768.0099080000002</v>
      </c>
      <c r="Y379" s="10">
        <f>INDEX([1]ratio_ins!W:W,MATCH('001_population_health_zone_zs'!$B$2,[1]ratio_ins!$B:$B,0))*$G379*INDEX([1]ratio_ins!$C:$C,MATCH('001_population_health_zone_zs'!$B379,[1]ratio_ins!$B:$B,0))</f>
        <v>1178.6732720000002</v>
      </c>
      <c r="Z379" s="10">
        <f>INDEX([1]ratio_ins!X:X,MATCH('001_population_health_zone_zs'!$B$2,[1]ratio_ins!$B:$B,0))*$G379*INDEX([1]ratio_ins!$C:$C,MATCH('001_population_health_zone_zs'!$B379,[1]ratio_ins!$B:$B,0))</f>
        <v>589.33663600000011</v>
      </c>
      <c r="AA379" s="10">
        <f>INDEX([1]ratio_ins!Y:Y,MATCH('001_population_health_zone_zs'!$B$2,[1]ratio_ins!$B:$B,0))*$G379*INDEX([1]ratio_ins!$C:$C,MATCH('001_population_health_zone_zs'!$B379,[1]ratio_ins!$B:$B,0))</f>
        <v>294.66831800000006</v>
      </c>
      <c r="AB379" s="11">
        <f>INDEX([1]ratio_ins!Z:Z,MATCH('001_population_health_zone_zs'!$B$2,[1]ratio_ins!$B:$B,0))*$G379*INDEX([1]ratio_ins!$C:$C,MATCH('001_population_health_zone_zs'!$B379,[1]ratio_ins!$B:$B,0))</f>
        <v>3830.6881340000004</v>
      </c>
      <c r="AC379" s="12">
        <f t="shared" si="30"/>
        <v>147334.15899999999</v>
      </c>
      <c r="AD379" s="10">
        <f>INDEX([1]ratio_ins!AA:AA,MATCH('001_population_health_zone_zs'!$B$2,[1]ratio_ins!$B:$B,0))*$G379*INDEX([1]ratio_ins!$D:$D,MATCH('001_population_health_zone_zs'!$B379,[1]ratio_ins!$B:$B,0))</f>
        <v>31313.696609999999</v>
      </c>
      <c r="AE379" s="10">
        <f>INDEX([1]ratio_ins!AB:AB,MATCH('001_population_health_zone_zs'!$B$2,[1]ratio_ins!$B:$B,0))*$G379*INDEX([1]ratio_ins!$D:$D,MATCH('001_population_health_zone_zs'!$B379,[1]ratio_ins!$B:$B,0))</f>
        <v>25796.521493000004</v>
      </c>
      <c r="AF379" s="10">
        <f>INDEX([1]ratio_ins!AC:AC,MATCH('001_population_health_zone_zs'!$B$2,[1]ratio_ins!$B:$B,0))*$G379*INDEX([1]ratio_ins!$D:$D,MATCH('001_population_health_zone_zs'!$B379,[1]ratio_ins!$B:$B,0))</f>
        <v>20428.459216999996</v>
      </c>
      <c r="AG379" s="10">
        <f>INDEX([1]ratio_ins!AD:AD,MATCH('001_population_health_zone_zs'!$B$2,[1]ratio_ins!$B:$B,0))*$G379*INDEX([1]ratio_ins!$D:$D,MATCH('001_population_health_zone_zs'!$B379,[1]ratio_ins!$B:$B,0))</f>
        <v>12376.365803000001</v>
      </c>
      <c r="AH379" s="10">
        <f>INDEX([1]ratio_ins!AE:AE,MATCH('001_population_health_zone_zs'!$B$2,[1]ratio_ins!$B:$B,0))*$G379*INDEX([1]ratio_ins!$D:$D,MATCH('001_population_health_zone_zs'!$B379,[1]ratio_ins!$B:$B,0))</f>
        <v>7425.8194817999993</v>
      </c>
      <c r="AI379" s="13">
        <f>INDEX([1]ratio_ins!AF:AF,MATCH('001_population_health_zone_zs'!$B$2,[1]ratio_ins!$B:$B,0))*$G379*INDEX([1]ratio_ins!$D:$D,MATCH('001_population_health_zone_zs'!$B379,[1]ratio_ins!$B:$B,0))</f>
        <v>84964.496801800007</v>
      </c>
      <c r="AJ379" s="10">
        <f>INDEX([1]ratio_ins!AG:AG,MATCH('001_population_health_zone_zs'!$B$2,[1]ratio_ins!$B:$B,0))*$G379*INDEX([1]ratio_ins!$D:$D,MATCH('001_population_health_zone_zs'!$B379,[1]ratio_ins!$B:$B,0))</f>
        <v>4950.5463211999995</v>
      </c>
      <c r="AK379" s="10">
        <f>INDEX([1]ratio_ins!AH:AH,MATCH('001_population_health_zone_zs'!$B$2,[1]ratio_ins!$B:$B,0))*$G379*INDEX([1]ratio_ins!$D:$D,MATCH('001_population_health_zone_zs'!$B379,[1]ratio_ins!$B:$B,0))</f>
        <v>11034.350234000001</v>
      </c>
      <c r="AL379" s="10">
        <f>INDEX([1]ratio_ins!AI:AI,MATCH('001_population_health_zone_zs'!$B$2,[1]ratio_ins!$B:$B,0))*$G379*INDEX([1]ratio_ins!$D:$D,MATCH('001_population_health_zone_zs'!$B379,[1]ratio_ins!$B:$B,0))</f>
        <v>10437.898870000001</v>
      </c>
      <c r="AM379" s="10">
        <f>INDEX([1]ratio_ins!AJ:AJ,MATCH('001_population_health_zone_zs'!$B$2,[1]ratio_ins!$B:$B,0))*$G379*INDEX([1]ratio_ins!$D:$D,MATCH('001_population_health_zone_zs'!$B379,[1]ratio_ins!$B:$B,0))</f>
        <v>9543.2218240000002</v>
      </c>
      <c r="AN379" s="10">
        <f>INDEX([1]ratio_ins!AK:AK,MATCH('001_population_health_zone_zs'!$B$2,[1]ratio_ins!$B:$B,0))*$G379*INDEX([1]ratio_ins!$D:$D,MATCH('001_population_health_zone_zs'!$B379,[1]ratio_ins!$B:$B,0))</f>
        <v>8946.7704599999997</v>
      </c>
      <c r="AO379" s="10">
        <f>INDEX([1]ratio_ins!AL:AL,MATCH('001_population_health_zone_zs'!$B$2,[1]ratio_ins!$B:$B,0))*$G379*INDEX([1]ratio_ins!$D:$D,MATCH('001_population_health_zone_zs'!$B379,[1]ratio_ins!$B:$B,0))</f>
        <v>6710.0778449999998</v>
      </c>
      <c r="AP379" s="10">
        <f>INDEX([1]ratio_ins!AM:AM,MATCH('001_population_health_zone_zs'!$B$2,[1]ratio_ins!$B:$B,0))*$G379*INDEX([1]ratio_ins!$D:$D,MATCH('001_population_health_zone_zs'!$B379,[1]ratio_ins!$B:$B,0))</f>
        <v>4324.2723889999997</v>
      </c>
      <c r="AQ379" s="10">
        <f>INDEX([1]ratio_ins!AN:AN,MATCH('001_population_health_zone_zs'!$B$2,[1]ratio_ins!$B:$B,0))*$G379*INDEX([1]ratio_ins!$D:$D,MATCH('001_population_health_zone_zs'!$B379,[1]ratio_ins!$B:$B,0))</f>
        <v>3429.595343</v>
      </c>
      <c r="AR379" s="10">
        <f>INDEX([1]ratio_ins!AO:AO,MATCH('001_population_health_zone_zs'!$B$2,[1]ratio_ins!$B:$B,0))*$G379*INDEX([1]ratio_ins!$D:$D,MATCH('001_population_health_zone_zs'!$B379,[1]ratio_ins!$B:$B,0))</f>
        <v>1640.2412510000001</v>
      </c>
      <c r="AS379" s="13">
        <f>INDEX([1]ratio_ins!AP:AP,MATCH('001_population_health_zone_zs'!$B$2,[1]ratio_ins!$B:$B,0))*$G379*INDEX([1]ratio_ins!$D:$D,MATCH('001_population_health_zone_zs'!$B379,[1]ratio_ins!$B:$B,0))</f>
        <v>61016.974537199996</v>
      </c>
      <c r="AT379" s="10">
        <f>INDEX([1]ratio_ins!AQ:AQ,MATCH('001_population_health_zone_zs'!$B$2,[1]ratio_ins!$B:$B,0))*$G379*INDEX([1]ratio_ins!$D:$D,MATCH('001_population_health_zone_zs'!$B379,[1]ratio_ins!$B:$B,0))</f>
        <v>1491.12841</v>
      </c>
      <c r="AU379" s="10">
        <f>INDEX([1]ratio_ins!AR:AR,MATCH('001_population_health_zone_zs'!$B$2,[1]ratio_ins!$B:$B,0))*$G379*INDEX([1]ratio_ins!$D:$D,MATCH('001_population_health_zone_zs'!$B379,[1]ratio_ins!$B:$B,0))</f>
        <v>894.67704600000002</v>
      </c>
      <c r="AV379" s="10">
        <f>INDEX([1]ratio_ins!AS:AS,MATCH('001_population_health_zone_zs'!$B$2,[1]ratio_ins!$B:$B,0))*$G379*INDEX([1]ratio_ins!$D:$D,MATCH('001_population_health_zone_zs'!$B379,[1]ratio_ins!$B:$B,0))</f>
        <v>447.33852300000001</v>
      </c>
      <c r="AW379" s="10">
        <f>INDEX([1]ratio_ins!AT:AT,MATCH('001_population_health_zone_zs'!$B$2,[1]ratio_ins!$B:$B,0))*$G379*INDEX([1]ratio_ins!$D:$D,MATCH('001_population_health_zone_zs'!$B379,[1]ratio_ins!$B:$B,0))</f>
        <v>298.22568200000001</v>
      </c>
      <c r="AX379" s="13">
        <f>INDEX([1]ratio_ins!AU:AU,MATCH('001_population_health_zone_zs'!$B$2,[1]ratio_ins!$B:$B,0))*$G379*INDEX([1]ratio_ins!$D:$D,MATCH('001_population_health_zone_zs'!$B379,[1]ratio_ins!$B:$B,0))</f>
        <v>3131.3696609999997</v>
      </c>
      <c r="AY379" s="14">
        <f t="shared" si="31"/>
        <v>149112.84100000001</v>
      </c>
      <c r="AZ379" s="15">
        <f t="shared" si="32"/>
        <v>296447</v>
      </c>
      <c r="BA379" s="16">
        <v>282225.41954214912</v>
      </c>
      <c r="BB379" s="10">
        <f t="shared" si="33"/>
        <v>63372.957424999993</v>
      </c>
      <c r="BC379" s="17">
        <f t="shared" si="34"/>
        <v>0.21377499999999997</v>
      </c>
      <c r="BD379" s="10">
        <f t="shared" si="35"/>
        <v>61438.344303000005</v>
      </c>
    </row>
    <row r="380" spans="1:56" x14ac:dyDescent="0.25">
      <c r="A380" s="8" t="s">
        <v>877</v>
      </c>
      <c r="B380" s="8" t="s">
        <v>878</v>
      </c>
      <c r="C380" s="8" t="s">
        <v>924</v>
      </c>
      <c r="D380" s="8" t="s">
        <v>925</v>
      </c>
      <c r="E380" s="8" t="s">
        <v>929</v>
      </c>
      <c r="F380" s="8" t="s">
        <v>930</v>
      </c>
      <c r="G380" s="9">
        <v>111427</v>
      </c>
      <c r="H380" s="10">
        <f>INDEX([1]ratio_ins!F:F,MATCH('001_population_health_zone_zs'!$B$2,[1]ratio_ins!$B:$B,0))*$G380*INDEX([1]ratio_ins!$C:$C,MATCH('001_population_health_zone_zs'!$B380,[1]ratio_ins!$B:$B,0))</f>
        <v>11574.256771</v>
      </c>
      <c r="I380" s="10">
        <f>INDEX([1]ratio_ins!G:G,MATCH('001_population_health_zone_zs'!$B$2,[1]ratio_ins!$B:$B,0))*$G380*INDEX([1]ratio_ins!$C:$C,MATCH('001_population_health_zone_zs'!$B380,[1]ratio_ins!$B:$B,0))</f>
        <v>9469.8464490000006</v>
      </c>
      <c r="J380" s="10">
        <f>INDEX([1]ratio_ins!H:H,MATCH('001_population_health_zone_zs'!$B$2,[1]ratio_ins!$B:$B,0))*$G380*INDEX([1]ratio_ins!$C:$C,MATCH('001_population_health_zone_zs'!$B380,[1]ratio_ins!$B:$B,0))</f>
        <v>7476.1945650000007</v>
      </c>
      <c r="K380" s="10">
        <f>INDEX([1]ratio_ins!I:I,MATCH('001_population_health_zone_zs'!$B$2,[1]ratio_ins!$B:$B,0))*$G380*INDEX([1]ratio_ins!$C:$C,MATCH('001_population_health_zone_zs'!$B380,[1]ratio_ins!$B:$B,0))</f>
        <v>4596.4751770000012</v>
      </c>
      <c r="L380" s="10">
        <f>INDEX([1]ratio_ins!J:J,MATCH('001_population_health_zone_zs'!$B$2,[1]ratio_ins!$B:$B,0))*$G380*INDEX([1]ratio_ins!$C:$C,MATCH('001_population_health_zone_zs'!$B380,[1]ratio_ins!$B:$B,0))</f>
        <v>2757.8851062000003</v>
      </c>
      <c r="M380" s="11">
        <f>INDEX([1]ratio_ins!K:K,MATCH('001_population_health_zone_zs'!$B$2,[1]ratio_ins!$B:$B,0))*$G380*INDEX([1]ratio_ins!$C:$C,MATCH('001_population_health_zone_zs'!$B380,[1]ratio_ins!$B:$B,0))</f>
        <v>31278.182891200002</v>
      </c>
      <c r="N380" s="10">
        <f>INDEX([1]ratio_ins!L:L,MATCH('001_population_health_zone_zs'!$B$2,[1]ratio_ins!$B:$B,0))*$G380*INDEX([1]ratio_ins!$C:$C,MATCH('001_population_health_zone_zs'!$B380,[1]ratio_ins!$B:$B,0))</f>
        <v>1838.5900708000001</v>
      </c>
      <c r="O380" s="10">
        <f>INDEX([1]ratio_ins!M:M,MATCH('001_population_health_zone_zs'!$B$2,[1]ratio_ins!$B:$B,0))*$G380*INDEX([1]ratio_ins!$C:$C,MATCH('001_population_health_zone_zs'!$B380,[1]ratio_ins!$B:$B,0))</f>
        <v>3987.3037680000007</v>
      </c>
      <c r="P380" s="10">
        <f>INDEX([1]ratio_ins!N:N,MATCH('001_population_health_zone_zs'!$B$2,[1]ratio_ins!$B:$B,0))*$G380*INDEX([1]ratio_ins!$C:$C,MATCH('001_population_health_zone_zs'!$B380,[1]ratio_ins!$B:$B,0))</f>
        <v>3599.6492350000003</v>
      </c>
      <c r="Q380" s="10">
        <f>INDEX([1]ratio_ins!O:O,MATCH('001_population_health_zone_zs'!$B$2,[1]ratio_ins!$B:$B,0))*$G380*INDEX([1]ratio_ins!$C:$C,MATCH('001_population_health_zone_zs'!$B380,[1]ratio_ins!$B:$B,0))</f>
        <v>3211.994702</v>
      </c>
      <c r="R380" s="10">
        <f>INDEX([1]ratio_ins!P:P,MATCH('001_population_health_zone_zs'!$B$2,[1]ratio_ins!$B:$B,0))*$G380*INDEX([1]ratio_ins!$C:$C,MATCH('001_population_health_zone_zs'!$B380,[1]ratio_ins!$B:$B,0))</f>
        <v>3156.6154830000005</v>
      </c>
      <c r="S380" s="10">
        <f>INDEX([1]ratio_ins!Q:Q,MATCH('001_population_health_zone_zs'!$B$2,[1]ratio_ins!$B:$B,0))*$G380*INDEX([1]ratio_ins!$C:$C,MATCH('001_population_health_zone_zs'!$B380,[1]ratio_ins!$B:$B,0))</f>
        <v>2658.2025120000003</v>
      </c>
      <c r="T380" s="10">
        <f>INDEX([1]ratio_ins!R:R,MATCH('001_population_health_zone_zs'!$B$2,[1]ratio_ins!$B:$B,0))*$G380*INDEX([1]ratio_ins!$C:$C,MATCH('001_population_health_zone_zs'!$B380,[1]ratio_ins!$B:$B,0))</f>
        <v>1882.8934460000005</v>
      </c>
      <c r="U380" s="10">
        <f>INDEX([1]ratio_ins!S:S,MATCH('001_population_health_zone_zs'!$B$2,[1]ratio_ins!$B:$B,0))*$G380*INDEX([1]ratio_ins!$C:$C,MATCH('001_population_health_zone_zs'!$B380,[1]ratio_ins!$B:$B,0))</f>
        <v>1495.2389130000004</v>
      </c>
      <c r="V380" s="10">
        <f>INDEX([1]ratio_ins!T:T,MATCH('001_population_health_zone_zs'!$B$2,[1]ratio_ins!$B:$B,0))*$G380*INDEX([1]ratio_ins!$C:$C,MATCH('001_population_health_zone_zs'!$B380,[1]ratio_ins!$B:$B,0))</f>
        <v>830.68828500000006</v>
      </c>
      <c r="W380" s="11">
        <f>INDEX([1]ratio_ins!U:U,MATCH('001_population_health_zone_zs'!$B$2,[1]ratio_ins!$B:$B,0))*$G380*INDEX([1]ratio_ins!$C:$C,MATCH('001_population_health_zone_zs'!$B380,[1]ratio_ins!$B:$B,0))</f>
        <v>22661.176414800004</v>
      </c>
      <c r="X380" s="10">
        <f>INDEX([1]ratio_ins!V:V,MATCH('001_population_health_zone_zs'!$B$2,[1]ratio_ins!$B:$B,0))*$G380*INDEX([1]ratio_ins!$C:$C,MATCH('001_population_health_zone_zs'!$B380,[1]ratio_ins!$B:$B,0))</f>
        <v>664.55062800000007</v>
      </c>
      <c r="Y380" s="10">
        <f>INDEX([1]ratio_ins!W:W,MATCH('001_population_health_zone_zs'!$B$2,[1]ratio_ins!$B:$B,0))*$G380*INDEX([1]ratio_ins!$C:$C,MATCH('001_population_health_zone_zs'!$B380,[1]ratio_ins!$B:$B,0))</f>
        <v>443.03375200000005</v>
      </c>
      <c r="Z380" s="10">
        <f>INDEX([1]ratio_ins!X:X,MATCH('001_population_health_zone_zs'!$B$2,[1]ratio_ins!$B:$B,0))*$G380*INDEX([1]ratio_ins!$C:$C,MATCH('001_population_health_zone_zs'!$B380,[1]ratio_ins!$B:$B,0))</f>
        <v>221.51687600000002</v>
      </c>
      <c r="AA380" s="10">
        <f>INDEX([1]ratio_ins!Y:Y,MATCH('001_population_health_zone_zs'!$B$2,[1]ratio_ins!$B:$B,0))*$G380*INDEX([1]ratio_ins!$C:$C,MATCH('001_population_health_zone_zs'!$B380,[1]ratio_ins!$B:$B,0))</f>
        <v>110.75843800000001</v>
      </c>
      <c r="AB380" s="11">
        <f>INDEX([1]ratio_ins!Z:Z,MATCH('001_population_health_zone_zs'!$B$2,[1]ratio_ins!$B:$B,0))*$G380*INDEX([1]ratio_ins!$C:$C,MATCH('001_population_health_zone_zs'!$B380,[1]ratio_ins!$B:$B,0))</f>
        <v>1439.8596940000002</v>
      </c>
      <c r="AC380" s="12">
        <f t="shared" si="30"/>
        <v>55379.219000000005</v>
      </c>
      <c r="AD380" s="10">
        <f>INDEX([1]ratio_ins!AA:AA,MATCH('001_population_health_zone_zs'!$B$2,[1]ratio_ins!$B:$B,0))*$G380*INDEX([1]ratio_ins!$D:$D,MATCH('001_population_health_zone_zs'!$B380,[1]ratio_ins!$B:$B,0))</f>
        <v>11770.034009999999</v>
      </c>
      <c r="AE380" s="10">
        <f>INDEX([1]ratio_ins!AB:AB,MATCH('001_population_health_zone_zs'!$B$2,[1]ratio_ins!$B:$B,0))*$G380*INDEX([1]ratio_ins!$D:$D,MATCH('001_population_health_zone_zs'!$B380,[1]ratio_ins!$B:$B,0))</f>
        <v>9696.2661130000015</v>
      </c>
      <c r="AF380" s="10">
        <f>INDEX([1]ratio_ins!AC:AC,MATCH('001_population_health_zone_zs'!$B$2,[1]ratio_ins!$B:$B,0))*$G380*INDEX([1]ratio_ins!$D:$D,MATCH('001_population_health_zone_zs'!$B380,[1]ratio_ins!$B:$B,0))</f>
        <v>7678.5459969999993</v>
      </c>
      <c r="AG380" s="10">
        <f>INDEX([1]ratio_ins!AD:AD,MATCH('001_population_health_zone_zs'!$B$2,[1]ratio_ins!$B:$B,0))*$G380*INDEX([1]ratio_ins!$D:$D,MATCH('001_population_health_zone_zs'!$B380,[1]ratio_ins!$B:$B,0))</f>
        <v>4651.9658230000005</v>
      </c>
      <c r="AH380" s="10">
        <f>INDEX([1]ratio_ins!AE:AE,MATCH('001_population_health_zone_zs'!$B$2,[1]ratio_ins!$B:$B,0))*$G380*INDEX([1]ratio_ins!$D:$D,MATCH('001_population_health_zone_zs'!$B380,[1]ratio_ins!$B:$B,0))</f>
        <v>2791.1794937999998</v>
      </c>
      <c r="AI380" s="13">
        <f>INDEX([1]ratio_ins!AF:AF,MATCH('001_population_health_zone_zs'!$B$2,[1]ratio_ins!$B:$B,0))*$G380*INDEX([1]ratio_ins!$D:$D,MATCH('001_population_health_zone_zs'!$B380,[1]ratio_ins!$B:$B,0))</f>
        <v>31936.0256138</v>
      </c>
      <c r="AJ380" s="10">
        <f>INDEX([1]ratio_ins!AG:AG,MATCH('001_population_health_zone_zs'!$B$2,[1]ratio_ins!$B:$B,0))*$G380*INDEX([1]ratio_ins!$D:$D,MATCH('001_population_health_zone_zs'!$B380,[1]ratio_ins!$B:$B,0))</f>
        <v>1860.7863292</v>
      </c>
      <c r="AK380" s="10">
        <f>INDEX([1]ratio_ins!AH:AH,MATCH('001_population_health_zone_zs'!$B$2,[1]ratio_ins!$B:$B,0))*$G380*INDEX([1]ratio_ins!$D:$D,MATCH('001_population_health_zone_zs'!$B380,[1]ratio_ins!$B:$B,0))</f>
        <v>4147.5357940000013</v>
      </c>
      <c r="AL380" s="10">
        <f>INDEX([1]ratio_ins!AI:AI,MATCH('001_population_health_zone_zs'!$B$2,[1]ratio_ins!$B:$B,0))*$G380*INDEX([1]ratio_ins!$D:$D,MATCH('001_population_health_zone_zs'!$B380,[1]ratio_ins!$B:$B,0))</f>
        <v>3923.3446700000004</v>
      </c>
      <c r="AM380" s="10">
        <f>INDEX([1]ratio_ins!AJ:AJ,MATCH('001_population_health_zone_zs'!$B$2,[1]ratio_ins!$B:$B,0))*$G380*INDEX([1]ratio_ins!$D:$D,MATCH('001_population_health_zone_zs'!$B380,[1]ratio_ins!$B:$B,0))</f>
        <v>3587.057984</v>
      </c>
      <c r="AN380" s="10">
        <f>INDEX([1]ratio_ins!AK:AK,MATCH('001_population_health_zone_zs'!$B$2,[1]ratio_ins!$B:$B,0))*$G380*INDEX([1]ratio_ins!$D:$D,MATCH('001_population_health_zone_zs'!$B380,[1]ratio_ins!$B:$B,0))</f>
        <v>3362.8668600000001</v>
      </c>
      <c r="AO380" s="10">
        <f>INDEX([1]ratio_ins!AL:AL,MATCH('001_population_health_zone_zs'!$B$2,[1]ratio_ins!$B:$B,0))*$G380*INDEX([1]ratio_ins!$D:$D,MATCH('001_population_health_zone_zs'!$B380,[1]ratio_ins!$B:$B,0))</f>
        <v>2522.1501450000001</v>
      </c>
      <c r="AP380" s="10">
        <f>INDEX([1]ratio_ins!AM:AM,MATCH('001_population_health_zone_zs'!$B$2,[1]ratio_ins!$B:$B,0))*$G380*INDEX([1]ratio_ins!$D:$D,MATCH('001_population_health_zone_zs'!$B380,[1]ratio_ins!$B:$B,0))</f>
        <v>1625.3856489999998</v>
      </c>
      <c r="AQ380" s="10">
        <f>INDEX([1]ratio_ins!AN:AN,MATCH('001_population_health_zone_zs'!$B$2,[1]ratio_ins!$B:$B,0))*$G380*INDEX([1]ratio_ins!$D:$D,MATCH('001_population_health_zone_zs'!$B380,[1]ratio_ins!$B:$B,0))</f>
        <v>1289.0989629999999</v>
      </c>
      <c r="AR380" s="10">
        <f>INDEX([1]ratio_ins!AO:AO,MATCH('001_population_health_zone_zs'!$B$2,[1]ratio_ins!$B:$B,0))*$G380*INDEX([1]ratio_ins!$D:$D,MATCH('001_population_health_zone_zs'!$B380,[1]ratio_ins!$B:$B,0))</f>
        <v>616.52559100000008</v>
      </c>
      <c r="AS380" s="13">
        <f>INDEX([1]ratio_ins!AP:AP,MATCH('001_population_health_zone_zs'!$B$2,[1]ratio_ins!$B:$B,0))*$G380*INDEX([1]ratio_ins!$D:$D,MATCH('001_population_health_zone_zs'!$B380,[1]ratio_ins!$B:$B,0))</f>
        <v>22934.7519852</v>
      </c>
      <c r="AT380" s="10">
        <f>INDEX([1]ratio_ins!AQ:AQ,MATCH('001_population_health_zone_zs'!$B$2,[1]ratio_ins!$B:$B,0))*$G380*INDEX([1]ratio_ins!$D:$D,MATCH('001_population_health_zone_zs'!$B380,[1]ratio_ins!$B:$B,0))</f>
        <v>560.47780999999998</v>
      </c>
      <c r="AU380" s="10">
        <f>INDEX([1]ratio_ins!AR:AR,MATCH('001_population_health_zone_zs'!$B$2,[1]ratio_ins!$B:$B,0))*$G380*INDEX([1]ratio_ins!$D:$D,MATCH('001_population_health_zone_zs'!$B380,[1]ratio_ins!$B:$B,0))</f>
        <v>336.28668600000003</v>
      </c>
      <c r="AV380" s="10">
        <f>INDEX([1]ratio_ins!AS:AS,MATCH('001_population_health_zone_zs'!$B$2,[1]ratio_ins!$B:$B,0))*$G380*INDEX([1]ratio_ins!$D:$D,MATCH('001_population_health_zone_zs'!$B380,[1]ratio_ins!$B:$B,0))</f>
        <v>168.14334300000002</v>
      </c>
      <c r="AW380" s="10">
        <f>INDEX([1]ratio_ins!AT:AT,MATCH('001_population_health_zone_zs'!$B$2,[1]ratio_ins!$B:$B,0))*$G380*INDEX([1]ratio_ins!$D:$D,MATCH('001_population_health_zone_zs'!$B380,[1]ratio_ins!$B:$B,0))</f>
        <v>112.095562</v>
      </c>
      <c r="AX380" s="13">
        <f>INDEX([1]ratio_ins!AU:AU,MATCH('001_population_health_zone_zs'!$B$2,[1]ratio_ins!$B:$B,0))*$G380*INDEX([1]ratio_ins!$D:$D,MATCH('001_population_health_zone_zs'!$B380,[1]ratio_ins!$B:$B,0))</f>
        <v>1177.0034009999999</v>
      </c>
      <c r="AY380" s="14">
        <f t="shared" si="31"/>
        <v>56047.781000000003</v>
      </c>
      <c r="AZ380" s="15">
        <f t="shared" si="32"/>
        <v>111427</v>
      </c>
      <c r="BA380" s="16">
        <v>106081.10951828996</v>
      </c>
      <c r="BB380" s="10">
        <f t="shared" si="33"/>
        <v>23820.306925000001</v>
      </c>
      <c r="BC380" s="17">
        <f t="shared" si="34"/>
        <v>0.21377500000000002</v>
      </c>
      <c r="BD380" s="10">
        <f t="shared" si="35"/>
        <v>23093.134323000006</v>
      </c>
    </row>
    <row r="381" spans="1:56" x14ac:dyDescent="0.25">
      <c r="A381" s="8" t="s">
        <v>877</v>
      </c>
      <c r="B381" s="8" t="s">
        <v>878</v>
      </c>
      <c r="C381" s="8" t="s">
        <v>924</v>
      </c>
      <c r="D381" s="8" t="s">
        <v>925</v>
      </c>
      <c r="E381" s="8" t="s">
        <v>931</v>
      </c>
      <c r="F381" s="8" t="s">
        <v>932</v>
      </c>
      <c r="G381" s="9">
        <v>181341</v>
      </c>
      <c r="H381" s="10">
        <f>INDEX([1]ratio_ins!F:F,MATCH('001_population_health_zone_zs'!$B$2,[1]ratio_ins!$B:$B,0))*$G381*INDEX([1]ratio_ins!$C:$C,MATCH('001_population_health_zone_zs'!$B381,[1]ratio_ins!$B:$B,0))</f>
        <v>18836.433693000003</v>
      </c>
      <c r="I381" s="10">
        <f>INDEX([1]ratio_ins!G:G,MATCH('001_population_health_zone_zs'!$B$2,[1]ratio_ins!$B:$B,0))*$G381*INDEX([1]ratio_ins!$C:$C,MATCH('001_population_health_zone_zs'!$B381,[1]ratio_ins!$B:$B,0))</f>
        <v>15411.627567000003</v>
      </c>
      <c r="J381" s="10">
        <f>INDEX([1]ratio_ins!H:H,MATCH('001_population_health_zone_zs'!$B$2,[1]ratio_ins!$B:$B,0))*$G381*INDEX([1]ratio_ins!$C:$C,MATCH('001_population_health_zone_zs'!$B381,[1]ratio_ins!$B:$B,0))</f>
        <v>12167.074395000001</v>
      </c>
      <c r="K381" s="10">
        <f>INDEX([1]ratio_ins!I:I,MATCH('001_population_health_zone_zs'!$B$2,[1]ratio_ins!$B:$B,0))*$G381*INDEX([1]ratio_ins!$C:$C,MATCH('001_population_health_zone_zs'!$B381,[1]ratio_ins!$B:$B,0))</f>
        <v>7480.4975910000003</v>
      </c>
      <c r="L381" s="10">
        <f>INDEX([1]ratio_ins!J:J,MATCH('001_population_health_zone_zs'!$B$2,[1]ratio_ins!$B:$B,0))*$G381*INDEX([1]ratio_ins!$C:$C,MATCH('001_population_health_zone_zs'!$B381,[1]ratio_ins!$B:$B,0))</f>
        <v>4488.2985546</v>
      </c>
      <c r="M381" s="11">
        <f>INDEX([1]ratio_ins!K:K,MATCH('001_population_health_zone_zs'!$B$2,[1]ratio_ins!$B:$B,0))*$G381*INDEX([1]ratio_ins!$C:$C,MATCH('001_population_health_zone_zs'!$B381,[1]ratio_ins!$B:$B,0))</f>
        <v>50903.434209599996</v>
      </c>
      <c r="N381" s="10">
        <f>INDEX([1]ratio_ins!L:L,MATCH('001_population_health_zone_zs'!$B$2,[1]ratio_ins!$B:$B,0))*$G381*INDEX([1]ratio_ins!$C:$C,MATCH('001_population_health_zone_zs'!$B381,[1]ratio_ins!$B:$B,0))</f>
        <v>2992.1990364000003</v>
      </c>
      <c r="O381" s="10">
        <f>INDEX([1]ratio_ins!M:M,MATCH('001_population_health_zone_zs'!$B$2,[1]ratio_ins!$B:$B,0))*$G381*INDEX([1]ratio_ins!$C:$C,MATCH('001_population_health_zone_zs'!$B381,[1]ratio_ins!$B:$B,0))</f>
        <v>6489.1063440000016</v>
      </c>
      <c r="P381" s="10">
        <f>INDEX([1]ratio_ins!N:N,MATCH('001_population_health_zone_zs'!$B$2,[1]ratio_ins!$B:$B,0))*$G381*INDEX([1]ratio_ins!$C:$C,MATCH('001_population_health_zone_zs'!$B381,[1]ratio_ins!$B:$B,0))</f>
        <v>5858.2210050000012</v>
      </c>
      <c r="Q381" s="10">
        <f>INDEX([1]ratio_ins!O:O,MATCH('001_population_health_zone_zs'!$B$2,[1]ratio_ins!$B:$B,0))*$G381*INDEX([1]ratio_ins!$C:$C,MATCH('001_population_health_zone_zs'!$B381,[1]ratio_ins!$B:$B,0))</f>
        <v>5227.3356659999999</v>
      </c>
      <c r="R381" s="10">
        <f>INDEX([1]ratio_ins!P:P,MATCH('001_population_health_zone_zs'!$B$2,[1]ratio_ins!$B:$B,0))*$G381*INDEX([1]ratio_ins!$C:$C,MATCH('001_population_health_zone_zs'!$B381,[1]ratio_ins!$B:$B,0))</f>
        <v>5137.2091890000002</v>
      </c>
      <c r="S381" s="10">
        <f>INDEX([1]ratio_ins!Q:Q,MATCH('001_population_health_zone_zs'!$B$2,[1]ratio_ins!$B:$B,0))*$G381*INDEX([1]ratio_ins!$C:$C,MATCH('001_population_health_zone_zs'!$B381,[1]ratio_ins!$B:$B,0))</f>
        <v>4326.0708960000011</v>
      </c>
      <c r="T381" s="10">
        <f>INDEX([1]ratio_ins!R:R,MATCH('001_population_health_zone_zs'!$B$2,[1]ratio_ins!$B:$B,0))*$G381*INDEX([1]ratio_ins!$C:$C,MATCH('001_population_health_zone_zs'!$B381,[1]ratio_ins!$B:$B,0))</f>
        <v>3064.3002180000003</v>
      </c>
      <c r="U381" s="10">
        <f>INDEX([1]ratio_ins!S:S,MATCH('001_population_health_zone_zs'!$B$2,[1]ratio_ins!$B:$B,0))*$G381*INDEX([1]ratio_ins!$C:$C,MATCH('001_population_health_zone_zs'!$B381,[1]ratio_ins!$B:$B,0))</f>
        <v>2433.4148790000004</v>
      </c>
      <c r="V381" s="10">
        <f>INDEX([1]ratio_ins!T:T,MATCH('001_population_health_zone_zs'!$B$2,[1]ratio_ins!$B:$B,0))*$G381*INDEX([1]ratio_ins!$C:$C,MATCH('001_population_health_zone_zs'!$B381,[1]ratio_ins!$B:$B,0))</f>
        <v>1351.8971550000001</v>
      </c>
      <c r="W381" s="11">
        <f>INDEX([1]ratio_ins!U:U,MATCH('001_population_health_zone_zs'!$B$2,[1]ratio_ins!$B:$B,0))*$G381*INDEX([1]ratio_ins!$C:$C,MATCH('001_population_health_zone_zs'!$B381,[1]ratio_ins!$B:$B,0))</f>
        <v>36879.754388400004</v>
      </c>
      <c r="X381" s="10">
        <f>INDEX([1]ratio_ins!V:V,MATCH('001_population_health_zone_zs'!$B$2,[1]ratio_ins!$B:$B,0))*$G381*INDEX([1]ratio_ins!$C:$C,MATCH('001_population_health_zone_zs'!$B381,[1]ratio_ins!$B:$B,0))</f>
        <v>1081.5177240000003</v>
      </c>
      <c r="Y381" s="10">
        <f>INDEX([1]ratio_ins!W:W,MATCH('001_population_health_zone_zs'!$B$2,[1]ratio_ins!$B:$B,0))*$G381*INDEX([1]ratio_ins!$C:$C,MATCH('001_population_health_zone_zs'!$B381,[1]ratio_ins!$B:$B,0))</f>
        <v>721.01181600000007</v>
      </c>
      <c r="Z381" s="10">
        <f>INDEX([1]ratio_ins!X:X,MATCH('001_population_health_zone_zs'!$B$2,[1]ratio_ins!$B:$B,0))*$G381*INDEX([1]ratio_ins!$C:$C,MATCH('001_population_health_zone_zs'!$B381,[1]ratio_ins!$B:$B,0))</f>
        <v>360.50590800000003</v>
      </c>
      <c r="AA381" s="10">
        <f>INDEX([1]ratio_ins!Y:Y,MATCH('001_population_health_zone_zs'!$B$2,[1]ratio_ins!$B:$B,0))*$G381*INDEX([1]ratio_ins!$C:$C,MATCH('001_population_health_zone_zs'!$B381,[1]ratio_ins!$B:$B,0))</f>
        <v>180.25295400000002</v>
      </c>
      <c r="AB381" s="11">
        <f>INDEX([1]ratio_ins!Z:Z,MATCH('001_population_health_zone_zs'!$B$2,[1]ratio_ins!$B:$B,0))*$G381*INDEX([1]ratio_ins!$C:$C,MATCH('001_population_health_zone_zs'!$B381,[1]ratio_ins!$B:$B,0))</f>
        <v>2343.2884020000001</v>
      </c>
      <c r="AC381" s="12">
        <f t="shared" si="30"/>
        <v>90126.477000000014</v>
      </c>
      <c r="AD381" s="10">
        <f>INDEX([1]ratio_ins!AA:AA,MATCH('001_population_health_zone_zs'!$B$2,[1]ratio_ins!$B:$B,0))*$G381*INDEX([1]ratio_ins!$D:$D,MATCH('001_population_health_zone_zs'!$B381,[1]ratio_ins!$B:$B,0))</f>
        <v>19155.04983</v>
      </c>
      <c r="AE381" s="10">
        <f>INDEX([1]ratio_ins!AB:AB,MATCH('001_population_health_zone_zs'!$B$2,[1]ratio_ins!$B:$B,0))*$G381*INDEX([1]ratio_ins!$D:$D,MATCH('001_population_health_zone_zs'!$B381,[1]ratio_ins!$B:$B,0))</f>
        <v>15780.112479000001</v>
      </c>
      <c r="AF381" s="10">
        <f>INDEX([1]ratio_ins!AC:AC,MATCH('001_population_health_zone_zs'!$B$2,[1]ratio_ins!$B:$B,0))*$G381*INDEX([1]ratio_ins!$D:$D,MATCH('001_population_health_zone_zs'!$B381,[1]ratio_ins!$B:$B,0))</f>
        <v>12496.389650999998</v>
      </c>
      <c r="AG381" s="10">
        <f>INDEX([1]ratio_ins!AD:AD,MATCH('001_population_health_zone_zs'!$B$2,[1]ratio_ins!$B:$B,0))*$G381*INDEX([1]ratio_ins!$D:$D,MATCH('001_population_health_zone_zs'!$B381,[1]ratio_ins!$B:$B,0))</f>
        <v>7570.8054089999996</v>
      </c>
      <c r="AH381" s="10">
        <f>INDEX([1]ratio_ins!AE:AE,MATCH('001_population_health_zone_zs'!$B$2,[1]ratio_ins!$B:$B,0))*$G381*INDEX([1]ratio_ins!$D:$D,MATCH('001_population_health_zone_zs'!$B381,[1]ratio_ins!$B:$B,0))</f>
        <v>4542.4832453999998</v>
      </c>
      <c r="AI381" s="13">
        <f>INDEX([1]ratio_ins!AF:AF,MATCH('001_population_health_zone_zs'!$B$2,[1]ratio_ins!$B:$B,0))*$G381*INDEX([1]ratio_ins!$D:$D,MATCH('001_population_health_zone_zs'!$B381,[1]ratio_ins!$B:$B,0))</f>
        <v>51974.035205399996</v>
      </c>
      <c r="AJ381" s="10">
        <f>INDEX([1]ratio_ins!AG:AG,MATCH('001_population_health_zone_zs'!$B$2,[1]ratio_ins!$B:$B,0))*$G381*INDEX([1]ratio_ins!$D:$D,MATCH('001_population_health_zone_zs'!$B381,[1]ratio_ins!$B:$B,0))</f>
        <v>3028.3221636000003</v>
      </c>
      <c r="AK381" s="10">
        <f>INDEX([1]ratio_ins!AH:AH,MATCH('001_population_health_zone_zs'!$B$2,[1]ratio_ins!$B:$B,0))*$G381*INDEX([1]ratio_ins!$D:$D,MATCH('001_population_health_zone_zs'!$B381,[1]ratio_ins!$B:$B,0))</f>
        <v>6749.874702000001</v>
      </c>
      <c r="AL381" s="10">
        <f>INDEX([1]ratio_ins!AI:AI,MATCH('001_population_health_zone_zs'!$B$2,[1]ratio_ins!$B:$B,0))*$G381*INDEX([1]ratio_ins!$D:$D,MATCH('001_population_health_zone_zs'!$B381,[1]ratio_ins!$B:$B,0))</f>
        <v>6385.0166100000006</v>
      </c>
      <c r="AM381" s="10">
        <f>INDEX([1]ratio_ins!AJ:AJ,MATCH('001_population_health_zone_zs'!$B$2,[1]ratio_ins!$B:$B,0))*$G381*INDEX([1]ratio_ins!$D:$D,MATCH('001_population_health_zone_zs'!$B381,[1]ratio_ins!$B:$B,0))</f>
        <v>5837.729472</v>
      </c>
      <c r="AN381" s="10">
        <f>INDEX([1]ratio_ins!AK:AK,MATCH('001_population_health_zone_zs'!$B$2,[1]ratio_ins!$B:$B,0))*$G381*INDEX([1]ratio_ins!$D:$D,MATCH('001_population_health_zone_zs'!$B381,[1]ratio_ins!$B:$B,0))</f>
        <v>5472.8713799999996</v>
      </c>
      <c r="AO381" s="10">
        <f>INDEX([1]ratio_ins!AL:AL,MATCH('001_population_health_zone_zs'!$B$2,[1]ratio_ins!$B:$B,0))*$G381*INDEX([1]ratio_ins!$D:$D,MATCH('001_population_health_zone_zs'!$B381,[1]ratio_ins!$B:$B,0))</f>
        <v>4104.6535349999995</v>
      </c>
      <c r="AP381" s="10">
        <f>INDEX([1]ratio_ins!AM:AM,MATCH('001_population_health_zone_zs'!$B$2,[1]ratio_ins!$B:$B,0))*$G381*INDEX([1]ratio_ins!$D:$D,MATCH('001_population_health_zone_zs'!$B381,[1]ratio_ins!$B:$B,0))</f>
        <v>2645.2211669999997</v>
      </c>
      <c r="AQ381" s="10">
        <f>INDEX([1]ratio_ins!AN:AN,MATCH('001_population_health_zone_zs'!$B$2,[1]ratio_ins!$B:$B,0))*$G381*INDEX([1]ratio_ins!$D:$D,MATCH('001_population_health_zone_zs'!$B381,[1]ratio_ins!$B:$B,0))</f>
        <v>2097.934029</v>
      </c>
      <c r="AR381" s="10">
        <f>INDEX([1]ratio_ins!AO:AO,MATCH('001_population_health_zone_zs'!$B$2,[1]ratio_ins!$B:$B,0))*$G381*INDEX([1]ratio_ins!$D:$D,MATCH('001_population_health_zone_zs'!$B381,[1]ratio_ins!$B:$B,0))</f>
        <v>1003.3597530000001</v>
      </c>
      <c r="AS381" s="13">
        <f>INDEX([1]ratio_ins!AP:AP,MATCH('001_population_health_zone_zs'!$B$2,[1]ratio_ins!$B:$B,0))*$G381*INDEX([1]ratio_ins!$D:$D,MATCH('001_population_health_zone_zs'!$B381,[1]ratio_ins!$B:$B,0))</f>
        <v>37324.982811599999</v>
      </c>
      <c r="AT381" s="10">
        <f>INDEX([1]ratio_ins!AQ:AQ,MATCH('001_population_health_zone_zs'!$B$2,[1]ratio_ins!$B:$B,0))*$G381*INDEX([1]ratio_ins!$D:$D,MATCH('001_population_health_zone_zs'!$B381,[1]ratio_ins!$B:$B,0))</f>
        <v>912.14523000000008</v>
      </c>
      <c r="AU381" s="10">
        <f>INDEX([1]ratio_ins!AR:AR,MATCH('001_population_health_zone_zs'!$B$2,[1]ratio_ins!$B:$B,0))*$G381*INDEX([1]ratio_ins!$D:$D,MATCH('001_population_health_zone_zs'!$B381,[1]ratio_ins!$B:$B,0))</f>
        <v>547.28713800000003</v>
      </c>
      <c r="AV381" s="10">
        <f>INDEX([1]ratio_ins!AS:AS,MATCH('001_population_health_zone_zs'!$B$2,[1]ratio_ins!$B:$B,0))*$G381*INDEX([1]ratio_ins!$D:$D,MATCH('001_population_health_zone_zs'!$B381,[1]ratio_ins!$B:$B,0))</f>
        <v>273.64356900000001</v>
      </c>
      <c r="AW381" s="10">
        <f>INDEX([1]ratio_ins!AT:AT,MATCH('001_population_health_zone_zs'!$B$2,[1]ratio_ins!$B:$B,0))*$G381*INDEX([1]ratio_ins!$D:$D,MATCH('001_population_health_zone_zs'!$B381,[1]ratio_ins!$B:$B,0))</f>
        <v>182.429046</v>
      </c>
      <c r="AX381" s="13">
        <f>INDEX([1]ratio_ins!AU:AU,MATCH('001_population_health_zone_zs'!$B$2,[1]ratio_ins!$B:$B,0))*$G381*INDEX([1]ratio_ins!$D:$D,MATCH('001_population_health_zone_zs'!$B381,[1]ratio_ins!$B:$B,0))</f>
        <v>1915.5049829999998</v>
      </c>
      <c r="AY381" s="14">
        <f t="shared" si="31"/>
        <v>91214.523000000001</v>
      </c>
      <c r="AZ381" s="15">
        <f t="shared" si="32"/>
        <v>181341</v>
      </c>
      <c r="BA381" s="16">
        <v>172641.29906287693</v>
      </c>
      <c r="BB381" s="10">
        <f t="shared" si="33"/>
        <v>38766.172275000004</v>
      </c>
      <c r="BC381" s="17">
        <f t="shared" si="34"/>
        <v>0.21377500000000002</v>
      </c>
      <c r="BD381" s="10">
        <f t="shared" si="35"/>
        <v>37582.740909000015</v>
      </c>
    </row>
    <row r="382" spans="1:56" x14ac:dyDescent="0.25">
      <c r="A382" s="8" t="s">
        <v>877</v>
      </c>
      <c r="B382" s="8" t="s">
        <v>878</v>
      </c>
      <c r="C382" s="8" t="s">
        <v>933</v>
      </c>
      <c r="D382" s="8" t="s">
        <v>934</v>
      </c>
      <c r="E382" s="8" t="s">
        <v>933</v>
      </c>
      <c r="F382" s="8" t="s">
        <v>935</v>
      </c>
      <c r="G382" s="9">
        <v>148197</v>
      </c>
      <c r="H382" s="10">
        <f>INDEX([1]ratio_ins!F:F,MATCH('001_population_health_zone_zs'!$B$2,[1]ratio_ins!$B:$B,0))*$G382*INDEX([1]ratio_ins!$C:$C,MATCH('001_population_health_zone_zs'!$B382,[1]ratio_ins!$B:$B,0))</f>
        <v>15393.666981</v>
      </c>
      <c r="I382" s="10">
        <f>INDEX([1]ratio_ins!G:G,MATCH('001_population_health_zone_zs'!$B$2,[1]ratio_ins!$B:$B,0))*$G382*INDEX([1]ratio_ins!$C:$C,MATCH('001_population_health_zone_zs'!$B382,[1]ratio_ins!$B:$B,0))</f>
        <v>12594.818439000002</v>
      </c>
      <c r="J382" s="10">
        <f>INDEX([1]ratio_ins!H:H,MATCH('001_population_health_zone_zs'!$B$2,[1]ratio_ins!$B:$B,0))*$G382*INDEX([1]ratio_ins!$C:$C,MATCH('001_population_health_zone_zs'!$B382,[1]ratio_ins!$B:$B,0))</f>
        <v>9943.277715000002</v>
      </c>
      <c r="K382" s="10">
        <f>INDEX([1]ratio_ins!I:I,MATCH('001_population_health_zone_zs'!$B$2,[1]ratio_ins!$B:$B,0))*$G382*INDEX([1]ratio_ins!$C:$C,MATCH('001_population_health_zone_zs'!$B382,[1]ratio_ins!$B:$B,0))</f>
        <v>6113.2744470000007</v>
      </c>
      <c r="L382" s="10">
        <f>INDEX([1]ratio_ins!J:J,MATCH('001_population_health_zone_zs'!$B$2,[1]ratio_ins!$B:$B,0))*$G382*INDEX([1]ratio_ins!$C:$C,MATCH('001_population_health_zone_zs'!$B382,[1]ratio_ins!$B:$B,0))</f>
        <v>3667.9646682000002</v>
      </c>
      <c r="M382" s="11">
        <f>INDEX([1]ratio_ins!K:K,MATCH('001_population_health_zone_zs'!$B$2,[1]ratio_ins!$B:$B,0))*$G382*INDEX([1]ratio_ins!$C:$C,MATCH('001_population_health_zone_zs'!$B382,[1]ratio_ins!$B:$B,0))</f>
        <v>41599.727803200003</v>
      </c>
      <c r="N382" s="10">
        <f>INDEX([1]ratio_ins!L:L,MATCH('001_population_health_zone_zs'!$B$2,[1]ratio_ins!$B:$B,0))*$G382*INDEX([1]ratio_ins!$C:$C,MATCH('001_population_health_zone_zs'!$B382,[1]ratio_ins!$B:$B,0))</f>
        <v>2445.3097788000005</v>
      </c>
      <c r="O382" s="10">
        <f>INDEX([1]ratio_ins!M:M,MATCH('001_population_health_zone_zs'!$B$2,[1]ratio_ins!$B:$B,0))*$G382*INDEX([1]ratio_ins!$C:$C,MATCH('001_population_health_zone_zs'!$B382,[1]ratio_ins!$B:$B,0))</f>
        <v>5303.0814480000008</v>
      </c>
      <c r="P382" s="10">
        <f>INDEX([1]ratio_ins!N:N,MATCH('001_population_health_zone_zs'!$B$2,[1]ratio_ins!$B:$B,0))*$G382*INDEX([1]ratio_ins!$C:$C,MATCH('001_population_health_zone_zs'!$B382,[1]ratio_ins!$B:$B,0))</f>
        <v>4787.5040850000005</v>
      </c>
      <c r="Q382" s="10">
        <f>INDEX([1]ratio_ins!O:O,MATCH('001_population_health_zone_zs'!$B$2,[1]ratio_ins!$B:$B,0))*$G382*INDEX([1]ratio_ins!$C:$C,MATCH('001_population_health_zone_zs'!$B382,[1]ratio_ins!$B:$B,0))</f>
        <v>4271.9267220000002</v>
      </c>
      <c r="R382" s="10">
        <f>INDEX([1]ratio_ins!P:P,MATCH('001_population_health_zone_zs'!$B$2,[1]ratio_ins!$B:$B,0))*$G382*INDEX([1]ratio_ins!$C:$C,MATCH('001_population_health_zone_zs'!$B382,[1]ratio_ins!$B:$B,0))</f>
        <v>4198.2728130000014</v>
      </c>
      <c r="S382" s="10">
        <f>INDEX([1]ratio_ins!Q:Q,MATCH('001_population_health_zone_zs'!$B$2,[1]ratio_ins!$B:$B,0))*$G382*INDEX([1]ratio_ins!$C:$C,MATCH('001_population_health_zone_zs'!$B382,[1]ratio_ins!$B:$B,0))</f>
        <v>3535.3876320000004</v>
      </c>
      <c r="T382" s="10">
        <f>INDEX([1]ratio_ins!R:R,MATCH('001_population_health_zone_zs'!$B$2,[1]ratio_ins!$B:$B,0))*$G382*INDEX([1]ratio_ins!$C:$C,MATCH('001_population_health_zone_zs'!$B382,[1]ratio_ins!$B:$B,0))</f>
        <v>2504.2329060000006</v>
      </c>
      <c r="U382" s="10">
        <f>INDEX([1]ratio_ins!S:S,MATCH('001_population_health_zone_zs'!$B$2,[1]ratio_ins!$B:$B,0))*$G382*INDEX([1]ratio_ins!$C:$C,MATCH('001_population_health_zone_zs'!$B382,[1]ratio_ins!$B:$B,0))</f>
        <v>1988.6555430000003</v>
      </c>
      <c r="V382" s="10">
        <f>INDEX([1]ratio_ins!T:T,MATCH('001_population_health_zone_zs'!$B$2,[1]ratio_ins!$B:$B,0))*$G382*INDEX([1]ratio_ins!$C:$C,MATCH('001_population_health_zone_zs'!$B382,[1]ratio_ins!$B:$B,0))</f>
        <v>1104.8086350000001</v>
      </c>
      <c r="W382" s="11">
        <f>INDEX([1]ratio_ins!U:U,MATCH('001_population_health_zone_zs'!$B$2,[1]ratio_ins!$B:$B,0))*$G382*INDEX([1]ratio_ins!$C:$C,MATCH('001_population_health_zone_zs'!$B382,[1]ratio_ins!$B:$B,0))</f>
        <v>30139.179562800004</v>
      </c>
      <c r="X382" s="10">
        <f>INDEX([1]ratio_ins!V:V,MATCH('001_population_health_zone_zs'!$B$2,[1]ratio_ins!$B:$B,0))*$G382*INDEX([1]ratio_ins!$C:$C,MATCH('001_population_health_zone_zs'!$B382,[1]ratio_ins!$B:$B,0))</f>
        <v>883.8469080000001</v>
      </c>
      <c r="Y382" s="10">
        <f>INDEX([1]ratio_ins!W:W,MATCH('001_population_health_zone_zs'!$B$2,[1]ratio_ins!$B:$B,0))*$G382*INDEX([1]ratio_ins!$C:$C,MATCH('001_population_health_zone_zs'!$B382,[1]ratio_ins!$B:$B,0))</f>
        <v>589.2312720000001</v>
      </c>
      <c r="Z382" s="10">
        <f>INDEX([1]ratio_ins!X:X,MATCH('001_population_health_zone_zs'!$B$2,[1]ratio_ins!$B:$B,0))*$G382*INDEX([1]ratio_ins!$C:$C,MATCH('001_population_health_zone_zs'!$B382,[1]ratio_ins!$B:$B,0))</f>
        <v>294.61563600000005</v>
      </c>
      <c r="AA382" s="10">
        <f>INDEX([1]ratio_ins!Y:Y,MATCH('001_population_health_zone_zs'!$B$2,[1]ratio_ins!$B:$B,0))*$G382*INDEX([1]ratio_ins!$C:$C,MATCH('001_population_health_zone_zs'!$B382,[1]ratio_ins!$B:$B,0))</f>
        <v>147.30781800000003</v>
      </c>
      <c r="AB382" s="11">
        <f>INDEX([1]ratio_ins!Z:Z,MATCH('001_population_health_zone_zs'!$B$2,[1]ratio_ins!$B:$B,0))*$G382*INDEX([1]ratio_ins!$C:$C,MATCH('001_population_health_zone_zs'!$B382,[1]ratio_ins!$B:$B,0))</f>
        <v>1915.0016340000004</v>
      </c>
      <c r="AC382" s="12">
        <f t="shared" si="30"/>
        <v>73653.909</v>
      </c>
      <c r="AD382" s="10">
        <f>INDEX([1]ratio_ins!AA:AA,MATCH('001_population_health_zone_zs'!$B$2,[1]ratio_ins!$B:$B,0))*$G382*INDEX([1]ratio_ins!$D:$D,MATCH('001_population_health_zone_zs'!$B382,[1]ratio_ins!$B:$B,0))</f>
        <v>15654.04911</v>
      </c>
      <c r="AE382" s="10">
        <f>INDEX([1]ratio_ins!AB:AB,MATCH('001_population_health_zone_zs'!$B$2,[1]ratio_ins!$B:$B,0))*$G382*INDEX([1]ratio_ins!$D:$D,MATCH('001_population_health_zone_zs'!$B382,[1]ratio_ins!$B:$B,0))</f>
        <v>12895.954743</v>
      </c>
      <c r="AF382" s="10">
        <f>INDEX([1]ratio_ins!AC:AC,MATCH('001_population_health_zone_zs'!$B$2,[1]ratio_ins!$B:$B,0))*$G382*INDEX([1]ratio_ins!$D:$D,MATCH('001_population_health_zone_zs'!$B382,[1]ratio_ins!$B:$B,0))</f>
        <v>10212.403466999998</v>
      </c>
      <c r="AG382" s="10">
        <f>INDEX([1]ratio_ins!AD:AD,MATCH('001_population_health_zone_zs'!$B$2,[1]ratio_ins!$B:$B,0))*$G382*INDEX([1]ratio_ins!$D:$D,MATCH('001_population_health_zone_zs'!$B382,[1]ratio_ins!$B:$B,0))</f>
        <v>6187.0765529999999</v>
      </c>
      <c r="AH382" s="10">
        <f>INDEX([1]ratio_ins!AE:AE,MATCH('001_population_health_zone_zs'!$B$2,[1]ratio_ins!$B:$B,0))*$G382*INDEX([1]ratio_ins!$D:$D,MATCH('001_population_health_zone_zs'!$B382,[1]ratio_ins!$B:$B,0))</f>
        <v>3712.2459317999997</v>
      </c>
      <c r="AI382" s="13">
        <f>INDEX([1]ratio_ins!AF:AF,MATCH('001_population_health_zone_zs'!$B$2,[1]ratio_ins!$B:$B,0))*$G382*INDEX([1]ratio_ins!$D:$D,MATCH('001_population_health_zone_zs'!$B382,[1]ratio_ins!$B:$B,0))</f>
        <v>42474.653251799995</v>
      </c>
      <c r="AJ382" s="10">
        <f>INDEX([1]ratio_ins!AG:AG,MATCH('001_population_health_zone_zs'!$B$2,[1]ratio_ins!$B:$B,0))*$G382*INDEX([1]ratio_ins!$D:$D,MATCH('001_population_health_zone_zs'!$B382,[1]ratio_ins!$B:$B,0))</f>
        <v>2474.8306212000002</v>
      </c>
      <c r="AK382" s="10">
        <f>INDEX([1]ratio_ins!AH:AH,MATCH('001_population_health_zone_zs'!$B$2,[1]ratio_ins!$B:$B,0))*$G382*INDEX([1]ratio_ins!$D:$D,MATCH('001_population_health_zone_zs'!$B382,[1]ratio_ins!$B:$B,0))</f>
        <v>5516.1887340000003</v>
      </c>
      <c r="AL382" s="10">
        <f>INDEX([1]ratio_ins!AI:AI,MATCH('001_population_health_zone_zs'!$B$2,[1]ratio_ins!$B:$B,0))*$G382*INDEX([1]ratio_ins!$D:$D,MATCH('001_population_health_zone_zs'!$B382,[1]ratio_ins!$B:$B,0))</f>
        <v>5218.0163700000003</v>
      </c>
      <c r="AM382" s="10">
        <f>INDEX([1]ratio_ins!AJ:AJ,MATCH('001_population_health_zone_zs'!$B$2,[1]ratio_ins!$B:$B,0))*$G382*INDEX([1]ratio_ins!$D:$D,MATCH('001_population_health_zone_zs'!$B382,[1]ratio_ins!$B:$B,0))</f>
        <v>4770.7578240000003</v>
      </c>
      <c r="AN382" s="10">
        <f>INDEX([1]ratio_ins!AK:AK,MATCH('001_population_health_zone_zs'!$B$2,[1]ratio_ins!$B:$B,0))*$G382*INDEX([1]ratio_ins!$D:$D,MATCH('001_population_health_zone_zs'!$B382,[1]ratio_ins!$B:$B,0))</f>
        <v>4472.5854600000002</v>
      </c>
      <c r="AO382" s="10">
        <f>INDEX([1]ratio_ins!AL:AL,MATCH('001_population_health_zone_zs'!$B$2,[1]ratio_ins!$B:$B,0))*$G382*INDEX([1]ratio_ins!$D:$D,MATCH('001_population_health_zone_zs'!$B382,[1]ratio_ins!$B:$B,0))</f>
        <v>3354.4390949999997</v>
      </c>
      <c r="AP382" s="10">
        <f>INDEX([1]ratio_ins!AM:AM,MATCH('001_population_health_zone_zs'!$B$2,[1]ratio_ins!$B:$B,0))*$G382*INDEX([1]ratio_ins!$D:$D,MATCH('001_population_health_zone_zs'!$B382,[1]ratio_ins!$B:$B,0))</f>
        <v>2161.7496389999997</v>
      </c>
      <c r="AQ382" s="10">
        <f>INDEX([1]ratio_ins!AN:AN,MATCH('001_population_health_zone_zs'!$B$2,[1]ratio_ins!$B:$B,0))*$G382*INDEX([1]ratio_ins!$D:$D,MATCH('001_population_health_zone_zs'!$B382,[1]ratio_ins!$B:$B,0))</f>
        <v>1714.4910930000001</v>
      </c>
      <c r="AR382" s="10">
        <f>INDEX([1]ratio_ins!AO:AO,MATCH('001_population_health_zone_zs'!$B$2,[1]ratio_ins!$B:$B,0))*$G382*INDEX([1]ratio_ins!$D:$D,MATCH('001_population_health_zone_zs'!$B382,[1]ratio_ins!$B:$B,0))</f>
        <v>819.97400100000004</v>
      </c>
      <c r="AS382" s="13">
        <f>INDEX([1]ratio_ins!AP:AP,MATCH('001_population_health_zone_zs'!$B$2,[1]ratio_ins!$B:$B,0))*$G382*INDEX([1]ratio_ins!$D:$D,MATCH('001_population_health_zone_zs'!$B382,[1]ratio_ins!$B:$B,0))</f>
        <v>30503.0328372</v>
      </c>
      <c r="AT382" s="10">
        <f>INDEX([1]ratio_ins!AQ:AQ,MATCH('001_population_health_zone_zs'!$B$2,[1]ratio_ins!$B:$B,0))*$G382*INDEX([1]ratio_ins!$D:$D,MATCH('001_population_health_zone_zs'!$B382,[1]ratio_ins!$B:$B,0))</f>
        <v>745.43091000000004</v>
      </c>
      <c r="AU382" s="10">
        <f>INDEX([1]ratio_ins!AR:AR,MATCH('001_population_health_zone_zs'!$B$2,[1]ratio_ins!$B:$B,0))*$G382*INDEX([1]ratio_ins!$D:$D,MATCH('001_population_health_zone_zs'!$B382,[1]ratio_ins!$B:$B,0))</f>
        <v>447.25854600000002</v>
      </c>
      <c r="AV382" s="10">
        <f>INDEX([1]ratio_ins!AS:AS,MATCH('001_population_health_zone_zs'!$B$2,[1]ratio_ins!$B:$B,0))*$G382*INDEX([1]ratio_ins!$D:$D,MATCH('001_population_health_zone_zs'!$B382,[1]ratio_ins!$B:$B,0))</f>
        <v>223.62927300000001</v>
      </c>
      <c r="AW382" s="10">
        <f>INDEX([1]ratio_ins!AT:AT,MATCH('001_population_health_zone_zs'!$B$2,[1]ratio_ins!$B:$B,0))*$G382*INDEX([1]ratio_ins!$D:$D,MATCH('001_population_health_zone_zs'!$B382,[1]ratio_ins!$B:$B,0))</f>
        <v>149.08618200000001</v>
      </c>
      <c r="AX382" s="13">
        <f>INDEX([1]ratio_ins!AU:AU,MATCH('001_population_health_zone_zs'!$B$2,[1]ratio_ins!$B:$B,0))*$G382*INDEX([1]ratio_ins!$D:$D,MATCH('001_population_health_zone_zs'!$B382,[1]ratio_ins!$B:$B,0))</f>
        <v>1565.4049109999999</v>
      </c>
      <c r="AY382" s="14">
        <f t="shared" si="31"/>
        <v>74543.091</v>
      </c>
      <c r="AZ382" s="15">
        <f t="shared" si="32"/>
        <v>148197</v>
      </c>
      <c r="BA382" s="16">
        <v>141087.36884071853</v>
      </c>
      <c r="BB382" s="10">
        <f t="shared" si="33"/>
        <v>31680.813675000005</v>
      </c>
      <c r="BC382" s="17">
        <f t="shared" si="34"/>
        <v>0.21377500000000002</v>
      </c>
      <c r="BD382" s="10">
        <f t="shared" si="35"/>
        <v>30713.680053000004</v>
      </c>
    </row>
    <row r="383" spans="1:56" x14ac:dyDescent="0.25">
      <c r="A383" s="8" t="s">
        <v>877</v>
      </c>
      <c r="B383" s="8" t="s">
        <v>878</v>
      </c>
      <c r="C383" s="8" t="s">
        <v>933</v>
      </c>
      <c r="D383" s="8" t="s">
        <v>934</v>
      </c>
      <c r="E383" s="8" t="s">
        <v>936</v>
      </c>
      <c r="F383" s="8" t="s">
        <v>937</v>
      </c>
      <c r="G383" s="9">
        <v>222426</v>
      </c>
      <c r="H383" s="10">
        <f>INDEX([1]ratio_ins!F:F,MATCH('001_population_health_zone_zs'!$B$2,[1]ratio_ins!$B:$B,0))*$G383*INDEX([1]ratio_ins!$C:$C,MATCH('001_population_health_zone_zs'!$B383,[1]ratio_ins!$B:$B,0))</f>
        <v>23104.055898000002</v>
      </c>
      <c r="I383" s="10">
        <f>INDEX([1]ratio_ins!G:G,MATCH('001_population_health_zone_zs'!$B$2,[1]ratio_ins!$B:$B,0))*$G383*INDEX([1]ratio_ins!$C:$C,MATCH('001_population_health_zone_zs'!$B383,[1]ratio_ins!$B:$B,0))</f>
        <v>18903.318462000003</v>
      </c>
      <c r="J383" s="10">
        <f>INDEX([1]ratio_ins!H:H,MATCH('001_population_health_zone_zs'!$B$2,[1]ratio_ins!$B:$B,0))*$G383*INDEX([1]ratio_ins!$C:$C,MATCH('001_population_health_zone_zs'!$B383,[1]ratio_ins!$B:$B,0))</f>
        <v>14923.672470000003</v>
      </c>
      <c r="K383" s="10">
        <f>INDEX([1]ratio_ins!I:I,MATCH('001_population_health_zone_zs'!$B$2,[1]ratio_ins!$B:$B,0))*$G383*INDEX([1]ratio_ins!$C:$C,MATCH('001_population_health_zone_zs'!$B383,[1]ratio_ins!$B:$B,0))</f>
        <v>9175.2949260000005</v>
      </c>
      <c r="L383" s="10">
        <f>INDEX([1]ratio_ins!J:J,MATCH('001_population_health_zone_zs'!$B$2,[1]ratio_ins!$B:$B,0))*$G383*INDEX([1]ratio_ins!$C:$C,MATCH('001_population_health_zone_zs'!$B383,[1]ratio_ins!$B:$B,0))</f>
        <v>5505.1769556000008</v>
      </c>
      <c r="M383" s="11">
        <f>INDEX([1]ratio_ins!K:K,MATCH('001_population_health_zone_zs'!$B$2,[1]ratio_ins!$B:$B,0))*$G383*INDEX([1]ratio_ins!$C:$C,MATCH('001_population_health_zone_zs'!$B383,[1]ratio_ins!$B:$B,0))</f>
        <v>62436.223785599999</v>
      </c>
      <c r="N383" s="10">
        <f>INDEX([1]ratio_ins!L:L,MATCH('001_population_health_zone_zs'!$B$2,[1]ratio_ins!$B:$B,0))*$G383*INDEX([1]ratio_ins!$C:$C,MATCH('001_population_health_zone_zs'!$B383,[1]ratio_ins!$B:$B,0))</f>
        <v>3670.1179704000006</v>
      </c>
      <c r="O383" s="10">
        <f>INDEX([1]ratio_ins!M:M,MATCH('001_population_health_zone_zs'!$B$2,[1]ratio_ins!$B:$B,0))*$G383*INDEX([1]ratio_ins!$C:$C,MATCH('001_population_health_zone_zs'!$B383,[1]ratio_ins!$B:$B,0))</f>
        <v>7959.2919840000022</v>
      </c>
      <c r="P383" s="10">
        <f>INDEX([1]ratio_ins!N:N,MATCH('001_population_health_zone_zs'!$B$2,[1]ratio_ins!$B:$B,0))*$G383*INDEX([1]ratio_ins!$C:$C,MATCH('001_population_health_zone_zs'!$B383,[1]ratio_ins!$B:$B,0))</f>
        <v>7185.4719300000006</v>
      </c>
      <c r="Q383" s="10">
        <f>INDEX([1]ratio_ins!O:O,MATCH('001_population_health_zone_zs'!$B$2,[1]ratio_ins!$B:$B,0))*$G383*INDEX([1]ratio_ins!$C:$C,MATCH('001_population_health_zone_zs'!$B383,[1]ratio_ins!$B:$B,0))</f>
        <v>6411.6518759999999</v>
      </c>
      <c r="R383" s="10">
        <f>INDEX([1]ratio_ins!P:P,MATCH('001_population_health_zone_zs'!$B$2,[1]ratio_ins!$B:$B,0))*$G383*INDEX([1]ratio_ins!$C:$C,MATCH('001_population_health_zone_zs'!$B383,[1]ratio_ins!$B:$B,0))</f>
        <v>6301.106154000001</v>
      </c>
      <c r="S383" s="10">
        <f>INDEX([1]ratio_ins!Q:Q,MATCH('001_population_health_zone_zs'!$B$2,[1]ratio_ins!$B:$B,0))*$G383*INDEX([1]ratio_ins!$C:$C,MATCH('001_population_health_zone_zs'!$B383,[1]ratio_ins!$B:$B,0))</f>
        <v>5306.1946560000006</v>
      </c>
      <c r="T383" s="10">
        <f>INDEX([1]ratio_ins!R:R,MATCH('001_population_health_zone_zs'!$B$2,[1]ratio_ins!$B:$B,0))*$G383*INDEX([1]ratio_ins!$C:$C,MATCH('001_population_health_zone_zs'!$B383,[1]ratio_ins!$B:$B,0))</f>
        <v>3758.5545480000005</v>
      </c>
      <c r="U383" s="10">
        <f>INDEX([1]ratio_ins!S:S,MATCH('001_population_health_zone_zs'!$B$2,[1]ratio_ins!$B:$B,0))*$G383*INDEX([1]ratio_ins!$C:$C,MATCH('001_population_health_zone_zs'!$B383,[1]ratio_ins!$B:$B,0))</f>
        <v>2984.7344940000007</v>
      </c>
      <c r="V383" s="10">
        <f>INDEX([1]ratio_ins!T:T,MATCH('001_population_health_zone_zs'!$B$2,[1]ratio_ins!$B:$B,0))*$G383*INDEX([1]ratio_ins!$C:$C,MATCH('001_population_health_zone_zs'!$B383,[1]ratio_ins!$B:$B,0))</f>
        <v>1658.1858300000001</v>
      </c>
      <c r="W383" s="11">
        <f>INDEX([1]ratio_ins!U:U,MATCH('001_population_health_zone_zs'!$B$2,[1]ratio_ins!$B:$B,0))*$G383*INDEX([1]ratio_ins!$C:$C,MATCH('001_population_health_zone_zs'!$B383,[1]ratio_ins!$B:$B,0))</f>
        <v>45235.309442400008</v>
      </c>
      <c r="X383" s="10">
        <f>INDEX([1]ratio_ins!V:V,MATCH('001_population_health_zone_zs'!$B$2,[1]ratio_ins!$B:$B,0))*$G383*INDEX([1]ratio_ins!$C:$C,MATCH('001_population_health_zone_zs'!$B383,[1]ratio_ins!$B:$B,0))</f>
        <v>1326.5486640000001</v>
      </c>
      <c r="Y383" s="10">
        <f>INDEX([1]ratio_ins!W:W,MATCH('001_population_health_zone_zs'!$B$2,[1]ratio_ins!$B:$B,0))*$G383*INDEX([1]ratio_ins!$C:$C,MATCH('001_population_health_zone_zs'!$B383,[1]ratio_ins!$B:$B,0))</f>
        <v>884.36577600000021</v>
      </c>
      <c r="Z383" s="10">
        <f>INDEX([1]ratio_ins!X:X,MATCH('001_population_health_zone_zs'!$B$2,[1]ratio_ins!$B:$B,0))*$G383*INDEX([1]ratio_ins!$C:$C,MATCH('001_population_health_zone_zs'!$B383,[1]ratio_ins!$B:$B,0))</f>
        <v>442.1828880000001</v>
      </c>
      <c r="AA383" s="10">
        <f>INDEX([1]ratio_ins!Y:Y,MATCH('001_population_health_zone_zs'!$B$2,[1]ratio_ins!$B:$B,0))*$G383*INDEX([1]ratio_ins!$C:$C,MATCH('001_population_health_zone_zs'!$B383,[1]ratio_ins!$B:$B,0))</f>
        <v>221.09144400000005</v>
      </c>
      <c r="AB383" s="11">
        <f>INDEX([1]ratio_ins!Z:Z,MATCH('001_population_health_zone_zs'!$B$2,[1]ratio_ins!$B:$B,0))*$G383*INDEX([1]ratio_ins!$C:$C,MATCH('001_population_health_zone_zs'!$B383,[1]ratio_ins!$B:$B,0))</f>
        <v>2874.1887720000009</v>
      </c>
      <c r="AC383" s="12">
        <f t="shared" si="30"/>
        <v>110545.72200000001</v>
      </c>
      <c r="AD383" s="10">
        <f>INDEX([1]ratio_ins!AA:AA,MATCH('001_population_health_zone_zs'!$B$2,[1]ratio_ins!$B:$B,0))*$G383*INDEX([1]ratio_ins!$D:$D,MATCH('001_population_health_zone_zs'!$B383,[1]ratio_ins!$B:$B,0))</f>
        <v>23494.858380000001</v>
      </c>
      <c r="AE383" s="10">
        <f>INDEX([1]ratio_ins!AB:AB,MATCH('001_population_health_zone_zs'!$B$2,[1]ratio_ins!$B:$B,0))*$G383*INDEX([1]ratio_ins!$D:$D,MATCH('001_population_health_zone_zs'!$B383,[1]ratio_ins!$B:$B,0))</f>
        <v>19355.288094000003</v>
      </c>
      <c r="AF383" s="10">
        <f>INDEX([1]ratio_ins!AC:AC,MATCH('001_population_health_zone_zs'!$B$2,[1]ratio_ins!$B:$B,0))*$G383*INDEX([1]ratio_ins!$D:$D,MATCH('001_population_health_zone_zs'!$B383,[1]ratio_ins!$B:$B,0))</f>
        <v>15327.598085999998</v>
      </c>
      <c r="AG383" s="10">
        <f>INDEX([1]ratio_ins!AD:AD,MATCH('001_population_health_zone_zs'!$B$2,[1]ratio_ins!$B:$B,0))*$G383*INDEX([1]ratio_ins!$D:$D,MATCH('001_population_health_zone_zs'!$B383,[1]ratio_ins!$B:$B,0))</f>
        <v>9286.0630739999997</v>
      </c>
      <c r="AH383" s="10">
        <f>INDEX([1]ratio_ins!AE:AE,MATCH('001_population_health_zone_zs'!$B$2,[1]ratio_ins!$B:$B,0))*$G383*INDEX([1]ratio_ins!$D:$D,MATCH('001_population_health_zone_zs'!$B383,[1]ratio_ins!$B:$B,0))</f>
        <v>5571.6378444000002</v>
      </c>
      <c r="AI383" s="13">
        <f>INDEX([1]ratio_ins!AF:AF,MATCH('001_population_health_zone_zs'!$B$2,[1]ratio_ins!$B:$B,0))*$G383*INDEX([1]ratio_ins!$D:$D,MATCH('001_population_health_zone_zs'!$B383,[1]ratio_ins!$B:$B,0))</f>
        <v>63749.382404399999</v>
      </c>
      <c r="AJ383" s="10">
        <f>INDEX([1]ratio_ins!AG:AG,MATCH('001_population_health_zone_zs'!$B$2,[1]ratio_ins!$B:$B,0))*$G383*INDEX([1]ratio_ins!$D:$D,MATCH('001_population_health_zone_zs'!$B383,[1]ratio_ins!$B:$B,0))</f>
        <v>3714.4252296</v>
      </c>
      <c r="AK383" s="10">
        <f>INDEX([1]ratio_ins!AH:AH,MATCH('001_population_health_zone_zs'!$B$2,[1]ratio_ins!$B:$B,0))*$G383*INDEX([1]ratio_ins!$D:$D,MATCH('001_population_health_zone_zs'!$B383,[1]ratio_ins!$B:$B,0))</f>
        <v>8279.1405720000002</v>
      </c>
      <c r="AL383" s="10">
        <f>INDEX([1]ratio_ins!AI:AI,MATCH('001_population_health_zone_zs'!$B$2,[1]ratio_ins!$B:$B,0))*$G383*INDEX([1]ratio_ins!$D:$D,MATCH('001_population_health_zone_zs'!$B383,[1]ratio_ins!$B:$B,0))</f>
        <v>7831.6194600000008</v>
      </c>
      <c r="AM383" s="10">
        <f>INDEX([1]ratio_ins!AJ:AJ,MATCH('001_population_health_zone_zs'!$B$2,[1]ratio_ins!$B:$B,0))*$G383*INDEX([1]ratio_ins!$D:$D,MATCH('001_population_health_zone_zs'!$B383,[1]ratio_ins!$B:$B,0))</f>
        <v>7160.3377920000003</v>
      </c>
      <c r="AN383" s="10">
        <f>INDEX([1]ratio_ins!AK:AK,MATCH('001_population_health_zone_zs'!$B$2,[1]ratio_ins!$B:$B,0))*$G383*INDEX([1]ratio_ins!$D:$D,MATCH('001_population_health_zone_zs'!$B383,[1]ratio_ins!$B:$B,0))</f>
        <v>6712.8166799999999</v>
      </c>
      <c r="AO383" s="10">
        <f>INDEX([1]ratio_ins!AL:AL,MATCH('001_population_health_zone_zs'!$B$2,[1]ratio_ins!$B:$B,0))*$G383*INDEX([1]ratio_ins!$D:$D,MATCH('001_population_health_zone_zs'!$B383,[1]ratio_ins!$B:$B,0))</f>
        <v>5034.6125099999999</v>
      </c>
      <c r="AP383" s="10">
        <f>INDEX([1]ratio_ins!AM:AM,MATCH('001_population_health_zone_zs'!$B$2,[1]ratio_ins!$B:$B,0))*$G383*INDEX([1]ratio_ins!$D:$D,MATCH('001_population_health_zone_zs'!$B383,[1]ratio_ins!$B:$B,0))</f>
        <v>3244.5280619999999</v>
      </c>
      <c r="AQ383" s="10">
        <f>INDEX([1]ratio_ins!AN:AN,MATCH('001_population_health_zone_zs'!$B$2,[1]ratio_ins!$B:$B,0))*$G383*INDEX([1]ratio_ins!$D:$D,MATCH('001_population_health_zone_zs'!$B383,[1]ratio_ins!$B:$B,0))</f>
        <v>2573.2463939999998</v>
      </c>
      <c r="AR383" s="10">
        <f>INDEX([1]ratio_ins!AO:AO,MATCH('001_population_health_zone_zs'!$B$2,[1]ratio_ins!$B:$B,0))*$G383*INDEX([1]ratio_ins!$D:$D,MATCH('001_population_health_zone_zs'!$B383,[1]ratio_ins!$B:$B,0))</f>
        <v>1230.6830580000001</v>
      </c>
      <c r="AS383" s="13">
        <f>INDEX([1]ratio_ins!AP:AP,MATCH('001_population_health_zone_zs'!$B$2,[1]ratio_ins!$B:$B,0))*$G383*INDEX([1]ratio_ins!$D:$D,MATCH('001_population_health_zone_zs'!$B383,[1]ratio_ins!$B:$B,0))</f>
        <v>45781.409757600006</v>
      </c>
      <c r="AT383" s="10">
        <f>INDEX([1]ratio_ins!AQ:AQ,MATCH('001_population_health_zone_zs'!$B$2,[1]ratio_ins!$B:$B,0))*$G383*INDEX([1]ratio_ins!$D:$D,MATCH('001_population_health_zone_zs'!$B383,[1]ratio_ins!$B:$B,0))</f>
        <v>1118.8027800000002</v>
      </c>
      <c r="AU383" s="10">
        <f>INDEX([1]ratio_ins!AR:AR,MATCH('001_population_health_zone_zs'!$B$2,[1]ratio_ins!$B:$B,0))*$G383*INDEX([1]ratio_ins!$D:$D,MATCH('001_population_health_zone_zs'!$B383,[1]ratio_ins!$B:$B,0))</f>
        <v>671.28166799999997</v>
      </c>
      <c r="AV383" s="10">
        <f>INDEX([1]ratio_ins!AS:AS,MATCH('001_population_health_zone_zs'!$B$2,[1]ratio_ins!$B:$B,0))*$G383*INDEX([1]ratio_ins!$D:$D,MATCH('001_population_health_zone_zs'!$B383,[1]ratio_ins!$B:$B,0))</f>
        <v>335.64083399999998</v>
      </c>
      <c r="AW383" s="10">
        <f>INDEX([1]ratio_ins!AT:AT,MATCH('001_population_health_zone_zs'!$B$2,[1]ratio_ins!$B:$B,0))*$G383*INDEX([1]ratio_ins!$D:$D,MATCH('001_population_health_zone_zs'!$B383,[1]ratio_ins!$B:$B,0))</f>
        <v>223.76055600000001</v>
      </c>
      <c r="AX383" s="13">
        <f>INDEX([1]ratio_ins!AU:AU,MATCH('001_population_health_zone_zs'!$B$2,[1]ratio_ins!$B:$B,0))*$G383*INDEX([1]ratio_ins!$D:$D,MATCH('001_population_health_zone_zs'!$B383,[1]ratio_ins!$B:$B,0))</f>
        <v>2349.4858380000001</v>
      </c>
      <c r="AY383" s="14">
        <f t="shared" si="31"/>
        <v>111880.27799999999</v>
      </c>
      <c r="AZ383" s="15">
        <f t="shared" si="32"/>
        <v>222426</v>
      </c>
      <c r="BA383" s="16">
        <v>211755.77038890851</v>
      </c>
      <c r="BB383" s="10">
        <f t="shared" si="33"/>
        <v>47549.118150000002</v>
      </c>
      <c r="BC383" s="17">
        <f t="shared" si="34"/>
        <v>0.21377500000000002</v>
      </c>
      <c r="BD383" s="10">
        <f t="shared" si="35"/>
        <v>46097.566074000009</v>
      </c>
    </row>
    <row r="384" spans="1:56" x14ac:dyDescent="0.25">
      <c r="A384" s="8" t="s">
        <v>877</v>
      </c>
      <c r="B384" s="8" t="s">
        <v>878</v>
      </c>
      <c r="C384" s="8" t="s">
        <v>938</v>
      </c>
      <c r="D384" s="8" t="s">
        <v>939</v>
      </c>
      <c r="E384" s="8" t="s">
        <v>940</v>
      </c>
      <c r="F384" s="8" t="s">
        <v>941</v>
      </c>
      <c r="G384" s="9">
        <v>400036</v>
      </c>
      <c r="H384" s="10">
        <f>INDEX([1]ratio_ins!F:F,MATCH('001_population_health_zone_zs'!$B$2,[1]ratio_ins!$B:$B,0))*$G384*INDEX([1]ratio_ins!$C:$C,MATCH('001_population_health_zone_zs'!$B384,[1]ratio_ins!$B:$B,0))</f>
        <v>41552.939427999998</v>
      </c>
      <c r="I384" s="10">
        <f>INDEX([1]ratio_ins!G:G,MATCH('001_population_health_zone_zs'!$B$2,[1]ratio_ins!$B:$B,0))*$G384*INDEX([1]ratio_ins!$C:$C,MATCH('001_population_health_zone_zs'!$B384,[1]ratio_ins!$B:$B,0))</f>
        <v>33997.859532000002</v>
      </c>
      <c r="J384" s="10">
        <f>INDEX([1]ratio_ins!H:H,MATCH('001_population_health_zone_zs'!$B$2,[1]ratio_ins!$B:$B,0))*$G384*INDEX([1]ratio_ins!$C:$C,MATCH('001_population_health_zone_zs'!$B384,[1]ratio_ins!$B:$B,0))</f>
        <v>26840.415420000005</v>
      </c>
      <c r="K384" s="10">
        <f>INDEX([1]ratio_ins!I:I,MATCH('001_population_health_zone_zs'!$B$2,[1]ratio_ins!$B:$B,0))*$G384*INDEX([1]ratio_ins!$C:$C,MATCH('001_population_health_zone_zs'!$B384,[1]ratio_ins!$B:$B,0))</f>
        <v>16501.885036000003</v>
      </c>
      <c r="L384" s="10">
        <f>INDEX([1]ratio_ins!J:J,MATCH('001_population_health_zone_zs'!$B$2,[1]ratio_ins!$B:$B,0))*$G384*INDEX([1]ratio_ins!$C:$C,MATCH('001_population_health_zone_zs'!$B384,[1]ratio_ins!$B:$B,0))</f>
        <v>9901.1310216000002</v>
      </c>
      <c r="M384" s="11">
        <f>INDEX([1]ratio_ins!K:K,MATCH('001_population_health_zone_zs'!$B$2,[1]ratio_ins!$B:$B,0))*$G384*INDEX([1]ratio_ins!$C:$C,MATCH('001_population_health_zone_zs'!$B384,[1]ratio_ins!$B:$B,0))</f>
        <v>112292.3454016</v>
      </c>
      <c r="N384" s="10">
        <f>INDEX([1]ratio_ins!L:L,MATCH('001_population_health_zone_zs'!$B$2,[1]ratio_ins!$B:$B,0))*$G384*INDEX([1]ratio_ins!$C:$C,MATCH('001_population_health_zone_zs'!$B384,[1]ratio_ins!$B:$B,0))</f>
        <v>6600.7540144000004</v>
      </c>
      <c r="O384" s="10">
        <f>INDEX([1]ratio_ins!M:M,MATCH('001_population_health_zone_zs'!$B$2,[1]ratio_ins!$B:$B,0))*$G384*INDEX([1]ratio_ins!$C:$C,MATCH('001_population_health_zone_zs'!$B384,[1]ratio_ins!$B:$B,0))</f>
        <v>14314.888224000004</v>
      </c>
      <c r="P384" s="10">
        <f>INDEX([1]ratio_ins!N:N,MATCH('001_population_health_zone_zs'!$B$2,[1]ratio_ins!$B:$B,0))*$G384*INDEX([1]ratio_ins!$C:$C,MATCH('001_population_health_zone_zs'!$B384,[1]ratio_ins!$B:$B,0))</f>
        <v>12923.162980000001</v>
      </c>
      <c r="Q384" s="10">
        <f>INDEX([1]ratio_ins!O:O,MATCH('001_population_health_zone_zs'!$B$2,[1]ratio_ins!$B:$B,0))*$G384*INDEX([1]ratio_ins!$C:$C,MATCH('001_population_health_zone_zs'!$B384,[1]ratio_ins!$B:$B,0))</f>
        <v>11531.437736000002</v>
      </c>
      <c r="R384" s="10">
        <f>INDEX([1]ratio_ins!P:P,MATCH('001_population_health_zone_zs'!$B$2,[1]ratio_ins!$B:$B,0))*$G384*INDEX([1]ratio_ins!$C:$C,MATCH('001_population_health_zone_zs'!$B384,[1]ratio_ins!$B:$B,0))</f>
        <v>11332.619844000001</v>
      </c>
      <c r="S384" s="10">
        <f>INDEX([1]ratio_ins!Q:Q,MATCH('001_population_health_zone_zs'!$B$2,[1]ratio_ins!$B:$B,0))*$G384*INDEX([1]ratio_ins!$C:$C,MATCH('001_population_health_zone_zs'!$B384,[1]ratio_ins!$B:$B,0))</f>
        <v>9543.2588160000014</v>
      </c>
      <c r="T384" s="10">
        <f>INDEX([1]ratio_ins!R:R,MATCH('001_population_health_zone_zs'!$B$2,[1]ratio_ins!$B:$B,0))*$G384*INDEX([1]ratio_ins!$C:$C,MATCH('001_population_health_zone_zs'!$B384,[1]ratio_ins!$B:$B,0))</f>
        <v>6759.808328000001</v>
      </c>
      <c r="U384" s="10">
        <f>INDEX([1]ratio_ins!S:S,MATCH('001_population_health_zone_zs'!$B$2,[1]ratio_ins!$B:$B,0))*$G384*INDEX([1]ratio_ins!$C:$C,MATCH('001_population_health_zone_zs'!$B384,[1]ratio_ins!$B:$B,0))</f>
        <v>5368.0830840000017</v>
      </c>
      <c r="V384" s="10">
        <f>INDEX([1]ratio_ins!T:T,MATCH('001_population_health_zone_zs'!$B$2,[1]ratio_ins!$B:$B,0))*$G384*INDEX([1]ratio_ins!$C:$C,MATCH('001_population_health_zone_zs'!$B384,[1]ratio_ins!$B:$B,0))</f>
        <v>2982.2683800000004</v>
      </c>
      <c r="W384" s="11">
        <f>INDEX([1]ratio_ins!U:U,MATCH('001_population_health_zone_zs'!$B$2,[1]ratio_ins!$B:$B,0))*$G384*INDEX([1]ratio_ins!$C:$C,MATCH('001_population_health_zone_zs'!$B384,[1]ratio_ins!$B:$B,0))</f>
        <v>81356.281406400012</v>
      </c>
      <c r="X384" s="10">
        <f>INDEX([1]ratio_ins!V:V,MATCH('001_population_health_zone_zs'!$B$2,[1]ratio_ins!$B:$B,0))*$G384*INDEX([1]ratio_ins!$C:$C,MATCH('001_population_health_zone_zs'!$B384,[1]ratio_ins!$B:$B,0))</f>
        <v>2385.8147040000003</v>
      </c>
      <c r="Y384" s="10">
        <f>INDEX([1]ratio_ins!W:W,MATCH('001_population_health_zone_zs'!$B$2,[1]ratio_ins!$B:$B,0))*$G384*INDEX([1]ratio_ins!$C:$C,MATCH('001_population_health_zone_zs'!$B384,[1]ratio_ins!$B:$B,0))</f>
        <v>1590.5431360000002</v>
      </c>
      <c r="Z384" s="10">
        <f>INDEX([1]ratio_ins!X:X,MATCH('001_population_health_zone_zs'!$B$2,[1]ratio_ins!$B:$B,0))*$G384*INDEX([1]ratio_ins!$C:$C,MATCH('001_population_health_zone_zs'!$B384,[1]ratio_ins!$B:$B,0))</f>
        <v>795.27156800000012</v>
      </c>
      <c r="AA384" s="10">
        <f>INDEX([1]ratio_ins!Y:Y,MATCH('001_population_health_zone_zs'!$B$2,[1]ratio_ins!$B:$B,0))*$G384*INDEX([1]ratio_ins!$C:$C,MATCH('001_population_health_zone_zs'!$B384,[1]ratio_ins!$B:$B,0))</f>
        <v>397.63578400000006</v>
      </c>
      <c r="AB384" s="11">
        <f>INDEX([1]ratio_ins!Z:Z,MATCH('001_population_health_zone_zs'!$B$2,[1]ratio_ins!$B:$B,0))*$G384*INDEX([1]ratio_ins!$C:$C,MATCH('001_population_health_zone_zs'!$B384,[1]ratio_ins!$B:$B,0))</f>
        <v>5169.2651920000017</v>
      </c>
      <c r="AC384" s="12">
        <f t="shared" si="30"/>
        <v>198817.89200000002</v>
      </c>
      <c r="AD384" s="10">
        <f>INDEX([1]ratio_ins!AA:AA,MATCH('001_population_health_zone_zs'!$B$2,[1]ratio_ins!$B:$B,0))*$G384*INDEX([1]ratio_ins!$D:$D,MATCH('001_population_health_zone_zs'!$B384,[1]ratio_ins!$B:$B,0))</f>
        <v>42255.802680000001</v>
      </c>
      <c r="AE384" s="10">
        <f>INDEX([1]ratio_ins!AB:AB,MATCH('001_population_health_zone_zs'!$B$2,[1]ratio_ins!$B:$B,0))*$G384*INDEX([1]ratio_ins!$D:$D,MATCH('001_population_health_zone_zs'!$B384,[1]ratio_ins!$B:$B,0))</f>
        <v>34810.732684000002</v>
      </c>
      <c r="AF384" s="10">
        <f>INDEX([1]ratio_ins!AC:AC,MATCH('001_population_health_zone_zs'!$B$2,[1]ratio_ins!$B:$B,0))*$G384*INDEX([1]ratio_ins!$D:$D,MATCH('001_population_health_zone_zs'!$B384,[1]ratio_ins!$B:$B,0))</f>
        <v>27566.880795999998</v>
      </c>
      <c r="AG384" s="10">
        <f>INDEX([1]ratio_ins!AD:AD,MATCH('001_population_health_zone_zs'!$B$2,[1]ratio_ins!$B:$B,0))*$G384*INDEX([1]ratio_ins!$D:$D,MATCH('001_population_health_zone_zs'!$B384,[1]ratio_ins!$B:$B,0))</f>
        <v>16701.102964000002</v>
      </c>
      <c r="AH384" s="10">
        <f>INDEX([1]ratio_ins!AE:AE,MATCH('001_population_health_zone_zs'!$B$2,[1]ratio_ins!$B:$B,0))*$G384*INDEX([1]ratio_ins!$D:$D,MATCH('001_population_health_zone_zs'!$B384,[1]ratio_ins!$B:$B,0))</f>
        <v>10020.661778399999</v>
      </c>
      <c r="AI384" s="13">
        <f>INDEX([1]ratio_ins!AF:AF,MATCH('001_population_health_zone_zs'!$B$2,[1]ratio_ins!$B:$B,0))*$G384*INDEX([1]ratio_ins!$D:$D,MATCH('001_population_health_zone_zs'!$B384,[1]ratio_ins!$B:$B,0))</f>
        <v>114654.07793840001</v>
      </c>
      <c r="AJ384" s="10">
        <f>INDEX([1]ratio_ins!AG:AG,MATCH('001_population_health_zone_zs'!$B$2,[1]ratio_ins!$B:$B,0))*$G384*INDEX([1]ratio_ins!$D:$D,MATCH('001_population_health_zone_zs'!$B384,[1]ratio_ins!$B:$B,0))</f>
        <v>6680.4411855999997</v>
      </c>
      <c r="AK384" s="10">
        <f>INDEX([1]ratio_ins!AH:AH,MATCH('001_population_health_zone_zs'!$B$2,[1]ratio_ins!$B:$B,0))*$G384*INDEX([1]ratio_ins!$D:$D,MATCH('001_population_health_zone_zs'!$B384,[1]ratio_ins!$B:$B,0))</f>
        <v>14890.139992000002</v>
      </c>
      <c r="AL384" s="10">
        <f>INDEX([1]ratio_ins!AI:AI,MATCH('001_population_health_zone_zs'!$B$2,[1]ratio_ins!$B:$B,0))*$G384*INDEX([1]ratio_ins!$D:$D,MATCH('001_population_health_zone_zs'!$B384,[1]ratio_ins!$B:$B,0))</f>
        <v>14085.267560000002</v>
      </c>
      <c r="AM384" s="10">
        <f>INDEX([1]ratio_ins!AJ:AJ,MATCH('001_population_health_zone_zs'!$B$2,[1]ratio_ins!$B:$B,0))*$G384*INDEX([1]ratio_ins!$D:$D,MATCH('001_population_health_zone_zs'!$B384,[1]ratio_ins!$B:$B,0))</f>
        <v>12877.958912</v>
      </c>
      <c r="AN384" s="10">
        <f>INDEX([1]ratio_ins!AK:AK,MATCH('001_population_health_zone_zs'!$B$2,[1]ratio_ins!$B:$B,0))*$G384*INDEX([1]ratio_ins!$D:$D,MATCH('001_population_health_zone_zs'!$B384,[1]ratio_ins!$B:$B,0))</f>
        <v>12073.08648</v>
      </c>
      <c r="AO384" s="10">
        <f>INDEX([1]ratio_ins!AL:AL,MATCH('001_population_health_zone_zs'!$B$2,[1]ratio_ins!$B:$B,0))*$G384*INDEX([1]ratio_ins!$D:$D,MATCH('001_population_health_zone_zs'!$B384,[1]ratio_ins!$B:$B,0))</f>
        <v>9054.8148600000004</v>
      </c>
      <c r="AP384" s="10">
        <f>INDEX([1]ratio_ins!AM:AM,MATCH('001_population_health_zone_zs'!$B$2,[1]ratio_ins!$B:$B,0))*$G384*INDEX([1]ratio_ins!$D:$D,MATCH('001_population_health_zone_zs'!$B384,[1]ratio_ins!$B:$B,0))</f>
        <v>5835.3251319999999</v>
      </c>
      <c r="AQ384" s="10">
        <f>INDEX([1]ratio_ins!AN:AN,MATCH('001_population_health_zone_zs'!$B$2,[1]ratio_ins!$B:$B,0))*$G384*INDEX([1]ratio_ins!$D:$D,MATCH('001_population_health_zone_zs'!$B384,[1]ratio_ins!$B:$B,0))</f>
        <v>4628.0164839999998</v>
      </c>
      <c r="AR384" s="10">
        <f>INDEX([1]ratio_ins!AO:AO,MATCH('001_population_health_zone_zs'!$B$2,[1]ratio_ins!$B:$B,0))*$G384*INDEX([1]ratio_ins!$D:$D,MATCH('001_population_health_zone_zs'!$B384,[1]ratio_ins!$B:$B,0))</f>
        <v>2213.3991880000003</v>
      </c>
      <c r="AS384" s="13">
        <f>INDEX([1]ratio_ins!AP:AP,MATCH('001_population_health_zone_zs'!$B$2,[1]ratio_ins!$B:$B,0))*$G384*INDEX([1]ratio_ins!$D:$D,MATCH('001_population_health_zone_zs'!$B384,[1]ratio_ins!$B:$B,0))</f>
        <v>82338.449793600012</v>
      </c>
      <c r="AT384" s="10">
        <f>INDEX([1]ratio_ins!AQ:AQ,MATCH('001_population_health_zone_zs'!$B$2,[1]ratio_ins!$B:$B,0))*$G384*INDEX([1]ratio_ins!$D:$D,MATCH('001_population_health_zone_zs'!$B384,[1]ratio_ins!$B:$B,0))</f>
        <v>2012.1810800000001</v>
      </c>
      <c r="AU384" s="10">
        <f>INDEX([1]ratio_ins!AR:AR,MATCH('001_population_health_zone_zs'!$B$2,[1]ratio_ins!$B:$B,0))*$G384*INDEX([1]ratio_ins!$D:$D,MATCH('001_population_health_zone_zs'!$B384,[1]ratio_ins!$B:$B,0))</f>
        <v>1207.3086479999999</v>
      </c>
      <c r="AV384" s="10">
        <f>INDEX([1]ratio_ins!AS:AS,MATCH('001_population_health_zone_zs'!$B$2,[1]ratio_ins!$B:$B,0))*$G384*INDEX([1]ratio_ins!$D:$D,MATCH('001_population_health_zone_zs'!$B384,[1]ratio_ins!$B:$B,0))</f>
        <v>603.65432399999997</v>
      </c>
      <c r="AW384" s="10">
        <f>INDEX([1]ratio_ins!AT:AT,MATCH('001_population_health_zone_zs'!$B$2,[1]ratio_ins!$B:$B,0))*$G384*INDEX([1]ratio_ins!$D:$D,MATCH('001_population_health_zone_zs'!$B384,[1]ratio_ins!$B:$B,0))</f>
        <v>402.436216</v>
      </c>
      <c r="AX384" s="13">
        <f>INDEX([1]ratio_ins!AU:AU,MATCH('001_population_health_zone_zs'!$B$2,[1]ratio_ins!$B:$B,0))*$G384*INDEX([1]ratio_ins!$D:$D,MATCH('001_population_health_zone_zs'!$B384,[1]ratio_ins!$B:$B,0))</f>
        <v>4225.5802679999997</v>
      </c>
      <c r="AY384" s="14">
        <f t="shared" si="31"/>
        <v>201218.10800000001</v>
      </c>
      <c r="AZ384" s="15">
        <f t="shared" si="32"/>
        <v>400036</v>
      </c>
      <c r="BA384" s="16">
        <v>380845.36415404058</v>
      </c>
      <c r="BB384" s="10">
        <f t="shared" si="33"/>
        <v>85517.695900000006</v>
      </c>
      <c r="BC384" s="17">
        <f t="shared" si="34"/>
        <v>0.21377500000000002</v>
      </c>
      <c r="BD384" s="10">
        <f t="shared" si="35"/>
        <v>82907.060964000004</v>
      </c>
    </row>
    <row r="385" spans="1:56" x14ac:dyDescent="0.25">
      <c r="A385" s="8" t="s">
        <v>877</v>
      </c>
      <c r="B385" s="8" t="s">
        <v>878</v>
      </c>
      <c r="C385" s="8" t="s">
        <v>938</v>
      </c>
      <c r="D385" s="8" t="s">
        <v>939</v>
      </c>
      <c r="E385" s="8" t="s">
        <v>938</v>
      </c>
      <c r="F385" s="8" t="s">
        <v>942</v>
      </c>
      <c r="G385" s="9">
        <v>319326</v>
      </c>
      <c r="H385" s="10">
        <f>INDEX([1]ratio_ins!F:F,MATCH('001_population_health_zone_zs'!$B$2,[1]ratio_ins!$B:$B,0))*$G385*INDEX([1]ratio_ins!$C:$C,MATCH('001_population_health_zone_zs'!$B385,[1]ratio_ins!$B:$B,0))</f>
        <v>33169.349598000001</v>
      </c>
      <c r="I385" s="10">
        <f>INDEX([1]ratio_ins!G:G,MATCH('001_population_health_zone_zs'!$B$2,[1]ratio_ins!$B:$B,0))*$G385*INDEX([1]ratio_ins!$C:$C,MATCH('001_population_health_zone_zs'!$B385,[1]ratio_ins!$B:$B,0))</f>
        <v>27138.558762000008</v>
      </c>
      <c r="J385" s="10">
        <f>INDEX([1]ratio_ins!H:H,MATCH('001_population_health_zone_zs'!$B$2,[1]ratio_ins!$B:$B,0))*$G385*INDEX([1]ratio_ins!$C:$C,MATCH('001_population_health_zone_zs'!$B385,[1]ratio_ins!$B:$B,0))</f>
        <v>21425.177970000004</v>
      </c>
      <c r="K385" s="10">
        <f>INDEX([1]ratio_ins!I:I,MATCH('001_population_health_zone_zs'!$B$2,[1]ratio_ins!$B:$B,0))*$G385*INDEX([1]ratio_ins!$C:$C,MATCH('001_population_health_zone_zs'!$B385,[1]ratio_ins!$B:$B,0))</f>
        <v>13172.516826000001</v>
      </c>
      <c r="L385" s="10">
        <f>INDEX([1]ratio_ins!J:J,MATCH('001_population_health_zone_zs'!$B$2,[1]ratio_ins!$B:$B,0))*$G385*INDEX([1]ratio_ins!$C:$C,MATCH('001_population_health_zone_zs'!$B385,[1]ratio_ins!$B:$B,0))</f>
        <v>7903.5100956000006</v>
      </c>
      <c r="M385" s="11">
        <f>INDEX([1]ratio_ins!K:K,MATCH('001_population_health_zone_zs'!$B$2,[1]ratio_ins!$B:$B,0))*$G385*INDEX([1]ratio_ins!$C:$C,MATCH('001_population_health_zone_zs'!$B385,[1]ratio_ins!$B:$B,0))</f>
        <v>89636.596425600015</v>
      </c>
      <c r="N385" s="10">
        <f>INDEX([1]ratio_ins!L:L,MATCH('001_population_health_zone_zs'!$B$2,[1]ratio_ins!$B:$B,0))*$G385*INDEX([1]ratio_ins!$C:$C,MATCH('001_population_health_zone_zs'!$B385,[1]ratio_ins!$B:$B,0))</f>
        <v>5269.0067304000004</v>
      </c>
      <c r="O385" s="10">
        <f>INDEX([1]ratio_ins!M:M,MATCH('001_population_health_zone_zs'!$B$2,[1]ratio_ins!$B:$B,0))*$G385*INDEX([1]ratio_ins!$C:$C,MATCH('001_population_health_zone_zs'!$B385,[1]ratio_ins!$B:$B,0))</f>
        <v>11426.761584000002</v>
      </c>
      <c r="P385" s="10">
        <f>INDEX([1]ratio_ins!N:N,MATCH('001_population_health_zone_zs'!$B$2,[1]ratio_ins!$B:$B,0))*$G385*INDEX([1]ratio_ins!$C:$C,MATCH('001_population_health_zone_zs'!$B385,[1]ratio_ins!$B:$B,0))</f>
        <v>10315.826430000003</v>
      </c>
      <c r="Q385" s="10">
        <f>INDEX([1]ratio_ins!O:O,MATCH('001_population_health_zone_zs'!$B$2,[1]ratio_ins!$B:$B,0))*$G385*INDEX([1]ratio_ins!$C:$C,MATCH('001_population_health_zone_zs'!$B385,[1]ratio_ins!$B:$B,0))</f>
        <v>9204.8912760000003</v>
      </c>
      <c r="R385" s="10">
        <f>INDEX([1]ratio_ins!P:P,MATCH('001_population_health_zone_zs'!$B$2,[1]ratio_ins!$B:$B,0))*$G385*INDEX([1]ratio_ins!$C:$C,MATCH('001_population_health_zone_zs'!$B385,[1]ratio_ins!$B:$B,0))</f>
        <v>9046.186254000002</v>
      </c>
      <c r="S385" s="10">
        <f>INDEX([1]ratio_ins!Q:Q,MATCH('001_population_health_zone_zs'!$B$2,[1]ratio_ins!$B:$B,0))*$G385*INDEX([1]ratio_ins!$C:$C,MATCH('001_population_health_zone_zs'!$B385,[1]ratio_ins!$B:$B,0))</f>
        <v>7617.8410560000011</v>
      </c>
      <c r="T385" s="10">
        <f>INDEX([1]ratio_ins!R:R,MATCH('001_population_health_zone_zs'!$B$2,[1]ratio_ins!$B:$B,0))*$G385*INDEX([1]ratio_ins!$C:$C,MATCH('001_population_health_zone_zs'!$B385,[1]ratio_ins!$B:$B,0))</f>
        <v>5395.9707480000006</v>
      </c>
      <c r="U385" s="10">
        <f>INDEX([1]ratio_ins!S:S,MATCH('001_population_health_zone_zs'!$B$2,[1]ratio_ins!$B:$B,0))*$G385*INDEX([1]ratio_ins!$C:$C,MATCH('001_population_health_zone_zs'!$B385,[1]ratio_ins!$B:$B,0))</f>
        <v>4285.0355940000009</v>
      </c>
      <c r="V385" s="10">
        <f>INDEX([1]ratio_ins!T:T,MATCH('001_population_health_zone_zs'!$B$2,[1]ratio_ins!$B:$B,0))*$G385*INDEX([1]ratio_ins!$C:$C,MATCH('001_population_health_zone_zs'!$B385,[1]ratio_ins!$B:$B,0))</f>
        <v>2380.5753300000001</v>
      </c>
      <c r="W385" s="11">
        <f>INDEX([1]ratio_ins!U:U,MATCH('001_population_health_zone_zs'!$B$2,[1]ratio_ins!$B:$B,0))*$G385*INDEX([1]ratio_ins!$C:$C,MATCH('001_population_health_zone_zs'!$B385,[1]ratio_ins!$B:$B,0))</f>
        <v>64942.095002400005</v>
      </c>
      <c r="X385" s="10">
        <f>INDEX([1]ratio_ins!V:V,MATCH('001_population_health_zone_zs'!$B$2,[1]ratio_ins!$B:$B,0))*$G385*INDEX([1]ratio_ins!$C:$C,MATCH('001_population_health_zone_zs'!$B385,[1]ratio_ins!$B:$B,0))</f>
        <v>1904.4602640000003</v>
      </c>
      <c r="Y385" s="10">
        <f>INDEX([1]ratio_ins!W:W,MATCH('001_population_health_zone_zs'!$B$2,[1]ratio_ins!$B:$B,0))*$G385*INDEX([1]ratio_ins!$C:$C,MATCH('001_population_health_zone_zs'!$B385,[1]ratio_ins!$B:$B,0))</f>
        <v>1269.6401760000001</v>
      </c>
      <c r="Z385" s="10">
        <f>INDEX([1]ratio_ins!X:X,MATCH('001_population_health_zone_zs'!$B$2,[1]ratio_ins!$B:$B,0))*$G385*INDEX([1]ratio_ins!$C:$C,MATCH('001_population_health_zone_zs'!$B385,[1]ratio_ins!$B:$B,0))</f>
        <v>634.82008800000006</v>
      </c>
      <c r="AA385" s="10">
        <f>INDEX([1]ratio_ins!Y:Y,MATCH('001_population_health_zone_zs'!$B$2,[1]ratio_ins!$B:$B,0))*$G385*INDEX([1]ratio_ins!$C:$C,MATCH('001_population_health_zone_zs'!$B385,[1]ratio_ins!$B:$B,0))</f>
        <v>317.41004400000003</v>
      </c>
      <c r="AB385" s="11">
        <f>INDEX([1]ratio_ins!Z:Z,MATCH('001_population_health_zone_zs'!$B$2,[1]ratio_ins!$B:$B,0))*$G385*INDEX([1]ratio_ins!$C:$C,MATCH('001_population_health_zone_zs'!$B385,[1]ratio_ins!$B:$B,0))</f>
        <v>4126.3305720000008</v>
      </c>
      <c r="AC385" s="12">
        <f t="shared" si="30"/>
        <v>158705.02200000003</v>
      </c>
      <c r="AD385" s="10">
        <f>INDEX([1]ratio_ins!AA:AA,MATCH('001_population_health_zone_zs'!$B$2,[1]ratio_ins!$B:$B,0))*$G385*INDEX([1]ratio_ins!$D:$D,MATCH('001_population_health_zone_zs'!$B385,[1]ratio_ins!$B:$B,0))</f>
        <v>33730.405379999997</v>
      </c>
      <c r="AE385" s="10">
        <f>INDEX([1]ratio_ins!AB:AB,MATCH('001_population_health_zone_zs'!$B$2,[1]ratio_ins!$B:$B,0))*$G385*INDEX([1]ratio_ins!$D:$D,MATCH('001_population_health_zone_zs'!$B385,[1]ratio_ins!$B:$B,0))</f>
        <v>27787.429194000004</v>
      </c>
      <c r="AF385" s="10">
        <f>INDEX([1]ratio_ins!AC:AC,MATCH('001_population_health_zone_zs'!$B$2,[1]ratio_ins!$B:$B,0))*$G385*INDEX([1]ratio_ins!$D:$D,MATCH('001_population_health_zone_zs'!$B385,[1]ratio_ins!$B:$B,0))</f>
        <v>22005.073985999999</v>
      </c>
      <c r="AG385" s="10">
        <f>INDEX([1]ratio_ins!AD:AD,MATCH('001_population_health_zone_zs'!$B$2,[1]ratio_ins!$B:$B,0))*$G385*INDEX([1]ratio_ins!$D:$D,MATCH('001_population_health_zone_zs'!$B385,[1]ratio_ins!$B:$B,0))</f>
        <v>13331.541174</v>
      </c>
      <c r="AH385" s="10">
        <f>INDEX([1]ratio_ins!AE:AE,MATCH('001_population_health_zone_zs'!$B$2,[1]ratio_ins!$B:$B,0))*$G385*INDEX([1]ratio_ins!$D:$D,MATCH('001_population_health_zone_zs'!$B385,[1]ratio_ins!$B:$B,0))</f>
        <v>7998.9247043999994</v>
      </c>
      <c r="AI385" s="13">
        <f>INDEX([1]ratio_ins!AF:AF,MATCH('001_population_health_zone_zs'!$B$2,[1]ratio_ins!$B:$B,0))*$G385*INDEX([1]ratio_ins!$D:$D,MATCH('001_population_health_zone_zs'!$B385,[1]ratio_ins!$B:$B,0))</f>
        <v>91521.833264399989</v>
      </c>
      <c r="AJ385" s="10">
        <f>INDEX([1]ratio_ins!AG:AG,MATCH('001_population_health_zone_zs'!$B$2,[1]ratio_ins!$B:$B,0))*$G385*INDEX([1]ratio_ins!$D:$D,MATCH('001_population_health_zone_zs'!$B385,[1]ratio_ins!$B:$B,0))</f>
        <v>5332.6164695999996</v>
      </c>
      <c r="AK385" s="10">
        <f>INDEX([1]ratio_ins!AH:AH,MATCH('001_population_health_zone_zs'!$B$2,[1]ratio_ins!$B:$B,0))*$G385*INDEX([1]ratio_ins!$D:$D,MATCH('001_population_health_zone_zs'!$B385,[1]ratio_ins!$B:$B,0))</f>
        <v>11885.952372000002</v>
      </c>
      <c r="AL385" s="10">
        <f>INDEX([1]ratio_ins!AI:AI,MATCH('001_population_health_zone_zs'!$B$2,[1]ratio_ins!$B:$B,0))*$G385*INDEX([1]ratio_ins!$D:$D,MATCH('001_population_health_zone_zs'!$B385,[1]ratio_ins!$B:$B,0))</f>
        <v>11243.468460000002</v>
      </c>
      <c r="AM385" s="10">
        <f>INDEX([1]ratio_ins!AJ:AJ,MATCH('001_population_health_zone_zs'!$B$2,[1]ratio_ins!$B:$B,0))*$G385*INDEX([1]ratio_ins!$D:$D,MATCH('001_population_health_zone_zs'!$B385,[1]ratio_ins!$B:$B,0))</f>
        <v>10279.742592000001</v>
      </c>
      <c r="AN385" s="10">
        <f>INDEX([1]ratio_ins!AK:AK,MATCH('001_population_health_zone_zs'!$B$2,[1]ratio_ins!$B:$B,0))*$G385*INDEX([1]ratio_ins!$D:$D,MATCH('001_population_health_zone_zs'!$B385,[1]ratio_ins!$B:$B,0))</f>
        <v>9637.258679999999</v>
      </c>
      <c r="AO385" s="10">
        <f>INDEX([1]ratio_ins!AL:AL,MATCH('001_population_health_zone_zs'!$B$2,[1]ratio_ins!$B:$B,0))*$G385*INDEX([1]ratio_ins!$D:$D,MATCH('001_population_health_zone_zs'!$B385,[1]ratio_ins!$B:$B,0))</f>
        <v>7227.9440100000002</v>
      </c>
      <c r="AP385" s="10">
        <f>INDEX([1]ratio_ins!AM:AM,MATCH('001_population_health_zone_zs'!$B$2,[1]ratio_ins!$B:$B,0))*$G385*INDEX([1]ratio_ins!$D:$D,MATCH('001_population_health_zone_zs'!$B385,[1]ratio_ins!$B:$B,0))</f>
        <v>4658.0083619999996</v>
      </c>
      <c r="AQ385" s="10">
        <f>INDEX([1]ratio_ins!AN:AN,MATCH('001_population_health_zone_zs'!$B$2,[1]ratio_ins!$B:$B,0))*$G385*INDEX([1]ratio_ins!$D:$D,MATCH('001_population_health_zone_zs'!$B385,[1]ratio_ins!$B:$B,0))</f>
        <v>3694.2824939999996</v>
      </c>
      <c r="AR385" s="10">
        <f>INDEX([1]ratio_ins!AO:AO,MATCH('001_population_health_zone_zs'!$B$2,[1]ratio_ins!$B:$B,0))*$G385*INDEX([1]ratio_ins!$D:$D,MATCH('001_population_health_zone_zs'!$B385,[1]ratio_ins!$B:$B,0))</f>
        <v>1766.8307580000001</v>
      </c>
      <c r="AS385" s="13">
        <f>INDEX([1]ratio_ins!AP:AP,MATCH('001_population_health_zone_zs'!$B$2,[1]ratio_ins!$B:$B,0))*$G385*INDEX([1]ratio_ins!$D:$D,MATCH('001_population_health_zone_zs'!$B385,[1]ratio_ins!$B:$B,0))</f>
        <v>65726.104197599998</v>
      </c>
      <c r="AT385" s="10">
        <f>INDEX([1]ratio_ins!AQ:AQ,MATCH('001_population_health_zone_zs'!$B$2,[1]ratio_ins!$B:$B,0))*$G385*INDEX([1]ratio_ins!$D:$D,MATCH('001_population_health_zone_zs'!$B385,[1]ratio_ins!$B:$B,0))</f>
        <v>1606.2097800000001</v>
      </c>
      <c r="AU385" s="10">
        <f>INDEX([1]ratio_ins!AR:AR,MATCH('001_population_health_zone_zs'!$B$2,[1]ratio_ins!$B:$B,0))*$G385*INDEX([1]ratio_ins!$D:$D,MATCH('001_population_health_zone_zs'!$B385,[1]ratio_ins!$B:$B,0))</f>
        <v>963.7258680000001</v>
      </c>
      <c r="AV385" s="10">
        <f>INDEX([1]ratio_ins!AS:AS,MATCH('001_population_health_zone_zs'!$B$2,[1]ratio_ins!$B:$B,0))*$G385*INDEX([1]ratio_ins!$D:$D,MATCH('001_population_health_zone_zs'!$B385,[1]ratio_ins!$B:$B,0))</f>
        <v>481.86293400000005</v>
      </c>
      <c r="AW385" s="10">
        <f>INDEX([1]ratio_ins!AT:AT,MATCH('001_population_health_zone_zs'!$B$2,[1]ratio_ins!$B:$B,0))*$G385*INDEX([1]ratio_ins!$D:$D,MATCH('001_population_health_zone_zs'!$B385,[1]ratio_ins!$B:$B,0))</f>
        <v>321.24195600000002</v>
      </c>
      <c r="AX385" s="13">
        <f>INDEX([1]ratio_ins!AU:AU,MATCH('001_population_health_zone_zs'!$B$2,[1]ratio_ins!$B:$B,0))*$G385*INDEX([1]ratio_ins!$D:$D,MATCH('001_population_health_zone_zs'!$B385,[1]ratio_ins!$B:$B,0))</f>
        <v>3373.0405379999997</v>
      </c>
      <c r="AY385" s="14">
        <f t="shared" si="31"/>
        <v>160620.978</v>
      </c>
      <c r="AZ385" s="15">
        <f t="shared" si="32"/>
        <v>319326</v>
      </c>
      <c r="BA385" s="16">
        <v>304006.6945046481</v>
      </c>
      <c r="BB385" s="10">
        <f t="shared" si="33"/>
        <v>68263.915649999995</v>
      </c>
      <c r="BC385" s="17">
        <f t="shared" si="34"/>
        <v>0.21377499999999999</v>
      </c>
      <c r="BD385" s="10">
        <f t="shared" si="35"/>
        <v>66179.994174000021</v>
      </c>
    </row>
    <row r="386" spans="1:56" x14ac:dyDescent="0.25">
      <c r="A386" s="8" t="s">
        <v>943</v>
      </c>
      <c r="B386" s="8" t="s">
        <v>944</v>
      </c>
      <c r="C386" s="8" t="s">
        <v>945</v>
      </c>
      <c r="D386" s="8" t="s">
        <v>946</v>
      </c>
      <c r="E386" s="8" t="s">
        <v>947</v>
      </c>
      <c r="F386" s="8" t="s">
        <v>948</v>
      </c>
      <c r="G386" s="9">
        <v>540927</v>
      </c>
      <c r="H386" s="10">
        <f>INDEX([1]ratio_ins!F:F,MATCH('001_population_health_zone_zs'!$B$2,[1]ratio_ins!$B:$B,0))*$G386*INDEX([1]ratio_ins!$C:$C,MATCH('001_population_health_zone_zs'!$B386,[1]ratio_ins!$B:$B,0))</f>
        <v>56187.710271000004</v>
      </c>
      <c r="I386" s="10">
        <f>INDEX([1]ratio_ins!G:G,MATCH('001_population_health_zone_zs'!$B$2,[1]ratio_ins!$B:$B,0))*$G386*INDEX([1]ratio_ins!$C:$C,MATCH('001_population_health_zone_zs'!$B386,[1]ratio_ins!$B:$B,0))</f>
        <v>45971.762949000011</v>
      </c>
      <c r="J386" s="10">
        <f>INDEX([1]ratio_ins!H:H,MATCH('001_population_health_zone_zs'!$B$2,[1]ratio_ins!$B:$B,0))*$G386*INDEX([1]ratio_ins!$C:$C,MATCH('001_population_health_zone_zs'!$B386,[1]ratio_ins!$B:$B,0))</f>
        <v>36293.497065000003</v>
      </c>
      <c r="K386" s="10">
        <f>INDEX([1]ratio_ins!I:I,MATCH('001_population_health_zone_zs'!$B$2,[1]ratio_ins!$B:$B,0))*$G386*INDEX([1]ratio_ins!$C:$C,MATCH('001_population_health_zone_zs'!$B386,[1]ratio_ins!$B:$B,0))</f>
        <v>22313.779677000002</v>
      </c>
      <c r="L386" s="10">
        <f>INDEX([1]ratio_ins!J:J,MATCH('001_population_health_zone_zs'!$B$2,[1]ratio_ins!$B:$B,0))*$G386*INDEX([1]ratio_ins!$C:$C,MATCH('001_population_health_zone_zs'!$B386,[1]ratio_ins!$B:$B,0))</f>
        <v>13388.267806200001</v>
      </c>
      <c r="M386" s="11">
        <f>INDEX([1]ratio_ins!K:K,MATCH('001_population_health_zone_zs'!$B$2,[1]ratio_ins!$B:$B,0))*$G386*INDEX([1]ratio_ins!$C:$C,MATCH('001_population_health_zone_zs'!$B386,[1]ratio_ins!$B:$B,0))</f>
        <v>151841.23809120001</v>
      </c>
      <c r="N386" s="10">
        <f>INDEX([1]ratio_ins!L:L,MATCH('001_population_health_zone_zs'!$B$2,[1]ratio_ins!$B:$B,0))*$G386*INDEX([1]ratio_ins!$C:$C,MATCH('001_population_health_zone_zs'!$B386,[1]ratio_ins!$B:$B,0))</f>
        <v>8925.5118708000009</v>
      </c>
      <c r="O386" s="10">
        <f>INDEX([1]ratio_ins!M:M,MATCH('001_population_health_zone_zs'!$B$2,[1]ratio_ins!$B:$B,0))*$G386*INDEX([1]ratio_ins!$C:$C,MATCH('001_population_health_zone_zs'!$B386,[1]ratio_ins!$B:$B,0))</f>
        <v>19356.531768000004</v>
      </c>
      <c r="P386" s="10">
        <f>INDEX([1]ratio_ins!N:N,MATCH('001_population_health_zone_zs'!$B$2,[1]ratio_ins!$B:$B,0))*$G386*INDEX([1]ratio_ins!$C:$C,MATCH('001_population_health_zone_zs'!$B386,[1]ratio_ins!$B:$B,0))</f>
        <v>17474.646735000006</v>
      </c>
      <c r="Q386" s="10">
        <f>INDEX([1]ratio_ins!O:O,MATCH('001_population_health_zone_zs'!$B$2,[1]ratio_ins!$B:$B,0))*$G386*INDEX([1]ratio_ins!$C:$C,MATCH('001_population_health_zone_zs'!$B386,[1]ratio_ins!$B:$B,0))</f>
        <v>15592.761702000002</v>
      </c>
      <c r="R386" s="10">
        <f>INDEX([1]ratio_ins!P:P,MATCH('001_population_health_zone_zs'!$B$2,[1]ratio_ins!$B:$B,0))*$G386*INDEX([1]ratio_ins!$C:$C,MATCH('001_population_health_zone_zs'!$B386,[1]ratio_ins!$B:$B,0))</f>
        <v>15323.920983000002</v>
      </c>
      <c r="S386" s="10">
        <f>INDEX([1]ratio_ins!Q:Q,MATCH('001_population_health_zone_zs'!$B$2,[1]ratio_ins!$B:$B,0))*$G386*INDEX([1]ratio_ins!$C:$C,MATCH('001_population_health_zone_zs'!$B386,[1]ratio_ins!$B:$B,0))</f>
        <v>12904.354512000002</v>
      </c>
      <c r="T386" s="10">
        <f>INDEX([1]ratio_ins!R:R,MATCH('001_population_health_zone_zs'!$B$2,[1]ratio_ins!$B:$B,0))*$G386*INDEX([1]ratio_ins!$C:$C,MATCH('001_population_health_zone_zs'!$B386,[1]ratio_ins!$B:$B,0))</f>
        <v>9140.5844460000008</v>
      </c>
      <c r="U386" s="10">
        <f>INDEX([1]ratio_ins!S:S,MATCH('001_population_health_zone_zs'!$B$2,[1]ratio_ins!$B:$B,0))*$G386*INDEX([1]ratio_ins!$C:$C,MATCH('001_population_health_zone_zs'!$B386,[1]ratio_ins!$B:$B,0))</f>
        <v>7258.6994130000021</v>
      </c>
      <c r="V386" s="10">
        <f>INDEX([1]ratio_ins!T:T,MATCH('001_population_health_zone_zs'!$B$2,[1]ratio_ins!$B:$B,0))*$G386*INDEX([1]ratio_ins!$C:$C,MATCH('001_population_health_zone_zs'!$B386,[1]ratio_ins!$B:$B,0))</f>
        <v>4032.6107850000003</v>
      </c>
      <c r="W386" s="11">
        <f>INDEX([1]ratio_ins!U:U,MATCH('001_population_health_zone_zs'!$B$2,[1]ratio_ins!$B:$B,0))*$G386*INDEX([1]ratio_ins!$C:$C,MATCH('001_population_health_zone_zs'!$B386,[1]ratio_ins!$B:$B,0))</f>
        <v>110009.62221480001</v>
      </c>
      <c r="X386" s="10">
        <f>INDEX([1]ratio_ins!V:V,MATCH('001_population_health_zone_zs'!$B$2,[1]ratio_ins!$B:$B,0))*$G386*INDEX([1]ratio_ins!$C:$C,MATCH('001_population_health_zone_zs'!$B386,[1]ratio_ins!$B:$B,0))</f>
        <v>3226.0886280000004</v>
      </c>
      <c r="Y386" s="10">
        <f>INDEX([1]ratio_ins!W:W,MATCH('001_population_health_zone_zs'!$B$2,[1]ratio_ins!$B:$B,0))*$G386*INDEX([1]ratio_ins!$C:$C,MATCH('001_population_health_zone_zs'!$B386,[1]ratio_ins!$B:$B,0))</f>
        <v>2150.7257520000003</v>
      </c>
      <c r="Z386" s="10">
        <f>INDEX([1]ratio_ins!X:X,MATCH('001_population_health_zone_zs'!$B$2,[1]ratio_ins!$B:$B,0))*$G386*INDEX([1]ratio_ins!$C:$C,MATCH('001_population_health_zone_zs'!$B386,[1]ratio_ins!$B:$B,0))</f>
        <v>1075.3628760000001</v>
      </c>
      <c r="AA386" s="10">
        <f>INDEX([1]ratio_ins!Y:Y,MATCH('001_population_health_zone_zs'!$B$2,[1]ratio_ins!$B:$B,0))*$G386*INDEX([1]ratio_ins!$C:$C,MATCH('001_population_health_zone_zs'!$B386,[1]ratio_ins!$B:$B,0))</f>
        <v>537.68143800000007</v>
      </c>
      <c r="AB386" s="11">
        <f>INDEX([1]ratio_ins!Z:Z,MATCH('001_population_health_zone_zs'!$B$2,[1]ratio_ins!$B:$B,0))*$G386*INDEX([1]ratio_ins!$C:$C,MATCH('001_population_health_zone_zs'!$B386,[1]ratio_ins!$B:$B,0))</f>
        <v>6989.8586940000014</v>
      </c>
      <c r="AC386" s="12">
        <f t="shared" si="30"/>
        <v>268840.71900000004</v>
      </c>
      <c r="AD386" s="10">
        <f>INDEX([1]ratio_ins!AA:AA,MATCH('001_population_health_zone_zs'!$B$2,[1]ratio_ins!$B:$B,0))*$G386*INDEX([1]ratio_ins!$D:$D,MATCH('001_population_health_zone_zs'!$B386,[1]ratio_ins!$B:$B,0))</f>
        <v>57138.119010000002</v>
      </c>
      <c r="AE386" s="10">
        <f>INDEX([1]ratio_ins!AB:AB,MATCH('001_population_health_zone_zs'!$B$2,[1]ratio_ins!$B:$B,0))*$G386*INDEX([1]ratio_ins!$D:$D,MATCH('001_population_health_zone_zs'!$B386,[1]ratio_ins!$B:$B,0))</f>
        <v>47070.926613000011</v>
      </c>
      <c r="AF386" s="10">
        <f>INDEX([1]ratio_ins!AC:AC,MATCH('001_population_health_zone_zs'!$B$2,[1]ratio_ins!$B:$B,0))*$G386*INDEX([1]ratio_ins!$D:$D,MATCH('001_population_health_zone_zs'!$B386,[1]ratio_ins!$B:$B,0))</f>
        <v>37275.820497000001</v>
      </c>
      <c r="AG386" s="10">
        <f>INDEX([1]ratio_ins!AD:AD,MATCH('001_population_health_zone_zs'!$B$2,[1]ratio_ins!$B:$B,0))*$G386*INDEX([1]ratio_ins!$D:$D,MATCH('001_population_health_zone_zs'!$B386,[1]ratio_ins!$B:$B,0))</f>
        <v>22583.161323</v>
      </c>
      <c r="AH386" s="10">
        <f>INDEX([1]ratio_ins!AE:AE,MATCH('001_population_health_zone_zs'!$B$2,[1]ratio_ins!$B:$B,0))*$G386*INDEX([1]ratio_ins!$D:$D,MATCH('001_population_health_zone_zs'!$B386,[1]ratio_ins!$B:$B,0))</f>
        <v>13549.896793800001</v>
      </c>
      <c r="AI386" s="13">
        <f>INDEX([1]ratio_ins!AF:AF,MATCH('001_population_health_zone_zs'!$B$2,[1]ratio_ins!$B:$B,0))*$G386*INDEX([1]ratio_ins!$D:$D,MATCH('001_population_health_zone_zs'!$B386,[1]ratio_ins!$B:$B,0))</f>
        <v>155034.76291379999</v>
      </c>
      <c r="AJ386" s="10">
        <f>INDEX([1]ratio_ins!AG:AG,MATCH('001_population_health_zone_zs'!$B$2,[1]ratio_ins!$B:$B,0))*$G386*INDEX([1]ratio_ins!$D:$D,MATCH('001_population_health_zone_zs'!$B386,[1]ratio_ins!$B:$B,0))</f>
        <v>9033.2645291999997</v>
      </c>
      <c r="AK386" s="10">
        <f>INDEX([1]ratio_ins!AH:AH,MATCH('001_population_health_zone_zs'!$B$2,[1]ratio_ins!$B:$B,0))*$G386*INDEX([1]ratio_ins!$D:$D,MATCH('001_population_health_zone_zs'!$B386,[1]ratio_ins!$B:$B,0))</f>
        <v>20134.384794000001</v>
      </c>
      <c r="AL386" s="10">
        <f>INDEX([1]ratio_ins!AI:AI,MATCH('001_population_health_zone_zs'!$B$2,[1]ratio_ins!$B:$B,0))*$G386*INDEX([1]ratio_ins!$D:$D,MATCH('001_population_health_zone_zs'!$B386,[1]ratio_ins!$B:$B,0))</f>
        <v>19046.039670000002</v>
      </c>
      <c r="AM386" s="10">
        <f>INDEX([1]ratio_ins!AJ:AJ,MATCH('001_population_health_zone_zs'!$B$2,[1]ratio_ins!$B:$B,0))*$G386*INDEX([1]ratio_ins!$D:$D,MATCH('001_population_health_zone_zs'!$B386,[1]ratio_ins!$B:$B,0))</f>
        <v>17413.521983999999</v>
      </c>
      <c r="AN386" s="10">
        <f>INDEX([1]ratio_ins!AK:AK,MATCH('001_population_health_zone_zs'!$B$2,[1]ratio_ins!$B:$B,0))*$G386*INDEX([1]ratio_ins!$D:$D,MATCH('001_population_health_zone_zs'!$B386,[1]ratio_ins!$B:$B,0))</f>
        <v>16325.17686</v>
      </c>
      <c r="AO386" s="10">
        <f>INDEX([1]ratio_ins!AL:AL,MATCH('001_population_health_zone_zs'!$B$2,[1]ratio_ins!$B:$B,0))*$G386*INDEX([1]ratio_ins!$D:$D,MATCH('001_population_health_zone_zs'!$B386,[1]ratio_ins!$B:$B,0))</f>
        <v>12243.882645</v>
      </c>
      <c r="AP386" s="10">
        <f>INDEX([1]ratio_ins!AM:AM,MATCH('001_population_health_zone_zs'!$B$2,[1]ratio_ins!$B:$B,0))*$G386*INDEX([1]ratio_ins!$D:$D,MATCH('001_population_health_zone_zs'!$B386,[1]ratio_ins!$B:$B,0))</f>
        <v>7890.5021489999999</v>
      </c>
      <c r="AQ386" s="10">
        <f>INDEX([1]ratio_ins!AN:AN,MATCH('001_population_health_zone_zs'!$B$2,[1]ratio_ins!$B:$B,0))*$G386*INDEX([1]ratio_ins!$D:$D,MATCH('001_population_health_zone_zs'!$B386,[1]ratio_ins!$B:$B,0))</f>
        <v>6257.9844629999998</v>
      </c>
      <c r="AR386" s="10">
        <f>INDEX([1]ratio_ins!AO:AO,MATCH('001_population_health_zone_zs'!$B$2,[1]ratio_ins!$B:$B,0))*$G386*INDEX([1]ratio_ins!$D:$D,MATCH('001_population_health_zone_zs'!$B386,[1]ratio_ins!$B:$B,0))</f>
        <v>2992.9490910000004</v>
      </c>
      <c r="AS386" s="13">
        <f>INDEX([1]ratio_ins!AP:AP,MATCH('001_population_health_zone_zs'!$B$2,[1]ratio_ins!$B:$B,0))*$G386*INDEX([1]ratio_ins!$D:$D,MATCH('001_population_health_zone_zs'!$B386,[1]ratio_ins!$B:$B,0))</f>
        <v>111337.7061852</v>
      </c>
      <c r="AT386" s="10">
        <f>INDEX([1]ratio_ins!AQ:AQ,MATCH('001_population_health_zone_zs'!$B$2,[1]ratio_ins!$B:$B,0))*$G386*INDEX([1]ratio_ins!$D:$D,MATCH('001_population_health_zone_zs'!$B386,[1]ratio_ins!$B:$B,0))</f>
        <v>2720.8628100000001</v>
      </c>
      <c r="AU386" s="10">
        <f>INDEX([1]ratio_ins!AR:AR,MATCH('001_population_health_zone_zs'!$B$2,[1]ratio_ins!$B:$B,0))*$G386*INDEX([1]ratio_ins!$D:$D,MATCH('001_population_health_zone_zs'!$B386,[1]ratio_ins!$B:$B,0))</f>
        <v>1632.5176859999999</v>
      </c>
      <c r="AV386" s="10">
        <f>INDEX([1]ratio_ins!AS:AS,MATCH('001_population_health_zone_zs'!$B$2,[1]ratio_ins!$B:$B,0))*$G386*INDEX([1]ratio_ins!$D:$D,MATCH('001_population_health_zone_zs'!$B386,[1]ratio_ins!$B:$B,0))</f>
        <v>816.25884299999996</v>
      </c>
      <c r="AW386" s="10">
        <f>INDEX([1]ratio_ins!AT:AT,MATCH('001_population_health_zone_zs'!$B$2,[1]ratio_ins!$B:$B,0))*$G386*INDEX([1]ratio_ins!$D:$D,MATCH('001_population_health_zone_zs'!$B386,[1]ratio_ins!$B:$B,0))</f>
        <v>544.17256199999997</v>
      </c>
      <c r="AX386" s="13">
        <f>INDEX([1]ratio_ins!AU:AU,MATCH('001_population_health_zone_zs'!$B$2,[1]ratio_ins!$B:$B,0))*$G386*INDEX([1]ratio_ins!$D:$D,MATCH('001_population_health_zone_zs'!$B386,[1]ratio_ins!$B:$B,0))</f>
        <v>5713.8119009999991</v>
      </c>
      <c r="AY386" s="14">
        <f t="shared" si="31"/>
        <v>272086.28099999996</v>
      </c>
      <c r="AZ386" s="15">
        <f t="shared" si="32"/>
        <v>540927</v>
      </c>
      <c r="BA386" s="16">
        <v>515082.33987992513</v>
      </c>
      <c r="BB386" s="10">
        <f t="shared" si="33"/>
        <v>115636.66942500003</v>
      </c>
      <c r="BC386" s="17">
        <f t="shared" si="34"/>
        <v>0.21377500000000005</v>
      </c>
      <c r="BD386" s="10">
        <f t="shared" si="35"/>
        <v>112106.57982300004</v>
      </c>
    </row>
    <row r="387" spans="1:56" x14ac:dyDescent="0.25">
      <c r="A387" s="8" t="s">
        <v>943</v>
      </c>
      <c r="B387" s="8" t="s">
        <v>944</v>
      </c>
      <c r="C387" s="8" t="s">
        <v>945</v>
      </c>
      <c r="D387" s="8" t="s">
        <v>946</v>
      </c>
      <c r="E387" s="8" t="s">
        <v>943</v>
      </c>
      <c r="F387" s="8" t="s">
        <v>949</v>
      </c>
      <c r="G387" s="9">
        <v>313153</v>
      </c>
      <c r="H387" s="10">
        <f>INDEX([1]ratio_ins!F:F,MATCH('001_population_health_zone_zs'!$B$2,[1]ratio_ins!$B:$B,0))*$G387*INDEX([1]ratio_ins!$C:$C,MATCH('001_population_health_zone_zs'!$B387,[1]ratio_ins!$B:$B,0))</f>
        <v>32528.141569000003</v>
      </c>
      <c r="I387" s="10">
        <f>INDEX([1]ratio_ins!G:G,MATCH('001_population_health_zone_zs'!$B$2,[1]ratio_ins!$B:$B,0))*$G387*INDEX([1]ratio_ins!$C:$C,MATCH('001_population_health_zone_zs'!$B387,[1]ratio_ins!$B:$B,0))</f>
        <v>26613.934011000005</v>
      </c>
      <c r="J387" s="10">
        <f>INDEX([1]ratio_ins!H:H,MATCH('001_population_health_zone_zs'!$B$2,[1]ratio_ins!$B:$B,0))*$G387*INDEX([1]ratio_ins!$C:$C,MATCH('001_population_health_zone_zs'!$B387,[1]ratio_ins!$B:$B,0))</f>
        <v>21011.000535000006</v>
      </c>
      <c r="K387" s="10">
        <f>INDEX([1]ratio_ins!I:I,MATCH('001_population_health_zone_zs'!$B$2,[1]ratio_ins!$B:$B,0))*$G387*INDEX([1]ratio_ins!$C:$C,MATCH('001_population_health_zone_zs'!$B387,[1]ratio_ins!$B:$B,0))</f>
        <v>12917.874403000002</v>
      </c>
      <c r="L387" s="10">
        <f>INDEX([1]ratio_ins!J:J,MATCH('001_population_health_zone_zs'!$B$2,[1]ratio_ins!$B:$B,0))*$G387*INDEX([1]ratio_ins!$C:$C,MATCH('001_population_health_zone_zs'!$B387,[1]ratio_ins!$B:$B,0))</f>
        <v>7750.7246418000004</v>
      </c>
      <c r="M387" s="11">
        <f>INDEX([1]ratio_ins!K:K,MATCH('001_population_health_zone_zs'!$B$2,[1]ratio_ins!$B:$B,0))*$G387*INDEX([1]ratio_ins!$C:$C,MATCH('001_population_health_zone_zs'!$B387,[1]ratio_ins!$B:$B,0))</f>
        <v>87903.800756800018</v>
      </c>
      <c r="N387" s="10">
        <f>INDEX([1]ratio_ins!L:L,MATCH('001_population_health_zone_zs'!$B$2,[1]ratio_ins!$B:$B,0))*$G387*INDEX([1]ratio_ins!$C:$C,MATCH('001_population_health_zone_zs'!$B387,[1]ratio_ins!$B:$B,0))</f>
        <v>5167.1497612000003</v>
      </c>
      <c r="O387" s="10">
        <f>INDEX([1]ratio_ins!M:M,MATCH('001_population_health_zone_zs'!$B$2,[1]ratio_ins!$B:$B,0))*$G387*INDEX([1]ratio_ins!$C:$C,MATCH('001_population_health_zone_zs'!$B387,[1]ratio_ins!$B:$B,0))</f>
        <v>11205.866952000002</v>
      </c>
      <c r="P387" s="10">
        <f>INDEX([1]ratio_ins!N:N,MATCH('001_population_health_zone_zs'!$B$2,[1]ratio_ins!$B:$B,0))*$G387*INDEX([1]ratio_ins!$C:$C,MATCH('001_population_health_zone_zs'!$B387,[1]ratio_ins!$B:$B,0))</f>
        <v>10116.407665000001</v>
      </c>
      <c r="Q387" s="10">
        <f>INDEX([1]ratio_ins!O:O,MATCH('001_population_health_zone_zs'!$B$2,[1]ratio_ins!$B:$B,0))*$G387*INDEX([1]ratio_ins!$C:$C,MATCH('001_population_health_zone_zs'!$B387,[1]ratio_ins!$B:$B,0))</f>
        <v>9026.948378000001</v>
      </c>
      <c r="R387" s="10">
        <f>INDEX([1]ratio_ins!P:P,MATCH('001_population_health_zone_zs'!$B$2,[1]ratio_ins!$B:$B,0))*$G387*INDEX([1]ratio_ins!$C:$C,MATCH('001_population_health_zone_zs'!$B387,[1]ratio_ins!$B:$B,0))</f>
        <v>8871.311337000001</v>
      </c>
      <c r="S387" s="10">
        <f>INDEX([1]ratio_ins!Q:Q,MATCH('001_population_health_zone_zs'!$B$2,[1]ratio_ins!$B:$B,0))*$G387*INDEX([1]ratio_ins!$C:$C,MATCH('001_population_health_zone_zs'!$B387,[1]ratio_ins!$B:$B,0))</f>
        <v>7470.5779680000014</v>
      </c>
      <c r="T387" s="10">
        <f>INDEX([1]ratio_ins!R:R,MATCH('001_population_health_zone_zs'!$B$2,[1]ratio_ins!$B:$B,0))*$G387*INDEX([1]ratio_ins!$C:$C,MATCH('001_population_health_zone_zs'!$B387,[1]ratio_ins!$B:$B,0))</f>
        <v>5291.6593940000012</v>
      </c>
      <c r="U387" s="10">
        <f>INDEX([1]ratio_ins!S:S,MATCH('001_population_health_zone_zs'!$B$2,[1]ratio_ins!$B:$B,0))*$G387*INDEX([1]ratio_ins!$C:$C,MATCH('001_population_health_zone_zs'!$B387,[1]ratio_ins!$B:$B,0))</f>
        <v>4202.2001070000015</v>
      </c>
      <c r="V387" s="10">
        <f>INDEX([1]ratio_ins!T:T,MATCH('001_population_health_zone_zs'!$B$2,[1]ratio_ins!$B:$B,0))*$G387*INDEX([1]ratio_ins!$C:$C,MATCH('001_population_health_zone_zs'!$B387,[1]ratio_ins!$B:$B,0))</f>
        <v>2334.5556150000002</v>
      </c>
      <c r="W387" s="11">
        <f>INDEX([1]ratio_ins!U:U,MATCH('001_population_health_zone_zs'!$B$2,[1]ratio_ins!$B:$B,0))*$G387*INDEX([1]ratio_ins!$C:$C,MATCH('001_population_health_zone_zs'!$B387,[1]ratio_ins!$B:$B,0))</f>
        <v>63686.677177200014</v>
      </c>
      <c r="X387" s="10">
        <f>INDEX([1]ratio_ins!V:V,MATCH('001_population_health_zone_zs'!$B$2,[1]ratio_ins!$B:$B,0))*$G387*INDEX([1]ratio_ins!$C:$C,MATCH('001_population_health_zone_zs'!$B387,[1]ratio_ins!$B:$B,0))</f>
        <v>1867.6444920000004</v>
      </c>
      <c r="Y387" s="10">
        <f>INDEX([1]ratio_ins!W:W,MATCH('001_population_health_zone_zs'!$B$2,[1]ratio_ins!$B:$B,0))*$G387*INDEX([1]ratio_ins!$C:$C,MATCH('001_population_health_zone_zs'!$B387,[1]ratio_ins!$B:$B,0))</f>
        <v>1245.0963280000003</v>
      </c>
      <c r="Z387" s="10">
        <f>INDEX([1]ratio_ins!X:X,MATCH('001_population_health_zone_zs'!$B$2,[1]ratio_ins!$B:$B,0))*$G387*INDEX([1]ratio_ins!$C:$C,MATCH('001_population_health_zone_zs'!$B387,[1]ratio_ins!$B:$B,0))</f>
        <v>622.54816400000016</v>
      </c>
      <c r="AA387" s="10">
        <f>INDEX([1]ratio_ins!Y:Y,MATCH('001_population_health_zone_zs'!$B$2,[1]ratio_ins!$B:$B,0))*$G387*INDEX([1]ratio_ins!$C:$C,MATCH('001_population_health_zone_zs'!$B387,[1]ratio_ins!$B:$B,0))</f>
        <v>311.27408200000008</v>
      </c>
      <c r="AB387" s="11">
        <f>INDEX([1]ratio_ins!Z:Z,MATCH('001_population_health_zone_zs'!$B$2,[1]ratio_ins!$B:$B,0))*$G387*INDEX([1]ratio_ins!$C:$C,MATCH('001_population_health_zone_zs'!$B387,[1]ratio_ins!$B:$B,0))</f>
        <v>4046.5630660000011</v>
      </c>
      <c r="AC387" s="12">
        <f t="shared" ref="AC387:AC450" si="36">M387+W387+AB387</f>
        <v>155637.04100000003</v>
      </c>
      <c r="AD387" s="10">
        <f>INDEX([1]ratio_ins!AA:AA,MATCH('001_population_health_zone_zs'!$B$2,[1]ratio_ins!$B:$B,0))*$G387*INDEX([1]ratio_ins!$D:$D,MATCH('001_population_health_zone_zs'!$B387,[1]ratio_ins!$B:$B,0))</f>
        <v>33078.351390000003</v>
      </c>
      <c r="AE387" s="10">
        <f>INDEX([1]ratio_ins!AB:AB,MATCH('001_population_health_zone_zs'!$B$2,[1]ratio_ins!$B:$B,0))*$G387*INDEX([1]ratio_ins!$D:$D,MATCH('001_population_health_zone_zs'!$B387,[1]ratio_ins!$B:$B,0))</f>
        <v>27250.260907000003</v>
      </c>
      <c r="AF387" s="10">
        <f>INDEX([1]ratio_ins!AC:AC,MATCH('001_population_health_zone_zs'!$B$2,[1]ratio_ins!$B:$B,0))*$G387*INDEX([1]ratio_ins!$D:$D,MATCH('001_population_health_zone_zs'!$B387,[1]ratio_ins!$B:$B,0))</f>
        <v>21579.686382999997</v>
      </c>
      <c r="AG387" s="10">
        <f>INDEX([1]ratio_ins!AD:AD,MATCH('001_population_health_zone_zs'!$B$2,[1]ratio_ins!$B:$B,0))*$G387*INDEX([1]ratio_ins!$D:$D,MATCH('001_population_health_zone_zs'!$B387,[1]ratio_ins!$B:$B,0))</f>
        <v>13073.824597000001</v>
      </c>
      <c r="AH387" s="10">
        <f>INDEX([1]ratio_ins!AE:AE,MATCH('001_population_health_zone_zs'!$B$2,[1]ratio_ins!$B:$B,0))*$G387*INDEX([1]ratio_ins!$D:$D,MATCH('001_population_health_zone_zs'!$B387,[1]ratio_ins!$B:$B,0))</f>
        <v>7844.2947581999997</v>
      </c>
      <c r="AI387" s="13">
        <f>INDEX([1]ratio_ins!AF:AF,MATCH('001_population_health_zone_zs'!$B$2,[1]ratio_ins!$B:$B,0))*$G387*INDEX([1]ratio_ins!$D:$D,MATCH('001_population_health_zone_zs'!$B387,[1]ratio_ins!$B:$B,0))</f>
        <v>89752.593438199998</v>
      </c>
      <c r="AJ387" s="10">
        <f>INDEX([1]ratio_ins!AG:AG,MATCH('001_population_health_zone_zs'!$B$2,[1]ratio_ins!$B:$B,0))*$G387*INDEX([1]ratio_ins!$D:$D,MATCH('001_population_health_zone_zs'!$B387,[1]ratio_ins!$B:$B,0))</f>
        <v>5229.5298388000001</v>
      </c>
      <c r="AK387" s="10">
        <f>INDEX([1]ratio_ins!AH:AH,MATCH('001_population_health_zone_zs'!$B$2,[1]ratio_ins!$B:$B,0))*$G387*INDEX([1]ratio_ins!$D:$D,MATCH('001_population_health_zone_zs'!$B387,[1]ratio_ins!$B:$B,0))</f>
        <v>11656.180966000002</v>
      </c>
      <c r="AL387" s="10">
        <f>INDEX([1]ratio_ins!AI:AI,MATCH('001_population_health_zone_zs'!$B$2,[1]ratio_ins!$B:$B,0))*$G387*INDEX([1]ratio_ins!$D:$D,MATCH('001_population_health_zone_zs'!$B387,[1]ratio_ins!$B:$B,0))</f>
        <v>11026.117130000001</v>
      </c>
      <c r="AM387" s="10">
        <f>INDEX([1]ratio_ins!AJ:AJ,MATCH('001_population_health_zone_zs'!$B$2,[1]ratio_ins!$B:$B,0))*$G387*INDEX([1]ratio_ins!$D:$D,MATCH('001_population_health_zone_zs'!$B387,[1]ratio_ins!$B:$B,0))</f>
        <v>10081.021376000001</v>
      </c>
      <c r="AN387" s="10">
        <f>INDEX([1]ratio_ins!AK:AK,MATCH('001_population_health_zone_zs'!$B$2,[1]ratio_ins!$B:$B,0))*$G387*INDEX([1]ratio_ins!$D:$D,MATCH('001_population_health_zone_zs'!$B387,[1]ratio_ins!$B:$B,0))</f>
        <v>9450.9575399999994</v>
      </c>
      <c r="AO387" s="10">
        <f>INDEX([1]ratio_ins!AL:AL,MATCH('001_population_health_zone_zs'!$B$2,[1]ratio_ins!$B:$B,0))*$G387*INDEX([1]ratio_ins!$D:$D,MATCH('001_population_health_zone_zs'!$B387,[1]ratio_ins!$B:$B,0))</f>
        <v>7088.2181550000005</v>
      </c>
      <c r="AP387" s="10">
        <f>INDEX([1]ratio_ins!AM:AM,MATCH('001_population_health_zone_zs'!$B$2,[1]ratio_ins!$B:$B,0))*$G387*INDEX([1]ratio_ins!$D:$D,MATCH('001_population_health_zone_zs'!$B387,[1]ratio_ins!$B:$B,0))</f>
        <v>4567.9628110000003</v>
      </c>
      <c r="AQ387" s="10">
        <f>INDEX([1]ratio_ins!AN:AN,MATCH('001_population_health_zone_zs'!$B$2,[1]ratio_ins!$B:$B,0))*$G387*INDEX([1]ratio_ins!$D:$D,MATCH('001_population_health_zone_zs'!$B387,[1]ratio_ins!$B:$B,0))</f>
        <v>3622.8670569999999</v>
      </c>
      <c r="AR387" s="10">
        <f>INDEX([1]ratio_ins!AO:AO,MATCH('001_population_health_zone_zs'!$B$2,[1]ratio_ins!$B:$B,0))*$G387*INDEX([1]ratio_ins!$D:$D,MATCH('001_population_health_zone_zs'!$B387,[1]ratio_ins!$B:$B,0))</f>
        <v>1732.6755490000003</v>
      </c>
      <c r="AS387" s="13">
        <f>INDEX([1]ratio_ins!AP:AP,MATCH('001_population_health_zone_zs'!$B$2,[1]ratio_ins!$B:$B,0))*$G387*INDEX([1]ratio_ins!$D:$D,MATCH('001_population_health_zone_zs'!$B387,[1]ratio_ins!$B:$B,0))</f>
        <v>64455.530422800002</v>
      </c>
      <c r="AT387" s="10">
        <f>INDEX([1]ratio_ins!AQ:AQ,MATCH('001_population_health_zone_zs'!$B$2,[1]ratio_ins!$B:$B,0))*$G387*INDEX([1]ratio_ins!$D:$D,MATCH('001_population_health_zone_zs'!$B387,[1]ratio_ins!$B:$B,0))</f>
        <v>1575.1595900000002</v>
      </c>
      <c r="AU387" s="10">
        <f>INDEX([1]ratio_ins!AR:AR,MATCH('001_population_health_zone_zs'!$B$2,[1]ratio_ins!$B:$B,0))*$G387*INDEX([1]ratio_ins!$D:$D,MATCH('001_population_health_zone_zs'!$B387,[1]ratio_ins!$B:$B,0))</f>
        <v>945.09575400000006</v>
      </c>
      <c r="AV387" s="10">
        <f>INDEX([1]ratio_ins!AS:AS,MATCH('001_population_health_zone_zs'!$B$2,[1]ratio_ins!$B:$B,0))*$G387*INDEX([1]ratio_ins!$D:$D,MATCH('001_population_health_zone_zs'!$B387,[1]ratio_ins!$B:$B,0))</f>
        <v>472.54787700000003</v>
      </c>
      <c r="AW387" s="10">
        <f>INDEX([1]ratio_ins!AT:AT,MATCH('001_population_health_zone_zs'!$B$2,[1]ratio_ins!$B:$B,0))*$G387*INDEX([1]ratio_ins!$D:$D,MATCH('001_population_health_zone_zs'!$B387,[1]ratio_ins!$B:$B,0))</f>
        <v>315.03191800000002</v>
      </c>
      <c r="AX387" s="13">
        <f>INDEX([1]ratio_ins!AU:AU,MATCH('001_population_health_zone_zs'!$B$2,[1]ratio_ins!$B:$B,0))*$G387*INDEX([1]ratio_ins!$D:$D,MATCH('001_population_health_zone_zs'!$B387,[1]ratio_ins!$B:$B,0))</f>
        <v>3307.8351389999998</v>
      </c>
      <c r="AY387" s="14">
        <f t="shared" ref="AY387:AY450" si="37">AI387+AS387+AX387</f>
        <v>157515.959</v>
      </c>
      <c r="AZ387" s="15">
        <f t="shared" ref="AZ387:AZ450" si="38">AC387+AY387</f>
        <v>313153</v>
      </c>
      <c r="BA387" s="16">
        <v>298190.87948186707</v>
      </c>
      <c r="BB387" s="10">
        <f t="shared" ref="BB387:BB450" si="39">SUM(AH387,AJ387,AK387:AP387)</f>
        <v>66944.282575000005</v>
      </c>
      <c r="BC387" s="17">
        <f t="shared" ref="BC387:BC450" si="40">BB387/G387</f>
        <v>0.21377500000000002</v>
      </c>
      <c r="BD387" s="10">
        <f t="shared" ref="BD387:BD450" si="41">SUM(L387,N387:T387)</f>
        <v>64900.646097000004</v>
      </c>
    </row>
    <row r="388" spans="1:56" x14ac:dyDescent="0.25">
      <c r="A388" s="8" t="s">
        <v>943</v>
      </c>
      <c r="B388" s="8" t="s">
        <v>944</v>
      </c>
      <c r="C388" s="8" t="s">
        <v>945</v>
      </c>
      <c r="D388" s="8" t="s">
        <v>946</v>
      </c>
      <c r="E388" s="8" t="s">
        <v>945</v>
      </c>
      <c r="F388" s="8" t="s">
        <v>950</v>
      </c>
      <c r="G388" s="9">
        <v>137943</v>
      </c>
      <c r="H388" s="10">
        <f>INDEX([1]ratio_ins!F:F,MATCH('001_population_health_zone_zs'!$B$2,[1]ratio_ins!$B:$B,0))*$G388*INDEX([1]ratio_ins!$C:$C,MATCH('001_population_health_zone_zs'!$B388,[1]ratio_ins!$B:$B,0))</f>
        <v>14328.553239000001</v>
      </c>
      <c r="I388" s="10">
        <f>INDEX([1]ratio_ins!G:G,MATCH('001_population_health_zone_zs'!$B$2,[1]ratio_ins!$B:$B,0))*$G388*INDEX([1]ratio_ins!$C:$C,MATCH('001_population_health_zone_zs'!$B388,[1]ratio_ins!$B:$B,0))</f>
        <v>11723.361741000002</v>
      </c>
      <c r="J388" s="10">
        <f>INDEX([1]ratio_ins!H:H,MATCH('001_population_health_zone_zs'!$B$2,[1]ratio_ins!$B:$B,0))*$G388*INDEX([1]ratio_ins!$C:$C,MATCH('001_population_health_zone_zs'!$B388,[1]ratio_ins!$B:$B,0))</f>
        <v>9255.2855850000014</v>
      </c>
      <c r="K388" s="10">
        <f>INDEX([1]ratio_ins!I:I,MATCH('001_population_health_zone_zs'!$B$2,[1]ratio_ins!$B:$B,0))*$G388*INDEX([1]ratio_ins!$C:$C,MATCH('001_population_health_zone_zs'!$B388,[1]ratio_ins!$B:$B,0))</f>
        <v>5690.2866930000009</v>
      </c>
      <c r="L388" s="10">
        <f>INDEX([1]ratio_ins!J:J,MATCH('001_population_health_zone_zs'!$B$2,[1]ratio_ins!$B:$B,0))*$G388*INDEX([1]ratio_ins!$C:$C,MATCH('001_population_health_zone_zs'!$B388,[1]ratio_ins!$B:$B,0))</f>
        <v>3414.1720158000003</v>
      </c>
      <c r="M388" s="11">
        <f>INDEX([1]ratio_ins!K:K,MATCH('001_population_health_zone_zs'!$B$2,[1]ratio_ins!$B:$B,0))*$G388*INDEX([1]ratio_ins!$C:$C,MATCH('001_population_health_zone_zs'!$B388,[1]ratio_ins!$B:$B,0))</f>
        <v>38721.372580800002</v>
      </c>
      <c r="N388" s="10">
        <f>INDEX([1]ratio_ins!L:L,MATCH('001_population_health_zone_zs'!$B$2,[1]ratio_ins!$B:$B,0))*$G388*INDEX([1]ratio_ins!$C:$C,MATCH('001_population_health_zone_zs'!$B388,[1]ratio_ins!$B:$B,0))</f>
        <v>2276.1146772000002</v>
      </c>
      <c r="O388" s="10">
        <f>INDEX([1]ratio_ins!M:M,MATCH('001_population_health_zone_zs'!$B$2,[1]ratio_ins!$B:$B,0))*$G388*INDEX([1]ratio_ins!$C:$C,MATCH('001_population_health_zone_zs'!$B388,[1]ratio_ins!$B:$B,0))</f>
        <v>4936.1523120000011</v>
      </c>
      <c r="P388" s="10">
        <f>INDEX([1]ratio_ins!N:N,MATCH('001_population_health_zone_zs'!$B$2,[1]ratio_ins!$B:$B,0))*$G388*INDEX([1]ratio_ins!$C:$C,MATCH('001_population_health_zone_zs'!$B388,[1]ratio_ins!$B:$B,0))</f>
        <v>4456.2486150000004</v>
      </c>
      <c r="Q388" s="10">
        <f>INDEX([1]ratio_ins!O:O,MATCH('001_population_health_zone_zs'!$B$2,[1]ratio_ins!$B:$B,0))*$G388*INDEX([1]ratio_ins!$C:$C,MATCH('001_population_health_zone_zs'!$B388,[1]ratio_ins!$B:$B,0))</f>
        <v>3976.3449180000002</v>
      </c>
      <c r="R388" s="10">
        <f>INDEX([1]ratio_ins!P:P,MATCH('001_population_health_zone_zs'!$B$2,[1]ratio_ins!$B:$B,0))*$G388*INDEX([1]ratio_ins!$C:$C,MATCH('001_population_health_zone_zs'!$B388,[1]ratio_ins!$B:$B,0))</f>
        <v>3907.7872470000007</v>
      </c>
      <c r="S388" s="10">
        <f>INDEX([1]ratio_ins!Q:Q,MATCH('001_population_health_zone_zs'!$B$2,[1]ratio_ins!$B:$B,0))*$G388*INDEX([1]ratio_ins!$C:$C,MATCH('001_population_health_zone_zs'!$B388,[1]ratio_ins!$B:$B,0))</f>
        <v>3290.7682080000004</v>
      </c>
      <c r="T388" s="10">
        <f>INDEX([1]ratio_ins!R:R,MATCH('001_population_health_zone_zs'!$B$2,[1]ratio_ins!$B:$B,0))*$G388*INDEX([1]ratio_ins!$C:$C,MATCH('001_population_health_zone_zs'!$B388,[1]ratio_ins!$B:$B,0))</f>
        <v>2330.960814</v>
      </c>
      <c r="U388" s="10">
        <f>INDEX([1]ratio_ins!S:S,MATCH('001_population_health_zone_zs'!$B$2,[1]ratio_ins!$B:$B,0))*$G388*INDEX([1]ratio_ins!$C:$C,MATCH('001_population_health_zone_zs'!$B388,[1]ratio_ins!$B:$B,0))</f>
        <v>1851.0571170000003</v>
      </c>
      <c r="V388" s="10">
        <f>INDEX([1]ratio_ins!T:T,MATCH('001_population_health_zone_zs'!$B$2,[1]ratio_ins!$B:$B,0))*$G388*INDEX([1]ratio_ins!$C:$C,MATCH('001_population_health_zone_zs'!$B388,[1]ratio_ins!$B:$B,0))</f>
        <v>1028.3650650000002</v>
      </c>
      <c r="W388" s="11">
        <f>INDEX([1]ratio_ins!U:U,MATCH('001_population_health_zone_zs'!$B$2,[1]ratio_ins!$B:$B,0))*$G388*INDEX([1]ratio_ins!$C:$C,MATCH('001_population_health_zone_zs'!$B388,[1]ratio_ins!$B:$B,0))</f>
        <v>28053.798973200002</v>
      </c>
      <c r="X388" s="10">
        <f>INDEX([1]ratio_ins!V:V,MATCH('001_population_health_zone_zs'!$B$2,[1]ratio_ins!$B:$B,0))*$G388*INDEX([1]ratio_ins!$C:$C,MATCH('001_population_health_zone_zs'!$B388,[1]ratio_ins!$B:$B,0))</f>
        <v>822.6920520000001</v>
      </c>
      <c r="Y388" s="10">
        <f>INDEX([1]ratio_ins!W:W,MATCH('001_population_health_zone_zs'!$B$2,[1]ratio_ins!$B:$B,0))*$G388*INDEX([1]ratio_ins!$C:$C,MATCH('001_population_health_zone_zs'!$B388,[1]ratio_ins!$B:$B,0))</f>
        <v>548.46136800000011</v>
      </c>
      <c r="Z388" s="10">
        <f>INDEX([1]ratio_ins!X:X,MATCH('001_population_health_zone_zs'!$B$2,[1]ratio_ins!$B:$B,0))*$G388*INDEX([1]ratio_ins!$C:$C,MATCH('001_population_health_zone_zs'!$B388,[1]ratio_ins!$B:$B,0))</f>
        <v>274.23068400000005</v>
      </c>
      <c r="AA388" s="10">
        <f>INDEX([1]ratio_ins!Y:Y,MATCH('001_population_health_zone_zs'!$B$2,[1]ratio_ins!$B:$B,0))*$G388*INDEX([1]ratio_ins!$C:$C,MATCH('001_population_health_zone_zs'!$B388,[1]ratio_ins!$B:$B,0))</f>
        <v>137.11534200000003</v>
      </c>
      <c r="AB388" s="11">
        <f>INDEX([1]ratio_ins!Z:Z,MATCH('001_population_health_zone_zs'!$B$2,[1]ratio_ins!$B:$B,0))*$G388*INDEX([1]ratio_ins!$C:$C,MATCH('001_population_health_zone_zs'!$B388,[1]ratio_ins!$B:$B,0))</f>
        <v>1782.4994460000005</v>
      </c>
      <c r="AC388" s="12">
        <f t="shared" si="36"/>
        <v>68557.671000000002</v>
      </c>
      <c r="AD388" s="10">
        <f>INDEX([1]ratio_ins!AA:AA,MATCH('001_population_health_zone_zs'!$B$2,[1]ratio_ins!$B:$B,0))*$G388*INDEX([1]ratio_ins!$D:$D,MATCH('001_population_health_zone_zs'!$B388,[1]ratio_ins!$B:$B,0))</f>
        <v>14570.919089999999</v>
      </c>
      <c r="AE388" s="10">
        <f>INDEX([1]ratio_ins!AB:AB,MATCH('001_population_health_zone_zs'!$B$2,[1]ratio_ins!$B:$B,0))*$G388*INDEX([1]ratio_ins!$D:$D,MATCH('001_population_health_zone_zs'!$B388,[1]ratio_ins!$B:$B,0))</f>
        <v>12003.661917000001</v>
      </c>
      <c r="AF388" s="10">
        <f>INDEX([1]ratio_ins!AC:AC,MATCH('001_population_health_zone_zs'!$B$2,[1]ratio_ins!$B:$B,0))*$G388*INDEX([1]ratio_ins!$D:$D,MATCH('001_population_health_zone_zs'!$B388,[1]ratio_ins!$B:$B,0))</f>
        <v>9505.7900730000001</v>
      </c>
      <c r="AG388" s="10">
        <f>INDEX([1]ratio_ins!AD:AD,MATCH('001_population_health_zone_zs'!$B$2,[1]ratio_ins!$B:$B,0))*$G388*INDEX([1]ratio_ins!$D:$D,MATCH('001_population_health_zone_zs'!$B388,[1]ratio_ins!$B:$B,0))</f>
        <v>5758.9823070000002</v>
      </c>
      <c r="AH388" s="10">
        <f>INDEX([1]ratio_ins!AE:AE,MATCH('001_population_health_zone_zs'!$B$2,[1]ratio_ins!$B:$B,0))*$G388*INDEX([1]ratio_ins!$D:$D,MATCH('001_population_health_zone_zs'!$B388,[1]ratio_ins!$B:$B,0))</f>
        <v>3455.3893841999998</v>
      </c>
      <c r="AI388" s="13">
        <f>INDEX([1]ratio_ins!AF:AF,MATCH('001_population_health_zone_zs'!$B$2,[1]ratio_ins!$B:$B,0))*$G388*INDEX([1]ratio_ins!$D:$D,MATCH('001_population_health_zone_zs'!$B388,[1]ratio_ins!$B:$B,0))</f>
        <v>39535.760464199993</v>
      </c>
      <c r="AJ388" s="10">
        <f>INDEX([1]ratio_ins!AG:AG,MATCH('001_population_health_zone_zs'!$B$2,[1]ratio_ins!$B:$B,0))*$G388*INDEX([1]ratio_ins!$D:$D,MATCH('001_population_health_zone_zs'!$B388,[1]ratio_ins!$B:$B,0))</f>
        <v>2303.5929228</v>
      </c>
      <c r="AK388" s="10">
        <f>INDEX([1]ratio_ins!AH:AH,MATCH('001_population_health_zone_zs'!$B$2,[1]ratio_ins!$B:$B,0))*$G388*INDEX([1]ratio_ins!$D:$D,MATCH('001_population_health_zone_zs'!$B388,[1]ratio_ins!$B:$B,0))</f>
        <v>5134.5143460000008</v>
      </c>
      <c r="AL388" s="10">
        <f>INDEX([1]ratio_ins!AI:AI,MATCH('001_population_health_zone_zs'!$B$2,[1]ratio_ins!$B:$B,0))*$G388*INDEX([1]ratio_ins!$D:$D,MATCH('001_population_health_zone_zs'!$B388,[1]ratio_ins!$B:$B,0))</f>
        <v>4856.9730300000001</v>
      </c>
      <c r="AM388" s="10">
        <f>INDEX([1]ratio_ins!AJ:AJ,MATCH('001_population_health_zone_zs'!$B$2,[1]ratio_ins!$B:$B,0))*$G388*INDEX([1]ratio_ins!$D:$D,MATCH('001_population_health_zone_zs'!$B388,[1]ratio_ins!$B:$B,0))</f>
        <v>4440.6610560000008</v>
      </c>
      <c r="AN388" s="10">
        <f>INDEX([1]ratio_ins!AK:AK,MATCH('001_population_health_zone_zs'!$B$2,[1]ratio_ins!$B:$B,0))*$G388*INDEX([1]ratio_ins!$D:$D,MATCH('001_population_health_zone_zs'!$B388,[1]ratio_ins!$B:$B,0))</f>
        <v>4163.1197400000001</v>
      </c>
      <c r="AO388" s="10">
        <f>INDEX([1]ratio_ins!AL:AL,MATCH('001_population_health_zone_zs'!$B$2,[1]ratio_ins!$B:$B,0))*$G388*INDEX([1]ratio_ins!$D:$D,MATCH('001_population_health_zone_zs'!$B388,[1]ratio_ins!$B:$B,0))</f>
        <v>3122.3398049999996</v>
      </c>
      <c r="AP388" s="10">
        <f>INDEX([1]ratio_ins!AM:AM,MATCH('001_population_health_zone_zs'!$B$2,[1]ratio_ins!$B:$B,0))*$G388*INDEX([1]ratio_ins!$D:$D,MATCH('001_population_health_zone_zs'!$B388,[1]ratio_ins!$B:$B,0))</f>
        <v>2012.1745409999999</v>
      </c>
      <c r="AQ388" s="10">
        <f>INDEX([1]ratio_ins!AN:AN,MATCH('001_population_health_zone_zs'!$B$2,[1]ratio_ins!$B:$B,0))*$G388*INDEX([1]ratio_ins!$D:$D,MATCH('001_population_health_zone_zs'!$B388,[1]ratio_ins!$B:$B,0))</f>
        <v>1595.8625669999999</v>
      </c>
      <c r="AR388" s="10">
        <f>INDEX([1]ratio_ins!AO:AO,MATCH('001_population_health_zone_zs'!$B$2,[1]ratio_ins!$B:$B,0))*$G388*INDEX([1]ratio_ins!$D:$D,MATCH('001_population_health_zone_zs'!$B388,[1]ratio_ins!$B:$B,0))</f>
        <v>763.23861899999997</v>
      </c>
      <c r="AS388" s="13">
        <f>INDEX([1]ratio_ins!AP:AP,MATCH('001_population_health_zone_zs'!$B$2,[1]ratio_ins!$B:$B,0))*$G388*INDEX([1]ratio_ins!$D:$D,MATCH('001_population_health_zone_zs'!$B388,[1]ratio_ins!$B:$B,0))</f>
        <v>28392.476626800002</v>
      </c>
      <c r="AT388" s="10">
        <f>INDEX([1]ratio_ins!AQ:AQ,MATCH('001_population_health_zone_zs'!$B$2,[1]ratio_ins!$B:$B,0))*$G388*INDEX([1]ratio_ins!$D:$D,MATCH('001_population_health_zone_zs'!$B388,[1]ratio_ins!$B:$B,0))</f>
        <v>693.85329000000002</v>
      </c>
      <c r="AU388" s="10">
        <f>INDEX([1]ratio_ins!AR:AR,MATCH('001_population_health_zone_zs'!$B$2,[1]ratio_ins!$B:$B,0))*$G388*INDEX([1]ratio_ins!$D:$D,MATCH('001_population_health_zone_zs'!$B388,[1]ratio_ins!$B:$B,0))</f>
        <v>416.31197400000002</v>
      </c>
      <c r="AV388" s="10">
        <f>INDEX([1]ratio_ins!AS:AS,MATCH('001_population_health_zone_zs'!$B$2,[1]ratio_ins!$B:$B,0))*$G388*INDEX([1]ratio_ins!$D:$D,MATCH('001_population_health_zone_zs'!$B388,[1]ratio_ins!$B:$B,0))</f>
        <v>208.15598700000001</v>
      </c>
      <c r="AW388" s="10">
        <f>INDEX([1]ratio_ins!AT:AT,MATCH('001_population_health_zone_zs'!$B$2,[1]ratio_ins!$B:$B,0))*$G388*INDEX([1]ratio_ins!$D:$D,MATCH('001_population_health_zone_zs'!$B388,[1]ratio_ins!$B:$B,0))</f>
        <v>138.77065800000003</v>
      </c>
      <c r="AX388" s="13">
        <f>INDEX([1]ratio_ins!AU:AU,MATCH('001_population_health_zone_zs'!$B$2,[1]ratio_ins!$B:$B,0))*$G388*INDEX([1]ratio_ins!$D:$D,MATCH('001_population_health_zone_zs'!$B388,[1]ratio_ins!$B:$B,0))</f>
        <v>1457.091909</v>
      </c>
      <c r="AY388" s="14">
        <f t="shared" si="37"/>
        <v>69385.328999999983</v>
      </c>
      <c r="AZ388" s="15">
        <f t="shared" si="38"/>
        <v>137943</v>
      </c>
      <c r="BA388" s="16">
        <v>131351.95838706515</v>
      </c>
      <c r="BB388" s="10">
        <f t="shared" si="39"/>
        <v>29488.764825000002</v>
      </c>
      <c r="BC388" s="17">
        <f t="shared" si="40"/>
        <v>0.21377500000000002</v>
      </c>
      <c r="BD388" s="10">
        <f t="shared" si="41"/>
        <v>28588.548806999999</v>
      </c>
    </row>
    <row r="389" spans="1:56" x14ac:dyDescent="0.25">
      <c r="A389" s="8" t="s">
        <v>943</v>
      </c>
      <c r="B389" s="8" t="s">
        <v>944</v>
      </c>
      <c r="C389" s="8" t="s">
        <v>951</v>
      </c>
      <c r="D389" s="8" t="s">
        <v>952</v>
      </c>
      <c r="E389" s="8" t="s">
        <v>953</v>
      </c>
      <c r="F389" s="8" t="s">
        <v>954</v>
      </c>
      <c r="G389" s="9">
        <v>98508</v>
      </c>
      <c r="H389" s="10">
        <f>INDEX([1]ratio_ins!F:F,MATCH('001_population_health_zone_zs'!$B$2,[1]ratio_ins!$B:$B,0))*$G389*INDEX([1]ratio_ins!$C:$C,MATCH('001_population_health_zone_zs'!$B389,[1]ratio_ins!$B:$B,0))</f>
        <v>10232.321484</v>
      </c>
      <c r="I389" s="10">
        <f>INDEX([1]ratio_ins!G:G,MATCH('001_population_health_zone_zs'!$B$2,[1]ratio_ins!$B:$B,0))*$G389*INDEX([1]ratio_ins!$C:$C,MATCH('001_population_health_zone_zs'!$B389,[1]ratio_ins!$B:$B,0))</f>
        <v>8371.8993960000025</v>
      </c>
      <c r="J389" s="10">
        <f>INDEX([1]ratio_ins!H:H,MATCH('001_population_health_zone_zs'!$B$2,[1]ratio_ins!$B:$B,0))*$G389*INDEX([1]ratio_ins!$C:$C,MATCH('001_population_health_zone_zs'!$B389,[1]ratio_ins!$B:$B,0))</f>
        <v>6609.3942600000019</v>
      </c>
      <c r="K389" s="10">
        <f>INDEX([1]ratio_ins!I:I,MATCH('001_population_health_zone_zs'!$B$2,[1]ratio_ins!$B:$B,0))*$G389*INDEX([1]ratio_ins!$C:$C,MATCH('001_population_health_zone_zs'!$B389,[1]ratio_ins!$B:$B,0))</f>
        <v>4063.5535080000009</v>
      </c>
      <c r="L389" s="10">
        <f>INDEX([1]ratio_ins!J:J,MATCH('001_population_health_zone_zs'!$B$2,[1]ratio_ins!$B:$B,0))*$G389*INDEX([1]ratio_ins!$C:$C,MATCH('001_population_health_zone_zs'!$B389,[1]ratio_ins!$B:$B,0))</f>
        <v>2438.1321048</v>
      </c>
      <c r="M389" s="11">
        <f>INDEX([1]ratio_ins!K:K,MATCH('001_population_health_zone_zs'!$B$2,[1]ratio_ins!$B:$B,0))*$G389*INDEX([1]ratio_ins!$C:$C,MATCH('001_population_health_zone_zs'!$B389,[1]ratio_ins!$B:$B,0))</f>
        <v>27651.747244800001</v>
      </c>
      <c r="N389" s="10">
        <f>INDEX([1]ratio_ins!L:L,MATCH('001_population_health_zone_zs'!$B$2,[1]ratio_ins!$B:$B,0))*$G389*INDEX([1]ratio_ins!$C:$C,MATCH('001_population_health_zone_zs'!$B389,[1]ratio_ins!$B:$B,0))</f>
        <v>1625.4214032000002</v>
      </c>
      <c r="O389" s="10">
        <f>INDEX([1]ratio_ins!M:M,MATCH('001_population_health_zone_zs'!$B$2,[1]ratio_ins!$B:$B,0))*$G389*INDEX([1]ratio_ins!$C:$C,MATCH('001_population_health_zone_zs'!$B389,[1]ratio_ins!$B:$B,0))</f>
        <v>3525.0102720000009</v>
      </c>
      <c r="P389" s="10">
        <f>INDEX([1]ratio_ins!N:N,MATCH('001_population_health_zone_zs'!$B$2,[1]ratio_ins!$B:$B,0))*$G389*INDEX([1]ratio_ins!$C:$C,MATCH('001_population_health_zone_zs'!$B389,[1]ratio_ins!$B:$B,0))</f>
        <v>3182.3009400000005</v>
      </c>
      <c r="Q389" s="10">
        <f>INDEX([1]ratio_ins!O:O,MATCH('001_population_health_zone_zs'!$B$2,[1]ratio_ins!$B:$B,0))*$G389*INDEX([1]ratio_ins!$C:$C,MATCH('001_population_health_zone_zs'!$B389,[1]ratio_ins!$B:$B,0))</f>
        <v>2839.5916080000002</v>
      </c>
      <c r="R389" s="10">
        <f>INDEX([1]ratio_ins!P:P,MATCH('001_population_health_zone_zs'!$B$2,[1]ratio_ins!$B:$B,0))*$G389*INDEX([1]ratio_ins!$C:$C,MATCH('001_population_health_zone_zs'!$B389,[1]ratio_ins!$B:$B,0))</f>
        <v>2790.6331320000004</v>
      </c>
      <c r="S389" s="10">
        <f>INDEX([1]ratio_ins!Q:Q,MATCH('001_population_health_zone_zs'!$B$2,[1]ratio_ins!$B:$B,0))*$G389*INDEX([1]ratio_ins!$C:$C,MATCH('001_population_health_zone_zs'!$B389,[1]ratio_ins!$B:$B,0))</f>
        <v>2350.0068480000004</v>
      </c>
      <c r="T389" s="10">
        <f>INDEX([1]ratio_ins!R:R,MATCH('001_population_health_zone_zs'!$B$2,[1]ratio_ins!$B:$B,0))*$G389*INDEX([1]ratio_ins!$C:$C,MATCH('001_population_health_zone_zs'!$B389,[1]ratio_ins!$B:$B,0))</f>
        <v>1664.5881840000004</v>
      </c>
      <c r="U389" s="10">
        <f>INDEX([1]ratio_ins!S:S,MATCH('001_population_health_zone_zs'!$B$2,[1]ratio_ins!$B:$B,0))*$G389*INDEX([1]ratio_ins!$C:$C,MATCH('001_population_health_zone_zs'!$B389,[1]ratio_ins!$B:$B,0))</f>
        <v>1321.8788520000003</v>
      </c>
      <c r="V389" s="10">
        <f>INDEX([1]ratio_ins!T:T,MATCH('001_population_health_zone_zs'!$B$2,[1]ratio_ins!$B:$B,0))*$G389*INDEX([1]ratio_ins!$C:$C,MATCH('001_population_health_zone_zs'!$B389,[1]ratio_ins!$B:$B,0))</f>
        <v>734.37714000000005</v>
      </c>
      <c r="W389" s="11">
        <f>INDEX([1]ratio_ins!U:U,MATCH('001_population_health_zone_zs'!$B$2,[1]ratio_ins!$B:$B,0))*$G389*INDEX([1]ratio_ins!$C:$C,MATCH('001_population_health_zone_zs'!$B389,[1]ratio_ins!$B:$B,0))</f>
        <v>20033.8083792</v>
      </c>
      <c r="X389" s="10">
        <f>INDEX([1]ratio_ins!V:V,MATCH('001_population_health_zone_zs'!$B$2,[1]ratio_ins!$B:$B,0))*$G389*INDEX([1]ratio_ins!$C:$C,MATCH('001_population_health_zone_zs'!$B389,[1]ratio_ins!$B:$B,0))</f>
        <v>587.50171200000011</v>
      </c>
      <c r="Y389" s="10">
        <f>INDEX([1]ratio_ins!W:W,MATCH('001_population_health_zone_zs'!$B$2,[1]ratio_ins!$B:$B,0))*$G389*INDEX([1]ratio_ins!$C:$C,MATCH('001_population_health_zone_zs'!$B389,[1]ratio_ins!$B:$B,0))</f>
        <v>391.66780800000004</v>
      </c>
      <c r="Z389" s="10">
        <f>INDEX([1]ratio_ins!X:X,MATCH('001_population_health_zone_zs'!$B$2,[1]ratio_ins!$B:$B,0))*$G389*INDEX([1]ratio_ins!$C:$C,MATCH('001_population_health_zone_zs'!$B389,[1]ratio_ins!$B:$B,0))</f>
        <v>195.83390400000002</v>
      </c>
      <c r="AA389" s="10">
        <f>INDEX([1]ratio_ins!Y:Y,MATCH('001_population_health_zone_zs'!$B$2,[1]ratio_ins!$B:$B,0))*$G389*INDEX([1]ratio_ins!$C:$C,MATCH('001_population_health_zone_zs'!$B389,[1]ratio_ins!$B:$B,0))</f>
        <v>97.916952000000009</v>
      </c>
      <c r="AB389" s="11">
        <f>INDEX([1]ratio_ins!Z:Z,MATCH('001_population_health_zone_zs'!$B$2,[1]ratio_ins!$B:$B,0))*$G389*INDEX([1]ratio_ins!$C:$C,MATCH('001_population_health_zone_zs'!$B389,[1]ratio_ins!$B:$B,0))</f>
        <v>1272.9203760000003</v>
      </c>
      <c r="AC389" s="12">
        <f t="shared" si="36"/>
        <v>48958.476000000002</v>
      </c>
      <c r="AD389" s="10">
        <f>INDEX([1]ratio_ins!AA:AA,MATCH('001_population_health_zone_zs'!$B$2,[1]ratio_ins!$B:$B,0))*$G389*INDEX([1]ratio_ins!$D:$D,MATCH('001_population_health_zone_zs'!$B389,[1]ratio_ins!$B:$B,0))</f>
        <v>10405.40004</v>
      </c>
      <c r="AE389" s="10">
        <f>INDEX([1]ratio_ins!AB:AB,MATCH('001_population_health_zone_zs'!$B$2,[1]ratio_ins!$B:$B,0))*$G389*INDEX([1]ratio_ins!$D:$D,MATCH('001_population_health_zone_zs'!$B389,[1]ratio_ins!$B:$B,0))</f>
        <v>8572.0676520000015</v>
      </c>
      <c r="AF389" s="10">
        <f>INDEX([1]ratio_ins!AC:AC,MATCH('001_population_health_zone_zs'!$B$2,[1]ratio_ins!$B:$B,0))*$G389*INDEX([1]ratio_ins!$D:$D,MATCH('001_population_health_zone_zs'!$B389,[1]ratio_ins!$B:$B,0))</f>
        <v>6788.284787999999</v>
      </c>
      <c r="AG389" s="10">
        <f>INDEX([1]ratio_ins!AD:AD,MATCH('001_population_health_zone_zs'!$B$2,[1]ratio_ins!$B:$B,0))*$G389*INDEX([1]ratio_ins!$D:$D,MATCH('001_population_health_zone_zs'!$B389,[1]ratio_ins!$B:$B,0))</f>
        <v>4112.6104920000007</v>
      </c>
      <c r="AH389" s="10">
        <f>INDEX([1]ratio_ins!AE:AE,MATCH('001_population_health_zone_zs'!$B$2,[1]ratio_ins!$B:$B,0))*$G389*INDEX([1]ratio_ins!$D:$D,MATCH('001_population_health_zone_zs'!$B389,[1]ratio_ins!$B:$B,0))</f>
        <v>2467.5662951999998</v>
      </c>
      <c r="AI389" s="13">
        <f>INDEX([1]ratio_ins!AF:AF,MATCH('001_population_health_zone_zs'!$B$2,[1]ratio_ins!$B:$B,0))*$G389*INDEX([1]ratio_ins!$D:$D,MATCH('001_population_health_zone_zs'!$B389,[1]ratio_ins!$B:$B,0))</f>
        <v>28233.318775199998</v>
      </c>
      <c r="AJ389" s="10">
        <f>INDEX([1]ratio_ins!AG:AG,MATCH('001_population_health_zone_zs'!$B$2,[1]ratio_ins!$B:$B,0))*$G389*INDEX([1]ratio_ins!$D:$D,MATCH('001_population_health_zone_zs'!$B389,[1]ratio_ins!$B:$B,0))</f>
        <v>1645.0441968</v>
      </c>
      <c r="AK389" s="10">
        <f>INDEX([1]ratio_ins!AH:AH,MATCH('001_population_health_zone_zs'!$B$2,[1]ratio_ins!$B:$B,0))*$G389*INDEX([1]ratio_ins!$D:$D,MATCH('001_population_health_zone_zs'!$B389,[1]ratio_ins!$B:$B,0))</f>
        <v>3666.6647760000001</v>
      </c>
      <c r="AL389" s="10">
        <f>INDEX([1]ratio_ins!AI:AI,MATCH('001_population_health_zone_zs'!$B$2,[1]ratio_ins!$B:$B,0))*$G389*INDEX([1]ratio_ins!$D:$D,MATCH('001_population_health_zone_zs'!$B389,[1]ratio_ins!$B:$B,0))</f>
        <v>3468.46668</v>
      </c>
      <c r="AM389" s="10">
        <f>INDEX([1]ratio_ins!AJ:AJ,MATCH('001_population_health_zone_zs'!$B$2,[1]ratio_ins!$B:$B,0))*$G389*INDEX([1]ratio_ins!$D:$D,MATCH('001_population_health_zone_zs'!$B389,[1]ratio_ins!$B:$B,0))</f>
        <v>3171.1695359999999</v>
      </c>
      <c r="AN389" s="10">
        <f>INDEX([1]ratio_ins!AK:AK,MATCH('001_population_health_zone_zs'!$B$2,[1]ratio_ins!$B:$B,0))*$G389*INDEX([1]ratio_ins!$D:$D,MATCH('001_population_health_zone_zs'!$B389,[1]ratio_ins!$B:$B,0))</f>
        <v>2972.9714399999998</v>
      </c>
      <c r="AO389" s="10">
        <f>INDEX([1]ratio_ins!AL:AL,MATCH('001_population_health_zone_zs'!$B$2,[1]ratio_ins!$B:$B,0))*$G389*INDEX([1]ratio_ins!$D:$D,MATCH('001_population_health_zone_zs'!$B389,[1]ratio_ins!$B:$B,0))</f>
        <v>2229.72858</v>
      </c>
      <c r="AP389" s="10">
        <f>INDEX([1]ratio_ins!AM:AM,MATCH('001_population_health_zone_zs'!$B$2,[1]ratio_ins!$B:$B,0))*$G389*INDEX([1]ratio_ins!$D:$D,MATCH('001_population_health_zone_zs'!$B389,[1]ratio_ins!$B:$B,0))</f>
        <v>1436.9361959999999</v>
      </c>
      <c r="AQ389" s="10">
        <f>INDEX([1]ratio_ins!AN:AN,MATCH('001_population_health_zone_zs'!$B$2,[1]ratio_ins!$B:$B,0))*$G389*INDEX([1]ratio_ins!$D:$D,MATCH('001_population_health_zone_zs'!$B389,[1]ratio_ins!$B:$B,0))</f>
        <v>1139.6390519999998</v>
      </c>
      <c r="AR389" s="10">
        <f>INDEX([1]ratio_ins!AO:AO,MATCH('001_population_health_zone_zs'!$B$2,[1]ratio_ins!$B:$B,0))*$G389*INDEX([1]ratio_ins!$D:$D,MATCH('001_population_health_zone_zs'!$B389,[1]ratio_ins!$B:$B,0))</f>
        <v>545.0447640000001</v>
      </c>
      <c r="AS389" s="13">
        <f>INDEX([1]ratio_ins!AP:AP,MATCH('001_population_health_zone_zs'!$B$2,[1]ratio_ins!$B:$B,0))*$G389*INDEX([1]ratio_ins!$D:$D,MATCH('001_population_health_zone_zs'!$B389,[1]ratio_ins!$B:$B,0))</f>
        <v>20275.665220799998</v>
      </c>
      <c r="AT389" s="10">
        <f>INDEX([1]ratio_ins!AQ:AQ,MATCH('001_population_health_zone_zs'!$B$2,[1]ratio_ins!$B:$B,0))*$G389*INDEX([1]ratio_ins!$D:$D,MATCH('001_population_health_zone_zs'!$B389,[1]ratio_ins!$B:$B,0))</f>
        <v>495.49524000000002</v>
      </c>
      <c r="AU389" s="10">
        <f>INDEX([1]ratio_ins!AR:AR,MATCH('001_population_health_zone_zs'!$B$2,[1]ratio_ins!$B:$B,0))*$G389*INDEX([1]ratio_ins!$D:$D,MATCH('001_population_health_zone_zs'!$B389,[1]ratio_ins!$B:$B,0))</f>
        <v>297.297144</v>
      </c>
      <c r="AV389" s="10">
        <f>INDEX([1]ratio_ins!AS:AS,MATCH('001_population_health_zone_zs'!$B$2,[1]ratio_ins!$B:$B,0))*$G389*INDEX([1]ratio_ins!$D:$D,MATCH('001_population_health_zone_zs'!$B389,[1]ratio_ins!$B:$B,0))</f>
        <v>148.648572</v>
      </c>
      <c r="AW389" s="10">
        <f>INDEX([1]ratio_ins!AT:AT,MATCH('001_population_health_zone_zs'!$B$2,[1]ratio_ins!$B:$B,0))*$G389*INDEX([1]ratio_ins!$D:$D,MATCH('001_population_health_zone_zs'!$B389,[1]ratio_ins!$B:$B,0))</f>
        <v>99.099047999999996</v>
      </c>
      <c r="AX389" s="13">
        <f>INDEX([1]ratio_ins!AU:AU,MATCH('001_population_health_zone_zs'!$B$2,[1]ratio_ins!$B:$B,0))*$G389*INDEX([1]ratio_ins!$D:$D,MATCH('001_population_health_zone_zs'!$B389,[1]ratio_ins!$B:$B,0))</f>
        <v>1040.5400039999997</v>
      </c>
      <c r="AY389" s="14">
        <f t="shared" si="37"/>
        <v>49549.523999999998</v>
      </c>
      <c r="AZ389" s="15">
        <f t="shared" si="38"/>
        <v>98508</v>
      </c>
      <c r="BA389" s="16">
        <v>93801.047578748752</v>
      </c>
      <c r="BB389" s="10">
        <f t="shared" si="39"/>
        <v>21058.547699999996</v>
      </c>
      <c r="BC389" s="17">
        <f t="shared" si="40"/>
        <v>0.21377499999999997</v>
      </c>
      <c r="BD389" s="10">
        <f t="shared" si="41"/>
        <v>20415.684492000004</v>
      </c>
    </row>
    <row r="390" spans="1:56" x14ac:dyDescent="0.25">
      <c r="A390" s="8" t="s">
        <v>943</v>
      </c>
      <c r="B390" s="8" t="s">
        <v>944</v>
      </c>
      <c r="C390" s="8" t="s">
        <v>951</v>
      </c>
      <c r="D390" s="8" t="s">
        <v>952</v>
      </c>
      <c r="E390" s="8" t="s">
        <v>955</v>
      </c>
      <c r="F390" s="8" t="s">
        <v>956</v>
      </c>
      <c r="G390" s="9">
        <v>520214</v>
      </c>
      <c r="H390" s="10">
        <f>INDEX([1]ratio_ins!F:F,MATCH('001_population_health_zone_zs'!$B$2,[1]ratio_ins!$B:$B,0))*$G390*INDEX([1]ratio_ins!$C:$C,MATCH('001_population_health_zone_zs'!$B390,[1]ratio_ins!$B:$B,0))</f>
        <v>54036.188822000004</v>
      </c>
      <c r="I390" s="10">
        <f>INDEX([1]ratio_ins!G:G,MATCH('001_population_health_zone_zs'!$B$2,[1]ratio_ins!$B:$B,0))*$G390*INDEX([1]ratio_ins!$C:$C,MATCH('001_population_health_zone_zs'!$B390,[1]ratio_ins!$B:$B,0))</f>
        <v>44211.427218000012</v>
      </c>
      <c r="J390" s="10">
        <f>INDEX([1]ratio_ins!H:H,MATCH('001_population_health_zone_zs'!$B$2,[1]ratio_ins!$B:$B,0))*$G390*INDEX([1]ratio_ins!$C:$C,MATCH('001_population_health_zone_zs'!$B390,[1]ratio_ins!$B:$B,0))</f>
        <v>34903.758330000004</v>
      </c>
      <c r="K390" s="10">
        <f>INDEX([1]ratio_ins!I:I,MATCH('001_population_health_zone_zs'!$B$2,[1]ratio_ins!$B:$B,0))*$G390*INDEX([1]ratio_ins!$C:$C,MATCH('001_population_health_zone_zs'!$B390,[1]ratio_ins!$B:$B,0))</f>
        <v>21459.347714000003</v>
      </c>
      <c r="L390" s="10">
        <f>INDEX([1]ratio_ins!J:J,MATCH('001_population_health_zone_zs'!$B$2,[1]ratio_ins!$B:$B,0))*$G390*INDEX([1]ratio_ins!$C:$C,MATCH('001_population_health_zone_zs'!$B390,[1]ratio_ins!$B:$B,0))</f>
        <v>12875.608628400001</v>
      </c>
      <c r="M390" s="11">
        <f>INDEX([1]ratio_ins!K:K,MATCH('001_population_health_zone_zs'!$B$2,[1]ratio_ins!$B:$B,0))*$G390*INDEX([1]ratio_ins!$C:$C,MATCH('001_population_health_zone_zs'!$B390,[1]ratio_ins!$B:$B,0))</f>
        <v>146026.9829984</v>
      </c>
      <c r="N390" s="10">
        <f>INDEX([1]ratio_ins!L:L,MATCH('001_population_health_zone_zs'!$B$2,[1]ratio_ins!$B:$B,0))*$G390*INDEX([1]ratio_ins!$C:$C,MATCH('001_population_health_zone_zs'!$B390,[1]ratio_ins!$B:$B,0))</f>
        <v>8583.739085600002</v>
      </c>
      <c r="O390" s="10">
        <f>INDEX([1]ratio_ins!M:M,MATCH('001_population_health_zone_zs'!$B$2,[1]ratio_ins!$B:$B,0))*$G390*INDEX([1]ratio_ins!$C:$C,MATCH('001_population_health_zone_zs'!$B390,[1]ratio_ins!$B:$B,0))</f>
        <v>18615.337776000004</v>
      </c>
      <c r="P390" s="10">
        <f>INDEX([1]ratio_ins!N:N,MATCH('001_population_health_zone_zs'!$B$2,[1]ratio_ins!$B:$B,0))*$G390*INDEX([1]ratio_ins!$C:$C,MATCH('001_population_health_zone_zs'!$B390,[1]ratio_ins!$B:$B,0))</f>
        <v>16805.513270000003</v>
      </c>
      <c r="Q390" s="10">
        <f>INDEX([1]ratio_ins!O:O,MATCH('001_population_health_zone_zs'!$B$2,[1]ratio_ins!$B:$B,0))*$G390*INDEX([1]ratio_ins!$C:$C,MATCH('001_population_health_zone_zs'!$B390,[1]ratio_ins!$B:$B,0))</f>
        <v>14995.688764</v>
      </c>
      <c r="R390" s="10">
        <f>INDEX([1]ratio_ins!P:P,MATCH('001_population_health_zone_zs'!$B$2,[1]ratio_ins!$B:$B,0))*$G390*INDEX([1]ratio_ins!$C:$C,MATCH('001_population_health_zone_zs'!$B390,[1]ratio_ins!$B:$B,0))</f>
        <v>14737.142406000001</v>
      </c>
      <c r="S390" s="10">
        <f>INDEX([1]ratio_ins!Q:Q,MATCH('001_population_health_zone_zs'!$B$2,[1]ratio_ins!$B:$B,0))*$G390*INDEX([1]ratio_ins!$C:$C,MATCH('001_population_health_zone_zs'!$B390,[1]ratio_ins!$B:$B,0))</f>
        <v>12410.225184000003</v>
      </c>
      <c r="T390" s="10">
        <f>INDEX([1]ratio_ins!R:R,MATCH('001_population_health_zone_zs'!$B$2,[1]ratio_ins!$B:$B,0))*$G390*INDEX([1]ratio_ins!$C:$C,MATCH('001_population_health_zone_zs'!$B390,[1]ratio_ins!$B:$B,0))</f>
        <v>8790.576172000001</v>
      </c>
      <c r="U390" s="10">
        <f>INDEX([1]ratio_ins!S:S,MATCH('001_population_health_zone_zs'!$B$2,[1]ratio_ins!$B:$B,0))*$G390*INDEX([1]ratio_ins!$C:$C,MATCH('001_population_health_zone_zs'!$B390,[1]ratio_ins!$B:$B,0))</f>
        <v>6980.7516660000019</v>
      </c>
      <c r="V390" s="10">
        <f>INDEX([1]ratio_ins!T:T,MATCH('001_population_health_zone_zs'!$B$2,[1]ratio_ins!$B:$B,0))*$G390*INDEX([1]ratio_ins!$C:$C,MATCH('001_population_health_zone_zs'!$B390,[1]ratio_ins!$B:$B,0))</f>
        <v>3878.1953700000004</v>
      </c>
      <c r="W390" s="11">
        <f>INDEX([1]ratio_ins!U:U,MATCH('001_population_health_zone_zs'!$B$2,[1]ratio_ins!$B:$B,0))*$G390*INDEX([1]ratio_ins!$C:$C,MATCH('001_population_health_zone_zs'!$B390,[1]ratio_ins!$B:$B,0))</f>
        <v>105797.16969360002</v>
      </c>
      <c r="X390" s="10">
        <f>INDEX([1]ratio_ins!V:V,MATCH('001_population_health_zone_zs'!$B$2,[1]ratio_ins!$B:$B,0))*$G390*INDEX([1]ratio_ins!$C:$C,MATCH('001_population_health_zone_zs'!$B390,[1]ratio_ins!$B:$B,0))</f>
        <v>3102.5562960000007</v>
      </c>
      <c r="Y390" s="10">
        <f>INDEX([1]ratio_ins!W:W,MATCH('001_population_health_zone_zs'!$B$2,[1]ratio_ins!$B:$B,0))*$G390*INDEX([1]ratio_ins!$C:$C,MATCH('001_population_health_zone_zs'!$B390,[1]ratio_ins!$B:$B,0))</f>
        <v>2068.3708640000004</v>
      </c>
      <c r="Z390" s="10">
        <f>INDEX([1]ratio_ins!X:X,MATCH('001_population_health_zone_zs'!$B$2,[1]ratio_ins!$B:$B,0))*$G390*INDEX([1]ratio_ins!$C:$C,MATCH('001_population_health_zone_zs'!$B390,[1]ratio_ins!$B:$B,0))</f>
        <v>1034.1854320000002</v>
      </c>
      <c r="AA390" s="10">
        <f>INDEX([1]ratio_ins!Y:Y,MATCH('001_population_health_zone_zs'!$B$2,[1]ratio_ins!$B:$B,0))*$G390*INDEX([1]ratio_ins!$C:$C,MATCH('001_population_health_zone_zs'!$B390,[1]ratio_ins!$B:$B,0))</f>
        <v>517.09271600000011</v>
      </c>
      <c r="AB390" s="11">
        <f>INDEX([1]ratio_ins!Z:Z,MATCH('001_population_health_zone_zs'!$B$2,[1]ratio_ins!$B:$B,0))*$G390*INDEX([1]ratio_ins!$C:$C,MATCH('001_population_health_zone_zs'!$B390,[1]ratio_ins!$B:$B,0))</f>
        <v>6722.2053080000005</v>
      </c>
      <c r="AC390" s="12">
        <f t="shared" si="36"/>
        <v>258546.35800000004</v>
      </c>
      <c r="AD390" s="10">
        <f>INDEX([1]ratio_ins!AA:AA,MATCH('001_population_health_zone_zs'!$B$2,[1]ratio_ins!$B:$B,0))*$G390*INDEX([1]ratio_ins!$D:$D,MATCH('001_population_health_zone_zs'!$B390,[1]ratio_ins!$B:$B,0))</f>
        <v>54950.204819999999</v>
      </c>
      <c r="AE390" s="10">
        <f>INDEX([1]ratio_ins!AB:AB,MATCH('001_population_health_zone_zs'!$B$2,[1]ratio_ins!$B:$B,0))*$G390*INDEX([1]ratio_ins!$D:$D,MATCH('001_population_health_zone_zs'!$B390,[1]ratio_ins!$B:$B,0))</f>
        <v>45268.502066000008</v>
      </c>
      <c r="AF390" s="10">
        <f>INDEX([1]ratio_ins!AC:AC,MATCH('001_population_health_zone_zs'!$B$2,[1]ratio_ins!$B:$B,0))*$G390*INDEX([1]ratio_ins!$D:$D,MATCH('001_population_health_zone_zs'!$B390,[1]ratio_ins!$B:$B,0))</f>
        <v>35848.466953999996</v>
      </c>
      <c r="AG390" s="10">
        <f>INDEX([1]ratio_ins!AD:AD,MATCH('001_population_health_zone_zs'!$B$2,[1]ratio_ins!$B:$B,0))*$G390*INDEX([1]ratio_ins!$D:$D,MATCH('001_population_health_zone_zs'!$B390,[1]ratio_ins!$B:$B,0))</f>
        <v>21718.414286000003</v>
      </c>
      <c r="AH390" s="10">
        <f>INDEX([1]ratio_ins!AE:AE,MATCH('001_population_health_zone_zs'!$B$2,[1]ratio_ins!$B:$B,0))*$G390*INDEX([1]ratio_ins!$D:$D,MATCH('001_population_health_zone_zs'!$B390,[1]ratio_ins!$B:$B,0))</f>
        <v>13031.048571599998</v>
      </c>
      <c r="AI390" s="13">
        <f>INDEX([1]ratio_ins!AF:AF,MATCH('001_population_health_zone_zs'!$B$2,[1]ratio_ins!$B:$B,0))*$G390*INDEX([1]ratio_ins!$D:$D,MATCH('001_population_health_zone_zs'!$B390,[1]ratio_ins!$B:$B,0))</f>
        <v>149098.2224116</v>
      </c>
      <c r="AJ390" s="10">
        <f>INDEX([1]ratio_ins!AG:AG,MATCH('001_population_health_zone_zs'!$B$2,[1]ratio_ins!$B:$B,0))*$G390*INDEX([1]ratio_ins!$D:$D,MATCH('001_population_health_zone_zs'!$B390,[1]ratio_ins!$B:$B,0))</f>
        <v>8687.3657144000008</v>
      </c>
      <c r="AK390" s="10">
        <f>INDEX([1]ratio_ins!AH:AH,MATCH('001_population_health_zone_zs'!$B$2,[1]ratio_ins!$B:$B,0))*$G390*INDEX([1]ratio_ins!$D:$D,MATCH('001_population_health_zone_zs'!$B390,[1]ratio_ins!$B:$B,0))</f>
        <v>19363.405508</v>
      </c>
      <c r="AL390" s="10">
        <f>INDEX([1]ratio_ins!AI:AI,MATCH('001_population_health_zone_zs'!$B$2,[1]ratio_ins!$B:$B,0))*$G390*INDEX([1]ratio_ins!$D:$D,MATCH('001_population_health_zone_zs'!$B390,[1]ratio_ins!$B:$B,0))</f>
        <v>18316.734940000002</v>
      </c>
      <c r="AM390" s="10">
        <f>INDEX([1]ratio_ins!AJ:AJ,MATCH('001_population_health_zone_zs'!$B$2,[1]ratio_ins!$B:$B,0))*$G390*INDEX([1]ratio_ins!$D:$D,MATCH('001_population_health_zone_zs'!$B390,[1]ratio_ins!$B:$B,0))</f>
        <v>16746.729088000004</v>
      </c>
      <c r="AN390" s="10">
        <f>INDEX([1]ratio_ins!AK:AK,MATCH('001_population_health_zone_zs'!$B$2,[1]ratio_ins!$B:$B,0))*$G390*INDEX([1]ratio_ins!$D:$D,MATCH('001_population_health_zone_zs'!$B390,[1]ratio_ins!$B:$B,0))</f>
        <v>15700.05852</v>
      </c>
      <c r="AO390" s="10">
        <f>INDEX([1]ratio_ins!AL:AL,MATCH('001_population_health_zone_zs'!$B$2,[1]ratio_ins!$B:$B,0))*$G390*INDEX([1]ratio_ins!$D:$D,MATCH('001_population_health_zone_zs'!$B390,[1]ratio_ins!$B:$B,0))</f>
        <v>11775.043889999999</v>
      </c>
      <c r="AP390" s="10">
        <f>INDEX([1]ratio_ins!AM:AM,MATCH('001_population_health_zone_zs'!$B$2,[1]ratio_ins!$B:$B,0))*$G390*INDEX([1]ratio_ins!$D:$D,MATCH('001_population_health_zone_zs'!$B390,[1]ratio_ins!$B:$B,0))</f>
        <v>7588.361617999999</v>
      </c>
      <c r="AQ390" s="10">
        <f>INDEX([1]ratio_ins!AN:AN,MATCH('001_population_health_zone_zs'!$B$2,[1]ratio_ins!$B:$B,0))*$G390*INDEX([1]ratio_ins!$D:$D,MATCH('001_population_health_zone_zs'!$B390,[1]ratio_ins!$B:$B,0))</f>
        <v>6018.3557660000006</v>
      </c>
      <c r="AR390" s="10">
        <f>INDEX([1]ratio_ins!AO:AO,MATCH('001_population_health_zone_zs'!$B$2,[1]ratio_ins!$B:$B,0))*$G390*INDEX([1]ratio_ins!$D:$D,MATCH('001_population_health_zone_zs'!$B390,[1]ratio_ins!$B:$B,0))</f>
        <v>2878.3440620000001</v>
      </c>
      <c r="AS390" s="13">
        <f>INDEX([1]ratio_ins!AP:AP,MATCH('001_population_health_zone_zs'!$B$2,[1]ratio_ins!$B:$B,0))*$G390*INDEX([1]ratio_ins!$D:$D,MATCH('001_population_health_zone_zs'!$B390,[1]ratio_ins!$B:$B,0))</f>
        <v>107074.3991064</v>
      </c>
      <c r="AT390" s="10">
        <f>INDEX([1]ratio_ins!AQ:AQ,MATCH('001_population_health_zone_zs'!$B$2,[1]ratio_ins!$B:$B,0))*$G390*INDEX([1]ratio_ins!$D:$D,MATCH('001_population_health_zone_zs'!$B390,[1]ratio_ins!$B:$B,0))</f>
        <v>2616.6764200000002</v>
      </c>
      <c r="AU390" s="10">
        <f>INDEX([1]ratio_ins!AR:AR,MATCH('001_population_health_zone_zs'!$B$2,[1]ratio_ins!$B:$B,0))*$G390*INDEX([1]ratio_ins!$D:$D,MATCH('001_population_health_zone_zs'!$B390,[1]ratio_ins!$B:$B,0))</f>
        <v>1570.005852</v>
      </c>
      <c r="AV390" s="10">
        <f>INDEX([1]ratio_ins!AS:AS,MATCH('001_population_health_zone_zs'!$B$2,[1]ratio_ins!$B:$B,0))*$G390*INDEX([1]ratio_ins!$D:$D,MATCH('001_population_health_zone_zs'!$B390,[1]ratio_ins!$B:$B,0))</f>
        <v>785.002926</v>
      </c>
      <c r="AW390" s="10">
        <f>INDEX([1]ratio_ins!AT:AT,MATCH('001_population_health_zone_zs'!$B$2,[1]ratio_ins!$B:$B,0))*$G390*INDEX([1]ratio_ins!$D:$D,MATCH('001_population_health_zone_zs'!$B390,[1]ratio_ins!$B:$B,0))</f>
        <v>523.33528400000012</v>
      </c>
      <c r="AX390" s="13">
        <f>INDEX([1]ratio_ins!AU:AU,MATCH('001_population_health_zone_zs'!$B$2,[1]ratio_ins!$B:$B,0))*$G390*INDEX([1]ratio_ins!$D:$D,MATCH('001_population_health_zone_zs'!$B390,[1]ratio_ins!$B:$B,0))</f>
        <v>5495.020481999999</v>
      </c>
      <c r="AY390" s="14">
        <f t="shared" si="37"/>
        <v>261667.64199999999</v>
      </c>
      <c r="AZ390" s="15">
        <f t="shared" si="38"/>
        <v>520214</v>
      </c>
      <c r="BA390" s="16">
        <v>495359.05046999553</v>
      </c>
      <c r="BB390" s="10">
        <f t="shared" si="39"/>
        <v>111208.74785</v>
      </c>
      <c r="BC390" s="17">
        <f t="shared" si="40"/>
        <v>0.21377499999999999</v>
      </c>
      <c r="BD390" s="10">
        <f t="shared" si="41"/>
        <v>107813.831286</v>
      </c>
    </row>
    <row r="391" spans="1:56" x14ac:dyDescent="0.25">
      <c r="A391" s="8" t="s">
        <v>943</v>
      </c>
      <c r="B391" s="8" t="s">
        <v>944</v>
      </c>
      <c r="C391" s="8" t="s">
        <v>951</v>
      </c>
      <c r="D391" s="8" t="s">
        <v>952</v>
      </c>
      <c r="E391" s="8" t="s">
        <v>957</v>
      </c>
      <c r="F391" s="8" t="s">
        <v>958</v>
      </c>
      <c r="G391" s="9">
        <v>179455</v>
      </c>
      <c r="H391" s="10">
        <f>INDEX([1]ratio_ins!F:F,MATCH('001_population_health_zone_zs'!$B$2,[1]ratio_ins!$B:$B,0))*$G391*INDEX([1]ratio_ins!$C:$C,MATCH('001_population_health_zone_zs'!$B391,[1]ratio_ins!$B:$B,0))</f>
        <v>18640.529215000002</v>
      </c>
      <c r="I391" s="10">
        <f>INDEX([1]ratio_ins!G:G,MATCH('001_population_health_zone_zs'!$B$2,[1]ratio_ins!$B:$B,0))*$G391*INDEX([1]ratio_ins!$C:$C,MATCH('001_population_health_zone_zs'!$B391,[1]ratio_ins!$B:$B,0))</f>
        <v>15251.342085000004</v>
      </c>
      <c r="J391" s="10">
        <f>INDEX([1]ratio_ins!H:H,MATCH('001_population_health_zone_zs'!$B$2,[1]ratio_ins!$B:$B,0))*$G391*INDEX([1]ratio_ins!$C:$C,MATCH('001_population_health_zone_zs'!$B391,[1]ratio_ins!$B:$B,0))</f>
        <v>12040.533225000003</v>
      </c>
      <c r="K391" s="10">
        <f>INDEX([1]ratio_ins!I:I,MATCH('001_population_health_zone_zs'!$B$2,[1]ratio_ins!$B:$B,0))*$G391*INDEX([1]ratio_ins!$C:$C,MATCH('001_population_health_zone_zs'!$B391,[1]ratio_ins!$B:$B,0))</f>
        <v>7402.6982050000015</v>
      </c>
      <c r="L391" s="10">
        <f>INDEX([1]ratio_ins!J:J,MATCH('001_population_health_zone_zs'!$B$2,[1]ratio_ins!$B:$B,0))*$G391*INDEX([1]ratio_ins!$C:$C,MATCH('001_population_health_zone_zs'!$B391,[1]ratio_ins!$B:$B,0))</f>
        <v>4441.6189230000009</v>
      </c>
      <c r="M391" s="11">
        <f>INDEX([1]ratio_ins!K:K,MATCH('001_population_health_zone_zs'!$B$2,[1]ratio_ins!$B:$B,0))*$G391*INDEX([1]ratio_ins!$C:$C,MATCH('001_population_health_zone_zs'!$B391,[1]ratio_ins!$B:$B,0))</f>
        <v>50374.023448</v>
      </c>
      <c r="N391" s="10">
        <f>INDEX([1]ratio_ins!L:L,MATCH('001_population_health_zone_zs'!$B$2,[1]ratio_ins!$B:$B,0))*$G391*INDEX([1]ratio_ins!$C:$C,MATCH('001_population_health_zone_zs'!$B391,[1]ratio_ins!$B:$B,0))</f>
        <v>2961.0792820000001</v>
      </c>
      <c r="O391" s="10">
        <f>INDEX([1]ratio_ins!M:M,MATCH('001_population_health_zone_zs'!$B$2,[1]ratio_ins!$B:$B,0))*$G391*INDEX([1]ratio_ins!$C:$C,MATCH('001_population_health_zone_zs'!$B391,[1]ratio_ins!$B:$B,0))</f>
        <v>6421.617720000002</v>
      </c>
      <c r="P391" s="10">
        <f>INDEX([1]ratio_ins!N:N,MATCH('001_population_health_zone_zs'!$B$2,[1]ratio_ins!$B:$B,0))*$G391*INDEX([1]ratio_ins!$C:$C,MATCH('001_population_health_zone_zs'!$B391,[1]ratio_ins!$B:$B,0))</f>
        <v>5797.293775000001</v>
      </c>
      <c r="Q391" s="10">
        <f>INDEX([1]ratio_ins!O:O,MATCH('001_population_health_zone_zs'!$B$2,[1]ratio_ins!$B:$B,0))*$G391*INDEX([1]ratio_ins!$C:$C,MATCH('001_population_health_zone_zs'!$B391,[1]ratio_ins!$B:$B,0))</f>
        <v>5172.96983</v>
      </c>
      <c r="R391" s="10">
        <f>INDEX([1]ratio_ins!P:P,MATCH('001_population_health_zone_zs'!$B$2,[1]ratio_ins!$B:$B,0))*$G391*INDEX([1]ratio_ins!$C:$C,MATCH('001_population_health_zone_zs'!$B391,[1]ratio_ins!$B:$B,0))</f>
        <v>5083.7806950000004</v>
      </c>
      <c r="S391" s="10">
        <f>INDEX([1]ratio_ins!Q:Q,MATCH('001_population_health_zone_zs'!$B$2,[1]ratio_ins!$B:$B,0))*$G391*INDEX([1]ratio_ins!$C:$C,MATCH('001_population_health_zone_zs'!$B391,[1]ratio_ins!$B:$B,0))</f>
        <v>4281.0784800000001</v>
      </c>
      <c r="T391" s="10">
        <f>INDEX([1]ratio_ins!R:R,MATCH('001_population_health_zone_zs'!$B$2,[1]ratio_ins!$B:$B,0))*$G391*INDEX([1]ratio_ins!$C:$C,MATCH('001_population_health_zone_zs'!$B391,[1]ratio_ins!$B:$B,0))</f>
        <v>3032.4305900000004</v>
      </c>
      <c r="U391" s="10">
        <f>INDEX([1]ratio_ins!S:S,MATCH('001_population_health_zone_zs'!$B$2,[1]ratio_ins!$B:$B,0))*$G391*INDEX([1]ratio_ins!$C:$C,MATCH('001_population_health_zone_zs'!$B391,[1]ratio_ins!$B:$B,0))</f>
        <v>2408.1066450000008</v>
      </c>
      <c r="V391" s="10">
        <f>INDEX([1]ratio_ins!T:T,MATCH('001_population_health_zone_zs'!$B$2,[1]ratio_ins!$B:$B,0))*$G391*INDEX([1]ratio_ins!$C:$C,MATCH('001_population_health_zone_zs'!$B391,[1]ratio_ins!$B:$B,0))</f>
        <v>1337.837025</v>
      </c>
      <c r="W391" s="11">
        <f>INDEX([1]ratio_ins!U:U,MATCH('001_population_health_zone_zs'!$B$2,[1]ratio_ins!$B:$B,0))*$G391*INDEX([1]ratio_ins!$C:$C,MATCH('001_population_health_zone_zs'!$B391,[1]ratio_ins!$B:$B,0))</f>
        <v>36496.194042000003</v>
      </c>
      <c r="X391" s="10">
        <f>INDEX([1]ratio_ins!V:V,MATCH('001_population_health_zone_zs'!$B$2,[1]ratio_ins!$B:$B,0))*$G391*INDEX([1]ratio_ins!$C:$C,MATCH('001_population_health_zone_zs'!$B391,[1]ratio_ins!$B:$B,0))</f>
        <v>1070.26962</v>
      </c>
      <c r="Y391" s="10">
        <f>INDEX([1]ratio_ins!W:W,MATCH('001_population_health_zone_zs'!$B$2,[1]ratio_ins!$B:$B,0))*$G391*INDEX([1]ratio_ins!$C:$C,MATCH('001_population_health_zone_zs'!$B391,[1]ratio_ins!$B:$B,0))</f>
        <v>713.51308000000017</v>
      </c>
      <c r="Z391" s="10">
        <f>INDEX([1]ratio_ins!X:X,MATCH('001_population_health_zone_zs'!$B$2,[1]ratio_ins!$B:$B,0))*$G391*INDEX([1]ratio_ins!$C:$C,MATCH('001_population_health_zone_zs'!$B391,[1]ratio_ins!$B:$B,0))</f>
        <v>356.75654000000009</v>
      </c>
      <c r="AA391" s="10">
        <f>INDEX([1]ratio_ins!Y:Y,MATCH('001_population_health_zone_zs'!$B$2,[1]ratio_ins!$B:$B,0))*$G391*INDEX([1]ratio_ins!$C:$C,MATCH('001_population_health_zone_zs'!$B391,[1]ratio_ins!$B:$B,0))</f>
        <v>178.37827000000004</v>
      </c>
      <c r="AB391" s="11">
        <f>INDEX([1]ratio_ins!Z:Z,MATCH('001_population_health_zone_zs'!$B$2,[1]ratio_ins!$B:$B,0))*$G391*INDEX([1]ratio_ins!$C:$C,MATCH('001_population_health_zone_zs'!$B391,[1]ratio_ins!$B:$B,0))</f>
        <v>2318.9175100000007</v>
      </c>
      <c r="AC391" s="12">
        <f t="shared" si="36"/>
        <v>89189.135000000009</v>
      </c>
      <c r="AD391" s="10">
        <f>INDEX([1]ratio_ins!AA:AA,MATCH('001_population_health_zone_zs'!$B$2,[1]ratio_ins!$B:$B,0))*$G391*INDEX([1]ratio_ins!$D:$D,MATCH('001_population_health_zone_zs'!$B391,[1]ratio_ins!$B:$B,0))</f>
        <v>18955.831649999996</v>
      </c>
      <c r="AE391" s="10">
        <f>INDEX([1]ratio_ins!AB:AB,MATCH('001_population_health_zone_zs'!$B$2,[1]ratio_ins!$B:$B,0))*$G391*INDEX([1]ratio_ins!$D:$D,MATCH('001_population_health_zone_zs'!$B391,[1]ratio_ins!$B:$B,0))</f>
        <v>15615.994645000002</v>
      </c>
      <c r="AF391" s="10">
        <f>INDEX([1]ratio_ins!AC:AC,MATCH('001_population_health_zone_zs'!$B$2,[1]ratio_ins!$B:$B,0))*$G391*INDEX([1]ratio_ins!$D:$D,MATCH('001_population_health_zone_zs'!$B391,[1]ratio_ins!$B:$B,0))</f>
        <v>12366.423504999997</v>
      </c>
      <c r="AG391" s="10">
        <f>INDEX([1]ratio_ins!AD:AD,MATCH('001_population_health_zone_zs'!$B$2,[1]ratio_ins!$B:$B,0))*$G391*INDEX([1]ratio_ins!$D:$D,MATCH('001_population_health_zone_zs'!$B391,[1]ratio_ins!$B:$B,0))</f>
        <v>7492.0667950000006</v>
      </c>
      <c r="AH391" s="10">
        <f>INDEX([1]ratio_ins!AE:AE,MATCH('001_population_health_zone_zs'!$B$2,[1]ratio_ins!$B:$B,0))*$G391*INDEX([1]ratio_ins!$D:$D,MATCH('001_population_health_zone_zs'!$B391,[1]ratio_ins!$B:$B,0))</f>
        <v>4495.2400770000004</v>
      </c>
      <c r="AI391" s="13">
        <f>INDEX([1]ratio_ins!AF:AF,MATCH('001_population_health_zone_zs'!$B$2,[1]ratio_ins!$B:$B,0))*$G391*INDEX([1]ratio_ins!$D:$D,MATCH('001_population_health_zone_zs'!$B391,[1]ratio_ins!$B:$B,0))</f>
        <v>51433.489876999993</v>
      </c>
      <c r="AJ391" s="10">
        <f>INDEX([1]ratio_ins!AG:AG,MATCH('001_population_health_zone_zs'!$B$2,[1]ratio_ins!$B:$B,0))*$G391*INDEX([1]ratio_ins!$D:$D,MATCH('001_population_health_zone_zs'!$B391,[1]ratio_ins!$B:$B,0))</f>
        <v>2996.8267179999998</v>
      </c>
      <c r="AK391" s="10">
        <f>INDEX([1]ratio_ins!AH:AH,MATCH('001_population_health_zone_zs'!$B$2,[1]ratio_ins!$B:$B,0))*$G391*INDEX([1]ratio_ins!$D:$D,MATCH('001_population_health_zone_zs'!$B391,[1]ratio_ins!$B:$B,0))</f>
        <v>6679.6740100000006</v>
      </c>
      <c r="AL391" s="10">
        <f>INDEX([1]ratio_ins!AI:AI,MATCH('001_population_health_zone_zs'!$B$2,[1]ratio_ins!$B:$B,0))*$G391*INDEX([1]ratio_ins!$D:$D,MATCH('001_population_health_zone_zs'!$B391,[1]ratio_ins!$B:$B,0))</f>
        <v>6318.6105500000003</v>
      </c>
      <c r="AM391" s="10">
        <f>INDEX([1]ratio_ins!AJ:AJ,MATCH('001_population_health_zone_zs'!$B$2,[1]ratio_ins!$B:$B,0))*$G391*INDEX([1]ratio_ins!$D:$D,MATCH('001_population_health_zone_zs'!$B391,[1]ratio_ins!$B:$B,0))</f>
        <v>5777.0153600000003</v>
      </c>
      <c r="AN391" s="10">
        <f>INDEX([1]ratio_ins!AK:AK,MATCH('001_population_health_zone_zs'!$B$2,[1]ratio_ins!$B:$B,0))*$G391*INDEX([1]ratio_ins!$D:$D,MATCH('001_population_health_zone_zs'!$B391,[1]ratio_ins!$B:$B,0))</f>
        <v>5415.9519</v>
      </c>
      <c r="AO391" s="10">
        <f>INDEX([1]ratio_ins!AL:AL,MATCH('001_population_health_zone_zs'!$B$2,[1]ratio_ins!$B:$B,0))*$G391*INDEX([1]ratio_ins!$D:$D,MATCH('001_population_health_zone_zs'!$B391,[1]ratio_ins!$B:$B,0))</f>
        <v>4061.9639249999996</v>
      </c>
      <c r="AP391" s="10">
        <f>INDEX([1]ratio_ins!AM:AM,MATCH('001_population_health_zone_zs'!$B$2,[1]ratio_ins!$B:$B,0))*$G391*INDEX([1]ratio_ins!$D:$D,MATCH('001_population_health_zone_zs'!$B391,[1]ratio_ins!$B:$B,0))</f>
        <v>2617.7100849999997</v>
      </c>
      <c r="AQ391" s="10">
        <f>INDEX([1]ratio_ins!AN:AN,MATCH('001_population_health_zone_zs'!$B$2,[1]ratio_ins!$B:$B,0))*$G391*INDEX([1]ratio_ins!$D:$D,MATCH('001_population_health_zone_zs'!$B391,[1]ratio_ins!$B:$B,0))</f>
        <v>2076.1148950000002</v>
      </c>
      <c r="AR391" s="10">
        <f>INDEX([1]ratio_ins!AO:AO,MATCH('001_population_health_zone_zs'!$B$2,[1]ratio_ins!$B:$B,0))*$G391*INDEX([1]ratio_ins!$D:$D,MATCH('001_population_health_zone_zs'!$B391,[1]ratio_ins!$B:$B,0))</f>
        <v>992.92451500000004</v>
      </c>
      <c r="AS391" s="13">
        <f>INDEX([1]ratio_ins!AP:AP,MATCH('001_population_health_zone_zs'!$B$2,[1]ratio_ins!$B:$B,0))*$G391*INDEX([1]ratio_ins!$D:$D,MATCH('001_population_health_zone_zs'!$B391,[1]ratio_ins!$B:$B,0))</f>
        <v>36936.791958000002</v>
      </c>
      <c r="AT391" s="10">
        <f>INDEX([1]ratio_ins!AQ:AQ,MATCH('001_population_health_zone_zs'!$B$2,[1]ratio_ins!$B:$B,0))*$G391*INDEX([1]ratio_ins!$D:$D,MATCH('001_population_health_zone_zs'!$B391,[1]ratio_ins!$B:$B,0))</f>
        <v>902.65864999999997</v>
      </c>
      <c r="AU391" s="10">
        <f>INDEX([1]ratio_ins!AR:AR,MATCH('001_population_health_zone_zs'!$B$2,[1]ratio_ins!$B:$B,0))*$G391*INDEX([1]ratio_ins!$D:$D,MATCH('001_population_health_zone_zs'!$B391,[1]ratio_ins!$B:$B,0))</f>
        <v>541.59519</v>
      </c>
      <c r="AV391" s="10">
        <f>INDEX([1]ratio_ins!AS:AS,MATCH('001_population_health_zone_zs'!$B$2,[1]ratio_ins!$B:$B,0))*$G391*INDEX([1]ratio_ins!$D:$D,MATCH('001_population_health_zone_zs'!$B391,[1]ratio_ins!$B:$B,0))</f>
        <v>270.797595</v>
      </c>
      <c r="AW391" s="10">
        <f>INDEX([1]ratio_ins!AT:AT,MATCH('001_population_health_zone_zs'!$B$2,[1]ratio_ins!$B:$B,0))*$G391*INDEX([1]ratio_ins!$D:$D,MATCH('001_population_health_zone_zs'!$B391,[1]ratio_ins!$B:$B,0))</f>
        <v>180.53173000000001</v>
      </c>
      <c r="AX391" s="13">
        <f>INDEX([1]ratio_ins!AU:AU,MATCH('001_population_health_zone_zs'!$B$2,[1]ratio_ins!$B:$B,0))*$G391*INDEX([1]ratio_ins!$D:$D,MATCH('001_population_health_zone_zs'!$B391,[1]ratio_ins!$B:$B,0))</f>
        <v>1895.583165</v>
      </c>
      <c r="AY391" s="14">
        <f t="shared" si="37"/>
        <v>90265.865000000005</v>
      </c>
      <c r="AZ391" s="15">
        <f t="shared" si="38"/>
        <v>179455</v>
      </c>
      <c r="BA391" s="16">
        <v>170880.51981440393</v>
      </c>
      <c r="BB391" s="10">
        <f t="shared" si="39"/>
        <v>38362.992624999999</v>
      </c>
      <c r="BC391" s="17">
        <f t="shared" si="40"/>
        <v>0.21377499999999999</v>
      </c>
      <c r="BD391" s="10">
        <f t="shared" si="41"/>
        <v>37191.869295000011</v>
      </c>
    </row>
    <row r="392" spans="1:56" x14ac:dyDescent="0.25">
      <c r="A392" s="8" t="s">
        <v>943</v>
      </c>
      <c r="B392" s="8" t="s">
        <v>944</v>
      </c>
      <c r="C392" s="8" t="s">
        <v>951</v>
      </c>
      <c r="D392" s="8" t="s">
        <v>952</v>
      </c>
      <c r="E392" s="8" t="s">
        <v>951</v>
      </c>
      <c r="F392" s="8" t="s">
        <v>959</v>
      </c>
      <c r="G392" s="9">
        <v>146443</v>
      </c>
      <c r="H392" s="10">
        <f>INDEX([1]ratio_ins!F:F,MATCH('001_population_health_zone_zs'!$B$2,[1]ratio_ins!$B:$B,0))*$G392*INDEX([1]ratio_ins!$C:$C,MATCH('001_population_health_zone_zs'!$B392,[1]ratio_ins!$B:$B,0))</f>
        <v>15211.473739000001</v>
      </c>
      <c r="I392" s="10">
        <f>INDEX([1]ratio_ins!G:G,MATCH('001_population_health_zone_zs'!$B$2,[1]ratio_ins!$B:$B,0))*$G392*INDEX([1]ratio_ins!$C:$C,MATCH('001_population_health_zone_zs'!$B392,[1]ratio_ins!$B:$B,0))</f>
        <v>12445.751241000002</v>
      </c>
      <c r="J392" s="10">
        <f>INDEX([1]ratio_ins!H:H,MATCH('001_population_health_zone_zs'!$B$2,[1]ratio_ins!$B:$B,0))*$G392*INDEX([1]ratio_ins!$C:$C,MATCH('001_population_health_zone_zs'!$B392,[1]ratio_ins!$B:$B,0))</f>
        <v>9825.5930850000004</v>
      </c>
      <c r="K392" s="10">
        <f>INDEX([1]ratio_ins!I:I,MATCH('001_population_health_zone_zs'!$B$2,[1]ratio_ins!$B:$B,0))*$G392*INDEX([1]ratio_ins!$C:$C,MATCH('001_population_health_zone_zs'!$B392,[1]ratio_ins!$B:$B,0))</f>
        <v>6040.9201930000008</v>
      </c>
      <c r="L392" s="10">
        <f>INDEX([1]ratio_ins!J:J,MATCH('001_population_health_zone_zs'!$B$2,[1]ratio_ins!$B:$B,0))*$G392*INDEX([1]ratio_ins!$C:$C,MATCH('001_population_health_zone_zs'!$B392,[1]ratio_ins!$B:$B,0))</f>
        <v>3624.5521158000001</v>
      </c>
      <c r="M392" s="11">
        <f>INDEX([1]ratio_ins!K:K,MATCH('001_population_health_zone_zs'!$B$2,[1]ratio_ins!$B:$B,0))*$G392*INDEX([1]ratio_ins!$C:$C,MATCH('001_population_health_zone_zs'!$B392,[1]ratio_ins!$B:$B,0))</f>
        <v>41107.370180800004</v>
      </c>
      <c r="N392" s="10">
        <f>INDEX([1]ratio_ins!L:L,MATCH('001_population_health_zone_zs'!$B$2,[1]ratio_ins!$B:$B,0))*$G392*INDEX([1]ratio_ins!$C:$C,MATCH('001_population_health_zone_zs'!$B392,[1]ratio_ins!$B:$B,0))</f>
        <v>2416.3680772000007</v>
      </c>
      <c r="O392" s="10">
        <f>INDEX([1]ratio_ins!M:M,MATCH('001_population_health_zone_zs'!$B$2,[1]ratio_ins!$B:$B,0))*$G392*INDEX([1]ratio_ins!$C:$C,MATCH('001_population_health_zone_zs'!$B392,[1]ratio_ins!$B:$B,0))</f>
        <v>5240.3163120000008</v>
      </c>
      <c r="P392" s="10">
        <f>INDEX([1]ratio_ins!N:N,MATCH('001_population_health_zone_zs'!$B$2,[1]ratio_ins!$B:$B,0))*$G392*INDEX([1]ratio_ins!$C:$C,MATCH('001_population_health_zone_zs'!$B392,[1]ratio_ins!$B:$B,0))</f>
        <v>4730.8411150000002</v>
      </c>
      <c r="Q392" s="10">
        <f>INDEX([1]ratio_ins!O:O,MATCH('001_population_health_zone_zs'!$B$2,[1]ratio_ins!$B:$B,0))*$G392*INDEX([1]ratio_ins!$C:$C,MATCH('001_population_health_zone_zs'!$B392,[1]ratio_ins!$B:$B,0))</f>
        <v>4221.3659180000004</v>
      </c>
      <c r="R392" s="10">
        <f>INDEX([1]ratio_ins!P:P,MATCH('001_population_health_zone_zs'!$B$2,[1]ratio_ins!$B:$B,0))*$G392*INDEX([1]ratio_ins!$C:$C,MATCH('001_population_health_zone_zs'!$B392,[1]ratio_ins!$B:$B,0))</f>
        <v>4148.5837470000006</v>
      </c>
      <c r="S392" s="10">
        <f>INDEX([1]ratio_ins!Q:Q,MATCH('001_population_health_zone_zs'!$B$2,[1]ratio_ins!$B:$B,0))*$G392*INDEX([1]ratio_ins!$C:$C,MATCH('001_population_health_zone_zs'!$B392,[1]ratio_ins!$B:$B,0))</f>
        <v>3493.5442080000003</v>
      </c>
      <c r="T392" s="10">
        <f>INDEX([1]ratio_ins!R:R,MATCH('001_population_health_zone_zs'!$B$2,[1]ratio_ins!$B:$B,0))*$G392*INDEX([1]ratio_ins!$C:$C,MATCH('001_population_health_zone_zs'!$B392,[1]ratio_ins!$B:$B,0))</f>
        <v>2474.5938140000007</v>
      </c>
      <c r="U392" s="10">
        <f>INDEX([1]ratio_ins!S:S,MATCH('001_population_health_zone_zs'!$B$2,[1]ratio_ins!$B:$B,0))*$G392*INDEX([1]ratio_ins!$C:$C,MATCH('001_population_health_zone_zs'!$B392,[1]ratio_ins!$B:$B,0))</f>
        <v>1965.1186170000003</v>
      </c>
      <c r="V392" s="10">
        <f>INDEX([1]ratio_ins!T:T,MATCH('001_population_health_zone_zs'!$B$2,[1]ratio_ins!$B:$B,0))*$G392*INDEX([1]ratio_ins!$C:$C,MATCH('001_population_health_zone_zs'!$B392,[1]ratio_ins!$B:$B,0))</f>
        <v>1091.732565</v>
      </c>
      <c r="W392" s="11">
        <f>INDEX([1]ratio_ins!U:U,MATCH('001_population_health_zone_zs'!$B$2,[1]ratio_ins!$B:$B,0))*$G392*INDEX([1]ratio_ins!$C:$C,MATCH('001_population_health_zone_zs'!$B392,[1]ratio_ins!$B:$B,0))</f>
        <v>29782.4643732</v>
      </c>
      <c r="X392" s="10">
        <f>INDEX([1]ratio_ins!V:V,MATCH('001_population_health_zone_zs'!$B$2,[1]ratio_ins!$B:$B,0))*$G392*INDEX([1]ratio_ins!$C:$C,MATCH('001_population_health_zone_zs'!$B392,[1]ratio_ins!$B:$B,0))</f>
        <v>873.38605200000006</v>
      </c>
      <c r="Y392" s="10">
        <f>INDEX([1]ratio_ins!W:W,MATCH('001_population_health_zone_zs'!$B$2,[1]ratio_ins!$B:$B,0))*$G392*INDEX([1]ratio_ins!$C:$C,MATCH('001_population_health_zone_zs'!$B392,[1]ratio_ins!$B:$B,0))</f>
        <v>582.25736800000016</v>
      </c>
      <c r="Z392" s="10">
        <f>INDEX([1]ratio_ins!X:X,MATCH('001_population_health_zone_zs'!$B$2,[1]ratio_ins!$B:$B,0))*$G392*INDEX([1]ratio_ins!$C:$C,MATCH('001_population_health_zone_zs'!$B392,[1]ratio_ins!$B:$B,0))</f>
        <v>291.12868400000008</v>
      </c>
      <c r="AA392" s="10">
        <f>INDEX([1]ratio_ins!Y:Y,MATCH('001_population_health_zone_zs'!$B$2,[1]ratio_ins!$B:$B,0))*$G392*INDEX([1]ratio_ins!$C:$C,MATCH('001_population_health_zone_zs'!$B392,[1]ratio_ins!$B:$B,0))</f>
        <v>145.56434200000004</v>
      </c>
      <c r="AB392" s="11">
        <f>INDEX([1]ratio_ins!Z:Z,MATCH('001_population_health_zone_zs'!$B$2,[1]ratio_ins!$B:$B,0))*$G392*INDEX([1]ratio_ins!$C:$C,MATCH('001_population_health_zone_zs'!$B392,[1]ratio_ins!$B:$B,0))</f>
        <v>1892.3364460000005</v>
      </c>
      <c r="AC392" s="12">
        <f t="shared" si="36"/>
        <v>72782.171000000002</v>
      </c>
      <c r="AD392" s="10">
        <f>INDEX([1]ratio_ins!AA:AA,MATCH('001_population_health_zone_zs'!$B$2,[1]ratio_ins!$B:$B,0))*$G392*INDEX([1]ratio_ins!$D:$D,MATCH('001_population_health_zone_zs'!$B392,[1]ratio_ins!$B:$B,0))</f>
        <v>15468.774089999999</v>
      </c>
      <c r="AE392" s="10">
        <f>INDEX([1]ratio_ins!AB:AB,MATCH('001_population_health_zone_zs'!$B$2,[1]ratio_ins!$B:$B,0))*$G392*INDEX([1]ratio_ins!$D:$D,MATCH('001_population_health_zone_zs'!$B392,[1]ratio_ins!$B:$B,0))</f>
        <v>12743.323417000001</v>
      </c>
      <c r="AF392" s="10">
        <f>INDEX([1]ratio_ins!AC:AC,MATCH('001_population_health_zone_zs'!$B$2,[1]ratio_ins!$B:$B,0))*$G392*INDEX([1]ratio_ins!$D:$D,MATCH('001_population_health_zone_zs'!$B392,[1]ratio_ins!$B:$B,0))</f>
        <v>10091.533572999999</v>
      </c>
      <c r="AG392" s="10">
        <f>INDEX([1]ratio_ins!AD:AD,MATCH('001_population_health_zone_zs'!$B$2,[1]ratio_ins!$B:$B,0))*$G392*INDEX([1]ratio_ins!$D:$D,MATCH('001_population_health_zone_zs'!$B392,[1]ratio_ins!$B:$B,0))</f>
        <v>6113.8488070000003</v>
      </c>
      <c r="AH392" s="10">
        <f>INDEX([1]ratio_ins!AE:AE,MATCH('001_population_health_zone_zs'!$B$2,[1]ratio_ins!$B:$B,0))*$G392*INDEX([1]ratio_ins!$D:$D,MATCH('001_population_health_zone_zs'!$B392,[1]ratio_ins!$B:$B,0))</f>
        <v>3668.3092842000001</v>
      </c>
      <c r="AI392" s="13">
        <f>INDEX([1]ratio_ins!AF:AF,MATCH('001_population_health_zone_zs'!$B$2,[1]ratio_ins!$B:$B,0))*$G392*INDEX([1]ratio_ins!$D:$D,MATCH('001_population_health_zone_zs'!$B392,[1]ratio_ins!$B:$B,0))</f>
        <v>41971.940364199996</v>
      </c>
      <c r="AJ392" s="10">
        <f>INDEX([1]ratio_ins!AG:AG,MATCH('001_population_health_zone_zs'!$B$2,[1]ratio_ins!$B:$B,0))*$G392*INDEX([1]ratio_ins!$D:$D,MATCH('001_population_health_zone_zs'!$B392,[1]ratio_ins!$B:$B,0))</f>
        <v>2445.5395228000002</v>
      </c>
      <c r="AK392" s="10">
        <f>INDEX([1]ratio_ins!AH:AH,MATCH('001_population_health_zone_zs'!$B$2,[1]ratio_ins!$B:$B,0))*$G392*INDEX([1]ratio_ins!$D:$D,MATCH('001_population_health_zone_zs'!$B392,[1]ratio_ins!$B:$B,0))</f>
        <v>5450.9013460000006</v>
      </c>
      <c r="AL392" s="10">
        <f>INDEX([1]ratio_ins!AI:AI,MATCH('001_population_health_zone_zs'!$B$2,[1]ratio_ins!$B:$B,0))*$G392*INDEX([1]ratio_ins!$D:$D,MATCH('001_population_health_zone_zs'!$B392,[1]ratio_ins!$B:$B,0))</f>
        <v>5156.25803</v>
      </c>
      <c r="AM392" s="10">
        <f>INDEX([1]ratio_ins!AJ:AJ,MATCH('001_population_health_zone_zs'!$B$2,[1]ratio_ins!$B:$B,0))*$G392*INDEX([1]ratio_ins!$D:$D,MATCH('001_population_health_zone_zs'!$B392,[1]ratio_ins!$B:$B,0))</f>
        <v>4714.2930560000004</v>
      </c>
      <c r="AN392" s="10">
        <f>INDEX([1]ratio_ins!AK:AK,MATCH('001_population_health_zone_zs'!$B$2,[1]ratio_ins!$B:$B,0))*$G392*INDEX([1]ratio_ins!$D:$D,MATCH('001_population_health_zone_zs'!$B392,[1]ratio_ins!$B:$B,0))</f>
        <v>4419.6497399999998</v>
      </c>
      <c r="AO392" s="10">
        <f>INDEX([1]ratio_ins!AL:AL,MATCH('001_population_health_zone_zs'!$B$2,[1]ratio_ins!$B:$B,0))*$G392*INDEX([1]ratio_ins!$D:$D,MATCH('001_population_health_zone_zs'!$B392,[1]ratio_ins!$B:$B,0))</f>
        <v>3314.7373049999997</v>
      </c>
      <c r="AP392" s="10">
        <f>INDEX([1]ratio_ins!AM:AM,MATCH('001_population_health_zone_zs'!$B$2,[1]ratio_ins!$B:$B,0))*$G392*INDEX([1]ratio_ins!$D:$D,MATCH('001_population_health_zone_zs'!$B392,[1]ratio_ins!$B:$B,0))</f>
        <v>2136.164041</v>
      </c>
      <c r="AQ392" s="10">
        <f>INDEX([1]ratio_ins!AN:AN,MATCH('001_population_health_zone_zs'!$B$2,[1]ratio_ins!$B:$B,0))*$G392*INDEX([1]ratio_ins!$D:$D,MATCH('001_population_health_zone_zs'!$B392,[1]ratio_ins!$B:$B,0))</f>
        <v>1694.199067</v>
      </c>
      <c r="AR392" s="10">
        <f>INDEX([1]ratio_ins!AO:AO,MATCH('001_population_health_zone_zs'!$B$2,[1]ratio_ins!$B:$B,0))*$G392*INDEX([1]ratio_ins!$D:$D,MATCH('001_population_health_zone_zs'!$B392,[1]ratio_ins!$B:$B,0))</f>
        <v>810.26911900000005</v>
      </c>
      <c r="AS392" s="13">
        <f>INDEX([1]ratio_ins!AP:AP,MATCH('001_population_health_zone_zs'!$B$2,[1]ratio_ins!$B:$B,0))*$G392*INDEX([1]ratio_ins!$D:$D,MATCH('001_population_health_zone_zs'!$B392,[1]ratio_ins!$B:$B,0))</f>
        <v>30142.011226799998</v>
      </c>
      <c r="AT392" s="10">
        <f>INDEX([1]ratio_ins!AQ:AQ,MATCH('001_population_health_zone_zs'!$B$2,[1]ratio_ins!$B:$B,0))*$G392*INDEX([1]ratio_ins!$D:$D,MATCH('001_population_health_zone_zs'!$B392,[1]ratio_ins!$B:$B,0))</f>
        <v>736.60829000000001</v>
      </c>
      <c r="AU392" s="10">
        <f>INDEX([1]ratio_ins!AR:AR,MATCH('001_population_health_zone_zs'!$B$2,[1]ratio_ins!$B:$B,0))*$G392*INDEX([1]ratio_ins!$D:$D,MATCH('001_population_health_zone_zs'!$B392,[1]ratio_ins!$B:$B,0))</f>
        <v>441.96497399999998</v>
      </c>
      <c r="AV392" s="10">
        <f>INDEX([1]ratio_ins!AS:AS,MATCH('001_population_health_zone_zs'!$B$2,[1]ratio_ins!$B:$B,0))*$G392*INDEX([1]ratio_ins!$D:$D,MATCH('001_population_health_zone_zs'!$B392,[1]ratio_ins!$B:$B,0))</f>
        <v>220.98248699999999</v>
      </c>
      <c r="AW392" s="10">
        <f>INDEX([1]ratio_ins!AT:AT,MATCH('001_population_health_zone_zs'!$B$2,[1]ratio_ins!$B:$B,0))*$G392*INDEX([1]ratio_ins!$D:$D,MATCH('001_population_health_zone_zs'!$B392,[1]ratio_ins!$B:$B,0))</f>
        <v>147.32165800000001</v>
      </c>
      <c r="AX392" s="13">
        <f>INDEX([1]ratio_ins!AU:AU,MATCH('001_population_health_zone_zs'!$B$2,[1]ratio_ins!$B:$B,0))*$G392*INDEX([1]ratio_ins!$D:$D,MATCH('001_population_health_zone_zs'!$B392,[1]ratio_ins!$B:$B,0))</f>
        <v>1546.8774089999999</v>
      </c>
      <c r="AY392" s="14">
        <f t="shared" si="37"/>
        <v>73660.828999999983</v>
      </c>
      <c r="AZ392" s="15">
        <f t="shared" si="38"/>
        <v>146443</v>
      </c>
      <c r="BA392" s="16">
        <v>139446.6621571435</v>
      </c>
      <c r="BB392" s="10">
        <f t="shared" si="39"/>
        <v>31305.852325</v>
      </c>
      <c r="BC392" s="17">
        <f t="shared" si="40"/>
        <v>0.21377499999999999</v>
      </c>
      <c r="BD392" s="10">
        <f t="shared" si="41"/>
        <v>30350.165306999999</v>
      </c>
    </row>
    <row r="393" spans="1:56" x14ac:dyDescent="0.25">
      <c r="A393" s="8" t="s">
        <v>943</v>
      </c>
      <c r="B393" s="8" t="s">
        <v>944</v>
      </c>
      <c r="C393" s="8" t="s">
        <v>960</v>
      </c>
      <c r="D393" s="8" t="s">
        <v>961</v>
      </c>
      <c r="E393" s="8" t="s">
        <v>960</v>
      </c>
      <c r="F393" s="8" t="s">
        <v>962</v>
      </c>
      <c r="G393" s="9">
        <v>331981</v>
      </c>
      <c r="H393" s="10">
        <f>INDEX([1]ratio_ins!F:F,MATCH('001_population_health_zone_zs'!$B$2,[1]ratio_ins!$B:$B,0))*$G393*INDEX([1]ratio_ins!$C:$C,MATCH('001_population_health_zone_zs'!$B393,[1]ratio_ins!$B:$B,0))</f>
        <v>34483.862413000003</v>
      </c>
      <c r="I393" s="10">
        <f>INDEX([1]ratio_ins!G:G,MATCH('001_population_health_zone_zs'!$B$2,[1]ratio_ins!$B:$B,0))*$G393*INDEX([1]ratio_ins!$C:$C,MATCH('001_population_health_zone_zs'!$B393,[1]ratio_ins!$B:$B,0))</f>
        <v>28214.069247000007</v>
      </c>
      <c r="J393" s="10">
        <f>INDEX([1]ratio_ins!H:H,MATCH('001_population_health_zone_zs'!$B$2,[1]ratio_ins!$B:$B,0))*$G393*INDEX([1]ratio_ins!$C:$C,MATCH('001_population_health_zone_zs'!$B393,[1]ratio_ins!$B:$B,0))</f>
        <v>22274.265195000004</v>
      </c>
      <c r="K393" s="10">
        <f>INDEX([1]ratio_ins!I:I,MATCH('001_population_health_zone_zs'!$B$2,[1]ratio_ins!$B:$B,0))*$G393*INDEX([1]ratio_ins!$C:$C,MATCH('001_population_health_zone_zs'!$B393,[1]ratio_ins!$B:$B,0))</f>
        <v>13694.548231000002</v>
      </c>
      <c r="L393" s="10">
        <f>INDEX([1]ratio_ins!J:J,MATCH('001_population_health_zone_zs'!$B$2,[1]ratio_ins!$B:$B,0))*$G393*INDEX([1]ratio_ins!$C:$C,MATCH('001_population_health_zone_zs'!$B393,[1]ratio_ins!$B:$B,0))</f>
        <v>8216.7289386000011</v>
      </c>
      <c r="M393" s="11">
        <f>INDEX([1]ratio_ins!K:K,MATCH('001_population_health_zone_zs'!$B$2,[1]ratio_ins!$B:$B,0))*$G393*INDEX([1]ratio_ins!$C:$C,MATCH('001_population_health_zone_zs'!$B393,[1]ratio_ins!$B:$B,0))</f>
        <v>93188.925793600007</v>
      </c>
      <c r="N393" s="10">
        <f>INDEX([1]ratio_ins!L:L,MATCH('001_population_health_zone_zs'!$B$2,[1]ratio_ins!$B:$B,0))*$G393*INDEX([1]ratio_ins!$C:$C,MATCH('001_population_health_zone_zs'!$B393,[1]ratio_ins!$B:$B,0))</f>
        <v>5477.8192924000004</v>
      </c>
      <c r="O393" s="10">
        <f>INDEX([1]ratio_ins!M:M,MATCH('001_population_health_zone_zs'!$B$2,[1]ratio_ins!$B:$B,0))*$G393*INDEX([1]ratio_ins!$C:$C,MATCH('001_population_health_zone_zs'!$B393,[1]ratio_ins!$B:$B,0))</f>
        <v>11879.608104000003</v>
      </c>
      <c r="P393" s="10">
        <f>INDEX([1]ratio_ins!N:N,MATCH('001_population_health_zone_zs'!$B$2,[1]ratio_ins!$B:$B,0))*$G393*INDEX([1]ratio_ins!$C:$C,MATCH('001_population_health_zone_zs'!$B393,[1]ratio_ins!$B:$B,0))</f>
        <v>10724.646205000001</v>
      </c>
      <c r="Q393" s="10">
        <f>INDEX([1]ratio_ins!O:O,MATCH('001_population_health_zone_zs'!$B$2,[1]ratio_ins!$B:$B,0))*$G393*INDEX([1]ratio_ins!$C:$C,MATCH('001_population_health_zone_zs'!$B393,[1]ratio_ins!$B:$B,0))</f>
        <v>9569.6843059999992</v>
      </c>
      <c r="R393" s="10">
        <f>INDEX([1]ratio_ins!P:P,MATCH('001_population_health_zone_zs'!$B$2,[1]ratio_ins!$B:$B,0))*$G393*INDEX([1]ratio_ins!$C:$C,MATCH('001_population_health_zone_zs'!$B393,[1]ratio_ins!$B:$B,0))</f>
        <v>9404.689749000001</v>
      </c>
      <c r="S393" s="10">
        <f>INDEX([1]ratio_ins!Q:Q,MATCH('001_population_health_zone_zs'!$B$2,[1]ratio_ins!$B:$B,0))*$G393*INDEX([1]ratio_ins!$C:$C,MATCH('001_population_health_zone_zs'!$B393,[1]ratio_ins!$B:$B,0))</f>
        <v>7919.7387360000012</v>
      </c>
      <c r="T393" s="10">
        <f>INDEX([1]ratio_ins!R:R,MATCH('001_population_health_zone_zs'!$B$2,[1]ratio_ins!$B:$B,0))*$G393*INDEX([1]ratio_ins!$C:$C,MATCH('001_population_health_zone_zs'!$B393,[1]ratio_ins!$B:$B,0))</f>
        <v>5609.8149380000013</v>
      </c>
      <c r="U393" s="10">
        <f>INDEX([1]ratio_ins!S:S,MATCH('001_population_health_zone_zs'!$B$2,[1]ratio_ins!$B:$B,0))*$G393*INDEX([1]ratio_ins!$C:$C,MATCH('001_population_health_zone_zs'!$B393,[1]ratio_ins!$B:$B,0))</f>
        <v>4454.8530390000005</v>
      </c>
      <c r="V393" s="10">
        <f>INDEX([1]ratio_ins!T:T,MATCH('001_population_health_zone_zs'!$B$2,[1]ratio_ins!$B:$B,0))*$G393*INDEX([1]ratio_ins!$C:$C,MATCH('001_population_health_zone_zs'!$B393,[1]ratio_ins!$B:$B,0))</f>
        <v>2474.9183550000002</v>
      </c>
      <c r="W393" s="11">
        <f>INDEX([1]ratio_ins!U:U,MATCH('001_population_health_zone_zs'!$B$2,[1]ratio_ins!$B:$B,0))*$G393*INDEX([1]ratio_ins!$C:$C,MATCH('001_population_health_zone_zs'!$B393,[1]ratio_ins!$B:$B,0))</f>
        <v>67515.772724400013</v>
      </c>
      <c r="X393" s="10">
        <f>INDEX([1]ratio_ins!V:V,MATCH('001_population_health_zone_zs'!$B$2,[1]ratio_ins!$B:$B,0))*$G393*INDEX([1]ratio_ins!$C:$C,MATCH('001_population_health_zone_zs'!$B393,[1]ratio_ins!$B:$B,0))</f>
        <v>1979.9346840000003</v>
      </c>
      <c r="Y393" s="10">
        <f>INDEX([1]ratio_ins!W:W,MATCH('001_population_health_zone_zs'!$B$2,[1]ratio_ins!$B:$B,0))*$G393*INDEX([1]ratio_ins!$C:$C,MATCH('001_population_health_zone_zs'!$B393,[1]ratio_ins!$B:$B,0))</f>
        <v>1319.9564560000001</v>
      </c>
      <c r="Z393" s="10">
        <f>INDEX([1]ratio_ins!X:X,MATCH('001_population_health_zone_zs'!$B$2,[1]ratio_ins!$B:$B,0))*$G393*INDEX([1]ratio_ins!$C:$C,MATCH('001_population_health_zone_zs'!$B393,[1]ratio_ins!$B:$B,0))</f>
        <v>659.97822800000006</v>
      </c>
      <c r="AA393" s="10">
        <f>INDEX([1]ratio_ins!Y:Y,MATCH('001_population_health_zone_zs'!$B$2,[1]ratio_ins!$B:$B,0))*$G393*INDEX([1]ratio_ins!$C:$C,MATCH('001_population_health_zone_zs'!$B393,[1]ratio_ins!$B:$B,0))</f>
        <v>329.98911400000003</v>
      </c>
      <c r="AB393" s="11">
        <f>INDEX([1]ratio_ins!Z:Z,MATCH('001_population_health_zone_zs'!$B$2,[1]ratio_ins!$B:$B,0))*$G393*INDEX([1]ratio_ins!$C:$C,MATCH('001_population_health_zone_zs'!$B393,[1]ratio_ins!$B:$B,0))</f>
        <v>4289.8584820000015</v>
      </c>
      <c r="AC393" s="12">
        <f t="shared" si="36"/>
        <v>164994.55700000003</v>
      </c>
      <c r="AD393" s="10">
        <f>INDEX([1]ratio_ins!AA:AA,MATCH('001_population_health_zone_zs'!$B$2,[1]ratio_ins!$B:$B,0))*$G393*INDEX([1]ratio_ins!$D:$D,MATCH('001_population_health_zone_zs'!$B393,[1]ratio_ins!$B:$B,0))</f>
        <v>35067.153029999994</v>
      </c>
      <c r="AE393" s="10">
        <f>INDEX([1]ratio_ins!AB:AB,MATCH('001_population_health_zone_zs'!$B$2,[1]ratio_ins!$B:$B,0))*$G393*INDEX([1]ratio_ins!$D:$D,MATCH('001_population_health_zone_zs'!$B393,[1]ratio_ins!$B:$B,0))</f>
        <v>28888.654639</v>
      </c>
      <c r="AF393" s="10">
        <f>INDEX([1]ratio_ins!AC:AC,MATCH('001_population_health_zone_zs'!$B$2,[1]ratio_ins!$B:$B,0))*$G393*INDEX([1]ratio_ins!$D:$D,MATCH('001_population_health_zone_zs'!$B393,[1]ratio_ins!$B:$B,0))</f>
        <v>22877.142690999997</v>
      </c>
      <c r="AG393" s="10">
        <f>INDEX([1]ratio_ins!AD:AD,MATCH('001_population_health_zone_zs'!$B$2,[1]ratio_ins!$B:$B,0))*$G393*INDEX([1]ratio_ins!$D:$D,MATCH('001_population_health_zone_zs'!$B393,[1]ratio_ins!$B:$B,0))</f>
        <v>13859.874769000002</v>
      </c>
      <c r="AH393" s="10">
        <f>INDEX([1]ratio_ins!AE:AE,MATCH('001_population_health_zone_zs'!$B$2,[1]ratio_ins!$B:$B,0))*$G393*INDEX([1]ratio_ins!$D:$D,MATCH('001_population_health_zone_zs'!$B393,[1]ratio_ins!$B:$B,0))</f>
        <v>8315.9248614000007</v>
      </c>
      <c r="AI393" s="13">
        <f>INDEX([1]ratio_ins!AF:AF,MATCH('001_population_health_zone_zs'!$B$2,[1]ratio_ins!$B:$B,0))*$G393*INDEX([1]ratio_ins!$D:$D,MATCH('001_population_health_zone_zs'!$B393,[1]ratio_ins!$B:$B,0))</f>
        <v>95148.875221399998</v>
      </c>
      <c r="AJ393" s="10">
        <f>INDEX([1]ratio_ins!AG:AG,MATCH('001_population_health_zone_zs'!$B$2,[1]ratio_ins!$B:$B,0))*$G393*INDEX([1]ratio_ins!$D:$D,MATCH('001_population_health_zone_zs'!$B393,[1]ratio_ins!$B:$B,0))</f>
        <v>5543.9499076000002</v>
      </c>
      <c r="AK393" s="10">
        <f>INDEX([1]ratio_ins!AH:AH,MATCH('001_population_health_zone_zs'!$B$2,[1]ratio_ins!$B:$B,0))*$G393*INDEX([1]ratio_ins!$D:$D,MATCH('001_population_health_zone_zs'!$B393,[1]ratio_ins!$B:$B,0))</f>
        <v>12356.996782000002</v>
      </c>
      <c r="AL393" s="10">
        <f>INDEX([1]ratio_ins!AI:AI,MATCH('001_population_health_zone_zs'!$B$2,[1]ratio_ins!$B:$B,0))*$G393*INDEX([1]ratio_ins!$D:$D,MATCH('001_population_health_zone_zs'!$B393,[1]ratio_ins!$B:$B,0))</f>
        <v>11689.051010000001</v>
      </c>
      <c r="AM393" s="10">
        <f>INDEX([1]ratio_ins!AJ:AJ,MATCH('001_population_health_zone_zs'!$B$2,[1]ratio_ins!$B:$B,0))*$G393*INDEX([1]ratio_ins!$D:$D,MATCH('001_population_health_zone_zs'!$B393,[1]ratio_ins!$B:$B,0))</f>
        <v>10687.132352000001</v>
      </c>
      <c r="AN393" s="10">
        <f>INDEX([1]ratio_ins!AK:AK,MATCH('001_population_health_zone_zs'!$B$2,[1]ratio_ins!$B:$B,0))*$G393*INDEX([1]ratio_ins!$D:$D,MATCH('001_population_health_zone_zs'!$B393,[1]ratio_ins!$B:$B,0))</f>
        <v>10019.18658</v>
      </c>
      <c r="AO393" s="10">
        <f>INDEX([1]ratio_ins!AL:AL,MATCH('001_population_health_zone_zs'!$B$2,[1]ratio_ins!$B:$B,0))*$G393*INDEX([1]ratio_ins!$D:$D,MATCH('001_population_health_zone_zs'!$B393,[1]ratio_ins!$B:$B,0))</f>
        <v>7514.3899349999992</v>
      </c>
      <c r="AP393" s="10">
        <f>INDEX([1]ratio_ins!AM:AM,MATCH('001_population_health_zone_zs'!$B$2,[1]ratio_ins!$B:$B,0))*$G393*INDEX([1]ratio_ins!$D:$D,MATCH('001_population_health_zone_zs'!$B393,[1]ratio_ins!$B:$B,0))</f>
        <v>4842.6068469999991</v>
      </c>
      <c r="AQ393" s="10">
        <f>INDEX([1]ratio_ins!AN:AN,MATCH('001_population_health_zone_zs'!$B$2,[1]ratio_ins!$B:$B,0))*$G393*INDEX([1]ratio_ins!$D:$D,MATCH('001_population_health_zone_zs'!$B393,[1]ratio_ins!$B:$B,0))</f>
        <v>3840.688189</v>
      </c>
      <c r="AR393" s="10">
        <f>INDEX([1]ratio_ins!AO:AO,MATCH('001_population_health_zone_zs'!$B$2,[1]ratio_ins!$B:$B,0))*$G393*INDEX([1]ratio_ins!$D:$D,MATCH('001_population_health_zone_zs'!$B393,[1]ratio_ins!$B:$B,0))</f>
        <v>1836.8508730000001</v>
      </c>
      <c r="AS393" s="13">
        <f>INDEX([1]ratio_ins!AP:AP,MATCH('001_population_health_zone_zs'!$B$2,[1]ratio_ins!$B:$B,0))*$G393*INDEX([1]ratio_ins!$D:$D,MATCH('001_population_health_zone_zs'!$B393,[1]ratio_ins!$B:$B,0))</f>
        <v>68330.852475600012</v>
      </c>
      <c r="AT393" s="10">
        <f>INDEX([1]ratio_ins!AQ:AQ,MATCH('001_population_health_zone_zs'!$B$2,[1]ratio_ins!$B:$B,0))*$G393*INDEX([1]ratio_ins!$D:$D,MATCH('001_population_health_zone_zs'!$B393,[1]ratio_ins!$B:$B,0))</f>
        <v>1669.8644300000001</v>
      </c>
      <c r="AU393" s="10">
        <f>INDEX([1]ratio_ins!AR:AR,MATCH('001_population_health_zone_zs'!$B$2,[1]ratio_ins!$B:$B,0))*$G393*INDEX([1]ratio_ins!$D:$D,MATCH('001_population_health_zone_zs'!$B393,[1]ratio_ins!$B:$B,0))</f>
        <v>1001.9186579999999</v>
      </c>
      <c r="AV393" s="10">
        <f>INDEX([1]ratio_ins!AS:AS,MATCH('001_population_health_zone_zs'!$B$2,[1]ratio_ins!$B:$B,0))*$G393*INDEX([1]ratio_ins!$D:$D,MATCH('001_population_health_zone_zs'!$B393,[1]ratio_ins!$B:$B,0))</f>
        <v>500.95932899999997</v>
      </c>
      <c r="AW393" s="10">
        <f>INDEX([1]ratio_ins!AT:AT,MATCH('001_population_health_zone_zs'!$B$2,[1]ratio_ins!$B:$B,0))*$G393*INDEX([1]ratio_ins!$D:$D,MATCH('001_population_health_zone_zs'!$B393,[1]ratio_ins!$B:$B,0))</f>
        <v>333.97288600000002</v>
      </c>
      <c r="AX393" s="13">
        <f>INDEX([1]ratio_ins!AU:AU,MATCH('001_population_health_zone_zs'!$B$2,[1]ratio_ins!$B:$B,0))*$G393*INDEX([1]ratio_ins!$D:$D,MATCH('001_population_health_zone_zs'!$B393,[1]ratio_ins!$B:$B,0))</f>
        <v>3506.7153029999999</v>
      </c>
      <c r="AY393" s="14">
        <f t="shared" si="37"/>
        <v>166986.44300000003</v>
      </c>
      <c r="AZ393" s="15">
        <f t="shared" si="38"/>
        <v>331981.00000000006</v>
      </c>
      <c r="BA393" s="16">
        <v>316119.18127540412</v>
      </c>
      <c r="BB393" s="10">
        <f t="shared" si="39"/>
        <v>70969.238275000011</v>
      </c>
      <c r="BC393" s="17">
        <f t="shared" si="40"/>
        <v>0.21377500000000002</v>
      </c>
      <c r="BD393" s="10">
        <f t="shared" si="41"/>
        <v>68802.730268999992</v>
      </c>
    </row>
    <row r="394" spans="1:56" x14ac:dyDescent="0.25">
      <c r="A394" s="8" t="s">
        <v>943</v>
      </c>
      <c r="B394" s="8" t="s">
        <v>944</v>
      </c>
      <c r="C394" s="8" t="s">
        <v>960</v>
      </c>
      <c r="D394" s="8" t="s">
        <v>961</v>
      </c>
      <c r="E394" s="8" t="s">
        <v>963</v>
      </c>
      <c r="F394" s="8" t="s">
        <v>964</v>
      </c>
      <c r="G394" s="9">
        <v>481445</v>
      </c>
      <c r="H394" s="10">
        <f>INDEX([1]ratio_ins!F:F,MATCH('001_population_health_zone_zs'!$B$2,[1]ratio_ins!$B:$B,0))*$G394*INDEX([1]ratio_ins!$C:$C,MATCH('001_population_health_zone_zs'!$B394,[1]ratio_ins!$B:$B,0))</f>
        <v>50009.136485000003</v>
      </c>
      <c r="I394" s="10">
        <f>INDEX([1]ratio_ins!G:G,MATCH('001_population_health_zone_zs'!$B$2,[1]ratio_ins!$B:$B,0))*$G394*INDEX([1]ratio_ins!$C:$C,MATCH('001_population_health_zone_zs'!$B394,[1]ratio_ins!$B:$B,0))</f>
        <v>40916.566215000006</v>
      </c>
      <c r="J394" s="10">
        <f>INDEX([1]ratio_ins!H:H,MATCH('001_population_health_zone_zs'!$B$2,[1]ratio_ins!$B:$B,0))*$G394*INDEX([1]ratio_ins!$C:$C,MATCH('001_population_health_zone_zs'!$B394,[1]ratio_ins!$B:$B,0))</f>
        <v>32302.552275000005</v>
      </c>
      <c r="K394" s="10">
        <f>INDEX([1]ratio_ins!I:I,MATCH('001_population_health_zone_zs'!$B$2,[1]ratio_ins!$B:$B,0))*$G394*INDEX([1]ratio_ins!$C:$C,MATCH('001_population_health_zone_zs'!$B394,[1]ratio_ins!$B:$B,0))</f>
        <v>19860.087695000006</v>
      </c>
      <c r="L394" s="10">
        <f>INDEX([1]ratio_ins!J:J,MATCH('001_population_health_zone_zs'!$B$2,[1]ratio_ins!$B:$B,0))*$G394*INDEX([1]ratio_ins!$C:$C,MATCH('001_population_health_zone_zs'!$B394,[1]ratio_ins!$B:$B,0))</f>
        <v>11916.052617000001</v>
      </c>
      <c r="M394" s="11">
        <f>INDEX([1]ratio_ins!K:K,MATCH('001_population_health_zone_zs'!$B$2,[1]ratio_ins!$B:$B,0))*$G394*INDEX([1]ratio_ins!$C:$C,MATCH('001_population_health_zone_zs'!$B394,[1]ratio_ins!$B:$B,0))</f>
        <v>135144.30759200003</v>
      </c>
      <c r="N394" s="10">
        <f>INDEX([1]ratio_ins!L:L,MATCH('001_population_health_zone_zs'!$B$2,[1]ratio_ins!$B:$B,0))*$G394*INDEX([1]ratio_ins!$C:$C,MATCH('001_population_health_zone_zs'!$B394,[1]ratio_ins!$B:$B,0))</f>
        <v>7944.0350780000008</v>
      </c>
      <c r="O394" s="10">
        <f>INDEX([1]ratio_ins!M:M,MATCH('001_population_health_zone_zs'!$B$2,[1]ratio_ins!$B:$B,0))*$G394*INDEX([1]ratio_ins!$C:$C,MATCH('001_population_health_zone_zs'!$B394,[1]ratio_ins!$B:$B,0))</f>
        <v>17228.027880000001</v>
      </c>
      <c r="P394" s="10">
        <f>INDEX([1]ratio_ins!N:N,MATCH('001_population_health_zone_zs'!$B$2,[1]ratio_ins!$B:$B,0))*$G394*INDEX([1]ratio_ins!$C:$C,MATCH('001_population_health_zone_zs'!$B394,[1]ratio_ins!$B:$B,0))</f>
        <v>15553.080725000002</v>
      </c>
      <c r="Q394" s="10">
        <f>INDEX([1]ratio_ins!O:O,MATCH('001_population_health_zone_zs'!$B$2,[1]ratio_ins!$B:$B,0))*$G394*INDEX([1]ratio_ins!$C:$C,MATCH('001_population_health_zone_zs'!$B394,[1]ratio_ins!$B:$B,0))</f>
        <v>13878.13357</v>
      </c>
      <c r="R394" s="10">
        <f>INDEX([1]ratio_ins!P:P,MATCH('001_population_health_zone_zs'!$B$2,[1]ratio_ins!$B:$B,0))*$G394*INDEX([1]ratio_ins!$C:$C,MATCH('001_population_health_zone_zs'!$B394,[1]ratio_ins!$B:$B,0))</f>
        <v>13638.855405000002</v>
      </c>
      <c r="S394" s="10">
        <f>INDEX([1]ratio_ins!Q:Q,MATCH('001_population_health_zone_zs'!$B$2,[1]ratio_ins!$B:$B,0))*$G394*INDEX([1]ratio_ins!$C:$C,MATCH('001_population_health_zone_zs'!$B394,[1]ratio_ins!$B:$B,0))</f>
        <v>11485.351920000001</v>
      </c>
      <c r="T394" s="10">
        <f>INDEX([1]ratio_ins!R:R,MATCH('001_population_health_zone_zs'!$B$2,[1]ratio_ins!$B:$B,0))*$G394*INDEX([1]ratio_ins!$C:$C,MATCH('001_population_health_zone_zs'!$B394,[1]ratio_ins!$B:$B,0))</f>
        <v>8135.4576100000013</v>
      </c>
      <c r="U394" s="10">
        <f>INDEX([1]ratio_ins!S:S,MATCH('001_population_health_zone_zs'!$B$2,[1]ratio_ins!$B:$B,0))*$G394*INDEX([1]ratio_ins!$C:$C,MATCH('001_population_health_zone_zs'!$B394,[1]ratio_ins!$B:$B,0))</f>
        <v>6460.5104550000015</v>
      </c>
      <c r="V394" s="10">
        <f>INDEX([1]ratio_ins!T:T,MATCH('001_population_health_zone_zs'!$B$2,[1]ratio_ins!$B:$B,0))*$G394*INDEX([1]ratio_ins!$C:$C,MATCH('001_population_health_zone_zs'!$B394,[1]ratio_ins!$B:$B,0))</f>
        <v>3589.1724750000003</v>
      </c>
      <c r="W394" s="11">
        <f>INDEX([1]ratio_ins!U:U,MATCH('001_population_health_zone_zs'!$B$2,[1]ratio_ins!$B:$B,0))*$G394*INDEX([1]ratio_ins!$C:$C,MATCH('001_population_health_zone_zs'!$B394,[1]ratio_ins!$B:$B,0))</f>
        <v>97912.625118000011</v>
      </c>
      <c r="X394" s="10">
        <f>INDEX([1]ratio_ins!V:V,MATCH('001_population_health_zone_zs'!$B$2,[1]ratio_ins!$B:$B,0))*$G394*INDEX([1]ratio_ins!$C:$C,MATCH('001_population_health_zone_zs'!$B394,[1]ratio_ins!$B:$B,0))</f>
        <v>2871.3379800000002</v>
      </c>
      <c r="Y394" s="10">
        <f>INDEX([1]ratio_ins!W:W,MATCH('001_population_health_zone_zs'!$B$2,[1]ratio_ins!$B:$B,0))*$G394*INDEX([1]ratio_ins!$C:$C,MATCH('001_population_health_zone_zs'!$B394,[1]ratio_ins!$B:$B,0))</f>
        <v>1914.2253200000002</v>
      </c>
      <c r="Z394" s="10">
        <f>INDEX([1]ratio_ins!X:X,MATCH('001_population_health_zone_zs'!$B$2,[1]ratio_ins!$B:$B,0))*$G394*INDEX([1]ratio_ins!$C:$C,MATCH('001_population_health_zone_zs'!$B394,[1]ratio_ins!$B:$B,0))</f>
        <v>957.11266000000012</v>
      </c>
      <c r="AA394" s="10">
        <f>INDEX([1]ratio_ins!Y:Y,MATCH('001_population_health_zone_zs'!$B$2,[1]ratio_ins!$B:$B,0))*$G394*INDEX([1]ratio_ins!$C:$C,MATCH('001_population_health_zone_zs'!$B394,[1]ratio_ins!$B:$B,0))</f>
        <v>478.55633000000006</v>
      </c>
      <c r="AB394" s="11">
        <f>INDEX([1]ratio_ins!Z:Z,MATCH('001_population_health_zone_zs'!$B$2,[1]ratio_ins!$B:$B,0))*$G394*INDEX([1]ratio_ins!$C:$C,MATCH('001_population_health_zone_zs'!$B394,[1]ratio_ins!$B:$B,0))</f>
        <v>6221.2322900000017</v>
      </c>
      <c r="AC394" s="12">
        <f t="shared" si="36"/>
        <v>239278.16500000004</v>
      </c>
      <c r="AD394" s="10">
        <f>INDEX([1]ratio_ins!AA:AA,MATCH('001_population_health_zone_zs'!$B$2,[1]ratio_ins!$B:$B,0))*$G394*INDEX([1]ratio_ins!$D:$D,MATCH('001_population_health_zone_zs'!$B394,[1]ratio_ins!$B:$B,0))</f>
        <v>50855.035349999998</v>
      </c>
      <c r="AE394" s="10">
        <f>INDEX([1]ratio_ins!AB:AB,MATCH('001_population_health_zone_zs'!$B$2,[1]ratio_ins!$B:$B,0))*$G394*INDEX([1]ratio_ins!$D:$D,MATCH('001_population_health_zone_zs'!$B394,[1]ratio_ins!$B:$B,0))</f>
        <v>41894.862455000002</v>
      </c>
      <c r="AF394" s="10">
        <f>INDEX([1]ratio_ins!AC:AC,MATCH('001_population_health_zone_zs'!$B$2,[1]ratio_ins!$B:$B,0))*$G394*INDEX([1]ratio_ins!$D:$D,MATCH('001_population_health_zone_zs'!$B394,[1]ratio_ins!$B:$B,0))</f>
        <v>33176.856394999995</v>
      </c>
      <c r="AG394" s="10">
        <f>INDEX([1]ratio_ins!AD:AD,MATCH('001_population_health_zone_zs'!$B$2,[1]ratio_ins!$B:$B,0))*$G394*INDEX([1]ratio_ins!$D:$D,MATCH('001_population_health_zone_zs'!$B394,[1]ratio_ins!$B:$B,0))</f>
        <v>20099.847305000003</v>
      </c>
      <c r="AH394" s="10">
        <f>INDEX([1]ratio_ins!AE:AE,MATCH('001_population_health_zone_zs'!$B$2,[1]ratio_ins!$B:$B,0))*$G394*INDEX([1]ratio_ins!$D:$D,MATCH('001_population_health_zone_zs'!$B394,[1]ratio_ins!$B:$B,0))</f>
        <v>12059.908383</v>
      </c>
      <c r="AI394" s="13">
        <f>INDEX([1]ratio_ins!AF:AF,MATCH('001_population_health_zone_zs'!$B$2,[1]ratio_ins!$B:$B,0))*$G394*INDEX([1]ratio_ins!$D:$D,MATCH('001_population_health_zone_zs'!$B394,[1]ratio_ins!$B:$B,0))</f>
        <v>137986.662583</v>
      </c>
      <c r="AJ394" s="10">
        <f>INDEX([1]ratio_ins!AG:AG,MATCH('001_population_health_zone_zs'!$B$2,[1]ratio_ins!$B:$B,0))*$G394*INDEX([1]ratio_ins!$D:$D,MATCH('001_population_health_zone_zs'!$B394,[1]ratio_ins!$B:$B,0))</f>
        <v>8039.9389220000003</v>
      </c>
      <c r="AK394" s="10">
        <f>INDEX([1]ratio_ins!AH:AH,MATCH('001_population_health_zone_zs'!$B$2,[1]ratio_ins!$B:$B,0))*$G394*INDEX([1]ratio_ins!$D:$D,MATCH('001_population_health_zone_zs'!$B394,[1]ratio_ins!$B:$B,0))</f>
        <v>17920.345790000003</v>
      </c>
      <c r="AL394" s="10">
        <f>INDEX([1]ratio_ins!AI:AI,MATCH('001_population_health_zone_zs'!$B$2,[1]ratio_ins!$B:$B,0))*$G394*INDEX([1]ratio_ins!$D:$D,MATCH('001_population_health_zone_zs'!$B394,[1]ratio_ins!$B:$B,0))</f>
        <v>16951.678449999999</v>
      </c>
      <c r="AM394" s="10">
        <f>INDEX([1]ratio_ins!AJ:AJ,MATCH('001_population_health_zone_zs'!$B$2,[1]ratio_ins!$B:$B,0))*$G394*INDEX([1]ratio_ins!$D:$D,MATCH('001_population_health_zone_zs'!$B394,[1]ratio_ins!$B:$B,0))</f>
        <v>15498.677439999999</v>
      </c>
      <c r="AN394" s="10">
        <f>INDEX([1]ratio_ins!AK:AK,MATCH('001_population_health_zone_zs'!$B$2,[1]ratio_ins!$B:$B,0))*$G394*INDEX([1]ratio_ins!$D:$D,MATCH('001_population_health_zone_zs'!$B394,[1]ratio_ins!$B:$B,0))</f>
        <v>14530.010100000001</v>
      </c>
      <c r="AO394" s="10">
        <f>INDEX([1]ratio_ins!AL:AL,MATCH('001_population_health_zone_zs'!$B$2,[1]ratio_ins!$B:$B,0))*$G394*INDEX([1]ratio_ins!$D:$D,MATCH('001_population_health_zone_zs'!$B394,[1]ratio_ins!$B:$B,0))</f>
        <v>10897.507575</v>
      </c>
      <c r="AP394" s="10">
        <f>INDEX([1]ratio_ins!AM:AM,MATCH('001_population_health_zone_zs'!$B$2,[1]ratio_ins!$B:$B,0))*$G394*INDEX([1]ratio_ins!$D:$D,MATCH('001_population_health_zone_zs'!$B394,[1]ratio_ins!$B:$B,0))</f>
        <v>7022.8382149999998</v>
      </c>
      <c r="AQ394" s="10">
        <f>INDEX([1]ratio_ins!AN:AN,MATCH('001_population_health_zone_zs'!$B$2,[1]ratio_ins!$B:$B,0))*$G394*INDEX([1]ratio_ins!$D:$D,MATCH('001_population_health_zone_zs'!$B394,[1]ratio_ins!$B:$B,0))</f>
        <v>5569.8372050000007</v>
      </c>
      <c r="AR394" s="10">
        <f>INDEX([1]ratio_ins!AO:AO,MATCH('001_population_health_zone_zs'!$B$2,[1]ratio_ins!$B:$B,0))*$G394*INDEX([1]ratio_ins!$D:$D,MATCH('001_population_health_zone_zs'!$B394,[1]ratio_ins!$B:$B,0))</f>
        <v>2663.8351850000004</v>
      </c>
      <c r="AS394" s="13">
        <f>INDEX([1]ratio_ins!AP:AP,MATCH('001_population_health_zone_zs'!$B$2,[1]ratio_ins!$B:$B,0))*$G394*INDEX([1]ratio_ins!$D:$D,MATCH('001_population_health_zone_zs'!$B394,[1]ratio_ins!$B:$B,0))</f>
        <v>99094.668881999998</v>
      </c>
      <c r="AT394" s="10">
        <f>INDEX([1]ratio_ins!AQ:AQ,MATCH('001_population_health_zone_zs'!$B$2,[1]ratio_ins!$B:$B,0))*$G394*INDEX([1]ratio_ins!$D:$D,MATCH('001_population_health_zone_zs'!$B394,[1]ratio_ins!$B:$B,0))</f>
        <v>2421.6683499999999</v>
      </c>
      <c r="AU394" s="10">
        <f>INDEX([1]ratio_ins!AR:AR,MATCH('001_population_health_zone_zs'!$B$2,[1]ratio_ins!$B:$B,0))*$G394*INDEX([1]ratio_ins!$D:$D,MATCH('001_population_health_zone_zs'!$B394,[1]ratio_ins!$B:$B,0))</f>
        <v>1453.00101</v>
      </c>
      <c r="AV394" s="10">
        <f>INDEX([1]ratio_ins!AS:AS,MATCH('001_population_health_zone_zs'!$B$2,[1]ratio_ins!$B:$B,0))*$G394*INDEX([1]ratio_ins!$D:$D,MATCH('001_population_health_zone_zs'!$B394,[1]ratio_ins!$B:$B,0))</f>
        <v>726.50050499999998</v>
      </c>
      <c r="AW394" s="10">
        <f>INDEX([1]ratio_ins!AT:AT,MATCH('001_population_health_zone_zs'!$B$2,[1]ratio_ins!$B:$B,0))*$G394*INDEX([1]ratio_ins!$D:$D,MATCH('001_population_health_zone_zs'!$B394,[1]ratio_ins!$B:$B,0))</f>
        <v>484.33366999999998</v>
      </c>
      <c r="AX394" s="13">
        <f>INDEX([1]ratio_ins!AU:AU,MATCH('001_population_health_zone_zs'!$B$2,[1]ratio_ins!$B:$B,0))*$G394*INDEX([1]ratio_ins!$D:$D,MATCH('001_population_health_zone_zs'!$B394,[1]ratio_ins!$B:$B,0))</f>
        <v>5085.5035349999998</v>
      </c>
      <c r="AY394" s="14">
        <f t="shared" si="37"/>
        <v>242166.83499999999</v>
      </c>
      <c r="AZ394" s="15">
        <f t="shared" si="38"/>
        <v>481445</v>
      </c>
      <c r="BA394" s="16">
        <v>458442.42615112552</v>
      </c>
      <c r="BB394" s="10">
        <f t="shared" si="39"/>
        <v>102920.90487499999</v>
      </c>
      <c r="BC394" s="17">
        <f t="shared" si="40"/>
        <v>0.21377499999999999</v>
      </c>
      <c r="BD394" s="10">
        <f t="shared" si="41"/>
        <v>99778.994804999995</v>
      </c>
    </row>
    <row r="395" spans="1:56" x14ac:dyDescent="0.25">
      <c r="A395" s="8" t="s">
        <v>943</v>
      </c>
      <c r="B395" s="8" t="s">
        <v>944</v>
      </c>
      <c r="C395" s="8" t="s">
        <v>965</v>
      </c>
      <c r="D395" s="8" t="s">
        <v>966</v>
      </c>
      <c r="E395" s="8" t="s">
        <v>967</v>
      </c>
      <c r="F395" s="8" t="s">
        <v>968</v>
      </c>
      <c r="G395" s="9">
        <v>227671</v>
      </c>
      <c r="H395" s="10">
        <f>INDEX([1]ratio_ins!F:F,MATCH('001_population_health_zone_zs'!$B$2,[1]ratio_ins!$B:$B,0))*$G395*INDEX([1]ratio_ins!$C:$C,MATCH('001_population_health_zone_zs'!$B395,[1]ratio_ins!$B:$B,0))</f>
        <v>23648.869783000002</v>
      </c>
      <c r="I395" s="10">
        <f>INDEX([1]ratio_ins!G:G,MATCH('001_population_health_zone_zs'!$B$2,[1]ratio_ins!$B:$B,0))*$G395*INDEX([1]ratio_ins!$C:$C,MATCH('001_population_health_zone_zs'!$B395,[1]ratio_ins!$B:$B,0))</f>
        <v>19349.075277000004</v>
      </c>
      <c r="J395" s="10">
        <f>INDEX([1]ratio_ins!H:H,MATCH('001_population_health_zone_zs'!$B$2,[1]ratio_ins!$B:$B,0))*$G395*INDEX([1]ratio_ins!$C:$C,MATCH('001_population_health_zone_zs'!$B395,[1]ratio_ins!$B:$B,0))</f>
        <v>15275.585745000002</v>
      </c>
      <c r="K395" s="10">
        <f>INDEX([1]ratio_ins!I:I,MATCH('001_population_health_zone_zs'!$B$2,[1]ratio_ins!$B:$B,0))*$G395*INDEX([1]ratio_ins!$C:$C,MATCH('001_population_health_zone_zs'!$B395,[1]ratio_ins!$B:$B,0))</f>
        <v>9391.6564210000015</v>
      </c>
      <c r="L395" s="10">
        <f>INDEX([1]ratio_ins!J:J,MATCH('001_population_health_zone_zs'!$B$2,[1]ratio_ins!$B:$B,0))*$G395*INDEX([1]ratio_ins!$C:$C,MATCH('001_population_health_zone_zs'!$B395,[1]ratio_ins!$B:$B,0))</f>
        <v>5634.9938526000005</v>
      </c>
      <c r="M395" s="11">
        <f>INDEX([1]ratio_ins!K:K,MATCH('001_population_health_zone_zs'!$B$2,[1]ratio_ins!$B:$B,0))*$G395*INDEX([1]ratio_ins!$C:$C,MATCH('001_population_health_zone_zs'!$B395,[1]ratio_ins!$B:$B,0))</f>
        <v>63908.524657600006</v>
      </c>
      <c r="N395" s="10">
        <f>INDEX([1]ratio_ins!L:L,MATCH('001_population_health_zone_zs'!$B$2,[1]ratio_ins!$B:$B,0))*$G395*INDEX([1]ratio_ins!$C:$C,MATCH('001_population_health_zone_zs'!$B395,[1]ratio_ins!$B:$B,0))</f>
        <v>3756.6625684000005</v>
      </c>
      <c r="O395" s="10">
        <f>INDEX([1]ratio_ins!M:M,MATCH('001_population_health_zone_zs'!$B$2,[1]ratio_ins!$B:$B,0))*$G395*INDEX([1]ratio_ins!$C:$C,MATCH('001_population_health_zone_zs'!$B395,[1]ratio_ins!$B:$B,0))</f>
        <v>8146.9790640000019</v>
      </c>
      <c r="P395" s="10">
        <f>INDEX([1]ratio_ins!N:N,MATCH('001_population_health_zone_zs'!$B$2,[1]ratio_ins!$B:$B,0))*$G395*INDEX([1]ratio_ins!$C:$C,MATCH('001_population_health_zone_zs'!$B395,[1]ratio_ins!$B:$B,0))</f>
        <v>7354.9116550000008</v>
      </c>
      <c r="Q395" s="10">
        <f>INDEX([1]ratio_ins!O:O,MATCH('001_population_health_zone_zs'!$B$2,[1]ratio_ins!$B:$B,0))*$G395*INDEX([1]ratio_ins!$C:$C,MATCH('001_population_health_zone_zs'!$B395,[1]ratio_ins!$B:$B,0))</f>
        <v>6562.8442460000006</v>
      </c>
      <c r="R395" s="10">
        <f>INDEX([1]ratio_ins!P:P,MATCH('001_population_health_zone_zs'!$B$2,[1]ratio_ins!$B:$B,0))*$G395*INDEX([1]ratio_ins!$C:$C,MATCH('001_population_health_zone_zs'!$B395,[1]ratio_ins!$B:$B,0))</f>
        <v>6449.6917590000012</v>
      </c>
      <c r="S395" s="10">
        <f>INDEX([1]ratio_ins!Q:Q,MATCH('001_population_health_zone_zs'!$B$2,[1]ratio_ins!$B:$B,0))*$G395*INDEX([1]ratio_ins!$C:$C,MATCH('001_population_health_zone_zs'!$B395,[1]ratio_ins!$B:$B,0))</f>
        <v>5431.3193760000013</v>
      </c>
      <c r="T395" s="10">
        <f>INDEX([1]ratio_ins!R:R,MATCH('001_population_health_zone_zs'!$B$2,[1]ratio_ins!$B:$B,0))*$G395*INDEX([1]ratio_ins!$C:$C,MATCH('001_population_health_zone_zs'!$B395,[1]ratio_ins!$B:$B,0))</f>
        <v>3847.1845580000004</v>
      </c>
      <c r="U395" s="10">
        <f>INDEX([1]ratio_ins!S:S,MATCH('001_population_health_zone_zs'!$B$2,[1]ratio_ins!$B:$B,0))*$G395*INDEX([1]ratio_ins!$C:$C,MATCH('001_population_health_zone_zs'!$B395,[1]ratio_ins!$B:$B,0))</f>
        <v>3055.1171490000011</v>
      </c>
      <c r="V395" s="10">
        <f>INDEX([1]ratio_ins!T:T,MATCH('001_population_health_zone_zs'!$B$2,[1]ratio_ins!$B:$B,0))*$G395*INDEX([1]ratio_ins!$C:$C,MATCH('001_population_health_zone_zs'!$B395,[1]ratio_ins!$B:$B,0))</f>
        <v>1697.2873050000003</v>
      </c>
      <c r="W395" s="11">
        <f>INDEX([1]ratio_ins!U:U,MATCH('001_population_health_zone_zs'!$B$2,[1]ratio_ins!$B:$B,0))*$G395*INDEX([1]ratio_ins!$C:$C,MATCH('001_population_health_zone_zs'!$B395,[1]ratio_ins!$B:$B,0))</f>
        <v>46301.997680400011</v>
      </c>
      <c r="X395" s="10">
        <f>INDEX([1]ratio_ins!V:V,MATCH('001_population_health_zone_zs'!$B$2,[1]ratio_ins!$B:$B,0))*$G395*INDEX([1]ratio_ins!$C:$C,MATCH('001_population_health_zone_zs'!$B395,[1]ratio_ins!$B:$B,0))</f>
        <v>1357.8298440000003</v>
      </c>
      <c r="Y395" s="10">
        <f>INDEX([1]ratio_ins!W:W,MATCH('001_population_health_zone_zs'!$B$2,[1]ratio_ins!$B:$B,0))*$G395*INDEX([1]ratio_ins!$C:$C,MATCH('001_population_health_zone_zs'!$B395,[1]ratio_ins!$B:$B,0))</f>
        <v>905.21989600000006</v>
      </c>
      <c r="Z395" s="10">
        <f>INDEX([1]ratio_ins!X:X,MATCH('001_population_health_zone_zs'!$B$2,[1]ratio_ins!$B:$B,0))*$G395*INDEX([1]ratio_ins!$C:$C,MATCH('001_population_health_zone_zs'!$B395,[1]ratio_ins!$B:$B,0))</f>
        <v>452.60994800000003</v>
      </c>
      <c r="AA395" s="10">
        <f>INDEX([1]ratio_ins!Y:Y,MATCH('001_population_health_zone_zs'!$B$2,[1]ratio_ins!$B:$B,0))*$G395*INDEX([1]ratio_ins!$C:$C,MATCH('001_population_health_zone_zs'!$B395,[1]ratio_ins!$B:$B,0))</f>
        <v>226.30497400000002</v>
      </c>
      <c r="AB395" s="11">
        <f>INDEX([1]ratio_ins!Z:Z,MATCH('001_population_health_zone_zs'!$B$2,[1]ratio_ins!$B:$B,0))*$G395*INDEX([1]ratio_ins!$C:$C,MATCH('001_population_health_zone_zs'!$B395,[1]ratio_ins!$B:$B,0))</f>
        <v>2941.9646620000008</v>
      </c>
      <c r="AC395" s="12">
        <f t="shared" si="36"/>
        <v>113152.48700000001</v>
      </c>
      <c r="AD395" s="10">
        <f>INDEX([1]ratio_ins!AA:AA,MATCH('001_population_health_zone_zs'!$B$2,[1]ratio_ins!$B:$B,0))*$G395*INDEX([1]ratio_ins!$D:$D,MATCH('001_population_health_zone_zs'!$B395,[1]ratio_ins!$B:$B,0))</f>
        <v>24048.887729999999</v>
      </c>
      <c r="AE395" s="10">
        <f>INDEX([1]ratio_ins!AB:AB,MATCH('001_population_health_zone_zs'!$B$2,[1]ratio_ins!$B:$B,0))*$G395*INDEX([1]ratio_ins!$D:$D,MATCH('001_population_health_zone_zs'!$B395,[1]ratio_ins!$B:$B,0))</f>
        <v>19811.702749000004</v>
      </c>
      <c r="AF395" s="10">
        <f>INDEX([1]ratio_ins!AC:AC,MATCH('001_population_health_zone_zs'!$B$2,[1]ratio_ins!$B:$B,0))*$G395*INDEX([1]ratio_ins!$D:$D,MATCH('001_population_health_zone_zs'!$B395,[1]ratio_ins!$B:$B,0))</f>
        <v>15689.036280999999</v>
      </c>
      <c r="AG395" s="10">
        <f>INDEX([1]ratio_ins!AD:AD,MATCH('001_population_health_zone_zs'!$B$2,[1]ratio_ins!$B:$B,0))*$G395*INDEX([1]ratio_ins!$D:$D,MATCH('001_population_health_zone_zs'!$B395,[1]ratio_ins!$B:$B,0))</f>
        <v>9505.0365789999996</v>
      </c>
      <c r="AH395" s="10">
        <f>INDEX([1]ratio_ins!AE:AE,MATCH('001_population_health_zone_zs'!$B$2,[1]ratio_ins!$B:$B,0))*$G395*INDEX([1]ratio_ins!$D:$D,MATCH('001_population_health_zone_zs'!$B395,[1]ratio_ins!$B:$B,0))</f>
        <v>5703.0219473999996</v>
      </c>
      <c r="AI395" s="13">
        <f>INDEX([1]ratio_ins!AF:AF,MATCH('001_population_health_zone_zs'!$B$2,[1]ratio_ins!$B:$B,0))*$G395*INDEX([1]ratio_ins!$D:$D,MATCH('001_population_health_zone_zs'!$B395,[1]ratio_ins!$B:$B,0))</f>
        <v>65252.648707399996</v>
      </c>
      <c r="AJ395" s="10">
        <f>INDEX([1]ratio_ins!AG:AG,MATCH('001_population_health_zone_zs'!$B$2,[1]ratio_ins!$B:$B,0))*$G395*INDEX([1]ratio_ins!$D:$D,MATCH('001_population_health_zone_zs'!$B395,[1]ratio_ins!$B:$B,0))</f>
        <v>3802.0146316</v>
      </c>
      <c r="AK395" s="10">
        <f>INDEX([1]ratio_ins!AH:AH,MATCH('001_population_health_zone_zs'!$B$2,[1]ratio_ins!$B:$B,0))*$G395*INDEX([1]ratio_ins!$D:$D,MATCH('001_population_health_zone_zs'!$B395,[1]ratio_ins!$B:$B,0))</f>
        <v>8474.3699620000007</v>
      </c>
      <c r="AL395" s="10">
        <f>INDEX([1]ratio_ins!AI:AI,MATCH('001_population_health_zone_zs'!$B$2,[1]ratio_ins!$B:$B,0))*$G395*INDEX([1]ratio_ins!$D:$D,MATCH('001_population_health_zone_zs'!$B395,[1]ratio_ins!$B:$B,0))</f>
        <v>8016.2959100000007</v>
      </c>
      <c r="AM395" s="10">
        <f>INDEX([1]ratio_ins!AJ:AJ,MATCH('001_population_health_zone_zs'!$B$2,[1]ratio_ins!$B:$B,0))*$G395*INDEX([1]ratio_ins!$D:$D,MATCH('001_population_health_zone_zs'!$B395,[1]ratio_ins!$B:$B,0))</f>
        <v>7329.1848319999999</v>
      </c>
      <c r="AN395" s="10">
        <f>INDEX([1]ratio_ins!AK:AK,MATCH('001_population_health_zone_zs'!$B$2,[1]ratio_ins!$B:$B,0))*$G395*INDEX([1]ratio_ins!$D:$D,MATCH('001_population_health_zone_zs'!$B395,[1]ratio_ins!$B:$B,0))</f>
        <v>6871.11078</v>
      </c>
      <c r="AO395" s="10">
        <f>INDEX([1]ratio_ins!AL:AL,MATCH('001_population_health_zone_zs'!$B$2,[1]ratio_ins!$B:$B,0))*$G395*INDEX([1]ratio_ins!$D:$D,MATCH('001_population_health_zone_zs'!$B395,[1]ratio_ins!$B:$B,0))</f>
        <v>5153.3330850000002</v>
      </c>
      <c r="AP395" s="10">
        <f>INDEX([1]ratio_ins!AM:AM,MATCH('001_population_health_zone_zs'!$B$2,[1]ratio_ins!$B:$B,0))*$G395*INDEX([1]ratio_ins!$D:$D,MATCH('001_population_health_zone_zs'!$B395,[1]ratio_ins!$B:$B,0))</f>
        <v>3321.036877</v>
      </c>
      <c r="AQ395" s="10">
        <f>INDEX([1]ratio_ins!AN:AN,MATCH('001_population_health_zone_zs'!$B$2,[1]ratio_ins!$B:$B,0))*$G395*INDEX([1]ratio_ins!$D:$D,MATCH('001_population_health_zone_zs'!$B395,[1]ratio_ins!$B:$B,0))</f>
        <v>2633.9257990000001</v>
      </c>
      <c r="AR395" s="10">
        <f>INDEX([1]ratio_ins!AO:AO,MATCH('001_population_health_zone_zs'!$B$2,[1]ratio_ins!$B:$B,0))*$G395*INDEX([1]ratio_ins!$D:$D,MATCH('001_population_health_zone_zs'!$B395,[1]ratio_ins!$B:$B,0))</f>
        <v>1259.7036430000001</v>
      </c>
      <c r="AS395" s="13">
        <f>INDEX([1]ratio_ins!AP:AP,MATCH('001_population_health_zone_zs'!$B$2,[1]ratio_ins!$B:$B,0))*$G395*INDEX([1]ratio_ins!$D:$D,MATCH('001_population_health_zone_zs'!$B395,[1]ratio_ins!$B:$B,0))</f>
        <v>46860.975519600004</v>
      </c>
      <c r="AT395" s="10">
        <f>INDEX([1]ratio_ins!AQ:AQ,MATCH('001_population_health_zone_zs'!$B$2,[1]ratio_ins!$B:$B,0))*$G395*INDEX([1]ratio_ins!$D:$D,MATCH('001_population_health_zone_zs'!$B395,[1]ratio_ins!$B:$B,0))</f>
        <v>1145.1851300000001</v>
      </c>
      <c r="AU395" s="10">
        <f>INDEX([1]ratio_ins!AR:AR,MATCH('001_population_health_zone_zs'!$B$2,[1]ratio_ins!$B:$B,0))*$G395*INDEX([1]ratio_ins!$D:$D,MATCH('001_population_health_zone_zs'!$B395,[1]ratio_ins!$B:$B,0))</f>
        <v>687.11107800000002</v>
      </c>
      <c r="AV395" s="10">
        <f>INDEX([1]ratio_ins!AS:AS,MATCH('001_population_health_zone_zs'!$B$2,[1]ratio_ins!$B:$B,0))*$G395*INDEX([1]ratio_ins!$D:$D,MATCH('001_population_health_zone_zs'!$B395,[1]ratio_ins!$B:$B,0))</f>
        <v>343.55553900000001</v>
      </c>
      <c r="AW395" s="10">
        <f>INDEX([1]ratio_ins!AT:AT,MATCH('001_population_health_zone_zs'!$B$2,[1]ratio_ins!$B:$B,0))*$G395*INDEX([1]ratio_ins!$D:$D,MATCH('001_population_health_zone_zs'!$B395,[1]ratio_ins!$B:$B,0))</f>
        <v>229.037026</v>
      </c>
      <c r="AX395" s="13">
        <f>INDEX([1]ratio_ins!AU:AU,MATCH('001_population_health_zone_zs'!$B$2,[1]ratio_ins!$B:$B,0))*$G395*INDEX([1]ratio_ins!$D:$D,MATCH('001_population_health_zone_zs'!$B395,[1]ratio_ins!$B:$B,0))</f>
        <v>2404.8887729999997</v>
      </c>
      <c r="AY395" s="14">
        <f t="shared" si="37"/>
        <v>114518.51299999999</v>
      </c>
      <c r="AZ395" s="15">
        <f t="shared" si="38"/>
        <v>227671</v>
      </c>
      <c r="BA395" s="16">
        <v>216793.65658562642</v>
      </c>
      <c r="BB395" s="10">
        <f t="shared" si="39"/>
        <v>48670.368025000003</v>
      </c>
      <c r="BC395" s="17">
        <f t="shared" si="40"/>
        <v>0.21377500000000002</v>
      </c>
      <c r="BD395" s="10">
        <f t="shared" si="41"/>
        <v>47184.587079000004</v>
      </c>
    </row>
    <row r="396" spans="1:56" x14ac:dyDescent="0.25">
      <c r="A396" s="8" t="s">
        <v>943</v>
      </c>
      <c r="B396" s="8" t="s">
        <v>944</v>
      </c>
      <c r="C396" s="8" t="s">
        <v>965</v>
      </c>
      <c r="D396" s="8" t="s">
        <v>966</v>
      </c>
      <c r="E396" s="8" t="s">
        <v>965</v>
      </c>
      <c r="F396" s="8" t="s">
        <v>969</v>
      </c>
      <c r="G396" s="9">
        <v>397459</v>
      </c>
      <c r="H396" s="10">
        <f>INDEX([1]ratio_ins!F:F,MATCH('001_population_health_zone_zs'!$B$2,[1]ratio_ins!$B:$B,0))*$G396*INDEX([1]ratio_ins!$C:$C,MATCH('001_population_health_zone_zs'!$B396,[1]ratio_ins!$B:$B,0))</f>
        <v>41285.258707000001</v>
      </c>
      <c r="I396" s="10">
        <f>INDEX([1]ratio_ins!G:G,MATCH('001_population_health_zone_zs'!$B$2,[1]ratio_ins!$B:$B,0))*$G396*INDEX([1]ratio_ins!$C:$C,MATCH('001_population_health_zone_zs'!$B396,[1]ratio_ins!$B:$B,0))</f>
        <v>33778.848033000002</v>
      </c>
      <c r="J396" s="10">
        <f>INDEX([1]ratio_ins!H:H,MATCH('001_population_health_zone_zs'!$B$2,[1]ratio_ins!$B:$B,0))*$G396*INDEX([1]ratio_ins!$C:$C,MATCH('001_population_health_zone_zs'!$B396,[1]ratio_ins!$B:$B,0))</f>
        <v>26667.511605000003</v>
      </c>
      <c r="K396" s="10">
        <f>INDEX([1]ratio_ins!I:I,MATCH('001_population_health_zone_zs'!$B$2,[1]ratio_ins!$B:$B,0))*$G396*INDEX([1]ratio_ins!$C:$C,MATCH('001_population_health_zone_zs'!$B396,[1]ratio_ins!$B:$B,0))</f>
        <v>16395.581209000004</v>
      </c>
      <c r="L396" s="10">
        <f>INDEX([1]ratio_ins!J:J,MATCH('001_population_health_zone_zs'!$B$2,[1]ratio_ins!$B:$B,0))*$G396*INDEX([1]ratio_ins!$C:$C,MATCH('001_population_health_zone_zs'!$B396,[1]ratio_ins!$B:$B,0))</f>
        <v>9837.3487253999992</v>
      </c>
      <c r="M396" s="11">
        <f>INDEX([1]ratio_ins!K:K,MATCH('001_population_health_zone_zs'!$B$2,[1]ratio_ins!$B:$B,0))*$G396*INDEX([1]ratio_ins!$C:$C,MATCH('001_population_health_zone_zs'!$B396,[1]ratio_ins!$B:$B,0))</f>
        <v>111568.9670704</v>
      </c>
      <c r="N396" s="10">
        <f>INDEX([1]ratio_ins!L:L,MATCH('001_population_health_zone_zs'!$B$2,[1]ratio_ins!$B:$B,0))*$G396*INDEX([1]ratio_ins!$C:$C,MATCH('001_population_health_zone_zs'!$B396,[1]ratio_ins!$B:$B,0))</f>
        <v>6558.2324836000007</v>
      </c>
      <c r="O396" s="10">
        <f>INDEX([1]ratio_ins!M:M,MATCH('001_population_health_zone_zs'!$B$2,[1]ratio_ins!$B:$B,0))*$G396*INDEX([1]ratio_ins!$C:$C,MATCH('001_population_health_zone_zs'!$B396,[1]ratio_ins!$B:$B,0))</f>
        <v>14222.672856000003</v>
      </c>
      <c r="P396" s="10">
        <f>INDEX([1]ratio_ins!N:N,MATCH('001_population_health_zone_zs'!$B$2,[1]ratio_ins!$B:$B,0))*$G396*INDEX([1]ratio_ins!$C:$C,MATCH('001_population_health_zone_zs'!$B396,[1]ratio_ins!$B:$B,0))</f>
        <v>12839.912995000001</v>
      </c>
      <c r="Q396" s="10">
        <f>INDEX([1]ratio_ins!O:O,MATCH('001_population_health_zone_zs'!$B$2,[1]ratio_ins!$B:$B,0))*$G396*INDEX([1]ratio_ins!$C:$C,MATCH('001_population_health_zone_zs'!$B396,[1]ratio_ins!$B:$B,0))</f>
        <v>11457.153134</v>
      </c>
      <c r="R396" s="10">
        <f>INDEX([1]ratio_ins!P:P,MATCH('001_population_health_zone_zs'!$B$2,[1]ratio_ins!$B:$B,0))*$G396*INDEX([1]ratio_ins!$C:$C,MATCH('001_population_health_zone_zs'!$B396,[1]ratio_ins!$B:$B,0))</f>
        <v>11259.616011000002</v>
      </c>
      <c r="S396" s="10">
        <f>INDEX([1]ratio_ins!Q:Q,MATCH('001_population_health_zone_zs'!$B$2,[1]ratio_ins!$B:$B,0))*$G396*INDEX([1]ratio_ins!$C:$C,MATCH('001_population_health_zone_zs'!$B396,[1]ratio_ins!$B:$B,0))</f>
        <v>9481.7819040000013</v>
      </c>
      <c r="T396" s="10">
        <f>INDEX([1]ratio_ins!R:R,MATCH('001_population_health_zone_zs'!$B$2,[1]ratio_ins!$B:$B,0))*$G396*INDEX([1]ratio_ins!$C:$C,MATCH('001_population_health_zone_zs'!$B396,[1]ratio_ins!$B:$B,0))</f>
        <v>6716.2621820000013</v>
      </c>
      <c r="U396" s="10">
        <f>INDEX([1]ratio_ins!S:S,MATCH('001_population_health_zone_zs'!$B$2,[1]ratio_ins!$B:$B,0))*$G396*INDEX([1]ratio_ins!$C:$C,MATCH('001_population_health_zone_zs'!$B396,[1]ratio_ins!$B:$B,0))</f>
        <v>5333.5023210000018</v>
      </c>
      <c r="V396" s="10">
        <f>INDEX([1]ratio_ins!T:T,MATCH('001_population_health_zone_zs'!$B$2,[1]ratio_ins!$B:$B,0))*$G396*INDEX([1]ratio_ins!$C:$C,MATCH('001_population_health_zone_zs'!$B396,[1]ratio_ins!$B:$B,0))</f>
        <v>2963.0568450000005</v>
      </c>
      <c r="W396" s="11">
        <f>INDEX([1]ratio_ins!U:U,MATCH('001_population_health_zone_zs'!$B$2,[1]ratio_ins!$B:$B,0))*$G396*INDEX([1]ratio_ins!$C:$C,MATCH('001_population_health_zone_zs'!$B396,[1]ratio_ins!$B:$B,0))</f>
        <v>80832.190731600014</v>
      </c>
      <c r="X396" s="10">
        <f>INDEX([1]ratio_ins!V:V,MATCH('001_population_health_zone_zs'!$B$2,[1]ratio_ins!$B:$B,0))*$G396*INDEX([1]ratio_ins!$C:$C,MATCH('001_population_health_zone_zs'!$B396,[1]ratio_ins!$B:$B,0))</f>
        <v>2370.4454760000003</v>
      </c>
      <c r="Y396" s="10">
        <f>INDEX([1]ratio_ins!W:W,MATCH('001_population_health_zone_zs'!$B$2,[1]ratio_ins!$B:$B,0))*$G396*INDEX([1]ratio_ins!$C:$C,MATCH('001_population_health_zone_zs'!$B396,[1]ratio_ins!$B:$B,0))</f>
        <v>1580.2969840000003</v>
      </c>
      <c r="Z396" s="10">
        <f>INDEX([1]ratio_ins!X:X,MATCH('001_population_health_zone_zs'!$B$2,[1]ratio_ins!$B:$B,0))*$G396*INDEX([1]ratio_ins!$C:$C,MATCH('001_population_health_zone_zs'!$B396,[1]ratio_ins!$B:$B,0))</f>
        <v>790.14849200000015</v>
      </c>
      <c r="AA396" s="10">
        <f>INDEX([1]ratio_ins!Y:Y,MATCH('001_population_health_zone_zs'!$B$2,[1]ratio_ins!$B:$B,0))*$G396*INDEX([1]ratio_ins!$C:$C,MATCH('001_population_health_zone_zs'!$B396,[1]ratio_ins!$B:$B,0))</f>
        <v>395.07424600000007</v>
      </c>
      <c r="AB396" s="11">
        <f>INDEX([1]ratio_ins!Z:Z,MATCH('001_population_health_zone_zs'!$B$2,[1]ratio_ins!$B:$B,0))*$G396*INDEX([1]ratio_ins!$C:$C,MATCH('001_population_health_zone_zs'!$B396,[1]ratio_ins!$B:$B,0))</f>
        <v>5135.9651980000008</v>
      </c>
      <c r="AC396" s="12">
        <f t="shared" si="36"/>
        <v>197537.12299999999</v>
      </c>
      <c r="AD396" s="10">
        <f>INDEX([1]ratio_ins!AA:AA,MATCH('001_population_health_zone_zs'!$B$2,[1]ratio_ins!$B:$B,0))*$G396*INDEX([1]ratio_ins!$D:$D,MATCH('001_population_health_zone_zs'!$B396,[1]ratio_ins!$B:$B,0))</f>
        <v>41983.594169999997</v>
      </c>
      <c r="AE396" s="10">
        <f>INDEX([1]ratio_ins!AB:AB,MATCH('001_population_health_zone_zs'!$B$2,[1]ratio_ins!$B:$B,0))*$G396*INDEX([1]ratio_ins!$D:$D,MATCH('001_population_health_zone_zs'!$B396,[1]ratio_ins!$B:$B,0))</f>
        <v>34586.484721000001</v>
      </c>
      <c r="AF396" s="10">
        <f>INDEX([1]ratio_ins!AC:AC,MATCH('001_population_health_zone_zs'!$B$2,[1]ratio_ins!$B:$B,0))*$G396*INDEX([1]ratio_ins!$D:$D,MATCH('001_population_health_zone_zs'!$B396,[1]ratio_ins!$B:$B,0))</f>
        <v>27389.297148999998</v>
      </c>
      <c r="AG396" s="10">
        <f>INDEX([1]ratio_ins!AD:AD,MATCH('001_population_health_zone_zs'!$B$2,[1]ratio_ins!$B:$B,0))*$G396*INDEX([1]ratio_ins!$D:$D,MATCH('001_population_health_zone_zs'!$B396,[1]ratio_ins!$B:$B,0))</f>
        <v>16593.515791000002</v>
      </c>
      <c r="AH396" s="10">
        <f>INDEX([1]ratio_ins!AE:AE,MATCH('001_population_health_zone_zs'!$B$2,[1]ratio_ins!$B:$B,0))*$G396*INDEX([1]ratio_ins!$D:$D,MATCH('001_population_health_zone_zs'!$B396,[1]ratio_ins!$B:$B,0))</f>
        <v>9956.1094745999981</v>
      </c>
      <c r="AI396" s="13">
        <f>INDEX([1]ratio_ins!AF:AF,MATCH('001_population_health_zone_zs'!$B$2,[1]ratio_ins!$B:$B,0))*$G396*INDEX([1]ratio_ins!$D:$D,MATCH('001_population_health_zone_zs'!$B396,[1]ratio_ins!$B:$B,0))</f>
        <v>113915.48551459999</v>
      </c>
      <c r="AJ396" s="10">
        <f>INDEX([1]ratio_ins!AG:AG,MATCH('001_population_health_zone_zs'!$B$2,[1]ratio_ins!$B:$B,0))*$G396*INDEX([1]ratio_ins!$D:$D,MATCH('001_population_health_zone_zs'!$B396,[1]ratio_ins!$B:$B,0))</f>
        <v>6637.4063163999999</v>
      </c>
      <c r="AK396" s="10">
        <f>INDEX([1]ratio_ins!AH:AH,MATCH('001_population_health_zone_zs'!$B$2,[1]ratio_ins!$B:$B,0))*$G396*INDEX([1]ratio_ins!$D:$D,MATCH('001_population_health_zone_zs'!$B396,[1]ratio_ins!$B:$B,0))</f>
        <v>14794.218898000003</v>
      </c>
      <c r="AL396" s="10">
        <f>INDEX([1]ratio_ins!AI:AI,MATCH('001_population_health_zone_zs'!$B$2,[1]ratio_ins!$B:$B,0))*$G396*INDEX([1]ratio_ins!$D:$D,MATCH('001_population_health_zone_zs'!$B396,[1]ratio_ins!$B:$B,0))</f>
        <v>13994.53139</v>
      </c>
      <c r="AM396" s="10">
        <f>INDEX([1]ratio_ins!AJ:AJ,MATCH('001_population_health_zone_zs'!$B$2,[1]ratio_ins!$B:$B,0))*$G396*INDEX([1]ratio_ins!$D:$D,MATCH('001_population_health_zone_zs'!$B396,[1]ratio_ins!$B:$B,0))</f>
        <v>12795.000128</v>
      </c>
      <c r="AN396" s="10">
        <f>INDEX([1]ratio_ins!AK:AK,MATCH('001_population_health_zone_zs'!$B$2,[1]ratio_ins!$B:$B,0))*$G396*INDEX([1]ratio_ins!$D:$D,MATCH('001_population_health_zone_zs'!$B396,[1]ratio_ins!$B:$B,0))</f>
        <v>11995.312620000001</v>
      </c>
      <c r="AO396" s="10">
        <f>INDEX([1]ratio_ins!AL:AL,MATCH('001_population_health_zone_zs'!$B$2,[1]ratio_ins!$B:$B,0))*$G396*INDEX([1]ratio_ins!$D:$D,MATCH('001_population_health_zone_zs'!$B396,[1]ratio_ins!$B:$B,0))</f>
        <v>8996.4844649999995</v>
      </c>
      <c r="AP396" s="10">
        <f>INDEX([1]ratio_ins!AM:AM,MATCH('001_population_health_zone_zs'!$B$2,[1]ratio_ins!$B:$B,0))*$G396*INDEX([1]ratio_ins!$D:$D,MATCH('001_population_health_zone_zs'!$B396,[1]ratio_ins!$B:$B,0))</f>
        <v>5797.7344329999996</v>
      </c>
      <c r="AQ396" s="10">
        <f>INDEX([1]ratio_ins!AN:AN,MATCH('001_population_health_zone_zs'!$B$2,[1]ratio_ins!$B:$B,0))*$G396*INDEX([1]ratio_ins!$D:$D,MATCH('001_population_health_zone_zs'!$B396,[1]ratio_ins!$B:$B,0))</f>
        <v>4598.2031710000001</v>
      </c>
      <c r="AR396" s="10">
        <f>INDEX([1]ratio_ins!AO:AO,MATCH('001_population_health_zone_zs'!$B$2,[1]ratio_ins!$B:$B,0))*$G396*INDEX([1]ratio_ins!$D:$D,MATCH('001_population_health_zone_zs'!$B396,[1]ratio_ins!$B:$B,0))</f>
        <v>2199.1406470000006</v>
      </c>
      <c r="AS396" s="13">
        <f>INDEX([1]ratio_ins!AP:AP,MATCH('001_population_health_zone_zs'!$B$2,[1]ratio_ins!$B:$B,0))*$G396*INDEX([1]ratio_ins!$D:$D,MATCH('001_population_health_zone_zs'!$B396,[1]ratio_ins!$B:$B,0))</f>
        <v>81808.032068400003</v>
      </c>
      <c r="AT396" s="10">
        <f>INDEX([1]ratio_ins!AQ:AQ,MATCH('001_population_health_zone_zs'!$B$2,[1]ratio_ins!$B:$B,0))*$G396*INDEX([1]ratio_ins!$D:$D,MATCH('001_population_health_zone_zs'!$B396,[1]ratio_ins!$B:$B,0))</f>
        <v>1999.2187700000002</v>
      </c>
      <c r="AU396" s="10">
        <f>INDEX([1]ratio_ins!AR:AR,MATCH('001_population_health_zone_zs'!$B$2,[1]ratio_ins!$B:$B,0))*$G396*INDEX([1]ratio_ins!$D:$D,MATCH('001_population_health_zone_zs'!$B396,[1]ratio_ins!$B:$B,0))</f>
        <v>1199.531262</v>
      </c>
      <c r="AV396" s="10">
        <f>INDEX([1]ratio_ins!AS:AS,MATCH('001_population_health_zone_zs'!$B$2,[1]ratio_ins!$B:$B,0))*$G396*INDEX([1]ratio_ins!$D:$D,MATCH('001_population_health_zone_zs'!$B396,[1]ratio_ins!$B:$B,0))</f>
        <v>599.76563099999998</v>
      </c>
      <c r="AW396" s="10">
        <f>INDEX([1]ratio_ins!AT:AT,MATCH('001_population_health_zone_zs'!$B$2,[1]ratio_ins!$B:$B,0))*$G396*INDEX([1]ratio_ins!$D:$D,MATCH('001_population_health_zone_zs'!$B396,[1]ratio_ins!$B:$B,0))</f>
        <v>399.84375399999999</v>
      </c>
      <c r="AX396" s="13">
        <f>INDEX([1]ratio_ins!AU:AU,MATCH('001_population_health_zone_zs'!$B$2,[1]ratio_ins!$B:$B,0))*$G396*INDEX([1]ratio_ins!$D:$D,MATCH('001_population_health_zone_zs'!$B396,[1]ratio_ins!$B:$B,0))</f>
        <v>4198.3594169999997</v>
      </c>
      <c r="AY396" s="14">
        <f t="shared" si="37"/>
        <v>199921.87700000001</v>
      </c>
      <c r="AZ396" s="15">
        <f t="shared" si="38"/>
        <v>397459</v>
      </c>
      <c r="BA396" s="16">
        <v>378469.11170058092</v>
      </c>
      <c r="BB396" s="10">
        <f t="shared" si="39"/>
        <v>84966.797725000011</v>
      </c>
      <c r="BC396" s="17">
        <f t="shared" si="40"/>
        <v>0.21377500000000002</v>
      </c>
      <c r="BD396" s="10">
        <f t="shared" si="41"/>
        <v>82372.980291000014</v>
      </c>
    </row>
    <row r="397" spans="1:56" x14ac:dyDescent="0.25">
      <c r="A397" s="8" t="s">
        <v>943</v>
      </c>
      <c r="B397" s="8" t="s">
        <v>944</v>
      </c>
      <c r="C397" s="8" t="s">
        <v>970</v>
      </c>
      <c r="D397" s="8" t="s">
        <v>971</v>
      </c>
      <c r="E397" s="8" t="s">
        <v>972</v>
      </c>
      <c r="F397" s="8" t="s">
        <v>973</v>
      </c>
      <c r="G397" s="9">
        <v>173591</v>
      </c>
      <c r="H397" s="10">
        <f>INDEX([1]ratio_ins!F:F,MATCH('001_population_health_zone_zs'!$B$2,[1]ratio_ins!$B:$B,0))*$G397*INDEX([1]ratio_ins!$C:$C,MATCH('001_population_health_zone_zs'!$B397,[1]ratio_ins!$B:$B,0))</f>
        <v>18031.417943</v>
      </c>
      <c r="I397" s="10">
        <f>INDEX([1]ratio_ins!G:G,MATCH('001_population_health_zone_zs'!$B$2,[1]ratio_ins!$B:$B,0))*$G397*INDEX([1]ratio_ins!$C:$C,MATCH('001_population_health_zone_zs'!$B397,[1]ratio_ins!$B:$B,0))</f>
        <v>14752.978317000003</v>
      </c>
      <c r="J397" s="10">
        <f>INDEX([1]ratio_ins!H:H,MATCH('001_population_health_zone_zs'!$B$2,[1]ratio_ins!$B:$B,0))*$G397*INDEX([1]ratio_ins!$C:$C,MATCH('001_population_health_zone_zs'!$B397,[1]ratio_ins!$B:$B,0))</f>
        <v>11647.088145000002</v>
      </c>
      <c r="K397" s="10">
        <f>INDEX([1]ratio_ins!I:I,MATCH('001_population_health_zone_zs'!$B$2,[1]ratio_ins!$B:$B,0))*$G397*INDEX([1]ratio_ins!$C:$C,MATCH('001_population_health_zone_zs'!$B397,[1]ratio_ins!$B:$B,0))</f>
        <v>7160.8023410000005</v>
      </c>
      <c r="L397" s="10">
        <f>INDEX([1]ratio_ins!J:J,MATCH('001_population_health_zone_zs'!$B$2,[1]ratio_ins!$B:$B,0))*$G397*INDEX([1]ratio_ins!$C:$C,MATCH('001_population_health_zone_zs'!$B397,[1]ratio_ins!$B:$B,0))</f>
        <v>4296.4814046000001</v>
      </c>
      <c r="M397" s="11">
        <f>INDEX([1]ratio_ins!K:K,MATCH('001_population_health_zone_zs'!$B$2,[1]ratio_ins!$B:$B,0))*$G397*INDEX([1]ratio_ins!$C:$C,MATCH('001_population_health_zone_zs'!$B397,[1]ratio_ins!$B:$B,0))</f>
        <v>48727.965809599998</v>
      </c>
      <c r="N397" s="10">
        <f>INDEX([1]ratio_ins!L:L,MATCH('001_population_health_zone_zs'!$B$2,[1]ratio_ins!$B:$B,0))*$G397*INDEX([1]ratio_ins!$C:$C,MATCH('001_population_health_zone_zs'!$B397,[1]ratio_ins!$B:$B,0))</f>
        <v>2864.3209364000004</v>
      </c>
      <c r="O397" s="10">
        <f>INDEX([1]ratio_ins!M:M,MATCH('001_population_health_zone_zs'!$B$2,[1]ratio_ins!$B:$B,0))*$G397*INDEX([1]ratio_ins!$C:$C,MATCH('001_population_health_zone_zs'!$B397,[1]ratio_ins!$B:$B,0))</f>
        <v>6211.7803440000016</v>
      </c>
      <c r="P397" s="10">
        <f>INDEX([1]ratio_ins!N:N,MATCH('001_population_health_zone_zs'!$B$2,[1]ratio_ins!$B:$B,0))*$G397*INDEX([1]ratio_ins!$C:$C,MATCH('001_population_health_zone_zs'!$B397,[1]ratio_ins!$B:$B,0))</f>
        <v>5607.8572550000008</v>
      </c>
      <c r="Q397" s="10">
        <f>INDEX([1]ratio_ins!O:O,MATCH('001_population_health_zone_zs'!$B$2,[1]ratio_ins!$B:$B,0))*$G397*INDEX([1]ratio_ins!$C:$C,MATCH('001_population_health_zone_zs'!$B397,[1]ratio_ins!$B:$B,0))</f>
        <v>5003.934166</v>
      </c>
      <c r="R397" s="10">
        <f>INDEX([1]ratio_ins!P:P,MATCH('001_population_health_zone_zs'!$B$2,[1]ratio_ins!$B:$B,0))*$G397*INDEX([1]ratio_ins!$C:$C,MATCH('001_population_health_zone_zs'!$B397,[1]ratio_ins!$B:$B,0))</f>
        <v>4917.659439</v>
      </c>
      <c r="S397" s="10">
        <f>INDEX([1]ratio_ins!Q:Q,MATCH('001_population_health_zone_zs'!$B$2,[1]ratio_ins!$B:$B,0))*$G397*INDEX([1]ratio_ins!$C:$C,MATCH('001_population_health_zone_zs'!$B397,[1]ratio_ins!$B:$B,0))</f>
        <v>4141.1868960000011</v>
      </c>
      <c r="T397" s="10">
        <f>INDEX([1]ratio_ins!R:R,MATCH('001_population_health_zone_zs'!$B$2,[1]ratio_ins!$B:$B,0))*$G397*INDEX([1]ratio_ins!$C:$C,MATCH('001_population_health_zone_zs'!$B397,[1]ratio_ins!$B:$B,0))</f>
        <v>2933.3407180000004</v>
      </c>
      <c r="U397" s="10">
        <f>INDEX([1]ratio_ins!S:S,MATCH('001_population_health_zone_zs'!$B$2,[1]ratio_ins!$B:$B,0))*$G397*INDEX([1]ratio_ins!$C:$C,MATCH('001_population_health_zone_zs'!$B397,[1]ratio_ins!$B:$B,0))</f>
        <v>2329.4176290000005</v>
      </c>
      <c r="V397" s="10">
        <f>INDEX([1]ratio_ins!T:T,MATCH('001_population_health_zone_zs'!$B$2,[1]ratio_ins!$B:$B,0))*$G397*INDEX([1]ratio_ins!$C:$C,MATCH('001_population_health_zone_zs'!$B397,[1]ratio_ins!$B:$B,0))</f>
        <v>1294.120905</v>
      </c>
      <c r="W397" s="11">
        <f>INDEX([1]ratio_ins!U:U,MATCH('001_population_health_zone_zs'!$B$2,[1]ratio_ins!$B:$B,0))*$G397*INDEX([1]ratio_ins!$C:$C,MATCH('001_population_health_zone_zs'!$B397,[1]ratio_ins!$B:$B,0))</f>
        <v>35303.618288400001</v>
      </c>
      <c r="X397" s="10">
        <f>INDEX([1]ratio_ins!V:V,MATCH('001_population_health_zone_zs'!$B$2,[1]ratio_ins!$B:$B,0))*$G397*INDEX([1]ratio_ins!$C:$C,MATCH('001_population_health_zone_zs'!$B397,[1]ratio_ins!$B:$B,0))</f>
        <v>1035.2967240000003</v>
      </c>
      <c r="Y397" s="10">
        <f>INDEX([1]ratio_ins!W:W,MATCH('001_population_health_zone_zs'!$B$2,[1]ratio_ins!$B:$B,0))*$G397*INDEX([1]ratio_ins!$C:$C,MATCH('001_population_health_zone_zs'!$B397,[1]ratio_ins!$B:$B,0))</f>
        <v>690.1978160000001</v>
      </c>
      <c r="Z397" s="10">
        <f>INDEX([1]ratio_ins!X:X,MATCH('001_population_health_zone_zs'!$B$2,[1]ratio_ins!$B:$B,0))*$G397*INDEX([1]ratio_ins!$C:$C,MATCH('001_population_health_zone_zs'!$B397,[1]ratio_ins!$B:$B,0))</f>
        <v>345.09890800000005</v>
      </c>
      <c r="AA397" s="10">
        <f>INDEX([1]ratio_ins!Y:Y,MATCH('001_population_health_zone_zs'!$B$2,[1]ratio_ins!$B:$B,0))*$G397*INDEX([1]ratio_ins!$C:$C,MATCH('001_population_health_zone_zs'!$B397,[1]ratio_ins!$B:$B,0))</f>
        <v>172.54945400000003</v>
      </c>
      <c r="AB397" s="11">
        <f>INDEX([1]ratio_ins!Z:Z,MATCH('001_population_health_zone_zs'!$B$2,[1]ratio_ins!$B:$B,0))*$G397*INDEX([1]ratio_ins!$C:$C,MATCH('001_population_health_zone_zs'!$B397,[1]ratio_ins!$B:$B,0))</f>
        <v>2243.142902</v>
      </c>
      <c r="AC397" s="12">
        <f t="shared" si="36"/>
        <v>86274.726999999999</v>
      </c>
      <c r="AD397" s="10">
        <f>INDEX([1]ratio_ins!AA:AA,MATCH('001_population_health_zone_zs'!$B$2,[1]ratio_ins!$B:$B,0))*$G397*INDEX([1]ratio_ins!$D:$D,MATCH('001_population_health_zone_zs'!$B397,[1]ratio_ins!$B:$B,0))</f>
        <v>18336.41733</v>
      </c>
      <c r="AE397" s="10">
        <f>INDEX([1]ratio_ins!AB:AB,MATCH('001_population_health_zone_zs'!$B$2,[1]ratio_ins!$B:$B,0))*$G397*INDEX([1]ratio_ins!$D:$D,MATCH('001_population_health_zone_zs'!$B397,[1]ratio_ins!$B:$B,0))</f>
        <v>15105.715229000001</v>
      </c>
      <c r="AF397" s="10">
        <f>INDEX([1]ratio_ins!AC:AC,MATCH('001_population_health_zone_zs'!$B$2,[1]ratio_ins!$B:$B,0))*$G397*INDEX([1]ratio_ins!$D:$D,MATCH('001_population_health_zone_zs'!$B397,[1]ratio_ins!$B:$B,0))</f>
        <v>11962.329400999999</v>
      </c>
      <c r="AG397" s="10">
        <f>INDEX([1]ratio_ins!AD:AD,MATCH('001_population_health_zone_zs'!$B$2,[1]ratio_ins!$B:$B,0))*$G397*INDEX([1]ratio_ins!$D:$D,MATCH('001_population_health_zone_zs'!$B397,[1]ratio_ins!$B:$B,0))</f>
        <v>7247.2506590000003</v>
      </c>
      <c r="AH397" s="10">
        <f>INDEX([1]ratio_ins!AE:AE,MATCH('001_population_health_zone_zs'!$B$2,[1]ratio_ins!$B:$B,0))*$G397*INDEX([1]ratio_ins!$D:$D,MATCH('001_population_health_zone_zs'!$B397,[1]ratio_ins!$B:$B,0))</f>
        <v>4348.3503953999998</v>
      </c>
      <c r="AI397" s="13">
        <f>INDEX([1]ratio_ins!AF:AF,MATCH('001_population_health_zone_zs'!$B$2,[1]ratio_ins!$B:$B,0))*$G397*INDEX([1]ratio_ins!$D:$D,MATCH('001_population_health_zone_zs'!$B397,[1]ratio_ins!$B:$B,0))</f>
        <v>49752.812355399998</v>
      </c>
      <c r="AJ397" s="10">
        <f>INDEX([1]ratio_ins!AG:AG,MATCH('001_population_health_zone_zs'!$B$2,[1]ratio_ins!$B:$B,0))*$G397*INDEX([1]ratio_ins!$D:$D,MATCH('001_population_health_zone_zs'!$B397,[1]ratio_ins!$B:$B,0))</f>
        <v>2898.9002636</v>
      </c>
      <c r="AK397" s="10">
        <f>INDEX([1]ratio_ins!AH:AH,MATCH('001_population_health_zone_zs'!$B$2,[1]ratio_ins!$B:$B,0))*$G397*INDEX([1]ratio_ins!$D:$D,MATCH('001_population_health_zone_zs'!$B397,[1]ratio_ins!$B:$B,0))</f>
        <v>6461.4042020000015</v>
      </c>
      <c r="AL397" s="10">
        <f>INDEX([1]ratio_ins!AI:AI,MATCH('001_population_health_zone_zs'!$B$2,[1]ratio_ins!$B:$B,0))*$G397*INDEX([1]ratio_ins!$D:$D,MATCH('001_population_health_zone_zs'!$B397,[1]ratio_ins!$B:$B,0))</f>
        <v>6112.1391100000001</v>
      </c>
      <c r="AM397" s="10">
        <f>INDEX([1]ratio_ins!AJ:AJ,MATCH('001_population_health_zone_zs'!$B$2,[1]ratio_ins!$B:$B,0))*$G397*INDEX([1]ratio_ins!$D:$D,MATCH('001_population_health_zone_zs'!$B397,[1]ratio_ins!$B:$B,0))</f>
        <v>5588.2414720000006</v>
      </c>
      <c r="AN397" s="10">
        <f>INDEX([1]ratio_ins!AK:AK,MATCH('001_population_health_zone_zs'!$B$2,[1]ratio_ins!$B:$B,0))*$G397*INDEX([1]ratio_ins!$D:$D,MATCH('001_population_health_zone_zs'!$B397,[1]ratio_ins!$B:$B,0))</f>
        <v>5238.9763799999992</v>
      </c>
      <c r="AO397" s="10">
        <f>INDEX([1]ratio_ins!AL:AL,MATCH('001_population_health_zone_zs'!$B$2,[1]ratio_ins!$B:$B,0))*$G397*INDEX([1]ratio_ins!$D:$D,MATCH('001_population_health_zone_zs'!$B397,[1]ratio_ins!$B:$B,0))</f>
        <v>3929.2322849999996</v>
      </c>
      <c r="AP397" s="10">
        <f>INDEX([1]ratio_ins!AM:AM,MATCH('001_population_health_zone_zs'!$B$2,[1]ratio_ins!$B:$B,0))*$G397*INDEX([1]ratio_ins!$D:$D,MATCH('001_population_health_zone_zs'!$B397,[1]ratio_ins!$B:$B,0))</f>
        <v>2532.1719169999997</v>
      </c>
      <c r="AQ397" s="10">
        <f>INDEX([1]ratio_ins!AN:AN,MATCH('001_population_health_zone_zs'!$B$2,[1]ratio_ins!$B:$B,0))*$G397*INDEX([1]ratio_ins!$D:$D,MATCH('001_population_health_zone_zs'!$B397,[1]ratio_ins!$B:$B,0))</f>
        <v>2008.274279</v>
      </c>
      <c r="AR397" s="10">
        <f>INDEX([1]ratio_ins!AO:AO,MATCH('001_population_health_zone_zs'!$B$2,[1]ratio_ins!$B:$B,0))*$G397*INDEX([1]ratio_ins!$D:$D,MATCH('001_population_health_zone_zs'!$B397,[1]ratio_ins!$B:$B,0))</f>
        <v>960.47900300000015</v>
      </c>
      <c r="AS397" s="13">
        <f>INDEX([1]ratio_ins!AP:AP,MATCH('001_population_health_zone_zs'!$B$2,[1]ratio_ins!$B:$B,0))*$G397*INDEX([1]ratio_ins!$D:$D,MATCH('001_population_health_zone_zs'!$B397,[1]ratio_ins!$B:$B,0))</f>
        <v>35729.818911599999</v>
      </c>
      <c r="AT397" s="10">
        <f>INDEX([1]ratio_ins!AQ:AQ,MATCH('001_population_health_zone_zs'!$B$2,[1]ratio_ins!$B:$B,0))*$G397*INDEX([1]ratio_ins!$D:$D,MATCH('001_population_health_zone_zs'!$B397,[1]ratio_ins!$B:$B,0))</f>
        <v>873.16273000000001</v>
      </c>
      <c r="AU397" s="10">
        <f>INDEX([1]ratio_ins!AR:AR,MATCH('001_population_health_zone_zs'!$B$2,[1]ratio_ins!$B:$B,0))*$G397*INDEX([1]ratio_ins!$D:$D,MATCH('001_population_health_zone_zs'!$B397,[1]ratio_ins!$B:$B,0))</f>
        <v>523.89763800000003</v>
      </c>
      <c r="AV397" s="10">
        <f>INDEX([1]ratio_ins!AS:AS,MATCH('001_population_health_zone_zs'!$B$2,[1]ratio_ins!$B:$B,0))*$G397*INDEX([1]ratio_ins!$D:$D,MATCH('001_population_health_zone_zs'!$B397,[1]ratio_ins!$B:$B,0))</f>
        <v>261.94881900000001</v>
      </c>
      <c r="AW397" s="10">
        <f>INDEX([1]ratio_ins!AT:AT,MATCH('001_population_health_zone_zs'!$B$2,[1]ratio_ins!$B:$B,0))*$G397*INDEX([1]ratio_ins!$D:$D,MATCH('001_population_health_zone_zs'!$B397,[1]ratio_ins!$B:$B,0))</f>
        <v>174.63254600000002</v>
      </c>
      <c r="AX397" s="13">
        <f>INDEX([1]ratio_ins!AU:AU,MATCH('001_population_health_zone_zs'!$B$2,[1]ratio_ins!$B:$B,0))*$G397*INDEX([1]ratio_ins!$D:$D,MATCH('001_population_health_zone_zs'!$B397,[1]ratio_ins!$B:$B,0))</f>
        <v>1833.6417329999997</v>
      </c>
      <c r="AY397" s="14">
        <f t="shared" si="37"/>
        <v>87316.272999999986</v>
      </c>
      <c r="AZ397" s="15">
        <f t="shared" si="38"/>
        <v>173591</v>
      </c>
      <c r="BA397" s="16">
        <v>165297.07275764414</v>
      </c>
      <c r="BB397" s="10">
        <f t="shared" si="39"/>
        <v>37109.416024999999</v>
      </c>
      <c r="BC397" s="17">
        <f t="shared" si="40"/>
        <v>0.21377499999999999</v>
      </c>
      <c r="BD397" s="10">
        <f t="shared" si="41"/>
        <v>35976.561159000004</v>
      </c>
    </row>
    <row r="398" spans="1:56" x14ac:dyDescent="0.25">
      <c r="A398" s="8" t="s">
        <v>943</v>
      </c>
      <c r="B398" s="8" t="s">
        <v>944</v>
      </c>
      <c r="C398" s="8" t="s">
        <v>970</v>
      </c>
      <c r="D398" s="8" t="s">
        <v>971</v>
      </c>
      <c r="E398" s="8" t="s">
        <v>970</v>
      </c>
      <c r="F398" s="8" t="s">
        <v>974</v>
      </c>
      <c r="G398" s="9">
        <v>274314</v>
      </c>
      <c r="H398" s="10">
        <f>INDEX([1]ratio_ins!F:F,MATCH('001_population_health_zone_zs'!$B$2,[1]ratio_ins!$B:$B,0))*$G398*INDEX([1]ratio_ins!$C:$C,MATCH('001_population_health_zone_zs'!$B398,[1]ratio_ins!$B:$B,0))</f>
        <v>28493.818122000001</v>
      </c>
      <c r="I398" s="10">
        <f>INDEX([1]ratio_ins!G:G,MATCH('001_population_health_zone_zs'!$B$2,[1]ratio_ins!$B:$B,0))*$G398*INDEX([1]ratio_ins!$C:$C,MATCH('001_population_health_zone_zs'!$B398,[1]ratio_ins!$B:$B,0))</f>
        <v>23313.123918000005</v>
      </c>
      <c r="J398" s="10">
        <f>INDEX([1]ratio_ins!H:H,MATCH('001_population_health_zone_zs'!$B$2,[1]ratio_ins!$B:$B,0))*$G398*INDEX([1]ratio_ins!$C:$C,MATCH('001_population_health_zone_zs'!$B398,[1]ratio_ins!$B:$B,0))</f>
        <v>18405.097830000002</v>
      </c>
      <c r="K398" s="10">
        <f>INDEX([1]ratio_ins!I:I,MATCH('001_population_health_zone_zs'!$B$2,[1]ratio_ins!$B:$B,0))*$G398*INDEX([1]ratio_ins!$C:$C,MATCH('001_population_health_zone_zs'!$B398,[1]ratio_ins!$B:$B,0))</f>
        <v>11315.726814000001</v>
      </c>
      <c r="L398" s="10">
        <f>INDEX([1]ratio_ins!J:J,MATCH('001_population_health_zone_zs'!$B$2,[1]ratio_ins!$B:$B,0))*$G398*INDEX([1]ratio_ins!$C:$C,MATCH('001_population_health_zone_zs'!$B398,[1]ratio_ins!$B:$B,0))</f>
        <v>6789.4360884000007</v>
      </c>
      <c r="M398" s="11">
        <f>INDEX([1]ratio_ins!K:K,MATCH('001_population_health_zone_zs'!$B$2,[1]ratio_ins!$B:$B,0))*$G398*INDEX([1]ratio_ins!$C:$C,MATCH('001_population_health_zone_zs'!$B398,[1]ratio_ins!$B:$B,0))</f>
        <v>77001.475958400013</v>
      </c>
      <c r="N398" s="10">
        <f>INDEX([1]ratio_ins!L:L,MATCH('001_population_health_zone_zs'!$B$2,[1]ratio_ins!$B:$B,0))*$G398*INDEX([1]ratio_ins!$C:$C,MATCH('001_population_health_zone_zs'!$B398,[1]ratio_ins!$B:$B,0))</f>
        <v>4526.2907256000008</v>
      </c>
      <c r="O398" s="10">
        <f>INDEX([1]ratio_ins!M:M,MATCH('001_population_health_zone_zs'!$B$2,[1]ratio_ins!$B:$B,0))*$G398*INDEX([1]ratio_ins!$C:$C,MATCH('001_population_health_zone_zs'!$B398,[1]ratio_ins!$B:$B,0))</f>
        <v>9816.0521760000029</v>
      </c>
      <c r="P398" s="10">
        <f>INDEX([1]ratio_ins!N:N,MATCH('001_population_health_zone_zs'!$B$2,[1]ratio_ins!$B:$B,0))*$G398*INDEX([1]ratio_ins!$C:$C,MATCH('001_population_health_zone_zs'!$B398,[1]ratio_ins!$B:$B,0))</f>
        <v>8861.7137700000003</v>
      </c>
      <c r="Q398" s="10">
        <f>INDEX([1]ratio_ins!O:O,MATCH('001_population_health_zone_zs'!$B$2,[1]ratio_ins!$B:$B,0))*$G398*INDEX([1]ratio_ins!$C:$C,MATCH('001_population_health_zone_zs'!$B398,[1]ratio_ins!$B:$B,0))</f>
        <v>7907.3753640000004</v>
      </c>
      <c r="R398" s="10">
        <f>INDEX([1]ratio_ins!P:P,MATCH('001_population_health_zone_zs'!$B$2,[1]ratio_ins!$B:$B,0))*$G398*INDEX([1]ratio_ins!$C:$C,MATCH('001_population_health_zone_zs'!$B398,[1]ratio_ins!$B:$B,0))</f>
        <v>7771.041306000001</v>
      </c>
      <c r="S398" s="10">
        <f>INDEX([1]ratio_ins!Q:Q,MATCH('001_population_health_zone_zs'!$B$2,[1]ratio_ins!$B:$B,0))*$G398*INDEX([1]ratio_ins!$C:$C,MATCH('001_population_health_zone_zs'!$B398,[1]ratio_ins!$B:$B,0))</f>
        <v>6544.0347840000004</v>
      </c>
      <c r="T398" s="10">
        <f>INDEX([1]ratio_ins!R:R,MATCH('001_population_health_zone_zs'!$B$2,[1]ratio_ins!$B:$B,0))*$G398*INDEX([1]ratio_ins!$C:$C,MATCH('001_population_health_zone_zs'!$B398,[1]ratio_ins!$B:$B,0))</f>
        <v>4635.3579720000007</v>
      </c>
      <c r="U398" s="10">
        <f>INDEX([1]ratio_ins!S:S,MATCH('001_population_health_zone_zs'!$B$2,[1]ratio_ins!$B:$B,0))*$G398*INDEX([1]ratio_ins!$C:$C,MATCH('001_population_health_zone_zs'!$B398,[1]ratio_ins!$B:$B,0))</f>
        <v>3681.0195660000009</v>
      </c>
      <c r="V398" s="10">
        <f>INDEX([1]ratio_ins!T:T,MATCH('001_population_health_zone_zs'!$B$2,[1]ratio_ins!$B:$B,0))*$G398*INDEX([1]ratio_ins!$C:$C,MATCH('001_population_health_zone_zs'!$B398,[1]ratio_ins!$B:$B,0))</f>
        <v>2045.0108700000003</v>
      </c>
      <c r="W398" s="11">
        <f>INDEX([1]ratio_ins!U:U,MATCH('001_population_health_zone_zs'!$B$2,[1]ratio_ins!$B:$B,0))*$G398*INDEX([1]ratio_ins!$C:$C,MATCH('001_population_health_zone_zs'!$B398,[1]ratio_ins!$B:$B,0))</f>
        <v>55787.896533600011</v>
      </c>
      <c r="X398" s="10">
        <f>INDEX([1]ratio_ins!V:V,MATCH('001_population_health_zone_zs'!$B$2,[1]ratio_ins!$B:$B,0))*$G398*INDEX([1]ratio_ins!$C:$C,MATCH('001_population_health_zone_zs'!$B398,[1]ratio_ins!$B:$B,0))</f>
        <v>1636.0086960000001</v>
      </c>
      <c r="Y398" s="10">
        <f>INDEX([1]ratio_ins!W:W,MATCH('001_population_health_zone_zs'!$B$2,[1]ratio_ins!$B:$B,0))*$G398*INDEX([1]ratio_ins!$C:$C,MATCH('001_population_health_zone_zs'!$B398,[1]ratio_ins!$B:$B,0))</f>
        <v>1090.6724640000002</v>
      </c>
      <c r="Z398" s="10">
        <f>INDEX([1]ratio_ins!X:X,MATCH('001_population_health_zone_zs'!$B$2,[1]ratio_ins!$B:$B,0))*$G398*INDEX([1]ratio_ins!$C:$C,MATCH('001_population_health_zone_zs'!$B398,[1]ratio_ins!$B:$B,0))</f>
        <v>545.33623200000011</v>
      </c>
      <c r="AA398" s="10">
        <f>INDEX([1]ratio_ins!Y:Y,MATCH('001_population_health_zone_zs'!$B$2,[1]ratio_ins!$B:$B,0))*$G398*INDEX([1]ratio_ins!$C:$C,MATCH('001_population_health_zone_zs'!$B398,[1]ratio_ins!$B:$B,0))</f>
        <v>272.66811600000005</v>
      </c>
      <c r="AB398" s="11">
        <f>INDEX([1]ratio_ins!Z:Z,MATCH('001_population_health_zone_zs'!$B$2,[1]ratio_ins!$B:$B,0))*$G398*INDEX([1]ratio_ins!$C:$C,MATCH('001_population_health_zone_zs'!$B398,[1]ratio_ins!$B:$B,0))</f>
        <v>3544.6855080000009</v>
      </c>
      <c r="AC398" s="12">
        <f t="shared" si="36"/>
        <v>136334.05800000002</v>
      </c>
      <c r="AD398" s="10">
        <f>INDEX([1]ratio_ins!AA:AA,MATCH('001_population_health_zone_zs'!$B$2,[1]ratio_ins!$B:$B,0))*$G398*INDEX([1]ratio_ins!$D:$D,MATCH('001_population_health_zone_zs'!$B398,[1]ratio_ins!$B:$B,0))</f>
        <v>28975.787819999998</v>
      </c>
      <c r="AE398" s="10">
        <f>INDEX([1]ratio_ins!AB:AB,MATCH('001_population_health_zone_zs'!$B$2,[1]ratio_ins!$B:$B,0))*$G398*INDEX([1]ratio_ins!$D:$D,MATCH('001_population_health_zone_zs'!$B398,[1]ratio_ins!$B:$B,0))</f>
        <v>23870.529966000006</v>
      </c>
      <c r="AF398" s="10">
        <f>INDEX([1]ratio_ins!AC:AC,MATCH('001_population_health_zone_zs'!$B$2,[1]ratio_ins!$B:$B,0))*$G398*INDEX([1]ratio_ins!$D:$D,MATCH('001_population_health_zone_zs'!$B398,[1]ratio_ins!$B:$B,0))</f>
        <v>18903.252053999997</v>
      </c>
      <c r="AG398" s="10">
        <f>INDEX([1]ratio_ins!AD:AD,MATCH('001_population_health_zone_zs'!$B$2,[1]ratio_ins!$B:$B,0))*$G398*INDEX([1]ratio_ins!$D:$D,MATCH('001_population_health_zone_zs'!$B398,[1]ratio_ins!$B:$B,0))</f>
        <v>11452.335186</v>
      </c>
      <c r="AH398" s="10">
        <f>INDEX([1]ratio_ins!AE:AE,MATCH('001_population_health_zone_zs'!$B$2,[1]ratio_ins!$B:$B,0))*$G398*INDEX([1]ratio_ins!$D:$D,MATCH('001_population_health_zone_zs'!$B398,[1]ratio_ins!$B:$B,0))</f>
        <v>6871.4011116000001</v>
      </c>
      <c r="AI398" s="13">
        <f>INDEX([1]ratio_ins!AF:AF,MATCH('001_population_health_zone_zs'!$B$2,[1]ratio_ins!$B:$B,0))*$G398*INDEX([1]ratio_ins!$D:$D,MATCH('001_population_health_zone_zs'!$B398,[1]ratio_ins!$B:$B,0))</f>
        <v>78620.970951599986</v>
      </c>
      <c r="AJ398" s="10">
        <f>INDEX([1]ratio_ins!AG:AG,MATCH('001_population_health_zone_zs'!$B$2,[1]ratio_ins!$B:$B,0))*$G398*INDEX([1]ratio_ins!$D:$D,MATCH('001_population_health_zone_zs'!$B398,[1]ratio_ins!$B:$B,0))</f>
        <v>4580.9340744000001</v>
      </c>
      <c r="AK398" s="10">
        <f>INDEX([1]ratio_ins!AH:AH,MATCH('001_population_health_zone_zs'!$B$2,[1]ratio_ins!$B:$B,0))*$G398*INDEX([1]ratio_ins!$D:$D,MATCH('001_population_health_zone_zs'!$B398,[1]ratio_ins!$B:$B,0))</f>
        <v>10210.515708000003</v>
      </c>
      <c r="AL398" s="10">
        <f>INDEX([1]ratio_ins!AI:AI,MATCH('001_population_health_zone_zs'!$B$2,[1]ratio_ins!$B:$B,0))*$G398*INDEX([1]ratio_ins!$D:$D,MATCH('001_population_health_zone_zs'!$B398,[1]ratio_ins!$B:$B,0))</f>
        <v>9658.5959400000011</v>
      </c>
      <c r="AM398" s="10">
        <f>INDEX([1]ratio_ins!AJ:AJ,MATCH('001_population_health_zone_zs'!$B$2,[1]ratio_ins!$B:$B,0))*$G398*INDEX([1]ratio_ins!$D:$D,MATCH('001_population_health_zone_zs'!$B398,[1]ratio_ins!$B:$B,0))</f>
        <v>8830.7162880000014</v>
      </c>
      <c r="AN398" s="10">
        <f>INDEX([1]ratio_ins!AK:AK,MATCH('001_population_health_zone_zs'!$B$2,[1]ratio_ins!$B:$B,0))*$G398*INDEX([1]ratio_ins!$D:$D,MATCH('001_population_health_zone_zs'!$B398,[1]ratio_ins!$B:$B,0))</f>
        <v>8278.7965199999999</v>
      </c>
      <c r="AO398" s="10">
        <f>INDEX([1]ratio_ins!AL:AL,MATCH('001_population_health_zone_zs'!$B$2,[1]ratio_ins!$B:$B,0))*$G398*INDEX([1]ratio_ins!$D:$D,MATCH('001_population_health_zone_zs'!$B398,[1]ratio_ins!$B:$B,0))</f>
        <v>6209.0973899999999</v>
      </c>
      <c r="AP398" s="10">
        <f>INDEX([1]ratio_ins!AM:AM,MATCH('001_population_health_zone_zs'!$B$2,[1]ratio_ins!$B:$B,0))*$G398*INDEX([1]ratio_ins!$D:$D,MATCH('001_population_health_zone_zs'!$B398,[1]ratio_ins!$B:$B,0))</f>
        <v>4001.418318</v>
      </c>
      <c r="AQ398" s="10">
        <f>INDEX([1]ratio_ins!AN:AN,MATCH('001_population_health_zone_zs'!$B$2,[1]ratio_ins!$B:$B,0))*$G398*INDEX([1]ratio_ins!$D:$D,MATCH('001_population_health_zone_zs'!$B398,[1]ratio_ins!$B:$B,0))</f>
        <v>3173.5386659999999</v>
      </c>
      <c r="AR398" s="10">
        <f>INDEX([1]ratio_ins!AO:AO,MATCH('001_population_health_zone_zs'!$B$2,[1]ratio_ins!$B:$B,0))*$G398*INDEX([1]ratio_ins!$D:$D,MATCH('001_population_health_zone_zs'!$B398,[1]ratio_ins!$B:$B,0))</f>
        <v>1517.779362</v>
      </c>
      <c r="AS398" s="13">
        <f>INDEX([1]ratio_ins!AP:AP,MATCH('001_population_health_zone_zs'!$B$2,[1]ratio_ins!$B:$B,0))*$G398*INDEX([1]ratio_ins!$D:$D,MATCH('001_population_health_zone_zs'!$B398,[1]ratio_ins!$B:$B,0))</f>
        <v>56461.392266400006</v>
      </c>
      <c r="AT398" s="10">
        <f>INDEX([1]ratio_ins!AQ:AQ,MATCH('001_population_health_zone_zs'!$B$2,[1]ratio_ins!$B:$B,0))*$G398*INDEX([1]ratio_ins!$D:$D,MATCH('001_population_health_zone_zs'!$B398,[1]ratio_ins!$B:$B,0))</f>
        <v>1379.7994200000001</v>
      </c>
      <c r="AU398" s="10">
        <f>INDEX([1]ratio_ins!AR:AR,MATCH('001_population_health_zone_zs'!$B$2,[1]ratio_ins!$B:$B,0))*$G398*INDEX([1]ratio_ins!$D:$D,MATCH('001_population_health_zone_zs'!$B398,[1]ratio_ins!$B:$B,0))</f>
        <v>827.87965199999996</v>
      </c>
      <c r="AV398" s="10">
        <f>INDEX([1]ratio_ins!AS:AS,MATCH('001_population_health_zone_zs'!$B$2,[1]ratio_ins!$B:$B,0))*$G398*INDEX([1]ratio_ins!$D:$D,MATCH('001_population_health_zone_zs'!$B398,[1]ratio_ins!$B:$B,0))</f>
        <v>413.93982599999998</v>
      </c>
      <c r="AW398" s="10">
        <f>INDEX([1]ratio_ins!AT:AT,MATCH('001_population_health_zone_zs'!$B$2,[1]ratio_ins!$B:$B,0))*$G398*INDEX([1]ratio_ins!$D:$D,MATCH('001_population_health_zone_zs'!$B398,[1]ratio_ins!$B:$B,0))</f>
        <v>275.95988400000005</v>
      </c>
      <c r="AX398" s="13">
        <f>INDEX([1]ratio_ins!AU:AU,MATCH('001_population_health_zone_zs'!$B$2,[1]ratio_ins!$B:$B,0))*$G398*INDEX([1]ratio_ins!$D:$D,MATCH('001_population_health_zone_zs'!$B398,[1]ratio_ins!$B:$B,0))</f>
        <v>2897.5787819999996</v>
      </c>
      <c r="AY398" s="14">
        <f t="shared" si="37"/>
        <v>137979.94199999998</v>
      </c>
      <c r="AZ398" s="15">
        <f t="shared" si="38"/>
        <v>274314</v>
      </c>
      <c r="BA398" s="16">
        <v>261208.09376046978</v>
      </c>
      <c r="BB398" s="10">
        <f t="shared" si="39"/>
        <v>58641.475350000008</v>
      </c>
      <c r="BC398" s="17">
        <f t="shared" si="40"/>
        <v>0.21377500000000002</v>
      </c>
      <c r="BD398" s="10">
        <f t="shared" si="41"/>
        <v>56851.302186000008</v>
      </c>
    </row>
    <row r="399" spans="1:56" x14ac:dyDescent="0.25">
      <c r="A399" s="8" t="s">
        <v>975</v>
      </c>
      <c r="B399" s="8" t="s">
        <v>976</v>
      </c>
      <c r="C399" s="8" t="s">
        <v>977</v>
      </c>
      <c r="D399" s="8" t="s">
        <v>978</v>
      </c>
      <c r="E399" s="8" t="s">
        <v>979</v>
      </c>
      <c r="F399" s="8" t="s">
        <v>980</v>
      </c>
      <c r="G399" s="9">
        <v>38283</v>
      </c>
      <c r="H399" s="10">
        <f>INDEX([1]ratio_ins!F:F,MATCH('001_population_health_zone_zs'!$B$2,[1]ratio_ins!$B:$B,0))*$G399*INDEX([1]ratio_ins!$C:$C,MATCH('001_population_health_zone_zs'!$B399,[1]ratio_ins!$B:$B,0))</f>
        <v>3984.5712060000001</v>
      </c>
      <c r="I399" s="10">
        <f>INDEX([1]ratio_ins!G:G,MATCH('001_population_health_zone_zs'!$B$2,[1]ratio_ins!$B:$B,0))*$G399*INDEX([1]ratio_ins!$C:$C,MATCH('001_population_health_zone_zs'!$B399,[1]ratio_ins!$B:$B,0))</f>
        <v>3260.1037140000003</v>
      </c>
      <c r="J399" s="10">
        <f>INDEX([1]ratio_ins!H:H,MATCH('001_population_health_zone_zs'!$B$2,[1]ratio_ins!$B:$B,0))*$G399*INDEX([1]ratio_ins!$C:$C,MATCH('001_population_health_zone_zs'!$B399,[1]ratio_ins!$B:$B,0))</f>
        <v>2573.7660900000001</v>
      </c>
      <c r="K399" s="10">
        <f>INDEX([1]ratio_ins!I:I,MATCH('001_population_health_zone_zs'!$B$2,[1]ratio_ins!$B:$B,0))*$G399*INDEX([1]ratio_ins!$C:$C,MATCH('001_population_health_zone_zs'!$B399,[1]ratio_ins!$B:$B,0))</f>
        <v>1582.3895219999999</v>
      </c>
      <c r="L399" s="10">
        <f>INDEX([1]ratio_ins!J:J,MATCH('001_population_health_zone_zs'!$B$2,[1]ratio_ins!$B:$B,0))*$G399*INDEX([1]ratio_ins!$C:$C,MATCH('001_population_health_zone_zs'!$B399,[1]ratio_ins!$B:$B,0))</f>
        <v>949.43371319999994</v>
      </c>
      <c r="M399" s="11">
        <f>INDEX([1]ratio_ins!K:K,MATCH('001_population_health_zone_zs'!$B$2,[1]ratio_ins!$B:$B,0))*$G399*INDEX([1]ratio_ins!$C:$C,MATCH('001_population_health_zone_zs'!$B399,[1]ratio_ins!$B:$B,0))</f>
        <v>10767.874723199999</v>
      </c>
      <c r="N399" s="10">
        <f>INDEX([1]ratio_ins!L:L,MATCH('001_population_health_zone_zs'!$B$2,[1]ratio_ins!$B:$B,0))*$G399*INDEX([1]ratio_ins!$C:$C,MATCH('001_population_health_zone_zs'!$B399,[1]ratio_ins!$B:$B,0))</f>
        <v>632.9558088</v>
      </c>
      <c r="O399" s="10">
        <f>INDEX([1]ratio_ins!M:M,MATCH('001_population_health_zone_zs'!$B$2,[1]ratio_ins!$B:$B,0))*$G399*INDEX([1]ratio_ins!$C:$C,MATCH('001_population_health_zone_zs'!$B399,[1]ratio_ins!$B:$B,0))</f>
        <v>1372.675248</v>
      </c>
      <c r="P399" s="10">
        <f>INDEX([1]ratio_ins!N:N,MATCH('001_population_health_zone_zs'!$B$2,[1]ratio_ins!$B:$B,0))*$G399*INDEX([1]ratio_ins!$C:$C,MATCH('001_population_health_zone_zs'!$B399,[1]ratio_ins!$B:$B,0))</f>
        <v>1239.2207100000001</v>
      </c>
      <c r="Q399" s="10">
        <f>INDEX([1]ratio_ins!O:O,MATCH('001_population_health_zone_zs'!$B$2,[1]ratio_ins!$B:$B,0))*$G399*INDEX([1]ratio_ins!$C:$C,MATCH('001_population_health_zone_zs'!$B399,[1]ratio_ins!$B:$B,0))</f>
        <v>1105.7661719999999</v>
      </c>
      <c r="R399" s="10">
        <f>INDEX([1]ratio_ins!P:P,MATCH('001_population_health_zone_zs'!$B$2,[1]ratio_ins!$B:$B,0))*$G399*INDEX([1]ratio_ins!$C:$C,MATCH('001_population_health_zone_zs'!$B399,[1]ratio_ins!$B:$B,0))</f>
        <v>1086.7012379999999</v>
      </c>
      <c r="S399" s="10">
        <f>INDEX([1]ratio_ins!Q:Q,MATCH('001_population_health_zone_zs'!$B$2,[1]ratio_ins!$B:$B,0))*$G399*INDEX([1]ratio_ins!$C:$C,MATCH('001_population_health_zone_zs'!$B399,[1]ratio_ins!$B:$B,0))</f>
        <v>915.11683200000004</v>
      </c>
      <c r="T399" s="10">
        <f>INDEX([1]ratio_ins!R:R,MATCH('001_population_health_zone_zs'!$B$2,[1]ratio_ins!$B:$B,0))*$G399*INDEX([1]ratio_ins!$C:$C,MATCH('001_population_health_zone_zs'!$B399,[1]ratio_ins!$B:$B,0))</f>
        <v>648.20775600000002</v>
      </c>
      <c r="U399" s="10">
        <f>INDEX([1]ratio_ins!S:S,MATCH('001_population_health_zone_zs'!$B$2,[1]ratio_ins!$B:$B,0))*$G399*INDEX([1]ratio_ins!$C:$C,MATCH('001_population_health_zone_zs'!$B399,[1]ratio_ins!$B:$B,0))</f>
        <v>514.75321800000006</v>
      </c>
      <c r="V399" s="10">
        <f>INDEX([1]ratio_ins!T:T,MATCH('001_population_health_zone_zs'!$B$2,[1]ratio_ins!$B:$B,0))*$G399*INDEX([1]ratio_ins!$C:$C,MATCH('001_population_health_zone_zs'!$B399,[1]ratio_ins!$B:$B,0))</f>
        <v>285.97401000000002</v>
      </c>
      <c r="W399" s="11">
        <f>INDEX([1]ratio_ins!U:U,MATCH('001_population_health_zone_zs'!$B$2,[1]ratio_ins!$B:$B,0))*$G399*INDEX([1]ratio_ins!$C:$C,MATCH('001_population_health_zone_zs'!$B399,[1]ratio_ins!$B:$B,0))</f>
        <v>7801.3709927999998</v>
      </c>
      <c r="X399" s="10">
        <f>INDEX([1]ratio_ins!V:V,MATCH('001_population_health_zone_zs'!$B$2,[1]ratio_ins!$B:$B,0))*$G399*INDEX([1]ratio_ins!$C:$C,MATCH('001_population_health_zone_zs'!$B399,[1]ratio_ins!$B:$B,0))</f>
        <v>228.77920800000001</v>
      </c>
      <c r="Y399" s="10">
        <f>INDEX([1]ratio_ins!W:W,MATCH('001_population_health_zone_zs'!$B$2,[1]ratio_ins!$B:$B,0))*$G399*INDEX([1]ratio_ins!$C:$C,MATCH('001_population_health_zone_zs'!$B399,[1]ratio_ins!$B:$B,0))</f>
        <v>152.51947200000001</v>
      </c>
      <c r="Z399" s="10">
        <f>INDEX([1]ratio_ins!X:X,MATCH('001_population_health_zone_zs'!$B$2,[1]ratio_ins!$B:$B,0))*$G399*INDEX([1]ratio_ins!$C:$C,MATCH('001_population_health_zone_zs'!$B399,[1]ratio_ins!$B:$B,0))</f>
        <v>76.259736000000004</v>
      </c>
      <c r="AA399" s="10">
        <f>INDEX([1]ratio_ins!Y:Y,MATCH('001_population_health_zone_zs'!$B$2,[1]ratio_ins!$B:$B,0))*$G399*INDEX([1]ratio_ins!$C:$C,MATCH('001_population_health_zone_zs'!$B399,[1]ratio_ins!$B:$B,0))</f>
        <v>38.129868000000002</v>
      </c>
      <c r="AB399" s="11">
        <f>INDEX([1]ratio_ins!Z:Z,MATCH('001_population_health_zone_zs'!$B$2,[1]ratio_ins!$B:$B,0))*$G399*INDEX([1]ratio_ins!$C:$C,MATCH('001_population_health_zone_zs'!$B399,[1]ratio_ins!$B:$B,0))</f>
        <v>495.68828400000001</v>
      </c>
      <c r="AC399" s="12">
        <f t="shared" si="36"/>
        <v>19064.933999999997</v>
      </c>
      <c r="AD399" s="10">
        <f>INDEX([1]ratio_ins!AA:AA,MATCH('001_population_health_zone_zs'!$B$2,[1]ratio_ins!$B:$B,0))*$G399*INDEX([1]ratio_ins!$D:$D,MATCH('001_population_health_zone_zs'!$B399,[1]ratio_ins!$B:$B,0))</f>
        <v>4035.7938599999998</v>
      </c>
      <c r="AE399" s="10">
        <f>INDEX([1]ratio_ins!AB:AB,MATCH('001_population_health_zone_zs'!$B$2,[1]ratio_ins!$B:$B,0))*$G399*INDEX([1]ratio_ins!$D:$D,MATCH('001_population_health_zone_zs'!$B399,[1]ratio_ins!$B:$B,0))</f>
        <v>3324.7254180000004</v>
      </c>
      <c r="AF399" s="10">
        <f>INDEX([1]ratio_ins!AC:AC,MATCH('001_population_health_zone_zs'!$B$2,[1]ratio_ins!$B:$B,0))*$G399*INDEX([1]ratio_ins!$D:$D,MATCH('001_population_health_zone_zs'!$B399,[1]ratio_ins!$B:$B,0))</f>
        <v>2632.8750419999997</v>
      </c>
      <c r="AG399" s="10">
        <f>INDEX([1]ratio_ins!AD:AD,MATCH('001_population_health_zone_zs'!$B$2,[1]ratio_ins!$B:$B,0))*$G399*INDEX([1]ratio_ins!$D:$D,MATCH('001_population_health_zone_zs'!$B399,[1]ratio_ins!$B:$B,0))</f>
        <v>1595.0994780000001</v>
      </c>
      <c r="AH399" s="10">
        <f>INDEX([1]ratio_ins!AE:AE,MATCH('001_population_health_zone_zs'!$B$2,[1]ratio_ins!$B:$B,0))*$G399*INDEX([1]ratio_ins!$D:$D,MATCH('001_population_health_zone_zs'!$B399,[1]ratio_ins!$B:$B,0))</f>
        <v>957.05968679999989</v>
      </c>
      <c r="AI399" s="13">
        <f>INDEX([1]ratio_ins!AF:AF,MATCH('001_population_health_zone_zs'!$B$2,[1]ratio_ins!$B:$B,0))*$G399*INDEX([1]ratio_ins!$D:$D,MATCH('001_population_health_zone_zs'!$B399,[1]ratio_ins!$B:$B,0))</f>
        <v>10950.454006799999</v>
      </c>
      <c r="AJ399" s="10">
        <f>INDEX([1]ratio_ins!AG:AG,MATCH('001_population_health_zone_zs'!$B$2,[1]ratio_ins!$B:$B,0))*$G399*INDEX([1]ratio_ins!$D:$D,MATCH('001_population_health_zone_zs'!$B399,[1]ratio_ins!$B:$B,0))</f>
        <v>638.03979119999997</v>
      </c>
      <c r="AK399" s="10">
        <f>INDEX([1]ratio_ins!AH:AH,MATCH('001_population_health_zone_zs'!$B$2,[1]ratio_ins!$B:$B,0))*$G399*INDEX([1]ratio_ins!$D:$D,MATCH('001_population_health_zone_zs'!$B399,[1]ratio_ins!$B:$B,0))</f>
        <v>1422.1368840000002</v>
      </c>
      <c r="AL399" s="10">
        <f>INDEX([1]ratio_ins!AI:AI,MATCH('001_population_health_zone_zs'!$B$2,[1]ratio_ins!$B:$B,0))*$G399*INDEX([1]ratio_ins!$D:$D,MATCH('001_population_health_zone_zs'!$B399,[1]ratio_ins!$B:$B,0))</f>
        <v>1345.2646200000001</v>
      </c>
      <c r="AM399" s="10">
        <f>INDEX([1]ratio_ins!AJ:AJ,MATCH('001_population_health_zone_zs'!$B$2,[1]ratio_ins!$B:$B,0))*$G399*INDEX([1]ratio_ins!$D:$D,MATCH('001_population_health_zone_zs'!$B399,[1]ratio_ins!$B:$B,0))</f>
        <v>1229.956224</v>
      </c>
      <c r="AN399" s="10">
        <f>INDEX([1]ratio_ins!AK:AK,MATCH('001_population_health_zone_zs'!$B$2,[1]ratio_ins!$B:$B,0))*$G399*INDEX([1]ratio_ins!$D:$D,MATCH('001_population_health_zone_zs'!$B399,[1]ratio_ins!$B:$B,0))</f>
        <v>1153.0839599999999</v>
      </c>
      <c r="AO399" s="10">
        <f>INDEX([1]ratio_ins!AL:AL,MATCH('001_population_health_zone_zs'!$B$2,[1]ratio_ins!$B:$B,0))*$G399*INDEX([1]ratio_ins!$D:$D,MATCH('001_population_health_zone_zs'!$B399,[1]ratio_ins!$B:$B,0))</f>
        <v>864.81296999999995</v>
      </c>
      <c r="AP399" s="10">
        <f>INDEX([1]ratio_ins!AM:AM,MATCH('001_population_health_zone_zs'!$B$2,[1]ratio_ins!$B:$B,0))*$G399*INDEX([1]ratio_ins!$D:$D,MATCH('001_population_health_zone_zs'!$B399,[1]ratio_ins!$B:$B,0))</f>
        <v>557.32391399999995</v>
      </c>
      <c r="AQ399" s="10">
        <f>INDEX([1]ratio_ins!AN:AN,MATCH('001_population_health_zone_zs'!$B$2,[1]ratio_ins!$B:$B,0))*$G399*INDEX([1]ratio_ins!$D:$D,MATCH('001_population_health_zone_zs'!$B399,[1]ratio_ins!$B:$B,0))</f>
        <v>442.01551799999999</v>
      </c>
      <c r="AR399" s="10">
        <f>INDEX([1]ratio_ins!AO:AO,MATCH('001_population_health_zone_zs'!$B$2,[1]ratio_ins!$B:$B,0))*$G399*INDEX([1]ratio_ins!$D:$D,MATCH('001_population_health_zone_zs'!$B399,[1]ratio_ins!$B:$B,0))</f>
        <v>211.39872600000004</v>
      </c>
      <c r="AS399" s="13">
        <f>INDEX([1]ratio_ins!AP:AP,MATCH('001_population_health_zone_zs'!$B$2,[1]ratio_ins!$B:$B,0))*$G399*INDEX([1]ratio_ins!$D:$D,MATCH('001_population_health_zone_zs'!$B399,[1]ratio_ins!$B:$B,0))</f>
        <v>7864.0326071999998</v>
      </c>
      <c r="AT399" s="10">
        <f>INDEX([1]ratio_ins!AQ:AQ,MATCH('001_population_health_zone_zs'!$B$2,[1]ratio_ins!$B:$B,0))*$G399*INDEX([1]ratio_ins!$D:$D,MATCH('001_population_health_zone_zs'!$B399,[1]ratio_ins!$B:$B,0))</f>
        <v>192.18065999999999</v>
      </c>
      <c r="AU399" s="10">
        <f>INDEX([1]ratio_ins!AR:AR,MATCH('001_population_health_zone_zs'!$B$2,[1]ratio_ins!$B:$B,0))*$G399*INDEX([1]ratio_ins!$D:$D,MATCH('001_population_health_zone_zs'!$B399,[1]ratio_ins!$B:$B,0))</f>
        <v>115.308396</v>
      </c>
      <c r="AV399" s="10">
        <f>INDEX([1]ratio_ins!AS:AS,MATCH('001_population_health_zone_zs'!$B$2,[1]ratio_ins!$B:$B,0))*$G399*INDEX([1]ratio_ins!$D:$D,MATCH('001_population_health_zone_zs'!$B399,[1]ratio_ins!$B:$B,0))</f>
        <v>57.654198000000001</v>
      </c>
      <c r="AW399" s="10">
        <f>INDEX([1]ratio_ins!AT:AT,MATCH('001_population_health_zone_zs'!$B$2,[1]ratio_ins!$B:$B,0))*$G399*INDEX([1]ratio_ins!$D:$D,MATCH('001_population_health_zone_zs'!$B399,[1]ratio_ins!$B:$B,0))</f>
        <v>38.436132000000001</v>
      </c>
      <c r="AX399" s="13">
        <f>INDEX([1]ratio_ins!AU:AU,MATCH('001_population_health_zone_zs'!$B$2,[1]ratio_ins!$B:$B,0))*$G399*INDEX([1]ratio_ins!$D:$D,MATCH('001_population_health_zone_zs'!$B399,[1]ratio_ins!$B:$B,0))</f>
        <v>403.57938599999994</v>
      </c>
      <c r="AY399" s="14">
        <f t="shared" si="37"/>
        <v>19218.065999999999</v>
      </c>
      <c r="AZ399" s="15">
        <f t="shared" si="38"/>
        <v>38283</v>
      </c>
      <c r="BA399" s="16">
        <v>36448.768369042395</v>
      </c>
      <c r="BB399" s="10">
        <f t="shared" si="39"/>
        <v>8167.6780500000004</v>
      </c>
      <c r="BC399" s="17">
        <f t="shared" si="40"/>
        <v>0.21335000000000001</v>
      </c>
      <c r="BD399" s="10">
        <f t="shared" si="41"/>
        <v>7950.0774779999992</v>
      </c>
    </row>
    <row r="400" spans="1:56" x14ac:dyDescent="0.25">
      <c r="A400" s="8" t="s">
        <v>975</v>
      </c>
      <c r="B400" s="8" t="s">
        <v>976</v>
      </c>
      <c r="C400" s="8" t="s">
        <v>977</v>
      </c>
      <c r="D400" s="8" t="s">
        <v>978</v>
      </c>
      <c r="E400" s="8" t="s">
        <v>977</v>
      </c>
      <c r="F400" s="8" t="s">
        <v>981</v>
      </c>
      <c r="G400" s="9">
        <v>383584</v>
      </c>
      <c r="H400" s="10">
        <f>INDEX([1]ratio_ins!F:F,MATCH('001_population_health_zone_zs'!$B$2,[1]ratio_ins!$B:$B,0))*$G400*INDEX([1]ratio_ins!$C:$C,MATCH('001_population_health_zone_zs'!$B400,[1]ratio_ins!$B:$B,0))</f>
        <v>39924.189888000001</v>
      </c>
      <c r="I400" s="10">
        <f>INDEX([1]ratio_ins!G:G,MATCH('001_population_health_zone_zs'!$B$2,[1]ratio_ins!$B:$B,0))*$G400*INDEX([1]ratio_ins!$C:$C,MATCH('001_population_health_zone_zs'!$B400,[1]ratio_ins!$B:$B,0))</f>
        <v>32665.246272</v>
      </c>
      <c r="J400" s="10">
        <f>INDEX([1]ratio_ins!H:H,MATCH('001_population_health_zone_zs'!$B$2,[1]ratio_ins!$B:$B,0))*$G400*INDEX([1]ratio_ins!$C:$C,MATCH('001_population_health_zone_zs'!$B400,[1]ratio_ins!$B:$B,0))</f>
        <v>25788.352320000002</v>
      </c>
      <c r="K400" s="10">
        <f>INDEX([1]ratio_ins!I:I,MATCH('001_population_health_zone_zs'!$B$2,[1]ratio_ins!$B:$B,0))*$G400*INDEX([1]ratio_ins!$C:$C,MATCH('001_population_health_zone_zs'!$B400,[1]ratio_ins!$B:$B,0))</f>
        <v>15855.061056</v>
      </c>
      <c r="L400" s="10">
        <f>INDEX([1]ratio_ins!J:J,MATCH('001_population_health_zone_zs'!$B$2,[1]ratio_ins!$B:$B,0))*$G400*INDEX([1]ratio_ins!$C:$C,MATCH('001_population_health_zone_zs'!$B400,[1]ratio_ins!$B:$B,0))</f>
        <v>9513.0366335999988</v>
      </c>
      <c r="M400" s="11">
        <f>INDEX([1]ratio_ins!K:K,MATCH('001_population_health_zone_zs'!$B$2,[1]ratio_ins!$B:$B,0))*$G400*INDEX([1]ratio_ins!$C:$C,MATCH('001_population_health_zone_zs'!$B400,[1]ratio_ins!$B:$B,0))</f>
        <v>107890.8251136</v>
      </c>
      <c r="N400" s="10">
        <f>INDEX([1]ratio_ins!L:L,MATCH('001_population_health_zone_zs'!$B$2,[1]ratio_ins!$B:$B,0))*$G400*INDEX([1]ratio_ins!$C:$C,MATCH('001_population_health_zone_zs'!$B400,[1]ratio_ins!$B:$B,0))</f>
        <v>6342.0244224000007</v>
      </c>
      <c r="O400" s="10">
        <f>INDEX([1]ratio_ins!M:M,MATCH('001_population_health_zone_zs'!$B$2,[1]ratio_ins!$B:$B,0))*$G400*INDEX([1]ratio_ins!$C:$C,MATCH('001_population_health_zone_zs'!$B400,[1]ratio_ins!$B:$B,0))</f>
        <v>13753.787904000001</v>
      </c>
      <c r="P400" s="10">
        <f>INDEX([1]ratio_ins!N:N,MATCH('001_population_health_zone_zs'!$B$2,[1]ratio_ins!$B:$B,0))*$G400*INDEX([1]ratio_ins!$C:$C,MATCH('001_population_health_zone_zs'!$B400,[1]ratio_ins!$B:$B,0))</f>
        <v>12416.614079999999</v>
      </c>
      <c r="Q400" s="10">
        <f>INDEX([1]ratio_ins!O:O,MATCH('001_population_health_zone_zs'!$B$2,[1]ratio_ins!$B:$B,0))*$G400*INDEX([1]ratio_ins!$C:$C,MATCH('001_population_health_zone_zs'!$B400,[1]ratio_ins!$B:$B,0))</f>
        <v>11079.440256</v>
      </c>
      <c r="R400" s="10">
        <f>INDEX([1]ratio_ins!P:P,MATCH('001_population_health_zone_zs'!$B$2,[1]ratio_ins!$B:$B,0))*$G400*INDEX([1]ratio_ins!$C:$C,MATCH('001_population_health_zone_zs'!$B400,[1]ratio_ins!$B:$B,0))</f>
        <v>10888.415424000001</v>
      </c>
      <c r="S400" s="10">
        <f>INDEX([1]ratio_ins!Q:Q,MATCH('001_population_health_zone_zs'!$B$2,[1]ratio_ins!$B:$B,0))*$G400*INDEX([1]ratio_ins!$C:$C,MATCH('001_population_health_zone_zs'!$B400,[1]ratio_ins!$B:$B,0))</f>
        <v>9169.1919359999993</v>
      </c>
      <c r="T400" s="10">
        <f>INDEX([1]ratio_ins!R:R,MATCH('001_population_health_zone_zs'!$B$2,[1]ratio_ins!$B:$B,0))*$G400*INDEX([1]ratio_ins!$C:$C,MATCH('001_population_health_zone_zs'!$B400,[1]ratio_ins!$B:$B,0))</f>
        <v>6494.8442880000011</v>
      </c>
      <c r="U400" s="10">
        <f>INDEX([1]ratio_ins!S:S,MATCH('001_population_health_zone_zs'!$B$2,[1]ratio_ins!$B:$B,0))*$G400*INDEX([1]ratio_ins!$C:$C,MATCH('001_population_health_zone_zs'!$B400,[1]ratio_ins!$B:$B,0))</f>
        <v>5157.6704640000007</v>
      </c>
      <c r="V400" s="10">
        <f>INDEX([1]ratio_ins!T:T,MATCH('001_population_health_zone_zs'!$B$2,[1]ratio_ins!$B:$B,0))*$G400*INDEX([1]ratio_ins!$C:$C,MATCH('001_population_health_zone_zs'!$B400,[1]ratio_ins!$B:$B,0))</f>
        <v>2865.37248</v>
      </c>
      <c r="W400" s="11">
        <f>INDEX([1]ratio_ins!U:U,MATCH('001_population_health_zone_zs'!$B$2,[1]ratio_ins!$B:$B,0))*$G400*INDEX([1]ratio_ins!$C:$C,MATCH('001_population_health_zone_zs'!$B400,[1]ratio_ins!$B:$B,0))</f>
        <v>78167.361254399992</v>
      </c>
      <c r="X400" s="10">
        <f>INDEX([1]ratio_ins!V:V,MATCH('001_population_health_zone_zs'!$B$2,[1]ratio_ins!$B:$B,0))*$G400*INDEX([1]ratio_ins!$C:$C,MATCH('001_population_health_zone_zs'!$B400,[1]ratio_ins!$B:$B,0))</f>
        <v>2292.2979839999998</v>
      </c>
      <c r="Y400" s="10">
        <f>INDEX([1]ratio_ins!W:W,MATCH('001_population_health_zone_zs'!$B$2,[1]ratio_ins!$B:$B,0))*$G400*INDEX([1]ratio_ins!$C:$C,MATCH('001_population_health_zone_zs'!$B400,[1]ratio_ins!$B:$B,0))</f>
        <v>1528.198656</v>
      </c>
      <c r="Z400" s="10">
        <f>INDEX([1]ratio_ins!X:X,MATCH('001_population_health_zone_zs'!$B$2,[1]ratio_ins!$B:$B,0))*$G400*INDEX([1]ratio_ins!$C:$C,MATCH('001_population_health_zone_zs'!$B400,[1]ratio_ins!$B:$B,0))</f>
        <v>764.09932800000001</v>
      </c>
      <c r="AA400" s="10">
        <f>INDEX([1]ratio_ins!Y:Y,MATCH('001_population_health_zone_zs'!$B$2,[1]ratio_ins!$B:$B,0))*$G400*INDEX([1]ratio_ins!$C:$C,MATCH('001_population_health_zone_zs'!$B400,[1]ratio_ins!$B:$B,0))</f>
        <v>382.04966400000001</v>
      </c>
      <c r="AB400" s="11">
        <f>INDEX([1]ratio_ins!Z:Z,MATCH('001_population_health_zone_zs'!$B$2,[1]ratio_ins!$B:$B,0))*$G400*INDEX([1]ratio_ins!$C:$C,MATCH('001_population_health_zone_zs'!$B400,[1]ratio_ins!$B:$B,0))</f>
        <v>4966.6456320000007</v>
      </c>
      <c r="AC400" s="12">
        <f t="shared" si="36"/>
        <v>191024.83199999999</v>
      </c>
      <c r="AD400" s="10">
        <f>INDEX([1]ratio_ins!AA:AA,MATCH('001_population_health_zone_zs'!$B$2,[1]ratio_ins!$B:$B,0))*$G400*INDEX([1]ratio_ins!$D:$D,MATCH('001_population_health_zone_zs'!$B400,[1]ratio_ins!$B:$B,0))</f>
        <v>40437.425280000003</v>
      </c>
      <c r="AE400" s="10">
        <f>INDEX([1]ratio_ins!AB:AB,MATCH('001_population_health_zone_zs'!$B$2,[1]ratio_ins!$B:$B,0))*$G400*INDEX([1]ratio_ins!$D:$D,MATCH('001_population_health_zone_zs'!$B400,[1]ratio_ins!$B:$B,0))</f>
        <v>33312.736064000004</v>
      </c>
      <c r="AF400" s="10">
        <f>INDEX([1]ratio_ins!AC:AC,MATCH('001_population_health_zone_zs'!$B$2,[1]ratio_ins!$B:$B,0))*$G400*INDEX([1]ratio_ins!$D:$D,MATCH('001_population_health_zone_zs'!$B400,[1]ratio_ins!$B:$B,0))</f>
        <v>26380.606015999998</v>
      </c>
      <c r="AG400" s="10">
        <f>INDEX([1]ratio_ins!AD:AD,MATCH('001_population_health_zone_zs'!$B$2,[1]ratio_ins!$B:$B,0))*$G400*INDEX([1]ratio_ins!$D:$D,MATCH('001_population_health_zone_zs'!$B400,[1]ratio_ins!$B:$B,0))</f>
        <v>15982.410944000001</v>
      </c>
      <c r="AH400" s="10">
        <f>INDEX([1]ratio_ins!AE:AE,MATCH('001_population_health_zone_zs'!$B$2,[1]ratio_ins!$B:$B,0))*$G400*INDEX([1]ratio_ins!$D:$D,MATCH('001_population_health_zone_zs'!$B400,[1]ratio_ins!$B:$B,0))</f>
        <v>9589.4465663999999</v>
      </c>
      <c r="AI400" s="13">
        <f>INDEX([1]ratio_ins!AF:AF,MATCH('001_population_health_zone_zs'!$B$2,[1]ratio_ins!$B:$B,0))*$G400*INDEX([1]ratio_ins!$D:$D,MATCH('001_population_health_zone_zs'!$B400,[1]ratio_ins!$B:$B,0))</f>
        <v>109720.21392639999</v>
      </c>
      <c r="AJ400" s="10">
        <f>INDEX([1]ratio_ins!AG:AG,MATCH('001_population_health_zone_zs'!$B$2,[1]ratio_ins!$B:$B,0))*$G400*INDEX([1]ratio_ins!$D:$D,MATCH('001_population_health_zone_zs'!$B400,[1]ratio_ins!$B:$B,0))</f>
        <v>6392.9643776000003</v>
      </c>
      <c r="AK400" s="10">
        <f>INDEX([1]ratio_ins!AH:AH,MATCH('001_population_health_zone_zs'!$B$2,[1]ratio_ins!$B:$B,0))*$G400*INDEX([1]ratio_ins!$D:$D,MATCH('001_population_health_zone_zs'!$B400,[1]ratio_ins!$B:$B,0))</f>
        <v>14249.378432000001</v>
      </c>
      <c r="AL400" s="10">
        <f>INDEX([1]ratio_ins!AI:AI,MATCH('001_population_health_zone_zs'!$B$2,[1]ratio_ins!$B:$B,0))*$G400*INDEX([1]ratio_ins!$D:$D,MATCH('001_population_health_zone_zs'!$B400,[1]ratio_ins!$B:$B,0))</f>
        <v>13479.14176</v>
      </c>
      <c r="AM400" s="10">
        <f>INDEX([1]ratio_ins!AJ:AJ,MATCH('001_population_health_zone_zs'!$B$2,[1]ratio_ins!$B:$B,0))*$G400*INDEX([1]ratio_ins!$D:$D,MATCH('001_population_health_zone_zs'!$B400,[1]ratio_ins!$B:$B,0))</f>
        <v>12323.786752</v>
      </c>
      <c r="AN400" s="10">
        <f>INDEX([1]ratio_ins!AK:AK,MATCH('001_population_health_zone_zs'!$B$2,[1]ratio_ins!$B:$B,0))*$G400*INDEX([1]ratio_ins!$D:$D,MATCH('001_population_health_zone_zs'!$B400,[1]ratio_ins!$B:$B,0))</f>
        <v>11553.550080000001</v>
      </c>
      <c r="AO400" s="10">
        <f>INDEX([1]ratio_ins!AL:AL,MATCH('001_population_health_zone_zs'!$B$2,[1]ratio_ins!$B:$B,0))*$G400*INDEX([1]ratio_ins!$D:$D,MATCH('001_population_health_zone_zs'!$B400,[1]ratio_ins!$B:$B,0))</f>
        <v>8665.1625599999988</v>
      </c>
      <c r="AP400" s="10">
        <f>INDEX([1]ratio_ins!AM:AM,MATCH('001_population_health_zone_zs'!$B$2,[1]ratio_ins!$B:$B,0))*$G400*INDEX([1]ratio_ins!$D:$D,MATCH('001_population_health_zone_zs'!$B400,[1]ratio_ins!$B:$B,0))</f>
        <v>5584.2158719999998</v>
      </c>
      <c r="AQ400" s="10">
        <f>INDEX([1]ratio_ins!AN:AN,MATCH('001_population_health_zone_zs'!$B$2,[1]ratio_ins!$B:$B,0))*$G400*INDEX([1]ratio_ins!$D:$D,MATCH('001_population_health_zone_zs'!$B400,[1]ratio_ins!$B:$B,0))</f>
        <v>4428.8608640000002</v>
      </c>
      <c r="AR400" s="10">
        <f>INDEX([1]ratio_ins!AO:AO,MATCH('001_population_health_zone_zs'!$B$2,[1]ratio_ins!$B:$B,0))*$G400*INDEX([1]ratio_ins!$D:$D,MATCH('001_population_health_zone_zs'!$B400,[1]ratio_ins!$B:$B,0))</f>
        <v>2118.1508480000002</v>
      </c>
      <c r="AS400" s="13">
        <f>INDEX([1]ratio_ins!AP:AP,MATCH('001_population_health_zone_zs'!$B$2,[1]ratio_ins!$B:$B,0))*$G400*INDEX([1]ratio_ins!$D:$D,MATCH('001_population_health_zone_zs'!$B400,[1]ratio_ins!$B:$B,0))</f>
        <v>78795.211545600003</v>
      </c>
      <c r="AT400" s="10">
        <f>INDEX([1]ratio_ins!AQ:AQ,MATCH('001_population_health_zone_zs'!$B$2,[1]ratio_ins!$B:$B,0))*$G400*INDEX([1]ratio_ins!$D:$D,MATCH('001_population_health_zone_zs'!$B400,[1]ratio_ins!$B:$B,0))</f>
        <v>1925.59168</v>
      </c>
      <c r="AU400" s="10">
        <f>INDEX([1]ratio_ins!AR:AR,MATCH('001_population_health_zone_zs'!$B$2,[1]ratio_ins!$B:$B,0))*$G400*INDEX([1]ratio_ins!$D:$D,MATCH('001_population_health_zone_zs'!$B400,[1]ratio_ins!$B:$B,0))</f>
        <v>1155.355008</v>
      </c>
      <c r="AV400" s="10">
        <f>INDEX([1]ratio_ins!AS:AS,MATCH('001_population_health_zone_zs'!$B$2,[1]ratio_ins!$B:$B,0))*$G400*INDEX([1]ratio_ins!$D:$D,MATCH('001_population_health_zone_zs'!$B400,[1]ratio_ins!$B:$B,0))</f>
        <v>577.677504</v>
      </c>
      <c r="AW400" s="10">
        <f>INDEX([1]ratio_ins!AT:AT,MATCH('001_population_health_zone_zs'!$B$2,[1]ratio_ins!$B:$B,0))*$G400*INDEX([1]ratio_ins!$D:$D,MATCH('001_population_health_zone_zs'!$B400,[1]ratio_ins!$B:$B,0))</f>
        <v>385.118336</v>
      </c>
      <c r="AX400" s="13">
        <f>INDEX([1]ratio_ins!AU:AU,MATCH('001_population_health_zone_zs'!$B$2,[1]ratio_ins!$B:$B,0))*$G400*INDEX([1]ratio_ins!$D:$D,MATCH('001_population_health_zone_zs'!$B400,[1]ratio_ins!$B:$B,0))</f>
        <v>4043.7425279999998</v>
      </c>
      <c r="AY400" s="14">
        <f t="shared" si="37"/>
        <v>192559.16799999998</v>
      </c>
      <c r="AZ400" s="15">
        <f t="shared" si="38"/>
        <v>383584</v>
      </c>
      <c r="BA400" s="16">
        <v>365207.14877757983</v>
      </c>
      <c r="BB400" s="10">
        <f t="shared" si="39"/>
        <v>81837.646399999998</v>
      </c>
      <c r="BC400" s="17">
        <f t="shared" si="40"/>
        <v>0.21334999999999998</v>
      </c>
      <c r="BD400" s="10">
        <f t="shared" si="41"/>
        <v>79657.354944000006</v>
      </c>
    </row>
    <row r="401" spans="1:56" x14ac:dyDescent="0.25">
      <c r="A401" s="8" t="s">
        <v>975</v>
      </c>
      <c r="B401" s="8" t="s">
        <v>976</v>
      </c>
      <c r="C401" s="8" t="s">
        <v>977</v>
      </c>
      <c r="D401" s="8" t="s">
        <v>978</v>
      </c>
      <c r="E401" s="8" t="s">
        <v>982</v>
      </c>
      <c r="F401" s="8" t="s">
        <v>983</v>
      </c>
      <c r="G401" s="9">
        <v>108210</v>
      </c>
      <c r="H401" s="10">
        <f>INDEX([1]ratio_ins!F:F,MATCH('001_population_health_zone_zs'!$B$2,[1]ratio_ins!$B:$B,0))*$G401*INDEX([1]ratio_ins!$C:$C,MATCH('001_population_health_zone_zs'!$B401,[1]ratio_ins!$B:$B,0))</f>
        <v>11262.71322</v>
      </c>
      <c r="I401" s="10">
        <f>INDEX([1]ratio_ins!G:G,MATCH('001_population_health_zone_zs'!$B$2,[1]ratio_ins!$B:$B,0))*$G401*INDEX([1]ratio_ins!$C:$C,MATCH('001_population_health_zone_zs'!$B401,[1]ratio_ins!$B:$B,0))</f>
        <v>9214.9471799999992</v>
      </c>
      <c r="J401" s="10">
        <f>INDEX([1]ratio_ins!H:H,MATCH('001_population_health_zone_zs'!$B$2,[1]ratio_ins!$B:$B,0))*$G401*INDEX([1]ratio_ins!$C:$C,MATCH('001_population_health_zone_zs'!$B401,[1]ratio_ins!$B:$B,0))</f>
        <v>7274.9583000000002</v>
      </c>
      <c r="K401" s="10">
        <f>INDEX([1]ratio_ins!I:I,MATCH('001_population_health_zone_zs'!$B$2,[1]ratio_ins!$B:$B,0))*$G401*INDEX([1]ratio_ins!$C:$C,MATCH('001_population_health_zone_zs'!$B401,[1]ratio_ins!$B:$B,0))</f>
        <v>4472.7521400000005</v>
      </c>
      <c r="L401" s="10">
        <f>INDEX([1]ratio_ins!J:J,MATCH('001_population_health_zone_zs'!$B$2,[1]ratio_ins!$B:$B,0))*$G401*INDEX([1]ratio_ins!$C:$C,MATCH('001_population_health_zone_zs'!$B401,[1]ratio_ins!$B:$B,0))</f>
        <v>2683.6512839999996</v>
      </c>
      <c r="M401" s="11">
        <f>INDEX([1]ratio_ins!K:K,MATCH('001_population_health_zone_zs'!$B$2,[1]ratio_ins!$B:$B,0))*$G401*INDEX([1]ratio_ins!$C:$C,MATCH('001_population_health_zone_zs'!$B401,[1]ratio_ins!$B:$B,0))</f>
        <v>30436.269983999999</v>
      </c>
      <c r="N401" s="10">
        <f>INDEX([1]ratio_ins!L:L,MATCH('001_population_health_zone_zs'!$B$2,[1]ratio_ins!$B:$B,0))*$G401*INDEX([1]ratio_ins!$C:$C,MATCH('001_population_health_zone_zs'!$B401,[1]ratio_ins!$B:$B,0))</f>
        <v>1789.100856</v>
      </c>
      <c r="O401" s="10">
        <f>INDEX([1]ratio_ins!M:M,MATCH('001_population_health_zone_zs'!$B$2,[1]ratio_ins!$B:$B,0))*$G401*INDEX([1]ratio_ins!$C:$C,MATCH('001_population_health_zone_zs'!$B401,[1]ratio_ins!$B:$B,0))</f>
        <v>3879.9777600000002</v>
      </c>
      <c r="P401" s="10">
        <f>INDEX([1]ratio_ins!N:N,MATCH('001_population_health_zone_zs'!$B$2,[1]ratio_ins!$B:$B,0))*$G401*INDEX([1]ratio_ins!$C:$C,MATCH('001_population_health_zone_zs'!$B401,[1]ratio_ins!$B:$B,0))</f>
        <v>3502.7577000000001</v>
      </c>
      <c r="Q401" s="10">
        <f>INDEX([1]ratio_ins!O:O,MATCH('001_population_health_zone_zs'!$B$2,[1]ratio_ins!$B:$B,0))*$G401*INDEX([1]ratio_ins!$C:$C,MATCH('001_population_health_zone_zs'!$B401,[1]ratio_ins!$B:$B,0))</f>
        <v>3125.5376399999996</v>
      </c>
      <c r="R401" s="10">
        <f>INDEX([1]ratio_ins!P:P,MATCH('001_population_health_zone_zs'!$B$2,[1]ratio_ins!$B:$B,0))*$G401*INDEX([1]ratio_ins!$C:$C,MATCH('001_population_health_zone_zs'!$B401,[1]ratio_ins!$B:$B,0))</f>
        <v>3071.6490600000002</v>
      </c>
      <c r="S401" s="10">
        <f>INDEX([1]ratio_ins!Q:Q,MATCH('001_population_health_zone_zs'!$B$2,[1]ratio_ins!$B:$B,0))*$G401*INDEX([1]ratio_ins!$C:$C,MATCH('001_population_health_zone_zs'!$B401,[1]ratio_ins!$B:$B,0))</f>
        <v>2586.65184</v>
      </c>
      <c r="T401" s="10">
        <f>INDEX([1]ratio_ins!R:R,MATCH('001_population_health_zone_zs'!$B$2,[1]ratio_ins!$B:$B,0))*$G401*INDEX([1]ratio_ins!$C:$C,MATCH('001_population_health_zone_zs'!$B401,[1]ratio_ins!$B:$B,0))</f>
        <v>1832.2117200000002</v>
      </c>
      <c r="U401" s="10">
        <f>INDEX([1]ratio_ins!S:S,MATCH('001_population_health_zone_zs'!$B$2,[1]ratio_ins!$B:$B,0))*$G401*INDEX([1]ratio_ins!$C:$C,MATCH('001_population_health_zone_zs'!$B401,[1]ratio_ins!$B:$B,0))</f>
        <v>1454.9916600000004</v>
      </c>
      <c r="V401" s="10">
        <f>INDEX([1]ratio_ins!T:T,MATCH('001_population_health_zone_zs'!$B$2,[1]ratio_ins!$B:$B,0))*$G401*INDEX([1]ratio_ins!$C:$C,MATCH('001_population_health_zone_zs'!$B401,[1]ratio_ins!$B:$B,0))</f>
        <v>808.32869999999991</v>
      </c>
      <c r="W401" s="11">
        <f>INDEX([1]ratio_ins!U:U,MATCH('001_population_health_zone_zs'!$B$2,[1]ratio_ins!$B:$B,0))*$G401*INDEX([1]ratio_ins!$C:$C,MATCH('001_population_health_zone_zs'!$B401,[1]ratio_ins!$B:$B,0))</f>
        <v>22051.206935999999</v>
      </c>
      <c r="X401" s="10">
        <f>INDEX([1]ratio_ins!V:V,MATCH('001_population_health_zone_zs'!$B$2,[1]ratio_ins!$B:$B,0))*$G401*INDEX([1]ratio_ins!$C:$C,MATCH('001_population_health_zone_zs'!$B401,[1]ratio_ins!$B:$B,0))</f>
        <v>646.66296</v>
      </c>
      <c r="Y401" s="10">
        <f>INDEX([1]ratio_ins!W:W,MATCH('001_population_health_zone_zs'!$B$2,[1]ratio_ins!$B:$B,0))*$G401*INDEX([1]ratio_ins!$C:$C,MATCH('001_population_health_zone_zs'!$B401,[1]ratio_ins!$B:$B,0))</f>
        <v>431.10864000000004</v>
      </c>
      <c r="Z401" s="10">
        <f>INDEX([1]ratio_ins!X:X,MATCH('001_population_health_zone_zs'!$B$2,[1]ratio_ins!$B:$B,0))*$G401*INDEX([1]ratio_ins!$C:$C,MATCH('001_population_health_zone_zs'!$B401,[1]ratio_ins!$B:$B,0))</f>
        <v>215.55432000000002</v>
      </c>
      <c r="AA401" s="10">
        <f>INDEX([1]ratio_ins!Y:Y,MATCH('001_population_health_zone_zs'!$B$2,[1]ratio_ins!$B:$B,0))*$G401*INDEX([1]ratio_ins!$C:$C,MATCH('001_population_health_zone_zs'!$B401,[1]ratio_ins!$B:$B,0))</f>
        <v>107.77716000000001</v>
      </c>
      <c r="AB401" s="11">
        <f>INDEX([1]ratio_ins!Z:Z,MATCH('001_population_health_zone_zs'!$B$2,[1]ratio_ins!$B:$B,0))*$G401*INDEX([1]ratio_ins!$C:$C,MATCH('001_population_health_zone_zs'!$B401,[1]ratio_ins!$B:$B,0))</f>
        <v>1401.1030800000001</v>
      </c>
      <c r="AC401" s="12">
        <f t="shared" si="36"/>
        <v>53888.58</v>
      </c>
      <c r="AD401" s="10">
        <f>INDEX([1]ratio_ins!AA:AA,MATCH('001_population_health_zone_zs'!$B$2,[1]ratio_ins!$B:$B,0))*$G401*INDEX([1]ratio_ins!$D:$D,MATCH('001_population_health_zone_zs'!$B401,[1]ratio_ins!$B:$B,0))</f>
        <v>11407.4982</v>
      </c>
      <c r="AE401" s="10">
        <f>INDEX([1]ratio_ins!AB:AB,MATCH('001_population_health_zone_zs'!$B$2,[1]ratio_ins!$B:$B,0))*$G401*INDEX([1]ratio_ins!$D:$D,MATCH('001_population_health_zone_zs'!$B401,[1]ratio_ins!$B:$B,0))</f>
        <v>9397.6056600000011</v>
      </c>
      <c r="AF401" s="10">
        <f>INDEX([1]ratio_ins!AC:AC,MATCH('001_population_health_zone_zs'!$B$2,[1]ratio_ins!$B:$B,0))*$G401*INDEX([1]ratio_ins!$D:$D,MATCH('001_population_health_zone_zs'!$B401,[1]ratio_ins!$B:$B,0))</f>
        <v>7442.0345399999997</v>
      </c>
      <c r="AG401" s="10">
        <f>INDEX([1]ratio_ins!AD:AD,MATCH('001_population_health_zone_zs'!$B$2,[1]ratio_ins!$B:$B,0))*$G401*INDEX([1]ratio_ins!$D:$D,MATCH('001_population_health_zone_zs'!$B401,[1]ratio_ins!$B:$B,0))</f>
        <v>4508.6778599999998</v>
      </c>
      <c r="AH401" s="10">
        <f>INDEX([1]ratio_ins!AE:AE,MATCH('001_population_health_zone_zs'!$B$2,[1]ratio_ins!$B:$B,0))*$G401*INDEX([1]ratio_ins!$D:$D,MATCH('001_population_health_zone_zs'!$B401,[1]ratio_ins!$B:$B,0))</f>
        <v>2705.2067159999997</v>
      </c>
      <c r="AI401" s="13">
        <f>INDEX([1]ratio_ins!AF:AF,MATCH('001_population_health_zone_zs'!$B$2,[1]ratio_ins!$B:$B,0))*$G401*INDEX([1]ratio_ins!$D:$D,MATCH('001_population_health_zone_zs'!$B401,[1]ratio_ins!$B:$B,0))</f>
        <v>30952.345116</v>
      </c>
      <c r="AJ401" s="10">
        <f>INDEX([1]ratio_ins!AG:AG,MATCH('001_population_health_zone_zs'!$B$2,[1]ratio_ins!$B:$B,0))*$G401*INDEX([1]ratio_ins!$D:$D,MATCH('001_population_health_zone_zs'!$B401,[1]ratio_ins!$B:$B,0))</f>
        <v>1803.4711440000001</v>
      </c>
      <c r="AK401" s="10">
        <f>INDEX([1]ratio_ins!AH:AH,MATCH('001_population_health_zone_zs'!$B$2,[1]ratio_ins!$B:$B,0))*$G401*INDEX([1]ratio_ins!$D:$D,MATCH('001_population_health_zone_zs'!$B401,[1]ratio_ins!$B:$B,0))</f>
        <v>4019.7850800000006</v>
      </c>
      <c r="AL401" s="10">
        <f>INDEX([1]ratio_ins!AI:AI,MATCH('001_population_health_zone_zs'!$B$2,[1]ratio_ins!$B:$B,0))*$G401*INDEX([1]ratio_ins!$D:$D,MATCH('001_population_health_zone_zs'!$B401,[1]ratio_ins!$B:$B,0))</f>
        <v>3802.4994000000006</v>
      </c>
      <c r="AM401" s="10">
        <f>INDEX([1]ratio_ins!AJ:AJ,MATCH('001_population_health_zone_zs'!$B$2,[1]ratio_ins!$B:$B,0))*$G401*INDEX([1]ratio_ins!$D:$D,MATCH('001_population_health_zone_zs'!$B401,[1]ratio_ins!$B:$B,0))</f>
        <v>3476.5708800000002</v>
      </c>
      <c r="AN401" s="10">
        <f>INDEX([1]ratio_ins!AK:AK,MATCH('001_population_health_zone_zs'!$B$2,[1]ratio_ins!$B:$B,0))*$G401*INDEX([1]ratio_ins!$D:$D,MATCH('001_population_health_zone_zs'!$B401,[1]ratio_ins!$B:$B,0))</f>
        <v>3259.2851999999998</v>
      </c>
      <c r="AO401" s="10">
        <f>INDEX([1]ratio_ins!AL:AL,MATCH('001_population_health_zone_zs'!$B$2,[1]ratio_ins!$B:$B,0))*$G401*INDEX([1]ratio_ins!$D:$D,MATCH('001_population_health_zone_zs'!$B401,[1]ratio_ins!$B:$B,0))</f>
        <v>2444.4638999999997</v>
      </c>
      <c r="AP401" s="10">
        <f>INDEX([1]ratio_ins!AM:AM,MATCH('001_population_health_zone_zs'!$B$2,[1]ratio_ins!$B:$B,0))*$G401*INDEX([1]ratio_ins!$D:$D,MATCH('001_population_health_zone_zs'!$B401,[1]ratio_ins!$B:$B,0))</f>
        <v>1575.3211799999999</v>
      </c>
      <c r="AQ401" s="10">
        <f>INDEX([1]ratio_ins!AN:AN,MATCH('001_population_health_zone_zs'!$B$2,[1]ratio_ins!$B:$B,0))*$G401*INDEX([1]ratio_ins!$D:$D,MATCH('001_population_health_zone_zs'!$B401,[1]ratio_ins!$B:$B,0))</f>
        <v>1249.39266</v>
      </c>
      <c r="AR401" s="10">
        <f>INDEX([1]ratio_ins!AO:AO,MATCH('001_population_health_zone_zs'!$B$2,[1]ratio_ins!$B:$B,0))*$G401*INDEX([1]ratio_ins!$D:$D,MATCH('001_population_health_zone_zs'!$B401,[1]ratio_ins!$B:$B,0))</f>
        <v>597.53562000000011</v>
      </c>
      <c r="AS401" s="13">
        <f>INDEX([1]ratio_ins!AP:AP,MATCH('001_population_health_zone_zs'!$B$2,[1]ratio_ins!$B:$B,0))*$G401*INDEX([1]ratio_ins!$D:$D,MATCH('001_population_health_zone_zs'!$B401,[1]ratio_ins!$B:$B,0))</f>
        <v>22228.325064000001</v>
      </c>
      <c r="AT401" s="10">
        <f>INDEX([1]ratio_ins!AQ:AQ,MATCH('001_population_health_zone_zs'!$B$2,[1]ratio_ins!$B:$B,0))*$G401*INDEX([1]ratio_ins!$D:$D,MATCH('001_population_health_zone_zs'!$B401,[1]ratio_ins!$B:$B,0))</f>
        <v>543.21420000000001</v>
      </c>
      <c r="AU401" s="10">
        <f>INDEX([1]ratio_ins!AR:AR,MATCH('001_population_health_zone_zs'!$B$2,[1]ratio_ins!$B:$B,0))*$G401*INDEX([1]ratio_ins!$D:$D,MATCH('001_population_health_zone_zs'!$B401,[1]ratio_ins!$B:$B,0))</f>
        <v>325.92851999999999</v>
      </c>
      <c r="AV401" s="10">
        <f>INDEX([1]ratio_ins!AS:AS,MATCH('001_population_health_zone_zs'!$B$2,[1]ratio_ins!$B:$B,0))*$G401*INDEX([1]ratio_ins!$D:$D,MATCH('001_population_health_zone_zs'!$B401,[1]ratio_ins!$B:$B,0))</f>
        <v>162.96426</v>
      </c>
      <c r="AW401" s="10">
        <f>INDEX([1]ratio_ins!AT:AT,MATCH('001_population_health_zone_zs'!$B$2,[1]ratio_ins!$B:$B,0))*$G401*INDEX([1]ratio_ins!$D:$D,MATCH('001_population_health_zone_zs'!$B401,[1]ratio_ins!$B:$B,0))</f>
        <v>108.64284000000001</v>
      </c>
      <c r="AX401" s="13">
        <f>INDEX([1]ratio_ins!AU:AU,MATCH('001_population_health_zone_zs'!$B$2,[1]ratio_ins!$B:$B,0))*$G401*INDEX([1]ratio_ins!$D:$D,MATCH('001_population_health_zone_zs'!$B401,[1]ratio_ins!$B:$B,0))</f>
        <v>1140.74982</v>
      </c>
      <c r="AY401" s="14">
        <f t="shared" si="37"/>
        <v>54321.42</v>
      </c>
      <c r="AZ401" s="15">
        <f t="shared" si="38"/>
        <v>108210</v>
      </c>
      <c r="BA401" s="16">
        <v>103025.49461294802</v>
      </c>
      <c r="BB401" s="10">
        <f t="shared" si="39"/>
        <v>23086.603499999997</v>
      </c>
      <c r="BC401" s="17">
        <f t="shared" si="40"/>
        <v>0.21334999999999998</v>
      </c>
      <c r="BD401" s="10">
        <f t="shared" si="41"/>
        <v>22471.537859999997</v>
      </c>
    </row>
    <row r="402" spans="1:56" x14ac:dyDescent="0.25">
      <c r="A402" s="8" t="s">
        <v>975</v>
      </c>
      <c r="B402" s="8" t="s">
        <v>976</v>
      </c>
      <c r="C402" s="8" t="s">
        <v>977</v>
      </c>
      <c r="D402" s="8" t="s">
        <v>978</v>
      </c>
      <c r="E402" s="8" t="s">
        <v>984</v>
      </c>
      <c r="F402" s="8" t="s">
        <v>985</v>
      </c>
      <c r="G402" s="9">
        <v>218899</v>
      </c>
      <c r="H402" s="10">
        <f>INDEX([1]ratio_ins!F:F,MATCH('001_population_health_zone_zs'!$B$2,[1]ratio_ins!$B:$B,0))*$G402*INDEX([1]ratio_ins!$C:$C,MATCH('001_population_health_zone_zs'!$B402,[1]ratio_ins!$B:$B,0))</f>
        <v>22783.445717999999</v>
      </c>
      <c r="I402" s="10">
        <f>INDEX([1]ratio_ins!G:G,MATCH('001_population_health_zone_zs'!$B$2,[1]ratio_ins!$B:$B,0))*$G402*INDEX([1]ratio_ins!$C:$C,MATCH('001_population_health_zone_zs'!$B402,[1]ratio_ins!$B:$B,0))</f>
        <v>18641.001042</v>
      </c>
      <c r="J402" s="10">
        <f>INDEX([1]ratio_ins!H:H,MATCH('001_population_health_zone_zs'!$B$2,[1]ratio_ins!$B:$B,0))*$G402*INDEX([1]ratio_ins!$C:$C,MATCH('001_population_health_zone_zs'!$B402,[1]ratio_ins!$B:$B,0))</f>
        <v>14716.57977</v>
      </c>
      <c r="K402" s="10">
        <f>INDEX([1]ratio_ins!I:I,MATCH('001_population_health_zone_zs'!$B$2,[1]ratio_ins!$B:$B,0))*$G402*INDEX([1]ratio_ins!$C:$C,MATCH('001_population_health_zone_zs'!$B402,[1]ratio_ins!$B:$B,0))</f>
        <v>9047.9712660000005</v>
      </c>
      <c r="L402" s="10">
        <f>INDEX([1]ratio_ins!J:J,MATCH('001_population_health_zone_zs'!$B$2,[1]ratio_ins!$B:$B,0))*$G402*INDEX([1]ratio_ins!$C:$C,MATCH('001_population_health_zone_zs'!$B402,[1]ratio_ins!$B:$B,0))</f>
        <v>5428.7827595999997</v>
      </c>
      <c r="M402" s="11">
        <f>INDEX([1]ratio_ins!K:K,MATCH('001_population_health_zone_zs'!$B$2,[1]ratio_ins!$B:$B,0))*$G402*INDEX([1]ratio_ins!$C:$C,MATCH('001_population_health_zone_zs'!$B402,[1]ratio_ins!$B:$B,0))</f>
        <v>61569.809289599994</v>
      </c>
      <c r="N402" s="10">
        <f>INDEX([1]ratio_ins!L:L,MATCH('001_population_health_zone_zs'!$B$2,[1]ratio_ins!$B:$B,0))*$G402*INDEX([1]ratio_ins!$C:$C,MATCH('001_population_health_zone_zs'!$B402,[1]ratio_ins!$B:$B,0))</f>
        <v>3619.1885063999998</v>
      </c>
      <c r="O402" s="10">
        <f>INDEX([1]ratio_ins!M:M,MATCH('001_population_health_zone_zs'!$B$2,[1]ratio_ins!$B:$B,0))*$G402*INDEX([1]ratio_ins!$C:$C,MATCH('001_population_health_zone_zs'!$B402,[1]ratio_ins!$B:$B,0))</f>
        <v>7848.8425440000001</v>
      </c>
      <c r="P402" s="10">
        <f>INDEX([1]ratio_ins!N:N,MATCH('001_population_health_zone_zs'!$B$2,[1]ratio_ins!$B:$B,0))*$G402*INDEX([1]ratio_ins!$C:$C,MATCH('001_population_health_zone_zs'!$B402,[1]ratio_ins!$B:$B,0))</f>
        <v>7085.7606300000007</v>
      </c>
      <c r="Q402" s="10">
        <f>INDEX([1]ratio_ins!O:O,MATCH('001_population_health_zone_zs'!$B$2,[1]ratio_ins!$B:$B,0))*$G402*INDEX([1]ratio_ins!$C:$C,MATCH('001_population_health_zone_zs'!$B402,[1]ratio_ins!$B:$B,0))</f>
        <v>6322.6787159999994</v>
      </c>
      <c r="R402" s="10">
        <f>INDEX([1]ratio_ins!P:P,MATCH('001_population_health_zone_zs'!$B$2,[1]ratio_ins!$B:$B,0))*$G402*INDEX([1]ratio_ins!$C:$C,MATCH('001_population_health_zone_zs'!$B402,[1]ratio_ins!$B:$B,0))</f>
        <v>6213.6670140000006</v>
      </c>
      <c r="S402" s="10">
        <f>INDEX([1]ratio_ins!Q:Q,MATCH('001_population_health_zone_zs'!$B$2,[1]ratio_ins!$B:$B,0))*$G402*INDEX([1]ratio_ins!$C:$C,MATCH('001_population_health_zone_zs'!$B402,[1]ratio_ins!$B:$B,0))</f>
        <v>5232.5616959999998</v>
      </c>
      <c r="T402" s="10">
        <f>INDEX([1]ratio_ins!R:R,MATCH('001_population_health_zone_zs'!$B$2,[1]ratio_ins!$B:$B,0))*$G402*INDEX([1]ratio_ins!$C:$C,MATCH('001_population_health_zone_zs'!$B402,[1]ratio_ins!$B:$B,0))</f>
        <v>3706.3978680000005</v>
      </c>
      <c r="U402" s="10">
        <f>INDEX([1]ratio_ins!S:S,MATCH('001_population_health_zone_zs'!$B$2,[1]ratio_ins!$B:$B,0))*$G402*INDEX([1]ratio_ins!$C:$C,MATCH('001_population_health_zone_zs'!$B402,[1]ratio_ins!$B:$B,0))</f>
        <v>2943.3159540000006</v>
      </c>
      <c r="V402" s="10">
        <f>INDEX([1]ratio_ins!T:T,MATCH('001_population_health_zone_zs'!$B$2,[1]ratio_ins!$B:$B,0))*$G402*INDEX([1]ratio_ins!$C:$C,MATCH('001_population_health_zone_zs'!$B402,[1]ratio_ins!$B:$B,0))</f>
        <v>1635.1755299999998</v>
      </c>
      <c r="W402" s="11">
        <f>INDEX([1]ratio_ins!U:U,MATCH('001_population_health_zone_zs'!$B$2,[1]ratio_ins!$B:$B,0))*$G402*INDEX([1]ratio_ins!$C:$C,MATCH('001_population_health_zone_zs'!$B402,[1]ratio_ins!$B:$B,0))</f>
        <v>44607.588458399994</v>
      </c>
      <c r="X402" s="10">
        <f>INDEX([1]ratio_ins!V:V,MATCH('001_population_health_zone_zs'!$B$2,[1]ratio_ins!$B:$B,0))*$G402*INDEX([1]ratio_ins!$C:$C,MATCH('001_population_health_zone_zs'!$B402,[1]ratio_ins!$B:$B,0))</f>
        <v>1308.1404239999999</v>
      </c>
      <c r="Y402" s="10">
        <f>INDEX([1]ratio_ins!W:W,MATCH('001_population_health_zone_zs'!$B$2,[1]ratio_ins!$B:$B,0))*$G402*INDEX([1]ratio_ins!$C:$C,MATCH('001_population_health_zone_zs'!$B402,[1]ratio_ins!$B:$B,0))</f>
        <v>872.093616</v>
      </c>
      <c r="Z402" s="10">
        <f>INDEX([1]ratio_ins!X:X,MATCH('001_population_health_zone_zs'!$B$2,[1]ratio_ins!$B:$B,0))*$G402*INDEX([1]ratio_ins!$C:$C,MATCH('001_population_health_zone_zs'!$B402,[1]ratio_ins!$B:$B,0))</f>
        <v>436.046808</v>
      </c>
      <c r="AA402" s="10">
        <f>INDEX([1]ratio_ins!Y:Y,MATCH('001_population_health_zone_zs'!$B$2,[1]ratio_ins!$B:$B,0))*$G402*INDEX([1]ratio_ins!$C:$C,MATCH('001_population_health_zone_zs'!$B402,[1]ratio_ins!$B:$B,0))</f>
        <v>218.023404</v>
      </c>
      <c r="AB402" s="11">
        <f>INDEX([1]ratio_ins!Z:Z,MATCH('001_population_health_zone_zs'!$B$2,[1]ratio_ins!$B:$B,0))*$G402*INDEX([1]ratio_ins!$C:$C,MATCH('001_population_health_zone_zs'!$B402,[1]ratio_ins!$B:$B,0))</f>
        <v>2834.3042520000004</v>
      </c>
      <c r="AC402" s="12">
        <f t="shared" si="36"/>
        <v>109011.70199999999</v>
      </c>
      <c r="AD402" s="10">
        <f>INDEX([1]ratio_ins!AA:AA,MATCH('001_population_health_zone_zs'!$B$2,[1]ratio_ins!$B:$B,0))*$G402*INDEX([1]ratio_ins!$D:$D,MATCH('001_population_health_zone_zs'!$B402,[1]ratio_ins!$B:$B,0))</f>
        <v>23076.332580000002</v>
      </c>
      <c r="AE402" s="10">
        <f>INDEX([1]ratio_ins!AB:AB,MATCH('001_population_health_zone_zs'!$B$2,[1]ratio_ins!$B:$B,0))*$G402*INDEX([1]ratio_ins!$D:$D,MATCH('001_population_health_zone_zs'!$B402,[1]ratio_ins!$B:$B,0))</f>
        <v>19010.502554000002</v>
      </c>
      <c r="AF402" s="10">
        <f>INDEX([1]ratio_ins!AC:AC,MATCH('001_population_health_zone_zs'!$B$2,[1]ratio_ins!$B:$B,0))*$G402*INDEX([1]ratio_ins!$D:$D,MATCH('001_population_health_zone_zs'!$B402,[1]ratio_ins!$B:$B,0))</f>
        <v>15054.559825999999</v>
      </c>
      <c r="AG402" s="10">
        <f>INDEX([1]ratio_ins!AD:AD,MATCH('001_population_health_zone_zs'!$B$2,[1]ratio_ins!$B:$B,0))*$G402*INDEX([1]ratio_ins!$D:$D,MATCH('001_population_health_zone_zs'!$B402,[1]ratio_ins!$B:$B,0))</f>
        <v>9120.6457340000015</v>
      </c>
      <c r="AH402" s="10">
        <f>INDEX([1]ratio_ins!AE:AE,MATCH('001_population_health_zone_zs'!$B$2,[1]ratio_ins!$B:$B,0))*$G402*INDEX([1]ratio_ins!$D:$D,MATCH('001_population_health_zone_zs'!$B402,[1]ratio_ins!$B:$B,0))</f>
        <v>5472.3874403999989</v>
      </c>
      <c r="AI402" s="13">
        <f>INDEX([1]ratio_ins!AF:AF,MATCH('001_population_health_zone_zs'!$B$2,[1]ratio_ins!$B:$B,0))*$G402*INDEX([1]ratio_ins!$D:$D,MATCH('001_population_health_zone_zs'!$B402,[1]ratio_ins!$B:$B,0))</f>
        <v>62613.782400399992</v>
      </c>
      <c r="AJ402" s="10">
        <f>INDEX([1]ratio_ins!AG:AG,MATCH('001_population_health_zone_zs'!$B$2,[1]ratio_ins!$B:$B,0))*$G402*INDEX([1]ratio_ins!$D:$D,MATCH('001_population_health_zone_zs'!$B402,[1]ratio_ins!$B:$B,0))</f>
        <v>3648.2582935999999</v>
      </c>
      <c r="AK402" s="10">
        <f>INDEX([1]ratio_ins!AH:AH,MATCH('001_population_health_zone_zs'!$B$2,[1]ratio_ins!$B:$B,0))*$G402*INDEX([1]ratio_ins!$D:$D,MATCH('001_population_health_zone_zs'!$B402,[1]ratio_ins!$B:$B,0))</f>
        <v>8131.6600520000011</v>
      </c>
      <c r="AL402" s="10">
        <f>INDEX([1]ratio_ins!AI:AI,MATCH('001_population_health_zone_zs'!$B$2,[1]ratio_ins!$B:$B,0))*$G402*INDEX([1]ratio_ins!$D:$D,MATCH('001_population_health_zone_zs'!$B402,[1]ratio_ins!$B:$B,0))</f>
        <v>7692.1108600000007</v>
      </c>
      <c r="AM402" s="10">
        <f>INDEX([1]ratio_ins!AJ:AJ,MATCH('001_population_health_zone_zs'!$B$2,[1]ratio_ins!$B:$B,0))*$G402*INDEX([1]ratio_ins!$D:$D,MATCH('001_population_health_zone_zs'!$B402,[1]ratio_ins!$B:$B,0))</f>
        <v>7032.7870720000001</v>
      </c>
      <c r="AN402" s="10">
        <f>INDEX([1]ratio_ins!AK:AK,MATCH('001_population_health_zone_zs'!$B$2,[1]ratio_ins!$B:$B,0))*$G402*INDEX([1]ratio_ins!$D:$D,MATCH('001_population_health_zone_zs'!$B402,[1]ratio_ins!$B:$B,0))</f>
        <v>6593.2378799999997</v>
      </c>
      <c r="AO402" s="10">
        <f>INDEX([1]ratio_ins!AL:AL,MATCH('001_population_health_zone_zs'!$B$2,[1]ratio_ins!$B:$B,0))*$G402*INDEX([1]ratio_ins!$D:$D,MATCH('001_population_health_zone_zs'!$B402,[1]ratio_ins!$B:$B,0))</f>
        <v>4944.9284099999995</v>
      </c>
      <c r="AP402" s="10">
        <f>INDEX([1]ratio_ins!AM:AM,MATCH('001_population_health_zone_zs'!$B$2,[1]ratio_ins!$B:$B,0))*$G402*INDEX([1]ratio_ins!$D:$D,MATCH('001_population_health_zone_zs'!$B402,[1]ratio_ins!$B:$B,0))</f>
        <v>3186.7316420000002</v>
      </c>
      <c r="AQ402" s="10">
        <f>INDEX([1]ratio_ins!AN:AN,MATCH('001_population_health_zone_zs'!$B$2,[1]ratio_ins!$B:$B,0))*$G402*INDEX([1]ratio_ins!$D:$D,MATCH('001_population_health_zone_zs'!$B402,[1]ratio_ins!$B:$B,0))</f>
        <v>2527.407854</v>
      </c>
      <c r="AR402" s="10">
        <f>INDEX([1]ratio_ins!AO:AO,MATCH('001_population_health_zone_zs'!$B$2,[1]ratio_ins!$B:$B,0))*$G402*INDEX([1]ratio_ins!$D:$D,MATCH('001_population_health_zone_zs'!$B402,[1]ratio_ins!$B:$B,0))</f>
        <v>1208.760278</v>
      </c>
      <c r="AS402" s="13">
        <f>INDEX([1]ratio_ins!AP:AP,MATCH('001_population_health_zone_zs'!$B$2,[1]ratio_ins!$B:$B,0))*$G402*INDEX([1]ratio_ins!$D:$D,MATCH('001_population_health_zone_zs'!$B402,[1]ratio_ins!$B:$B,0))</f>
        <v>44965.882341600001</v>
      </c>
      <c r="AT402" s="10">
        <f>INDEX([1]ratio_ins!AQ:AQ,MATCH('001_population_health_zone_zs'!$B$2,[1]ratio_ins!$B:$B,0))*$G402*INDEX([1]ratio_ins!$D:$D,MATCH('001_population_health_zone_zs'!$B402,[1]ratio_ins!$B:$B,0))</f>
        <v>1098.8729800000001</v>
      </c>
      <c r="AU402" s="10">
        <f>INDEX([1]ratio_ins!AR:AR,MATCH('001_population_health_zone_zs'!$B$2,[1]ratio_ins!$B:$B,0))*$G402*INDEX([1]ratio_ins!$D:$D,MATCH('001_population_health_zone_zs'!$B402,[1]ratio_ins!$B:$B,0))</f>
        <v>659.32378800000004</v>
      </c>
      <c r="AV402" s="10">
        <f>INDEX([1]ratio_ins!AS:AS,MATCH('001_population_health_zone_zs'!$B$2,[1]ratio_ins!$B:$B,0))*$G402*INDEX([1]ratio_ins!$D:$D,MATCH('001_population_health_zone_zs'!$B402,[1]ratio_ins!$B:$B,0))</f>
        <v>329.66189400000002</v>
      </c>
      <c r="AW402" s="10">
        <f>INDEX([1]ratio_ins!AT:AT,MATCH('001_population_health_zone_zs'!$B$2,[1]ratio_ins!$B:$B,0))*$G402*INDEX([1]ratio_ins!$D:$D,MATCH('001_population_health_zone_zs'!$B402,[1]ratio_ins!$B:$B,0))</f>
        <v>219.774596</v>
      </c>
      <c r="AX402" s="13">
        <f>INDEX([1]ratio_ins!AU:AU,MATCH('001_population_health_zone_zs'!$B$2,[1]ratio_ins!$B:$B,0))*$G402*INDEX([1]ratio_ins!$D:$D,MATCH('001_population_health_zone_zs'!$B402,[1]ratio_ins!$B:$B,0))</f>
        <v>2307.6332579999998</v>
      </c>
      <c r="AY402" s="14">
        <f t="shared" si="37"/>
        <v>109887.298</v>
      </c>
      <c r="AZ402" s="15">
        <f t="shared" si="38"/>
        <v>218899</v>
      </c>
      <c r="BA402" s="16">
        <v>208411.40647210166</v>
      </c>
      <c r="BB402" s="10">
        <f t="shared" si="39"/>
        <v>46702.101649999997</v>
      </c>
      <c r="BC402" s="17">
        <f t="shared" si="40"/>
        <v>0.21334999999999998</v>
      </c>
      <c r="BD402" s="10">
        <f t="shared" si="41"/>
        <v>45457.879733999995</v>
      </c>
    </row>
    <row r="403" spans="1:56" x14ac:dyDescent="0.25">
      <c r="A403" s="8" t="s">
        <v>975</v>
      </c>
      <c r="B403" s="8" t="s">
        <v>976</v>
      </c>
      <c r="C403" s="8" t="s">
        <v>986</v>
      </c>
      <c r="D403" s="8" t="s">
        <v>987</v>
      </c>
      <c r="E403" s="8" t="s">
        <v>986</v>
      </c>
      <c r="F403" s="8" t="s">
        <v>988</v>
      </c>
      <c r="G403" s="9">
        <v>345660</v>
      </c>
      <c r="H403" s="10">
        <f>INDEX([1]ratio_ins!F:F,MATCH('001_population_health_zone_zs'!$B$2,[1]ratio_ins!$B:$B,0))*$G403*INDEX([1]ratio_ins!$C:$C,MATCH('001_population_health_zone_zs'!$B403,[1]ratio_ins!$B:$B,0))</f>
        <v>35976.984120000001</v>
      </c>
      <c r="I403" s="10">
        <f>INDEX([1]ratio_ins!G:G,MATCH('001_population_health_zone_zs'!$B$2,[1]ratio_ins!$B:$B,0))*$G403*INDEX([1]ratio_ins!$C:$C,MATCH('001_population_health_zone_zs'!$B403,[1]ratio_ins!$B:$B,0))</f>
        <v>29435.714280000004</v>
      </c>
      <c r="J403" s="10">
        <f>INDEX([1]ratio_ins!H:H,MATCH('001_population_health_zone_zs'!$B$2,[1]ratio_ins!$B:$B,0))*$G403*INDEX([1]ratio_ins!$C:$C,MATCH('001_population_health_zone_zs'!$B403,[1]ratio_ins!$B:$B,0))</f>
        <v>23238.721800000003</v>
      </c>
      <c r="K403" s="10">
        <f>INDEX([1]ratio_ins!I:I,MATCH('001_population_health_zone_zs'!$B$2,[1]ratio_ins!$B:$B,0))*$G403*INDEX([1]ratio_ins!$C:$C,MATCH('001_population_health_zone_zs'!$B403,[1]ratio_ins!$B:$B,0))</f>
        <v>14287.510440000002</v>
      </c>
      <c r="L403" s="10">
        <f>INDEX([1]ratio_ins!J:J,MATCH('001_population_health_zone_zs'!$B$2,[1]ratio_ins!$B:$B,0))*$G403*INDEX([1]ratio_ins!$C:$C,MATCH('001_population_health_zone_zs'!$B403,[1]ratio_ins!$B:$B,0))</f>
        <v>8572.5062639999996</v>
      </c>
      <c r="M403" s="11">
        <f>INDEX([1]ratio_ins!K:K,MATCH('001_population_health_zone_zs'!$B$2,[1]ratio_ins!$B:$B,0))*$G403*INDEX([1]ratio_ins!$C:$C,MATCH('001_population_health_zone_zs'!$B403,[1]ratio_ins!$B:$B,0))</f>
        <v>97223.926463999989</v>
      </c>
      <c r="N403" s="10">
        <f>INDEX([1]ratio_ins!L:L,MATCH('001_population_health_zone_zs'!$B$2,[1]ratio_ins!$B:$B,0))*$G403*INDEX([1]ratio_ins!$C:$C,MATCH('001_population_health_zone_zs'!$B403,[1]ratio_ins!$B:$B,0))</f>
        <v>5715.0041760000004</v>
      </c>
      <c r="O403" s="10">
        <f>INDEX([1]ratio_ins!M:M,MATCH('001_population_health_zone_zs'!$B$2,[1]ratio_ins!$B:$B,0))*$G403*INDEX([1]ratio_ins!$C:$C,MATCH('001_population_health_zone_zs'!$B403,[1]ratio_ins!$B:$B,0))</f>
        <v>12393.984960000002</v>
      </c>
      <c r="P403" s="10">
        <f>INDEX([1]ratio_ins!N:N,MATCH('001_population_health_zone_zs'!$B$2,[1]ratio_ins!$B:$B,0))*$G403*INDEX([1]ratio_ins!$C:$C,MATCH('001_population_health_zone_zs'!$B403,[1]ratio_ins!$B:$B,0))</f>
        <v>11189.014200000001</v>
      </c>
      <c r="Q403" s="10">
        <f>INDEX([1]ratio_ins!O:O,MATCH('001_population_health_zone_zs'!$B$2,[1]ratio_ins!$B:$B,0))*$G403*INDEX([1]ratio_ins!$C:$C,MATCH('001_population_health_zone_zs'!$B403,[1]ratio_ins!$B:$B,0))</f>
        <v>9984.0434399999995</v>
      </c>
      <c r="R403" s="10">
        <f>INDEX([1]ratio_ins!P:P,MATCH('001_population_health_zone_zs'!$B$2,[1]ratio_ins!$B:$B,0))*$G403*INDEX([1]ratio_ins!$C:$C,MATCH('001_population_health_zone_zs'!$B403,[1]ratio_ins!$B:$B,0))</f>
        <v>9811.9047599999994</v>
      </c>
      <c r="S403" s="10">
        <f>INDEX([1]ratio_ins!Q:Q,MATCH('001_population_health_zone_zs'!$B$2,[1]ratio_ins!$B:$B,0))*$G403*INDEX([1]ratio_ins!$C:$C,MATCH('001_population_health_zone_zs'!$B403,[1]ratio_ins!$B:$B,0))</f>
        <v>8262.6566399999992</v>
      </c>
      <c r="T403" s="10">
        <f>INDEX([1]ratio_ins!R:R,MATCH('001_population_health_zone_zs'!$B$2,[1]ratio_ins!$B:$B,0))*$G403*INDEX([1]ratio_ins!$C:$C,MATCH('001_population_health_zone_zs'!$B403,[1]ratio_ins!$B:$B,0))</f>
        <v>5852.7151199999998</v>
      </c>
      <c r="U403" s="10">
        <f>INDEX([1]ratio_ins!S:S,MATCH('001_population_health_zone_zs'!$B$2,[1]ratio_ins!$B:$B,0))*$G403*INDEX([1]ratio_ins!$C:$C,MATCH('001_population_health_zone_zs'!$B403,[1]ratio_ins!$B:$B,0))</f>
        <v>4647.7443600000006</v>
      </c>
      <c r="V403" s="10">
        <f>INDEX([1]ratio_ins!T:T,MATCH('001_population_health_zone_zs'!$B$2,[1]ratio_ins!$B:$B,0))*$G403*INDEX([1]ratio_ins!$C:$C,MATCH('001_population_health_zone_zs'!$B403,[1]ratio_ins!$B:$B,0))</f>
        <v>2582.0801999999999</v>
      </c>
      <c r="W403" s="11">
        <f>INDEX([1]ratio_ins!U:U,MATCH('001_population_health_zone_zs'!$B$2,[1]ratio_ins!$B:$B,0))*$G403*INDEX([1]ratio_ins!$C:$C,MATCH('001_population_health_zone_zs'!$B403,[1]ratio_ins!$B:$B,0))</f>
        <v>70439.147856000011</v>
      </c>
      <c r="X403" s="10">
        <f>INDEX([1]ratio_ins!V:V,MATCH('001_population_health_zone_zs'!$B$2,[1]ratio_ins!$B:$B,0))*$G403*INDEX([1]ratio_ins!$C:$C,MATCH('001_population_health_zone_zs'!$B403,[1]ratio_ins!$B:$B,0))</f>
        <v>2065.6641599999998</v>
      </c>
      <c r="Y403" s="10">
        <f>INDEX([1]ratio_ins!W:W,MATCH('001_population_health_zone_zs'!$B$2,[1]ratio_ins!$B:$B,0))*$G403*INDEX([1]ratio_ins!$C:$C,MATCH('001_population_health_zone_zs'!$B403,[1]ratio_ins!$B:$B,0))</f>
        <v>1377.1094400000002</v>
      </c>
      <c r="Z403" s="10">
        <f>INDEX([1]ratio_ins!X:X,MATCH('001_population_health_zone_zs'!$B$2,[1]ratio_ins!$B:$B,0))*$G403*INDEX([1]ratio_ins!$C:$C,MATCH('001_population_health_zone_zs'!$B403,[1]ratio_ins!$B:$B,0))</f>
        <v>688.55472000000009</v>
      </c>
      <c r="AA403" s="10">
        <f>INDEX([1]ratio_ins!Y:Y,MATCH('001_population_health_zone_zs'!$B$2,[1]ratio_ins!$B:$B,0))*$G403*INDEX([1]ratio_ins!$C:$C,MATCH('001_population_health_zone_zs'!$B403,[1]ratio_ins!$B:$B,0))</f>
        <v>344.27736000000004</v>
      </c>
      <c r="AB403" s="11">
        <f>INDEX([1]ratio_ins!Z:Z,MATCH('001_population_health_zone_zs'!$B$2,[1]ratio_ins!$B:$B,0))*$G403*INDEX([1]ratio_ins!$C:$C,MATCH('001_population_health_zone_zs'!$B403,[1]ratio_ins!$B:$B,0))</f>
        <v>4475.6056800000006</v>
      </c>
      <c r="AC403" s="12">
        <f t="shared" si="36"/>
        <v>172138.68000000002</v>
      </c>
      <c r="AD403" s="10">
        <f>INDEX([1]ratio_ins!AA:AA,MATCH('001_population_health_zone_zs'!$B$2,[1]ratio_ins!$B:$B,0))*$G403*INDEX([1]ratio_ins!$D:$D,MATCH('001_population_health_zone_zs'!$B403,[1]ratio_ins!$B:$B,0))</f>
        <v>36439.477199999994</v>
      </c>
      <c r="AE403" s="10">
        <f>INDEX([1]ratio_ins!AB:AB,MATCH('001_population_health_zone_zs'!$B$2,[1]ratio_ins!$B:$B,0))*$G403*INDEX([1]ratio_ins!$D:$D,MATCH('001_population_health_zone_zs'!$B403,[1]ratio_ins!$B:$B,0))</f>
        <v>30019.188360000004</v>
      </c>
      <c r="AF403" s="10">
        <f>INDEX([1]ratio_ins!AC:AC,MATCH('001_population_health_zone_zs'!$B$2,[1]ratio_ins!$B:$B,0))*$G403*INDEX([1]ratio_ins!$D:$D,MATCH('001_population_health_zone_zs'!$B403,[1]ratio_ins!$B:$B,0))</f>
        <v>23772.420839999995</v>
      </c>
      <c r="AG403" s="10">
        <f>INDEX([1]ratio_ins!AD:AD,MATCH('001_population_health_zone_zs'!$B$2,[1]ratio_ins!$B:$B,0))*$G403*INDEX([1]ratio_ins!$D:$D,MATCH('001_population_health_zone_zs'!$B403,[1]ratio_ins!$B:$B,0))</f>
        <v>14402.269560000001</v>
      </c>
      <c r="AH403" s="10">
        <f>INDEX([1]ratio_ins!AE:AE,MATCH('001_population_health_zone_zs'!$B$2,[1]ratio_ins!$B:$B,0))*$G403*INDEX([1]ratio_ins!$D:$D,MATCH('001_population_health_zone_zs'!$B403,[1]ratio_ins!$B:$B,0))</f>
        <v>8641.3617359999989</v>
      </c>
      <c r="AI403" s="13">
        <f>INDEX([1]ratio_ins!AF:AF,MATCH('001_population_health_zone_zs'!$B$2,[1]ratio_ins!$B:$B,0))*$G403*INDEX([1]ratio_ins!$D:$D,MATCH('001_population_health_zone_zs'!$B403,[1]ratio_ins!$B:$B,0))</f>
        <v>98872.448136000006</v>
      </c>
      <c r="AJ403" s="10">
        <f>INDEX([1]ratio_ins!AG:AG,MATCH('001_population_health_zone_zs'!$B$2,[1]ratio_ins!$B:$B,0))*$G403*INDEX([1]ratio_ins!$D:$D,MATCH('001_population_health_zone_zs'!$B403,[1]ratio_ins!$B:$B,0))</f>
        <v>5760.9078239999999</v>
      </c>
      <c r="AK403" s="10">
        <f>INDEX([1]ratio_ins!AH:AH,MATCH('001_population_health_zone_zs'!$B$2,[1]ratio_ins!$B:$B,0))*$G403*INDEX([1]ratio_ins!$D:$D,MATCH('001_population_health_zone_zs'!$B403,[1]ratio_ins!$B:$B,0))</f>
        <v>12840.577680000002</v>
      </c>
      <c r="AL403" s="10">
        <f>INDEX([1]ratio_ins!AI:AI,MATCH('001_population_health_zone_zs'!$B$2,[1]ratio_ins!$B:$B,0))*$G403*INDEX([1]ratio_ins!$D:$D,MATCH('001_population_health_zone_zs'!$B403,[1]ratio_ins!$B:$B,0))</f>
        <v>12146.492400000001</v>
      </c>
      <c r="AM403" s="10">
        <f>INDEX([1]ratio_ins!AJ:AJ,MATCH('001_population_health_zone_zs'!$B$2,[1]ratio_ins!$B:$B,0))*$G403*INDEX([1]ratio_ins!$D:$D,MATCH('001_population_health_zone_zs'!$B403,[1]ratio_ins!$B:$B,0))</f>
        <v>11105.36448</v>
      </c>
      <c r="AN403" s="10">
        <f>INDEX([1]ratio_ins!AK:AK,MATCH('001_population_health_zone_zs'!$B$2,[1]ratio_ins!$B:$B,0))*$G403*INDEX([1]ratio_ins!$D:$D,MATCH('001_population_health_zone_zs'!$B403,[1]ratio_ins!$B:$B,0))</f>
        <v>10411.279199999999</v>
      </c>
      <c r="AO403" s="10">
        <f>INDEX([1]ratio_ins!AL:AL,MATCH('001_population_health_zone_zs'!$B$2,[1]ratio_ins!$B:$B,0))*$G403*INDEX([1]ratio_ins!$D:$D,MATCH('001_population_health_zone_zs'!$B403,[1]ratio_ins!$B:$B,0))</f>
        <v>7808.4593999999997</v>
      </c>
      <c r="AP403" s="10">
        <f>INDEX([1]ratio_ins!AM:AM,MATCH('001_population_health_zone_zs'!$B$2,[1]ratio_ins!$B:$B,0))*$G403*INDEX([1]ratio_ins!$D:$D,MATCH('001_population_health_zone_zs'!$B403,[1]ratio_ins!$B:$B,0))</f>
        <v>5032.1182799999997</v>
      </c>
      <c r="AQ403" s="10">
        <f>INDEX([1]ratio_ins!AN:AN,MATCH('001_population_health_zone_zs'!$B$2,[1]ratio_ins!$B:$B,0))*$G403*INDEX([1]ratio_ins!$D:$D,MATCH('001_population_health_zone_zs'!$B403,[1]ratio_ins!$B:$B,0))</f>
        <v>3990.9903600000002</v>
      </c>
      <c r="AR403" s="10">
        <f>INDEX([1]ratio_ins!AO:AO,MATCH('001_population_health_zone_zs'!$B$2,[1]ratio_ins!$B:$B,0))*$G403*INDEX([1]ratio_ins!$D:$D,MATCH('001_population_health_zone_zs'!$B403,[1]ratio_ins!$B:$B,0))</f>
        <v>1908.7345200000002</v>
      </c>
      <c r="AS403" s="13">
        <f>INDEX([1]ratio_ins!AP:AP,MATCH('001_population_health_zone_zs'!$B$2,[1]ratio_ins!$B:$B,0))*$G403*INDEX([1]ratio_ins!$D:$D,MATCH('001_population_health_zone_zs'!$B403,[1]ratio_ins!$B:$B,0))</f>
        <v>71004.924144000004</v>
      </c>
      <c r="AT403" s="10">
        <f>INDEX([1]ratio_ins!AQ:AQ,MATCH('001_population_health_zone_zs'!$B$2,[1]ratio_ins!$B:$B,0))*$G403*INDEX([1]ratio_ins!$D:$D,MATCH('001_population_health_zone_zs'!$B403,[1]ratio_ins!$B:$B,0))</f>
        <v>1735.2131999999999</v>
      </c>
      <c r="AU403" s="10">
        <f>INDEX([1]ratio_ins!AR:AR,MATCH('001_population_health_zone_zs'!$B$2,[1]ratio_ins!$B:$B,0))*$G403*INDEX([1]ratio_ins!$D:$D,MATCH('001_population_health_zone_zs'!$B403,[1]ratio_ins!$B:$B,0))</f>
        <v>1041.1279200000001</v>
      </c>
      <c r="AV403" s="10">
        <f>INDEX([1]ratio_ins!AS:AS,MATCH('001_population_health_zone_zs'!$B$2,[1]ratio_ins!$B:$B,0))*$G403*INDEX([1]ratio_ins!$D:$D,MATCH('001_population_health_zone_zs'!$B403,[1]ratio_ins!$B:$B,0))</f>
        <v>520.56396000000007</v>
      </c>
      <c r="AW403" s="10">
        <f>INDEX([1]ratio_ins!AT:AT,MATCH('001_population_health_zone_zs'!$B$2,[1]ratio_ins!$B:$B,0))*$G403*INDEX([1]ratio_ins!$D:$D,MATCH('001_population_health_zone_zs'!$B403,[1]ratio_ins!$B:$B,0))</f>
        <v>347.04264000000001</v>
      </c>
      <c r="AX403" s="13">
        <f>INDEX([1]ratio_ins!AU:AU,MATCH('001_population_health_zone_zs'!$B$2,[1]ratio_ins!$B:$B,0))*$G403*INDEX([1]ratio_ins!$D:$D,MATCH('001_population_health_zone_zs'!$B403,[1]ratio_ins!$B:$B,0))</f>
        <v>3643.9477199999997</v>
      </c>
      <c r="AY403" s="14">
        <f t="shared" si="37"/>
        <v>173521.32</v>
      </c>
      <c r="AZ403" s="15">
        <f t="shared" si="38"/>
        <v>345660</v>
      </c>
      <c r="BA403" s="16">
        <v>329099.53074125509</v>
      </c>
      <c r="BB403" s="10">
        <f t="shared" si="39"/>
        <v>73746.561000000002</v>
      </c>
      <c r="BC403" s="17">
        <f t="shared" si="40"/>
        <v>0.21335000000000001</v>
      </c>
      <c r="BD403" s="10">
        <f t="shared" si="41"/>
        <v>71781.829559999998</v>
      </c>
    </row>
    <row r="404" spans="1:56" x14ac:dyDescent="0.25">
      <c r="A404" s="8" t="s">
        <v>975</v>
      </c>
      <c r="B404" s="8" t="s">
        <v>976</v>
      </c>
      <c r="C404" s="8" t="s">
        <v>989</v>
      </c>
      <c r="D404" s="8" t="s">
        <v>990</v>
      </c>
      <c r="E404" s="8" t="s">
        <v>989</v>
      </c>
      <c r="F404" s="8" t="s">
        <v>991</v>
      </c>
      <c r="G404" s="9">
        <v>436853</v>
      </c>
      <c r="H404" s="10">
        <f>INDEX([1]ratio_ins!F:F,MATCH('001_population_health_zone_zs'!$B$2,[1]ratio_ins!$B:$B,0))*$G404*INDEX([1]ratio_ins!$C:$C,MATCH('001_population_health_zone_zs'!$B404,[1]ratio_ins!$B:$B,0))</f>
        <v>45468.533946000003</v>
      </c>
      <c r="I404" s="10">
        <f>INDEX([1]ratio_ins!G:G,MATCH('001_population_health_zone_zs'!$B$2,[1]ratio_ins!$B:$B,0))*$G404*INDEX([1]ratio_ins!$C:$C,MATCH('001_population_health_zone_zs'!$B404,[1]ratio_ins!$B:$B,0))</f>
        <v>37201.527774000009</v>
      </c>
      <c r="J404" s="10">
        <f>INDEX([1]ratio_ins!H:H,MATCH('001_population_health_zone_zs'!$B$2,[1]ratio_ins!$B:$B,0))*$G404*INDEX([1]ratio_ins!$C:$C,MATCH('001_population_health_zone_zs'!$B404,[1]ratio_ins!$B:$B,0))</f>
        <v>29369.627190000003</v>
      </c>
      <c r="K404" s="10">
        <f>INDEX([1]ratio_ins!I:I,MATCH('001_population_health_zone_zs'!$B$2,[1]ratio_ins!$B:$B,0))*$G404*INDEX([1]ratio_ins!$C:$C,MATCH('001_population_health_zone_zs'!$B404,[1]ratio_ins!$B:$B,0))</f>
        <v>18056.881902000001</v>
      </c>
      <c r="L404" s="10">
        <f>INDEX([1]ratio_ins!J:J,MATCH('001_population_health_zone_zs'!$B$2,[1]ratio_ins!$B:$B,0))*$G404*INDEX([1]ratio_ins!$C:$C,MATCH('001_population_health_zone_zs'!$B404,[1]ratio_ins!$B:$B,0))</f>
        <v>10834.129141199999</v>
      </c>
      <c r="M404" s="11">
        <f>INDEX([1]ratio_ins!K:K,MATCH('001_population_health_zone_zs'!$B$2,[1]ratio_ins!$B:$B,0))*$G404*INDEX([1]ratio_ins!$C:$C,MATCH('001_population_health_zone_zs'!$B404,[1]ratio_ins!$B:$B,0))</f>
        <v>122873.8180512</v>
      </c>
      <c r="N404" s="10">
        <f>INDEX([1]ratio_ins!L:L,MATCH('001_population_health_zone_zs'!$B$2,[1]ratio_ins!$B:$B,0))*$G404*INDEX([1]ratio_ins!$C:$C,MATCH('001_population_health_zone_zs'!$B404,[1]ratio_ins!$B:$B,0))</f>
        <v>7222.7527608</v>
      </c>
      <c r="O404" s="10">
        <f>INDEX([1]ratio_ins!M:M,MATCH('001_population_health_zone_zs'!$B$2,[1]ratio_ins!$B:$B,0))*$G404*INDEX([1]ratio_ins!$C:$C,MATCH('001_population_health_zone_zs'!$B404,[1]ratio_ins!$B:$B,0))</f>
        <v>15663.801168000002</v>
      </c>
      <c r="P404" s="10">
        <f>INDEX([1]ratio_ins!N:N,MATCH('001_population_health_zone_zs'!$B$2,[1]ratio_ins!$B:$B,0))*$G404*INDEX([1]ratio_ins!$C:$C,MATCH('001_population_health_zone_zs'!$B404,[1]ratio_ins!$B:$B,0))</f>
        <v>14140.93161</v>
      </c>
      <c r="Q404" s="10">
        <f>INDEX([1]ratio_ins!O:O,MATCH('001_population_health_zone_zs'!$B$2,[1]ratio_ins!$B:$B,0))*$G404*INDEX([1]ratio_ins!$C:$C,MATCH('001_population_health_zone_zs'!$B404,[1]ratio_ins!$B:$B,0))</f>
        <v>12618.062051999999</v>
      </c>
      <c r="R404" s="10">
        <f>INDEX([1]ratio_ins!P:P,MATCH('001_population_health_zone_zs'!$B$2,[1]ratio_ins!$B:$B,0))*$G404*INDEX([1]ratio_ins!$C:$C,MATCH('001_population_health_zone_zs'!$B404,[1]ratio_ins!$B:$B,0))</f>
        <v>12400.509258</v>
      </c>
      <c r="S404" s="10">
        <f>INDEX([1]ratio_ins!Q:Q,MATCH('001_population_health_zone_zs'!$B$2,[1]ratio_ins!$B:$B,0))*$G404*INDEX([1]ratio_ins!$C:$C,MATCH('001_population_health_zone_zs'!$B404,[1]ratio_ins!$B:$B,0))</f>
        <v>10442.534111999999</v>
      </c>
      <c r="T404" s="10">
        <f>INDEX([1]ratio_ins!R:R,MATCH('001_population_health_zone_zs'!$B$2,[1]ratio_ins!$B:$B,0))*$G404*INDEX([1]ratio_ins!$C:$C,MATCH('001_population_health_zone_zs'!$B404,[1]ratio_ins!$B:$B,0))</f>
        <v>7396.7949960000005</v>
      </c>
      <c r="U404" s="10">
        <f>INDEX([1]ratio_ins!S:S,MATCH('001_population_health_zone_zs'!$B$2,[1]ratio_ins!$B:$B,0))*$G404*INDEX([1]ratio_ins!$C:$C,MATCH('001_population_health_zone_zs'!$B404,[1]ratio_ins!$B:$B,0))</f>
        <v>5873.9254380000002</v>
      </c>
      <c r="V404" s="10">
        <f>INDEX([1]ratio_ins!T:T,MATCH('001_population_health_zone_zs'!$B$2,[1]ratio_ins!$B:$B,0))*$G404*INDEX([1]ratio_ins!$C:$C,MATCH('001_population_health_zone_zs'!$B404,[1]ratio_ins!$B:$B,0))</f>
        <v>3263.2919099999999</v>
      </c>
      <c r="W404" s="11">
        <f>INDEX([1]ratio_ins!U:U,MATCH('001_population_health_zone_zs'!$B$2,[1]ratio_ins!$B:$B,0))*$G404*INDEX([1]ratio_ins!$C:$C,MATCH('001_population_health_zone_zs'!$B404,[1]ratio_ins!$B:$B,0))</f>
        <v>89022.603304799995</v>
      </c>
      <c r="X404" s="10">
        <f>INDEX([1]ratio_ins!V:V,MATCH('001_population_health_zone_zs'!$B$2,[1]ratio_ins!$B:$B,0))*$G404*INDEX([1]ratio_ins!$C:$C,MATCH('001_population_health_zone_zs'!$B404,[1]ratio_ins!$B:$B,0))</f>
        <v>2610.6335279999998</v>
      </c>
      <c r="Y404" s="10">
        <f>INDEX([1]ratio_ins!W:W,MATCH('001_population_health_zone_zs'!$B$2,[1]ratio_ins!$B:$B,0))*$G404*INDEX([1]ratio_ins!$C:$C,MATCH('001_population_health_zone_zs'!$B404,[1]ratio_ins!$B:$B,0))</f>
        <v>1740.422352</v>
      </c>
      <c r="Z404" s="10">
        <f>INDEX([1]ratio_ins!X:X,MATCH('001_population_health_zone_zs'!$B$2,[1]ratio_ins!$B:$B,0))*$G404*INDEX([1]ratio_ins!$C:$C,MATCH('001_population_health_zone_zs'!$B404,[1]ratio_ins!$B:$B,0))</f>
        <v>870.21117600000002</v>
      </c>
      <c r="AA404" s="10">
        <f>INDEX([1]ratio_ins!Y:Y,MATCH('001_population_health_zone_zs'!$B$2,[1]ratio_ins!$B:$B,0))*$G404*INDEX([1]ratio_ins!$C:$C,MATCH('001_population_health_zone_zs'!$B404,[1]ratio_ins!$B:$B,0))</f>
        <v>435.10558800000001</v>
      </c>
      <c r="AB404" s="11">
        <f>INDEX([1]ratio_ins!Z:Z,MATCH('001_population_health_zone_zs'!$B$2,[1]ratio_ins!$B:$B,0))*$G404*INDEX([1]ratio_ins!$C:$C,MATCH('001_population_health_zone_zs'!$B404,[1]ratio_ins!$B:$B,0))</f>
        <v>5656.3726440000009</v>
      </c>
      <c r="AC404" s="12">
        <f t="shared" si="36"/>
        <v>217552.79399999999</v>
      </c>
      <c r="AD404" s="10">
        <f>INDEX([1]ratio_ins!AA:AA,MATCH('001_population_health_zone_zs'!$B$2,[1]ratio_ins!$B:$B,0))*$G404*INDEX([1]ratio_ins!$D:$D,MATCH('001_population_health_zone_zs'!$B404,[1]ratio_ins!$B:$B,0))</f>
        <v>46053.043259999999</v>
      </c>
      <c r="AE404" s="10">
        <f>INDEX([1]ratio_ins!AB:AB,MATCH('001_population_health_zone_zs'!$B$2,[1]ratio_ins!$B:$B,0))*$G404*INDEX([1]ratio_ins!$D:$D,MATCH('001_population_health_zone_zs'!$B404,[1]ratio_ins!$B:$B,0))</f>
        <v>37938.935638000003</v>
      </c>
      <c r="AF404" s="10">
        <f>INDEX([1]ratio_ins!AC:AC,MATCH('001_population_health_zone_zs'!$B$2,[1]ratio_ins!$B:$B,0))*$G404*INDEX([1]ratio_ins!$D:$D,MATCH('001_population_health_zone_zs'!$B404,[1]ratio_ins!$B:$B,0))</f>
        <v>30044.128221999996</v>
      </c>
      <c r="AG404" s="10">
        <f>INDEX([1]ratio_ins!AD:AD,MATCH('001_population_health_zone_zs'!$B$2,[1]ratio_ins!$B:$B,0))*$G404*INDEX([1]ratio_ins!$D:$D,MATCH('001_population_health_zone_zs'!$B404,[1]ratio_ins!$B:$B,0))</f>
        <v>18201.917097999998</v>
      </c>
      <c r="AH404" s="10">
        <f>INDEX([1]ratio_ins!AE:AE,MATCH('001_population_health_zone_zs'!$B$2,[1]ratio_ins!$B:$B,0))*$G404*INDEX([1]ratio_ins!$D:$D,MATCH('001_population_health_zone_zs'!$B404,[1]ratio_ins!$B:$B,0))</f>
        <v>10921.1502588</v>
      </c>
      <c r="AI404" s="13">
        <f>INDEX([1]ratio_ins!AF:AF,MATCH('001_population_health_zone_zs'!$B$2,[1]ratio_ins!$B:$B,0))*$G404*INDEX([1]ratio_ins!$D:$D,MATCH('001_population_health_zone_zs'!$B404,[1]ratio_ins!$B:$B,0))</f>
        <v>124957.2573788</v>
      </c>
      <c r="AJ404" s="10">
        <f>INDEX([1]ratio_ins!AG:AG,MATCH('001_population_health_zone_zs'!$B$2,[1]ratio_ins!$B:$B,0))*$G404*INDEX([1]ratio_ins!$D:$D,MATCH('001_population_health_zone_zs'!$B404,[1]ratio_ins!$B:$B,0))</f>
        <v>7280.7668391999996</v>
      </c>
      <c r="AK404" s="10">
        <f>INDEX([1]ratio_ins!AH:AH,MATCH('001_population_health_zone_zs'!$B$2,[1]ratio_ins!$B:$B,0))*$G404*INDEX([1]ratio_ins!$D:$D,MATCH('001_population_health_zone_zs'!$B404,[1]ratio_ins!$B:$B,0))</f>
        <v>16228.215244000001</v>
      </c>
      <c r="AL404" s="10">
        <f>INDEX([1]ratio_ins!AI:AI,MATCH('001_population_health_zone_zs'!$B$2,[1]ratio_ins!$B:$B,0))*$G404*INDEX([1]ratio_ins!$D:$D,MATCH('001_population_health_zone_zs'!$B404,[1]ratio_ins!$B:$B,0))</f>
        <v>15351.014420000001</v>
      </c>
      <c r="AM404" s="10">
        <f>INDEX([1]ratio_ins!AJ:AJ,MATCH('001_population_health_zone_zs'!$B$2,[1]ratio_ins!$B:$B,0))*$G404*INDEX([1]ratio_ins!$D:$D,MATCH('001_population_health_zone_zs'!$B404,[1]ratio_ins!$B:$B,0))</f>
        <v>14035.213184</v>
      </c>
      <c r="AN404" s="10">
        <f>INDEX([1]ratio_ins!AK:AK,MATCH('001_population_health_zone_zs'!$B$2,[1]ratio_ins!$B:$B,0))*$G404*INDEX([1]ratio_ins!$D:$D,MATCH('001_population_health_zone_zs'!$B404,[1]ratio_ins!$B:$B,0))</f>
        <v>13158.012360000001</v>
      </c>
      <c r="AO404" s="10">
        <f>INDEX([1]ratio_ins!AL:AL,MATCH('001_population_health_zone_zs'!$B$2,[1]ratio_ins!$B:$B,0))*$G404*INDEX([1]ratio_ins!$D:$D,MATCH('001_population_health_zone_zs'!$B404,[1]ratio_ins!$B:$B,0))</f>
        <v>9868.5092699999987</v>
      </c>
      <c r="AP404" s="10">
        <f>INDEX([1]ratio_ins!AM:AM,MATCH('001_population_health_zone_zs'!$B$2,[1]ratio_ins!$B:$B,0))*$G404*INDEX([1]ratio_ins!$D:$D,MATCH('001_population_health_zone_zs'!$B404,[1]ratio_ins!$B:$B,0))</f>
        <v>6359.7059739999995</v>
      </c>
      <c r="AQ404" s="10">
        <f>INDEX([1]ratio_ins!AN:AN,MATCH('001_population_health_zone_zs'!$B$2,[1]ratio_ins!$B:$B,0))*$G404*INDEX([1]ratio_ins!$D:$D,MATCH('001_population_health_zone_zs'!$B404,[1]ratio_ins!$B:$B,0))</f>
        <v>5043.9047380000002</v>
      </c>
      <c r="AR404" s="10">
        <f>INDEX([1]ratio_ins!AO:AO,MATCH('001_population_health_zone_zs'!$B$2,[1]ratio_ins!$B:$B,0))*$G404*INDEX([1]ratio_ins!$D:$D,MATCH('001_population_health_zone_zs'!$B404,[1]ratio_ins!$B:$B,0))</f>
        <v>2412.3022660000001</v>
      </c>
      <c r="AS404" s="13">
        <f>INDEX([1]ratio_ins!AP:AP,MATCH('001_population_health_zone_zs'!$B$2,[1]ratio_ins!$B:$B,0))*$G404*INDEX([1]ratio_ins!$D:$D,MATCH('001_population_health_zone_zs'!$B404,[1]ratio_ins!$B:$B,0))</f>
        <v>89737.644295200007</v>
      </c>
      <c r="AT404" s="10">
        <f>INDEX([1]ratio_ins!AQ:AQ,MATCH('001_population_health_zone_zs'!$B$2,[1]ratio_ins!$B:$B,0))*$G404*INDEX([1]ratio_ins!$D:$D,MATCH('001_population_health_zone_zs'!$B404,[1]ratio_ins!$B:$B,0))</f>
        <v>2193.0020599999998</v>
      </c>
      <c r="AU404" s="10">
        <f>INDEX([1]ratio_ins!AR:AR,MATCH('001_population_health_zone_zs'!$B$2,[1]ratio_ins!$B:$B,0))*$G404*INDEX([1]ratio_ins!$D:$D,MATCH('001_population_health_zone_zs'!$B404,[1]ratio_ins!$B:$B,0))</f>
        <v>1315.801236</v>
      </c>
      <c r="AV404" s="10">
        <f>INDEX([1]ratio_ins!AS:AS,MATCH('001_population_health_zone_zs'!$B$2,[1]ratio_ins!$B:$B,0))*$G404*INDEX([1]ratio_ins!$D:$D,MATCH('001_population_health_zone_zs'!$B404,[1]ratio_ins!$B:$B,0))</f>
        <v>657.90061800000001</v>
      </c>
      <c r="AW404" s="10">
        <f>INDEX([1]ratio_ins!AT:AT,MATCH('001_population_health_zone_zs'!$B$2,[1]ratio_ins!$B:$B,0))*$G404*INDEX([1]ratio_ins!$D:$D,MATCH('001_population_health_zone_zs'!$B404,[1]ratio_ins!$B:$B,0))</f>
        <v>438.60041200000001</v>
      </c>
      <c r="AX404" s="13">
        <f>INDEX([1]ratio_ins!AU:AU,MATCH('001_population_health_zone_zs'!$B$2,[1]ratio_ins!$B:$B,0))*$G404*INDEX([1]ratio_ins!$D:$D,MATCH('001_population_health_zone_zs'!$B404,[1]ratio_ins!$B:$B,0))</f>
        <v>4605.3043259999995</v>
      </c>
      <c r="AY404" s="14">
        <f t="shared" si="37"/>
        <v>219300.20600000003</v>
      </c>
      <c r="AZ404" s="15">
        <f t="shared" si="38"/>
        <v>436853</v>
      </c>
      <c r="BA404" s="16">
        <v>415923.24335178582</v>
      </c>
      <c r="BB404" s="10">
        <f t="shared" si="39"/>
        <v>93202.587549999997</v>
      </c>
      <c r="BC404" s="17">
        <f t="shared" si="40"/>
        <v>0.21334999999999998</v>
      </c>
      <c r="BD404" s="10">
        <f t="shared" si="41"/>
        <v>90719.515097999989</v>
      </c>
    </row>
    <row r="405" spans="1:56" x14ac:dyDescent="0.25">
      <c r="A405" s="8" t="s">
        <v>975</v>
      </c>
      <c r="B405" s="8" t="s">
        <v>976</v>
      </c>
      <c r="C405" s="8" t="s">
        <v>989</v>
      </c>
      <c r="D405" s="8" t="s">
        <v>990</v>
      </c>
      <c r="E405" s="8" t="s">
        <v>992</v>
      </c>
      <c r="F405" s="8" t="s">
        <v>993</v>
      </c>
      <c r="G405" s="9">
        <v>127770</v>
      </c>
      <c r="H405" s="10">
        <f>INDEX([1]ratio_ins!F:F,MATCH('001_population_health_zone_zs'!$B$2,[1]ratio_ins!$B:$B,0))*$G405*INDEX([1]ratio_ins!$C:$C,MATCH('001_population_health_zone_zs'!$B405,[1]ratio_ins!$B:$B,0))</f>
        <v>13298.557140000001</v>
      </c>
      <c r="I405" s="10">
        <f>INDEX([1]ratio_ins!G:G,MATCH('001_population_health_zone_zs'!$B$2,[1]ratio_ins!$B:$B,0))*$G405*INDEX([1]ratio_ins!$C:$C,MATCH('001_population_health_zone_zs'!$B405,[1]ratio_ins!$B:$B,0))</f>
        <v>10880.63766</v>
      </c>
      <c r="J405" s="10">
        <f>INDEX([1]ratio_ins!H:H,MATCH('001_population_health_zone_zs'!$B$2,[1]ratio_ins!$B:$B,0))*$G405*INDEX([1]ratio_ins!$C:$C,MATCH('001_population_health_zone_zs'!$B405,[1]ratio_ins!$B:$B,0))</f>
        <v>8589.9771000000001</v>
      </c>
      <c r="K405" s="10">
        <f>INDEX([1]ratio_ins!I:I,MATCH('001_population_health_zone_zs'!$B$2,[1]ratio_ins!$B:$B,0))*$G405*INDEX([1]ratio_ins!$C:$C,MATCH('001_population_health_zone_zs'!$B405,[1]ratio_ins!$B:$B,0))</f>
        <v>5281.2451799999999</v>
      </c>
      <c r="L405" s="10">
        <f>INDEX([1]ratio_ins!J:J,MATCH('001_population_health_zone_zs'!$B$2,[1]ratio_ins!$B:$B,0))*$G405*INDEX([1]ratio_ins!$C:$C,MATCH('001_population_health_zone_zs'!$B405,[1]ratio_ins!$B:$B,0))</f>
        <v>3168.747108</v>
      </c>
      <c r="M405" s="11">
        <f>INDEX([1]ratio_ins!K:K,MATCH('001_population_health_zone_zs'!$B$2,[1]ratio_ins!$B:$B,0))*$G405*INDEX([1]ratio_ins!$C:$C,MATCH('001_population_health_zone_zs'!$B405,[1]ratio_ins!$B:$B,0))</f>
        <v>35937.919007999997</v>
      </c>
      <c r="N405" s="10">
        <f>INDEX([1]ratio_ins!L:L,MATCH('001_population_health_zone_zs'!$B$2,[1]ratio_ins!$B:$B,0))*$G405*INDEX([1]ratio_ins!$C:$C,MATCH('001_population_health_zone_zs'!$B405,[1]ratio_ins!$B:$B,0))</f>
        <v>2112.4980719999999</v>
      </c>
      <c r="O405" s="10">
        <f>INDEX([1]ratio_ins!M:M,MATCH('001_population_health_zone_zs'!$B$2,[1]ratio_ins!$B:$B,0))*$G405*INDEX([1]ratio_ins!$C:$C,MATCH('001_population_health_zone_zs'!$B405,[1]ratio_ins!$B:$B,0))</f>
        <v>4581.3211200000005</v>
      </c>
      <c r="P405" s="10">
        <f>INDEX([1]ratio_ins!N:N,MATCH('001_population_health_zone_zs'!$B$2,[1]ratio_ins!$B:$B,0))*$G405*INDEX([1]ratio_ins!$C:$C,MATCH('001_population_health_zone_zs'!$B405,[1]ratio_ins!$B:$B,0))</f>
        <v>4135.9149000000007</v>
      </c>
      <c r="Q405" s="10">
        <f>INDEX([1]ratio_ins!O:O,MATCH('001_population_health_zone_zs'!$B$2,[1]ratio_ins!$B:$B,0))*$G405*INDEX([1]ratio_ins!$C:$C,MATCH('001_population_health_zone_zs'!$B405,[1]ratio_ins!$B:$B,0))</f>
        <v>3690.5086799999999</v>
      </c>
      <c r="R405" s="10">
        <f>INDEX([1]ratio_ins!P:P,MATCH('001_population_health_zone_zs'!$B$2,[1]ratio_ins!$B:$B,0))*$G405*INDEX([1]ratio_ins!$C:$C,MATCH('001_population_health_zone_zs'!$B405,[1]ratio_ins!$B:$B,0))</f>
        <v>3626.8792200000003</v>
      </c>
      <c r="S405" s="10">
        <f>INDEX([1]ratio_ins!Q:Q,MATCH('001_population_health_zone_zs'!$B$2,[1]ratio_ins!$B:$B,0))*$G405*INDEX([1]ratio_ins!$C:$C,MATCH('001_population_health_zone_zs'!$B405,[1]ratio_ins!$B:$B,0))</f>
        <v>3054.2140800000002</v>
      </c>
      <c r="T405" s="10">
        <f>INDEX([1]ratio_ins!R:R,MATCH('001_population_health_zone_zs'!$B$2,[1]ratio_ins!$B:$B,0))*$G405*INDEX([1]ratio_ins!$C:$C,MATCH('001_population_health_zone_zs'!$B405,[1]ratio_ins!$B:$B,0))</f>
        <v>2163.40164</v>
      </c>
      <c r="U405" s="10">
        <f>INDEX([1]ratio_ins!S:S,MATCH('001_population_health_zone_zs'!$B$2,[1]ratio_ins!$B:$B,0))*$G405*INDEX([1]ratio_ins!$C:$C,MATCH('001_population_health_zone_zs'!$B405,[1]ratio_ins!$B:$B,0))</f>
        <v>1717.9954200000002</v>
      </c>
      <c r="V405" s="10">
        <f>INDEX([1]ratio_ins!T:T,MATCH('001_population_health_zone_zs'!$B$2,[1]ratio_ins!$B:$B,0))*$G405*INDEX([1]ratio_ins!$C:$C,MATCH('001_population_health_zone_zs'!$B405,[1]ratio_ins!$B:$B,0))</f>
        <v>954.44189999999992</v>
      </c>
      <c r="W405" s="11">
        <f>INDEX([1]ratio_ins!U:U,MATCH('001_population_health_zone_zs'!$B$2,[1]ratio_ins!$B:$B,0))*$G405*INDEX([1]ratio_ins!$C:$C,MATCH('001_population_health_zone_zs'!$B405,[1]ratio_ins!$B:$B,0))</f>
        <v>26037.175032000003</v>
      </c>
      <c r="X405" s="10">
        <f>INDEX([1]ratio_ins!V:V,MATCH('001_population_health_zone_zs'!$B$2,[1]ratio_ins!$B:$B,0))*$G405*INDEX([1]ratio_ins!$C:$C,MATCH('001_population_health_zone_zs'!$B405,[1]ratio_ins!$B:$B,0))</f>
        <v>763.55352000000005</v>
      </c>
      <c r="Y405" s="10">
        <f>INDEX([1]ratio_ins!W:W,MATCH('001_population_health_zone_zs'!$B$2,[1]ratio_ins!$B:$B,0))*$G405*INDEX([1]ratio_ins!$C:$C,MATCH('001_population_health_zone_zs'!$B405,[1]ratio_ins!$B:$B,0))</f>
        <v>509.03567999999996</v>
      </c>
      <c r="Z405" s="10">
        <f>INDEX([1]ratio_ins!X:X,MATCH('001_population_health_zone_zs'!$B$2,[1]ratio_ins!$B:$B,0))*$G405*INDEX([1]ratio_ins!$C:$C,MATCH('001_population_health_zone_zs'!$B405,[1]ratio_ins!$B:$B,0))</f>
        <v>254.51783999999998</v>
      </c>
      <c r="AA405" s="10">
        <f>INDEX([1]ratio_ins!Y:Y,MATCH('001_population_health_zone_zs'!$B$2,[1]ratio_ins!$B:$B,0))*$G405*INDEX([1]ratio_ins!$C:$C,MATCH('001_population_health_zone_zs'!$B405,[1]ratio_ins!$B:$B,0))</f>
        <v>127.25891999999999</v>
      </c>
      <c r="AB405" s="11">
        <f>INDEX([1]ratio_ins!Z:Z,MATCH('001_population_health_zone_zs'!$B$2,[1]ratio_ins!$B:$B,0))*$G405*INDEX([1]ratio_ins!$C:$C,MATCH('001_population_health_zone_zs'!$B405,[1]ratio_ins!$B:$B,0))</f>
        <v>1654.3659600000003</v>
      </c>
      <c r="AC405" s="12">
        <f t="shared" si="36"/>
        <v>63629.46</v>
      </c>
      <c r="AD405" s="10">
        <f>INDEX([1]ratio_ins!AA:AA,MATCH('001_population_health_zone_zs'!$B$2,[1]ratio_ins!$B:$B,0))*$G405*INDEX([1]ratio_ins!$D:$D,MATCH('001_population_health_zone_zs'!$B405,[1]ratio_ins!$B:$B,0))</f>
        <v>13469.5134</v>
      </c>
      <c r="AE405" s="10">
        <f>INDEX([1]ratio_ins!AB:AB,MATCH('001_population_health_zone_zs'!$B$2,[1]ratio_ins!$B:$B,0))*$G405*INDEX([1]ratio_ins!$D:$D,MATCH('001_population_health_zone_zs'!$B405,[1]ratio_ins!$B:$B,0))</f>
        <v>11096.313420000002</v>
      </c>
      <c r="AF405" s="10">
        <f>INDEX([1]ratio_ins!AC:AC,MATCH('001_population_health_zone_zs'!$B$2,[1]ratio_ins!$B:$B,0))*$G405*INDEX([1]ratio_ins!$D:$D,MATCH('001_population_health_zone_zs'!$B405,[1]ratio_ins!$B:$B,0))</f>
        <v>8787.2539799999995</v>
      </c>
      <c r="AG405" s="10">
        <f>INDEX([1]ratio_ins!AD:AD,MATCH('001_population_health_zone_zs'!$B$2,[1]ratio_ins!$B:$B,0))*$G405*INDEX([1]ratio_ins!$D:$D,MATCH('001_population_health_zone_zs'!$B405,[1]ratio_ins!$B:$B,0))</f>
        <v>5323.66482</v>
      </c>
      <c r="AH405" s="10">
        <f>INDEX([1]ratio_ins!AE:AE,MATCH('001_population_health_zone_zs'!$B$2,[1]ratio_ins!$B:$B,0))*$G405*INDEX([1]ratio_ins!$D:$D,MATCH('001_population_health_zone_zs'!$B405,[1]ratio_ins!$B:$B,0))</f>
        <v>3194.1988919999999</v>
      </c>
      <c r="AI405" s="13">
        <f>INDEX([1]ratio_ins!AF:AF,MATCH('001_population_health_zone_zs'!$B$2,[1]ratio_ins!$B:$B,0))*$G405*INDEX([1]ratio_ins!$D:$D,MATCH('001_population_health_zone_zs'!$B405,[1]ratio_ins!$B:$B,0))</f>
        <v>36547.279691999996</v>
      </c>
      <c r="AJ405" s="10">
        <f>INDEX([1]ratio_ins!AG:AG,MATCH('001_population_health_zone_zs'!$B$2,[1]ratio_ins!$B:$B,0))*$G405*INDEX([1]ratio_ins!$D:$D,MATCH('001_population_health_zone_zs'!$B405,[1]ratio_ins!$B:$B,0))</f>
        <v>2129.4659280000001</v>
      </c>
      <c r="AK405" s="10">
        <f>INDEX([1]ratio_ins!AH:AH,MATCH('001_population_health_zone_zs'!$B$2,[1]ratio_ins!$B:$B,0))*$G405*INDEX([1]ratio_ins!$D:$D,MATCH('001_population_health_zone_zs'!$B405,[1]ratio_ins!$B:$B,0))</f>
        <v>4746.3999600000006</v>
      </c>
      <c r="AL405" s="10">
        <f>INDEX([1]ratio_ins!AI:AI,MATCH('001_population_health_zone_zs'!$B$2,[1]ratio_ins!$B:$B,0))*$G405*INDEX([1]ratio_ins!$D:$D,MATCH('001_population_health_zone_zs'!$B405,[1]ratio_ins!$B:$B,0))</f>
        <v>4489.8378000000012</v>
      </c>
      <c r="AM405" s="10">
        <f>INDEX([1]ratio_ins!AJ:AJ,MATCH('001_population_health_zone_zs'!$B$2,[1]ratio_ins!$B:$B,0))*$G405*INDEX([1]ratio_ins!$D:$D,MATCH('001_population_health_zone_zs'!$B405,[1]ratio_ins!$B:$B,0))</f>
        <v>4104.9945600000001</v>
      </c>
      <c r="AN405" s="10">
        <f>INDEX([1]ratio_ins!AK:AK,MATCH('001_population_health_zone_zs'!$B$2,[1]ratio_ins!$B:$B,0))*$G405*INDEX([1]ratio_ins!$D:$D,MATCH('001_population_health_zone_zs'!$B405,[1]ratio_ins!$B:$B,0))</f>
        <v>3848.4324000000001</v>
      </c>
      <c r="AO405" s="10">
        <f>INDEX([1]ratio_ins!AL:AL,MATCH('001_population_health_zone_zs'!$B$2,[1]ratio_ins!$B:$B,0))*$G405*INDEX([1]ratio_ins!$D:$D,MATCH('001_population_health_zone_zs'!$B405,[1]ratio_ins!$B:$B,0))</f>
        <v>2886.3242999999998</v>
      </c>
      <c r="AP405" s="10">
        <f>INDEX([1]ratio_ins!AM:AM,MATCH('001_population_health_zone_zs'!$B$2,[1]ratio_ins!$B:$B,0))*$G405*INDEX([1]ratio_ins!$D:$D,MATCH('001_population_health_zone_zs'!$B405,[1]ratio_ins!$B:$B,0))</f>
        <v>1860.07566</v>
      </c>
      <c r="AQ405" s="10">
        <f>INDEX([1]ratio_ins!AN:AN,MATCH('001_population_health_zone_zs'!$B$2,[1]ratio_ins!$B:$B,0))*$G405*INDEX([1]ratio_ins!$D:$D,MATCH('001_population_health_zone_zs'!$B405,[1]ratio_ins!$B:$B,0))</f>
        <v>1475.23242</v>
      </c>
      <c r="AR405" s="10">
        <f>INDEX([1]ratio_ins!AO:AO,MATCH('001_population_health_zone_zs'!$B$2,[1]ratio_ins!$B:$B,0))*$G405*INDEX([1]ratio_ins!$D:$D,MATCH('001_population_health_zone_zs'!$B405,[1]ratio_ins!$B:$B,0))</f>
        <v>705.54593999999997</v>
      </c>
      <c r="AS405" s="13">
        <f>INDEX([1]ratio_ins!AP:AP,MATCH('001_population_health_zone_zs'!$B$2,[1]ratio_ins!$B:$B,0))*$G405*INDEX([1]ratio_ins!$D:$D,MATCH('001_population_health_zone_zs'!$B405,[1]ratio_ins!$B:$B,0))</f>
        <v>26246.308968000001</v>
      </c>
      <c r="AT405" s="10">
        <f>INDEX([1]ratio_ins!AQ:AQ,MATCH('001_population_health_zone_zs'!$B$2,[1]ratio_ins!$B:$B,0))*$G405*INDEX([1]ratio_ins!$D:$D,MATCH('001_population_health_zone_zs'!$B405,[1]ratio_ins!$B:$B,0))</f>
        <v>641.40539999999999</v>
      </c>
      <c r="AU405" s="10">
        <f>INDEX([1]ratio_ins!AR:AR,MATCH('001_population_health_zone_zs'!$B$2,[1]ratio_ins!$B:$B,0))*$G405*INDEX([1]ratio_ins!$D:$D,MATCH('001_population_health_zone_zs'!$B405,[1]ratio_ins!$B:$B,0))</f>
        <v>384.84323999999998</v>
      </c>
      <c r="AV405" s="10">
        <f>INDEX([1]ratio_ins!AS:AS,MATCH('001_population_health_zone_zs'!$B$2,[1]ratio_ins!$B:$B,0))*$G405*INDEX([1]ratio_ins!$D:$D,MATCH('001_population_health_zone_zs'!$B405,[1]ratio_ins!$B:$B,0))</f>
        <v>192.42161999999999</v>
      </c>
      <c r="AW405" s="10">
        <f>INDEX([1]ratio_ins!AT:AT,MATCH('001_population_health_zone_zs'!$B$2,[1]ratio_ins!$B:$B,0))*$G405*INDEX([1]ratio_ins!$D:$D,MATCH('001_population_health_zone_zs'!$B405,[1]ratio_ins!$B:$B,0))</f>
        <v>128.28108</v>
      </c>
      <c r="AX405" s="13">
        <f>INDEX([1]ratio_ins!AU:AU,MATCH('001_population_health_zone_zs'!$B$2,[1]ratio_ins!$B:$B,0))*$G405*INDEX([1]ratio_ins!$D:$D,MATCH('001_population_health_zone_zs'!$B405,[1]ratio_ins!$B:$B,0))</f>
        <v>1346.9513399999998</v>
      </c>
      <c r="AY405" s="14">
        <f t="shared" si="37"/>
        <v>64140.539999999994</v>
      </c>
      <c r="AZ405" s="15">
        <f t="shared" si="38"/>
        <v>127770</v>
      </c>
      <c r="BA405" s="16">
        <v>121648.68163054837</v>
      </c>
      <c r="BB405" s="10">
        <f t="shared" si="39"/>
        <v>27259.729500000001</v>
      </c>
      <c r="BC405" s="17">
        <f t="shared" si="40"/>
        <v>0.21335000000000001</v>
      </c>
      <c r="BD405" s="10">
        <f t="shared" si="41"/>
        <v>26533.484820000001</v>
      </c>
    </row>
    <row r="406" spans="1:56" x14ac:dyDescent="0.25">
      <c r="A406" s="8" t="s">
        <v>975</v>
      </c>
      <c r="B406" s="8" t="s">
        <v>976</v>
      </c>
      <c r="C406" s="8" t="s">
        <v>989</v>
      </c>
      <c r="D406" s="8" t="s">
        <v>990</v>
      </c>
      <c r="E406" s="8" t="s">
        <v>994</v>
      </c>
      <c r="F406" s="8" t="s">
        <v>995</v>
      </c>
      <c r="G406" s="9">
        <v>338249</v>
      </c>
      <c r="H406" s="10">
        <f>INDEX([1]ratio_ins!F:F,MATCH('001_population_health_zone_zs'!$B$2,[1]ratio_ins!$B:$B,0))*$G406*INDEX([1]ratio_ins!$C:$C,MATCH('001_population_health_zone_zs'!$B406,[1]ratio_ins!$B:$B,0))</f>
        <v>35205.632418000001</v>
      </c>
      <c r="I406" s="10">
        <f>INDEX([1]ratio_ins!G:G,MATCH('001_population_health_zone_zs'!$B$2,[1]ratio_ins!$B:$B,0))*$G406*INDEX([1]ratio_ins!$C:$C,MATCH('001_population_health_zone_zs'!$B406,[1]ratio_ins!$B:$B,0))</f>
        <v>28804.608342000003</v>
      </c>
      <c r="J406" s="10">
        <f>INDEX([1]ratio_ins!H:H,MATCH('001_population_health_zone_zs'!$B$2,[1]ratio_ins!$B:$B,0))*$G406*INDEX([1]ratio_ins!$C:$C,MATCH('001_population_health_zone_zs'!$B406,[1]ratio_ins!$B:$B,0))</f>
        <v>22740.480270000004</v>
      </c>
      <c r="K406" s="10">
        <f>INDEX([1]ratio_ins!I:I,MATCH('001_population_health_zone_zs'!$B$2,[1]ratio_ins!$B:$B,0))*$G406*INDEX([1]ratio_ins!$C:$C,MATCH('001_population_health_zone_zs'!$B406,[1]ratio_ins!$B:$B,0))</f>
        <v>13981.184166000001</v>
      </c>
      <c r="L406" s="10">
        <f>INDEX([1]ratio_ins!J:J,MATCH('001_population_health_zone_zs'!$B$2,[1]ratio_ins!$B:$B,0))*$G406*INDEX([1]ratio_ins!$C:$C,MATCH('001_population_health_zone_zs'!$B406,[1]ratio_ins!$B:$B,0))</f>
        <v>8388.710499599998</v>
      </c>
      <c r="M406" s="11">
        <f>INDEX([1]ratio_ins!K:K,MATCH('001_population_health_zone_zs'!$B$2,[1]ratio_ins!$B:$B,0))*$G406*INDEX([1]ratio_ins!$C:$C,MATCH('001_population_health_zone_zs'!$B406,[1]ratio_ins!$B:$B,0))</f>
        <v>95139.431529599999</v>
      </c>
      <c r="N406" s="10">
        <f>INDEX([1]ratio_ins!L:L,MATCH('001_population_health_zone_zs'!$B$2,[1]ratio_ins!$B:$B,0))*$G406*INDEX([1]ratio_ins!$C:$C,MATCH('001_population_health_zone_zs'!$B406,[1]ratio_ins!$B:$B,0))</f>
        <v>5592.4736664000002</v>
      </c>
      <c r="O406" s="10">
        <f>INDEX([1]ratio_ins!M:M,MATCH('001_population_health_zone_zs'!$B$2,[1]ratio_ins!$B:$B,0))*$G406*INDEX([1]ratio_ins!$C:$C,MATCH('001_population_health_zone_zs'!$B406,[1]ratio_ins!$B:$B,0))</f>
        <v>12128.256144000001</v>
      </c>
      <c r="P406" s="10">
        <f>INDEX([1]ratio_ins!N:N,MATCH('001_population_health_zone_zs'!$B$2,[1]ratio_ins!$B:$B,0))*$G406*INDEX([1]ratio_ins!$C:$C,MATCH('001_population_health_zone_zs'!$B406,[1]ratio_ins!$B:$B,0))</f>
        <v>10949.120130000001</v>
      </c>
      <c r="Q406" s="10">
        <f>INDEX([1]ratio_ins!O:O,MATCH('001_population_health_zone_zs'!$B$2,[1]ratio_ins!$B:$B,0))*$G406*INDEX([1]ratio_ins!$C:$C,MATCH('001_population_health_zone_zs'!$B406,[1]ratio_ins!$B:$B,0))</f>
        <v>9769.9841159999996</v>
      </c>
      <c r="R406" s="10">
        <f>INDEX([1]ratio_ins!P:P,MATCH('001_population_health_zone_zs'!$B$2,[1]ratio_ins!$B:$B,0))*$G406*INDEX([1]ratio_ins!$C:$C,MATCH('001_population_health_zone_zs'!$B406,[1]ratio_ins!$B:$B,0))</f>
        <v>9601.5361140000005</v>
      </c>
      <c r="S406" s="10">
        <f>INDEX([1]ratio_ins!Q:Q,MATCH('001_population_health_zone_zs'!$B$2,[1]ratio_ins!$B:$B,0))*$G406*INDEX([1]ratio_ins!$C:$C,MATCH('001_population_health_zone_zs'!$B406,[1]ratio_ins!$B:$B,0))</f>
        <v>8085.5040960000006</v>
      </c>
      <c r="T406" s="10">
        <f>INDEX([1]ratio_ins!R:R,MATCH('001_population_health_zone_zs'!$B$2,[1]ratio_ins!$B:$B,0))*$G406*INDEX([1]ratio_ins!$C:$C,MATCH('001_population_health_zone_zs'!$B406,[1]ratio_ins!$B:$B,0))</f>
        <v>5727.2320680000003</v>
      </c>
      <c r="U406" s="10">
        <f>INDEX([1]ratio_ins!S:S,MATCH('001_population_health_zone_zs'!$B$2,[1]ratio_ins!$B:$B,0))*$G406*INDEX([1]ratio_ins!$C:$C,MATCH('001_population_health_zone_zs'!$B406,[1]ratio_ins!$B:$B,0))</f>
        <v>4548.0960540000005</v>
      </c>
      <c r="V406" s="10">
        <f>INDEX([1]ratio_ins!T:T,MATCH('001_population_health_zone_zs'!$B$2,[1]ratio_ins!$B:$B,0))*$G406*INDEX([1]ratio_ins!$C:$C,MATCH('001_population_health_zone_zs'!$B406,[1]ratio_ins!$B:$B,0))</f>
        <v>2526.72003</v>
      </c>
      <c r="W406" s="11">
        <f>INDEX([1]ratio_ins!U:U,MATCH('001_population_health_zone_zs'!$B$2,[1]ratio_ins!$B:$B,0))*$G406*INDEX([1]ratio_ins!$C:$C,MATCH('001_population_health_zone_zs'!$B406,[1]ratio_ins!$B:$B,0))</f>
        <v>68928.922418400005</v>
      </c>
      <c r="X406" s="10">
        <f>INDEX([1]ratio_ins!V:V,MATCH('001_population_health_zone_zs'!$B$2,[1]ratio_ins!$B:$B,0))*$G406*INDEX([1]ratio_ins!$C:$C,MATCH('001_population_health_zone_zs'!$B406,[1]ratio_ins!$B:$B,0))</f>
        <v>2021.3760240000001</v>
      </c>
      <c r="Y406" s="10">
        <f>INDEX([1]ratio_ins!W:W,MATCH('001_population_health_zone_zs'!$B$2,[1]ratio_ins!$B:$B,0))*$G406*INDEX([1]ratio_ins!$C:$C,MATCH('001_population_health_zone_zs'!$B406,[1]ratio_ins!$B:$B,0))</f>
        <v>1347.584016</v>
      </c>
      <c r="Z406" s="10">
        <f>INDEX([1]ratio_ins!X:X,MATCH('001_population_health_zone_zs'!$B$2,[1]ratio_ins!$B:$B,0))*$G406*INDEX([1]ratio_ins!$C:$C,MATCH('001_population_health_zone_zs'!$B406,[1]ratio_ins!$B:$B,0))</f>
        <v>673.79200800000001</v>
      </c>
      <c r="AA406" s="10">
        <f>INDEX([1]ratio_ins!Y:Y,MATCH('001_population_health_zone_zs'!$B$2,[1]ratio_ins!$B:$B,0))*$G406*INDEX([1]ratio_ins!$C:$C,MATCH('001_population_health_zone_zs'!$B406,[1]ratio_ins!$B:$B,0))</f>
        <v>336.896004</v>
      </c>
      <c r="AB406" s="11">
        <f>INDEX([1]ratio_ins!Z:Z,MATCH('001_population_health_zone_zs'!$B$2,[1]ratio_ins!$B:$B,0))*$G406*INDEX([1]ratio_ins!$C:$C,MATCH('001_population_health_zone_zs'!$B406,[1]ratio_ins!$B:$B,0))</f>
        <v>4379.6480520000005</v>
      </c>
      <c r="AC406" s="12">
        <f t="shared" si="36"/>
        <v>168448.00200000001</v>
      </c>
      <c r="AD406" s="10">
        <f>INDEX([1]ratio_ins!AA:AA,MATCH('001_population_health_zone_zs'!$B$2,[1]ratio_ins!$B:$B,0))*$G406*INDEX([1]ratio_ins!$D:$D,MATCH('001_population_health_zone_zs'!$B406,[1]ratio_ins!$B:$B,0))</f>
        <v>35658.209579999995</v>
      </c>
      <c r="AE406" s="10">
        <f>INDEX([1]ratio_ins!AB:AB,MATCH('001_population_health_zone_zs'!$B$2,[1]ratio_ins!$B:$B,0))*$G406*INDEX([1]ratio_ins!$D:$D,MATCH('001_population_health_zone_zs'!$B406,[1]ratio_ins!$B:$B,0))</f>
        <v>29375.572654000003</v>
      </c>
      <c r="AF406" s="10">
        <f>INDEX([1]ratio_ins!AC:AC,MATCH('001_population_health_zone_zs'!$B$2,[1]ratio_ins!$B:$B,0))*$G406*INDEX([1]ratio_ins!$D:$D,MATCH('001_population_health_zone_zs'!$B406,[1]ratio_ins!$B:$B,0))</f>
        <v>23262.736725999999</v>
      </c>
      <c r="AG406" s="10">
        <f>INDEX([1]ratio_ins!AD:AD,MATCH('001_population_health_zone_zs'!$B$2,[1]ratio_ins!$B:$B,0))*$G406*INDEX([1]ratio_ins!$D:$D,MATCH('001_population_health_zone_zs'!$B406,[1]ratio_ins!$B:$B,0))</f>
        <v>14093.482834</v>
      </c>
      <c r="AH406" s="10">
        <f>INDEX([1]ratio_ins!AE:AE,MATCH('001_population_health_zone_zs'!$B$2,[1]ratio_ins!$B:$B,0))*$G406*INDEX([1]ratio_ins!$D:$D,MATCH('001_population_health_zone_zs'!$B406,[1]ratio_ins!$B:$B,0))</f>
        <v>8456.0897003999999</v>
      </c>
      <c r="AI406" s="13">
        <f>INDEX([1]ratio_ins!AF:AF,MATCH('001_population_health_zone_zs'!$B$2,[1]ratio_ins!$B:$B,0))*$G406*INDEX([1]ratio_ins!$D:$D,MATCH('001_population_health_zone_zs'!$B406,[1]ratio_ins!$B:$B,0))</f>
        <v>96752.608660399987</v>
      </c>
      <c r="AJ406" s="10">
        <f>INDEX([1]ratio_ins!AG:AG,MATCH('001_population_health_zone_zs'!$B$2,[1]ratio_ins!$B:$B,0))*$G406*INDEX([1]ratio_ins!$D:$D,MATCH('001_population_health_zone_zs'!$B406,[1]ratio_ins!$B:$B,0))</f>
        <v>5637.3931335999996</v>
      </c>
      <c r="AK406" s="10">
        <f>INDEX([1]ratio_ins!AH:AH,MATCH('001_population_health_zone_zs'!$B$2,[1]ratio_ins!$B:$B,0))*$G406*INDEX([1]ratio_ins!$D:$D,MATCH('001_population_health_zone_zs'!$B406,[1]ratio_ins!$B:$B,0))</f>
        <v>12565.273852000002</v>
      </c>
      <c r="AL406" s="10">
        <f>INDEX([1]ratio_ins!AI:AI,MATCH('001_population_health_zone_zs'!$B$2,[1]ratio_ins!$B:$B,0))*$G406*INDEX([1]ratio_ins!$D:$D,MATCH('001_population_health_zone_zs'!$B406,[1]ratio_ins!$B:$B,0))</f>
        <v>11886.069860000001</v>
      </c>
      <c r="AM406" s="10">
        <f>INDEX([1]ratio_ins!AJ:AJ,MATCH('001_population_health_zone_zs'!$B$2,[1]ratio_ins!$B:$B,0))*$G406*INDEX([1]ratio_ins!$D:$D,MATCH('001_population_health_zone_zs'!$B406,[1]ratio_ins!$B:$B,0))</f>
        <v>10867.263872000001</v>
      </c>
      <c r="AN406" s="10">
        <f>INDEX([1]ratio_ins!AK:AK,MATCH('001_population_health_zone_zs'!$B$2,[1]ratio_ins!$B:$B,0))*$G406*INDEX([1]ratio_ins!$D:$D,MATCH('001_population_health_zone_zs'!$B406,[1]ratio_ins!$B:$B,0))</f>
        <v>10188.059879999999</v>
      </c>
      <c r="AO406" s="10">
        <f>INDEX([1]ratio_ins!AL:AL,MATCH('001_population_health_zone_zs'!$B$2,[1]ratio_ins!$B:$B,0))*$G406*INDEX([1]ratio_ins!$D:$D,MATCH('001_population_health_zone_zs'!$B406,[1]ratio_ins!$B:$B,0))</f>
        <v>7641.0449099999996</v>
      </c>
      <c r="AP406" s="10">
        <f>INDEX([1]ratio_ins!AM:AM,MATCH('001_population_health_zone_zs'!$B$2,[1]ratio_ins!$B:$B,0))*$G406*INDEX([1]ratio_ins!$D:$D,MATCH('001_population_health_zone_zs'!$B406,[1]ratio_ins!$B:$B,0))</f>
        <v>4924.2289419999997</v>
      </c>
      <c r="AQ406" s="10">
        <f>INDEX([1]ratio_ins!AN:AN,MATCH('001_population_health_zone_zs'!$B$2,[1]ratio_ins!$B:$B,0))*$G406*INDEX([1]ratio_ins!$D:$D,MATCH('001_population_health_zone_zs'!$B406,[1]ratio_ins!$B:$B,0))</f>
        <v>3905.4229540000001</v>
      </c>
      <c r="AR406" s="10">
        <f>INDEX([1]ratio_ins!AO:AO,MATCH('001_population_health_zone_zs'!$B$2,[1]ratio_ins!$B:$B,0))*$G406*INDEX([1]ratio_ins!$D:$D,MATCH('001_population_health_zone_zs'!$B406,[1]ratio_ins!$B:$B,0))</f>
        <v>1867.8109780000002</v>
      </c>
      <c r="AS406" s="13">
        <f>INDEX([1]ratio_ins!AP:AP,MATCH('001_population_health_zone_zs'!$B$2,[1]ratio_ins!$B:$B,0))*$G406*INDEX([1]ratio_ins!$D:$D,MATCH('001_population_health_zone_zs'!$B406,[1]ratio_ins!$B:$B,0))</f>
        <v>69482.568381599995</v>
      </c>
      <c r="AT406" s="10">
        <f>INDEX([1]ratio_ins!AQ:AQ,MATCH('001_population_health_zone_zs'!$B$2,[1]ratio_ins!$B:$B,0))*$G406*INDEX([1]ratio_ins!$D:$D,MATCH('001_population_health_zone_zs'!$B406,[1]ratio_ins!$B:$B,0))</f>
        <v>1698.00998</v>
      </c>
      <c r="AU406" s="10">
        <f>INDEX([1]ratio_ins!AR:AR,MATCH('001_population_health_zone_zs'!$B$2,[1]ratio_ins!$B:$B,0))*$G406*INDEX([1]ratio_ins!$D:$D,MATCH('001_population_health_zone_zs'!$B406,[1]ratio_ins!$B:$B,0))</f>
        <v>1018.8059880000001</v>
      </c>
      <c r="AV406" s="10">
        <f>INDEX([1]ratio_ins!AS:AS,MATCH('001_population_health_zone_zs'!$B$2,[1]ratio_ins!$B:$B,0))*$G406*INDEX([1]ratio_ins!$D:$D,MATCH('001_population_health_zone_zs'!$B406,[1]ratio_ins!$B:$B,0))</f>
        <v>509.40299400000004</v>
      </c>
      <c r="AW406" s="10">
        <f>INDEX([1]ratio_ins!AT:AT,MATCH('001_population_health_zone_zs'!$B$2,[1]ratio_ins!$B:$B,0))*$G406*INDEX([1]ratio_ins!$D:$D,MATCH('001_population_health_zone_zs'!$B406,[1]ratio_ins!$B:$B,0))</f>
        <v>339.60199600000004</v>
      </c>
      <c r="AX406" s="13">
        <f>INDEX([1]ratio_ins!AU:AU,MATCH('001_population_health_zone_zs'!$B$2,[1]ratio_ins!$B:$B,0))*$G406*INDEX([1]ratio_ins!$D:$D,MATCH('001_population_health_zone_zs'!$B406,[1]ratio_ins!$B:$B,0))</f>
        <v>3565.8209579999998</v>
      </c>
      <c r="AY406" s="14">
        <f t="shared" si="37"/>
        <v>169800.99799999999</v>
      </c>
      <c r="AZ406" s="15">
        <f t="shared" si="38"/>
        <v>338249</v>
      </c>
      <c r="BA406" s="16">
        <v>322044.00821767567</v>
      </c>
      <c r="BB406" s="10">
        <f t="shared" si="39"/>
        <v>72165.424150000006</v>
      </c>
      <c r="BC406" s="17">
        <f t="shared" si="40"/>
        <v>0.21335000000000001</v>
      </c>
      <c r="BD406" s="10">
        <f t="shared" si="41"/>
        <v>70242.816833999997</v>
      </c>
    </row>
    <row r="407" spans="1:56" x14ac:dyDescent="0.25">
      <c r="A407" s="8" t="s">
        <v>975</v>
      </c>
      <c r="B407" s="8" t="s">
        <v>976</v>
      </c>
      <c r="C407" s="8" t="s">
        <v>996</v>
      </c>
      <c r="D407" s="8" t="s">
        <v>997</v>
      </c>
      <c r="E407" s="8" t="s">
        <v>998</v>
      </c>
      <c r="F407" s="8" t="s">
        <v>999</v>
      </c>
      <c r="G407" s="9">
        <v>346497</v>
      </c>
      <c r="H407" s="10">
        <f>INDEX([1]ratio_ins!F:F,MATCH('001_population_health_zone_zs'!$B$2,[1]ratio_ins!$B:$B,0))*$G407*INDEX([1]ratio_ins!$C:$C,MATCH('001_population_health_zone_zs'!$B407,[1]ratio_ins!$B:$B,0))</f>
        <v>36064.100753999999</v>
      </c>
      <c r="I407" s="10">
        <f>INDEX([1]ratio_ins!G:G,MATCH('001_population_health_zone_zs'!$B$2,[1]ratio_ins!$B:$B,0))*$G407*INDEX([1]ratio_ins!$C:$C,MATCH('001_population_health_zone_zs'!$B407,[1]ratio_ins!$B:$B,0))</f>
        <v>29506.991526000002</v>
      </c>
      <c r="J407" s="10">
        <f>INDEX([1]ratio_ins!H:H,MATCH('001_population_health_zone_zs'!$B$2,[1]ratio_ins!$B:$B,0))*$G407*INDEX([1]ratio_ins!$C:$C,MATCH('001_population_health_zone_zs'!$B407,[1]ratio_ins!$B:$B,0))</f>
        <v>23294.993310000002</v>
      </c>
      <c r="K407" s="10">
        <f>INDEX([1]ratio_ins!I:I,MATCH('001_population_health_zone_zs'!$B$2,[1]ratio_ins!$B:$B,0))*$G407*INDEX([1]ratio_ins!$C:$C,MATCH('001_population_health_zone_zs'!$B407,[1]ratio_ins!$B:$B,0))</f>
        <v>14322.106997999999</v>
      </c>
      <c r="L407" s="10">
        <f>INDEX([1]ratio_ins!J:J,MATCH('001_population_health_zone_zs'!$B$2,[1]ratio_ins!$B:$B,0))*$G407*INDEX([1]ratio_ins!$C:$C,MATCH('001_population_health_zone_zs'!$B407,[1]ratio_ins!$B:$B,0))</f>
        <v>8593.2641987999996</v>
      </c>
      <c r="M407" s="11">
        <f>INDEX([1]ratio_ins!K:K,MATCH('001_population_health_zone_zs'!$B$2,[1]ratio_ins!$B:$B,0))*$G407*INDEX([1]ratio_ins!$C:$C,MATCH('001_population_health_zone_zs'!$B407,[1]ratio_ins!$B:$B,0))</f>
        <v>97459.349788799984</v>
      </c>
      <c r="N407" s="10">
        <f>INDEX([1]ratio_ins!L:L,MATCH('001_population_health_zone_zs'!$B$2,[1]ratio_ins!$B:$B,0))*$G407*INDEX([1]ratio_ins!$C:$C,MATCH('001_population_health_zone_zs'!$B407,[1]ratio_ins!$B:$B,0))</f>
        <v>5728.8427991999997</v>
      </c>
      <c r="O407" s="10">
        <f>INDEX([1]ratio_ins!M:M,MATCH('001_population_health_zone_zs'!$B$2,[1]ratio_ins!$B:$B,0))*$G407*INDEX([1]ratio_ins!$C:$C,MATCH('001_population_health_zone_zs'!$B407,[1]ratio_ins!$B:$B,0))</f>
        <v>12423.996432000002</v>
      </c>
      <c r="P407" s="10">
        <f>INDEX([1]ratio_ins!N:N,MATCH('001_population_health_zone_zs'!$B$2,[1]ratio_ins!$B:$B,0))*$G407*INDEX([1]ratio_ins!$C:$C,MATCH('001_population_health_zone_zs'!$B407,[1]ratio_ins!$B:$B,0))</f>
        <v>11216.107889999999</v>
      </c>
      <c r="Q407" s="10">
        <f>INDEX([1]ratio_ins!O:O,MATCH('001_population_health_zone_zs'!$B$2,[1]ratio_ins!$B:$B,0))*$G407*INDEX([1]ratio_ins!$C:$C,MATCH('001_population_health_zone_zs'!$B407,[1]ratio_ins!$B:$B,0))</f>
        <v>10008.219347999999</v>
      </c>
      <c r="R407" s="10">
        <f>INDEX([1]ratio_ins!P:P,MATCH('001_population_health_zone_zs'!$B$2,[1]ratio_ins!$B:$B,0))*$G407*INDEX([1]ratio_ins!$C:$C,MATCH('001_population_health_zone_zs'!$B407,[1]ratio_ins!$B:$B,0))</f>
        <v>9835.6638419999999</v>
      </c>
      <c r="S407" s="10">
        <f>INDEX([1]ratio_ins!Q:Q,MATCH('001_population_health_zone_zs'!$B$2,[1]ratio_ins!$B:$B,0))*$G407*INDEX([1]ratio_ins!$C:$C,MATCH('001_population_health_zone_zs'!$B407,[1]ratio_ins!$B:$B,0))</f>
        <v>8282.6642879999999</v>
      </c>
      <c r="T407" s="10">
        <f>INDEX([1]ratio_ins!R:R,MATCH('001_population_health_zone_zs'!$B$2,[1]ratio_ins!$B:$B,0))*$G407*INDEX([1]ratio_ins!$C:$C,MATCH('001_population_health_zone_zs'!$B407,[1]ratio_ins!$B:$B,0))</f>
        <v>5866.8872040000006</v>
      </c>
      <c r="U407" s="10">
        <f>INDEX([1]ratio_ins!S:S,MATCH('001_population_health_zone_zs'!$B$2,[1]ratio_ins!$B:$B,0))*$G407*INDEX([1]ratio_ins!$C:$C,MATCH('001_population_health_zone_zs'!$B407,[1]ratio_ins!$B:$B,0))</f>
        <v>4658.9986620000009</v>
      </c>
      <c r="V407" s="10">
        <f>INDEX([1]ratio_ins!T:T,MATCH('001_population_health_zone_zs'!$B$2,[1]ratio_ins!$B:$B,0))*$G407*INDEX([1]ratio_ins!$C:$C,MATCH('001_population_health_zone_zs'!$B407,[1]ratio_ins!$B:$B,0))</f>
        <v>2588.33259</v>
      </c>
      <c r="W407" s="11">
        <f>INDEX([1]ratio_ins!U:U,MATCH('001_population_health_zone_zs'!$B$2,[1]ratio_ins!$B:$B,0))*$G407*INDEX([1]ratio_ins!$C:$C,MATCH('001_population_health_zone_zs'!$B407,[1]ratio_ins!$B:$B,0))</f>
        <v>70609.713055200002</v>
      </c>
      <c r="X407" s="10">
        <f>INDEX([1]ratio_ins!V:V,MATCH('001_population_health_zone_zs'!$B$2,[1]ratio_ins!$B:$B,0))*$G407*INDEX([1]ratio_ins!$C:$C,MATCH('001_population_health_zone_zs'!$B407,[1]ratio_ins!$B:$B,0))</f>
        <v>2070.666072</v>
      </c>
      <c r="Y407" s="10">
        <f>INDEX([1]ratio_ins!W:W,MATCH('001_population_health_zone_zs'!$B$2,[1]ratio_ins!$B:$B,0))*$G407*INDEX([1]ratio_ins!$C:$C,MATCH('001_population_health_zone_zs'!$B407,[1]ratio_ins!$B:$B,0))</f>
        <v>1380.4440480000001</v>
      </c>
      <c r="Z407" s="10">
        <f>INDEX([1]ratio_ins!X:X,MATCH('001_population_health_zone_zs'!$B$2,[1]ratio_ins!$B:$B,0))*$G407*INDEX([1]ratio_ins!$C:$C,MATCH('001_population_health_zone_zs'!$B407,[1]ratio_ins!$B:$B,0))</f>
        <v>690.22202400000003</v>
      </c>
      <c r="AA407" s="10">
        <f>INDEX([1]ratio_ins!Y:Y,MATCH('001_population_health_zone_zs'!$B$2,[1]ratio_ins!$B:$B,0))*$G407*INDEX([1]ratio_ins!$C:$C,MATCH('001_population_health_zone_zs'!$B407,[1]ratio_ins!$B:$B,0))</f>
        <v>345.11101200000002</v>
      </c>
      <c r="AB407" s="11">
        <f>INDEX([1]ratio_ins!Z:Z,MATCH('001_population_health_zone_zs'!$B$2,[1]ratio_ins!$B:$B,0))*$G407*INDEX([1]ratio_ins!$C:$C,MATCH('001_population_health_zone_zs'!$B407,[1]ratio_ins!$B:$B,0))</f>
        <v>4486.4431560000003</v>
      </c>
      <c r="AC407" s="12">
        <f t="shared" si="36"/>
        <v>172555.50599999999</v>
      </c>
      <c r="AD407" s="10">
        <f>INDEX([1]ratio_ins!AA:AA,MATCH('001_population_health_zone_zs'!$B$2,[1]ratio_ins!$B:$B,0))*$G407*INDEX([1]ratio_ins!$D:$D,MATCH('001_population_health_zone_zs'!$B407,[1]ratio_ins!$B:$B,0))</f>
        <v>36527.713739999999</v>
      </c>
      <c r="AE407" s="10">
        <f>INDEX([1]ratio_ins!AB:AB,MATCH('001_population_health_zone_zs'!$B$2,[1]ratio_ins!$B:$B,0))*$G407*INDEX([1]ratio_ins!$D:$D,MATCH('001_population_health_zone_zs'!$B407,[1]ratio_ins!$B:$B,0))</f>
        <v>30091.878462000004</v>
      </c>
      <c r="AF407" s="10">
        <f>INDEX([1]ratio_ins!AC:AC,MATCH('001_population_health_zone_zs'!$B$2,[1]ratio_ins!$B:$B,0))*$G407*INDEX([1]ratio_ins!$D:$D,MATCH('001_population_health_zone_zs'!$B407,[1]ratio_ins!$B:$B,0))</f>
        <v>23829.984677999997</v>
      </c>
      <c r="AG407" s="10">
        <f>INDEX([1]ratio_ins!AD:AD,MATCH('001_population_health_zone_zs'!$B$2,[1]ratio_ins!$B:$B,0))*$G407*INDEX([1]ratio_ins!$D:$D,MATCH('001_population_health_zone_zs'!$B407,[1]ratio_ins!$B:$B,0))</f>
        <v>14437.144002000001</v>
      </c>
      <c r="AH407" s="10">
        <f>INDEX([1]ratio_ins!AE:AE,MATCH('001_population_health_zone_zs'!$B$2,[1]ratio_ins!$B:$B,0))*$G407*INDEX([1]ratio_ins!$D:$D,MATCH('001_population_health_zone_zs'!$B407,[1]ratio_ins!$B:$B,0))</f>
        <v>8662.2864011999991</v>
      </c>
      <c r="AI407" s="13">
        <f>INDEX([1]ratio_ins!AF:AF,MATCH('001_population_health_zone_zs'!$B$2,[1]ratio_ins!$B:$B,0))*$G407*INDEX([1]ratio_ins!$D:$D,MATCH('001_population_health_zone_zs'!$B407,[1]ratio_ins!$B:$B,0))</f>
        <v>99111.8632812</v>
      </c>
      <c r="AJ407" s="10">
        <f>INDEX([1]ratio_ins!AG:AG,MATCH('001_population_health_zone_zs'!$B$2,[1]ratio_ins!$B:$B,0))*$G407*INDEX([1]ratio_ins!$D:$D,MATCH('001_population_health_zone_zs'!$B407,[1]ratio_ins!$B:$B,0))</f>
        <v>5774.8576008</v>
      </c>
      <c r="AK407" s="10">
        <f>INDEX([1]ratio_ins!AH:AH,MATCH('001_population_health_zone_zs'!$B$2,[1]ratio_ins!$B:$B,0))*$G407*INDEX([1]ratio_ins!$D:$D,MATCH('001_population_health_zone_zs'!$B407,[1]ratio_ins!$B:$B,0))</f>
        <v>12871.670556000001</v>
      </c>
      <c r="AL407" s="10">
        <f>INDEX([1]ratio_ins!AI:AI,MATCH('001_population_health_zone_zs'!$B$2,[1]ratio_ins!$B:$B,0))*$G407*INDEX([1]ratio_ins!$D:$D,MATCH('001_population_health_zone_zs'!$B407,[1]ratio_ins!$B:$B,0))</f>
        <v>12175.90458</v>
      </c>
      <c r="AM407" s="10">
        <f>INDEX([1]ratio_ins!AJ:AJ,MATCH('001_population_health_zone_zs'!$B$2,[1]ratio_ins!$B:$B,0))*$G407*INDEX([1]ratio_ins!$D:$D,MATCH('001_population_health_zone_zs'!$B407,[1]ratio_ins!$B:$B,0))</f>
        <v>11132.255616</v>
      </c>
      <c r="AN407" s="10">
        <f>INDEX([1]ratio_ins!AK:AK,MATCH('001_population_health_zone_zs'!$B$2,[1]ratio_ins!$B:$B,0))*$G407*INDEX([1]ratio_ins!$D:$D,MATCH('001_population_health_zone_zs'!$B407,[1]ratio_ins!$B:$B,0))</f>
        <v>10436.48964</v>
      </c>
      <c r="AO407" s="10">
        <f>INDEX([1]ratio_ins!AL:AL,MATCH('001_population_health_zone_zs'!$B$2,[1]ratio_ins!$B:$B,0))*$G407*INDEX([1]ratio_ins!$D:$D,MATCH('001_population_health_zone_zs'!$B407,[1]ratio_ins!$B:$B,0))</f>
        <v>7827.3672299999998</v>
      </c>
      <c r="AP407" s="10">
        <f>INDEX([1]ratio_ins!AM:AM,MATCH('001_population_health_zone_zs'!$B$2,[1]ratio_ins!$B:$B,0))*$G407*INDEX([1]ratio_ins!$D:$D,MATCH('001_population_health_zone_zs'!$B407,[1]ratio_ins!$B:$B,0))</f>
        <v>5044.3033259999993</v>
      </c>
      <c r="AQ407" s="10">
        <f>INDEX([1]ratio_ins!AN:AN,MATCH('001_population_health_zone_zs'!$B$2,[1]ratio_ins!$B:$B,0))*$G407*INDEX([1]ratio_ins!$D:$D,MATCH('001_population_health_zone_zs'!$B407,[1]ratio_ins!$B:$B,0))</f>
        <v>4000.6543619999998</v>
      </c>
      <c r="AR407" s="10">
        <f>INDEX([1]ratio_ins!AO:AO,MATCH('001_population_health_zone_zs'!$B$2,[1]ratio_ins!$B:$B,0))*$G407*INDEX([1]ratio_ins!$D:$D,MATCH('001_population_health_zone_zs'!$B407,[1]ratio_ins!$B:$B,0))</f>
        <v>1913.3564340000003</v>
      </c>
      <c r="AS407" s="13">
        <f>INDEX([1]ratio_ins!AP:AP,MATCH('001_population_health_zone_zs'!$B$2,[1]ratio_ins!$B:$B,0))*$G407*INDEX([1]ratio_ins!$D:$D,MATCH('001_population_health_zone_zs'!$B407,[1]ratio_ins!$B:$B,0))</f>
        <v>71176.859344800003</v>
      </c>
      <c r="AT407" s="10">
        <f>INDEX([1]ratio_ins!AQ:AQ,MATCH('001_population_health_zone_zs'!$B$2,[1]ratio_ins!$B:$B,0))*$G407*INDEX([1]ratio_ins!$D:$D,MATCH('001_population_health_zone_zs'!$B407,[1]ratio_ins!$B:$B,0))</f>
        <v>1739.4149400000001</v>
      </c>
      <c r="AU407" s="10">
        <f>INDEX([1]ratio_ins!AR:AR,MATCH('001_population_health_zone_zs'!$B$2,[1]ratio_ins!$B:$B,0))*$G407*INDEX([1]ratio_ins!$D:$D,MATCH('001_population_health_zone_zs'!$B407,[1]ratio_ins!$B:$B,0))</f>
        <v>1043.648964</v>
      </c>
      <c r="AV407" s="10">
        <f>INDEX([1]ratio_ins!AS:AS,MATCH('001_population_health_zone_zs'!$B$2,[1]ratio_ins!$B:$B,0))*$G407*INDEX([1]ratio_ins!$D:$D,MATCH('001_population_health_zone_zs'!$B407,[1]ratio_ins!$B:$B,0))</f>
        <v>521.82448199999999</v>
      </c>
      <c r="AW407" s="10">
        <f>INDEX([1]ratio_ins!AT:AT,MATCH('001_population_health_zone_zs'!$B$2,[1]ratio_ins!$B:$B,0))*$G407*INDEX([1]ratio_ins!$D:$D,MATCH('001_population_health_zone_zs'!$B407,[1]ratio_ins!$B:$B,0))</f>
        <v>347.88298800000001</v>
      </c>
      <c r="AX407" s="13">
        <f>INDEX([1]ratio_ins!AU:AU,MATCH('001_population_health_zone_zs'!$B$2,[1]ratio_ins!$B:$B,0))*$G407*INDEX([1]ratio_ins!$D:$D,MATCH('001_population_health_zone_zs'!$B407,[1]ratio_ins!$B:$B,0))</f>
        <v>3652.7713739999995</v>
      </c>
      <c r="AY407" s="14">
        <f t="shared" si="37"/>
        <v>173941.49400000001</v>
      </c>
      <c r="AZ407" s="15">
        <f t="shared" si="38"/>
        <v>346497</v>
      </c>
      <c r="BA407" s="16">
        <v>329896.18347352307</v>
      </c>
      <c r="BB407" s="10">
        <f t="shared" si="39"/>
        <v>73925.134949999992</v>
      </c>
      <c r="BC407" s="17">
        <f t="shared" si="40"/>
        <v>0.21334999999999998</v>
      </c>
      <c r="BD407" s="10">
        <f t="shared" si="41"/>
        <v>71955.646001999994</v>
      </c>
    </row>
    <row r="408" spans="1:56" x14ac:dyDescent="0.25">
      <c r="A408" s="8" t="s">
        <v>975</v>
      </c>
      <c r="B408" s="8" t="s">
        <v>976</v>
      </c>
      <c r="C408" s="8" t="s">
        <v>996</v>
      </c>
      <c r="D408" s="8" t="s">
        <v>997</v>
      </c>
      <c r="E408" s="8" t="s">
        <v>1000</v>
      </c>
      <c r="F408" s="8" t="s">
        <v>1001</v>
      </c>
      <c r="G408" s="9">
        <v>162417</v>
      </c>
      <c r="H408" s="10">
        <f>INDEX([1]ratio_ins!F:F,MATCH('001_population_health_zone_zs'!$B$2,[1]ratio_ins!$B:$B,0))*$G408*INDEX([1]ratio_ins!$C:$C,MATCH('001_population_health_zone_zs'!$B408,[1]ratio_ins!$B:$B,0))</f>
        <v>16904.686193999998</v>
      </c>
      <c r="I408" s="10">
        <f>INDEX([1]ratio_ins!G:G,MATCH('001_population_health_zone_zs'!$B$2,[1]ratio_ins!$B:$B,0))*$G408*INDEX([1]ratio_ins!$C:$C,MATCH('001_population_health_zone_zs'!$B408,[1]ratio_ins!$B:$B,0))</f>
        <v>13831.106886</v>
      </c>
      <c r="J408" s="10">
        <f>INDEX([1]ratio_ins!H:H,MATCH('001_population_health_zone_zs'!$B$2,[1]ratio_ins!$B:$B,0))*$G408*INDEX([1]ratio_ins!$C:$C,MATCH('001_population_health_zone_zs'!$B408,[1]ratio_ins!$B:$B,0))</f>
        <v>10919.294910000001</v>
      </c>
      <c r="K408" s="10">
        <f>INDEX([1]ratio_ins!I:I,MATCH('001_population_health_zone_zs'!$B$2,[1]ratio_ins!$B:$B,0))*$G408*INDEX([1]ratio_ins!$C:$C,MATCH('001_population_health_zone_zs'!$B408,[1]ratio_ins!$B:$B,0))</f>
        <v>6713.3442780000005</v>
      </c>
      <c r="L408" s="10">
        <f>INDEX([1]ratio_ins!J:J,MATCH('001_population_health_zone_zs'!$B$2,[1]ratio_ins!$B:$B,0))*$G408*INDEX([1]ratio_ins!$C:$C,MATCH('001_population_health_zone_zs'!$B408,[1]ratio_ins!$B:$B,0))</f>
        <v>4028.0065667999997</v>
      </c>
      <c r="M408" s="11">
        <f>INDEX([1]ratio_ins!K:K,MATCH('001_population_health_zone_zs'!$B$2,[1]ratio_ins!$B:$B,0))*$G408*INDEX([1]ratio_ins!$C:$C,MATCH('001_population_health_zone_zs'!$B408,[1]ratio_ins!$B:$B,0))</f>
        <v>45683.094556800002</v>
      </c>
      <c r="N408" s="10">
        <f>INDEX([1]ratio_ins!L:L,MATCH('001_population_health_zone_zs'!$B$2,[1]ratio_ins!$B:$B,0))*$G408*INDEX([1]ratio_ins!$C:$C,MATCH('001_population_health_zone_zs'!$B408,[1]ratio_ins!$B:$B,0))</f>
        <v>2685.3377112000003</v>
      </c>
      <c r="O408" s="10">
        <f>INDEX([1]ratio_ins!M:M,MATCH('001_population_health_zone_zs'!$B$2,[1]ratio_ins!$B:$B,0))*$G408*INDEX([1]ratio_ins!$C:$C,MATCH('001_population_health_zone_zs'!$B408,[1]ratio_ins!$B:$B,0))</f>
        <v>5823.6239520000008</v>
      </c>
      <c r="P408" s="10">
        <f>INDEX([1]ratio_ins!N:N,MATCH('001_population_health_zone_zs'!$B$2,[1]ratio_ins!$B:$B,0))*$G408*INDEX([1]ratio_ins!$C:$C,MATCH('001_population_health_zone_zs'!$B408,[1]ratio_ins!$B:$B,0))</f>
        <v>5257.4382900000001</v>
      </c>
      <c r="Q408" s="10">
        <f>INDEX([1]ratio_ins!O:O,MATCH('001_population_health_zone_zs'!$B$2,[1]ratio_ins!$B:$B,0))*$G408*INDEX([1]ratio_ins!$C:$C,MATCH('001_population_health_zone_zs'!$B408,[1]ratio_ins!$B:$B,0))</f>
        <v>4691.2526280000002</v>
      </c>
      <c r="R408" s="10">
        <f>INDEX([1]ratio_ins!P:P,MATCH('001_population_health_zone_zs'!$B$2,[1]ratio_ins!$B:$B,0))*$G408*INDEX([1]ratio_ins!$C:$C,MATCH('001_population_health_zone_zs'!$B408,[1]ratio_ins!$B:$B,0))</f>
        <v>4610.3689620000005</v>
      </c>
      <c r="S408" s="10">
        <f>INDEX([1]ratio_ins!Q:Q,MATCH('001_population_health_zone_zs'!$B$2,[1]ratio_ins!$B:$B,0))*$G408*INDEX([1]ratio_ins!$C:$C,MATCH('001_population_health_zone_zs'!$B408,[1]ratio_ins!$B:$B,0))</f>
        <v>3882.4159680000002</v>
      </c>
      <c r="T408" s="10">
        <f>INDEX([1]ratio_ins!R:R,MATCH('001_population_health_zone_zs'!$B$2,[1]ratio_ins!$B:$B,0))*$G408*INDEX([1]ratio_ins!$C:$C,MATCH('001_population_health_zone_zs'!$B408,[1]ratio_ins!$B:$B,0))</f>
        <v>2750.0446440000005</v>
      </c>
      <c r="U408" s="10">
        <f>INDEX([1]ratio_ins!S:S,MATCH('001_population_health_zone_zs'!$B$2,[1]ratio_ins!$B:$B,0))*$G408*INDEX([1]ratio_ins!$C:$C,MATCH('001_population_health_zone_zs'!$B408,[1]ratio_ins!$B:$B,0))</f>
        <v>2183.8589820000007</v>
      </c>
      <c r="V408" s="10">
        <f>INDEX([1]ratio_ins!T:T,MATCH('001_population_health_zone_zs'!$B$2,[1]ratio_ins!$B:$B,0))*$G408*INDEX([1]ratio_ins!$C:$C,MATCH('001_population_health_zone_zs'!$B408,[1]ratio_ins!$B:$B,0))</f>
        <v>1213.2549900000001</v>
      </c>
      <c r="W408" s="11">
        <f>INDEX([1]ratio_ins!U:U,MATCH('001_population_health_zone_zs'!$B$2,[1]ratio_ins!$B:$B,0))*$G408*INDEX([1]ratio_ins!$C:$C,MATCH('001_population_health_zone_zs'!$B408,[1]ratio_ins!$B:$B,0))</f>
        <v>33097.596127199999</v>
      </c>
      <c r="X408" s="10">
        <f>INDEX([1]ratio_ins!V:V,MATCH('001_population_health_zone_zs'!$B$2,[1]ratio_ins!$B:$B,0))*$G408*INDEX([1]ratio_ins!$C:$C,MATCH('001_population_health_zone_zs'!$B408,[1]ratio_ins!$B:$B,0))</f>
        <v>970.60399200000006</v>
      </c>
      <c r="Y408" s="10">
        <f>INDEX([1]ratio_ins!W:W,MATCH('001_population_health_zone_zs'!$B$2,[1]ratio_ins!$B:$B,0))*$G408*INDEX([1]ratio_ins!$C:$C,MATCH('001_population_health_zone_zs'!$B408,[1]ratio_ins!$B:$B,0))</f>
        <v>647.06932800000004</v>
      </c>
      <c r="Z408" s="10">
        <f>INDEX([1]ratio_ins!X:X,MATCH('001_population_health_zone_zs'!$B$2,[1]ratio_ins!$B:$B,0))*$G408*INDEX([1]ratio_ins!$C:$C,MATCH('001_population_health_zone_zs'!$B408,[1]ratio_ins!$B:$B,0))</f>
        <v>323.53466400000002</v>
      </c>
      <c r="AA408" s="10">
        <f>INDEX([1]ratio_ins!Y:Y,MATCH('001_population_health_zone_zs'!$B$2,[1]ratio_ins!$B:$B,0))*$G408*INDEX([1]ratio_ins!$C:$C,MATCH('001_population_health_zone_zs'!$B408,[1]ratio_ins!$B:$B,0))</f>
        <v>161.76733200000001</v>
      </c>
      <c r="AB408" s="11">
        <f>INDEX([1]ratio_ins!Z:Z,MATCH('001_population_health_zone_zs'!$B$2,[1]ratio_ins!$B:$B,0))*$G408*INDEX([1]ratio_ins!$C:$C,MATCH('001_population_health_zone_zs'!$B408,[1]ratio_ins!$B:$B,0))</f>
        <v>2102.9753160000005</v>
      </c>
      <c r="AC408" s="12">
        <f t="shared" si="36"/>
        <v>80883.665999999997</v>
      </c>
      <c r="AD408" s="10">
        <f>INDEX([1]ratio_ins!AA:AA,MATCH('001_population_health_zone_zs'!$B$2,[1]ratio_ins!$B:$B,0))*$G408*INDEX([1]ratio_ins!$D:$D,MATCH('001_population_health_zone_zs'!$B408,[1]ratio_ins!$B:$B,0))</f>
        <v>17122.00014</v>
      </c>
      <c r="AE408" s="10">
        <f>INDEX([1]ratio_ins!AB:AB,MATCH('001_population_health_zone_zs'!$B$2,[1]ratio_ins!$B:$B,0))*$G408*INDEX([1]ratio_ins!$D:$D,MATCH('001_population_health_zone_zs'!$B408,[1]ratio_ins!$B:$B,0))</f>
        <v>14105.266782000002</v>
      </c>
      <c r="AF408" s="10">
        <f>INDEX([1]ratio_ins!AC:AC,MATCH('001_population_health_zone_zs'!$B$2,[1]ratio_ins!$B:$B,0))*$G408*INDEX([1]ratio_ins!$D:$D,MATCH('001_population_health_zone_zs'!$B408,[1]ratio_ins!$B:$B,0))</f>
        <v>11170.066757999999</v>
      </c>
      <c r="AG408" s="10">
        <f>INDEX([1]ratio_ins!AD:AD,MATCH('001_population_health_zone_zs'!$B$2,[1]ratio_ins!$B:$B,0))*$G408*INDEX([1]ratio_ins!$D:$D,MATCH('001_population_health_zone_zs'!$B408,[1]ratio_ins!$B:$B,0))</f>
        <v>6767.2667220000003</v>
      </c>
      <c r="AH408" s="10">
        <f>INDEX([1]ratio_ins!AE:AE,MATCH('001_population_health_zone_zs'!$B$2,[1]ratio_ins!$B:$B,0))*$G408*INDEX([1]ratio_ins!$D:$D,MATCH('001_population_health_zone_zs'!$B408,[1]ratio_ins!$B:$B,0))</f>
        <v>4060.3600331999996</v>
      </c>
      <c r="AI408" s="13">
        <f>INDEX([1]ratio_ins!AF:AF,MATCH('001_population_health_zone_zs'!$B$2,[1]ratio_ins!$B:$B,0))*$G408*INDEX([1]ratio_ins!$D:$D,MATCH('001_population_health_zone_zs'!$B408,[1]ratio_ins!$B:$B,0))</f>
        <v>46457.693713199995</v>
      </c>
      <c r="AJ408" s="10">
        <f>INDEX([1]ratio_ins!AG:AG,MATCH('001_population_health_zone_zs'!$B$2,[1]ratio_ins!$B:$B,0))*$G408*INDEX([1]ratio_ins!$D:$D,MATCH('001_population_health_zone_zs'!$B408,[1]ratio_ins!$B:$B,0))</f>
        <v>2706.9066888000002</v>
      </c>
      <c r="AK408" s="10">
        <f>INDEX([1]ratio_ins!AH:AH,MATCH('001_population_health_zone_zs'!$B$2,[1]ratio_ins!$B:$B,0))*$G408*INDEX([1]ratio_ins!$D:$D,MATCH('001_population_health_zone_zs'!$B408,[1]ratio_ins!$B:$B,0))</f>
        <v>6033.4667160000008</v>
      </c>
      <c r="AL408" s="10">
        <f>INDEX([1]ratio_ins!AI:AI,MATCH('001_population_health_zone_zs'!$B$2,[1]ratio_ins!$B:$B,0))*$G408*INDEX([1]ratio_ins!$D:$D,MATCH('001_population_health_zone_zs'!$B408,[1]ratio_ins!$B:$B,0))</f>
        <v>5707.33338</v>
      </c>
      <c r="AM408" s="10">
        <f>INDEX([1]ratio_ins!AJ:AJ,MATCH('001_population_health_zone_zs'!$B$2,[1]ratio_ins!$B:$B,0))*$G408*INDEX([1]ratio_ins!$D:$D,MATCH('001_population_health_zone_zs'!$B408,[1]ratio_ins!$B:$B,0))</f>
        <v>5218.1333759999998</v>
      </c>
      <c r="AN408" s="10">
        <f>INDEX([1]ratio_ins!AK:AK,MATCH('001_population_health_zone_zs'!$B$2,[1]ratio_ins!$B:$B,0))*$G408*INDEX([1]ratio_ins!$D:$D,MATCH('001_population_health_zone_zs'!$B408,[1]ratio_ins!$B:$B,0))</f>
        <v>4892.0000399999999</v>
      </c>
      <c r="AO408" s="10">
        <f>INDEX([1]ratio_ins!AL:AL,MATCH('001_population_health_zone_zs'!$B$2,[1]ratio_ins!$B:$B,0))*$G408*INDEX([1]ratio_ins!$D:$D,MATCH('001_population_health_zone_zs'!$B408,[1]ratio_ins!$B:$B,0))</f>
        <v>3669.0000299999997</v>
      </c>
      <c r="AP408" s="10">
        <f>INDEX([1]ratio_ins!AM:AM,MATCH('001_population_health_zone_zs'!$B$2,[1]ratio_ins!$B:$B,0))*$G408*INDEX([1]ratio_ins!$D:$D,MATCH('001_population_health_zone_zs'!$B408,[1]ratio_ins!$B:$B,0))</f>
        <v>2364.4666859999998</v>
      </c>
      <c r="AQ408" s="10">
        <f>INDEX([1]ratio_ins!AN:AN,MATCH('001_population_health_zone_zs'!$B$2,[1]ratio_ins!$B:$B,0))*$G408*INDEX([1]ratio_ins!$D:$D,MATCH('001_population_health_zone_zs'!$B408,[1]ratio_ins!$B:$B,0))</f>
        <v>1875.2666819999999</v>
      </c>
      <c r="AR408" s="10">
        <f>INDEX([1]ratio_ins!AO:AO,MATCH('001_population_health_zone_zs'!$B$2,[1]ratio_ins!$B:$B,0))*$G408*INDEX([1]ratio_ins!$D:$D,MATCH('001_population_health_zone_zs'!$B408,[1]ratio_ins!$B:$B,0))</f>
        <v>896.8666740000001</v>
      </c>
      <c r="AS408" s="13">
        <f>INDEX([1]ratio_ins!AP:AP,MATCH('001_population_health_zone_zs'!$B$2,[1]ratio_ins!$B:$B,0))*$G408*INDEX([1]ratio_ins!$D:$D,MATCH('001_population_health_zone_zs'!$B408,[1]ratio_ins!$B:$B,0))</f>
        <v>33363.440272799999</v>
      </c>
      <c r="AT408" s="10">
        <f>INDEX([1]ratio_ins!AQ:AQ,MATCH('001_population_health_zone_zs'!$B$2,[1]ratio_ins!$B:$B,0))*$G408*INDEX([1]ratio_ins!$D:$D,MATCH('001_population_health_zone_zs'!$B408,[1]ratio_ins!$B:$B,0))</f>
        <v>815.33334000000002</v>
      </c>
      <c r="AU408" s="10">
        <f>INDEX([1]ratio_ins!AR:AR,MATCH('001_population_health_zone_zs'!$B$2,[1]ratio_ins!$B:$B,0))*$G408*INDEX([1]ratio_ins!$D:$D,MATCH('001_population_health_zone_zs'!$B408,[1]ratio_ins!$B:$B,0))</f>
        <v>489.20000400000004</v>
      </c>
      <c r="AV408" s="10">
        <f>INDEX([1]ratio_ins!AS:AS,MATCH('001_population_health_zone_zs'!$B$2,[1]ratio_ins!$B:$B,0))*$G408*INDEX([1]ratio_ins!$D:$D,MATCH('001_population_health_zone_zs'!$B408,[1]ratio_ins!$B:$B,0))</f>
        <v>244.60000200000002</v>
      </c>
      <c r="AW408" s="10">
        <f>INDEX([1]ratio_ins!AT:AT,MATCH('001_population_health_zone_zs'!$B$2,[1]ratio_ins!$B:$B,0))*$G408*INDEX([1]ratio_ins!$D:$D,MATCH('001_population_health_zone_zs'!$B408,[1]ratio_ins!$B:$B,0))</f>
        <v>163.06666799999999</v>
      </c>
      <c r="AX408" s="13">
        <f>INDEX([1]ratio_ins!AU:AU,MATCH('001_population_health_zone_zs'!$B$2,[1]ratio_ins!$B:$B,0))*$G408*INDEX([1]ratio_ins!$D:$D,MATCH('001_population_health_zone_zs'!$B408,[1]ratio_ins!$B:$B,0))</f>
        <v>1712.2000139999998</v>
      </c>
      <c r="AY408" s="14">
        <f t="shared" si="37"/>
        <v>81533.334000000003</v>
      </c>
      <c r="AZ408" s="15">
        <f t="shared" si="38"/>
        <v>162417</v>
      </c>
      <c r="BA408" s="16">
        <v>154635.44117622986</v>
      </c>
      <c r="BB408" s="10">
        <f t="shared" si="39"/>
        <v>34651.666949999999</v>
      </c>
      <c r="BC408" s="17">
        <f t="shared" si="40"/>
        <v>0.21334999999999998</v>
      </c>
      <c r="BD408" s="10">
        <f t="shared" si="41"/>
        <v>33728.488722000009</v>
      </c>
    </row>
    <row r="409" spans="1:56" x14ac:dyDescent="0.25">
      <c r="A409" s="8" t="s">
        <v>975</v>
      </c>
      <c r="B409" s="8" t="s">
        <v>976</v>
      </c>
      <c r="C409" s="8" t="s">
        <v>996</v>
      </c>
      <c r="D409" s="8" t="s">
        <v>997</v>
      </c>
      <c r="E409" s="8" t="s">
        <v>1002</v>
      </c>
      <c r="F409" s="8" t="s">
        <v>1003</v>
      </c>
      <c r="G409" s="9">
        <v>262034</v>
      </c>
      <c r="H409" s="10">
        <f>INDEX([1]ratio_ins!F:F,MATCH('001_population_health_zone_zs'!$B$2,[1]ratio_ins!$B:$B,0))*$G409*INDEX([1]ratio_ins!$C:$C,MATCH('001_population_health_zone_zs'!$B409,[1]ratio_ins!$B:$B,0))</f>
        <v>27273.022787999998</v>
      </c>
      <c r="I409" s="10">
        <f>INDEX([1]ratio_ins!G:G,MATCH('001_population_health_zone_zs'!$B$2,[1]ratio_ins!$B:$B,0))*$G409*INDEX([1]ratio_ins!$C:$C,MATCH('001_population_health_zone_zs'!$B409,[1]ratio_ins!$B:$B,0))</f>
        <v>22314.291372000003</v>
      </c>
      <c r="J409" s="10">
        <f>INDEX([1]ratio_ins!H:H,MATCH('001_population_health_zone_zs'!$B$2,[1]ratio_ins!$B:$B,0))*$G409*INDEX([1]ratio_ins!$C:$C,MATCH('001_population_health_zone_zs'!$B409,[1]ratio_ins!$B:$B,0))</f>
        <v>17616.545820000003</v>
      </c>
      <c r="K409" s="10">
        <f>INDEX([1]ratio_ins!I:I,MATCH('001_population_health_zone_zs'!$B$2,[1]ratio_ins!$B:$B,0))*$G409*INDEX([1]ratio_ins!$C:$C,MATCH('001_population_health_zone_zs'!$B409,[1]ratio_ins!$B:$B,0))</f>
        <v>10830.913355999999</v>
      </c>
      <c r="L409" s="10">
        <f>INDEX([1]ratio_ins!J:J,MATCH('001_population_health_zone_zs'!$B$2,[1]ratio_ins!$B:$B,0))*$G409*INDEX([1]ratio_ins!$C:$C,MATCH('001_population_health_zone_zs'!$B409,[1]ratio_ins!$B:$B,0))</f>
        <v>6498.5480135999996</v>
      </c>
      <c r="M409" s="11">
        <f>INDEX([1]ratio_ins!K:K,MATCH('001_population_health_zone_zs'!$B$2,[1]ratio_ins!$B:$B,0))*$G409*INDEX([1]ratio_ins!$C:$C,MATCH('001_population_health_zone_zs'!$B409,[1]ratio_ins!$B:$B,0))</f>
        <v>73702.407993599991</v>
      </c>
      <c r="N409" s="10">
        <f>INDEX([1]ratio_ins!L:L,MATCH('001_population_health_zone_zs'!$B$2,[1]ratio_ins!$B:$B,0))*$G409*INDEX([1]ratio_ins!$C:$C,MATCH('001_population_health_zone_zs'!$B409,[1]ratio_ins!$B:$B,0))</f>
        <v>4332.3653424000004</v>
      </c>
      <c r="O409" s="10">
        <f>INDEX([1]ratio_ins!M:M,MATCH('001_population_health_zone_zs'!$B$2,[1]ratio_ins!$B:$B,0))*$G409*INDEX([1]ratio_ins!$C:$C,MATCH('001_population_health_zone_zs'!$B409,[1]ratio_ins!$B:$B,0))</f>
        <v>9395.4911040000025</v>
      </c>
      <c r="P409" s="10">
        <f>INDEX([1]ratio_ins!N:N,MATCH('001_population_health_zone_zs'!$B$2,[1]ratio_ins!$B:$B,0))*$G409*INDEX([1]ratio_ins!$C:$C,MATCH('001_population_health_zone_zs'!$B409,[1]ratio_ins!$B:$B,0))</f>
        <v>8482.040579999999</v>
      </c>
      <c r="Q409" s="10">
        <f>INDEX([1]ratio_ins!O:O,MATCH('001_population_health_zone_zs'!$B$2,[1]ratio_ins!$B:$B,0))*$G409*INDEX([1]ratio_ins!$C:$C,MATCH('001_population_health_zone_zs'!$B409,[1]ratio_ins!$B:$B,0))</f>
        <v>7568.590056</v>
      </c>
      <c r="R409" s="10">
        <f>INDEX([1]ratio_ins!P:P,MATCH('001_population_health_zone_zs'!$B$2,[1]ratio_ins!$B:$B,0))*$G409*INDEX([1]ratio_ins!$C:$C,MATCH('001_population_health_zone_zs'!$B409,[1]ratio_ins!$B:$B,0))</f>
        <v>7438.0971239999999</v>
      </c>
      <c r="S409" s="10">
        <f>INDEX([1]ratio_ins!Q:Q,MATCH('001_population_health_zone_zs'!$B$2,[1]ratio_ins!$B:$B,0))*$G409*INDEX([1]ratio_ins!$C:$C,MATCH('001_population_health_zone_zs'!$B409,[1]ratio_ins!$B:$B,0))</f>
        <v>6263.6607359999998</v>
      </c>
      <c r="T409" s="10">
        <f>INDEX([1]ratio_ins!R:R,MATCH('001_population_health_zone_zs'!$B$2,[1]ratio_ins!$B:$B,0))*$G409*INDEX([1]ratio_ins!$C:$C,MATCH('001_population_health_zone_zs'!$B409,[1]ratio_ins!$B:$B,0))</f>
        <v>4436.7596880000001</v>
      </c>
      <c r="U409" s="10">
        <f>INDEX([1]ratio_ins!S:S,MATCH('001_population_health_zone_zs'!$B$2,[1]ratio_ins!$B:$B,0))*$G409*INDEX([1]ratio_ins!$C:$C,MATCH('001_population_health_zone_zs'!$B409,[1]ratio_ins!$B:$B,0))</f>
        <v>3523.3091640000002</v>
      </c>
      <c r="V409" s="10">
        <f>INDEX([1]ratio_ins!T:T,MATCH('001_population_health_zone_zs'!$B$2,[1]ratio_ins!$B:$B,0))*$G409*INDEX([1]ratio_ins!$C:$C,MATCH('001_population_health_zone_zs'!$B409,[1]ratio_ins!$B:$B,0))</f>
        <v>1957.3939799999998</v>
      </c>
      <c r="W409" s="11">
        <f>INDEX([1]ratio_ins!U:U,MATCH('001_population_health_zone_zs'!$B$2,[1]ratio_ins!$B:$B,0))*$G409*INDEX([1]ratio_ins!$C:$C,MATCH('001_population_health_zone_zs'!$B409,[1]ratio_ins!$B:$B,0))</f>
        <v>53397.707774399998</v>
      </c>
      <c r="X409" s="10">
        <f>INDEX([1]ratio_ins!V:V,MATCH('001_population_health_zone_zs'!$B$2,[1]ratio_ins!$B:$B,0))*$G409*INDEX([1]ratio_ins!$C:$C,MATCH('001_population_health_zone_zs'!$B409,[1]ratio_ins!$B:$B,0))</f>
        <v>1565.915184</v>
      </c>
      <c r="Y409" s="10">
        <f>INDEX([1]ratio_ins!W:W,MATCH('001_population_health_zone_zs'!$B$2,[1]ratio_ins!$B:$B,0))*$G409*INDEX([1]ratio_ins!$C:$C,MATCH('001_population_health_zone_zs'!$B409,[1]ratio_ins!$B:$B,0))</f>
        <v>1043.943456</v>
      </c>
      <c r="Z409" s="10">
        <f>INDEX([1]ratio_ins!X:X,MATCH('001_population_health_zone_zs'!$B$2,[1]ratio_ins!$B:$B,0))*$G409*INDEX([1]ratio_ins!$C:$C,MATCH('001_population_health_zone_zs'!$B409,[1]ratio_ins!$B:$B,0))</f>
        <v>521.97172799999998</v>
      </c>
      <c r="AA409" s="10">
        <f>INDEX([1]ratio_ins!Y:Y,MATCH('001_population_health_zone_zs'!$B$2,[1]ratio_ins!$B:$B,0))*$G409*INDEX([1]ratio_ins!$C:$C,MATCH('001_population_health_zone_zs'!$B409,[1]ratio_ins!$B:$B,0))</f>
        <v>260.98586399999999</v>
      </c>
      <c r="AB409" s="11">
        <f>INDEX([1]ratio_ins!Z:Z,MATCH('001_population_health_zone_zs'!$B$2,[1]ratio_ins!$B:$B,0))*$G409*INDEX([1]ratio_ins!$C:$C,MATCH('001_population_health_zone_zs'!$B409,[1]ratio_ins!$B:$B,0))</f>
        <v>3392.8162320000006</v>
      </c>
      <c r="AC409" s="12">
        <f t="shared" si="36"/>
        <v>130492.93199999999</v>
      </c>
      <c r="AD409" s="10">
        <f>INDEX([1]ratio_ins!AA:AA,MATCH('001_population_health_zone_zs'!$B$2,[1]ratio_ins!$B:$B,0))*$G409*INDEX([1]ratio_ins!$D:$D,MATCH('001_population_health_zone_zs'!$B409,[1]ratio_ins!$B:$B,0))</f>
        <v>27623.62428</v>
      </c>
      <c r="AE409" s="10">
        <f>INDEX([1]ratio_ins!AB:AB,MATCH('001_population_health_zone_zs'!$B$2,[1]ratio_ins!$B:$B,0))*$G409*INDEX([1]ratio_ins!$D:$D,MATCH('001_population_health_zone_zs'!$B409,[1]ratio_ins!$B:$B,0))</f>
        <v>22756.604764000003</v>
      </c>
      <c r="AF409" s="10">
        <f>INDEX([1]ratio_ins!AC:AC,MATCH('001_population_health_zone_zs'!$B$2,[1]ratio_ins!$B:$B,0))*$G409*INDEX([1]ratio_ins!$D:$D,MATCH('001_population_health_zone_zs'!$B409,[1]ratio_ins!$B:$B,0))</f>
        <v>18021.126315999998</v>
      </c>
      <c r="AG409" s="10">
        <f>INDEX([1]ratio_ins!AD:AD,MATCH('001_population_health_zone_zs'!$B$2,[1]ratio_ins!$B:$B,0))*$G409*INDEX([1]ratio_ins!$D:$D,MATCH('001_population_health_zone_zs'!$B409,[1]ratio_ins!$B:$B,0))</f>
        <v>10917.908644000001</v>
      </c>
      <c r="AH409" s="10">
        <f>INDEX([1]ratio_ins!AE:AE,MATCH('001_population_health_zone_zs'!$B$2,[1]ratio_ins!$B:$B,0))*$G409*INDEX([1]ratio_ins!$D:$D,MATCH('001_population_health_zone_zs'!$B409,[1]ratio_ins!$B:$B,0))</f>
        <v>6550.7451864000004</v>
      </c>
      <c r="AI409" s="13">
        <f>INDEX([1]ratio_ins!AF:AF,MATCH('001_population_health_zone_zs'!$B$2,[1]ratio_ins!$B:$B,0))*$G409*INDEX([1]ratio_ins!$D:$D,MATCH('001_population_health_zone_zs'!$B409,[1]ratio_ins!$B:$B,0))</f>
        <v>74952.10054639999</v>
      </c>
      <c r="AJ409" s="10">
        <f>INDEX([1]ratio_ins!AG:AG,MATCH('001_population_health_zone_zs'!$B$2,[1]ratio_ins!$B:$B,0))*$G409*INDEX([1]ratio_ins!$D:$D,MATCH('001_population_health_zone_zs'!$B409,[1]ratio_ins!$B:$B,0))</f>
        <v>4367.1634575999997</v>
      </c>
      <c r="AK409" s="10">
        <f>INDEX([1]ratio_ins!AH:AH,MATCH('001_population_health_zone_zs'!$B$2,[1]ratio_ins!$B:$B,0))*$G409*INDEX([1]ratio_ins!$D:$D,MATCH('001_population_health_zone_zs'!$B409,[1]ratio_ins!$B:$B,0))</f>
        <v>9734.0390320000024</v>
      </c>
      <c r="AL409" s="10">
        <f>INDEX([1]ratio_ins!AI:AI,MATCH('001_population_health_zone_zs'!$B$2,[1]ratio_ins!$B:$B,0))*$G409*INDEX([1]ratio_ins!$D:$D,MATCH('001_population_health_zone_zs'!$B409,[1]ratio_ins!$B:$B,0))</f>
        <v>9207.8747600000006</v>
      </c>
      <c r="AM409" s="10">
        <f>INDEX([1]ratio_ins!AJ:AJ,MATCH('001_population_health_zone_zs'!$B$2,[1]ratio_ins!$B:$B,0))*$G409*INDEX([1]ratio_ins!$D:$D,MATCH('001_population_health_zone_zs'!$B409,[1]ratio_ins!$B:$B,0))</f>
        <v>8418.6283519999997</v>
      </c>
      <c r="AN409" s="10">
        <f>INDEX([1]ratio_ins!AK:AK,MATCH('001_population_health_zone_zs'!$B$2,[1]ratio_ins!$B:$B,0))*$G409*INDEX([1]ratio_ins!$D:$D,MATCH('001_population_health_zone_zs'!$B409,[1]ratio_ins!$B:$B,0))</f>
        <v>7892.4640799999997</v>
      </c>
      <c r="AO409" s="10">
        <f>INDEX([1]ratio_ins!AL:AL,MATCH('001_population_health_zone_zs'!$B$2,[1]ratio_ins!$B:$B,0))*$G409*INDEX([1]ratio_ins!$D:$D,MATCH('001_population_health_zone_zs'!$B409,[1]ratio_ins!$B:$B,0))</f>
        <v>5919.3480599999994</v>
      </c>
      <c r="AP409" s="10">
        <f>INDEX([1]ratio_ins!AM:AM,MATCH('001_population_health_zone_zs'!$B$2,[1]ratio_ins!$B:$B,0))*$G409*INDEX([1]ratio_ins!$D:$D,MATCH('001_population_health_zone_zs'!$B409,[1]ratio_ins!$B:$B,0))</f>
        <v>3814.6909719999999</v>
      </c>
      <c r="AQ409" s="10">
        <f>INDEX([1]ratio_ins!AN:AN,MATCH('001_population_health_zone_zs'!$B$2,[1]ratio_ins!$B:$B,0))*$G409*INDEX([1]ratio_ins!$D:$D,MATCH('001_population_health_zone_zs'!$B409,[1]ratio_ins!$B:$B,0))</f>
        <v>3025.4445639999999</v>
      </c>
      <c r="AR409" s="10">
        <f>INDEX([1]ratio_ins!AO:AO,MATCH('001_population_health_zone_zs'!$B$2,[1]ratio_ins!$B:$B,0))*$G409*INDEX([1]ratio_ins!$D:$D,MATCH('001_population_health_zone_zs'!$B409,[1]ratio_ins!$B:$B,0))</f>
        <v>1446.9517480000002</v>
      </c>
      <c r="AS409" s="13">
        <f>INDEX([1]ratio_ins!AP:AP,MATCH('001_population_health_zone_zs'!$B$2,[1]ratio_ins!$B:$B,0))*$G409*INDEX([1]ratio_ins!$D:$D,MATCH('001_population_health_zone_zs'!$B409,[1]ratio_ins!$B:$B,0))</f>
        <v>53826.605025600002</v>
      </c>
      <c r="AT409" s="10">
        <f>INDEX([1]ratio_ins!AQ:AQ,MATCH('001_population_health_zone_zs'!$B$2,[1]ratio_ins!$B:$B,0))*$G409*INDEX([1]ratio_ins!$D:$D,MATCH('001_population_health_zone_zs'!$B409,[1]ratio_ins!$B:$B,0))</f>
        <v>1315.4106800000002</v>
      </c>
      <c r="AU409" s="10">
        <f>INDEX([1]ratio_ins!AR:AR,MATCH('001_population_health_zone_zs'!$B$2,[1]ratio_ins!$B:$B,0))*$G409*INDEX([1]ratio_ins!$D:$D,MATCH('001_population_health_zone_zs'!$B409,[1]ratio_ins!$B:$B,0))</f>
        <v>789.24640799999997</v>
      </c>
      <c r="AV409" s="10">
        <f>INDEX([1]ratio_ins!AS:AS,MATCH('001_population_health_zone_zs'!$B$2,[1]ratio_ins!$B:$B,0))*$G409*INDEX([1]ratio_ins!$D:$D,MATCH('001_population_health_zone_zs'!$B409,[1]ratio_ins!$B:$B,0))</f>
        <v>394.62320399999999</v>
      </c>
      <c r="AW409" s="10">
        <f>INDEX([1]ratio_ins!AT:AT,MATCH('001_population_health_zone_zs'!$B$2,[1]ratio_ins!$B:$B,0))*$G409*INDEX([1]ratio_ins!$D:$D,MATCH('001_population_health_zone_zs'!$B409,[1]ratio_ins!$B:$B,0))</f>
        <v>263.08213599999999</v>
      </c>
      <c r="AX409" s="13">
        <f>INDEX([1]ratio_ins!AU:AU,MATCH('001_population_health_zone_zs'!$B$2,[1]ratio_ins!$B:$B,0))*$G409*INDEX([1]ratio_ins!$D:$D,MATCH('001_population_health_zone_zs'!$B409,[1]ratio_ins!$B:$B,0))</f>
        <v>2762.3624279999995</v>
      </c>
      <c r="AY409" s="14">
        <f t="shared" si="37"/>
        <v>131541.068</v>
      </c>
      <c r="AZ409" s="15">
        <f t="shared" si="38"/>
        <v>262034</v>
      </c>
      <c r="BA409" s="16">
        <v>249479.99834118632</v>
      </c>
      <c r="BB409" s="10">
        <f t="shared" si="39"/>
        <v>55904.953899999993</v>
      </c>
      <c r="BC409" s="17">
        <f t="shared" si="40"/>
        <v>0.21334999999999998</v>
      </c>
      <c r="BD409" s="10">
        <f t="shared" si="41"/>
        <v>54415.552644000003</v>
      </c>
    </row>
    <row r="410" spans="1:56" x14ac:dyDescent="0.25">
      <c r="A410" s="8" t="s">
        <v>975</v>
      </c>
      <c r="B410" s="8" t="s">
        <v>976</v>
      </c>
      <c r="C410" s="8" t="s">
        <v>996</v>
      </c>
      <c r="D410" s="8" t="s">
        <v>997</v>
      </c>
      <c r="E410" s="8" t="s">
        <v>1004</v>
      </c>
      <c r="F410" s="8" t="s">
        <v>1005</v>
      </c>
      <c r="G410" s="9">
        <v>348614</v>
      </c>
      <c r="H410" s="10">
        <f>INDEX([1]ratio_ins!F:F,MATCH('001_population_health_zone_zs'!$B$2,[1]ratio_ins!$B:$B,0))*$G410*INDEX([1]ratio_ins!$C:$C,MATCH('001_population_health_zone_zs'!$B410,[1]ratio_ins!$B:$B,0))</f>
        <v>36284.442347999997</v>
      </c>
      <c r="I410" s="10">
        <f>INDEX([1]ratio_ins!G:G,MATCH('001_population_health_zone_zs'!$B$2,[1]ratio_ins!$B:$B,0))*$G410*INDEX([1]ratio_ins!$C:$C,MATCH('001_population_health_zone_zs'!$B410,[1]ratio_ins!$B:$B,0))</f>
        <v>29687.271012000005</v>
      </c>
      <c r="J410" s="10">
        <f>INDEX([1]ratio_ins!H:H,MATCH('001_population_health_zone_zs'!$B$2,[1]ratio_ins!$B:$B,0))*$G410*INDEX([1]ratio_ins!$C:$C,MATCH('001_population_health_zone_zs'!$B410,[1]ratio_ins!$B:$B,0))</f>
        <v>23437.319220000005</v>
      </c>
      <c r="K410" s="10">
        <f>INDEX([1]ratio_ins!I:I,MATCH('001_population_health_zone_zs'!$B$2,[1]ratio_ins!$B:$B,0))*$G410*INDEX([1]ratio_ins!$C:$C,MATCH('001_population_health_zone_zs'!$B410,[1]ratio_ins!$B:$B,0))</f>
        <v>14409.611076000001</v>
      </c>
      <c r="L410" s="10">
        <f>INDEX([1]ratio_ins!J:J,MATCH('001_population_health_zone_zs'!$B$2,[1]ratio_ins!$B:$B,0))*$G410*INDEX([1]ratio_ins!$C:$C,MATCH('001_population_health_zone_zs'!$B410,[1]ratio_ins!$B:$B,0))</f>
        <v>8645.7666455999988</v>
      </c>
      <c r="M410" s="11">
        <f>INDEX([1]ratio_ins!K:K,MATCH('001_population_health_zone_zs'!$B$2,[1]ratio_ins!$B:$B,0))*$G410*INDEX([1]ratio_ins!$C:$C,MATCH('001_population_health_zone_zs'!$B410,[1]ratio_ins!$B:$B,0))</f>
        <v>98054.7992256</v>
      </c>
      <c r="N410" s="10">
        <f>INDEX([1]ratio_ins!L:L,MATCH('001_population_health_zone_zs'!$B$2,[1]ratio_ins!$B:$B,0))*$G410*INDEX([1]ratio_ins!$C:$C,MATCH('001_population_health_zone_zs'!$B410,[1]ratio_ins!$B:$B,0))</f>
        <v>5763.8444304000004</v>
      </c>
      <c r="O410" s="10">
        <f>INDEX([1]ratio_ins!M:M,MATCH('001_population_health_zone_zs'!$B$2,[1]ratio_ins!$B:$B,0))*$G410*INDEX([1]ratio_ins!$C:$C,MATCH('001_population_health_zone_zs'!$B410,[1]ratio_ins!$B:$B,0))</f>
        <v>12499.903584000002</v>
      </c>
      <c r="P410" s="10">
        <f>INDEX([1]ratio_ins!N:N,MATCH('001_population_health_zone_zs'!$B$2,[1]ratio_ins!$B:$B,0))*$G410*INDEX([1]ratio_ins!$C:$C,MATCH('001_population_health_zone_zs'!$B410,[1]ratio_ins!$B:$B,0))</f>
        <v>11284.635179999999</v>
      </c>
      <c r="Q410" s="10">
        <f>INDEX([1]ratio_ins!O:O,MATCH('001_population_health_zone_zs'!$B$2,[1]ratio_ins!$B:$B,0))*$G410*INDEX([1]ratio_ins!$C:$C,MATCH('001_population_health_zone_zs'!$B410,[1]ratio_ins!$B:$B,0))</f>
        <v>10069.366775999999</v>
      </c>
      <c r="R410" s="10">
        <f>INDEX([1]ratio_ins!P:P,MATCH('001_population_health_zone_zs'!$B$2,[1]ratio_ins!$B:$B,0))*$G410*INDEX([1]ratio_ins!$C:$C,MATCH('001_population_health_zone_zs'!$B410,[1]ratio_ins!$B:$B,0))</f>
        <v>9895.7570039999991</v>
      </c>
      <c r="S410" s="10">
        <f>INDEX([1]ratio_ins!Q:Q,MATCH('001_population_health_zone_zs'!$B$2,[1]ratio_ins!$B:$B,0))*$G410*INDEX([1]ratio_ins!$C:$C,MATCH('001_population_health_zone_zs'!$B410,[1]ratio_ins!$B:$B,0))</f>
        <v>8333.269056000001</v>
      </c>
      <c r="T410" s="10">
        <f>INDEX([1]ratio_ins!R:R,MATCH('001_population_health_zone_zs'!$B$2,[1]ratio_ins!$B:$B,0))*$G410*INDEX([1]ratio_ins!$C:$C,MATCH('001_population_health_zone_zs'!$B410,[1]ratio_ins!$B:$B,0))</f>
        <v>5902.7322480000003</v>
      </c>
      <c r="U410" s="10">
        <f>INDEX([1]ratio_ins!S:S,MATCH('001_population_health_zone_zs'!$B$2,[1]ratio_ins!$B:$B,0))*$G410*INDEX([1]ratio_ins!$C:$C,MATCH('001_population_health_zone_zs'!$B410,[1]ratio_ins!$B:$B,0))</f>
        <v>4687.4638440000008</v>
      </c>
      <c r="V410" s="10">
        <f>INDEX([1]ratio_ins!T:T,MATCH('001_population_health_zone_zs'!$B$2,[1]ratio_ins!$B:$B,0))*$G410*INDEX([1]ratio_ins!$C:$C,MATCH('001_population_health_zone_zs'!$B410,[1]ratio_ins!$B:$B,0))</f>
        <v>2604.1465800000001</v>
      </c>
      <c r="W410" s="11">
        <f>INDEX([1]ratio_ins!U:U,MATCH('001_population_health_zone_zs'!$B$2,[1]ratio_ins!$B:$B,0))*$G410*INDEX([1]ratio_ins!$C:$C,MATCH('001_population_health_zone_zs'!$B410,[1]ratio_ins!$B:$B,0))</f>
        <v>71041.11870240001</v>
      </c>
      <c r="X410" s="10">
        <f>INDEX([1]ratio_ins!V:V,MATCH('001_population_health_zone_zs'!$B$2,[1]ratio_ins!$B:$B,0))*$G410*INDEX([1]ratio_ins!$C:$C,MATCH('001_population_health_zone_zs'!$B410,[1]ratio_ins!$B:$B,0))</f>
        <v>2083.3172640000003</v>
      </c>
      <c r="Y410" s="10">
        <f>INDEX([1]ratio_ins!W:W,MATCH('001_population_health_zone_zs'!$B$2,[1]ratio_ins!$B:$B,0))*$G410*INDEX([1]ratio_ins!$C:$C,MATCH('001_population_health_zone_zs'!$B410,[1]ratio_ins!$B:$B,0))</f>
        <v>1388.8781760000002</v>
      </c>
      <c r="Z410" s="10">
        <f>INDEX([1]ratio_ins!X:X,MATCH('001_population_health_zone_zs'!$B$2,[1]ratio_ins!$B:$B,0))*$G410*INDEX([1]ratio_ins!$C:$C,MATCH('001_population_health_zone_zs'!$B410,[1]ratio_ins!$B:$B,0))</f>
        <v>694.43908800000008</v>
      </c>
      <c r="AA410" s="10">
        <f>INDEX([1]ratio_ins!Y:Y,MATCH('001_population_health_zone_zs'!$B$2,[1]ratio_ins!$B:$B,0))*$G410*INDEX([1]ratio_ins!$C:$C,MATCH('001_population_health_zone_zs'!$B410,[1]ratio_ins!$B:$B,0))</f>
        <v>347.21954400000004</v>
      </c>
      <c r="AB410" s="11">
        <f>INDEX([1]ratio_ins!Z:Z,MATCH('001_population_health_zone_zs'!$B$2,[1]ratio_ins!$B:$B,0))*$G410*INDEX([1]ratio_ins!$C:$C,MATCH('001_population_health_zone_zs'!$B410,[1]ratio_ins!$B:$B,0))</f>
        <v>4513.8540720000001</v>
      </c>
      <c r="AC410" s="12">
        <f t="shared" si="36"/>
        <v>173609.772</v>
      </c>
      <c r="AD410" s="10">
        <f>INDEX([1]ratio_ins!AA:AA,MATCH('001_population_health_zone_zs'!$B$2,[1]ratio_ins!$B:$B,0))*$G410*INDEX([1]ratio_ins!$D:$D,MATCH('001_population_health_zone_zs'!$B410,[1]ratio_ins!$B:$B,0))</f>
        <v>36750.887880000002</v>
      </c>
      <c r="AE410" s="10">
        <f>INDEX([1]ratio_ins!AB:AB,MATCH('001_population_health_zone_zs'!$B$2,[1]ratio_ins!$B:$B,0))*$G410*INDEX([1]ratio_ins!$D:$D,MATCH('001_population_health_zone_zs'!$B410,[1]ratio_ins!$B:$B,0))</f>
        <v>30275.731444000001</v>
      </c>
      <c r="AF410" s="10">
        <f>INDEX([1]ratio_ins!AC:AC,MATCH('001_population_health_zone_zs'!$B$2,[1]ratio_ins!$B:$B,0))*$G410*INDEX([1]ratio_ins!$D:$D,MATCH('001_population_health_zone_zs'!$B410,[1]ratio_ins!$B:$B,0))</f>
        <v>23975.579235999998</v>
      </c>
      <c r="AG410" s="10">
        <f>INDEX([1]ratio_ins!AD:AD,MATCH('001_population_health_zone_zs'!$B$2,[1]ratio_ins!$B:$B,0))*$G410*INDEX([1]ratio_ins!$D:$D,MATCH('001_population_health_zone_zs'!$B410,[1]ratio_ins!$B:$B,0))</f>
        <v>14525.350924000002</v>
      </c>
      <c r="AH410" s="10">
        <f>INDEX([1]ratio_ins!AE:AE,MATCH('001_population_health_zone_zs'!$B$2,[1]ratio_ins!$B:$B,0))*$G410*INDEX([1]ratio_ins!$D:$D,MATCH('001_population_health_zone_zs'!$B410,[1]ratio_ins!$B:$B,0))</f>
        <v>8715.2105543999987</v>
      </c>
      <c r="AI410" s="13">
        <f>INDEX([1]ratio_ins!AF:AF,MATCH('001_population_health_zone_zs'!$B$2,[1]ratio_ins!$B:$B,0))*$G410*INDEX([1]ratio_ins!$D:$D,MATCH('001_population_health_zone_zs'!$B410,[1]ratio_ins!$B:$B,0))</f>
        <v>99717.409114399998</v>
      </c>
      <c r="AJ410" s="10">
        <f>INDEX([1]ratio_ins!AG:AG,MATCH('001_population_health_zone_zs'!$B$2,[1]ratio_ins!$B:$B,0))*$G410*INDEX([1]ratio_ins!$D:$D,MATCH('001_population_health_zone_zs'!$B410,[1]ratio_ins!$B:$B,0))</f>
        <v>5810.1403695999998</v>
      </c>
      <c r="AK410" s="10">
        <f>INDEX([1]ratio_ins!AH:AH,MATCH('001_population_health_zone_zs'!$B$2,[1]ratio_ins!$B:$B,0))*$G410*INDEX([1]ratio_ins!$D:$D,MATCH('001_population_health_zone_zs'!$B410,[1]ratio_ins!$B:$B,0))</f>
        <v>12950.312872000002</v>
      </c>
      <c r="AL410" s="10">
        <f>INDEX([1]ratio_ins!AI:AI,MATCH('001_population_health_zone_zs'!$B$2,[1]ratio_ins!$B:$B,0))*$G410*INDEX([1]ratio_ins!$D:$D,MATCH('001_population_health_zone_zs'!$B410,[1]ratio_ins!$B:$B,0))</f>
        <v>12250.295960000001</v>
      </c>
      <c r="AM410" s="10">
        <f>INDEX([1]ratio_ins!AJ:AJ,MATCH('001_population_health_zone_zs'!$B$2,[1]ratio_ins!$B:$B,0))*$G410*INDEX([1]ratio_ins!$D:$D,MATCH('001_population_health_zone_zs'!$B410,[1]ratio_ins!$B:$B,0))</f>
        <v>11200.270592000001</v>
      </c>
      <c r="AN410" s="10">
        <f>INDEX([1]ratio_ins!AK:AK,MATCH('001_population_health_zone_zs'!$B$2,[1]ratio_ins!$B:$B,0))*$G410*INDEX([1]ratio_ins!$D:$D,MATCH('001_population_health_zone_zs'!$B410,[1]ratio_ins!$B:$B,0))</f>
        <v>10500.25368</v>
      </c>
      <c r="AO410" s="10">
        <f>INDEX([1]ratio_ins!AL:AL,MATCH('001_population_health_zone_zs'!$B$2,[1]ratio_ins!$B:$B,0))*$G410*INDEX([1]ratio_ins!$D:$D,MATCH('001_population_health_zone_zs'!$B410,[1]ratio_ins!$B:$B,0))</f>
        <v>7875.1902599999994</v>
      </c>
      <c r="AP410" s="10">
        <f>INDEX([1]ratio_ins!AM:AM,MATCH('001_population_health_zone_zs'!$B$2,[1]ratio_ins!$B:$B,0))*$G410*INDEX([1]ratio_ins!$D:$D,MATCH('001_population_health_zone_zs'!$B410,[1]ratio_ins!$B:$B,0))</f>
        <v>5075.1226119999992</v>
      </c>
      <c r="AQ410" s="10">
        <f>INDEX([1]ratio_ins!AN:AN,MATCH('001_population_health_zone_zs'!$B$2,[1]ratio_ins!$B:$B,0))*$G410*INDEX([1]ratio_ins!$D:$D,MATCH('001_population_health_zone_zs'!$B410,[1]ratio_ins!$B:$B,0))</f>
        <v>4025.097244</v>
      </c>
      <c r="AR410" s="10">
        <f>INDEX([1]ratio_ins!AO:AO,MATCH('001_population_health_zone_zs'!$B$2,[1]ratio_ins!$B:$B,0))*$G410*INDEX([1]ratio_ins!$D:$D,MATCH('001_population_health_zone_zs'!$B410,[1]ratio_ins!$B:$B,0))</f>
        <v>1925.0465080000001</v>
      </c>
      <c r="AS410" s="13">
        <f>INDEX([1]ratio_ins!AP:AP,MATCH('001_population_health_zone_zs'!$B$2,[1]ratio_ins!$B:$B,0))*$G410*INDEX([1]ratio_ins!$D:$D,MATCH('001_population_health_zone_zs'!$B410,[1]ratio_ins!$B:$B,0))</f>
        <v>71611.730097599997</v>
      </c>
      <c r="AT410" s="10">
        <f>INDEX([1]ratio_ins!AQ:AQ,MATCH('001_population_health_zone_zs'!$B$2,[1]ratio_ins!$B:$B,0))*$G410*INDEX([1]ratio_ins!$D:$D,MATCH('001_population_health_zone_zs'!$B410,[1]ratio_ins!$B:$B,0))</f>
        <v>1750.0422799999999</v>
      </c>
      <c r="AU410" s="10">
        <f>INDEX([1]ratio_ins!AR:AR,MATCH('001_population_health_zone_zs'!$B$2,[1]ratio_ins!$B:$B,0))*$G410*INDEX([1]ratio_ins!$D:$D,MATCH('001_population_health_zone_zs'!$B410,[1]ratio_ins!$B:$B,0))</f>
        <v>1050.0253680000001</v>
      </c>
      <c r="AV410" s="10">
        <f>INDEX([1]ratio_ins!AS:AS,MATCH('001_population_health_zone_zs'!$B$2,[1]ratio_ins!$B:$B,0))*$G410*INDEX([1]ratio_ins!$D:$D,MATCH('001_population_health_zone_zs'!$B410,[1]ratio_ins!$B:$B,0))</f>
        <v>525.01268400000004</v>
      </c>
      <c r="AW410" s="10">
        <f>INDEX([1]ratio_ins!AT:AT,MATCH('001_population_health_zone_zs'!$B$2,[1]ratio_ins!$B:$B,0))*$G410*INDEX([1]ratio_ins!$D:$D,MATCH('001_population_health_zone_zs'!$B410,[1]ratio_ins!$B:$B,0))</f>
        <v>350.00845600000002</v>
      </c>
      <c r="AX410" s="13">
        <f>INDEX([1]ratio_ins!AU:AU,MATCH('001_population_health_zone_zs'!$B$2,[1]ratio_ins!$B:$B,0))*$G410*INDEX([1]ratio_ins!$D:$D,MATCH('001_population_health_zone_zs'!$B410,[1]ratio_ins!$B:$B,0))</f>
        <v>3675.0887879999996</v>
      </c>
      <c r="AY410" s="14">
        <f t="shared" si="37"/>
        <v>175004.228</v>
      </c>
      <c r="AZ410" s="15">
        <f t="shared" si="38"/>
        <v>348614</v>
      </c>
      <c r="BA410" s="16">
        <v>331911.63865144993</v>
      </c>
      <c r="BB410" s="10">
        <f t="shared" si="39"/>
        <v>74376.796900000016</v>
      </c>
      <c r="BC410" s="17">
        <f t="shared" si="40"/>
        <v>0.21335000000000004</v>
      </c>
      <c r="BD410" s="10">
        <f t="shared" si="41"/>
        <v>72395.274923999998</v>
      </c>
    </row>
    <row r="411" spans="1:56" x14ac:dyDescent="0.25">
      <c r="A411" s="8" t="s">
        <v>975</v>
      </c>
      <c r="B411" s="8" t="s">
        <v>976</v>
      </c>
      <c r="C411" s="8" t="s">
        <v>1006</v>
      </c>
      <c r="D411" s="8" t="s">
        <v>1007</v>
      </c>
      <c r="E411" s="8" t="s">
        <v>1006</v>
      </c>
      <c r="F411" s="8" t="s">
        <v>1008</v>
      </c>
      <c r="G411" s="9">
        <v>424702</v>
      </c>
      <c r="H411" s="10">
        <f>INDEX([1]ratio_ins!F:F,MATCH('001_population_health_zone_zs'!$B$2,[1]ratio_ins!$B:$B,0))*$G411*INDEX([1]ratio_ins!$C:$C,MATCH('001_population_health_zone_zs'!$B411,[1]ratio_ins!$B:$B,0))</f>
        <v>44203.833563999993</v>
      </c>
      <c r="I411" s="10">
        <f>INDEX([1]ratio_ins!G:G,MATCH('001_population_health_zone_zs'!$B$2,[1]ratio_ins!$B:$B,0))*$G411*INDEX([1]ratio_ins!$C:$C,MATCH('001_population_health_zone_zs'!$B411,[1]ratio_ins!$B:$B,0))</f>
        <v>36166.772916000002</v>
      </c>
      <c r="J411" s="10">
        <f>INDEX([1]ratio_ins!H:H,MATCH('001_population_health_zone_zs'!$B$2,[1]ratio_ins!$B:$B,0))*$G411*INDEX([1]ratio_ins!$C:$C,MATCH('001_population_health_zone_zs'!$B411,[1]ratio_ins!$B:$B,0))</f>
        <v>28552.715460000003</v>
      </c>
      <c r="K411" s="10">
        <f>INDEX([1]ratio_ins!I:I,MATCH('001_population_health_zone_zs'!$B$2,[1]ratio_ins!$B:$B,0))*$G411*INDEX([1]ratio_ins!$C:$C,MATCH('001_population_health_zone_zs'!$B411,[1]ratio_ins!$B:$B,0))</f>
        <v>17554.632468</v>
      </c>
      <c r="L411" s="10">
        <f>INDEX([1]ratio_ins!J:J,MATCH('001_population_health_zone_zs'!$B$2,[1]ratio_ins!$B:$B,0))*$G411*INDEX([1]ratio_ins!$C:$C,MATCH('001_population_health_zone_zs'!$B411,[1]ratio_ins!$B:$B,0))</f>
        <v>10532.7794808</v>
      </c>
      <c r="M411" s="11">
        <f>INDEX([1]ratio_ins!K:K,MATCH('001_population_health_zone_zs'!$B$2,[1]ratio_ins!$B:$B,0))*$G411*INDEX([1]ratio_ins!$C:$C,MATCH('001_population_health_zone_zs'!$B411,[1]ratio_ins!$B:$B,0))</f>
        <v>119456.1014208</v>
      </c>
      <c r="N411" s="10">
        <f>INDEX([1]ratio_ins!L:L,MATCH('001_population_health_zone_zs'!$B$2,[1]ratio_ins!$B:$B,0))*$G411*INDEX([1]ratio_ins!$C:$C,MATCH('001_population_health_zone_zs'!$B411,[1]ratio_ins!$B:$B,0))</f>
        <v>7021.8529871999999</v>
      </c>
      <c r="O411" s="10">
        <f>INDEX([1]ratio_ins!M:M,MATCH('001_population_health_zone_zs'!$B$2,[1]ratio_ins!$B:$B,0))*$G411*INDEX([1]ratio_ins!$C:$C,MATCH('001_population_health_zone_zs'!$B411,[1]ratio_ins!$B:$B,0))</f>
        <v>15228.114912000003</v>
      </c>
      <c r="P411" s="10">
        <f>INDEX([1]ratio_ins!N:N,MATCH('001_population_health_zone_zs'!$B$2,[1]ratio_ins!$B:$B,0))*$G411*INDEX([1]ratio_ins!$C:$C,MATCH('001_population_health_zone_zs'!$B411,[1]ratio_ins!$B:$B,0))</f>
        <v>13747.60374</v>
      </c>
      <c r="Q411" s="10">
        <f>INDEX([1]ratio_ins!O:O,MATCH('001_population_health_zone_zs'!$B$2,[1]ratio_ins!$B:$B,0))*$G411*INDEX([1]ratio_ins!$C:$C,MATCH('001_population_health_zone_zs'!$B411,[1]ratio_ins!$B:$B,0))</f>
        <v>12267.092567999998</v>
      </c>
      <c r="R411" s="10">
        <f>INDEX([1]ratio_ins!P:P,MATCH('001_population_health_zone_zs'!$B$2,[1]ratio_ins!$B:$B,0))*$G411*INDEX([1]ratio_ins!$C:$C,MATCH('001_population_health_zone_zs'!$B411,[1]ratio_ins!$B:$B,0))</f>
        <v>12055.590972</v>
      </c>
      <c r="S411" s="10">
        <f>INDEX([1]ratio_ins!Q:Q,MATCH('001_population_health_zone_zs'!$B$2,[1]ratio_ins!$B:$B,0))*$G411*INDEX([1]ratio_ins!$C:$C,MATCH('001_population_health_zone_zs'!$B411,[1]ratio_ins!$B:$B,0))</f>
        <v>10152.076607999999</v>
      </c>
      <c r="T411" s="10">
        <f>INDEX([1]ratio_ins!R:R,MATCH('001_population_health_zone_zs'!$B$2,[1]ratio_ins!$B:$B,0))*$G411*INDEX([1]ratio_ins!$C:$C,MATCH('001_population_health_zone_zs'!$B411,[1]ratio_ins!$B:$B,0))</f>
        <v>7191.0542640000003</v>
      </c>
      <c r="U411" s="10">
        <f>INDEX([1]ratio_ins!S:S,MATCH('001_population_health_zone_zs'!$B$2,[1]ratio_ins!$B:$B,0))*$G411*INDEX([1]ratio_ins!$C:$C,MATCH('001_population_health_zone_zs'!$B411,[1]ratio_ins!$B:$B,0))</f>
        <v>5710.5430920000008</v>
      </c>
      <c r="V411" s="10">
        <f>INDEX([1]ratio_ins!T:T,MATCH('001_population_health_zone_zs'!$B$2,[1]ratio_ins!$B:$B,0))*$G411*INDEX([1]ratio_ins!$C:$C,MATCH('001_population_health_zone_zs'!$B411,[1]ratio_ins!$B:$B,0))</f>
        <v>3172.52394</v>
      </c>
      <c r="W411" s="11">
        <f>INDEX([1]ratio_ins!U:U,MATCH('001_population_health_zone_zs'!$B$2,[1]ratio_ins!$B:$B,0))*$G411*INDEX([1]ratio_ins!$C:$C,MATCH('001_population_health_zone_zs'!$B411,[1]ratio_ins!$B:$B,0))</f>
        <v>86546.453083200002</v>
      </c>
      <c r="X411" s="10">
        <f>INDEX([1]ratio_ins!V:V,MATCH('001_population_health_zone_zs'!$B$2,[1]ratio_ins!$B:$B,0))*$G411*INDEX([1]ratio_ins!$C:$C,MATCH('001_population_health_zone_zs'!$B411,[1]ratio_ins!$B:$B,0))</f>
        <v>2538.0191519999998</v>
      </c>
      <c r="Y411" s="10">
        <f>INDEX([1]ratio_ins!W:W,MATCH('001_population_health_zone_zs'!$B$2,[1]ratio_ins!$B:$B,0))*$G411*INDEX([1]ratio_ins!$C:$C,MATCH('001_population_health_zone_zs'!$B411,[1]ratio_ins!$B:$B,0))</f>
        <v>1692.0127680000001</v>
      </c>
      <c r="Z411" s="10">
        <f>INDEX([1]ratio_ins!X:X,MATCH('001_population_health_zone_zs'!$B$2,[1]ratio_ins!$B:$B,0))*$G411*INDEX([1]ratio_ins!$C:$C,MATCH('001_population_health_zone_zs'!$B411,[1]ratio_ins!$B:$B,0))</f>
        <v>846.00638400000003</v>
      </c>
      <c r="AA411" s="10">
        <f>INDEX([1]ratio_ins!Y:Y,MATCH('001_population_health_zone_zs'!$B$2,[1]ratio_ins!$B:$B,0))*$G411*INDEX([1]ratio_ins!$C:$C,MATCH('001_population_health_zone_zs'!$B411,[1]ratio_ins!$B:$B,0))</f>
        <v>423.00319200000001</v>
      </c>
      <c r="AB411" s="11">
        <f>INDEX([1]ratio_ins!Z:Z,MATCH('001_population_health_zone_zs'!$B$2,[1]ratio_ins!$B:$B,0))*$G411*INDEX([1]ratio_ins!$C:$C,MATCH('001_population_health_zone_zs'!$B411,[1]ratio_ins!$B:$B,0))</f>
        <v>5499.0414959999998</v>
      </c>
      <c r="AC411" s="12">
        <f t="shared" si="36"/>
        <v>211501.59599999999</v>
      </c>
      <c r="AD411" s="10">
        <f>INDEX([1]ratio_ins!AA:AA,MATCH('001_population_health_zone_zs'!$B$2,[1]ratio_ins!$B:$B,0))*$G411*INDEX([1]ratio_ins!$D:$D,MATCH('001_population_health_zone_zs'!$B411,[1]ratio_ins!$B:$B,0))</f>
        <v>44772.084839999996</v>
      </c>
      <c r="AE411" s="10">
        <f>INDEX([1]ratio_ins!AB:AB,MATCH('001_population_health_zone_zs'!$B$2,[1]ratio_ins!$B:$B,0))*$G411*INDEX([1]ratio_ins!$D:$D,MATCH('001_population_health_zone_zs'!$B411,[1]ratio_ins!$B:$B,0))</f>
        <v>36883.669892000005</v>
      </c>
      <c r="AF411" s="10">
        <f>INDEX([1]ratio_ins!AC:AC,MATCH('001_population_health_zone_zs'!$B$2,[1]ratio_ins!$B:$B,0))*$G411*INDEX([1]ratio_ins!$D:$D,MATCH('001_population_health_zone_zs'!$B411,[1]ratio_ins!$B:$B,0))</f>
        <v>29208.455347999996</v>
      </c>
      <c r="AG411" s="10">
        <f>INDEX([1]ratio_ins!AD:AD,MATCH('001_population_health_zone_zs'!$B$2,[1]ratio_ins!$B:$B,0))*$G411*INDEX([1]ratio_ins!$D:$D,MATCH('001_population_health_zone_zs'!$B411,[1]ratio_ins!$B:$B,0))</f>
        <v>17695.633532000003</v>
      </c>
      <c r="AH411" s="10">
        <f>INDEX([1]ratio_ins!AE:AE,MATCH('001_population_health_zone_zs'!$B$2,[1]ratio_ins!$B:$B,0))*$G411*INDEX([1]ratio_ins!$D:$D,MATCH('001_population_health_zone_zs'!$B411,[1]ratio_ins!$B:$B,0))</f>
        <v>10617.380119199999</v>
      </c>
      <c r="AI411" s="13">
        <f>INDEX([1]ratio_ins!AF:AF,MATCH('001_population_health_zone_zs'!$B$2,[1]ratio_ins!$B:$B,0))*$G411*INDEX([1]ratio_ins!$D:$D,MATCH('001_population_health_zone_zs'!$B411,[1]ratio_ins!$B:$B,0))</f>
        <v>121481.5901992</v>
      </c>
      <c r="AJ411" s="10">
        <f>INDEX([1]ratio_ins!AG:AG,MATCH('001_population_health_zone_zs'!$B$2,[1]ratio_ins!$B:$B,0))*$G411*INDEX([1]ratio_ins!$D:$D,MATCH('001_population_health_zone_zs'!$B411,[1]ratio_ins!$B:$B,0))</f>
        <v>7078.2534128000007</v>
      </c>
      <c r="AK411" s="10">
        <f>INDEX([1]ratio_ins!AH:AH,MATCH('001_population_health_zone_zs'!$B$2,[1]ratio_ins!$B:$B,0))*$G411*INDEX([1]ratio_ins!$D:$D,MATCH('001_population_health_zone_zs'!$B411,[1]ratio_ins!$B:$B,0))</f>
        <v>15776.829896000003</v>
      </c>
      <c r="AL411" s="10">
        <f>INDEX([1]ratio_ins!AI:AI,MATCH('001_population_health_zone_zs'!$B$2,[1]ratio_ins!$B:$B,0))*$G411*INDEX([1]ratio_ins!$D:$D,MATCH('001_population_health_zone_zs'!$B411,[1]ratio_ins!$B:$B,0))</f>
        <v>14924.028280000002</v>
      </c>
      <c r="AM411" s="10">
        <f>INDEX([1]ratio_ins!AJ:AJ,MATCH('001_population_health_zone_zs'!$B$2,[1]ratio_ins!$B:$B,0))*$G411*INDEX([1]ratio_ins!$D:$D,MATCH('001_population_health_zone_zs'!$B411,[1]ratio_ins!$B:$B,0))</f>
        <v>13644.825855999999</v>
      </c>
      <c r="AN411" s="10">
        <f>INDEX([1]ratio_ins!AK:AK,MATCH('001_population_health_zone_zs'!$B$2,[1]ratio_ins!$B:$B,0))*$G411*INDEX([1]ratio_ins!$D:$D,MATCH('001_population_health_zone_zs'!$B411,[1]ratio_ins!$B:$B,0))</f>
        <v>12792.024239999999</v>
      </c>
      <c r="AO411" s="10">
        <f>INDEX([1]ratio_ins!AL:AL,MATCH('001_population_health_zone_zs'!$B$2,[1]ratio_ins!$B:$B,0))*$G411*INDEX([1]ratio_ins!$D:$D,MATCH('001_population_health_zone_zs'!$B411,[1]ratio_ins!$B:$B,0))</f>
        <v>9594.0181800000009</v>
      </c>
      <c r="AP411" s="10">
        <f>INDEX([1]ratio_ins!AM:AM,MATCH('001_population_health_zone_zs'!$B$2,[1]ratio_ins!$B:$B,0))*$G411*INDEX([1]ratio_ins!$D:$D,MATCH('001_population_health_zone_zs'!$B411,[1]ratio_ins!$B:$B,0))</f>
        <v>6182.8117159999993</v>
      </c>
      <c r="AQ411" s="10">
        <f>INDEX([1]ratio_ins!AN:AN,MATCH('001_population_health_zone_zs'!$B$2,[1]ratio_ins!$B:$B,0))*$G411*INDEX([1]ratio_ins!$D:$D,MATCH('001_population_health_zone_zs'!$B411,[1]ratio_ins!$B:$B,0))</f>
        <v>4903.6092920000001</v>
      </c>
      <c r="AR411" s="10">
        <f>INDEX([1]ratio_ins!AO:AO,MATCH('001_population_health_zone_zs'!$B$2,[1]ratio_ins!$B:$B,0))*$G411*INDEX([1]ratio_ins!$D:$D,MATCH('001_population_health_zone_zs'!$B411,[1]ratio_ins!$B:$B,0))</f>
        <v>2345.2044440000004</v>
      </c>
      <c r="AS411" s="13">
        <f>INDEX([1]ratio_ins!AP:AP,MATCH('001_population_health_zone_zs'!$B$2,[1]ratio_ins!$B:$B,0))*$G411*INDEX([1]ratio_ins!$D:$D,MATCH('001_population_health_zone_zs'!$B411,[1]ratio_ins!$B:$B,0))</f>
        <v>87241.605316800007</v>
      </c>
      <c r="AT411" s="10">
        <f>INDEX([1]ratio_ins!AQ:AQ,MATCH('001_population_health_zone_zs'!$B$2,[1]ratio_ins!$B:$B,0))*$G411*INDEX([1]ratio_ins!$D:$D,MATCH('001_population_health_zone_zs'!$B411,[1]ratio_ins!$B:$B,0))</f>
        <v>2132.0040400000003</v>
      </c>
      <c r="AU411" s="10">
        <f>INDEX([1]ratio_ins!AR:AR,MATCH('001_population_health_zone_zs'!$B$2,[1]ratio_ins!$B:$B,0))*$G411*INDEX([1]ratio_ins!$D:$D,MATCH('001_population_health_zone_zs'!$B411,[1]ratio_ins!$B:$B,0))</f>
        <v>1279.2024240000001</v>
      </c>
      <c r="AV411" s="10">
        <f>INDEX([1]ratio_ins!AS:AS,MATCH('001_population_health_zone_zs'!$B$2,[1]ratio_ins!$B:$B,0))*$G411*INDEX([1]ratio_ins!$D:$D,MATCH('001_population_health_zone_zs'!$B411,[1]ratio_ins!$B:$B,0))</f>
        <v>639.60121200000003</v>
      </c>
      <c r="AW411" s="10">
        <f>INDEX([1]ratio_ins!AT:AT,MATCH('001_population_health_zone_zs'!$B$2,[1]ratio_ins!$B:$B,0))*$G411*INDEX([1]ratio_ins!$D:$D,MATCH('001_population_health_zone_zs'!$B411,[1]ratio_ins!$B:$B,0))</f>
        <v>426.40080799999998</v>
      </c>
      <c r="AX411" s="13">
        <f>INDEX([1]ratio_ins!AU:AU,MATCH('001_population_health_zone_zs'!$B$2,[1]ratio_ins!$B:$B,0))*$G411*INDEX([1]ratio_ins!$D:$D,MATCH('001_population_health_zone_zs'!$B411,[1]ratio_ins!$B:$B,0))</f>
        <v>4477.2084839999989</v>
      </c>
      <c r="AY411" s="14">
        <f t="shared" si="37"/>
        <v>213200.40400000001</v>
      </c>
      <c r="AZ411" s="15">
        <f t="shared" si="38"/>
        <v>424702</v>
      </c>
      <c r="BA411" s="16">
        <v>404354.62592387467</v>
      </c>
      <c r="BB411" s="10">
        <f t="shared" si="39"/>
        <v>90610.171699999992</v>
      </c>
      <c r="BC411" s="17">
        <f t="shared" si="40"/>
        <v>0.21334999999999998</v>
      </c>
      <c r="BD411" s="10">
        <f t="shared" si="41"/>
        <v>88196.165532000014</v>
      </c>
    </row>
    <row r="412" spans="1:56" x14ac:dyDescent="0.25">
      <c r="A412" s="8" t="s">
        <v>975</v>
      </c>
      <c r="B412" s="8" t="s">
        <v>976</v>
      </c>
      <c r="C412" s="8" t="s">
        <v>1006</v>
      </c>
      <c r="D412" s="8" t="s">
        <v>1007</v>
      </c>
      <c r="E412" s="8" t="s">
        <v>1009</v>
      </c>
      <c r="F412" s="8" t="s">
        <v>1010</v>
      </c>
      <c r="G412" s="9">
        <v>236963</v>
      </c>
      <c r="H412" s="10">
        <f>INDEX([1]ratio_ins!F:F,MATCH('001_population_health_zone_zs'!$B$2,[1]ratio_ins!$B:$B,0))*$G412*INDEX([1]ratio_ins!$C:$C,MATCH('001_population_health_zone_zs'!$B412,[1]ratio_ins!$B:$B,0))</f>
        <v>24663.582965999998</v>
      </c>
      <c r="I412" s="10">
        <f>INDEX([1]ratio_ins!G:G,MATCH('001_population_health_zone_zs'!$B$2,[1]ratio_ins!$B:$B,0))*$G412*INDEX([1]ratio_ins!$C:$C,MATCH('001_population_health_zone_zs'!$B412,[1]ratio_ins!$B:$B,0))</f>
        <v>20179.295153999999</v>
      </c>
      <c r="J412" s="10">
        <f>INDEX([1]ratio_ins!H:H,MATCH('001_population_health_zone_zs'!$B$2,[1]ratio_ins!$B:$B,0))*$G412*INDEX([1]ratio_ins!$C:$C,MATCH('001_population_health_zone_zs'!$B412,[1]ratio_ins!$B:$B,0))</f>
        <v>15931.022490000001</v>
      </c>
      <c r="K412" s="10">
        <f>INDEX([1]ratio_ins!I:I,MATCH('001_population_health_zone_zs'!$B$2,[1]ratio_ins!$B:$B,0))*$G412*INDEX([1]ratio_ins!$C:$C,MATCH('001_population_health_zone_zs'!$B412,[1]ratio_ins!$B:$B,0))</f>
        <v>9794.6286419999997</v>
      </c>
      <c r="L412" s="10">
        <f>INDEX([1]ratio_ins!J:J,MATCH('001_population_health_zone_zs'!$B$2,[1]ratio_ins!$B:$B,0))*$G412*INDEX([1]ratio_ins!$C:$C,MATCH('001_population_health_zone_zs'!$B412,[1]ratio_ins!$B:$B,0))</f>
        <v>5876.7771851999996</v>
      </c>
      <c r="M412" s="11">
        <f>INDEX([1]ratio_ins!K:K,MATCH('001_population_health_zone_zs'!$B$2,[1]ratio_ins!$B:$B,0))*$G412*INDEX([1]ratio_ins!$C:$C,MATCH('001_population_health_zone_zs'!$B412,[1]ratio_ins!$B:$B,0))</f>
        <v>66650.677795199983</v>
      </c>
      <c r="N412" s="10">
        <f>INDEX([1]ratio_ins!L:L,MATCH('001_population_health_zone_zs'!$B$2,[1]ratio_ins!$B:$B,0))*$G412*INDEX([1]ratio_ins!$C:$C,MATCH('001_population_health_zone_zs'!$B412,[1]ratio_ins!$B:$B,0))</f>
        <v>3917.8514567999996</v>
      </c>
      <c r="O412" s="10">
        <f>INDEX([1]ratio_ins!M:M,MATCH('001_population_health_zone_zs'!$B$2,[1]ratio_ins!$B:$B,0))*$G412*INDEX([1]ratio_ins!$C:$C,MATCH('001_population_health_zone_zs'!$B412,[1]ratio_ins!$B:$B,0))</f>
        <v>8496.545328000002</v>
      </c>
      <c r="P412" s="10">
        <f>INDEX([1]ratio_ins!N:N,MATCH('001_population_health_zone_zs'!$B$2,[1]ratio_ins!$B:$B,0))*$G412*INDEX([1]ratio_ins!$C:$C,MATCH('001_population_health_zone_zs'!$B412,[1]ratio_ins!$B:$B,0))</f>
        <v>7670.4923100000005</v>
      </c>
      <c r="Q412" s="10">
        <f>INDEX([1]ratio_ins!O:O,MATCH('001_population_health_zone_zs'!$B$2,[1]ratio_ins!$B:$B,0))*$G412*INDEX([1]ratio_ins!$C:$C,MATCH('001_population_health_zone_zs'!$B412,[1]ratio_ins!$B:$B,0))</f>
        <v>6844.439292</v>
      </c>
      <c r="R412" s="10">
        <f>INDEX([1]ratio_ins!P:P,MATCH('001_population_health_zone_zs'!$B$2,[1]ratio_ins!$B:$B,0))*$G412*INDEX([1]ratio_ins!$C:$C,MATCH('001_population_health_zone_zs'!$B412,[1]ratio_ins!$B:$B,0))</f>
        <v>6726.4317179999998</v>
      </c>
      <c r="S412" s="10">
        <f>INDEX([1]ratio_ins!Q:Q,MATCH('001_population_health_zone_zs'!$B$2,[1]ratio_ins!$B:$B,0))*$G412*INDEX([1]ratio_ins!$C:$C,MATCH('001_population_health_zone_zs'!$B412,[1]ratio_ins!$B:$B,0))</f>
        <v>5664.3635519999998</v>
      </c>
      <c r="T412" s="10">
        <f>INDEX([1]ratio_ins!R:R,MATCH('001_population_health_zone_zs'!$B$2,[1]ratio_ins!$B:$B,0))*$G412*INDEX([1]ratio_ins!$C:$C,MATCH('001_population_health_zone_zs'!$B412,[1]ratio_ins!$B:$B,0))</f>
        <v>4012.2575160000001</v>
      </c>
      <c r="U412" s="10">
        <f>INDEX([1]ratio_ins!S:S,MATCH('001_population_health_zone_zs'!$B$2,[1]ratio_ins!$B:$B,0))*$G412*INDEX([1]ratio_ins!$C:$C,MATCH('001_population_health_zone_zs'!$B412,[1]ratio_ins!$B:$B,0))</f>
        <v>3186.2044980000005</v>
      </c>
      <c r="V412" s="10">
        <f>INDEX([1]ratio_ins!T:T,MATCH('001_population_health_zone_zs'!$B$2,[1]ratio_ins!$B:$B,0))*$G412*INDEX([1]ratio_ins!$C:$C,MATCH('001_population_health_zone_zs'!$B412,[1]ratio_ins!$B:$B,0))</f>
        <v>1770.1136099999999</v>
      </c>
      <c r="W412" s="11">
        <f>INDEX([1]ratio_ins!U:U,MATCH('001_population_health_zone_zs'!$B$2,[1]ratio_ins!$B:$B,0))*$G412*INDEX([1]ratio_ins!$C:$C,MATCH('001_population_health_zone_zs'!$B412,[1]ratio_ins!$B:$B,0))</f>
        <v>48288.6992808</v>
      </c>
      <c r="X412" s="10">
        <f>INDEX([1]ratio_ins!V:V,MATCH('001_population_health_zone_zs'!$B$2,[1]ratio_ins!$B:$B,0))*$G412*INDEX([1]ratio_ins!$C:$C,MATCH('001_population_health_zone_zs'!$B412,[1]ratio_ins!$B:$B,0))</f>
        <v>1416.0908879999999</v>
      </c>
      <c r="Y412" s="10">
        <f>INDEX([1]ratio_ins!W:W,MATCH('001_population_health_zone_zs'!$B$2,[1]ratio_ins!$B:$B,0))*$G412*INDEX([1]ratio_ins!$C:$C,MATCH('001_population_health_zone_zs'!$B412,[1]ratio_ins!$B:$B,0))</f>
        <v>944.06059199999993</v>
      </c>
      <c r="Z412" s="10">
        <f>INDEX([1]ratio_ins!X:X,MATCH('001_population_health_zone_zs'!$B$2,[1]ratio_ins!$B:$B,0))*$G412*INDEX([1]ratio_ins!$C:$C,MATCH('001_population_health_zone_zs'!$B412,[1]ratio_ins!$B:$B,0))</f>
        <v>472.03029599999996</v>
      </c>
      <c r="AA412" s="10">
        <f>INDEX([1]ratio_ins!Y:Y,MATCH('001_population_health_zone_zs'!$B$2,[1]ratio_ins!$B:$B,0))*$G412*INDEX([1]ratio_ins!$C:$C,MATCH('001_population_health_zone_zs'!$B412,[1]ratio_ins!$B:$B,0))</f>
        <v>236.01514799999998</v>
      </c>
      <c r="AB412" s="11">
        <f>INDEX([1]ratio_ins!Z:Z,MATCH('001_population_health_zone_zs'!$B$2,[1]ratio_ins!$B:$B,0))*$G412*INDEX([1]ratio_ins!$C:$C,MATCH('001_population_health_zone_zs'!$B412,[1]ratio_ins!$B:$B,0))</f>
        <v>3068.1969240000003</v>
      </c>
      <c r="AC412" s="12">
        <f t="shared" si="36"/>
        <v>118007.57399999998</v>
      </c>
      <c r="AD412" s="10">
        <f>INDEX([1]ratio_ins!AA:AA,MATCH('001_population_health_zone_zs'!$B$2,[1]ratio_ins!$B:$B,0))*$G412*INDEX([1]ratio_ins!$D:$D,MATCH('001_population_health_zone_zs'!$B412,[1]ratio_ins!$B:$B,0))</f>
        <v>24980.639459999999</v>
      </c>
      <c r="AE412" s="10">
        <f>INDEX([1]ratio_ins!AB:AB,MATCH('001_population_health_zone_zs'!$B$2,[1]ratio_ins!$B:$B,0))*$G412*INDEX([1]ratio_ins!$D:$D,MATCH('001_population_health_zone_zs'!$B412,[1]ratio_ins!$B:$B,0))</f>
        <v>20579.288698</v>
      </c>
      <c r="AF412" s="10">
        <f>INDEX([1]ratio_ins!AC:AC,MATCH('001_population_health_zone_zs'!$B$2,[1]ratio_ins!$B:$B,0))*$G412*INDEX([1]ratio_ins!$D:$D,MATCH('001_population_health_zone_zs'!$B412,[1]ratio_ins!$B:$B,0))</f>
        <v>16296.893361999999</v>
      </c>
      <c r="AG412" s="10">
        <f>INDEX([1]ratio_ins!AD:AD,MATCH('001_population_health_zone_zs'!$B$2,[1]ratio_ins!$B:$B,0))*$G412*INDEX([1]ratio_ins!$D:$D,MATCH('001_population_health_zone_zs'!$B412,[1]ratio_ins!$B:$B,0))</f>
        <v>9873.3003580000004</v>
      </c>
      <c r="AH412" s="10">
        <f>INDEX([1]ratio_ins!AE:AE,MATCH('001_population_health_zone_zs'!$B$2,[1]ratio_ins!$B:$B,0))*$G412*INDEX([1]ratio_ins!$D:$D,MATCH('001_population_health_zone_zs'!$B412,[1]ratio_ins!$B:$B,0))</f>
        <v>5923.980214799999</v>
      </c>
      <c r="AI412" s="13">
        <f>INDEX([1]ratio_ins!AF:AF,MATCH('001_population_health_zone_zs'!$B$2,[1]ratio_ins!$B:$B,0))*$G412*INDEX([1]ratio_ins!$D:$D,MATCH('001_population_health_zone_zs'!$B412,[1]ratio_ins!$B:$B,0))</f>
        <v>67780.801734799985</v>
      </c>
      <c r="AJ412" s="10">
        <f>INDEX([1]ratio_ins!AG:AG,MATCH('001_population_health_zone_zs'!$B$2,[1]ratio_ins!$B:$B,0))*$G412*INDEX([1]ratio_ins!$D:$D,MATCH('001_population_health_zone_zs'!$B412,[1]ratio_ins!$B:$B,0))</f>
        <v>3949.3201432000001</v>
      </c>
      <c r="AK412" s="10">
        <f>INDEX([1]ratio_ins!AH:AH,MATCH('001_population_health_zone_zs'!$B$2,[1]ratio_ins!$B:$B,0))*$G412*INDEX([1]ratio_ins!$D:$D,MATCH('001_population_health_zone_zs'!$B412,[1]ratio_ins!$B:$B,0))</f>
        <v>8802.7015240000019</v>
      </c>
      <c r="AL412" s="10">
        <f>INDEX([1]ratio_ins!AI:AI,MATCH('001_population_health_zone_zs'!$B$2,[1]ratio_ins!$B:$B,0))*$G412*INDEX([1]ratio_ins!$D:$D,MATCH('001_population_health_zone_zs'!$B412,[1]ratio_ins!$B:$B,0))</f>
        <v>8326.8798200000001</v>
      </c>
      <c r="AM412" s="10">
        <f>INDEX([1]ratio_ins!AJ:AJ,MATCH('001_population_health_zone_zs'!$B$2,[1]ratio_ins!$B:$B,0))*$G412*INDEX([1]ratio_ins!$D:$D,MATCH('001_population_health_zone_zs'!$B412,[1]ratio_ins!$B:$B,0))</f>
        <v>7613.1472640000002</v>
      </c>
      <c r="AN412" s="10">
        <f>INDEX([1]ratio_ins!AK:AK,MATCH('001_population_health_zone_zs'!$B$2,[1]ratio_ins!$B:$B,0))*$G412*INDEX([1]ratio_ins!$D:$D,MATCH('001_population_health_zone_zs'!$B412,[1]ratio_ins!$B:$B,0))</f>
        <v>7137.3255599999993</v>
      </c>
      <c r="AO412" s="10">
        <f>INDEX([1]ratio_ins!AL:AL,MATCH('001_population_health_zone_zs'!$B$2,[1]ratio_ins!$B:$B,0))*$G412*INDEX([1]ratio_ins!$D:$D,MATCH('001_population_health_zone_zs'!$B412,[1]ratio_ins!$B:$B,0))</f>
        <v>5352.9941699999999</v>
      </c>
      <c r="AP412" s="10">
        <f>INDEX([1]ratio_ins!AM:AM,MATCH('001_population_health_zone_zs'!$B$2,[1]ratio_ins!$B:$B,0))*$G412*INDEX([1]ratio_ins!$D:$D,MATCH('001_population_health_zone_zs'!$B412,[1]ratio_ins!$B:$B,0))</f>
        <v>3449.7073539999997</v>
      </c>
      <c r="AQ412" s="10">
        <f>INDEX([1]ratio_ins!AN:AN,MATCH('001_population_health_zone_zs'!$B$2,[1]ratio_ins!$B:$B,0))*$G412*INDEX([1]ratio_ins!$D:$D,MATCH('001_population_health_zone_zs'!$B412,[1]ratio_ins!$B:$B,0))</f>
        <v>2735.9747980000002</v>
      </c>
      <c r="AR412" s="10">
        <f>INDEX([1]ratio_ins!AO:AO,MATCH('001_population_health_zone_zs'!$B$2,[1]ratio_ins!$B:$B,0))*$G412*INDEX([1]ratio_ins!$D:$D,MATCH('001_population_health_zone_zs'!$B412,[1]ratio_ins!$B:$B,0))</f>
        <v>1308.5096860000001</v>
      </c>
      <c r="AS412" s="13">
        <f>INDEX([1]ratio_ins!AP:AP,MATCH('001_population_health_zone_zs'!$B$2,[1]ratio_ins!$B:$B,0))*$G412*INDEX([1]ratio_ins!$D:$D,MATCH('001_population_health_zone_zs'!$B412,[1]ratio_ins!$B:$B,0))</f>
        <v>48676.560319200005</v>
      </c>
      <c r="AT412" s="10">
        <f>INDEX([1]ratio_ins!AQ:AQ,MATCH('001_population_health_zone_zs'!$B$2,[1]ratio_ins!$B:$B,0))*$G412*INDEX([1]ratio_ins!$D:$D,MATCH('001_population_health_zone_zs'!$B412,[1]ratio_ins!$B:$B,0))</f>
        <v>1189.5542600000001</v>
      </c>
      <c r="AU412" s="10">
        <f>INDEX([1]ratio_ins!AR:AR,MATCH('001_population_health_zone_zs'!$B$2,[1]ratio_ins!$B:$B,0))*$G412*INDEX([1]ratio_ins!$D:$D,MATCH('001_population_health_zone_zs'!$B412,[1]ratio_ins!$B:$B,0))</f>
        <v>713.73255600000005</v>
      </c>
      <c r="AV412" s="10">
        <f>INDEX([1]ratio_ins!AS:AS,MATCH('001_population_health_zone_zs'!$B$2,[1]ratio_ins!$B:$B,0))*$G412*INDEX([1]ratio_ins!$D:$D,MATCH('001_population_health_zone_zs'!$B412,[1]ratio_ins!$B:$B,0))</f>
        <v>356.86627800000002</v>
      </c>
      <c r="AW412" s="10">
        <f>INDEX([1]ratio_ins!AT:AT,MATCH('001_population_health_zone_zs'!$B$2,[1]ratio_ins!$B:$B,0))*$G412*INDEX([1]ratio_ins!$D:$D,MATCH('001_population_health_zone_zs'!$B412,[1]ratio_ins!$B:$B,0))</f>
        <v>237.91085200000001</v>
      </c>
      <c r="AX412" s="13">
        <f>INDEX([1]ratio_ins!AU:AU,MATCH('001_population_health_zone_zs'!$B$2,[1]ratio_ins!$B:$B,0))*$G412*INDEX([1]ratio_ins!$D:$D,MATCH('001_population_health_zone_zs'!$B412,[1]ratio_ins!$B:$B,0))</f>
        <v>2498.0639459999993</v>
      </c>
      <c r="AY412" s="14">
        <f t="shared" si="37"/>
        <v>118955.42599999999</v>
      </c>
      <c r="AZ412" s="15">
        <f t="shared" si="38"/>
        <v>236962.99999999997</v>
      </c>
      <c r="BA412" s="16">
        <v>225609.95732374422</v>
      </c>
      <c r="BB412" s="10">
        <f t="shared" si="39"/>
        <v>50556.056049999992</v>
      </c>
      <c r="BC412" s="17">
        <f t="shared" si="40"/>
        <v>0.21334999999999996</v>
      </c>
      <c r="BD412" s="10">
        <f t="shared" si="41"/>
        <v>49209.158358000008</v>
      </c>
    </row>
    <row r="413" spans="1:56" x14ac:dyDescent="0.25">
      <c r="A413" s="8" t="s">
        <v>975</v>
      </c>
      <c r="B413" s="8" t="s">
        <v>976</v>
      </c>
      <c r="C413" s="8" t="s">
        <v>1006</v>
      </c>
      <c r="D413" s="8" t="s">
        <v>1007</v>
      </c>
      <c r="E413" s="8" t="s">
        <v>1011</v>
      </c>
      <c r="F413" s="8" t="s">
        <v>1012</v>
      </c>
      <c r="G413" s="9">
        <v>319907</v>
      </c>
      <c r="H413" s="10">
        <f>INDEX([1]ratio_ins!F:F,MATCH('001_population_health_zone_zs'!$B$2,[1]ratio_ins!$B:$B,0))*$G413*INDEX([1]ratio_ins!$C:$C,MATCH('001_population_health_zone_zs'!$B413,[1]ratio_ins!$B:$B,0))</f>
        <v>33296.560374000001</v>
      </c>
      <c r="I413" s="10">
        <f>INDEX([1]ratio_ins!G:G,MATCH('001_population_health_zone_zs'!$B$2,[1]ratio_ins!$B:$B,0))*$G413*INDEX([1]ratio_ins!$C:$C,MATCH('001_population_health_zone_zs'!$B413,[1]ratio_ins!$B:$B,0))</f>
        <v>27242.640306000001</v>
      </c>
      <c r="J413" s="10">
        <f>INDEX([1]ratio_ins!H:H,MATCH('001_population_health_zone_zs'!$B$2,[1]ratio_ins!$B:$B,0))*$G413*INDEX([1]ratio_ins!$C:$C,MATCH('001_population_health_zone_zs'!$B413,[1]ratio_ins!$B:$B,0))</f>
        <v>21507.347610000001</v>
      </c>
      <c r="K413" s="10">
        <f>INDEX([1]ratio_ins!I:I,MATCH('001_population_health_zone_zs'!$B$2,[1]ratio_ins!$B:$B,0))*$G413*INDEX([1]ratio_ins!$C:$C,MATCH('001_population_health_zone_zs'!$B413,[1]ratio_ins!$B:$B,0))</f>
        <v>13223.035938000001</v>
      </c>
      <c r="L413" s="10">
        <f>INDEX([1]ratio_ins!J:J,MATCH('001_population_health_zone_zs'!$B$2,[1]ratio_ins!$B:$B,0))*$G413*INDEX([1]ratio_ins!$C:$C,MATCH('001_population_health_zone_zs'!$B413,[1]ratio_ins!$B:$B,0))</f>
        <v>7933.8215627999998</v>
      </c>
      <c r="M413" s="11">
        <f>INDEX([1]ratio_ins!K:K,MATCH('001_population_health_zone_zs'!$B$2,[1]ratio_ins!$B:$B,0))*$G413*INDEX([1]ratio_ins!$C:$C,MATCH('001_population_health_zone_zs'!$B413,[1]ratio_ins!$B:$B,0))</f>
        <v>89980.369852799995</v>
      </c>
      <c r="N413" s="10">
        <f>INDEX([1]ratio_ins!L:L,MATCH('001_population_health_zone_zs'!$B$2,[1]ratio_ins!$B:$B,0))*$G413*INDEX([1]ratio_ins!$C:$C,MATCH('001_population_health_zone_zs'!$B413,[1]ratio_ins!$B:$B,0))</f>
        <v>5289.2143751999993</v>
      </c>
      <c r="O413" s="10">
        <f>INDEX([1]ratio_ins!M:M,MATCH('001_population_health_zone_zs'!$B$2,[1]ratio_ins!$B:$B,0))*$G413*INDEX([1]ratio_ins!$C:$C,MATCH('001_population_health_zone_zs'!$B413,[1]ratio_ins!$B:$B,0))</f>
        <v>11470.585392000003</v>
      </c>
      <c r="P413" s="10">
        <f>INDEX([1]ratio_ins!N:N,MATCH('001_population_health_zone_zs'!$B$2,[1]ratio_ins!$B:$B,0))*$G413*INDEX([1]ratio_ins!$C:$C,MATCH('001_population_health_zone_zs'!$B413,[1]ratio_ins!$B:$B,0))</f>
        <v>10355.389590000001</v>
      </c>
      <c r="Q413" s="10">
        <f>INDEX([1]ratio_ins!O:O,MATCH('001_population_health_zone_zs'!$B$2,[1]ratio_ins!$B:$B,0))*$G413*INDEX([1]ratio_ins!$C:$C,MATCH('001_population_health_zone_zs'!$B413,[1]ratio_ins!$B:$B,0))</f>
        <v>9240.1937880000005</v>
      </c>
      <c r="R413" s="10">
        <f>INDEX([1]ratio_ins!P:P,MATCH('001_population_health_zone_zs'!$B$2,[1]ratio_ins!$B:$B,0))*$G413*INDEX([1]ratio_ins!$C:$C,MATCH('001_population_health_zone_zs'!$B413,[1]ratio_ins!$B:$B,0))</f>
        <v>9080.880102000001</v>
      </c>
      <c r="S413" s="10">
        <f>INDEX([1]ratio_ins!Q:Q,MATCH('001_population_health_zone_zs'!$B$2,[1]ratio_ins!$B:$B,0))*$G413*INDEX([1]ratio_ins!$C:$C,MATCH('001_population_health_zone_zs'!$B413,[1]ratio_ins!$B:$B,0))</f>
        <v>7647.056928</v>
      </c>
      <c r="T413" s="10">
        <f>INDEX([1]ratio_ins!R:R,MATCH('001_population_health_zone_zs'!$B$2,[1]ratio_ins!$B:$B,0))*$G413*INDEX([1]ratio_ins!$C:$C,MATCH('001_population_health_zone_zs'!$B413,[1]ratio_ins!$B:$B,0))</f>
        <v>5416.6653240000005</v>
      </c>
      <c r="U413" s="10">
        <f>INDEX([1]ratio_ins!S:S,MATCH('001_population_health_zone_zs'!$B$2,[1]ratio_ins!$B:$B,0))*$G413*INDEX([1]ratio_ins!$C:$C,MATCH('001_population_health_zone_zs'!$B413,[1]ratio_ins!$B:$B,0))</f>
        <v>4301.4695220000003</v>
      </c>
      <c r="V413" s="10">
        <f>INDEX([1]ratio_ins!T:T,MATCH('001_population_health_zone_zs'!$B$2,[1]ratio_ins!$B:$B,0))*$G413*INDEX([1]ratio_ins!$C:$C,MATCH('001_population_health_zone_zs'!$B413,[1]ratio_ins!$B:$B,0))</f>
        <v>2389.7052899999999</v>
      </c>
      <c r="W413" s="11">
        <f>INDEX([1]ratio_ins!U:U,MATCH('001_population_health_zone_zs'!$B$2,[1]ratio_ins!$B:$B,0))*$G413*INDEX([1]ratio_ins!$C:$C,MATCH('001_population_health_zone_zs'!$B413,[1]ratio_ins!$B:$B,0))</f>
        <v>65191.160311200001</v>
      </c>
      <c r="X413" s="10">
        <f>INDEX([1]ratio_ins!V:V,MATCH('001_population_health_zone_zs'!$B$2,[1]ratio_ins!$B:$B,0))*$G413*INDEX([1]ratio_ins!$C:$C,MATCH('001_population_health_zone_zs'!$B413,[1]ratio_ins!$B:$B,0))</f>
        <v>1911.764232</v>
      </c>
      <c r="Y413" s="10">
        <f>INDEX([1]ratio_ins!W:W,MATCH('001_population_health_zone_zs'!$B$2,[1]ratio_ins!$B:$B,0))*$G413*INDEX([1]ratio_ins!$C:$C,MATCH('001_population_health_zone_zs'!$B413,[1]ratio_ins!$B:$B,0))</f>
        <v>1274.5094879999999</v>
      </c>
      <c r="Z413" s="10">
        <f>INDEX([1]ratio_ins!X:X,MATCH('001_population_health_zone_zs'!$B$2,[1]ratio_ins!$B:$B,0))*$G413*INDEX([1]ratio_ins!$C:$C,MATCH('001_population_health_zone_zs'!$B413,[1]ratio_ins!$B:$B,0))</f>
        <v>637.25474399999996</v>
      </c>
      <c r="AA413" s="10">
        <f>INDEX([1]ratio_ins!Y:Y,MATCH('001_population_health_zone_zs'!$B$2,[1]ratio_ins!$B:$B,0))*$G413*INDEX([1]ratio_ins!$C:$C,MATCH('001_population_health_zone_zs'!$B413,[1]ratio_ins!$B:$B,0))</f>
        <v>318.62737199999998</v>
      </c>
      <c r="AB413" s="11">
        <f>INDEX([1]ratio_ins!Z:Z,MATCH('001_population_health_zone_zs'!$B$2,[1]ratio_ins!$B:$B,0))*$G413*INDEX([1]ratio_ins!$C:$C,MATCH('001_population_health_zone_zs'!$B413,[1]ratio_ins!$B:$B,0))</f>
        <v>4142.1558359999999</v>
      </c>
      <c r="AC413" s="12">
        <f t="shared" si="36"/>
        <v>159313.68599999999</v>
      </c>
      <c r="AD413" s="10">
        <f>INDEX([1]ratio_ins!AA:AA,MATCH('001_population_health_zone_zs'!$B$2,[1]ratio_ins!$B:$B,0))*$G413*INDEX([1]ratio_ins!$D:$D,MATCH('001_population_health_zone_zs'!$B413,[1]ratio_ins!$B:$B,0))</f>
        <v>33724.595939999999</v>
      </c>
      <c r="AE413" s="10">
        <f>INDEX([1]ratio_ins!AB:AB,MATCH('001_population_health_zone_zs'!$B$2,[1]ratio_ins!$B:$B,0))*$G413*INDEX([1]ratio_ins!$D:$D,MATCH('001_population_health_zone_zs'!$B413,[1]ratio_ins!$B:$B,0))</f>
        <v>27782.643322000004</v>
      </c>
      <c r="AF413" s="10">
        <f>INDEX([1]ratio_ins!AC:AC,MATCH('001_population_health_zone_zs'!$B$2,[1]ratio_ins!$B:$B,0))*$G413*INDEX([1]ratio_ins!$D:$D,MATCH('001_population_health_zone_zs'!$B413,[1]ratio_ins!$B:$B,0))</f>
        <v>22001.284017999995</v>
      </c>
      <c r="AG413" s="10">
        <f>INDEX([1]ratio_ins!AD:AD,MATCH('001_population_health_zone_zs'!$B$2,[1]ratio_ins!$B:$B,0))*$G413*INDEX([1]ratio_ins!$D:$D,MATCH('001_population_health_zone_zs'!$B413,[1]ratio_ins!$B:$B,0))</f>
        <v>13329.245062000002</v>
      </c>
      <c r="AH413" s="10">
        <f>INDEX([1]ratio_ins!AE:AE,MATCH('001_population_health_zone_zs'!$B$2,[1]ratio_ins!$B:$B,0))*$G413*INDEX([1]ratio_ins!$D:$D,MATCH('001_population_health_zone_zs'!$B413,[1]ratio_ins!$B:$B,0))</f>
        <v>7997.5470372</v>
      </c>
      <c r="AI413" s="13">
        <f>INDEX([1]ratio_ins!AF:AF,MATCH('001_population_health_zone_zs'!$B$2,[1]ratio_ins!$B:$B,0))*$G413*INDEX([1]ratio_ins!$D:$D,MATCH('001_population_health_zone_zs'!$B413,[1]ratio_ins!$B:$B,0))</f>
        <v>91506.070317200007</v>
      </c>
      <c r="AJ413" s="10">
        <f>INDEX([1]ratio_ins!AG:AG,MATCH('001_population_health_zone_zs'!$B$2,[1]ratio_ins!$B:$B,0))*$G413*INDEX([1]ratio_ins!$D:$D,MATCH('001_population_health_zone_zs'!$B413,[1]ratio_ins!$B:$B,0))</f>
        <v>5331.6980248</v>
      </c>
      <c r="AK413" s="10">
        <f>INDEX([1]ratio_ins!AH:AH,MATCH('001_population_health_zone_zs'!$B$2,[1]ratio_ins!$B:$B,0))*$G413*INDEX([1]ratio_ins!$D:$D,MATCH('001_population_health_zone_zs'!$B413,[1]ratio_ins!$B:$B,0))</f>
        <v>11883.905236000001</v>
      </c>
      <c r="AL413" s="10">
        <f>INDEX([1]ratio_ins!AI:AI,MATCH('001_population_health_zone_zs'!$B$2,[1]ratio_ins!$B:$B,0))*$G413*INDEX([1]ratio_ins!$D:$D,MATCH('001_population_health_zone_zs'!$B413,[1]ratio_ins!$B:$B,0))</f>
        <v>11241.531980000002</v>
      </c>
      <c r="AM413" s="10">
        <f>INDEX([1]ratio_ins!AJ:AJ,MATCH('001_population_health_zone_zs'!$B$2,[1]ratio_ins!$B:$B,0))*$G413*INDEX([1]ratio_ins!$D:$D,MATCH('001_population_health_zone_zs'!$B413,[1]ratio_ins!$B:$B,0))</f>
        <v>10277.972096</v>
      </c>
      <c r="AN413" s="10">
        <f>INDEX([1]ratio_ins!AK:AK,MATCH('001_population_health_zone_zs'!$B$2,[1]ratio_ins!$B:$B,0))*$G413*INDEX([1]ratio_ins!$D:$D,MATCH('001_population_health_zone_zs'!$B413,[1]ratio_ins!$B:$B,0))</f>
        <v>9635.5988399999987</v>
      </c>
      <c r="AO413" s="10">
        <f>INDEX([1]ratio_ins!AL:AL,MATCH('001_population_health_zone_zs'!$B$2,[1]ratio_ins!$B:$B,0))*$G413*INDEX([1]ratio_ins!$D:$D,MATCH('001_population_health_zone_zs'!$B413,[1]ratio_ins!$B:$B,0))</f>
        <v>7226.6991299999991</v>
      </c>
      <c r="AP413" s="10">
        <f>INDEX([1]ratio_ins!AM:AM,MATCH('001_population_health_zone_zs'!$B$2,[1]ratio_ins!$B:$B,0))*$G413*INDEX([1]ratio_ins!$D:$D,MATCH('001_population_health_zone_zs'!$B413,[1]ratio_ins!$B:$B,0))</f>
        <v>4657.2061059999996</v>
      </c>
      <c r="AQ413" s="10">
        <f>INDEX([1]ratio_ins!AN:AN,MATCH('001_population_health_zone_zs'!$B$2,[1]ratio_ins!$B:$B,0))*$G413*INDEX([1]ratio_ins!$D:$D,MATCH('001_population_health_zone_zs'!$B413,[1]ratio_ins!$B:$B,0))</f>
        <v>3693.6462219999999</v>
      </c>
      <c r="AR413" s="10">
        <f>INDEX([1]ratio_ins!AO:AO,MATCH('001_population_health_zone_zs'!$B$2,[1]ratio_ins!$B:$B,0))*$G413*INDEX([1]ratio_ins!$D:$D,MATCH('001_population_health_zone_zs'!$B413,[1]ratio_ins!$B:$B,0))</f>
        <v>1766.5264540000001</v>
      </c>
      <c r="AS413" s="13">
        <f>INDEX([1]ratio_ins!AP:AP,MATCH('001_population_health_zone_zs'!$B$2,[1]ratio_ins!$B:$B,0))*$G413*INDEX([1]ratio_ins!$D:$D,MATCH('001_population_health_zone_zs'!$B413,[1]ratio_ins!$B:$B,0))</f>
        <v>65714.784088800006</v>
      </c>
      <c r="AT413" s="10">
        <f>INDEX([1]ratio_ins!AQ:AQ,MATCH('001_population_health_zone_zs'!$B$2,[1]ratio_ins!$B:$B,0))*$G413*INDEX([1]ratio_ins!$D:$D,MATCH('001_population_health_zone_zs'!$B413,[1]ratio_ins!$B:$B,0))</f>
        <v>1605.9331400000001</v>
      </c>
      <c r="AU413" s="10">
        <f>INDEX([1]ratio_ins!AR:AR,MATCH('001_population_health_zone_zs'!$B$2,[1]ratio_ins!$B:$B,0))*$G413*INDEX([1]ratio_ins!$D:$D,MATCH('001_population_health_zone_zs'!$B413,[1]ratio_ins!$B:$B,0))</f>
        <v>963.55988400000001</v>
      </c>
      <c r="AV413" s="10">
        <f>INDEX([1]ratio_ins!AS:AS,MATCH('001_population_health_zone_zs'!$B$2,[1]ratio_ins!$B:$B,0))*$G413*INDEX([1]ratio_ins!$D:$D,MATCH('001_population_health_zone_zs'!$B413,[1]ratio_ins!$B:$B,0))</f>
        <v>481.77994200000001</v>
      </c>
      <c r="AW413" s="10">
        <f>INDEX([1]ratio_ins!AT:AT,MATCH('001_population_health_zone_zs'!$B$2,[1]ratio_ins!$B:$B,0))*$G413*INDEX([1]ratio_ins!$D:$D,MATCH('001_population_health_zone_zs'!$B413,[1]ratio_ins!$B:$B,0))</f>
        <v>321.18662799999998</v>
      </c>
      <c r="AX413" s="13">
        <f>INDEX([1]ratio_ins!AU:AU,MATCH('001_population_health_zone_zs'!$B$2,[1]ratio_ins!$B:$B,0))*$G413*INDEX([1]ratio_ins!$D:$D,MATCH('001_population_health_zone_zs'!$B413,[1]ratio_ins!$B:$B,0))</f>
        <v>3372.4595939999999</v>
      </c>
      <c r="AY413" s="14">
        <f t="shared" si="37"/>
        <v>160593.31400000001</v>
      </c>
      <c r="AZ413" s="15">
        <f t="shared" si="38"/>
        <v>319907</v>
      </c>
      <c r="BA413" s="16">
        <v>304580.54174453724</v>
      </c>
      <c r="BB413" s="10">
        <f t="shared" si="39"/>
        <v>68252.158450000003</v>
      </c>
      <c r="BC413" s="17">
        <f t="shared" si="40"/>
        <v>0.21335000000000001</v>
      </c>
      <c r="BD413" s="10">
        <f t="shared" si="41"/>
        <v>66433.807062000007</v>
      </c>
    </row>
    <row r="414" spans="1:56" x14ac:dyDescent="0.25">
      <c r="A414" s="8" t="s">
        <v>975</v>
      </c>
      <c r="B414" s="8" t="s">
        <v>976</v>
      </c>
      <c r="C414" s="8" t="s">
        <v>1006</v>
      </c>
      <c r="D414" s="8" t="s">
        <v>1007</v>
      </c>
      <c r="E414" s="8" t="s">
        <v>1013</v>
      </c>
      <c r="F414" s="8" t="s">
        <v>1014</v>
      </c>
      <c r="G414" s="9">
        <v>303580</v>
      </c>
      <c r="H414" s="10">
        <f>INDEX([1]ratio_ins!F:F,MATCH('001_population_health_zone_zs'!$B$2,[1]ratio_ins!$B:$B,0))*$G414*INDEX([1]ratio_ins!$C:$C,MATCH('001_population_health_zone_zs'!$B414,[1]ratio_ins!$B:$B,0))</f>
        <v>31597.213559999997</v>
      </c>
      <c r="I414" s="10">
        <f>INDEX([1]ratio_ins!G:G,MATCH('001_population_health_zone_zs'!$B$2,[1]ratio_ins!$B:$B,0))*$G414*INDEX([1]ratio_ins!$C:$C,MATCH('001_population_health_zone_zs'!$B414,[1]ratio_ins!$B:$B,0))</f>
        <v>25852.265640000005</v>
      </c>
      <c r="J414" s="10">
        <f>INDEX([1]ratio_ins!H:H,MATCH('001_population_health_zone_zs'!$B$2,[1]ratio_ins!$B:$B,0))*$G414*INDEX([1]ratio_ins!$C:$C,MATCH('001_population_health_zone_zs'!$B414,[1]ratio_ins!$B:$B,0))</f>
        <v>20409.683400000002</v>
      </c>
      <c r="K414" s="10">
        <f>INDEX([1]ratio_ins!I:I,MATCH('001_population_health_zone_zs'!$B$2,[1]ratio_ins!$B:$B,0))*$G414*INDEX([1]ratio_ins!$C:$C,MATCH('001_population_health_zone_zs'!$B414,[1]ratio_ins!$B:$B,0))</f>
        <v>12548.175720000001</v>
      </c>
      <c r="L414" s="10">
        <f>INDEX([1]ratio_ins!J:J,MATCH('001_population_health_zone_zs'!$B$2,[1]ratio_ins!$B:$B,0))*$G414*INDEX([1]ratio_ins!$C:$C,MATCH('001_population_health_zone_zs'!$B414,[1]ratio_ins!$B:$B,0))</f>
        <v>7528.9054319999996</v>
      </c>
      <c r="M414" s="11">
        <f>INDEX([1]ratio_ins!K:K,MATCH('001_population_health_zone_zs'!$B$2,[1]ratio_ins!$B:$B,0))*$G414*INDEX([1]ratio_ins!$C:$C,MATCH('001_population_health_zone_zs'!$B414,[1]ratio_ins!$B:$B,0))</f>
        <v>85388.068031999996</v>
      </c>
      <c r="N414" s="10">
        <f>INDEX([1]ratio_ins!L:L,MATCH('001_population_health_zone_zs'!$B$2,[1]ratio_ins!$B:$B,0))*$G414*INDEX([1]ratio_ins!$C:$C,MATCH('001_population_health_zone_zs'!$B414,[1]ratio_ins!$B:$B,0))</f>
        <v>5019.2702879999997</v>
      </c>
      <c r="O414" s="10">
        <f>INDEX([1]ratio_ins!M:M,MATCH('001_population_health_zone_zs'!$B$2,[1]ratio_ins!$B:$B,0))*$G414*INDEX([1]ratio_ins!$C:$C,MATCH('001_population_health_zone_zs'!$B414,[1]ratio_ins!$B:$B,0))</f>
        <v>10885.164480000001</v>
      </c>
      <c r="P414" s="10">
        <f>INDEX([1]ratio_ins!N:N,MATCH('001_population_health_zone_zs'!$B$2,[1]ratio_ins!$B:$B,0))*$G414*INDEX([1]ratio_ins!$C:$C,MATCH('001_population_health_zone_zs'!$B414,[1]ratio_ins!$B:$B,0))</f>
        <v>9826.8846000000012</v>
      </c>
      <c r="Q414" s="10">
        <f>INDEX([1]ratio_ins!O:O,MATCH('001_population_health_zone_zs'!$B$2,[1]ratio_ins!$B:$B,0))*$G414*INDEX([1]ratio_ins!$C:$C,MATCH('001_population_health_zone_zs'!$B414,[1]ratio_ins!$B:$B,0))</f>
        <v>8768.6047199999994</v>
      </c>
      <c r="R414" s="10">
        <f>INDEX([1]ratio_ins!P:P,MATCH('001_population_health_zone_zs'!$B$2,[1]ratio_ins!$B:$B,0))*$G414*INDEX([1]ratio_ins!$C:$C,MATCH('001_population_health_zone_zs'!$B414,[1]ratio_ins!$B:$B,0))</f>
        <v>8617.4218799999999</v>
      </c>
      <c r="S414" s="10">
        <f>INDEX([1]ratio_ins!Q:Q,MATCH('001_population_health_zone_zs'!$B$2,[1]ratio_ins!$B:$B,0))*$G414*INDEX([1]ratio_ins!$C:$C,MATCH('001_population_health_zone_zs'!$B414,[1]ratio_ins!$B:$B,0))</f>
        <v>7256.7763199999999</v>
      </c>
      <c r="T414" s="10">
        <f>INDEX([1]ratio_ins!R:R,MATCH('001_population_health_zone_zs'!$B$2,[1]ratio_ins!$B:$B,0))*$G414*INDEX([1]ratio_ins!$C:$C,MATCH('001_population_health_zone_zs'!$B414,[1]ratio_ins!$B:$B,0))</f>
        <v>5140.2165600000008</v>
      </c>
      <c r="U414" s="10">
        <f>INDEX([1]ratio_ins!S:S,MATCH('001_population_health_zone_zs'!$B$2,[1]ratio_ins!$B:$B,0))*$G414*INDEX([1]ratio_ins!$C:$C,MATCH('001_population_health_zone_zs'!$B414,[1]ratio_ins!$B:$B,0))</f>
        <v>4081.9366800000007</v>
      </c>
      <c r="V414" s="10">
        <f>INDEX([1]ratio_ins!T:T,MATCH('001_population_health_zone_zs'!$B$2,[1]ratio_ins!$B:$B,0))*$G414*INDEX([1]ratio_ins!$C:$C,MATCH('001_population_health_zone_zs'!$B414,[1]ratio_ins!$B:$B,0))</f>
        <v>2267.7426</v>
      </c>
      <c r="W414" s="11">
        <f>INDEX([1]ratio_ins!U:U,MATCH('001_population_health_zone_zs'!$B$2,[1]ratio_ins!$B:$B,0))*$G414*INDEX([1]ratio_ins!$C:$C,MATCH('001_population_health_zone_zs'!$B414,[1]ratio_ins!$B:$B,0))</f>
        <v>61864.018128000003</v>
      </c>
      <c r="X414" s="10">
        <f>INDEX([1]ratio_ins!V:V,MATCH('001_population_health_zone_zs'!$B$2,[1]ratio_ins!$B:$B,0))*$G414*INDEX([1]ratio_ins!$C:$C,MATCH('001_population_health_zone_zs'!$B414,[1]ratio_ins!$B:$B,0))</f>
        <v>1814.19408</v>
      </c>
      <c r="Y414" s="10">
        <f>INDEX([1]ratio_ins!W:W,MATCH('001_population_health_zone_zs'!$B$2,[1]ratio_ins!$B:$B,0))*$G414*INDEX([1]ratio_ins!$C:$C,MATCH('001_population_health_zone_zs'!$B414,[1]ratio_ins!$B:$B,0))</f>
        <v>1209.46272</v>
      </c>
      <c r="Z414" s="10">
        <f>INDEX([1]ratio_ins!X:X,MATCH('001_population_health_zone_zs'!$B$2,[1]ratio_ins!$B:$B,0))*$G414*INDEX([1]ratio_ins!$C:$C,MATCH('001_population_health_zone_zs'!$B414,[1]ratio_ins!$B:$B,0))</f>
        <v>604.73136</v>
      </c>
      <c r="AA414" s="10">
        <f>INDEX([1]ratio_ins!Y:Y,MATCH('001_population_health_zone_zs'!$B$2,[1]ratio_ins!$B:$B,0))*$G414*INDEX([1]ratio_ins!$C:$C,MATCH('001_population_health_zone_zs'!$B414,[1]ratio_ins!$B:$B,0))</f>
        <v>302.36568</v>
      </c>
      <c r="AB414" s="11">
        <f>INDEX([1]ratio_ins!Z:Z,MATCH('001_population_health_zone_zs'!$B$2,[1]ratio_ins!$B:$B,0))*$G414*INDEX([1]ratio_ins!$C:$C,MATCH('001_population_health_zone_zs'!$B414,[1]ratio_ins!$B:$B,0))</f>
        <v>3930.7538400000003</v>
      </c>
      <c r="AC414" s="12">
        <f t="shared" si="36"/>
        <v>151182.84</v>
      </c>
      <c r="AD414" s="10">
        <f>INDEX([1]ratio_ins!AA:AA,MATCH('001_population_health_zone_zs'!$B$2,[1]ratio_ins!$B:$B,0))*$G414*INDEX([1]ratio_ins!$D:$D,MATCH('001_population_health_zone_zs'!$B414,[1]ratio_ins!$B:$B,0))</f>
        <v>32003.403599999998</v>
      </c>
      <c r="AE414" s="10">
        <f>INDEX([1]ratio_ins!AB:AB,MATCH('001_population_health_zone_zs'!$B$2,[1]ratio_ins!$B:$B,0))*$G414*INDEX([1]ratio_ins!$D:$D,MATCH('001_population_health_zone_zs'!$B414,[1]ratio_ins!$B:$B,0))</f>
        <v>26364.708680000003</v>
      </c>
      <c r="AF414" s="10">
        <f>INDEX([1]ratio_ins!AC:AC,MATCH('001_population_health_zone_zs'!$B$2,[1]ratio_ins!$B:$B,0))*$G414*INDEX([1]ratio_ins!$D:$D,MATCH('001_population_health_zone_zs'!$B414,[1]ratio_ins!$B:$B,0))</f>
        <v>20878.410919999995</v>
      </c>
      <c r="AG414" s="10">
        <f>INDEX([1]ratio_ins!AD:AD,MATCH('001_population_health_zone_zs'!$B$2,[1]ratio_ins!$B:$B,0))*$G414*INDEX([1]ratio_ins!$D:$D,MATCH('001_population_health_zone_zs'!$B414,[1]ratio_ins!$B:$B,0))</f>
        <v>12648.964280000002</v>
      </c>
      <c r="AH414" s="10">
        <f>INDEX([1]ratio_ins!AE:AE,MATCH('001_population_health_zone_zs'!$B$2,[1]ratio_ins!$B:$B,0))*$G414*INDEX([1]ratio_ins!$D:$D,MATCH('001_population_health_zone_zs'!$B414,[1]ratio_ins!$B:$B,0))</f>
        <v>7589.3785680000001</v>
      </c>
      <c r="AI414" s="13">
        <f>INDEX([1]ratio_ins!AF:AF,MATCH('001_population_health_zone_zs'!$B$2,[1]ratio_ins!$B:$B,0))*$G414*INDEX([1]ratio_ins!$D:$D,MATCH('001_population_health_zone_zs'!$B414,[1]ratio_ins!$B:$B,0))</f>
        <v>86835.901767999996</v>
      </c>
      <c r="AJ414" s="10">
        <f>INDEX([1]ratio_ins!AG:AG,MATCH('001_population_health_zone_zs'!$B$2,[1]ratio_ins!$B:$B,0))*$G414*INDEX([1]ratio_ins!$D:$D,MATCH('001_population_health_zone_zs'!$B414,[1]ratio_ins!$B:$B,0))</f>
        <v>5059.5857120000001</v>
      </c>
      <c r="AK414" s="10">
        <f>INDEX([1]ratio_ins!AH:AH,MATCH('001_population_health_zone_zs'!$B$2,[1]ratio_ins!$B:$B,0))*$G414*INDEX([1]ratio_ins!$D:$D,MATCH('001_population_health_zone_zs'!$B414,[1]ratio_ins!$B:$B,0))</f>
        <v>11277.389840000002</v>
      </c>
      <c r="AL414" s="10">
        <f>INDEX([1]ratio_ins!AI:AI,MATCH('001_population_health_zone_zs'!$B$2,[1]ratio_ins!$B:$B,0))*$G414*INDEX([1]ratio_ins!$D:$D,MATCH('001_population_health_zone_zs'!$B414,[1]ratio_ins!$B:$B,0))</f>
        <v>10667.801200000002</v>
      </c>
      <c r="AM414" s="10">
        <f>INDEX([1]ratio_ins!AJ:AJ,MATCH('001_population_health_zone_zs'!$B$2,[1]ratio_ins!$B:$B,0))*$G414*INDEX([1]ratio_ins!$D:$D,MATCH('001_population_health_zone_zs'!$B414,[1]ratio_ins!$B:$B,0))</f>
        <v>9753.4182399999991</v>
      </c>
      <c r="AN414" s="10">
        <f>INDEX([1]ratio_ins!AK:AK,MATCH('001_population_health_zone_zs'!$B$2,[1]ratio_ins!$B:$B,0))*$G414*INDEX([1]ratio_ins!$D:$D,MATCH('001_population_health_zone_zs'!$B414,[1]ratio_ins!$B:$B,0))</f>
        <v>9143.8295999999991</v>
      </c>
      <c r="AO414" s="10">
        <f>INDEX([1]ratio_ins!AL:AL,MATCH('001_population_health_zone_zs'!$B$2,[1]ratio_ins!$B:$B,0))*$G414*INDEX([1]ratio_ins!$D:$D,MATCH('001_population_health_zone_zs'!$B414,[1]ratio_ins!$B:$B,0))</f>
        <v>6857.8721999999998</v>
      </c>
      <c r="AP414" s="10">
        <f>INDEX([1]ratio_ins!AM:AM,MATCH('001_population_health_zone_zs'!$B$2,[1]ratio_ins!$B:$B,0))*$G414*INDEX([1]ratio_ins!$D:$D,MATCH('001_population_health_zone_zs'!$B414,[1]ratio_ins!$B:$B,0))</f>
        <v>4419.51764</v>
      </c>
      <c r="AQ414" s="10">
        <f>INDEX([1]ratio_ins!AN:AN,MATCH('001_population_health_zone_zs'!$B$2,[1]ratio_ins!$B:$B,0))*$G414*INDEX([1]ratio_ins!$D:$D,MATCH('001_population_health_zone_zs'!$B414,[1]ratio_ins!$B:$B,0))</f>
        <v>3505.1346800000001</v>
      </c>
      <c r="AR414" s="10">
        <f>INDEX([1]ratio_ins!AO:AO,MATCH('001_population_health_zone_zs'!$B$2,[1]ratio_ins!$B:$B,0))*$G414*INDEX([1]ratio_ins!$D:$D,MATCH('001_population_health_zone_zs'!$B414,[1]ratio_ins!$B:$B,0))</f>
        <v>1676.3687600000001</v>
      </c>
      <c r="AS414" s="13">
        <f>INDEX([1]ratio_ins!AP:AP,MATCH('001_population_health_zone_zs'!$B$2,[1]ratio_ins!$B:$B,0))*$G414*INDEX([1]ratio_ins!$D:$D,MATCH('001_population_health_zone_zs'!$B414,[1]ratio_ins!$B:$B,0))</f>
        <v>62360.917871999998</v>
      </c>
      <c r="AT414" s="10">
        <f>INDEX([1]ratio_ins!AQ:AQ,MATCH('001_population_health_zone_zs'!$B$2,[1]ratio_ins!$B:$B,0))*$G414*INDEX([1]ratio_ins!$D:$D,MATCH('001_population_health_zone_zs'!$B414,[1]ratio_ins!$B:$B,0))</f>
        <v>1523.9716000000001</v>
      </c>
      <c r="AU414" s="10">
        <f>INDEX([1]ratio_ins!AR:AR,MATCH('001_population_health_zone_zs'!$B$2,[1]ratio_ins!$B:$B,0))*$G414*INDEX([1]ratio_ins!$D:$D,MATCH('001_population_health_zone_zs'!$B414,[1]ratio_ins!$B:$B,0))</f>
        <v>914.38296000000003</v>
      </c>
      <c r="AV414" s="10">
        <f>INDEX([1]ratio_ins!AS:AS,MATCH('001_population_health_zone_zs'!$B$2,[1]ratio_ins!$B:$B,0))*$G414*INDEX([1]ratio_ins!$D:$D,MATCH('001_population_health_zone_zs'!$B414,[1]ratio_ins!$B:$B,0))</f>
        <v>457.19148000000001</v>
      </c>
      <c r="AW414" s="10">
        <f>INDEX([1]ratio_ins!AT:AT,MATCH('001_population_health_zone_zs'!$B$2,[1]ratio_ins!$B:$B,0))*$G414*INDEX([1]ratio_ins!$D:$D,MATCH('001_population_health_zone_zs'!$B414,[1]ratio_ins!$B:$B,0))</f>
        <v>304.79431999999997</v>
      </c>
      <c r="AX414" s="13">
        <f>INDEX([1]ratio_ins!AU:AU,MATCH('001_population_health_zone_zs'!$B$2,[1]ratio_ins!$B:$B,0))*$G414*INDEX([1]ratio_ins!$D:$D,MATCH('001_population_health_zone_zs'!$B414,[1]ratio_ins!$B:$B,0))</f>
        <v>3200.3403599999997</v>
      </c>
      <c r="AY414" s="14">
        <f t="shared" si="37"/>
        <v>152397.16</v>
      </c>
      <c r="AZ414" s="15">
        <f t="shared" si="38"/>
        <v>303580</v>
      </c>
      <c r="BA414" s="16">
        <v>289035.33119251789</v>
      </c>
      <c r="BB414" s="10">
        <f t="shared" si="39"/>
        <v>64768.792999999998</v>
      </c>
      <c r="BC414" s="17">
        <f t="shared" si="40"/>
        <v>0.21334999999999998</v>
      </c>
      <c r="BD414" s="10">
        <f t="shared" si="41"/>
        <v>63043.244279999999</v>
      </c>
    </row>
    <row r="415" spans="1:56" x14ac:dyDescent="0.25">
      <c r="A415" s="8" t="s">
        <v>1015</v>
      </c>
      <c r="B415" s="8" t="s">
        <v>1016</v>
      </c>
      <c r="C415" s="8" t="s">
        <v>1017</v>
      </c>
      <c r="D415" s="8" t="s">
        <v>1018</v>
      </c>
      <c r="E415" s="8" t="s">
        <v>1017</v>
      </c>
      <c r="F415" s="8" t="s">
        <v>1019</v>
      </c>
      <c r="G415" s="9">
        <v>540745</v>
      </c>
      <c r="H415" s="10">
        <f>INDEX([1]ratio_ins!F:F,MATCH('001_population_health_zone_zs'!$B$2,[1]ratio_ins!$B:$B,0))*$G415*INDEX([1]ratio_ins!$C:$C,MATCH('001_population_health_zone_zs'!$B415,[1]ratio_ins!$B:$B,0))</f>
        <v>56168.805385000007</v>
      </c>
      <c r="I415" s="10">
        <f>INDEX([1]ratio_ins!G:G,MATCH('001_population_health_zone_zs'!$B$2,[1]ratio_ins!$B:$B,0))*$G415*INDEX([1]ratio_ins!$C:$C,MATCH('001_population_health_zone_zs'!$B415,[1]ratio_ins!$B:$B,0))</f>
        <v>45956.29531500001</v>
      </c>
      <c r="J415" s="10">
        <f>INDEX([1]ratio_ins!H:H,MATCH('001_population_health_zone_zs'!$B$2,[1]ratio_ins!$B:$B,0))*$G415*INDEX([1]ratio_ins!$C:$C,MATCH('001_population_health_zone_zs'!$B415,[1]ratio_ins!$B:$B,0))</f>
        <v>36281.285775000011</v>
      </c>
      <c r="K415" s="10">
        <f>INDEX([1]ratio_ins!I:I,MATCH('001_population_health_zone_zs'!$B$2,[1]ratio_ins!$B:$B,0))*$G415*INDEX([1]ratio_ins!$C:$C,MATCH('001_population_health_zone_zs'!$B415,[1]ratio_ins!$B:$B,0))</f>
        <v>22306.271995000003</v>
      </c>
      <c r="L415" s="10">
        <f>INDEX([1]ratio_ins!J:J,MATCH('001_population_health_zone_zs'!$B$2,[1]ratio_ins!$B:$B,0))*$G415*INDEX([1]ratio_ins!$C:$C,MATCH('001_population_health_zone_zs'!$B415,[1]ratio_ins!$B:$B,0))</f>
        <v>13383.763197</v>
      </c>
      <c r="M415" s="11">
        <f>INDEX([1]ratio_ins!K:K,MATCH('001_population_health_zone_zs'!$B$2,[1]ratio_ins!$B:$B,0))*$G415*INDEX([1]ratio_ins!$C:$C,MATCH('001_population_health_zone_zs'!$B415,[1]ratio_ins!$B:$B,0))</f>
        <v>151790.149672</v>
      </c>
      <c r="N415" s="10">
        <f>INDEX([1]ratio_ins!L:L,MATCH('001_population_health_zone_zs'!$B$2,[1]ratio_ins!$B:$B,0))*$G415*INDEX([1]ratio_ins!$C:$C,MATCH('001_population_health_zone_zs'!$B415,[1]ratio_ins!$B:$B,0))</f>
        <v>8922.5087980000008</v>
      </c>
      <c r="O415" s="10">
        <f>INDEX([1]ratio_ins!M:M,MATCH('001_population_health_zone_zs'!$B$2,[1]ratio_ins!$B:$B,0))*$G415*INDEX([1]ratio_ins!$C:$C,MATCH('001_population_health_zone_zs'!$B415,[1]ratio_ins!$B:$B,0))</f>
        <v>19350.019080000005</v>
      </c>
      <c r="P415" s="10">
        <f>INDEX([1]ratio_ins!N:N,MATCH('001_population_health_zone_zs'!$B$2,[1]ratio_ins!$B:$B,0))*$G415*INDEX([1]ratio_ins!$C:$C,MATCH('001_population_health_zone_zs'!$B415,[1]ratio_ins!$B:$B,0))</f>
        <v>17468.767225000003</v>
      </c>
      <c r="Q415" s="10">
        <f>INDEX([1]ratio_ins!O:O,MATCH('001_population_health_zone_zs'!$B$2,[1]ratio_ins!$B:$B,0))*$G415*INDEX([1]ratio_ins!$C:$C,MATCH('001_population_health_zone_zs'!$B415,[1]ratio_ins!$B:$B,0))</f>
        <v>15587.515370000001</v>
      </c>
      <c r="R415" s="10">
        <f>INDEX([1]ratio_ins!P:P,MATCH('001_population_health_zone_zs'!$B$2,[1]ratio_ins!$B:$B,0))*$G415*INDEX([1]ratio_ins!$C:$C,MATCH('001_population_health_zone_zs'!$B415,[1]ratio_ins!$B:$B,0))</f>
        <v>15318.765105000002</v>
      </c>
      <c r="S415" s="10">
        <f>INDEX([1]ratio_ins!Q:Q,MATCH('001_population_health_zone_zs'!$B$2,[1]ratio_ins!$B:$B,0))*$G415*INDEX([1]ratio_ins!$C:$C,MATCH('001_population_health_zone_zs'!$B415,[1]ratio_ins!$B:$B,0))</f>
        <v>12900.012720000002</v>
      </c>
      <c r="T415" s="10">
        <f>INDEX([1]ratio_ins!R:R,MATCH('001_population_health_zone_zs'!$B$2,[1]ratio_ins!$B:$B,0))*$G415*INDEX([1]ratio_ins!$C:$C,MATCH('001_population_health_zone_zs'!$B415,[1]ratio_ins!$B:$B,0))</f>
        <v>9137.5090100000016</v>
      </c>
      <c r="U415" s="10">
        <f>INDEX([1]ratio_ins!S:S,MATCH('001_population_health_zone_zs'!$B$2,[1]ratio_ins!$B:$B,0))*$G415*INDEX([1]ratio_ins!$C:$C,MATCH('001_population_health_zone_zs'!$B415,[1]ratio_ins!$B:$B,0))</f>
        <v>7256.2571550000011</v>
      </c>
      <c r="V415" s="10">
        <f>INDEX([1]ratio_ins!T:T,MATCH('001_population_health_zone_zs'!$B$2,[1]ratio_ins!$B:$B,0))*$G415*INDEX([1]ratio_ins!$C:$C,MATCH('001_population_health_zone_zs'!$B415,[1]ratio_ins!$B:$B,0))</f>
        <v>4031.2539750000001</v>
      </c>
      <c r="W415" s="11">
        <f>INDEX([1]ratio_ins!U:U,MATCH('001_population_health_zone_zs'!$B$2,[1]ratio_ins!$B:$B,0))*$G415*INDEX([1]ratio_ins!$C:$C,MATCH('001_population_health_zone_zs'!$B415,[1]ratio_ins!$B:$B,0))</f>
        <v>109972.60843800001</v>
      </c>
      <c r="X415" s="10">
        <f>INDEX([1]ratio_ins!V:V,MATCH('001_population_health_zone_zs'!$B$2,[1]ratio_ins!$B:$B,0))*$G415*INDEX([1]ratio_ins!$C:$C,MATCH('001_population_health_zone_zs'!$B415,[1]ratio_ins!$B:$B,0))</f>
        <v>3225.0031800000006</v>
      </c>
      <c r="Y415" s="10">
        <f>INDEX([1]ratio_ins!W:W,MATCH('001_population_health_zone_zs'!$B$2,[1]ratio_ins!$B:$B,0))*$G415*INDEX([1]ratio_ins!$C:$C,MATCH('001_population_health_zone_zs'!$B415,[1]ratio_ins!$B:$B,0))</f>
        <v>2150.0021200000001</v>
      </c>
      <c r="Z415" s="10">
        <f>INDEX([1]ratio_ins!X:X,MATCH('001_population_health_zone_zs'!$B$2,[1]ratio_ins!$B:$B,0))*$G415*INDEX([1]ratio_ins!$C:$C,MATCH('001_population_health_zone_zs'!$B415,[1]ratio_ins!$B:$B,0))</f>
        <v>1075.0010600000001</v>
      </c>
      <c r="AA415" s="10">
        <f>INDEX([1]ratio_ins!Y:Y,MATCH('001_population_health_zone_zs'!$B$2,[1]ratio_ins!$B:$B,0))*$G415*INDEX([1]ratio_ins!$C:$C,MATCH('001_population_health_zone_zs'!$B415,[1]ratio_ins!$B:$B,0))</f>
        <v>537.50053000000003</v>
      </c>
      <c r="AB415" s="11">
        <f>INDEX([1]ratio_ins!Z:Z,MATCH('001_population_health_zone_zs'!$B$2,[1]ratio_ins!$B:$B,0))*$G415*INDEX([1]ratio_ins!$C:$C,MATCH('001_population_health_zone_zs'!$B415,[1]ratio_ins!$B:$B,0))</f>
        <v>6987.5068900000015</v>
      </c>
      <c r="AC415" s="12">
        <f t="shared" si="36"/>
        <v>268750.26500000001</v>
      </c>
      <c r="AD415" s="10">
        <f>INDEX([1]ratio_ins!AA:AA,MATCH('001_population_health_zone_zs'!$B$2,[1]ratio_ins!$B:$B,0))*$G415*INDEX([1]ratio_ins!$D:$D,MATCH('001_population_health_zone_zs'!$B415,[1]ratio_ins!$B:$B,0))</f>
        <v>57118.894350000002</v>
      </c>
      <c r="AE415" s="10">
        <f>INDEX([1]ratio_ins!AB:AB,MATCH('001_population_health_zone_zs'!$B$2,[1]ratio_ins!$B:$B,0))*$G415*INDEX([1]ratio_ins!$D:$D,MATCH('001_population_health_zone_zs'!$B415,[1]ratio_ins!$B:$B,0))</f>
        <v>47055.089155000001</v>
      </c>
      <c r="AF415" s="10">
        <f>INDEX([1]ratio_ins!AC:AC,MATCH('001_population_health_zone_zs'!$B$2,[1]ratio_ins!$B:$B,0))*$G415*INDEX([1]ratio_ins!$D:$D,MATCH('001_population_health_zone_zs'!$B415,[1]ratio_ins!$B:$B,0))</f>
        <v>37263.278694999994</v>
      </c>
      <c r="AG415" s="10">
        <f>INDEX([1]ratio_ins!AD:AD,MATCH('001_population_health_zone_zs'!$B$2,[1]ratio_ins!$B:$B,0))*$G415*INDEX([1]ratio_ins!$D:$D,MATCH('001_population_health_zone_zs'!$B415,[1]ratio_ins!$B:$B,0))</f>
        <v>22575.563005</v>
      </c>
      <c r="AH415" s="10">
        <f>INDEX([1]ratio_ins!AE:AE,MATCH('001_population_health_zone_zs'!$B$2,[1]ratio_ins!$B:$B,0))*$G415*INDEX([1]ratio_ins!$D:$D,MATCH('001_population_health_zone_zs'!$B415,[1]ratio_ins!$B:$B,0))</f>
        <v>13545.337803</v>
      </c>
      <c r="AI415" s="13">
        <f>INDEX([1]ratio_ins!AF:AF,MATCH('001_population_health_zone_zs'!$B$2,[1]ratio_ins!$B:$B,0))*$G415*INDEX([1]ratio_ins!$D:$D,MATCH('001_population_health_zone_zs'!$B415,[1]ratio_ins!$B:$B,0))</f>
        <v>154982.600003</v>
      </c>
      <c r="AJ415" s="10">
        <f>INDEX([1]ratio_ins!AG:AG,MATCH('001_population_health_zone_zs'!$B$2,[1]ratio_ins!$B:$B,0))*$G415*INDEX([1]ratio_ins!$D:$D,MATCH('001_population_health_zone_zs'!$B415,[1]ratio_ins!$B:$B,0))</f>
        <v>9030.2252019999996</v>
      </c>
      <c r="AK415" s="10">
        <f>INDEX([1]ratio_ins!AH:AH,MATCH('001_population_health_zone_zs'!$B$2,[1]ratio_ins!$B:$B,0))*$G415*INDEX([1]ratio_ins!$D:$D,MATCH('001_population_health_zone_zs'!$B415,[1]ratio_ins!$B:$B,0))</f>
        <v>20127.610390000002</v>
      </c>
      <c r="AL415" s="10">
        <f>INDEX([1]ratio_ins!AI:AI,MATCH('001_population_health_zone_zs'!$B$2,[1]ratio_ins!$B:$B,0))*$G415*INDEX([1]ratio_ins!$D:$D,MATCH('001_population_health_zone_zs'!$B415,[1]ratio_ins!$B:$B,0))</f>
        <v>19039.631450000001</v>
      </c>
      <c r="AM415" s="10">
        <f>INDEX([1]ratio_ins!AJ:AJ,MATCH('001_population_health_zone_zs'!$B$2,[1]ratio_ins!$B:$B,0))*$G415*INDEX([1]ratio_ins!$D:$D,MATCH('001_population_health_zone_zs'!$B415,[1]ratio_ins!$B:$B,0))</f>
        <v>17407.663039999999</v>
      </c>
      <c r="AN415" s="10">
        <f>INDEX([1]ratio_ins!AK:AK,MATCH('001_population_health_zone_zs'!$B$2,[1]ratio_ins!$B:$B,0))*$G415*INDEX([1]ratio_ins!$D:$D,MATCH('001_population_health_zone_zs'!$B415,[1]ratio_ins!$B:$B,0))</f>
        <v>16319.684099999999</v>
      </c>
      <c r="AO415" s="10">
        <f>INDEX([1]ratio_ins!AL:AL,MATCH('001_population_health_zone_zs'!$B$2,[1]ratio_ins!$B:$B,0))*$G415*INDEX([1]ratio_ins!$D:$D,MATCH('001_population_health_zone_zs'!$B415,[1]ratio_ins!$B:$B,0))</f>
        <v>12239.763074999999</v>
      </c>
      <c r="AP415" s="10">
        <f>INDEX([1]ratio_ins!AM:AM,MATCH('001_population_health_zone_zs'!$B$2,[1]ratio_ins!$B:$B,0))*$G415*INDEX([1]ratio_ins!$D:$D,MATCH('001_population_health_zone_zs'!$B415,[1]ratio_ins!$B:$B,0))</f>
        <v>7887.847315</v>
      </c>
      <c r="AQ415" s="10">
        <f>INDEX([1]ratio_ins!AN:AN,MATCH('001_population_health_zone_zs'!$B$2,[1]ratio_ins!$B:$B,0))*$G415*INDEX([1]ratio_ins!$D:$D,MATCH('001_population_health_zone_zs'!$B415,[1]ratio_ins!$B:$B,0))</f>
        <v>6255.8789050000005</v>
      </c>
      <c r="AR415" s="10">
        <f>INDEX([1]ratio_ins!AO:AO,MATCH('001_population_health_zone_zs'!$B$2,[1]ratio_ins!$B:$B,0))*$G415*INDEX([1]ratio_ins!$D:$D,MATCH('001_population_health_zone_zs'!$B415,[1]ratio_ins!$B:$B,0))</f>
        <v>2991.9420850000001</v>
      </c>
      <c r="AS415" s="13">
        <f>INDEX([1]ratio_ins!AP:AP,MATCH('001_population_health_zone_zs'!$B$2,[1]ratio_ins!$B:$B,0))*$G415*INDEX([1]ratio_ins!$D:$D,MATCH('001_population_health_zone_zs'!$B415,[1]ratio_ins!$B:$B,0))</f>
        <v>111300.245562</v>
      </c>
      <c r="AT415" s="10">
        <f>INDEX([1]ratio_ins!AQ:AQ,MATCH('001_population_health_zone_zs'!$B$2,[1]ratio_ins!$B:$B,0))*$G415*INDEX([1]ratio_ins!$D:$D,MATCH('001_population_health_zone_zs'!$B415,[1]ratio_ins!$B:$B,0))</f>
        <v>2719.9473499999999</v>
      </c>
      <c r="AU415" s="10">
        <f>INDEX([1]ratio_ins!AR:AR,MATCH('001_population_health_zone_zs'!$B$2,[1]ratio_ins!$B:$B,0))*$G415*INDEX([1]ratio_ins!$D:$D,MATCH('001_population_health_zone_zs'!$B415,[1]ratio_ins!$B:$B,0))</f>
        <v>1631.9684100000002</v>
      </c>
      <c r="AV415" s="10">
        <f>INDEX([1]ratio_ins!AS:AS,MATCH('001_population_health_zone_zs'!$B$2,[1]ratio_ins!$B:$B,0))*$G415*INDEX([1]ratio_ins!$D:$D,MATCH('001_population_health_zone_zs'!$B415,[1]ratio_ins!$B:$B,0))</f>
        <v>815.98420500000009</v>
      </c>
      <c r="AW415" s="10">
        <f>INDEX([1]ratio_ins!AT:AT,MATCH('001_population_health_zone_zs'!$B$2,[1]ratio_ins!$B:$B,0))*$G415*INDEX([1]ratio_ins!$D:$D,MATCH('001_population_health_zone_zs'!$B415,[1]ratio_ins!$B:$B,0))</f>
        <v>543.98946999999998</v>
      </c>
      <c r="AX415" s="13">
        <f>INDEX([1]ratio_ins!AU:AU,MATCH('001_population_health_zone_zs'!$B$2,[1]ratio_ins!$B:$B,0))*$G415*INDEX([1]ratio_ins!$D:$D,MATCH('001_population_health_zone_zs'!$B415,[1]ratio_ins!$B:$B,0))</f>
        <v>5711.8894349999991</v>
      </c>
      <c r="AY415" s="14">
        <f t="shared" si="37"/>
        <v>271994.73499999999</v>
      </c>
      <c r="AZ415" s="15">
        <f t="shared" si="38"/>
        <v>540745</v>
      </c>
      <c r="BA415" s="16">
        <v>514237.84509406413</v>
      </c>
      <c r="BB415" s="10">
        <f t="shared" si="39"/>
        <v>115597.76237500001</v>
      </c>
      <c r="BC415" s="17">
        <f t="shared" si="40"/>
        <v>0.21377500000000002</v>
      </c>
      <c r="BD415" s="10">
        <f t="shared" si="41"/>
        <v>112068.86050500002</v>
      </c>
    </row>
    <row r="416" spans="1:56" x14ac:dyDescent="0.25">
      <c r="A416" s="8" t="s">
        <v>1015</v>
      </c>
      <c r="B416" s="8" t="s">
        <v>1016</v>
      </c>
      <c r="C416" s="8" t="s">
        <v>1017</v>
      </c>
      <c r="D416" s="8" t="s">
        <v>1018</v>
      </c>
      <c r="E416" s="8" t="s">
        <v>1020</v>
      </c>
      <c r="F416" s="8" t="s">
        <v>1021</v>
      </c>
      <c r="G416" s="9">
        <v>508070</v>
      </c>
      <c r="H416" s="10">
        <f>INDEX([1]ratio_ins!F:F,MATCH('001_population_health_zone_zs'!$B$2,[1]ratio_ins!$B:$B,0))*$G416*INDEX([1]ratio_ins!$C:$C,MATCH('001_population_health_zone_zs'!$B416,[1]ratio_ins!$B:$B,0))</f>
        <v>52774.755109999998</v>
      </c>
      <c r="I416" s="10">
        <f>INDEX([1]ratio_ins!G:G,MATCH('001_population_health_zone_zs'!$B$2,[1]ratio_ins!$B:$B,0))*$G416*INDEX([1]ratio_ins!$C:$C,MATCH('001_population_health_zone_zs'!$B416,[1]ratio_ins!$B:$B,0))</f>
        <v>43179.345090000003</v>
      </c>
      <c r="J416" s="10">
        <f>INDEX([1]ratio_ins!H:H,MATCH('001_population_health_zone_zs'!$B$2,[1]ratio_ins!$B:$B,0))*$G416*INDEX([1]ratio_ins!$C:$C,MATCH('001_population_health_zone_zs'!$B416,[1]ratio_ins!$B:$B,0))</f>
        <v>34088.956650000007</v>
      </c>
      <c r="K416" s="10">
        <f>INDEX([1]ratio_ins!I:I,MATCH('001_population_health_zone_zs'!$B$2,[1]ratio_ins!$B:$B,0))*$G416*INDEX([1]ratio_ins!$C:$C,MATCH('001_population_health_zone_zs'!$B416,[1]ratio_ins!$B:$B,0))</f>
        <v>20958.395570000004</v>
      </c>
      <c r="L416" s="10">
        <f>INDEX([1]ratio_ins!J:J,MATCH('001_population_health_zone_zs'!$B$2,[1]ratio_ins!$B:$B,0))*$G416*INDEX([1]ratio_ins!$C:$C,MATCH('001_population_health_zone_zs'!$B416,[1]ratio_ins!$B:$B,0))</f>
        <v>12575.037342000001</v>
      </c>
      <c r="M416" s="11">
        <f>INDEX([1]ratio_ins!K:K,MATCH('001_population_health_zone_zs'!$B$2,[1]ratio_ins!$B:$B,0))*$G416*INDEX([1]ratio_ins!$C:$C,MATCH('001_population_health_zone_zs'!$B416,[1]ratio_ins!$B:$B,0))</f>
        <v>142618.09419200002</v>
      </c>
      <c r="N416" s="10">
        <f>INDEX([1]ratio_ins!L:L,MATCH('001_population_health_zone_zs'!$B$2,[1]ratio_ins!$B:$B,0))*$G416*INDEX([1]ratio_ins!$C:$C,MATCH('001_population_health_zone_zs'!$B416,[1]ratio_ins!$B:$B,0))</f>
        <v>8383.358228000001</v>
      </c>
      <c r="O416" s="10">
        <f>INDEX([1]ratio_ins!M:M,MATCH('001_population_health_zone_zs'!$B$2,[1]ratio_ins!$B:$B,0))*$G416*INDEX([1]ratio_ins!$C:$C,MATCH('001_population_health_zone_zs'!$B416,[1]ratio_ins!$B:$B,0))</f>
        <v>18180.776880000001</v>
      </c>
      <c r="P416" s="10">
        <f>INDEX([1]ratio_ins!N:N,MATCH('001_population_health_zone_zs'!$B$2,[1]ratio_ins!$B:$B,0))*$G416*INDEX([1]ratio_ins!$C:$C,MATCH('001_population_health_zone_zs'!$B416,[1]ratio_ins!$B:$B,0))</f>
        <v>16413.201350000003</v>
      </c>
      <c r="Q416" s="10">
        <f>INDEX([1]ratio_ins!O:O,MATCH('001_population_health_zone_zs'!$B$2,[1]ratio_ins!$B:$B,0))*$G416*INDEX([1]ratio_ins!$C:$C,MATCH('001_population_health_zone_zs'!$B416,[1]ratio_ins!$B:$B,0))</f>
        <v>14645.625820000001</v>
      </c>
      <c r="R416" s="10">
        <f>INDEX([1]ratio_ins!P:P,MATCH('001_population_health_zone_zs'!$B$2,[1]ratio_ins!$B:$B,0))*$G416*INDEX([1]ratio_ins!$C:$C,MATCH('001_population_health_zone_zs'!$B416,[1]ratio_ins!$B:$B,0))</f>
        <v>14393.115030000003</v>
      </c>
      <c r="S416" s="10">
        <f>INDEX([1]ratio_ins!Q:Q,MATCH('001_population_health_zone_zs'!$B$2,[1]ratio_ins!$B:$B,0))*$G416*INDEX([1]ratio_ins!$C:$C,MATCH('001_population_health_zone_zs'!$B416,[1]ratio_ins!$B:$B,0))</f>
        <v>12120.517920000002</v>
      </c>
      <c r="T416" s="10">
        <f>INDEX([1]ratio_ins!R:R,MATCH('001_population_health_zone_zs'!$B$2,[1]ratio_ins!$B:$B,0))*$G416*INDEX([1]ratio_ins!$C:$C,MATCH('001_population_health_zone_zs'!$B416,[1]ratio_ins!$B:$B,0))</f>
        <v>8585.3668600000019</v>
      </c>
      <c r="U416" s="10">
        <f>INDEX([1]ratio_ins!S:S,MATCH('001_population_health_zone_zs'!$B$2,[1]ratio_ins!$B:$B,0))*$G416*INDEX([1]ratio_ins!$C:$C,MATCH('001_population_health_zone_zs'!$B416,[1]ratio_ins!$B:$B,0))</f>
        <v>6817.7913300000009</v>
      </c>
      <c r="V416" s="10">
        <f>INDEX([1]ratio_ins!T:T,MATCH('001_population_health_zone_zs'!$B$2,[1]ratio_ins!$B:$B,0))*$G416*INDEX([1]ratio_ins!$C:$C,MATCH('001_population_health_zone_zs'!$B416,[1]ratio_ins!$B:$B,0))</f>
        <v>3787.66185</v>
      </c>
      <c r="W416" s="11">
        <f>INDEX([1]ratio_ins!U:U,MATCH('001_population_health_zone_zs'!$B$2,[1]ratio_ins!$B:$B,0))*$G416*INDEX([1]ratio_ins!$C:$C,MATCH('001_population_health_zone_zs'!$B416,[1]ratio_ins!$B:$B,0))</f>
        <v>103327.41526800001</v>
      </c>
      <c r="X416" s="10">
        <f>INDEX([1]ratio_ins!V:V,MATCH('001_population_health_zone_zs'!$B$2,[1]ratio_ins!$B:$B,0))*$G416*INDEX([1]ratio_ins!$C:$C,MATCH('001_population_health_zone_zs'!$B416,[1]ratio_ins!$B:$B,0))</f>
        <v>3030.1294800000005</v>
      </c>
      <c r="Y416" s="10">
        <f>INDEX([1]ratio_ins!W:W,MATCH('001_population_health_zone_zs'!$B$2,[1]ratio_ins!$B:$B,0))*$G416*INDEX([1]ratio_ins!$C:$C,MATCH('001_population_health_zone_zs'!$B416,[1]ratio_ins!$B:$B,0))</f>
        <v>2020.0863200000001</v>
      </c>
      <c r="Z416" s="10">
        <f>INDEX([1]ratio_ins!X:X,MATCH('001_population_health_zone_zs'!$B$2,[1]ratio_ins!$B:$B,0))*$G416*INDEX([1]ratio_ins!$C:$C,MATCH('001_population_health_zone_zs'!$B416,[1]ratio_ins!$B:$B,0))</f>
        <v>1010.0431600000001</v>
      </c>
      <c r="AA416" s="10">
        <f>INDEX([1]ratio_ins!Y:Y,MATCH('001_population_health_zone_zs'!$B$2,[1]ratio_ins!$B:$B,0))*$G416*INDEX([1]ratio_ins!$C:$C,MATCH('001_population_health_zone_zs'!$B416,[1]ratio_ins!$B:$B,0))</f>
        <v>505.02158000000003</v>
      </c>
      <c r="AB416" s="11">
        <f>INDEX([1]ratio_ins!Z:Z,MATCH('001_population_health_zone_zs'!$B$2,[1]ratio_ins!$B:$B,0))*$G416*INDEX([1]ratio_ins!$C:$C,MATCH('001_population_health_zone_zs'!$B416,[1]ratio_ins!$B:$B,0))</f>
        <v>6565.2805400000016</v>
      </c>
      <c r="AC416" s="12">
        <f t="shared" si="36"/>
        <v>252510.79000000004</v>
      </c>
      <c r="AD416" s="10">
        <f>INDEX([1]ratio_ins!AA:AA,MATCH('001_population_health_zone_zs'!$B$2,[1]ratio_ins!$B:$B,0))*$G416*INDEX([1]ratio_ins!$D:$D,MATCH('001_population_health_zone_zs'!$B416,[1]ratio_ins!$B:$B,0))</f>
        <v>53667.434099999999</v>
      </c>
      <c r="AE416" s="10">
        <f>INDEX([1]ratio_ins!AB:AB,MATCH('001_population_health_zone_zs'!$B$2,[1]ratio_ins!$B:$B,0))*$G416*INDEX([1]ratio_ins!$D:$D,MATCH('001_population_health_zone_zs'!$B416,[1]ratio_ins!$B:$B,0))</f>
        <v>44211.743329999998</v>
      </c>
      <c r="AF416" s="10">
        <f>INDEX([1]ratio_ins!AC:AC,MATCH('001_population_health_zone_zs'!$B$2,[1]ratio_ins!$B:$B,0))*$G416*INDEX([1]ratio_ins!$D:$D,MATCH('001_population_health_zone_zs'!$B416,[1]ratio_ins!$B:$B,0))</f>
        <v>35011.611769999996</v>
      </c>
      <c r="AG416" s="10">
        <f>INDEX([1]ratio_ins!AD:AD,MATCH('001_population_health_zone_zs'!$B$2,[1]ratio_ins!$B:$B,0))*$G416*INDEX([1]ratio_ins!$D:$D,MATCH('001_population_health_zone_zs'!$B416,[1]ratio_ins!$B:$B,0))</f>
        <v>21211.414430000004</v>
      </c>
      <c r="AH416" s="10">
        <f>INDEX([1]ratio_ins!AE:AE,MATCH('001_population_health_zone_zs'!$B$2,[1]ratio_ins!$B:$B,0))*$G416*INDEX([1]ratio_ins!$D:$D,MATCH('001_population_health_zone_zs'!$B416,[1]ratio_ins!$B:$B,0))</f>
        <v>12726.848657999999</v>
      </c>
      <c r="AI416" s="13">
        <f>INDEX([1]ratio_ins!AF:AF,MATCH('001_population_health_zone_zs'!$B$2,[1]ratio_ins!$B:$B,0))*$G416*INDEX([1]ratio_ins!$D:$D,MATCH('001_population_health_zone_zs'!$B416,[1]ratio_ins!$B:$B,0))</f>
        <v>145617.63785799997</v>
      </c>
      <c r="AJ416" s="10">
        <f>INDEX([1]ratio_ins!AG:AG,MATCH('001_population_health_zone_zs'!$B$2,[1]ratio_ins!$B:$B,0))*$G416*INDEX([1]ratio_ins!$D:$D,MATCH('001_population_health_zone_zs'!$B416,[1]ratio_ins!$B:$B,0))</f>
        <v>8484.5657719999999</v>
      </c>
      <c r="AK416" s="10">
        <f>INDEX([1]ratio_ins!AH:AH,MATCH('001_population_health_zone_zs'!$B$2,[1]ratio_ins!$B:$B,0))*$G416*INDEX([1]ratio_ins!$D:$D,MATCH('001_population_health_zone_zs'!$B416,[1]ratio_ins!$B:$B,0))</f>
        <v>18911.381540000002</v>
      </c>
      <c r="AL416" s="10">
        <f>INDEX([1]ratio_ins!AI:AI,MATCH('001_population_health_zone_zs'!$B$2,[1]ratio_ins!$B:$B,0))*$G416*INDEX([1]ratio_ins!$D:$D,MATCH('001_population_health_zone_zs'!$B416,[1]ratio_ins!$B:$B,0))</f>
        <v>17889.144700000001</v>
      </c>
      <c r="AM416" s="10">
        <f>INDEX([1]ratio_ins!AJ:AJ,MATCH('001_population_health_zone_zs'!$B$2,[1]ratio_ins!$B:$B,0))*$G416*INDEX([1]ratio_ins!$D:$D,MATCH('001_population_health_zone_zs'!$B416,[1]ratio_ins!$B:$B,0))</f>
        <v>16355.78944</v>
      </c>
      <c r="AN416" s="10">
        <f>INDEX([1]ratio_ins!AK:AK,MATCH('001_population_health_zone_zs'!$B$2,[1]ratio_ins!$B:$B,0))*$G416*INDEX([1]ratio_ins!$D:$D,MATCH('001_population_health_zone_zs'!$B416,[1]ratio_ins!$B:$B,0))</f>
        <v>15333.552599999999</v>
      </c>
      <c r="AO416" s="10">
        <f>INDEX([1]ratio_ins!AL:AL,MATCH('001_population_health_zone_zs'!$B$2,[1]ratio_ins!$B:$B,0))*$G416*INDEX([1]ratio_ins!$D:$D,MATCH('001_population_health_zone_zs'!$B416,[1]ratio_ins!$B:$B,0))</f>
        <v>11500.164449999998</v>
      </c>
      <c r="AP416" s="10">
        <f>INDEX([1]ratio_ins!AM:AM,MATCH('001_population_health_zone_zs'!$B$2,[1]ratio_ins!$B:$B,0))*$G416*INDEX([1]ratio_ins!$D:$D,MATCH('001_population_health_zone_zs'!$B416,[1]ratio_ins!$B:$B,0))</f>
        <v>7411.2170899999992</v>
      </c>
      <c r="AQ416" s="10">
        <f>INDEX([1]ratio_ins!AN:AN,MATCH('001_population_health_zone_zs'!$B$2,[1]ratio_ins!$B:$B,0))*$G416*INDEX([1]ratio_ins!$D:$D,MATCH('001_population_health_zone_zs'!$B416,[1]ratio_ins!$B:$B,0))</f>
        <v>5877.8618300000007</v>
      </c>
      <c r="AR416" s="10">
        <f>INDEX([1]ratio_ins!AO:AO,MATCH('001_population_health_zone_zs'!$B$2,[1]ratio_ins!$B:$B,0))*$G416*INDEX([1]ratio_ins!$D:$D,MATCH('001_population_health_zone_zs'!$B416,[1]ratio_ins!$B:$B,0))</f>
        <v>2811.1513100000002</v>
      </c>
      <c r="AS416" s="13">
        <f>INDEX([1]ratio_ins!AP:AP,MATCH('001_population_health_zone_zs'!$B$2,[1]ratio_ins!$B:$B,0))*$G416*INDEX([1]ratio_ins!$D:$D,MATCH('001_population_health_zone_zs'!$B416,[1]ratio_ins!$B:$B,0))</f>
        <v>104574.82873200001</v>
      </c>
      <c r="AT416" s="10">
        <f>INDEX([1]ratio_ins!AQ:AQ,MATCH('001_population_health_zone_zs'!$B$2,[1]ratio_ins!$B:$B,0))*$G416*INDEX([1]ratio_ins!$D:$D,MATCH('001_population_health_zone_zs'!$B416,[1]ratio_ins!$B:$B,0))</f>
        <v>2555.5920999999998</v>
      </c>
      <c r="AU416" s="10">
        <f>INDEX([1]ratio_ins!AR:AR,MATCH('001_population_health_zone_zs'!$B$2,[1]ratio_ins!$B:$B,0))*$G416*INDEX([1]ratio_ins!$D:$D,MATCH('001_population_health_zone_zs'!$B416,[1]ratio_ins!$B:$B,0))</f>
        <v>1533.35526</v>
      </c>
      <c r="AV416" s="10">
        <f>INDEX([1]ratio_ins!AS:AS,MATCH('001_population_health_zone_zs'!$B$2,[1]ratio_ins!$B:$B,0))*$G416*INDEX([1]ratio_ins!$D:$D,MATCH('001_population_health_zone_zs'!$B416,[1]ratio_ins!$B:$B,0))</f>
        <v>766.67763000000002</v>
      </c>
      <c r="AW416" s="10">
        <f>INDEX([1]ratio_ins!AT:AT,MATCH('001_population_health_zone_zs'!$B$2,[1]ratio_ins!$B:$B,0))*$G416*INDEX([1]ratio_ins!$D:$D,MATCH('001_population_health_zone_zs'!$B416,[1]ratio_ins!$B:$B,0))</f>
        <v>511.11842000000001</v>
      </c>
      <c r="AX416" s="13">
        <f>INDEX([1]ratio_ins!AU:AU,MATCH('001_population_health_zone_zs'!$B$2,[1]ratio_ins!$B:$B,0))*$G416*INDEX([1]ratio_ins!$D:$D,MATCH('001_population_health_zone_zs'!$B416,[1]ratio_ins!$B:$B,0))</f>
        <v>5366.74341</v>
      </c>
      <c r="AY416" s="14">
        <f t="shared" si="37"/>
        <v>255559.20999999996</v>
      </c>
      <c r="AZ416" s="15">
        <f t="shared" si="38"/>
        <v>508070</v>
      </c>
      <c r="BA416" s="16">
        <v>483164.98512090696</v>
      </c>
      <c r="BB416" s="10">
        <f t="shared" si="39"/>
        <v>108612.66425</v>
      </c>
      <c r="BC416" s="17">
        <f t="shared" si="40"/>
        <v>0.21377499999999999</v>
      </c>
      <c r="BD416" s="10">
        <f t="shared" si="41"/>
        <v>105296.99943</v>
      </c>
    </row>
    <row r="417" spans="1:56" x14ac:dyDescent="0.25">
      <c r="A417" s="8" t="s">
        <v>1015</v>
      </c>
      <c r="B417" s="8" t="s">
        <v>1016</v>
      </c>
      <c r="C417" s="8" t="s">
        <v>1022</v>
      </c>
      <c r="D417" s="8" t="s">
        <v>1023</v>
      </c>
      <c r="E417" s="8" t="s">
        <v>1024</v>
      </c>
      <c r="F417" s="8" t="s">
        <v>1025</v>
      </c>
      <c r="G417" s="9">
        <v>262024</v>
      </c>
      <c r="H417" s="10">
        <f>INDEX([1]ratio_ins!F:F,MATCH('001_population_health_zone_zs'!$B$2,[1]ratio_ins!$B:$B,0))*$G417*INDEX([1]ratio_ins!$C:$C,MATCH('001_population_health_zone_zs'!$B417,[1]ratio_ins!$B:$B,0))</f>
        <v>27217.218951999999</v>
      </c>
      <c r="I417" s="10">
        <f>INDEX([1]ratio_ins!G:G,MATCH('001_population_health_zone_zs'!$B$2,[1]ratio_ins!$B:$B,0))*$G417*INDEX([1]ratio_ins!$C:$C,MATCH('001_population_health_zone_zs'!$B417,[1]ratio_ins!$B:$B,0))</f>
        <v>22268.633688000005</v>
      </c>
      <c r="J417" s="10">
        <f>INDEX([1]ratio_ins!H:H,MATCH('001_population_health_zone_zs'!$B$2,[1]ratio_ins!$B:$B,0))*$G417*INDEX([1]ratio_ins!$C:$C,MATCH('001_population_health_zone_zs'!$B417,[1]ratio_ins!$B:$B,0))</f>
        <v>17580.500280000004</v>
      </c>
      <c r="K417" s="10">
        <f>INDEX([1]ratio_ins!I:I,MATCH('001_population_health_zone_zs'!$B$2,[1]ratio_ins!$B:$B,0))*$G417*INDEX([1]ratio_ins!$C:$C,MATCH('001_population_health_zone_zs'!$B417,[1]ratio_ins!$B:$B,0))</f>
        <v>10808.752024000001</v>
      </c>
      <c r="L417" s="10">
        <f>INDEX([1]ratio_ins!J:J,MATCH('001_population_health_zone_zs'!$B$2,[1]ratio_ins!$B:$B,0))*$G417*INDEX([1]ratio_ins!$C:$C,MATCH('001_population_health_zone_zs'!$B417,[1]ratio_ins!$B:$B,0))</f>
        <v>6485.2512144000002</v>
      </c>
      <c r="M417" s="11">
        <f>INDEX([1]ratio_ins!K:K,MATCH('001_population_health_zone_zs'!$B$2,[1]ratio_ins!$B:$B,0))*$G417*INDEX([1]ratio_ins!$C:$C,MATCH('001_population_health_zone_zs'!$B417,[1]ratio_ins!$B:$B,0))</f>
        <v>73551.604134399997</v>
      </c>
      <c r="N417" s="10">
        <f>INDEX([1]ratio_ins!L:L,MATCH('001_population_health_zone_zs'!$B$2,[1]ratio_ins!$B:$B,0))*$G417*INDEX([1]ratio_ins!$C:$C,MATCH('001_population_health_zone_zs'!$B417,[1]ratio_ins!$B:$B,0))</f>
        <v>4323.5008096000001</v>
      </c>
      <c r="O417" s="10">
        <f>INDEX([1]ratio_ins!M:M,MATCH('001_population_health_zone_zs'!$B$2,[1]ratio_ins!$B:$B,0))*$G417*INDEX([1]ratio_ins!$C:$C,MATCH('001_population_health_zone_zs'!$B417,[1]ratio_ins!$B:$B,0))</f>
        <v>9376.266816000003</v>
      </c>
      <c r="P417" s="10">
        <f>INDEX([1]ratio_ins!N:N,MATCH('001_population_health_zone_zs'!$B$2,[1]ratio_ins!$B:$B,0))*$G417*INDEX([1]ratio_ins!$C:$C,MATCH('001_population_health_zone_zs'!$B417,[1]ratio_ins!$B:$B,0))</f>
        <v>8464.6853200000023</v>
      </c>
      <c r="Q417" s="10">
        <f>INDEX([1]ratio_ins!O:O,MATCH('001_population_health_zone_zs'!$B$2,[1]ratio_ins!$B:$B,0))*$G417*INDEX([1]ratio_ins!$C:$C,MATCH('001_population_health_zone_zs'!$B417,[1]ratio_ins!$B:$B,0))</f>
        <v>7553.1038240000007</v>
      </c>
      <c r="R417" s="10">
        <f>INDEX([1]ratio_ins!P:P,MATCH('001_population_health_zone_zs'!$B$2,[1]ratio_ins!$B:$B,0))*$G417*INDEX([1]ratio_ins!$C:$C,MATCH('001_population_health_zone_zs'!$B417,[1]ratio_ins!$B:$B,0))</f>
        <v>7422.8778960000009</v>
      </c>
      <c r="S417" s="10">
        <f>INDEX([1]ratio_ins!Q:Q,MATCH('001_population_health_zone_zs'!$B$2,[1]ratio_ins!$B:$B,0))*$G417*INDEX([1]ratio_ins!$C:$C,MATCH('001_population_health_zone_zs'!$B417,[1]ratio_ins!$B:$B,0))</f>
        <v>6250.8445440000005</v>
      </c>
      <c r="T417" s="10">
        <f>INDEX([1]ratio_ins!R:R,MATCH('001_population_health_zone_zs'!$B$2,[1]ratio_ins!$B:$B,0))*$G417*INDEX([1]ratio_ins!$C:$C,MATCH('001_population_health_zone_zs'!$B417,[1]ratio_ins!$B:$B,0))</f>
        <v>4427.6815520000009</v>
      </c>
      <c r="U417" s="10">
        <f>INDEX([1]ratio_ins!S:S,MATCH('001_population_health_zone_zs'!$B$2,[1]ratio_ins!$B:$B,0))*$G417*INDEX([1]ratio_ins!$C:$C,MATCH('001_population_health_zone_zs'!$B417,[1]ratio_ins!$B:$B,0))</f>
        <v>3516.1000560000007</v>
      </c>
      <c r="V417" s="10">
        <f>INDEX([1]ratio_ins!T:T,MATCH('001_population_health_zone_zs'!$B$2,[1]ratio_ins!$B:$B,0))*$G417*INDEX([1]ratio_ins!$C:$C,MATCH('001_population_health_zone_zs'!$B417,[1]ratio_ins!$B:$B,0))</f>
        <v>1953.3889200000001</v>
      </c>
      <c r="W417" s="11">
        <f>INDEX([1]ratio_ins!U:U,MATCH('001_population_health_zone_zs'!$B$2,[1]ratio_ins!$B:$B,0))*$G417*INDEX([1]ratio_ins!$C:$C,MATCH('001_population_health_zone_zs'!$B417,[1]ratio_ins!$B:$B,0))</f>
        <v>53288.4497376</v>
      </c>
      <c r="X417" s="10">
        <f>INDEX([1]ratio_ins!V:V,MATCH('001_population_health_zone_zs'!$B$2,[1]ratio_ins!$B:$B,0))*$G417*INDEX([1]ratio_ins!$C:$C,MATCH('001_population_health_zone_zs'!$B417,[1]ratio_ins!$B:$B,0))</f>
        <v>1562.7111360000001</v>
      </c>
      <c r="Y417" s="10">
        <f>INDEX([1]ratio_ins!W:W,MATCH('001_population_health_zone_zs'!$B$2,[1]ratio_ins!$B:$B,0))*$G417*INDEX([1]ratio_ins!$C:$C,MATCH('001_population_health_zone_zs'!$B417,[1]ratio_ins!$B:$B,0))</f>
        <v>1041.8074240000001</v>
      </c>
      <c r="Z417" s="10">
        <f>INDEX([1]ratio_ins!X:X,MATCH('001_population_health_zone_zs'!$B$2,[1]ratio_ins!$B:$B,0))*$G417*INDEX([1]ratio_ins!$C:$C,MATCH('001_population_health_zone_zs'!$B417,[1]ratio_ins!$B:$B,0))</f>
        <v>520.90371200000004</v>
      </c>
      <c r="AA417" s="10">
        <f>INDEX([1]ratio_ins!Y:Y,MATCH('001_population_health_zone_zs'!$B$2,[1]ratio_ins!$B:$B,0))*$G417*INDEX([1]ratio_ins!$C:$C,MATCH('001_population_health_zone_zs'!$B417,[1]ratio_ins!$B:$B,0))</f>
        <v>260.45185600000002</v>
      </c>
      <c r="AB417" s="11">
        <f>INDEX([1]ratio_ins!Z:Z,MATCH('001_population_health_zone_zs'!$B$2,[1]ratio_ins!$B:$B,0))*$G417*INDEX([1]ratio_ins!$C:$C,MATCH('001_population_health_zone_zs'!$B417,[1]ratio_ins!$B:$B,0))</f>
        <v>3385.8741280000008</v>
      </c>
      <c r="AC417" s="12">
        <f t="shared" si="36"/>
        <v>130225.92799999999</v>
      </c>
      <c r="AD417" s="10">
        <f>INDEX([1]ratio_ins!AA:AA,MATCH('001_population_health_zone_zs'!$B$2,[1]ratio_ins!$B:$B,0))*$G417*INDEX([1]ratio_ins!$D:$D,MATCH('001_population_health_zone_zs'!$B417,[1]ratio_ins!$B:$B,0))</f>
        <v>27677.595120000002</v>
      </c>
      <c r="AE417" s="10">
        <f>INDEX([1]ratio_ins!AB:AB,MATCH('001_population_health_zone_zs'!$B$2,[1]ratio_ins!$B:$B,0))*$G417*INDEX([1]ratio_ins!$D:$D,MATCH('001_population_health_zone_zs'!$B417,[1]ratio_ins!$B:$B,0))</f>
        <v>22801.066456</v>
      </c>
      <c r="AF417" s="10">
        <f>INDEX([1]ratio_ins!AC:AC,MATCH('001_population_health_zone_zs'!$B$2,[1]ratio_ins!$B:$B,0))*$G417*INDEX([1]ratio_ins!$D:$D,MATCH('001_population_health_zone_zs'!$B417,[1]ratio_ins!$B:$B,0))</f>
        <v>18056.335863999997</v>
      </c>
      <c r="AG417" s="10">
        <f>INDEX([1]ratio_ins!AD:AD,MATCH('001_population_health_zone_zs'!$B$2,[1]ratio_ins!$B:$B,0))*$G417*INDEX([1]ratio_ins!$D:$D,MATCH('001_population_health_zone_zs'!$B417,[1]ratio_ins!$B:$B,0))</f>
        <v>10939.239976000001</v>
      </c>
      <c r="AH417" s="10">
        <f>INDEX([1]ratio_ins!AE:AE,MATCH('001_population_health_zone_zs'!$B$2,[1]ratio_ins!$B:$B,0))*$G417*INDEX([1]ratio_ins!$D:$D,MATCH('001_population_health_zone_zs'!$B417,[1]ratio_ins!$B:$B,0))</f>
        <v>6563.5439855999994</v>
      </c>
      <c r="AI417" s="13">
        <f>INDEX([1]ratio_ins!AF:AF,MATCH('001_population_health_zone_zs'!$B$2,[1]ratio_ins!$B:$B,0))*$G417*INDEX([1]ratio_ins!$D:$D,MATCH('001_population_health_zone_zs'!$B417,[1]ratio_ins!$B:$B,0))</f>
        <v>75098.541425600008</v>
      </c>
      <c r="AJ417" s="10">
        <f>INDEX([1]ratio_ins!AG:AG,MATCH('001_population_health_zone_zs'!$B$2,[1]ratio_ins!$B:$B,0))*$G417*INDEX([1]ratio_ins!$D:$D,MATCH('001_population_health_zone_zs'!$B417,[1]ratio_ins!$B:$B,0))</f>
        <v>4375.6959903999996</v>
      </c>
      <c r="AK417" s="10">
        <f>INDEX([1]ratio_ins!AH:AH,MATCH('001_population_health_zone_zs'!$B$2,[1]ratio_ins!$B:$B,0))*$G417*INDEX([1]ratio_ins!$D:$D,MATCH('001_population_health_zone_zs'!$B417,[1]ratio_ins!$B:$B,0))</f>
        <v>9753.0573280000008</v>
      </c>
      <c r="AL417" s="10">
        <f>INDEX([1]ratio_ins!AI:AI,MATCH('001_population_health_zone_zs'!$B$2,[1]ratio_ins!$B:$B,0))*$G417*INDEX([1]ratio_ins!$D:$D,MATCH('001_population_health_zone_zs'!$B417,[1]ratio_ins!$B:$B,0))</f>
        <v>9225.8650400000006</v>
      </c>
      <c r="AM417" s="10">
        <f>INDEX([1]ratio_ins!AJ:AJ,MATCH('001_population_health_zone_zs'!$B$2,[1]ratio_ins!$B:$B,0))*$G417*INDEX([1]ratio_ins!$D:$D,MATCH('001_population_health_zone_zs'!$B417,[1]ratio_ins!$B:$B,0))</f>
        <v>8435.0766079999994</v>
      </c>
      <c r="AN417" s="10">
        <f>INDEX([1]ratio_ins!AK:AK,MATCH('001_population_health_zone_zs'!$B$2,[1]ratio_ins!$B:$B,0))*$G417*INDEX([1]ratio_ins!$D:$D,MATCH('001_population_health_zone_zs'!$B417,[1]ratio_ins!$B:$B,0))</f>
        <v>7907.8843199999992</v>
      </c>
      <c r="AO417" s="10">
        <f>INDEX([1]ratio_ins!AL:AL,MATCH('001_population_health_zone_zs'!$B$2,[1]ratio_ins!$B:$B,0))*$G417*INDEX([1]ratio_ins!$D:$D,MATCH('001_population_health_zone_zs'!$B417,[1]ratio_ins!$B:$B,0))</f>
        <v>5930.9132399999999</v>
      </c>
      <c r="AP417" s="10">
        <f>INDEX([1]ratio_ins!AM:AM,MATCH('001_population_health_zone_zs'!$B$2,[1]ratio_ins!$B:$B,0))*$G417*INDEX([1]ratio_ins!$D:$D,MATCH('001_population_health_zone_zs'!$B417,[1]ratio_ins!$B:$B,0))</f>
        <v>3822.144088</v>
      </c>
      <c r="AQ417" s="10">
        <f>INDEX([1]ratio_ins!AN:AN,MATCH('001_population_health_zone_zs'!$B$2,[1]ratio_ins!$B:$B,0))*$G417*INDEX([1]ratio_ins!$D:$D,MATCH('001_population_health_zone_zs'!$B417,[1]ratio_ins!$B:$B,0))</f>
        <v>3031.3556559999997</v>
      </c>
      <c r="AR417" s="10">
        <f>INDEX([1]ratio_ins!AO:AO,MATCH('001_population_health_zone_zs'!$B$2,[1]ratio_ins!$B:$B,0))*$G417*INDEX([1]ratio_ins!$D:$D,MATCH('001_population_health_zone_zs'!$B417,[1]ratio_ins!$B:$B,0))</f>
        <v>1449.7787920000001</v>
      </c>
      <c r="AS417" s="13">
        <f>INDEX([1]ratio_ins!AP:AP,MATCH('001_population_health_zone_zs'!$B$2,[1]ratio_ins!$B:$B,0))*$G417*INDEX([1]ratio_ins!$D:$D,MATCH('001_population_health_zone_zs'!$B417,[1]ratio_ins!$B:$B,0))</f>
        <v>53931.771062399996</v>
      </c>
      <c r="AT417" s="10">
        <f>INDEX([1]ratio_ins!AQ:AQ,MATCH('001_population_health_zone_zs'!$B$2,[1]ratio_ins!$B:$B,0))*$G417*INDEX([1]ratio_ins!$D:$D,MATCH('001_population_health_zone_zs'!$B417,[1]ratio_ins!$B:$B,0))</f>
        <v>1317.98072</v>
      </c>
      <c r="AU417" s="10">
        <f>INDEX([1]ratio_ins!AR:AR,MATCH('001_population_health_zone_zs'!$B$2,[1]ratio_ins!$B:$B,0))*$G417*INDEX([1]ratio_ins!$D:$D,MATCH('001_population_health_zone_zs'!$B417,[1]ratio_ins!$B:$B,0))</f>
        <v>790.78843200000006</v>
      </c>
      <c r="AV417" s="10">
        <f>INDEX([1]ratio_ins!AS:AS,MATCH('001_population_health_zone_zs'!$B$2,[1]ratio_ins!$B:$B,0))*$G417*INDEX([1]ratio_ins!$D:$D,MATCH('001_population_health_zone_zs'!$B417,[1]ratio_ins!$B:$B,0))</f>
        <v>395.39421600000003</v>
      </c>
      <c r="AW417" s="10">
        <f>INDEX([1]ratio_ins!AT:AT,MATCH('001_population_health_zone_zs'!$B$2,[1]ratio_ins!$B:$B,0))*$G417*INDEX([1]ratio_ins!$D:$D,MATCH('001_population_health_zone_zs'!$B417,[1]ratio_ins!$B:$B,0))</f>
        <v>263.59614399999998</v>
      </c>
      <c r="AX417" s="13">
        <f>INDEX([1]ratio_ins!AU:AU,MATCH('001_population_health_zone_zs'!$B$2,[1]ratio_ins!$B:$B,0))*$G417*INDEX([1]ratio_ins!$D:$D,MATCH('001_population_health_zone_zs'!$B417,[1]ratio_ins!$B:$B,0))</f>
        <v>2767.7595119999996</v>
      </c>
      <c r="AY417" s="14">
        <f t="shared" si="37"/>
        <v>131798.07199999999</v>
      </c>
      <c r="AZ417" s="15">
        <f t="shared" si="38"/>
        <v>262023.99999999997</v>
      </c>
      <c r="BA417" s="16">
        <v>249179.47459995389</v>
      </c>
      <c r="BB417" s="10">
        <f t="shared" si="39"/>
        <v>56014.1806</v>
      </c>
      <c r="BC417" s="17">
        <f t="shared" si="40"/>
        <v>0.21377499999999999</v>
      </c>
      <c r="BD417" s="10">
        <f t="shared" si="41"/>
        <v>54304.211976000006</v>
      </c>
    </row>
    <row r="418" spans="1:56" x14ac:dyDescent="0.25">
      <c r="A418" s="8" t="s">
        <v>1015</v>
      </c>
      <c r="B418" s="8" t="s">
        <v>1016</v>
      </c>
      <c r="C418" s="8" t="s">
        <v>1022</v>
      </c>
      <c r="D418" s="8" t="s">
        <v>1023</v>
      </c>
      <c r="E418" s="8" t="s">
        <v>1022</v>
      </c>
      <c r="F418" s="8" t="s">
        <v>1026</v>
      </c>
      <c r="G418" s="9">
        <v>523185</v>
      </c>
      <c r="H418" s="10">
        <f>INDEX([1]ratio_ins!F:F,MATCH('001_population_health_zone_zs'!$B$2,[1]ratio_ins!$B:$B,0))*$G418*INDEX([1]ratio_ins!$C:$C,MATCH('001_population_health_zone_zs'!$B418,[1]ratio_ins!$B:$B,0))</f>
        <v>54344.795505000002</v>
      </c>
      <c r="I418" s="10">
        <f>INDEX([1]ratio_ins!G:G,MATCH('001_population_health_zone_zs'!$B$2,[1]ratio_ins!$B:$B,0))*$G418*INDEX([1]ratio_ins!$C:$C,MATCH('001_population_health_zone_zs'!$B418,[1]ratio_ins!$B:$B,0))</f>
        <v>44463.923595000007</v>
      </c>
      <c r="J418" s="10">
        <f>INDEX([1]ratio_ins!H:H,MATCH('001_population_health_zone_zs'!$B$2,[1]ratio_ins!$B:$B,0))*$G418*INDEX([1]ratio_ins!$C:$C,MATCH('001_population_health_zone_zs'!$B418,[1]ratio_ins!$B:$B,0))</f>
        <v>35103.097575000007</v>
      </c>
      <c r="K418" s="10">
        <f>INDEX([1]ratio_ins!I:I,MATCH('001_population_health_zone_zs'!$B$2,[1]ratio_ins!$B:$B,0))*$G418*INDEX([1]ratio_ins!$C:$C,MATCH('001_population_health_zone_zs'!$B418,[1]ratio_ins!$B:$B,0))</f>
        <v>21581.904435000004</v>
      </c>
      <c r="L418" s="10">
        <f>INDEX([1]ratio_ins!J:J,MATCH('001_population_health_zone_zs'!$B$2,[1]ratio_ins!$B:$B,0))*$G418*INDEX([1]ratio_ins!$C:$C,MATCH('001_population_health_zone_zs'!$B418,[1]ratio_ins!$B:$B,0))</f>
        <v>12949.142661</v>
      </c>
      <c r="M418" s="11">
        <f>INDEX([1]ratio_ins!K:K,MATCH('001_population_health_zone_zs'!$B$2,[1]ratio_ins!$B:$B,0))*$G418*INDEX([1]ratio_ins!$C:$C,MATCH('001_population_health_zone_zs'!$B418,[1]ratio_ins!$B:$B,0))</f>
        <v>146860.959336</v>
      </c>
      <c r="N418" s="10">
        <f>INDEX([1]ratio_ins!L:L,MATCH('001_population_health_zone_zs'!$B$2,[1]ratio_ins!$B:$B,0))*$G418*INDEX([1]ratio_ins!$C:$C,MATCH('001_population_health_zone_zs'!$B418,[1]ratio_ins!$B:$B,0))</f>
        <v>8632.7617740000005</v>
      </c>
      <c r="O418" s="10">
        <f>INDEX([1]ratio_ins!M:M,MATCH('001_population_health_zone_zs'!$B$2,[1]ratio_ins!$B:$B,0))*$G418*INDEX([1]ratio_ins!$C:$C,MATCH('001_population_health_zone_zs'!$B418,[1]ratio_ins!$B:$B,0))</f>
        <v>18721.652040000004</v>
      </c>
      <c r="P418" s="10">
        <f>INDEX([1]ratio_ins!N:N,MATCH('001_population_health_zone_zs'!$B$2,[1]ratio_ins!$B:$B,0))*$G418*INDEX([1]ratio_ins!$C:$C,MATCH('001_population_health_zone_zs'!$B418,[1]ratio_ins!$B:$B,0))</f>
        <v>16901.491425000004</v>
      </c>
      <c r="Q418" s="10">
        <f>INDEX([1]ratio_ins!O:O,MATCH('001_population_health_zone_zs'!$B$2,[1]ratio_ins!$B:$B,0))*$G418*INDEX([1]ratio_ins!$C:$C,MATCH('001_population_health_zone_zs'!$B418,[1]ratio_ins!$B:$B,0))</f>
        <v>15081.330810000001</v>
      </c>
      <c r="R418" s="10">
        <f>INDEX([1]ratio_ins!P:P,MATCH('001_population_health_zone_zs'!$B$2,[1]ratio_ins!$B:$B,0))*$G418*INDEX([1]ratio_ins!$C:$C,MATCH('001_population_health_zone_zs'!$B418,[1]ratio_ins!$B:$B,0))</f>
        <v>14821.307865000002</v>
      </c>
      <c r="S418" s="10">
        <f>INDEX([1]ratio_ins!Q:Q,MATCH('001_population_health_zone_zs'!$B$2,[1]ratio_ins!$B:$B,0))*$G418*INDEX([1]ratio_ins!$C:$C,MATCH('001_population_health_zone_zs'!$B418,[1]ratio_ins!$B:$B,0))</f>
        <v>12481.101360000002</v>
      </c>
      <c r="T418" s="10">
        <f>INDEX([1]ratio_ins!R:R,MATCH('001_population_health_zone_zs'!$B$2,[1]ratio_ins!$B:$B,0))*$G418*INDEX([1]ratio_ins!$C:$C,MATCH('001_population_health_zone_zs'!$B418,[1]ratio_ins!$B:$B,0))</f>
        <v>8840.780130000001</v>
      </c>
      <c r="U418" s="10">
        <f>INDEX([1]ratio_ins!S:S,MATCH('001_population_health_zone_zs'!$B$2,[1]ratio_ins!$B:$B,0))*$G418*INDEX([1]ratio_ins!$C:$C,MATCH('001_population_health_zone_zs'!$B418,[1]ratio_ins!$B:$B,0))</f>
        <v>7020.6195150000012</v>
      </c>
      <c r="V418" s="10">
        <f>INDEX([1]ratio_ins!T:T,MATCH('001_population_health_zone_zs'!$B$2,[1]ratio_ins!$B:$B,0))*$G418*INDEX([1]ratio_ins!$C:$C,MATCH('001_population_health_zone_zs'!$B418,[1]ratio_ins!$B:$B,0))</f>
        <v>3900.3441750000002</v>
      </c>
      <c r="W418" s="11">
        <f>INDEX([1]ratio_ins!U:U,MATCH('001_population_health_zone_zs'!$B$2,[1]ratio_ins!$B:$B,0))*$G418*INDEX([1]ratio_ins!$C:$C,MATCH('001_population_health_zone_zs'!$B418,[1]ratio_ins!$B:$B,0))</f>
        <v>106401.38909400001</v>
      </c>
      <c r="X418" s="10">
        <f>INDEX([1]ratio_ins!V:V,MATCH('001_population_health_zone_zs'!$B$2,[1]ratio_ins!$B:$B,0))*$G418*INDEX([1]ratio_ins!$C:$C,MATCH('001_population_health_zone_zs'!$B418,[1]ratio_ins!$B:$B,0))</f>
        <v>3120.2753400000006</v>
      </c>
      <c r="Y418" s="10">
        <f>INDEX([1]ratio_ins!W:W,MATCH('001_population_health_zone_zs'!$B$2,[1]ratio_ins!$B:$B,0))*$G418*INDEX([1]ratio_ins!$C:$C,MATCH('001_population_health_zone_zs'!$B418,[1]ratio_ins!$B:$B,0))</f>
        <v>2080.1835600000004</v>
      </c>
      <c r="Z418" s="10">
        <f>INDEX([1]ratio_ins!X:X,MATCH('001_population_health_zone_zs'!$B$2,[1]ratio_ins!$B:$B,0))*$G418*INDEX([1]ratio_ins!$C:$C,MATCH('001_population_health_zone_zs'!$B418,[1]ratio_ins!$B:$B,0))</f>
        <v>1040.0917800000002</v>
      </c>
      <c r="AA418" s="10">
        <f>INDEX([1]ratio_ins!Y:Y,MATCH('001_population_health_zone_zs'!$B$2,[1]ratio_ins!$B:$B,0))*$G418*INDEX([1]ratio_ins!$C:$C,MATCH('001_population_health_zone_zs'!$B418,[1]ratio_ins!$B:$B,0))</f>
        <v>520.0458900000001</v>
      </c>
      <c r="AB418" s="11">
        <f>INDEX([1]ratio_ins!Z:Z,MATCH('001_population_health_zone_zs'!$B$2,[1]ratio_ins!$B:$B,0))*$G418*INDEX([1]ratio_ins!$C:$C,MATCH('001_population_health_zone_zs'!$B418,[1]ratio_ins!$B:$B,0))</f>
        <v>6760.5965700000015</v>
      </c>
      <c r="AC418" s="12">
        <f t="shared" si="36"/>
        <v>260022.94500000001</v>
      </c>
      <c r="AD418" s="10">
        <f>INDEX([1]ratio_ins!AA:AA,MATCH('001_population_health_zone_zs'!$B$2,[1]ratio_ins!$B:$B,0))*$G418*INDEX([1]ratio_ins!$D:$D,MATCH('001_population_health_zone_zs'!$B418,[1]ratio_ins!$B:$B,0))</f>
        <v>55264.031549999992</v>
      </c>
      <c r="AE418" s="10">
        <f>INDEX([1]ratio_ins!AB:AB,MATCH('001_population_health_zone_zs'!$B$2,[1]ratio_ins!$B:$B,0))*$G418*INDEX([1]ratio_ins!$D:$D,MATCH('001_population_health_zone_zs'!$B418,[1]ratio_ins!$B:$B,0))</f>
        <v>45527.035515000003</v>
      </c>
      <c r="AF418" s="10">
        <f>INDEX([1]ratio_ins!AC:AC,MATCH('001_population_health_zone_zs'!$B$2,[1]ratio_ins!$B:$B,0))*$G418*INDEX([1]ratio_ins!$D:$D,MATCH('001_population_health_zone_zs'!$B418,[1]ratio_ins!$B:$B,0))</f>
        <v>36053.201534999993</v>
      </c>
      <c r="AG418" s="10">
        <f>INDEX([1]ratio_ins!AD:AD,MATCH('001_population_health_zone_zs'!$B$2,[1]ratio_ins!$B:$B,0))*$G418*INDEX([1]ratio_ins!$D:$D,MATCH('001_population_health_zone_zs'!$B418,[1]ratio_ins!$B:$B,0))</f>
        <v>21842.450565000003</v>
      </c>
      <c r="AH418" s="10">
        <f>INDEX([1]ratio_ins!AE:AE,MATCH('001_population_health_zone_zs'!$B$2,[1]ratio_ins!$B:$B,0))*$G418*INDEX([1]ratio_ins!$D:$D,MATCH('001_population_health_zone_zs'!$B418,[1]ratio_ins!$B:$B,0))</f>
        <v>13105.470339</v>
      </c>
      <c r="AI418" s="13">
        <f>INDEX([1]ratio_ins!AF:AF,MATCH('001_population_health_zone_zs'!$B$2,[1]ratio_ins!$B:$B,0))*$G418*INDEX([1]ratio_ins!$D:$D,MATCH('001_population_health_zone_zs'!$B418,[1]ratio_ins!$B:$B,0))</f>
        <v>149949.73893899997</v>
      </c>
      <c r="AJ418" s="10">
        <f>INDEX([1]ratio_ins!AG:AG,MATCH('001_population_health_zone_zs'!$B$2,[1]ratio_ins!$B:$B,0))*$G418*INDEX([1]ratio_ins!$D:$D,MATCH('001_population_health_zone_zs'!$B418,[1]ratio_ins!$B:$B,0))</f>
        <v>8736.9802259999997</v>
      </c>
      <c r="AK418" s="10">
        <f>INDEX([1]ratio_ins!AH:AH,MATCH('001_population_health_zone_zs'!$B$2,[1]ratio_ins!$B:$B,0))*$G418*INDEX([1]ratio_ins!$D:$D,MATCH('001_population_health_zone_zs'!$B418,[1]ratio_ins!$B:$B,0))</f>
        <v>19473.99207</v>
      </c>
      <c r="AL418" s="10">
        <f>INDEX([1]ratio_ins!AI:AI,MATCH('001_population_health_zone_zs'!$B$2,[1]ratio_ins!$B:$B,0))*$G418*INDEX([1]ratio_ins!$D:$D,MATCH('001_population_health_zone_zs'!$B418,[1]ratio_ins!$B:$B,0))</f>
        <v>18421.343850000001</v>
      </c>
      <c r="AM418" s="10">
        <f>INDEX([1]ratio_ins!AJ:AJ,MATCH('001_population_health_zone_zs'!$B$2,[1]ratio_ins!$B:$B,0))*$G418*INDEX([1]ratio_ins!$D:$D,MATCH('001_population_health_zone_zs'!$B418,[1]ratio_ins!$B:$B,0))</f>
        <v>16842.371520000001</v>
      </c>
      <c r="AN418" s="10">
        <f>INDEX([1]ratio_ins!AK:AK,MATCH('001_population_health_zone_zs'!$B$2,[1]ratio_ins!$B:$B,0))*$G418*INDEX([1]ratio_ins!$D:$D,MATCH('001_population_health_zone_zs'!$B418,[1]ratio_ins!$B:$B,0))</f>
        <v>15789.7233</v>
      </c>
      <c r="AO418" s="10">
        <f>INDEX([1]ratio_ins!AL:AL,MATCH('001_population_health_zone_zs'!$B$2,[1]ratio_ins!$B:$B,0))*$G418*INDEX([1]ratio_ins!$D:$D,MATCH('001_population_health_zone_zs'!$B418,[1]ratio_ins!$B:$B,0))</f>
        <v>11842.292475</v>
      </c>
      <c r="AP418" s="10">
        <f>INDEX([1]ratio_ins!AM:AM,MATCH('001_population_health_zone_zs'!$B$2,[1]ratio_ins!$B:$B,0))*$G418*INDEX([1]ratio_ins!$D:$D,MATCH('001_population_health_zone_zs'!$B418,[1]ratio_ins!$B:$B,0))</f>
        <v>7631.699595</v>
      </c>
      <c r="AQ418" s="10">
        <f>INDEX([1]ratio_ins!AN:AN,MATCH('001_population_health_zone_zs'!$B$2,[1]ratio_ins!$B:$B,0))*$G418*INDEX([1]ratio_ins!$D:$D,MATCH('001_population_health_zone_zs'!$B418,[1]ratio_ins!$B:$B,0))</f>
        <v>6052.7272649999995</v>
      </c>
      <c r="AR418" s="10">
        <f>INDEX([1]ratio_ins!AO:AO,MATCH('001_population_health_zone_zs'!$B$2,[1]ratio_ins!$B:$B,0))*$G418*INDEX([1]ratio_ins!$D:$D,MATCH('001_population_health_zone_zs'!$B418,[1]ratio_ins!$B:$B,0))</f>
        <v>2894.7826050000003</v>
      </c>
      <c r="AS418" s="13">
        <f>INDEX([1]ratio_ins!AP:AP,MATCH('001_population_health_zone_zs'!$B$2,[1]ratio_ins!$B:$B,0))*$G418*INDEX([1]ratio_ins!$D:$D,MATCH('001_population_health_zone_zs'!$B418,[1]ratio_ins!$B:$B,0))</f>
        <v>107685.912906</v>
      </c>
      <c r="AT418" s="10">
        <f>INDEX([1]ratio_ins!AQ:AQ,MATCH('001_population_health_zone_zs'!$B$2,[1]ratio_ins!$B:$B,0))*$G418*INDEX([1]ratio_ins!$D:$D,MATCH('001_population_health_zone_zs'!$B418,[1]ratio_ins!$B:$B,0))</f>
        <v>2631.6205500000001</v>
      </c>
      <c r="AU418" s="10">
        <f>INDEX([1]ratio_ins!AR:AR,MATCH('001_population_health_zone_zs'!$B$2,[1]ratio_ins!$B:$B,0))*$G418*INDEX([1]ratio_ins!$D:$D,MATCH('001_population_health_zone_zs'!$B418,[1]ratio_ins!$B:$B,0))</f>
        <v>1578.9723300000001</v>
      </c>
      <c r="AV418" s="10">
        <f>INDEX([1]ratio_ins!AS:AS,MATCH('001_population_health_zone_zs'!$B$2,[1]ratio_ins!$B:$B,0))*$G418*INDEX([1]ratio_ins!$D:$D,MATCH('001_population_health_zone_zs'!$B418,[1]ratio_ins!$B:$B,0))</f>
        <v>789.48616500000003</v>
      </c>
      <c r="AW418" s="10">
        <f>INDEX([1]ratio_ins!AT:AT,MATCH('001_population_health_zone_zs'!$B$2,[1]ratio_ins!$B:$B,0))*$G418*INDEX([1]ratio_ins!$D:$D,MATCH('001_population_health_zone_zs'!$B418,[1]ratio_ins!$B:$B,0))</f>
        <v>526.32411000000002</v>
      </c>
      <c r="AX418" s="13">
        <f>INDEX([1]ratio_ins!AU:AU,MATCH('001_population_health_zone_zs'!$B$2,[1]ratio_ins!$B:$B,0))*$G418*INDEX([1]ratio_ins!$D:$D,MATCH('001_population_health_zone_zs'!$B418,[1]ratio_ins!$B:$B,0))</f>
        <v>5526.4031549999991</v>
      </c>
      <c r="AY418" s="14">
        <f t="shared" si="37"/>
        <v>263162.05499999999</v>
      </c>
      <c r="AZ418" s="15">
        <f t="shared" si="38"/>
        <v>523185</v>
      </c>
      <c r="BA418" s="16">
        <v>497538.31126810465</v>
      </c>
      <c r="BB418" s="10">
        <f t="shared" si="39"/>
        <v>111843.873375</v>
      </c>
      <c r="BC418" s="17">
        <f t="shared" si="40"/>
        <v>0.21377499999999999</v>
      </c>
      <c r="BD418" s="10">
        <f t="shared" si="41"/>
        <v>108429.568065</v>
      </c>
    </row>
    <row r="419" spans="1:56" x14ac:dyDescent="0.25">
      <c r="A419" s="8" t="s">
        <v>1015</v>
      </c>
      <c r="B419" s="8" t="s">
        <v>1016</v>
      </c>
      <c r="C419" s="8" t="s">
        <v>1027</v>
      </c>
      <c r="D419" s="8" t="s">
        <v>1028</v>
      </c>
      <c r="E419" s="8" t="s">
        <v>1029</v>
      </c>
      <c r="F419" s="8" t="s">
        <v>1030</v>
      </c>
      <c r="G419" s="9">
        <v>413886</v>
      </c>
      <c r="H419" s="10">
        <f>INDEX([1]ratio_ins!F:F,MATCH('001_population_health_zone_zs'!$B$2,[1]ratio_ins!$B:$B,0))*$G419*INDEX([1]ratio_ins!$C:$C,MATCH('001_population_health_zone_zs'!$B419,[1]ratio_ins!$B:$B,0))</f>
        <v>42991.580478000003</v>
      </c>
      <c r="I419" s="10">
        <f>INDEX([1]ratio_ins!G:G,MATCH('001_population_health_zone_zs'!$B$2,[1]ratio_ins!$B:$B,0))*$G419*INDEX([1]ratio_ins!$C:$C,MATCH('001_population_health_zone_zs'!$B419,[1]ratio_ins!$B:$B,0))</f>
        <v>35174.929482000007</v>
      </c>
      <c r="J419" s="10">
        <f>INDEX([1]ratio_ins!H:H,MATCH('001_population_health_zone_zs'!$B$2,[1]ratio_ins!$B:$B,0))*$G419*INDEX([1]ratio_ins!$C:$C,MATCH('001_population_health_zone_zs'!$B419,[1]ratio_ins!$B:$B,0))</f>
        <v>27769.681170000003</v>
      </c>
      <c r="K419" s="10">
        <f>INDEX([1]ratio_ins!I:I,MATCH('001_population_health_zone_zs'!$B$2,[1]ratio_ins!$B:$B,0))*$G419*INDEX([1]ratio_ins!$C:$C,MATCH('001_population_health_zone_zs'!$B419,[1]ratio_ins!$B:$B,0))</f>
        <v>17073.211386000003</v>
      </c>
      <c r="L419" s="10">
        <f>INDEX([1]ratio_ins!J:J,MATCH('001_population_health_zone_zs'!$B$2,[1]ratio_ins!$B:$B,0))*$G419*INDEX([1]ratio_ins!$C:$C,MATCH('001_population_health_zone_zs'!$B419,[1]ratio_ins!$B:$B,0))</f>
        <v>10243.9268316</v>
      </c>
      <c r="M419" s="11">
        <f>INDEX([1]ratio_ins!K:K,MATCH('001_population_health_zone_zs'!$B$2,[1]ratio_ins!$B:$B,0))*$G419*INDEX([1]ratio_ins!$C:$C,MATCH('001_population_health_zone_zs'!$B419,[1]ratio_ins!$B:$B,0))</f>
        <v>116180.1179616</v>
      </c>
      <c r="N419" s="10">
        <f>INDEX([1]ratio_ins!L:L,MATCH('001_population_health_zone_zs'!$B$2,[1]ratio_ins!$B:$B,0))*$G419*INDEX([1]ratio_ins!$C:$C,MATCH('001_population_health_zone_zs'!$B419,[1]ratio_ins!$B:$B,0))</f>
        <v>6829.2845544000011</v>
      </c>
      <c r="O419" s="10">
        <f>INDEX([1]ratio_ins!M:M,MATCH('001_population_health_zone_zs'!$B$2,[1]ratio_ins!$B:$B,0))*$G419*INDEX([1]ratio_ins!$C:$C,MATCH('001_population_health_zone_zs'!$B419,[1]ratio_ins!$B:$B,0))</f>
        <v>14810.496624000005</v>
      </c>
      <c r="P419" s="10">
        <f>INDEX([1]ratio_ins!N:N,MATCH('001_population_health_zone_zs'!$B$2,[1]ratio_ins!$B:$B,0))*$G419*INDEX([1]ratio_ins!$C:$C,MATCH('001_population_health_zone_zs'!$B419,[1]ratio_ins!$B:$B,0))</f>
        <v>13370.587230000001</v>
      </c>
      <c r="Q419" s="10">
        <f>INDEX([1]ratio_ins!O:O,MATCH('001_population_health_zone_zs'!$B$2,[1]ratio_ins!$B:$B,0))*$G419*INDEX([1]ratio_ins!$C:$C,MATCH('001_population_health_zone_zs'!$B419,[1]ratio_ins!$B:$B,0))</f>
        <v>11930.677836000001</v>
      </c>
      <c r="R419" s="10">
        <f>INDEX([1]ratio_ins!P:P,MATCH('001_population_health_zone_zs'!$B$2,[1]ratio_ins!$B:$B,0))*$G419*INDEX([1]ratio_ins!$C:$C,MATCH('001_population_health_zone_zs'!$B419,[1]ratio_ins!$B:$B,0))</f>
        <v>11724.976494000002</v>
      </c>
      <c r="S419" s="10">
        <f>INDEX([1]ratio_ins!Q:Q,MATCH('001_population_health_zone_zs'!$B$2,[1]ratio_ins!$B:$B,0))*$G419*INDEX([1]ratio_ins!$C:$C,MATCH('001_population_health_zone_zs'!$B419,[1]ratio_ins!$B:$B,0))</f>
        <v>9873.6644160000014</v>
      </c>
      <c r="T419" s="10">
        <f>INDEX([1]ratio_ins!R:R,MATCH('001_population_health_zone_zs'!$B$2,[1]ratio_ins!$B:$B,0))*$G419*INDEX([1]ratio_ins!$C:$C,MATCH('001_population_health_zone_zs'!$B419,[1]ratio_ins!$B:$B,0))</f>
        <v>6993.8456280000019</v>
      </c>
      <c r="U419" s="10">
        <f>INDEX([1]ratio_ins!S:S,MATCH('001_population_health_zone_zs'!$B$2,[1]ratio_ins!$B:$B,0))*$G419*INDEX([1]ratio_ins!$C:$C,MATCH('001_population_health_zone_zs'!$B419,[1]ratio_ins!$B:$B,0))</f>
        <v>5553.9362340000007</v>
      </c>
      <c r="V419" s="10">
        <f>INDEX([1]ratio_ins!T:T,MATCH('001_population_health_zone_zs'!$B$2,[1]ratio_ins!$B:$B,0))*$G419*INDEX([1]ratio_ins!$C:$C,MATCH('001_population_health_zone_zs'!$B419,[1]ratio_ins!$B:$B,0))</f>
        <v>3085.5201300000003</v>
      </c>
      <c r="W419" s="11">
        <f>INDEX([1]ratio_ins!U:U,MATCH('001_population_health_zone_zs'!$B$2,[1]ratio_ins!$B:$B,0))*$G419*INDEX([1]ratio_ins!$C:$C,MATCH('001_population_health_zone_zs'!$B419,[1]ratio_ins!$B:$B,0))</f>
        <v>84172.98914640001</v>
      </c>
      <c r="X419" s="10">
        <f>INDEX([1]ratio_ins!V:V,MATCH('001_population_health_zone_zs'!$B$2,[1]ratio_ins!$B:$B,0))*$G419*INDEX([1]ratio_ins!$C:$C,MATCH('001_population_health_zone_zs'!$B419,[1]ratio_ins!$B:$B,0))</f>
        <v>2468.4161040000004</v>
      </c>
      <c r="Y419" s="10">
        <f>INDEX([1]ratio_ins!W:W,MATCH('001_population_health_zone_zs'!$B$2,[1]ratio_ins!$B:$B,0))*$G419*INDEX([1]ratio_ins!$C:$C,MATCH('001_population_health_zone_zs'!$B419,[1]ratio_ins!$B:$B,0))</f>
        <v>1645.6107360000003</v>
      </c>
      <c r="Z419" s="10">
        <f>INDEX([1]ratio_ins!X:X,MATCH('001_population_health_zone_zs'!$B$2,[1]ratio_ins!$B:$B,0))*$G419*INDEX([1]ratio_ins!$C:$C,MATCH('001_population_health_zone_zs'!$B419,[1]ratio_ins!$B:$B,0))</f>
        <v>822.80536800000016</v>
      </c>
      <c r="AA419" s="10">
        <f>INDEX([1]ratio_ins!Y:Y,MATCH('001_population_health_zone_zs'!$B$2,[1]ratio_ins!$B:$B,0))*$G419*INDEX([1]ratio_ins!$C:$C,MATCH('001_population_health_zone_zs'!$B419,[1]ratio_ins!$B:$B,0))</f>
        <v>411.40268400000008</v>
      </c>
      <c r="AB419" s="11">
        <f>INDEX([1]ratio_ins!Z:Z,MATCH('001_population_health_zone_zs'!$B$2,[1]ratio_ins!$B:$B,0))*$G419*INDEX([1]ratio_ins!$C:$C,MATCH('001_population_health_zone_zs'!$B419,[1]ratio_ins!$B:$B,0))</f>
        <v>5348.2348920000004</v>
      </c>
      <c r="AC419" s="12">
        <f t="shared" si="36"/>
        <v>205701.34200000003</v>
      </c>
      <c r="AD419" s="10">
        <f>INDEX([1]ratio_ins!AA:AA,MATCH('001_population_health_zone_zs'!$B$2,[1]ratio_ins!$B:$B,0))*$G419*INDEX([1]ratio_ins!$D:$D,MATCH('001_population_health_zone_zs'!$B419,[1]ratio_ins!$B:$B,0))</f>
        <v>43718.778180000001</v>
      </c>
      <c r="AE419" s="10">
        <f>INDEX([1]ratio_ins!AB:AB,MATCH('001_population_health_zone_zs'!$B$2,[1]ratio_ins!$B:$B,0))*$G419*INDEX([1]ratio_ins!$D:$D,MATCH('001_population_health_zone_zs'!$B419,[1]ratio_ins!$B:$B,0))</f>
        <v>36015.945834000006</v>
      </c>
      <c r="AF419" s="10">
        <f>INDEX([1]ratio_ins!AC:AC,MATCH('001_population_health_zone_zs'!$B$2,[1]ratio_ins!$B:$B,0))*$G419*INDEX([1]ratio_ins!$D:$D,MATCH('001_population_health_zone_zs'!$B419,[1]ratio_ins!$B:$B,0))</f>
        <v>28521.298145999994</v>
      </c>
      <c r="AG419" s="10">
        <f>INDEX([1]ratio_ins!AD:AD,MATCH('001_population_health_zone_zs'!$B$2,[1]ratio_ins!$B:$B,0))*$G419*INDEX([1]ratio_ins!$D:$D,MATCH('001_population_health_zone_zs'!$B419,[1]ratio_ins!$B:$B,0))</f>
        <v>17279.326614000001</v>
      </c>
      <c r="AH419" s="10">
        <f>INDEX([1]ratio_ins!AE:AE,MATCH('001_population_health_zone_zs'!$B$2,[1]ratio_ins!$B:$B,0))*$G419*INDEX([1]ratio_ins!$D:$D,MATCH('001_population_health_zone_zs'!$B419,[1]ratio_ins!$B:$B,0))</f>
        <v>10367.595968399999</v>
      </c>
      <c r="AI419" s="13">
        <f>INDEX([1]ratio_ins!AF:AF,MATCH('001_population_health_zone_zs'!$B$2,[1]ratio_ins!$B:$B,0))*$G419*INDEX([1]ratio_ins!$D:$D,MATCH('001_population_health_zone_zs'!$B419,[1]ratio_ins!$B:$B,0))</f>
        <v>118623.61812839999</v>
      </c>
      <c r="AJ419" s="10">
        <f>INDEX([1]ratio_ins!AG:AG,MATCH('001_population_health_zone_zs'!$B$2,[1]ratio_ins!$B:$B,0))*$G419*INDEX([1]ratio_ins!$D:$D,MATCH('001_population_health_zone_zs'!$B419,[1]ratio_ins!$B:$B,0))</f>
        <v>6911.7306455999997</v>
      </c>
      <c r="AK419" s="10">
        <f>INDEX([1]ratio_ins!AH:AH,MATCH('001_population_health_zone_zs'!$B$2,[1]ratio_ins!$B:$B,0))*$G419*INDEX([1]ratio_ins!$D:$D,MATCH('001_population_health_zone_zs'!$B419,[1]ratio_ins!$B:$B,0))</f>
        <v>15405.664692000002</v>
      </c>
      <c r="AL419" s="10">
        <f>INDEX([1]ratio_ins!AI:AI,MATCH('001_population_health_zone_zs'!$B$2,[1]ratio_ins!$B:$B,0))*$G419*INDEX([1]ratio_ins!$D:$D,MATCH('001_population_health_zone_zs'!$B419,[1]ratio_ins!$B:$B,0))</f>
        <v>14572.926060000002</v>
      </c>
      <c r="AM419" s="10">
        <f>INDEX([1]ratio_ins!AJ:AJ,MATCH('001_population_health_zone_zs'!$B$2,[1]ratio_ins!$B:$B,0))*$G419*INDEX([1]ratio_ins!$D:$D,MATCH('001_population_health_zone_zs'!$B419,[1]ratio_ins!$B:$B,0))</f>
        <v>13323.818112000001</v>
      </c>
      <c r="AN419" s="10">
        <f>INDEX([1]ratio_ins!AK:AK,MATCH('001_population_health_zone_zs'!$B$2,[1]ratio_ins!$B:$B,0))*$G419*INDEX([1]ratio_ins!$D:$D,MATCH('001_population_health_zone_zs'!$B419,[1]ratio_ins!$B:$B,0))</f>
        <v>12491.07948</v>
      </c>
      <c r="AO419" s="10">
        <f>INDEX([1]ratio_ins!AL:AL,MATCH('001_population_health_zone_zs'!$B$2,[1]ratio_ins!$B:$B,0))*$G419*INDEX([1]ratio_ins!$D:$D,MATCH('001_population_health_zone_zs'!$B419,[1]ratio_ins!$B:$B,0))</f>
        <v>9368.3096100000002</v>
      </c>
      <c r="AP419" s="10">
        <f>INDEX([1]ratio_ins!AM:AM,MATCH('001_population_health_zone_zs'!$B$2,[1]ratio_ins!$B:$B,0))*$G419*INDEX([1]ratio_ins!$D:$D,MATCH('001_population_health_zone_zs'!$B419,[1]ratio_ins!$B:$B,0))</f>
        <v>6037.355082</v>
      </c>
      <c r="AQ419" s="10">
        <f>INDEX([1]ratio_ins!AN:AN,MATCH('001_population_health_zone_zs'!$B$2,[1]ratio_ins!$B:$B,0))*$G419*INDEX([1]ratio_ins!$D:$D,MATCH('001_population_health_zone_zs'!$B419,[1]ratio_ins!$B:$B,0))</f>
        <v>4788.2471340000002</v>
      </c>
      <c r="AR419" s="10">
        <f>INDEX([1]ratio_ins!AO:AO,MATCH('001_population_health_zone_zs'!$B$2,[1]ratio_ins!$B:$B,0))*$G419*INDEX([1]ratio_ins!$D:$D,MATCH('001_population_health_zone_zs'!$B419,[1]ratio_ins!$B:$B,0))</f>
        <v>2290.031238</v>
      </c>
      <c r="AS419" s="13">
        <f>INDEX([1]ratio_ins!AP:AP,MATCH('001_population_health_zone_zs'!$B$2,[1]ratio_ins!$B:$B,0))*$G419*INDEX([1]ratio_ins!$D:$D,MATCH('001_population_health_zone_zs'!$B419,[1]ratio_ins!$B:$B,0))</f>
        <v>85189.162053599997</v>
      </c>
      <c r="AT419" s="10">
        <f>INDEX([1]ratio_ins!AQ:AQ,MATCH('001_population_health_zone_zs'!$B$2,[1]ratio_ins!$B:$B,0))*$G419*INDEX([1]ratio_ins!$D:$D,MATCH('001_population_health_zone_zs'!$B419,[1]ratio_ins!$B:$B,0))</f>
        <v>2081.8465799999999</v>
      </c>
      <c r="AU419" s="10">
        <f>INDEX([1]ratio_ins!AR:AR,MATCH('001_population_health_zone_zs'!$B$2,[1]ratio_ins!$B:$B,0))*$G419*INDEX([1]ratio_ins!$D:$D,MATCH('001_population_health_zone_zs'!$B419,[1]ratio_ins!$B:$B,0))</f>
        <v>1249.1079480000001</v>
      </c>
      <c r="AV419" s="10">
        <f>INDEX([1]ratio_ins!AS:AS,MATCH('001_population_health_zone_zs'!$B$2,[1]ratio_ins!$B:$B,0))*$G419*INDEX([1]ratio_ins!$D:$D,MATCH('001_population_health_zone_zs'!$B419,[1]ratio_ins!$B:$B,0))</f>
        <v>624.55397400000004</v>
      </c>
      <c r="AW419" s="10">
        <f>INDEX([1]ratio_ins!AT:AT,MATCH('001_population_health_zone_zs'!$B$2,[1]ratio_ins!$B:$B,0))*$G419*INDEX([1]ratio_ins!$D:$D,MATCH('001_population_health_zone_zs'!$B419,[1]ratio_ins!$B:$B,0))</f>
        <v>416.36931600000003</v>
      </c>
      <c r="AX419" s="13">
        <f>INDEX([1]ratio_ins!AU:AU,MATCH('001_population_health_zone_zs'!$B$2,[1]ratio_ins!$B:$B,0))*$G419*INDEX([1]ratio_ins!$D:$D,MATCH('001_population_health_zone_zs'!$B419,[1]ratio_ins!$B:$B,0))</f>
        <v>4371.8778179999999</v>
      </c>
      <c r="AY419" s="14">
        <f t="shared" si="37"/>
        <v>208184.658</v>
      </c>
      <c r="AZ419" s="15">
        <f t="shared" si="38"/>
        <v>413886</v>
      </c>
      <c r="BA419" s="16">
        <v>393597.66788708663</v>
      </c>
      <c r="BB419" s="10">
        <f t="shared" si="39"/>
        <v>88478.479649999994</v>
      </c>
      <c r="BC419" s="17">
        <f t="shared" si="40"/>
        <v>0.21377499999999999</v>
      </c>
      <c r="BD419" s="10">
        <f t="shared" si="41"/>
        <v>85777.459614000007</v>
      </c>
    </row>
    <row r="420" spans="1:56" x14ac:dyDescent="0.25">
      <c r="A420" s="8" t="s">
        <v>1015</v>
      </c>
      <c r="B420" s="8" t="s">
        <v>1016</v>
      </c>
      <c r="C420" s="8" t="s">
        <v>1027</v>
      </c>
      <c r="D420" s="8" t="s">
        <v>1028</v>
      </c>
      <c r="E420" s="8" t="s">
        <v>1031</v>
      </c>
      <c r="F420" s="8" t="s">
        <v>1032</v>
      </c>
      <c r="G420" s="9">
        <v>268199</v>
      </c>
      <c r="H420" s="10">
        <f>INDEX([1]ratio_ins!F:F,MATCH('001_population_health_zone_zs'!$B$2,[1]ratio_ins!$B:$B,0))*$G420*INDEX([1]ratio_ins!$C:$C,MATCH('001_population_health_zone_zs'!$B420,[1]ratio_ins!$B:$B,0))</f>
        <v>27858.634727000004</v>
      </c>
      <c r="I420" s="10">
        <f>INDEX([1]ratio_ins!G:G,MATCH('001_population_health_zone_zs'!$B$2,[1]ratio_ins!$B:$B,0))*$G420*INDEX([1]ratio_ins!$C:$C,MATCH('001_population_health_zone_zs'!$B420,[1]ratio_ins!$B:$B,0))</f>
        <v>22793.428413000005</v>
      </c>
      <c r="J420" s="10">
        <f>INDEX([1]ratio_ins!H:H,MATCH('001_population_health_zone_zs'!$B$2,[1]ratio_ins!$B:$B,0))*$G420*INDEX([1]ratio_ins!$C:$C,MATCH('001_population_health_zone_zs'!$B420,[1]ratio_ins!$B:$B,0))</f>
        <v>17994.811905000006</v>
      </c>
      <c r="K420" s="10">
        <f>INDEX([1]ratio_ins!I:I,MATCH('001_population_health_zone_zs'!$B$2,[1]ratio_ins!$B:$B,0))*$G420*INDEX([1]ratio_ins!$C:$C,MATCH('001_population_health_zone_zs'!$B420,[1]ratio_ins!$B:$B,0))</f>
        <v>11063.476949000002</v>
      </c>
      <c r="L420" s="10">
        <f>INDEX([1]ratio_ins!J:J,MATCH('001_population_health_zone_zs'!$B$2,[1]ratio_ins!$B:$B,0))*$G420*INDEX([1]ratio_ins!$C:$C,MATCH('001_population_health_zone_zs'!$B420,[1]ratio_ins!$B:$B,0))</f>
        <v>6638.0861694000005</v>
      </c>
      <c r="M420" s="11">
        <f>INDEX([1]ratio_ins!K:K,MATCH('001_population_health_zone_zs'!$B$2,[1]ratio_ins!$B:$B,0))*$G420*INDEX([1]ratio_ins!$C:$C,MATCH('001_population_health_zone_zs'!$B420,[1]ratio_ins!$B:$B,0))</f>
        <v>75284.961214399998</v>
      </c>
      <c r="N420" s="10">
        <f>INDEX([1]ratio_ins!L:L,MATCH('001_population_health_zone_zs'!$B$2,[1]ratio_ins!$B:$B,0))*$G420*INDEX([1]ratio_ins!$C:$C,MATCH('001_population_health_zone_zs'!$B420,[1]ratio_ins!$B:$B,0))</f>
        <v>4425.3907796000003</v>
      </c>
      <c r="O420" s="10">
        <f>INDEX([1]ratio_ins!M:M,MATCH('001_population_health_zone_zs'!$B$2,[1]ratio_ins!$B:$B,0))*$G420*INDEX([1]ratio_ins!$C:$C,MATCH('001_population_health_zone_zs'!$B420,[1]ratio_ins!$B:$B,0))</f>
        <v>9597.233016000002</v>
      </c>
      <c r="P420" s="10">
        <f>INDEX([1]ratio_ins!N:N,MATCH('001_population_health_zone_zs'!$B$2,[1]ratio_ins!$B:$B,0))*$G420*INDEX([1]ratio_ins!$C:$C,MATCH('001_population_health_zone_zs'!$B420,[1]ratio_ins!$B:$B,0))</f>
        <v>8664.1686950000021</v>
      </c>
      <c r="Q420" s="10">
        <f>INDEX([1]ratio_ins!O:O,MATCH('001_population_health_zone_zs'!$B$2,[1]ratio_ins!$B:$B,0))*$G420*INDEX([1]ratio_ins!$C:$C,MATCH('001_population_health_zone_zs'!$B420,[1]ratio_ins!$B:$B,0))</f>
        <v>7731.1043740000005</v>
      </c>
      <c r="R420" s="10">
        <f>INDEX([1]ratio_ins!P:P,MATCH('001_population_health_zone_zs'!$B$2,[1]ratio_ins!$B:$B,0))*$G420*INDEX([1]ratio_ins!$C:$C,MATCH('001_population_health_zone_zs'!$B420,[1]ratio_ins!$B:$B,0))</f>
        <v>7597.8094710000014</v>
      </c>
      <c r="S420" s="10">
        <f>INDEX([1]ratio_ins!Q:Q,MATCH('001_population_health_zone_zs'!$B$2,[1]ratio_ins!$B:$B,0))*$G420*INDEX([1]ratio_ins!$C:$C,MATCH('001_population_health_zone_zs'!$B420,[1]ratio_ins!$B:$B,0))</f>
        <v>6398.1553440000007</v>
      </c>
      <c r="T420" s="10">
        <f>INDEX([1]ratio_ins!R:R,MATCH('001_population_health_zone_zs'!$B$2,[1]ratio_ins!$B:$B,0))*$G420*INDEX([1]ratio_ins!$C:$C,MATCH('001_population_health_zone_zs'!$B420,[1]ratio_ins!$B:$B,0))</f>
        <v>4532.026702000001</v>
      </c>
      <c r="U420" s="10">
        <f>INDEX([1]ratio_ins!S:S,MATCH('001_population_health_zone_zs'!$B$2,[1]ratio_ins!$B:$B,0))*$G420*INDEX([1]ratio_ins!$C:$C,MATCH('001_population_health_zone_zs'!$B420,[1]ratio_ins!$B:$B,0))</f>
        <v>3598.9623810000007</v>
      </c>
      <c r="V420" s="10">
        <f>INDEX([1]ratio_ins!T:T,MATCH('001_population_health_zone_zs'!$B$2,[1]ratio_ins!$B:$B,0))*$G420*INDEX([1]ratio_ins!$C:$C,MATCH('001_population_health_zone_zs'!$B420,[1]ratio_ins!$B:$B,0))</f>
        <v>1999.4235450000001</v>
      </c>
      <c r="W420" s="11">
        <f>INDEX([1]ratio_ins!U:U,MATCH('001_population_health_zone_zs'!$B$2,[1]ratio_ins!$B:$B,0))*$G420*INDEX([1]ratio_ins!$C:$C,MATCH('001_population_health_zone_zs'!$B420,[1]ratio_ins!$B:$B,0))</f>
        <v>54544.274307600012</v>
      </c>
      <c r="X420" s="10">
        <f>INDEX([1]ratio_ins!V:V,MATCH('001_population_health_zone_zs'!$B$2,[1]ratio_ins!$B:$B,0))*$G420*INDEX([1]ratio_ins!$C:$C,MATCH('001_population_health_zone_zs'!$B420,[1]ratio_ins!$B:$B,0))</f>
        <v>1599.5388360000002</v>
      </c>
      <c r="Y420" s="10">
        <f>INDEX([1]ratio_ins!W:W,MATCH('001_population_health_zone_zs'!$B$2,[1]ratio_ins!$B:$B,0))*$G420*INDEX([1]ratio_ins!$C:$C,MATCH('001_population_health_zone_zs'!$B420,[1]ratio_ins!$B:$B,0))</f>
        <v>1066.3592240000003</v>
      </c>
      <c r="Z420" s="10">
        <f>INDEX([1]ratio_ins!X:X,MATCH('001_population_health_zone_zs'!$B$2,[1]ratio_ins!$B:$B,0))*$G420*INDEX([1]ratio_ins!$C:$C,MATCH('001_population_health_zone_zs'!$B420,[1]ratio_ins!$B:$B,0))</f>
        <v>533.17961200000013</v>
      </c>
      <c r="AA420" s="10">
        <f>INDEX([1]ratio_ins!Y:Y,MATCH('001_population_health_zone_zs'!$B$2,[1]ratio_ins!$B:$B,0))*$G420*INDEX([1]ratio_ins!$C:$C,MATCH('001_population_health_zone_zs'!$B420,[1]ratio_ins!$B:$B,0))</f>
        <v>266.58980600000007</v>
      </c>
      <c r="AB420" s="11">
        <f>INDEX([1]ratio_ins!Z:Z,MATCH('001_population_health_zone_zs'!$B$2,[1]ratio_ins!$B:$B,0))*$G420*INDEX([1]ratio_ins!$C:$C,MATCH('001_population_health_zone_zs'!$B420,[1]ratio_ins!$B:$B,0))</f>
        <v>3465.6674780000008</v>
      </c>
      <c r="AC420" s="12">
        <f t="shared" si="36"/>
        <v>133294.90299999999</v>
      </c>
      <c r="AD420" s="10">
        <f>INDEX([1]ratio_ins!AA:AA,MATCH('001_population_health_zone_zs'!$B$2,[1]ratio_ins!$B:$B,0))*$G420*INDEX([1]ratio_ins!$D:$D,MATCH('001_population_health_zone_zs'!$B420,[1]ratio_ins!$B:$B,0))</f>
        <v>28329.860370000002</v>
      </c>
      <c r="AE420" s="10">
        <f>INDEX([1]ratio_ins!AB:AB,MATCH('001_population_health_zone_zs'!$B$2,[1]ratio_ins!$B:$B,0))*$G420*INDEX([1]ratio_ins!$D:$D,MATCH('001_population_health_zone_zs'!$B420,[1]ratio_ins!$B:$B,0))</f>
        <v>23338.408781000002</v>
      </c>
      <c r="AF420" s="10">
        <f>INDEX([1]ratio_ins!AC:AC,MATCH('001_population_health_zone_zs'!$B$2,[1]ratio_ins!$B:$B,0))*$G420*INDEX([1]ratio_ins!$D:$D,MATCH('001_population_health_zone_zs'!$B420,[1]ratio_ins!$B:$B,0))</f>
        <v>18481.861289</v>
      </c>
      <c r="AG420" s="10">
        <f>INDEX([1]ratio_ins!AD:AD,MATCH('001_population_health_zone_zs'!$B$2,[1]ratio_ins!$B:$B,0))*$G420*INDEX([1]ratio_ins!$D:$D,MATCH('001_population_health_zone_zs'!$B420,[1]ratio_ins!$B:$B,0))</f>
        <v>11197.040051</v>
      </c>
      <c r="AH420" s="10">
        <f>INDEX([1]ratio_ins!AE:AE,MATCH('001_population_health_zone_zs'!$B$2,[1]ratio_ins!$B:$B,0))*$G420*INDEX([1]ratio_ins!$D:$D,MATCH('001_population_health_zone_zs'!$B420,[1]ratio_ins!$B:$B,0))</f>
        <v>6718.2240306000003</v>
      </c>
      <c r="AI420" s="13">
        <f>INDEX([1]ratio_ins!AF:AF,MATCH('001_population_health_zone_zs'!$B$2,[1]ratio_ins!$B:$B,0))*$G420*INDEX([1]ratio_ins!$D:$D,MATCH('001_population_health_zone_zs'!$B420,[1]ratio_ins!$B:$B,0))</f>
        <v>76868.354470599996</v>
      </c>
      <c r="AJ420" s="10">
        <f>INDEX([1]ratio_ins!AG:AG,MATCH('001_population_health_zone_zs'!$B$2,[1]ratio_ins!$B:$B,0))*$G420*INDEX([1]ratio_ins!$D:$D,MATCH('001_population_health_zone_zs'!$B420,[1]ratio_ins!$B:$B,0))</f>
        <v>4478.8160203999996</v>
      </c>
      <c r="AK420" s="10">
        <f>INDEX([1]ratio_ins!AH:AH,MATCH('001_population_health_zone_zs'!$B$2,[1]ratio_ins!$B:$B,0))*$G420*INDEX([1]ratio_ins!$D:$D,MATCH('001_population_health_zone_zs'!$B420,[1]ratio_ins!$B:$B,0))</f>
        <v>9982.9031780000005</v>
      </c>
      <c r="AL420" s="10">
        <f>INDEX([1]ratio_ins!AI:AI,MATCH('001_population_health_zone_zs'!$B$2,[1]ratio_ins!$B:$B,0))*$G420*INDEX([1]ratio_ins!$D:$D,MATCH('001_population_health_zone_zs'!$B420,[1]ratio_ins!$B:$B,0))</f>
        <v>9443.2867900000001</v>
      </c>
      <c r="AM420" s="10">
        <f>INDEX([1]ratio_ins!AJ:AJ,MATCH('001_population_health_zone_zs'!$B$2,[1]ratio_ins!$B:$B,0))*$G420*INDEX([1]ratio_ins!$D:$D,MATCH('001_population_health_zone_zs'!$B420,[1]ratio_ins!$B:$B,0))</f>
        <v>8633.8622080000005</v>
      </c>
      <c r="AN420" s="10">
        <f>INDEX([1]ratio_ins!AK:AK,MATCH('001_population_health_zone_zs'!$B$2,[1]ratio_ins!$B:$B,0))*$G420*INDEX([1]ratio_ins!$D:$D,MATCH('001_population_health_zone_zs'!$B420,[1]ratio_ins!$B:$B,0))</f>
        <v>8094.2458199999992</v>
      </c>
      <c r="AO420" s="10">
        <f>INDEX([1]ratio_ins!AL:AL,MATCH('001_population_health_zone_zs'!$B$2,[1]ratio_ins!$B:$B,0))*$G420*INDEX([1]ratio_ins!$D:$D,MATCH('001_population_health_zone_zs'!$B420,[1]ratio_ins!$B:$B,0))</f>
        <v>6070.6843650000001</v>
      </c>
      <c r="AP420" s="10">
        <f>INDEX([1]ratio_ins!AM:AM,MATCH('001_population_health_zone_zs'!$B$2,[1]ratio_ins!$B:$B,0))*$G420*INDEX([1]ratio_ins!$D:$D,MATCH('001_population_health_zone_zs'!$B420,[1]ratio_ins!$B:$B,0))</f>
        <v>3912.218813</v>
      </c>
      <c r="AQ420" s="10">
        <f>INDEX([1]ratio_ins!AN:AN,MATCH('001_population_health_zone_zs'!$B$2,[1]ratio_ins!$B:$B,0))*$G420*INDEX([1]ratio_ins!$D:$D,MATCH('001_population_health_zone_zs'!$B420,[1]ratio_ins!$B:$B,0))</f>
        <v>3102.7942310000003</v>
      </c>
      <c r="AR420" s="10">
        <f>INDEX([1]ratio_ins!AO:AO,MATCH('001_population_health_zone_zs'!$B$2,[1]ratio_ins!$B:$B,0))*$G420*INDEX([1]ratio_ins!$D:$D,MATCH('001_population_health_zone_zs'!$B420,[1]ratio_ins!$B:$B,0))</f>
        <v>1483.9450670000001</v>
      </c>
      <c r="AS420" s="13">
        <f>INDEX([1]ratio_ins!AP:AP,MATCH('001_population_health_zone_zs'!$B$2,[1]ratio_ins!$B:$B,0))*$G420*INDEX([1]ratio_ins!$D:$D,MATCH('001_population_health_zone_zs'!$B420,[1]ratio_ins!$B:$B,0))</f>
        <v>55202.756492400003</v>
      </c>
      <c r="AT420" s="10">
        <f>INDEX([1]ratio_ins!AQ:AQ,MATCH('001_population_health_zone_zs'!$B$2,[1]ratio_ins!$B:$B,0))*$G420*INDEX([1]ratio_ins!$D:$D,MATCH('001_population_health_zone_zs'!$B420,[1]ratio_ins!$B:$B,0))</f>
        <v>1349.04097</v>
      </c>
      <c r="AU420" s="10">
        <f>INDEX([1]ratio_ins!AR:AR,MATCH('001_population_health_zone_zs'!$B$2,[1]ratio_ins!$B:$B,0))*$G420*INDEX([1]ratio_ins!$D:$D,MATCH('001_population_health_zone_zs'!$B420,[1]ratio_ins!$B:$B,0))</f>
        <v>809.42458199999999</v>
      </c>
      <c r="AV420" s="10">
        <f>INDEX([1]ratio_ins!AS:AS,MATCH('001_population_health_zone_zs'!$B$2,[1]ratio_ins!$B:$B,0))*$G420*INDEX([1]ratio_ins!$D:$D,MATCH('001_population_health_zone_zs'!$B420,[1]ratio_ins!$B:$B,0))</f>
        <v>404.71229099999999</v>
      </c>
      <c r="AW420" s="10">
        <f>INDEX([1]ratio_ins!AT:AT,MATCH('001_population_health_zone_zs'!$B$2,[1]ratio_ins!$B:$B,0))*$G420*INDEX([1]ratio_ins!$D:$D,MATCH('001_population_health_zone_zs'!$B420,[1]ratio_ins!$B:$B,0))</f>
        <v>269.80819400000001</v>
      </c>
      <c r="AX420" s="13">
        <f>INDEX([1]ratio_ins!AU:AU,MATCH('001_population_health_zone_zs'!$B$2,[1]ratio_ins!$B:$B,0))*$G420*INDEX([1]ratio_ins!$D:$D,MATCH('001_population_health_zone_zs'!$B420,[1]ratio_ins!$B:$B,0))</f>
        <v>2832.9860369999997</v>
      </c>
      <c r="AY420" s="14">
        <f t="shared" si="37"/>
        <v>134904.09699999998</v>
      </c>
      <c r="AZ420" s="15">
        <f t="shared" si="38"/>
        <v>268199</v>
      </c>
      <c r="BA420" s="16">
        <v>255051.96476092262</v>
      </c>
      <c r="BB420" s="10">
        <f t="shared" si="39"/>
        <v>57334.241224999998</v>
      </c>
      <c r="BC420" s="17">
        <f t="shared" si="40"/>
        <v>0.21377499999999999</v>
      </c>
      <c r="BD420" s="10">
        <f t="shared" si="41"/>
        <v>55583.974551000007</v>
      </c>
    </row>
    <row r="421" spans="1:56" x14ac:dyDescent="0.25">
      <c r="A421" s="8" t="s">
        <v>1015</v>
      </c>
      <c r="B421" s="8" t="s">
        <v>1016</v>
      </c>
      <c r="C421" s="8" t="s">
        <v>1027</v>
      </c>
      <c r="D421" s="8" t="s">
        <v>1028</v>
      </c>
      <c r="E421" s="8" t="s">
        <v>1027</v>
      </c>
      <c r="F421" s="8" t="s">
        <v>1033</v>
      </c>
      <c r="G421" s="9">
        <v>453108</v>
      </c>
      <c r="H421" s="10">
        <f>INDEX([1]ratio_ins!F:F,MATCH('001_population_health_zone_zs'!$B$2,[1]ratio_ins!$B:$B,0))*$G421*INDEX([1]ratio_ins!$C:$C,MATCH('001_population_health_zone_zs'!$B421,[1]ratio_ins!$B:$B,0))</f>
        <v>47065.687284000007</v>
      </c>
      <c r="I421" s="10">
        <f>INDEX([1]ratio_ins!G:G,MATCH('001_population_health_zone_zs'!$B$2,[1]ratio_ins!$B:$B,0))*$G421*INDEX([1]ratio_ins!$C:$C,MATCH('001_population_health_zone_zs'!$B421,[1]ratio_ins!$B:$B,0))</f>
        <v>38508.28959600001</v>
      </c>
      <c r="J421" s="10">
        <f>INDEX([1]ratio_ins!H:H,MATCH('001_population_health_zone_zs'!$B$2,[1]ratio_ins!$B:$B,0))*$G421*INDEX([1]ratio_ins!$C:$C,MATCH('001_population_health_zone_zs'!$B421,[1]ratio_ins!$B:$B,0))</f>
        <v>30401.281260000003</v>
      </c>
      <c r="K421" s="10">
        <f>INDEX([1]ratio_ins!I:I,MATCH('001_population_health_zone_zs'!$B$2,[1]ratio_ins!$B:$B,0))*$G421*INDEX([1]ratio_ins!$C:$C,MATCH('001_population_health_zone_zs'!$B421,[1]ratio_ins!$B:$B,0))</f>
        <v>18691.158108000003</v>
      </c>
      <c r="L421" s="10">
        <f>INDEX([1]ratio_ins!J:J,MATCH('001_population_health_zone_zs'!$B$2,[1]ratio_ins!$B:$B,0))*$G421*INDEX([1]ratio_ins!$C:$C,MATCH('001_population_health_zone_zs'!$B421,[1]ratio_ins!$B:$B,0))</f>
        <v>11214.694864800002</v>
      </c>
      <c r="M421" s="11">
        <f>INDEX([1]ratio_ins!K:K,MATCH('001_population_health_zone_zs'!$B$2,[1]ratio_ins!$B:$B,0))*$G421*INDEX([1]ratio_ins!$C:$C,MATCH('001_population_health_zone_zs'!$B421,[1]ratio_ins!$B:$B,0))</f>
        <v>127189.9530048</v>
      </c>
      <c r="N421" s="10">
        <f>INDEX([1]ratio_ins!L:L,MATCH('001_population_health_zone_zs'!$B$2,[1]ratio_ins!$B:$B,0))*$G421*INDEX([1]ratio_ins!$C:$C,MATCH('001_population_health_zone_zs'!$B421,[1]ratio_ins!$B:$B,0))</f>
        <v>7476.4632432000008</v>
      </c>
      <c r="O421" s="10">
        <f>INDEX([1]ratio_ins!M:M,MATCH('001_population_health_zone_zs'!$B$2,[1]ratio_ins!$B:$B,0))*$G421*INDEX([1]ratio_ins!$C:$C,MATCH('001_population_health_zone_zs'!$B421,[1]ratio_ins!$B:$B,0))</f>
        <v>16214.016672000005</v>
      </c>
      <c r="P421" s="10">
        <f>INDEX([1]ratio_ins!N:N,MATCH('001_population_health_zone_zs'!$B$2,[1]ratio_ins!$B:$B,0))*$G421*INDEX([1]ratio_ins!$C:$C,MATCH('001_population_health_zone_zs'!$B421,[1]ratio_ins!$B:$B,0))</f>
        <v>14637.653940000002</v>
      </c>
      <c r="Q421" s="10">
        <f>INDEX([1]ratio_ins!O:O,MATCH('001_population_health_zone_zs'!$B$2,[1]ratio_ins!$B:$B,0))*$G421*INDEX([1]ratio_ins!$C:$C,MATCH('001_population_health_zone_zs'!$B421,[1]ratio_ins!$B:$B,0))</f>
        <v>13061.291208000001</v>
      </c>
      <c r="R421" s="10">
        <f>INDEX([1]ratio_ins!P:P,MATCH('001_population_health_zone_zs'!$B$2,[1]ratio_ins!$B:$B,0))*$G421*INDEX([1]ratio_ins!$C:$C,MATCH('001_population_health_zone_zs'!$B421,[1]ratio_ins!$B:$B,0))</f>
        <v>12836.096532000003</v>
      </c>
      <c r="S421" s="10">
        <f>INDEX([1]ratio_ins!Q:Q,MATCH('001_population_health_zone_zs'!$B$2,[1]ratio_ins!$B:$B,0))*$G421*INDEX([1]ratio_ins!$C:$C,MATCH('001_population_health_zone_zs'!$B421,[1]ratio_ins!$B:$B,0))</f>
        <v>10809.344448000002</v>
      </c>
      <c r="T421" s="10">
        <f>INDEX([1]ratio_ins!R:R,MATCH('001_population_health_zone_zs'!$B$2,[1]ratio_ins!$B:$B,0))*$G421*INDEX([1]ratio_ins!$C:$C,MATCH('001_population_health_zone_zs'!$B421,[1]ratio_ins!$B:$B,0))</f>
        <v>7656.6189840000006</v>
      </c>
      <c r="U421" s="10">
        <f>INDEX([1]ratio_ins!S:S,MATCH('001_population_health_zone_zs'!$B$2,[1]ratio_ins!$B:$B,0))*$G421*INDEX([1]ratio_ins!$C:$C,MATCH('001_population_health_zone_zs'!$B421,[1]ratio_ins!$B:$B,0))</f>
        <v>6080.256252000001</v>
      </c>
      <c r="V421" s="10">
        <f>INDEX([1]ratio_ins!T:T,MATCH('001_population_health_zone_zs'!$B$2,[1]ratio_ins!$B:$B,0))*$G421*INDEX([1]ratio_ins!$C:$C,MATCH('001_population_health_zone_zs'!$B421,[1]ratio_ins!$B:$B,0))</f>
        <v>3377.9201400000002</v>
      </c>
      <c r="W421" s="11">
        <f>INDEX([1]ratio_ins!U:U,MATCH('001_population_health_zone_zs'!$B$2,[1]ratio_ins!$B:$B,0))*$G421*INDEX([1]ratio_ins!$C:$C,MATCH('001_population_health_zone_zs'!$B421,[1]ratio_ins!$B:$B,0))</f>
        <v>92149.661419200012</v>
      </c>
      <c r="X421" s="10">
        <f>INDEX([1]ratio_ins!V:V,MATCH('001_population_health_zone_zs'!$B$2,[1]ratio_ins!$B:$B,0))*$G421*INDEX([1]ratio_ins!$C:$C,MATCH('001_population_health_zone_zs'!$B421,[1]ratio_ins!$B:$B,0))</f>
        <v>2702.3361120000004</v>
      </c>
      <c r="Y421" s="10">
        <f>INDEX([1]ratio_ins!W:W,MATCH('001_population_health_zone_zs'!$B$2,[1]ratio_ins!$B:$B,0))*$G421*INDEX([1]ratio_ins!$C:$C,MATCH('001_population_health_zone_zs'!$B421,[1]ratio_ins!$B:$B,0))</f>
        <v>1801.5574080000001</v>
      </c>
      <c r="Z421" s="10">
        <f>INDEX([1]ratio_ins!X:X,MATCH('001_population_health_zone_zs'!$B$2,[1]ratio_ins!$B:$B,0))*$G421*INDEX([1]ratio_ins!$C:$C,MATCH('001_population_health_zone_zs'!$B421,[1]ratio_ins!$B:$B,0))</f>
        <v>900.77870400000006</v>
      </c>
      <c r="AA421" s="10">
        <f>INDEX([1]ratio_ins!Y:Y,MATCH('001_population_health_zone_zs'!$B$2,[1]ratio_ins!$B:$B,0))*$G421*INDEX([1]ratio_ins!$C:$C,MATCH('001_population_health_zone_zs'!$B421,[1]ratio_ins!$B:$B,0))</f>
        <v>450.38935200000003</v>
      </c>
      <c r="AB421" s="11">
        <f>INDEX([1]ratio_ins!Z:Z,MATCH('001_population_health_zone_zs'!$B$2,[1]ratio_ins!$B:$B,0))*$G421*INDEX([1]ratio_ins!$C:$C,MATCH('001_population_health_zone_zs'!$B421,[1]ratio_ins!$B:$B,0))</f>
        <v>5855.061576000001</v>
      </c>
      <c r="AC421" s="12">
        <f t="shared" si="36"/>
        <v>225194.67600000004</v>
      </c>
      <c r="AD421" s="10">
        <f>INDEX([1]ratio_ins!AA:AA,MATCH('001_population_health_zone_zs'!$B$2,[1]ratio_ins!$B:$B,0))*$G421*INDEX([1]ratio_ins!$D:$D,MATCH('001_population_health_zone_zs'!$B421,[1]ratio_ins!$B:$B,0))</f>
        <v>47861.798039999994</v>
      </c>
      <c r="AE421" s="10">
        <f>INDEX([1]ratio_ins!AB:AB,MATCH('001_population_health_zone_zs'!$B$2,[1]ratio_ins!$B:$B,0))*$G421*INDEX([1]ratio_ins!$D:$D,MATCH('001_population_health_zone_zs'!$B421,[1]ratio_ins!$B:$B,0))</f>
        <v>39429.005052000008</v>
      </c>
      <c r="AF421" s="10">
        <f>INDEX([1]ratio_ins!AC:AC,MATCH('001_population_health_zone_zs'!$B$2,[1]ratio_ins!$B:$B,0))*$G421*INDEX([1]ratio_ins!$D:$D,MATCH('001_population_health_zone_zs'!$B421,[1]ratio_ins!$B:$B,0))</f>
        <v>31224.125387999997</v>
      </c>
      <c r="AG421" s="10">
        <f>INDEX([1]ratio_ins!AD:AD,MATCH('001_population_health_zone_zs'!$B$2,[1]ratio_ins!$B:$B,0))*$G421*INDEX([1]ratio_ins!$D:$D,MATCH('001_population_health_zone_zs'!$B421,[1]ratio_ins!$B:$B,0))</f>
        <v>18916.805892</v>
      </c>
      <c r="AH421" s="10">
        <f>INDEX([1]ratio_ins!AE:AE,MATCH('001_population_health_zone_zs'!$B$2,[1]ratio_ins!$B:$B,0))*$G421*INDEX([1]ratio_ins!$D:$D,MATCH('001_population_health_zone_zs'!$B421,[1]ratio_ins!$B:$B,0))</f>
        <v>11350.083535199999</v>
      </c>
      <c r="AI421" s="13">
        <f>INDEX([1]ratio_ins!AF:AF,MATCH('001_population_health_zone_zs'!$B$2,[1]ratio_ins!$B:$B,0))*$G421*INDEX([1]ratio_ins!$D:$D,MATCH('001_population_health_zone_zs'!$B421,[1]ratio_ins!$B:$B,0))</f>
        <v>129865.01201519999</v>
      </c>
      <c r="AJ421" s="10">
        <f>INDEX([1]ratio_ins!AG:AG,MATCH('001_population_health_zone_zs'!$B$2,[1]ratio_ins!$B:$B,0))*$G421*INDEX([1]ratio_ins!$D:$D,MATCH('001_population_health_zone_zs'!$B421,[1]ratio_ins!$B:$B,0))</f>
        <v>7566.7223567999999</v>
      </c>
      <c r="AK421" s="10">
        <f>INDEX([1]ratio_ins!AH:AH,MATCH('001_population_health_zone_zs'!$B$2,[1]ratio_ins!$B:$B,0))*$G421*INDEX([1]ratio_ins!$D:$D,MATCH('001_population_health_zone_zs'!$B421,[1]ratio_ins!$B:$B,0))</f>
        <v>16865.585976000002</v>
      </c>
      <c r="AL421" s="10">
        <f>INDEX([1]ratio_ins!AI:AI,MATCH('001_population_health_zone_zs'!$B$2,[1]ratio_ins!$B:$B,0))*$G421*INDEX([1]ratio_ins!$D:$D,MATCH('001_population_health_zone_zs'!$B421,[1]ratio_ins!$B:$B,0))</f>
        <v>15953.93268</v>
      </c>
      <c r="AM421" s="10">
        <f>INDEX([1]ratio_ins!AJ:AJ,MATCH('001_population_health_zone_zs'!$B$2,[1]ratio_ins!$B:$B,0))*$G421*INDEX([1]ratio_ins!$D:$D,MATCH('001_population_health_zone_zs'!$B421,[1]ratio_ins!$B:$B,0))</f>
        <v>14586.452736000001</v>
      </c>
      <c r="AN421" s="10">
        <f>INDEX([1]ratio_ins!AK:AK,MATCH('001_population_health_zone_zs'!$B$2,[1]ratio_ins!$B:$B,0))*$G421*INDEX([1]ratio_ins!$D:$D,MATCH('001_population_health_zone_zs'!$B421,[1]ratio_ins!$B:$B,0))</f>
        <v>13674.799440000001</v>
      </c>
      <c r="AO421" s="10">
        <f>INDEX([1]ratio_ins!AL:AL,MATCH('001_population_health_zone_zs'!$B$2,[1]ratio_ins!$B:$B,0))*$G421*INDEX([1]ratio_ins!$D:$D,MATCH('001_population_health_zone_zs'!$B421,[1]ratio_ins!$B:$B,0))</f>
        <v>10256.09958</v>
      </c>
      <c r="AP421" s="10">
        <f>INDEX([1]ratio_ins!AM:AM,MATCH('001_population_health_zone_zs'!$B$2,[1]ratio_ins!$B:$B,0))*$G421*INDEX([1]ratio_ins!$D:$D,MATCH('001_population_health_zone_zs'!$B421,[1]ratio_ins!$B:$B,0))</f>
        <v>6609.4863960000002</v>
      </c>
      <c r="AQ421" s="10">
        <f>INDEX([1]ratio_ins!AN:AN,MATCH('001_population_health_zone_zs'!$B$2,[1]ratio_ins!$B:$B,0))*$G421*INDEX([1]ratio_ins!$D:$D,MATCH('001_population_health_zone_zs'!$B421,[1]ratio_ins!$B:$B,0))</f>
        <v>5242.0064520000005</v>
      </c>
      <c r="AR421" s="10">
        <f>INDEX([1]ratio_ins!AO:AO,MATCH('001_population_health_zone_zs'!$B$2,[1]ratio_ins!$B:$B,0))*$G421*INDEX([1]ratio_ins!$D:$D,MATCH('001_population_health_zone_zs'!$B421,[1]ratio_ins!$B:$B,0))</f>
        <v>2507.0465640000002</v>
      </c>
      <c r="AS421" s="13">
        <f>INDEX([1]ratio_ins!AP:AP,MATCH('001_population_health_zone_zs'!$B$2,[1]ratio_ins!$B:$B,0))*$G421*INDEX([1]ratio_ins!$D:$D,MATCH('001_population_health_zone_zs'!$B421,[1]ratio_ins!$B:$B,0))</f>
        <v>93262.132180800007</v>
      </c>
      <c r="AT421" s="10">
        <f>INDEX([1]ratio_ins!AQ:AQ,MATCH('001_population_health_zone_zs'!$B$2,[1]ratio_ins!$B:$B,0))*$G421*INDEX([1]ratio_ins!$D:$D,MATCH('001_population_health_zone_zs'!$B421,[1]ratio_ins!$B:$B,0))</f>
        <v>2279.1332400000001</v>
      </c>
      <c r="AU421" s="10">
        <f>INDEX([1]ratio_ins!AR:AR,MATCH('001_population_health_zone_zs'!$B$2,[1]ratio_ins!$B:$B,0))*$G421*INDEX([1]ratio_ins!$D:$D,MATCH('001_population_health_zone_zs'!$B421,[1]ratio_ins!$B:$B,0))</f>
        <v>1367.4799440000002</v>
      </c>
      <c r="AV421" s="10">
        <f>INDEX([1]ratio_ins!AS:AS,MATCH('001_population_health_zone_zs'!$B$2,[1]ratio_ins!$B:$B,0))*$G421*INDEX([1]ratio_ins!$D:$D,MATCH('001_population_health_zone_zs'!$B421,[1]ratio_ins!$B:$B,0))</f>
        <v>683.73997200000008</v>
      </c>
      <c r="AW421" s="10">
        <f>INDEX([1]ratio_ins!AT:AT,MATCH('001_population_health_zone_zs'!$B$2,[1]ratio_ins!$B:$B,0))*$G421*INDEX([1]ratio_ins!$D:$D,MATCH('001_population_health_zone_zs'!$B421,[1]ratio_ins!$B:$B,0))</f>
        <v>455.82664800000003</v>
      </c>
      <c r="AX421" s="13">
        <f>INDEX([1]ratio_ins!AU:AU,MATCH('001_population_health_zone_zs'!$B$2,[1]ratio_ins!$B:$B,0))*$G421*INDEX([1]ratio_ins!$D:$D,MATCH('001_population_health_zone_zs'!$B421,[1]ratio_ins!$B:$B,0))</f>
        <v>4786.1798039999994</v>
      </c>
      <c r="AY421" s="14">
        <f t="shared" si="37"/>
        <v>227913.32400000002</v>
      </c>
      <c r="AZ421" s="15">
        <f t="shared" si="38"/>
        <v>453108.00000000006</v>
      </c>
      <c r="BA421" s="16">
        <v>430896.36602304981</v>
      </c>
      <c r="BB421" s="10">
        <f t="shared" si="39"/>
        <v>96863.162700000015</v>
      </c>
      <c r="BC421" s="17">
        <f t="shared" si="40"/>
        <v>0.21377500000000002</v>
      </c>
      <c r="BD421" s="10">
        <f t="shared" si="41"/>
        <v>93906.179892000029</v>
      </c>
    </row>
    <row r="422" spans="1:56" x14ac:dyDescent="0.25">
      <c r="A422" s="8" t="s">
        <v>1015</v>
      </c>
      <c r="B422" s="8" t="s">
        <v>1016</v>
      </c>
      <c r="C422" s="8" t="s">
        <v>1034</v>
      </c>
      <c r="D422" s="8" t="s">
        <v>1035</v>
      </c>
      <c r="E422" s="8" t="s">
        <v>1034</v>
      </c>
      <c r="F422" s="8" t="s">
        <v>1036</v>
      </c>
      <c r="G422" s="9">
        <v>407520</v>
      </c>
      <c r="H422" s="10">
        <f>INDEX([1]ratio_ins!F:F,MATCH('001_population_health_zone_zs'!$B$2,[1]ratio_ins!$B:$B,0))*$G422*INDEX([1]ratio_ins!$C:$C,MATCH('001_population_health_zone_zs'!$B422,[1]ratio_ins!$B:$B,0))</f>
        <v>42330.324959999998</v>
      </c>
      <c r="I422" s="10">
        <f>INDEX([1]ratio_ins!G:G,MATCH('001_population_health_zone_zs'!$B$2,[1]ratio_ins!$B:$B,0))*$G422*INDEX([1]ratio_ins!$C:$C,MATCH('001_population_health_zone_zs'!$B422,[1]ratio_ins!$B:$B,0))</f>
        <v>34633.902240000003</v>
      </c>
      <c r="J422" s="10">
        <f>INDEX([1]ratio_ins!H:H,MATCH('001_population_health_zone_zs'!$B$2,[1]ratio_ins!$B:$B,0))*$G422*INDEX([1]ratio_ins!$C:$C,MATCH('001_population_health_zone_zs'!$B422,[1]ratio_ins!$B:$B,0))</f>
        <v>27342.554400000005</v>
      </c>
      <c r="K422" s="10">
        <f>INDEX([1]ratio_ins!I:I,MATCH('001_population_health_zone_zs'!$B$2,[1]ratio_ins!$B:$B,0))*$G422*INDEX([1]ratio_ins!$C:$C,MATCH('001_population_health_zone_zs'!$B422,[1]ratio_ins!$B:$B,0))</f>
        <v>16810.607520000005</v>
      </c>
      <c r="L422" s="10">
        <f>INDEX([1]ratio_ins!J:J,MATCH('001_population_health_zone_zs'!$B$2,[1]ratio_ins!$B:$B,0))*$G422*INDEX([1]ratio_ins!$C:$C,MATCH('001_population_health_zone_zs'!$B422,[1]ratio_ins!$B:$B,0))</f>
        <v>10086.364512</v>
      </c>
      <c r="M422" s="11">
        <f>INDEX([1]ratio_ins!K:K,MATCH('001_population_health_zone_zs'!$B$2,[1]ratio_ins!$B:$B,0))*$G422*INDEX([1]ratio_ins!$C:$C,MATCH('001_population_health_zone_zs'!$B422,[1]ratio_ins!$B:$B,0))</f>
        <v>114393.146112</v>
      </c>
      <c r="N422" s="10">
        <f>INDEX([1]ratio_ins!L:L,MATCH('001_population_health_zone_zs'!$B$2,[1]ratio_ins!$B:$B,0))*$G422*INDEX([1]ratio_ins!$C:$C,MATCH('001_population_health_zone_zs'!$B422,[1]ratio_ins!$B:$B,0))</f>
        <v>6724.2430080000013</v>
      </c>
      <c r="O422" s="10">
        <f>INDEX([1]ratio_ins!M:M,MATCH('001_population_health_zone_zs'!$B$2,[1]ratio_ins!$B:$B,0))*$G422*INDEX([1]ratio_ins!$C:$C,MATCH('001_population_health_zone_zs'!$B422,[1]ratio_ins!$B:$B,0))</f>
        <v>14582.695680000003</v>
      </c>
      <c r="P422" s="10">
        <f>INDEX([1]ratio_ins!N:N,MATCH('001_population_health_zone_zs'!$B$2,[1]ratio_ins!$B:$B,0))*$G422*INDEX([1]ratio_ins!$C:$C,MATCH('001_population_health_zone_zs'!$B422,[1]ratio_ins!$B:$B,0))</f>
        <v>13164.9336</v>
      </c>
      <c r="Q422" s="10">
        <f>INDEX([1]ratio_ins!O:O,MATCH('001_population_health_zone_zs'!$B$2,[1]ratio_ins!$B:$B,0))*$G422*INDEX([1]ratio_ins!$C:$C,MATCH('001_population_health_zone_zs'!$B422,[1]ratio_ins!$B:$B,0))</f>
        <v>11747.171520000002</v>
      </c>
      <c r="R422" s="10">
        <f>INDEX([1]ratio_ins!P:P,MATCH('001_population_health_zone_zs'!$B$2,[1]ratio_ins!$B:$B,0))*$G422*INDEX([1]ratio_ins!$C:$C,MATCH('001_population_health_zone_zs'!$B422,[1]ratio_ins!$B:$B,0))</f>
        <v>11544.634080000002</v>
      </c>
      <c r="S422" s="10">
        <f>INDEX([1]ratio_ins!Q:Q,MATCH('001_population_health_zone_zs'!$B$2,[1]ratio_ins!$B:$B,0))*$G422*INDEX([1]ratio_ins!$C:$C,MATCH('001_population_health_zone_zs'!$B422,[1]ratio_ins!$B:$B,0))</f>
        <v>9721.7971200000011</v>
      </c>
      <c r="T422" s="10">
        <f>INDEX([1]ratio_ins!R:R,MATCH('001_population_health_zone_zs'!$B$2,[1]ratio_ins!$B:$B,0))*$G422*INDEX([1]ratio_ins!$C:$C,MATCH('001_population_health_zone_zs'!$B422,[1]ratio_ins!$B:$B,0))</f>
        <v>6886.2729600000011</v>
      </c>
      <c r="U422" s="10">
        <f>INDEX([1]ratio_ins!S:S,MATCH('001_population_health_zone_zs'!$B$2,[1]ratio_ins!$B:$B,0))*$G422*INDEX([1]ratio_ins!$C:$C,MATCH('001_population_health_zone_zs'!$B422,[1]ratio_ins!$B:$B,0))</f>
        <v>5468.5108800000007</v>
      </c>
      <c r="V422" s="10">
        <f>INDEX([1]ratio_ins!T:T,MATCH('001_population_health_zone_zs'!$B$2,[1]ratio_ins!$B:$B,0))*$G422*INDEX([1]ratio_ins!$C:$C,MATCH('001_population_health_zone_zs'!$B422,[1]ratio_ins!$B:$B,0))</f>
        <v>3038.0616000000005</v>
      </c>
      <c r="W422" s="11">
        <f>INDEX([1]ratio_ins!U:U,MATCH('001_population_health_zone_zs'!$B$2,[1]ratio_ins!$B:$B,0))*$G422*INDEX([1]ratio_ins!$C:$C,MATCH('001_population_health_zone_zs'!$B422,[1]ratio_ins!$B:$B,0))</f>
        <v>82878.320448000013</v>
      </c>
      <c r="X422" s="10">
        <f>INDEX([1]ratio_ins!V:V,MATCH('001_population_health_zone_zs'!$B$2,[1]ratio_ins!$B:$B,0))*$G422*INDEX([1]ratio_ins!$C:$C,MATCH('001_population_health_zone_zs'!$B422,[1]ratio_ins!$B:$B,0))</f>
        <v>2430.4492800000003</v>
      </c>
      <c r="Y422" s="10">
        <f>INDEX([1]ratio_ins!W:W,MATCH('001_population_health_zone_zs'!$B$2,[1]ratio_ins!$B:$B,0))*$G422*INDEX([1]ratio_ins!$C:$C,MATCH('001_population_health_zone_zs'!$B422,[1]ratio_ins!$B:$B,0))</f>
        <v>1620.29952</v>
      </c>
      <c r="Z422" s="10">
        <f>INDEX([1]ratio_ins!X:X,MATCH('001_population_health_zone_zs'!$B$2,[1]ratio_ins!$B:$B,0))*$G422*INDEX([1]ratio_ins!$C:$C,MATCH('001_population_health_zone_zs'!$B422,[1]ratio_ins!$B:$B,0))</f>
        <v>810.14976000000001</v>
      </c>
      <c r="AA422" s="10">
        <f>INDEX([1]ratio_ins!Y:Y,MATCH('001_population_health_zone_zs'!$B$2,[1]ratio_ins!$B:$B,0))*$G422*INDEX([1]ratio_ins!$C:$C,MATCH('001_population_health_zone_zs'!$B422,[1]ratio_ins!$B:$B,0))</f>
        <v>405.07488000000001</v>
      </c>
      <c r="AB422" s="11">
        <f>INDEX([1]ratio_ins!Z:Z,MATCH('001_population_health_zone_zs'!$B$2,[1]ratio_ins!$B:$B,0))*$G422*INDEX([1]ratio_ins!$C:$C,MATCH('001_population_health_zone_zs'!$B422,[1]ratio_ins!$B:$B,0))</f>
        <v>5265.9734400000007</v>
      </c>
      <c r="AC422" s="12">
        <f t="shared" si="36"/>
        <v>202537.44000000003</v>
      </c>
      <c r="AD422" s="10">
        <f>INDEX([1]ratio_ins!AA:AA,MATCH('001_population_health_zone_zs'!$B$2,[1]ratio_ins!$B:$B,0))*$G422*INDEX([1]ratio_ins!$D:$D,MATCH('001_population_health_zone_zs'!$B422,[1]ratio_ins!$B:$B,0))</f>
        <v>43046.337599999999</v>
      </c>
      <c r="AE422" s="10">
        <f>INDEX([1]ratio_ins!AB:AB,MATCH('001_population_health_zone_zs'!$B$2,[1]ratio_ins!$B:$B,0))*$G422*INDEX([1]ratio_ins!$D:$D,MATCH('001_population_health_zone_zs'!$B422,[1]ratio_ins!$B:$B,0))</f>
        <v>35461.982880000003</v>
      </c>
      <c r="AF422" s="10">
        <f>INDEX([1]ratio_ins!AC:AC,MATCH('001_population_health_zone_zs'!$B$2,[1]ratio_ins!$B:$B,0))*$G422*INDEX([1]ratio_ins!$D:$D,MATCH('001_population_health_zone_zs'!$B422,[1]ratio_ins!$B:$B,0))</f>
        <v>28082.610719999997</v>
      </c>
      <c r="AG422" s="10">
        <f>INDEX([1]ratio_ins!AD:AD,MATCH('001_population_health_zone_zs'!$B$2,[1]ratio_ins!$B:$B,0))*$G422*INDEX([1]ratio_ins!$D:$D,MATCH('001_population_health_zone_zs'!$B422,[1]ratio_ins!$B:$B,0))</f>
        <v>17013.552480000002</v>
      </c>
      <c r="AH422" s="10">
        <f>INDEX([1]ratio_ins!AE:AE,MATCH('001_population_health_zone_zs'!$B$2,[1]ratio_ins!$B:$B,0))*$G422*INDEX([1]ratio_ins!$D:$D,MATCH('001_population_health_zone_zs'!$B422,[1]ratio_ins!$B:$B,0))</f>
        <v>10208.131487999999</v>
      </c>
      <c r="AI422" s="13">
        <f>INDEX([1]ratio_ins!AF:AF,MATCH('001_population_health_zone_zs'!$B$2,[1]ratio_ins!$B:$B,0))*$G422*INDEX([1]ratio_ins!$D:$D,MATCH('001_population_health_zone_zs'!$B422,[1]ratio_ins!$B:$B,0))</f>
        <v>116799.06268799999</v>
      </c>
      <c r="AJ422" s="10">
        <f>INDEX([1]ratio_ins!AG:AG,MATCH('001_population_health_zone_zs'!$B$2,[1]ratio_ins!$B:$B,0))*$G422*INDEX([1]ratio_ins!$D:$D,MATCH('001_population_health_zone_zs'!$B422,[1]ratio_ins!$B:$B,0))</f>
        <v>6805.4209920000003</v>
      </c>
      <c r="AK422" s="10">
        <f>INDEX([1]ratio_ins!AH:AH,MATCH('001_population_health_zone_zs'!$B$2,[1]ratio_ins!$B:$B,0))*$G422*INDEX([1]ratio_ins!$D:$D,MATCH('001_population_health_zone_zs'!$B422,[1]ratio_ins!$B:$B,0))</f>
        <v>15168.709440000002</v>
      </c>
      <c r="AL422" s="10">
        <f>INDEX([1]ratio_ins!AI:AI,MATCH('001_population_health_zone_zs'!$B$2,[1]ratio_ins!$B:$B,0))*$G422*INDEX([1]ratio_ins!$D:$D,MATCH('001_population_health_zone_zs'!$B422,[1]ratio_ins!$B:$B,0))</f>
        <v>14348.779200000001</v>
      </c>
      <c r="AM422" s="10">
        <f>INDEX([1]ratio_ins!AJ:AJ,MATCH('001_population_health_zone_zs'!$B$2,[1]ratio_ins!$B:$B,0))*$G422*INDEX([1]ratio_ins!$D:$D,MATCH('001_population_health_zone_zs'!$B422,[1]ratio_ins!$B:$B,0))</f>
        <v>13118.883839999999</v>
      </c>
      <c r="AN422" s="10">
        <f>INDEX([1]ratio_ins!AK:AK,MATCH('001_population_health_zone_zs'!$B$2,[1]ratio_ins!$B:$B,0))*$G422*INDEX([1]ratio_ins!$D:$D,MATCH('001_population_health_zone_zs'!$B422,[1]ratio_ins!$B:$B,0))</f>
        <v>12298.953600000001</v>
      </c>
      <c r="AO422" s="10">
        <f>INDEX([1]ratio_ins!AL:AL,MATCH('001_population_health_zone_zs'!$B$2,[1]ratio_ins!$B:$B,0))*$G422*INDEX([1]ratio_ins!$D:$D,MATCH('001_population_health_zone_zs'!$B422,[1]ratio_ins!$B:$B,0))</f>
        <v>9224.2151999999987</v>
      </c>
      <c r="AP422" s="10">
        <f>INDEX([1]ratio_ins!AM:AM,MATCH('001_population_health_zone_zs'!$B$2,[1]ratio_ins!$B:$B,0))*$G422*INDEX([1]ratio_ins!$D:$D,MATCH('001_population_health_zone_zs'!$B422,[1]ratio_ins!$B:$B,0))</f>
        <v>5944.49424</v>
      </c>
      <c r="AQ422" s="10">
        <f>INDEX([1]ratio_ins!AN:AN,MATCH('001_population_health_zone_zs'!$B$2,[1]ratio_ins!$B:$B,0))*$G422*INDEX([1]ratio_ins!$D:$D,MATCH('001_population_health_zone_zs'!$B422,[1]ratio_ins!$B:$B,0))</f>
        <v>4714.5988799999996</v>
      </c>
      <c r="AR422" s="10">
        <f>INDEX([1]ratio_ins!AO:AO,MATCH('001_population_health_zone_zs'!$B$2,[1]ratio_ins!$B:$B,0))*$G422*INDEX([1]ratio_ins!$D:$D,MATCH('001_population_health_zone_zs'!$B422,[1]ratio_ins!$B:$B,0))</f>
        <v>2254.80816</v>
      </c>
      <c r="AS422" s="13">
        <f>INDEX([1]ratio_ins!AP:AP,MATCH('001_population_health_zone_zs'!$B$2,[1]ratio_ins!$B:$B,0))*$G422*INDEX([1]ratio_ins!$D:$D,MATCH('001_population_health_zone_zs'!$B422,[1]ratio_ins!$B:$B,0))</f>
        <v>83878.86355200001</v>
      </c>
      <c r="AT422" s="10">
        <f>INDEX([1]ratio_ins!AQ:AQ,MATCH('001_population_health_zone_zs'!$B$2,[1]ratio_ins!$B:$B,0))*$G422*INDEX([1]ratio_ins!$D:$D,MATCH('001_population_health_zone_zs'!$B422,[1]ratio_ins!$B:$B,0))</f>
        <v>2049.8256000000001</v>
      </c>
      <c r="AU422" s="10">
        <f>INDEX([1]ratio_ins!AR:AR,MATCH('001_population_health_zone_zs'!$B$2,[1]ratio_ins!$B:$B,0))*$G422*INDEX([1]ratio_ins!$D:$D,MATCH('001_population_health_zone_zs'!$B422,[1]ratio_ins!$B:$B,0))</f>
        <v>1229.89536</v>
      </c>
      <c r="AV422" s="10">
        <f>INDEX([1]ratio_ins!AS:AS,MATCH('001_population_health_zone_zs'!$B$2,[1]ratio_ins!$B:$B,0))*$G422*INDEX([1]ratio_ins!$D:$D,MATCH('001_population_health_zone_zs'!$B422,[1]ratio_ins!$B:$B,0))</f>
        <v>614.94767999999999</v>
      </c>
      <c r="AW422" s="10">
        <f>INDEX([1]ratio_ins!AT:AT,MATCH('001_population_health_zone_zs'!$B$2,[1]ratio_ins!$B:$B,0))*$G422*INDEX([1]ratio_ins!$D:$D,MATCH('001_population_health_zone_zs'!$B422,[1]ratio_ins!$B:$B,0))</f>
        <v>409.96511999999996</v>
      </c>
      <c r="AX422" s="13">
        <f>INDEX([1]ratio_ins!AU:AU,MATCH('001_population_health_zone_zs'!$B$2,[1]ratio_ins!$B:$B,0))*$G422*INDEX([1]ratio_ins!$D:$D,MATCH('001_population_health_zone_zs'!$B422,[1]ratio_ins!$B:$B,0))</f>
        <v>4304.6337599999988</v>
      </c>
      <c r="AY422" s="14">
        <f t="shared" si="37"/>
        <v>204982.56</v>
      </c>
      <c r="AZ422" s="15">
        <f t="shared" si="38"/>
        <v>407520</v>
      </c>
      <c r="BA422" s="16">
        <v>387543.38273966545</v>
      </c>
      <c r="BB422" s="10">
        <f t="shared" si="39"/>
        <v>87117.588000000018</v>
      </c>
      <c r="BC422" s="17">
        <f t="shared" si="40"/>
        <v>0.21377500000000005</v>
      </c>
      <c r="BD422" s="10">
        <f t="shared" si="41"/>
        <v>84458.112480000011</v>
      </c>
    </row>
    <row r="423" spans="1:56" x14ac:dyDescent="0.25">
      <c r="A423" s="8" t="s">
        <v>1015</v>
      </c>
      <c r="B423" s="8" t="s">
        <v>1016</v>
      </c>
      <c r="C423" s="8" t="s">
        <v>1037</v>
      </c>
      <c r="D423" s="8" t="s">
        <v>1038</v>
      </c>
      <c r="E423" s="8" t="s">
        <v>1037</v>
      </c>
      <c r="F423" s="8" t="s">
        <v>1039</v>
      </c>
      <c r="G423" s="9">
        <v>486758</v>
      </c>
      <c r="H423" s="10">
        <f>INDEX([1]ratio_ins!F:F,MATCH('001_population_health_zone_zs'!$B$2,[1]ratio_ins!$B:$B,0))*$G423*INDEX([1]ratio_ins!$C:$C,MATCH('001_population_health_zone_zs'!$B423,[1]ratio_ins!$B:$B,0))</f>
        <v>50561.013734</v>
      </c>
      <c r="I423" s="10">
        <f>INDEX([1]ratio_ins!G:G,MATCH('001_population_health_zone_zs'!$B$2,[1]ratio_ins!$B:$B,0))*$G423*INDEX([1]ratio_ins!$C:$C,MATCH('001_population_health_zone_zs'!$B423,[1]ratio_ins!$B:$B,0))</f>
        <v>41368.102146000005</v>
      </c>
      <c r="J423" s="10">
        <f>INDEX([1]ratio_ins!H:H,MATCH('001_population_health_zone_zs'!$B$2,[1]ratio_ins!$B:$B,0))*$G423*INDEX([1]ratio_ins!$C:$C,MATCH('001_population_health_zone_zs'!$B423,[1]ratio_ins!$B:$B,0))</f>
        <v>32659.028010000005</v>
      </c>
      <c r="K423" s="10">
        <f>INDEX([1]ratio_ins!I:I,MATCH('001_population_health_zone_zs'!$B$2,[1]ratio_ins!$B:$B,0))*$G423*INDEX([1]ratio_ins!$C:$C,MATCH('001_population_health_zone_zs'!$B423,[1]ratio_ins!$B:$B,0))</f>
        <v>20079.254258000004</v>
      </c>
      <c r="L423" s="10">
        <f>INDEX([1]ratio_ins!J:J,MATCH('001_population_health_zone_zs'!$B$2,[1]ratio_ins!$B:$B,0))*$G423*INDEX([1]ratio_ins!$C:$C,MATCH('001_population_health_zone_zs'!$B423,[1]ratio_ins!$B:$B,0))</f>
        <v>12047.552554800001</v>
      </c>
      <c r="M423" s="11">
        <f>INDEX([1]ratio_ins!K:K,MATCH('001_population_health_zone_zs'!$B$2,[1]ratio_ins!$B:$B,0))*$G423*INDEX([1]ratio_ins!$C:$C,MATCH('001_population_health_zone_zs'!$B423,[1]ratio_ins!$B:$B,0))</f>
        <v>136635.69644480001</v>
      </c>
      <c r="N423" s="10">
        <f>INDEX([1]ratio_ins!L:L,MATCH('001_population_health_zone_zs'!$B$2,[1]ratio_ins!$B:$B,0))*$G423*INDEX([1]ratio_ins!$C:$C,MATCH('001_population_health_zone_zs'!$B423,[1]ratio_ins!$B:$B,0))</f>
        <v>8031.7017032000012</v>
      </c>
      <c r="O423" s="10">
        <f>INDEX([1]ratio_ins!M:M,MATCH('001_population_health_zone_zs'!$B$2,[1]ratio_ins!$B:$B,0))*$G423*INDEX([1]ratio_ins!$C:$C,MATCH('001_population_health_zone_zs'!$B423,[1]ratio_ins!$B:$B,0))</f>
        <v>17418.148272000002</v>
      </c>
      <c r="P423" s="10">
        <f>INDEX([1]ratio_ins!N:N,MATCH('001_population_health_zone_zs'!$B$2,[1]ratio_ins!$B:$B,0))*$G423*INDEX([1]ratio_ins!$C:$C,MATCH('001_population_health_zone_zs'!$B423,[1]ratio_ins!$B:$B,0))</f>
        <v>15724.717190000001</v>
      </c>
      <c r="Q423" s="10">
        <f>INDEX([1]ratio_ins!O:O,MATCH('001_population_health_zone_zs'!$B$2,[1]ratio_ins!$B:$B,0))*$G423*INDEX([1]ratio_ins!$C:$C,MATCH('001_population_health_zone_zs'!$B423,[1]ratio_ins!$B:$B,0))</f>
        <v>14031.286108</v>
      </c>
      <c r="R423" s="10">
        <f>INDEX([1]ratio_ins!P:P,MATCH('001_population_health_zone_zs'!$B$2,[1]ratio_ins!$B:$B,0))*$G423*INDEX([1]ratio_ins!$C:$C,MATCH('001_population_health_zone_zs'!$B423,[1]ratio_ins!$B:$B,0))</f>
        <v>13789.367382000002</v>
      </c>
      <c r="S423" s="10">
        <f>INDEX([1]ratio_ins!Q:Q,MATCH('001_population_health_zone_zs'!$B$2,[1]ratio_ins!$B:$B,0))*$G423*INDEX([1]ratio_ins!$C:$C,MATCH('001_population_health_zone_zs'!$B423,[1]ratio_ins!$B:$B,0))</f>
        <v>11612.098848000001</v>
      </c>
      <c r="T423" s="10">
        <f>INDEX([1]ratio_ins!R:R,MATCH('001_population_health_zone_zs'!$B$2,[1]ratio_ins!$B:$B,0))*$G423*INDEX([1]ratio_ins!$C:$C,MATCH('001_population_health_zone_zs'!$B423,[1]ratio_ins!$B:$B,0))</f>
        <v>8225.2366840000013</v>
      </c>
      <c r="U423" s="10">
        <f>INDEX([1]ratio_ins!S:S,MATCH('001_population_health_zone_zs'!$B$2,[1]ratio_ins!$B:$B,0))*$G423*INDEX([1]ratio_ins!$C:$C,MATCH('001_population_health_zone_zs'!$B423,[1]ratio_ins!$B:$B,0))</f>
        <v>6531.8056020000022</v>
      </c>
      <c r="V423" s="10">
        <f>INDEX([1]ratio_ins!T:T,MATCH('001_population_health_zone_zs'!$B$2,[1]ratio_ins!$B:$B,0))*$G423*INDEX([1]ratio_ins!$C:$C,MATCH('001_population_health_zone_zs'!$B423,[1]ratio_ins!$B:$B,0))</f>
        <v>3628.7808900000005</v>
      </c>
      <c r="W423" s="11">
        <f>INDEX([1]ratio_ins!U:U,MATCH('001_population_health_zone_zs'!$B$2,[1]ratio_ins!$B:$B,0))*$G423*INDEX([1]ratio_ins!$C:$C,MATCH('001_population_health_zone_zs'!$B423,[1]ratio_ins!$B:$B,0))</f>
        <v>98993.142679200013</v>
      </c>
      <c r="X423" s="10">
        <f>INDEX([1]ratio_ins!V:V,MATCH('001_population_health_zone_zs'!$B$2,[1]ratio_ins!$B:$B,0))*$G423*INDEX([1]ratio_ins!$C:$C,MATCH('001_population_health_zone_zs'!$B423,[1]ratio_ins!$B:$B,0))</f>
        <v>2903.0247120000004</v>
      </c>
      <c r="Y423" s="10">
        <f>INDEX([1]ratio_ins!W:W,MATCH('001_population_health_zone_zs'!$B$2,[1]ratio_ins!$B:$B,0))*$G423*INDEX([1]ratio_ins!$C:$C,MATCH('001_population_health_zone_zs'!$B423,[1]ratio_ins!$B:$B,0))</f>
        <v>1935.3498080000004</v>
      </c>
      <c r="Z423" s="10">
        <f>INDEX([1]ratio_ins!X:X,MATCH('001_population_health_zone_zs'!$B$2,[1]ratio_ins!$B:$B,0))*$G423*INDEX([1]ratio_ins!$C:$C,MATCH('001_population_health_zone_zs'!$B423,[1]ratio_ins!$B:$B,0))</f>
        <v>967.6749040000002</v>
      </c>
      <c r="AA423" s="10">
        <f>INDEX([1]ratio_ins!Y:Y,MATCH('001_population_health_zone_zs'!$B$2,[1]ratio_ins!$B:$B,0))*$G423*INDEX([1]ratio_ins!$C:$C,MATCH('001_population_health_zone_zs'!$B423,[1]ratio_ins!$B:$B,0))</f>
        <v>483.8374520000001</v>
      </c>
      <c r="AB423" s="11">
        <f>INDEX([1]ratio_ins!Z:Z,MATCH('001_population_health_zone_zs'!$B$2,[1]ratio_ins!$B:$B,0))*$G423*INDEX([1]ratio_ins!$C:$C,MATCH('001_population_health_zone_zs'!$B423,[1]ratio_ins!$B:$B,0))</f>
        <v>6289.8868760000005</v>
      </c>
      <c r="AC423" s="12">
        <f t="shared" si="36"/>
        <v>241918.72600000002</v>
      </c>
      <c r="AD423" s="10">
        <f>INDEX([1]ratio_ins!AA:AA,MATCH('001_population_health_zone_zs'!$B$2,[1]ratio_ins!$B:$B,0))*$G423*INDEX([1]ratio_ins!$D:$D,MATCH('001_population_health_zone_zs'!$B423,[1]ratio_ins!$B:$B,0))</f>
        <v>51416.247539999997</v>
      </c>
      <c r="AE423" s="10">
        <f>INDEX([1]ratio_ins!AB:AB,MATCH('001_population_health_zone_zs'!$B$2,[1]ratio_ins!$B:$B,0))*$G423*INDEX([1]ratio_ins!$D:$D,MATCH('001_population_health_zone_zs'!$B423,[1]ratio_ins!$B:$B,0))</f>
        <v>42357.194402000001</v>
      </c>
      <c r="AF423" s="10">
        <f>INDEX([1]ratio_ins!AC:AC,MATCH('001_population_health_zone_zs'!$B$2,[1]ratio_ins!$B:$B,0))*$G423*INDEX([1]ratio_ins!$D:$D,MATCH('001_population_health_zone_zs'!$B423,[1]ratio_ins!$B:$B,0))</f>
        <v>33542.980537999996</v>
      </c>
      <c r="AG423" s="10">
        <f>INDEX([1]ratio_ins!AD:AD,MATCH('001_population_health_zone_zs'!$B$2,[1]ratio_ins!$B:$B,0))*$G423*INDEX([1]ratio_ins!$D:$D,MATCH('001_population_health_zone_zs'!$B423,[1]ratio_ins!$B:$B,0))</f>
        <v>20321.659742000003</v>
      </c>
      <c r="AH423" s="10">
        <f>INDEX([1]ratio_ins!AE:AE,MATCH('001_population_health_zone_zs'!$B$2,[1]ratio_ins!$B:$B,0))*$G423*INDEX([1]ratio_ins!$D:$D,MATCH('001_population_health_zone_zs'!$B423,[1]ratio_ins!$B:$B,0))</f>
        <v>12192.995845199999</v>
      </c>
      <c r="AI423" s="13">
        <f>INDEX([1]ratio_ins!AF:AF,MATCH('001_population_health_zone_zs'!$B$2,[1]ratio_ins!$B:$B,0))*$G423*INDEX([1]ratio_ins!$D:$D,MATCH('001_population_health_zone_zs'!$B423,[1]ratio_ins!$B:$B,0))</f>
        <v>139509.41832520001</v>
      </c>
      <c r="AJ423" s="10">
        <f>INDEX([1]ratio_ins!AG:AG,MATCH('001_population_health_zone_zs'!$B$2,[1]ratio_ins!$B:$B,0))*$G423*INDEX([1]ratio_ins!$D:$D,MATCH('001_population_health_zone_zs'!$B423,[1]ratio_ins!$B:$B,0))</f>
        <v>8128.6638968000007</v>
      </c>
      <c r="AK423" s="10">
        <f>INDEX([1]ratio_ins!AH:AH,MATCH('001_population_health_zone_zs'!$B$2,[1]ratio_ins!$B:$B,0))*$G423*INDEX([1]ratio_ins!$D:$D,MATCH('001_population_health_zone_zs'!$B423,[1]ratio_ins!$B:$B,0))</f>
        <v>18118.106276000002</v>
      </c>
      <c r="AL423" s="10">
        <f>INDEX([1]ratio_ins!AI:AI,MATCH('001_population_health_zone_zs'!$B$2,[1]ratio_ins!$B:$B,0))*$G423*INDEX([1]ratio_ins!$D:$D,MATCH('001_population_health_zone_zs'!$B423,[1]ratio_ins!$B:$B,0))</f>
        <v>17138.749180000003</v>
      </c>
      <c r="AM423" s="10">
        <f>INDEX([1]ratio_ins!AJ:AJ,MATCH('001_population_health_zone_zs'!$B$2,[1]ratio_ins!$B:$B,0))*$G423*INDEX([1]ratio_ins!$D:$D,MATCH('001_population_health_zone_zs'!$B423,[1]ratio_ins!$B:$B,0))</f>
        <v>15669.713536000001</v>
      </c>
      <c r="AN423" s="10">
        <f>INDEX([1]ratio_ins!AK:AK,MATCH('001_population_health_zone_zs'!$B$2,[1]ratio_ins!$B:$B,0))*$G423*INDEX([1]ratio_ins!$D:$D,MATCH('001_population_health_zone_zs'!$B423,[1]ratio_ins!$B:$B,0))</f>
        <v>14690.35644</v>
      </c>
      <c r="AO423" s="10">
        <f>INDEX([1]ratio_ins!AL:AL,MATCH('001_population_health_zone_zs'!$B$2,[1]ratio_ins!$B:$B,0))*$G423*INDEX([1]ratio_ins!$D:$D,MATCH('001_population_health_zone_zs'!$B423,[1]ratio_ins!$B:$B,0))</f>
        <v>11017.767330000001</v>
      </c>
      <c r="AP423" s="10">
        <f>INDEX([1]ratio_ins!AM:AM,MATCH('001_population_health_zone_zs'!$B$2,[1]ratio_ins!$B:$B,0))*$G423*INDEX([1]ratio_ins!$D:$D,MATCH('001_population_health_zone_zs'!$B423,[1]ratio_ins!$B:$B,0))</f>
        <v>7100.3389459999989</v>
      </c>
      <c r="AQ423" s="10">
        <f>INDEX([1]ratio_ins!AN:AN,MATCH('001_population_health_zone_zs'!$B$2,[1]ratio_ins!$B:$B,0))*$G423*INDEX([1]ratio_ins!$D:$D,MATCH('001_population_health_zone_zs'!$B423,[1]ratio_ins!$B:$B,0))</f>
        <v>5631.3033019999993</v>
      </c>
      <c r="AR423" s="10">
        <f>INDEX([1]ratio_ins!AO:AO,MATCH('001_population_health_zone_zs'!$B$2,[1]ratio_ins!$B:$B,0))*$G423*INDEX([1]ratio_ins!$D:$D,MATCH('001_population_health_zone_zs'!$B423,[1]ratio_ins!$B:$B,0))</f>
        <v>2693.2320140000002</v>
      </c>
      <c r="AS423" s="13">
        <f>INDEX([1]ratio_ins!AP:AP,MATCH('001_population_health_zone_zs'!$B$2,[1]ratio_ins!$B:$B,0))*$G423*INDEX([1]ratio_ins!$D:$D,MATCH('001_population_health_zone_zs'!$B423,[1]ratio_ins!$B:$B,0))</f>
        <v>100188.23092079999</v>
      </c>
      <c r="AT423" s="10">
        <f>INDEX([1]ratio_ins!AQ:AQ,MATCH('001_population_health_zone_zs'!$B$2,[1]ratio_ins!$B:$B,0))*$G423*INDEX([1]ratio_ins!$D:$D,MATCH('001_population_health_zone_zs'!$B423,[1]ratio_ins!$B:$B,0))</f>
        <v>2448.3927399999998</v>
      </c>
      <c r="AU423" s="10">
        <f>INDEX([1]ratio_ins!AR:AR,MATCH('001_population_health_zone_zs'!$B$2,[1]ratio_ins!$B:$B,0))*$G423*INDEX([1]ratio_ins!$D:$D,MATCH('001_population_health_zone_zs'!$B423,[1]ratio_ins!$B:$B,0))</f>
        <v>1469.035644</v>
      </c>
      <c r="AV423" s="10">
        <f>INDEX([1]ratio_ins!AS:AS,MATCH('001_population_health_zone_zs'!$B$2,[1]ratio_ins!$B:$B,0))*$G423*INDEX([1]ratio_ins!$D:$D,MATCH('001_population_health_zone_zs'!$B423,[1]ratio_ins!$B:$B,0))</f>
        <v>734.51782200000002</v>
      </c>
      <c r="AW423" s="10">
        <f>INDEX([1]ratio_ins!AT:AT,MATCH('001_population_health_zone_zs'!$B$2,[1]ratio_ins!$B:$B,0))*$G423*INDEX([1]ratio_ins!$D:$D,MATCH('001_population_health_zone_zs'!$B423,[1]ratio_ins!$B:$B,0))</f>
        <v>489.67854800000003</v>
      </c>
      <c r="AX423" s="13">
        <f>INDEX([1]ratio_ins!AU:AU,MATCH('001_population_health_zone_zs'!$B$2,[1]ratio_ins!$B:$B,0))*$G423*INDEX([1]ratio_ins!$D:$D,MATCH('001_population_health_zone_zs'!$B423,[1]ratio_ins!$B:$B,0))</f>
        <v>5141.6247539999995</v>
      </c>
      <c r="AY423" s="14">
        <f t="shared" si="37"/>
        <v>244839.27399999998</v>
      </c>
      <c r="AZ423" s="15">
        <f t="shared" si="38"/>
        <v>486758</v>
      </c>
      <c r="BA423" s="16">
        <v>462897.4046242215</v>
      </c>
      <c r="BB423" s="10">
        <f t="shared" si="39"/>
        <v>104056.69145000001</v>
      </c>
      <c r="BC423" s="17">
        <f t="shared" si="40"/>
        <v>0.21377500000000002</v>
      </c>
      <c r="BD423" s="10">
        <f t="shared" si="41"/>
        <v>100880.10874200001</v>
      </c>
    </row>
    <row r="424" spans="1:56" x14ac:dyDescent="0.25">
      <c r="A424" s="8" t="s">
        <v>1015</v>
      </c>
      <c r="B424" s="8" t="s">
        <v>1016</v>
      </c>
      <c r="C424" s="8" t="s">
        <v>1037</v>
      </c>
      <c r="D424" s="8" t="s">
        <v>1038</v>
      </c>
      <c r="E424" s="8" t="s">
        <v>1040</v>
      </c>
      <c r="F424" s="8" t="s">
        <v>1041</v>
      </c>
      <c r="G424" s="9">
        <v>307874</v>
      </c>
      <c r="H424" s="10">
        <f>INDEX([1]ratio_ins!F:F,MATCH('001_population_health_zone_zs'!$B$2,[1]ratio_ins!$B:$B,0))*$G424*INDEX([1]ratio_ins!$C:$C,MATCH('001_population_health_zone_zs'!$B424,[1]ratio_ins!$B:$B,0))</f>
        <v>31979.796002000003</v>
      </c>
      <c r="I424" s="10">
        <f>INDEX([1]ratio_ins!G:G,MATCH('001_population_health_zone_zs'!$B$2,[1]ratio_ins!$B:$B,0))*$G424*INDEX([1]ratio_ins!$C:$C,MATCH('001_population_health_zone_zs'!$B424,[1]ratio_ins!$B:$B,0))</f>
        <v>26165.287638000005</v>
      </c>
      <c r="J424" s="10">
        <f>INDEX([1]ratio_ins!H:H,MATCH('001_population_health_zone_zs'!$B$2,[1]ratio_ins!$B:$B,0))*$G424*INDEX([1]ratio_ins!$C:$C,MATCH('001_population_health_zone_zs'!$B424,[1]ratio_ins!$B:$B,0))</f>
        <v>20656.806030000003</v>
      </c>
      <c r="K424" s="10">
        <f>INDEX([1]ratio_ins!I:I,MATCH('001_population_health_zone_zs'!$B$2,[1]ratio_ins!$B:$B,0))*$G424*INDEX([1]ratio_ins!$C:$C,MATCH('001_population_health_zone_zs'!$B424,[1]ratio_ins!$B:$B,0))</f>
        <v>12700.110374000002</v>
      </c>
      <c r="L424" s="10">
        <f>INDEX([1]ratio_ins!J:J,MATCH('001_population_health_zone_zs'!$B$2,[1]ratio_ins!$B:$B,0))*$G424*INDEX([1]ratio_ins!$C:$C,MATCH('001_population_health_zone_zs'!$B424,[1]ratio_ins!$B:$B,0))</f>
        <v>7620.0662244000005</v>
      </c>
      <c r="M424" s="11">
        <f>INDEX([1]ratio_ins!K:K,MATCH('001_population_health_zone_zs'!$B$2,[1]ratio_ins!$B:$B,0))*$G424*INDEX([1]ratio_ins!$C:$C,MATCH('001_population_health_zone_zs'!$B424,[1]ratio_ins!$B:$B,0))</f>
        <v>86421.955894400002</v>
      </c>
      <c r="N424" s="10">
        <f>INDEX([1]ratio_ins!L:L,MATCH('001_population_health_zone_zs'!$B$2,[1]ratio_ins!$B:$B,0))*$G424*INDEX([1]ratio_ins!$C:$C,MATCH('001_population_health_zone_zs'!$B424,[1]ratio_ins!$B:$B,0))</f>
        <v>5080.0441496000012</v>
      </c>
      <c r="O424" s="10">
        <f>INDEX([1]ratio_ins!M:M,MATCH('001_population_health_zone_zs'!$B$2,[1]ratio_ins!$B:$B,0))*$G424*INDEX([1]ratio_ins!$C:$C,MATCH('001_population_health_zone_zs'!$B424,[1]ratio_ins!$B:$B,0))</f>
        <v>11016.963216000004</v>
      </c>
      <c r="P424" s="10">
        <f>INDEX([1]ratio_ins!N:N,MATCH('001_population_health_zone_zs'!$B$2,[1]ratio_ins!$B:$B,0))*$G424*INDEX([1]ratio_ins!$C:$C,MATCH('001_population_health_zone_zs'!$B424,[1]ratio_ins!$B:$B,0))</f>
        <v>9945.8695700000026</v>
      </c>
      <c r="Q424" s="10">
        <f>INDEX([1]ratio_ins!O:O,MATCH('001_population_health_zone_zs'!$B$2,[1]ratio_ins!$B:$B,0))*$G424*INDEX([1]ratio_ins!$C:$C,MATCH('001_population_health_zone_zs'!$B424,[1]ratio_ins!$B:$B,0))</f>
        <v>8874.7759240000014</v>
      </c>
      <c r="R424" s="10">
        <f>INDEX([1]ratio_ins!P:P,MATCH('001_population_health_zone_zs'!$B$2,[1]ratio_ins!$B:$B,0))*$G424*INDEX([1]ratio_ins!$C:$C,MATCH('001_population_health_zone_zs'!$B424,[1]ratio_ins!$B:$B,0))</f>
        <v>8721.7625459999999</v>
      </c>
      <c r="S424" s="10">
        <f>INDEX([1]ratio_ins!Q:Q,MATCH('001_population_health_zone_zs'!$B$2,[1]ratio_ins!$B:$B,0))*$G424*INDEX([1]ratio_ins!$C:$C,MATCH('001_population_health_zone_zs'!$B424,[1]ratio_ins!$B:$B,0))</f>
        <v>7344.6421440000013</v>
      </c>
      <c r="T424" s="10">
        <f>INDEX([1]ratio_ins!R:R,MATCH('001_population_health_zone_zs'!$B$2,[1]ratio_ins!$B:$B,0))*$G424*INDEX([1]ratio_ins!$C:$C,MATCH('001_population_health_zone_zs'!$B424,[1]ratio_ins!$B:$B,0))</f>
        <v>5202.4548520000008</v>
      </c>
      <c r="U424" s="10">
        <f>INDEX([1]ratio_ins!S:S,MATCH('001_population_health_zone_zs'!$B$2,[1]ratio_ins!$B:$B,0))*$G424*INDEX([1]ratio_ins!$C:$C,MATCH('001_population_health_zone_zs'!$B424,[1]ratio_ins!$B:$B,0))</f>
        <v>4131.3612060000014</v>
      </c>
      <c r="V424" s="10">
        <f>INDEX([1]ratio_ins!T:T,MATCH('001_population_health_zone_zs'!$B$2,[1]ratio_ins!$B:$B,0))*$G424*INDEX([1]ratio_ins!$C:$C,MATCH('001_population_health_zone_zs'!$B424,[1]ratio_ins!$B:$B,0))</f>
        <v>2295.2006700000002</v>
      </c>
      <c r="W424" s="11">
        <f>INDEX([1]ratio_ins!U:U,MATCH('001_population_health_zone_zs'!$B$2,[1]ratio_ins!$B:$B,0))*$G424*INDEX([1]ratio_ins!$C:$C,MATCH('001_population_health_zone_zs'!$B424,[1]ratio_ins!$B:$B,0))</f>
        <v>62613.074277600004</v>
      </c>
      <c r="X424" s="10">
        <f>INDEX([1]ratio_ins!V:V,MATCH('001_population_health_zone_zs'!$B$2,[1]ratio_ins!$B:$B,0))*$G424*INDEX([1]ratio_ins!$C:$C,MATCH('001_population_health_zone_zs'!$B424,[1]ratio_ins!$B:$B,0))</f>
        <v>1836.1605360000003</v>
      </c>
      <c r="Y424" s="10">
        <f>INDEX([1]ratio_ins!W:W,MATCH('001_population_health_zone_zs'!$B$2,[1]ratio_ins!$B:$B,0))*$G424*INDEX([1]ratio_ins!$C:$C,MATCH('001_population_health_zone_zs'!$B424,[1]ratio_ins!$B:$B,0))</f>
        <v>1224.1070240000001</v>
      </c>
      <c r="Z424" s="10">
        <f>INDEX([1]ratio_ins!X:X,MATCH('001_population_health_zone_zs'!$B$2,[1]ratio_ins!$B:$B,0))*$G424*INDEX([1]ratio_ins!$C:$C,MATCH('001_population_health_zone_zs'!$B424,[1]ratio_ins!$B:$B,0))</f>
        <v>612.05351200000007</v>
      </c>
      <c r="AA424" s="10">
        <f>INDEX([1]ratio_ins!Y:Y,MATCH('001_population_health_zone_zs'!$B$2,[1]ratio_ins!$B:$B,0))*$G424*INDEX([1]ratio_ins!$C:$C,MATCH('001_population_health_zone_zs'!$B424,[1]ratio_ins!$B:$B,0))</f>
        <v>306.02675600000003</v>
      </c>
      <c r="AB424" s="11">
        <f>INDEX([1]ratio_ins!Z:Z,MATCH('001_population_health_zone_zs'!$B$2,[1]ratio_ins!$B:$B,0))*$G424*INDEX([1]ratio_ins!$C:$C,MATCH('001_population_health_zone_zs'!$B424,[1]ratio_ins!$B:$B,0))</f>
        <v>3978.3478280000008</v>
      </c>
      <c r="AC424" s="12">
        <f t="shared" si="36"/>
        <v>153013.378</v>
      </c>
      <c r="AD424" s="10">
        <f>INDEX([1]ratio_ins!AA:AA,MATCH('001_population_health_zone_zs'!$B$2,[1]ratio_ins!$B:$B,0))*$G424*INDEX([1]ratio_ins!$D:$D,MATCH('001_population_health_zone_zs'!$B424,[1]ratio_ins!$B:$B,0))</f>
        <v>32520.730620000002</v>
      </c>
      <c r="AE424" s="10">
        <f>INDEX([1]ratio_ins!AB:AB,MATCH('001_population_health_zone_zs'!$B$2,[1]ratio_ins!$B:$B,0))*$G424*INDEX([1]ratio_ins!$D:$D,MATCH('001_population_health_zone_zs'!$B424,[1]ratio_ins!$B:$B,0))</f>
        <v>26790.887606000004</v>
      </c>
      <c r="AF424" s="10">
        <f>INDEX([1]ratio_ins!AC:AC,MATCH('001_population_health_zone_zs'!$B$2,[1]ratio_ins!$B:$B,0))*$G424*INDEX([1]ratio_ins!$D:$D,MATCH('001_population_health_zone_zs'!$B424,[1]ratio_ins!$B:$B,0))</f>
        <v>21215.905213999999</v>
      </c>
      <c r="AG424" s="10">
        <f>INDEX([1]ratio_ins!AD:AD,MATCH('001_population_health_zone_zs'!$B$2,[1]ratio_ins!$B:$B,0))*$G424*INDEX([1]ratio_ins!$D:$D,MATCH('001_population_health_zone_zs'!$B424,[1]ratio_ins!$B:$B,0))</f>
        <v>12853.431626000001</v>
      </c>
      <c r="AH424" s="10">
        <f>INDEX([1]ratio_ins!AE:AE,MATCH('001_population_health_zone_zs'!$B$2,[1]ratio_ins!$B:$B,0))*$G424*INDEX([1]ratio_ins!$D:$D,MATCH('001_population_health_zone_zs'!$B424,[1]ratio_ins!$B:$B,0))</f>
        <v>7712.058975599999</v>
      </c>
      <c r="AI424" s="13">
        <f>INDEX([1]ratio_ins!AF:AF,MATCH('001_population_health_zone_zs'!$B$2,[1]ratio_ins!$B:$B,0))*$G424*INDEX([1]ratio_ins!$D:$D,MATCH('001_population_health_zone_zs'!$B424,[1]ratio_ins!$B:$B,0))</f>
        <v>88239.582415600002</v>
      </c>
      <c r="AJ424" s="10">
        <f>INDEX([1]ratio_ins!AG:AG,MATCH('001_population_health_zone_zs'!$B$2,[1]ratio_ins!$B:$B,0))*$G424*INDEX([1]ratio_ins!$D:$D,MATCH('001_population_health_zone_zs'!$B424,[1]ratio_ins!$B:$B,0))</f>
        <v>5141.3726504000006</v>
      </c>
      <c r="AK424" s="10">
        <f>INDEX([1]ratio_ins!AH:AH,MATCH('001_population_health_zone_zs'!$B$2,[1]ratio_ins!$B:$B,0))*$G424*INDEX([1]ratio_ins!$D:$D,MATCH('001_population_health_zone_zs'!$B424,[1]ratio_ins!$B:$B,0))</f>
        <v>11459.686028000002</v>
      </c>
      <c r="AL424" s="10">
        <f>INDEX([1]ratio_ins!AI:AI,MATCH('001_population_health_zone_zs'!$B$2,[1]ratio_ins!$B:$B,0))*$G424*INDEX([1]ratio_ins!$D:$D,MATCH('001_population_health_zone_zs'!$B424,[1]ratio_ins!$B:$B,0))</f>
        <v>10840.243539999999</v>
      </c>
      <c r="AM424" s="10">
        <f>INDEX([1]ratio_ins!AJ:AJ,MATCH('001_population_health_zone_zs'!$B$2,[1]ratio_ins!$B:$B,0))*$G424*INDEX([1]ratio_ins!$D:$D,MATCH('001_population_health_zone_zs'!$B424,[1]ratio_ins!$B:$B,0))</f>
        <v>9911.0798080000004</v>
      </c>
      <c r="AN424" s="10">
        <f>INDEX([1]ratio_ins!AK:AK,MATCH('001_population_health_zone_zs'!$B$2,[1]ratio_ins!$B:$B,0))*$G424*INDEX([1]ratio_ins!$D:$D,MATCH('001_population_health_zone_zs'!$B424,[1]ratio_ins!$B:$B,0))</f>
        <v>9291.6373199999998</v>
      </c>
      <c r="AO424" s="10">
        <f>INDEX([1]ratio_ins!AL:AL,MATCH('001_population_health_zone_zs'!$B$2,[1]ratio_ins!$B:$B,0))*$G424*INDEX([1]ratio_ins!$D:$D,MATCH('001_population_health_zone_zs'!$B424,[1]ratio_ins!$B:$B,0))</f>
        <v>6968.7279900000003</v>
      </c>
      <c r="AP424" s="10">
        <f>INDEX([1]ratio_ins!AM:AM,MATCH('001_population_health_zone_zs'!$B$2,[1]ratio_ins!$B:$B,0))*$G424*INDEX([1]ratio_ins!$D:$D,MATCH('001_population_health_zone_zs'!$B424,[1]ratio_ins!$B:$B,0))</f>
        <v>4490.9580379999998</v>
      </c>
      <c r="AQ424" s="10">
        <f>INDEX([1]ratio_ins!AN:AN,MATCH('001_population_health_zone_zs'!$B$2,[1]ratio_ins!$B:$B,0))*$G424*INDEX([1]ratio_ins!$D:$D,MATCH('001_population_health_zone_zs'!$B424,[1]ratio_ins!$B:$B,0))</f>
        <v>3561.7943059999998</v>
      </c>
      <c r="AR424" s="10">
        <f>INDEX([1]ratio_ins!AO:AO,MATCH('001_population_health_zone_zs'!$B$2,[1]ratio_ins!$B:$B,0))*$G424*INDEX([1]ratio_ins!$D:$D,MATCH('001_population_health_zone_zs'!$B424,[1]ratio_ins!$B:$B,0))</f>
        <v>1703.4668420000003</v>
      </c>
      <c r="AS424" s="13">
        <f>INDEX([1]ratio_ins!AP:AP,MATCH('001_population_health_zone_zs'!$B$2,[1]ratio_ins!$B:$B,0))*$G424*INDEX([1]ratio_ins!$D:$D,MATCH('001_population_health_zone_zs'!$B424,[1]ratio_ins!$B:$B,0))</f>
        <v>63368.966522399998</v>
      </c>
      <c r="AT424" s="10">
        <f>INDEX([1]ratio_ins!AQ:AQ,MATCH('001_population_health_zone_zs'!$B$2,[1]ratio_ins!$B:$B,0))*$G424*INDEX([1]ratio_ins!$D:$D,MATCH('001_population_health_zone_zs'!$B424,[1]ratio_ins!$B:$B,0))</f>
        <v>1548.6062200000001</v>
      </c>
      <c r="AU424" s="10">
        <f>INDEX([1]ratio_ins!AR:AR,MATCH('001_population_health_zone_zs'!$B$2,[1]ratio_ins!$B:$B,0))*$G424*INDEX([1]ratio_ins!$D:$D,MATCH('001_population_health_zone_zs'!$B424,[1]ratio_ins!$B:$B,0))</f>
        <v>929.1637320000001</v>
      </c>
      <c r="AV424" s="10">
        <f>INDEX([1]ratio_ins!AS:AS,MATCH('001_population_health_zone_zs'!$B$2,[1]ratio_ins!$B:$B,0))*$G424*INDEX([1]ratio_ins!$D:$D,MATCH('001_population_health_zone_zs'!$B424,[1]ratio_ins!$B:$B,0))</f>
        <v>464.58186600000005</v>
      </c>
      <c r="AW424" s="10">
        <f>INDEX([1]ratio_ins!AT:AT,MATCH('001_population_health_zone_zs'!$B$2,[1]ratio_ins!$B:$B,0))*$G424*INDEX([1]ratio_ins!$D:$D,MATCH('001_population_health_zone_zs'!$B424,[1]ratio_ins!$B:$B,0))</f>
        <v>309.72124400000001</v>
      </c>
      <c r="AX424" s="13">
        <f>INDEX([1]ratio_ins!AU:AU,MATCH('001_population_health_zone_zs'!$B$2,[1]ratio_ins!$B:$B,0))*$G424*INDEX([1]ratio_ins!$D:$D,MATCH('001_population_health_zone_zs'!$B424,[1]ratio_ins!$B:$B,0))</f>
        <v>3252.0730619999995</v>
      </c>
      <c r="AY424" s="14">
        <f t="shared" si="37"/>
        <v>154860.622</v>
      </c>
      <c r="AZ424" s="15">
        <f t="shared" si="38"/>
        <v>307874</v>
      </c>
      <c r="BA424" s="16">
        <v>292782.10592811462</v>
      </c>
      <c r="BB424" s="10">
        <f t="shared" si="39"/>
        <v>65815.764349999998</v>
      </c>
      <c r="BC424" s="17">
        <f t="shared" si="40"/>
        <v>0.21377499999999999</v>
      </c>
      <c r="BD424" s="10">
        <f t="shared" si="41"/>
        <v>63806.57862600001</v>
      </c>
    </row>
    <row r="425" spans="1:56" x14ac:dyDescent="0.25">
      <c r="A425" s="8" t="s">
        <v>1015</v>
      </c>
      <c r="B425" s="8" t="s">
        <v>1016</v>
      </c>
      <c r="C425" s="8" t="s">
        <v>1042</v>
      </c>
      <c r="D425" s="8" t="s">
        <v>1043</v>
      </c>
      <c r="E425" s="8" t="s">
        <v>1042</v>
      </c>
      <c r="F425" s="8" t="s">
        <v>1044</v>
      </c>
      <c r="G425" s="9">
        <v>418607</v>
      </c>
      <c r="H425" s="10">
        <f>INDEX([1]ratio_ins!F:F,MATCH('001_population_health_zone_zs'!$B$2,[1]ratio_ins!$B:$B,0))*$G425*INDEX([1]ratio_ins!$C:$C,MATCH('001_population_health_zone_zs'!$B425,[1]ratio_ins!$B:$B,0))</f>
        <v>43481.964911000003</v>
      </c>
      <c r="I425" s="10">
        <f>INDEX([1]ratio_ins!G:G,MATCH('001_population_health_zone_zs'!$B$2,[1]ratio_ins!$B:$B,0))*$G425*INDEX([1]ratio_ins!$C:$C,MATCH('001_population_health_zone_zs'!$B425,[1]ratio_ins!$B:$B,0))</f>
        <v>35576.153109000006</v>
      </c>
      <c r="J425" s="10">
        <f>INDEX([1]ratio_ins!H:H,MATCH('001_population_health_zone_zs'!$B$2,[1]ratio_ins!$B:$B,0))*$G425*INDEX([1]ratio_ins!$C:$C,MATCH('001_population_health_zone_zs'!$B425,[1]ratio_ins!$B:$B,0))</f>
        <v>28086.436665000005</v>
      </c>
      <c r="K425" s="10">
        <f>INDEX([1]ratio_ins!I:I,MATCH('001_population_health_zone_zs'!$B$2,[1]ratio_ins!$B:$B,0))*$G425*INDEX([1]ratio_ins!$C:$C,MATCH('001_population_health_zone_zs'!$B425,[1]ratio_ins!$B:$B,0))</f>
        <v>17267.957357000003</v>
      </c>
      <c r="L425" s="10">
        <f>INDEX([1]ratio_ins!J:J,MATCH('001_population_health_zone_zs'!$B$2,[1]ratio_ins!$B:$B,0))*$G425*INDEX([1]ratio_ins!$C:$C,MATCH('001_population_health_zone_zs'!$B425,[1]ratio_ins!$B:$B,0))</f>
        <v>10360.774414200001</v>
      </c>
      <c r="M425" s="11">
        <f>INDEX([1]ratio_ins!K:K,MATCH('001_population_health_zone_zs'!$B$2,[1]ratio_ins!$B:$B,0))*$G425*INDEX([1]ratio_ins!$C:$C,MATCH('001_population_health_zone_zs'!$B425,[1]ratio_ins!$B:$B,0))</f>
        <v>117505.3290992</v>
      </c>
      <c r="N425" s="10">
        <f>INDEX([1]ratio_ins!L:L,MATCH('001_population_health_zone_zs'!$B$2,[1]ratio_ins!$B:$B,0))*$G425*INDEX([1]ratio_ins!$C:$C,MATCH('001_population_health_zone_zs'!$B425,[1]ratio_ins!$B:$B,0))</f>
        <v>6907.1829428000001</v>
      </c>
      <c r="O425" s="10">
        <f>INDEX([1]ratio_ins!M:M,MATCH('001_population_health_zone_zs'!$B$2,[1]ratio_ins!$B:$B,0))*$G425*INDEX([1]ratio_ins!$C:$C,MATCH('001_population_health_zone_zs'!$B425,[1]ratio_ins!$B:$B,0))</f>
        <v>14979.432888000005</v>
      </c>
      <c r="P425" s="10">
        <f>INDEX([1]ratio_ins!N:N,MATCH('001_population_health_zone_zs'!$B$2,[1]ratio_ins!$B:$B,0))*$G425*INDEX([1]ratio_ins!$C:$C,MATCH('001_population_health_zone_zs'!$B425,[1]ratio_ins!$B:$B,0))</f>
        <v>13523.099135000002</v>
      </c>
      <c r="Q425" s="10">
        <f>INDEX([1]ratio_ins!O:O,MATCH('001_population_health_zone_zs'!$B$2,[1]ratio_ins!$B:$B,0))*$G425*INDEX([1]ratio_ins!$C:$C,MATCH('001_population_health_zone_zs'!$B425,[1]ratio_ins!$B:$B,0))</f>
        <v>12066.765382</v>
      </c>
      <c r="R425" s="10">
        <f>INDEX([1]ratio_ins!P:P,MATCH('001_population_health_zone_zs'!$B$2,[1]ratio_ins!$B:$B,0))*$G425*INDEX([1]ratio_ins!$C:$C,MATCH('001_population_health_zone_zs'!$B425,[1]ratio_ins!$B:$B,0))</f>
        <v>11858.717703000002</v>
      </c>
      <c r="S425" s="10">
        <f>INDEX([1]ratio_ins!Q:Q,MATCH('001_population_health_zone_zs'!$B$2,[1]ratio_ins!$B:$B,0))*$G425*INDEX([1]ratio_ins!$C:$C,MATCH('001_population_health_zone_zs'!$B425,[1]ratio_ins!$B:$B,0))</f>
        <v>9986.2885920000008</v>
      </c>
      <c r="T425" s="10">
        <f>INDEX([1]ratio_ins!R:R,MATCH('001_population_health_zone_zs'!$B$2,[1]ratio_ins!$B:$B,0))*$G425*INDEX([1]ratio_ins!$C:$C,MATCH('001_population_health_zone_zs'!$B425,[1]ratio_ins!$B:$B,0))</f>
        <v>7073.621086000001</v>
      </c>
      <c r="U425" s="10">
        <f>INDEX([1]ratio_ins!S:S,MATCH('001_population_health_zone_zs'!$B$2,[1]ratio_ins!$B:$B,0))*$G425*INDEX([1]ratio_ins!$C:$C,MATCH('001_population_health_zone_zs'!$B425,[1]ratio_ins!$B:$B,0))</f>
        <v>5617.2873330000011</v>
      </c>
      <c r="V425" s="10">
        <f>INDEX([1]ratio_ins!T:T,MATCH('001_population_health_zone_zs'!$B$2,[1]ratio_ins!$B:$B,0))*$G425*INDEX([1]ratio_ins!$C:$C,MATCH('001_population_health_zone_zs'!$B425,[1]ratio_ins!$B:$B,0))</f>
        <v>3120.715185</v>
      </c>
      <c r="W425" s="11">
        <f>INDEX([1]ratio_ins!U:U,MATCH('001_population_health_zone_zs'!$B$2,[1]ratio_ins!$B:$B,0))*$G425*INDEX([1]ratio_ins!$C:$C,MATCH('001_population_health_zone_zs'!$B425,[1]ratio_ins!$B:$B,0))</f>
        <v>85133.110246800017</v>
      </c>
      <c r="X425" s="10">
        <f>INDEX([1]ratio_ins!V:V,MATCH('001_population_health_zone_zs'!$B$2,[1]ratio_ins!$B:$B,0))*$G425*INDEX([1]ratio_ins!$C:$C,MATCH('001_population_health_zone_zs'!$B425,[1]ratio_ins!$B:$B,0))</f>
        <v>2496.5721480000002</v>
      </c>
      <c r="Y425" s="10">
        <f>INDEX([1]ratio_ins!W:W,MATCH('001_population_health_zone_zs'!$B$2,[1]ratio_ins!$B:$B,0))*$G425*INDEX([1]ratio_ins!$C:$C,MATCH('001_population_health_zone_zs'!$B425,[1]ratio_ins!$B:$B,0))</f>
        <v>1664.3814320000004</v>
      </c>
      <c r="Z425" s="10">
        <f>INDEX([1]ratio_ins!X:X,MATCH('001_population_health_zone_zs'!$B$2,[1]ratio_ins!$B:$B,0))*$G425*INDEX([1]ratio_ins!$C:$C,MATCH('001_population_health_zone_zs'!$B425,[1]ratio_ins!$B:$B,0))</f>
        <v>832.19071600000018</v>
      </c>
      <c r="AA425" s="10">
        <f>INDEX([1]ratio_ins!Y:Y,MATCH('001_population_health_zone_zs'!$B$2,[1]ratio_ins!$B:$B,0))*$G425*INDEX([1]ratio_ins!$C:$C,MATCH('001_population_health_zone_zs'!$B425,[1]ratio_ins!$B:$B,0))</f>
        <v>416.09535800000009</v>
      </c>
      <c r="AB425" s="11">
        <f>INDEX([1]ratio_ins!Z:Z,MATCH('001_population_health_zone_zs'!$B$2,[1]ratio_ins!$B:$B,0))*$G425*INDEX([1]ratio_ins!$C:$C,MATCH('001_population_health_zone_zs'!$B425,[1]ratio_ins!$B:$B,0))</f>
        <v>5409.2396540000009</v>
      </c>
      <c r="AC425" s="12">
        <f t="shared" si="36"/>
        <v>208047.67900000003</v>
      </c>
      <c r="AD425" s="10">
        <f>INDEX([1]ratio_ins!AA:AA,MATCH('001_population_health_zone_zs'!$B$2,[1]ratio_ins!$B:$B,0))*$G425*INDEX([1]ratio_ins!$D:$D,MATCH('001_population_health_zone_zs'!$B425,[1]ratio_ins!$B:$B,0))</f>
        <v>44217.457410000003</v>
      </c>
      <c r="AE425" s="10">
        <f>INDEX([1]ratio_ins!AB:AB,MATCH('001_population_health_zone_zs'!$B$2,[1]ratio_ins!$B:$B,0))*$G425*INDEX([1]ratio_ins!$D:$D,MATCH('001_population_health_zone_zs'!$B425,[1]ratio_ins!$B:$B,0))</f>
        <v>36426.762533000008</v>
      </c>
      <c r="AF425" s="10">
        <f>INDEX([1]ratio_ins!AC:AC,MATCH('001_population_health_zone_zs'!$B$2,[1]ratio_ins!$B:$B,0))*$G425*INDEX([1]ratio_ins!$D:$D,MATCH('001_population_health_zone_zs'!$B425,[1]ratio_ins!$B:$B,0))</f>
        <v>28846.626976999996</v>
      </c>
      <c r="AG425" s="10">
        <f>INDEX([1]ratio_ins!AD:AD,MATCH('001_population_health_zone_zs'!$B$2,[1]ratio_ins!$B:$B,0))*$G425*INDEX([1]ratio_ins!$D:$D,MATCH('001_population_health_zone_zs'!$B425,[1]ratio_ins!$B:$B,0))</f>
        <v>17476.423643000002</v>
      </c>
      <c r="AH425" s="10">
        <f>INDEX([1]ratio_ins!AE:AE,MATCH('001_population_health_zone_zs'!$B$2,[1]ratio_ins!$B:$B,0))*$G425*INDEX([1]ratio_ins!$D:$D,MATCH('001_population_health_zone_zs'!$B425,[1]ratio_ins!$B:$B,0))</f>
        <v>10485.854185800001</v>
      </c>
      <c r="AI425" s="13">
        <f>INDEX([1]ratio_ins!AF:AF,MATCH('001_population_health_zone_zs'!$B$2,[1]ratio_ins!$B:$B,0))*$G425*INDEX([1]ratio_ins!$D:$D,MATCH('001_population_health_zone_zs'!$B425,[1]ratio_ins!$B:$B,0))</f>
        <v>119976.70110579999</v>
      </c>
      <c r="AJ425" s="10">
        <f>INDEX([1]ratio_ins!AG:AG,MATCH('001_population_health_zone_zs'!$B$2,[1]ratio_ins!$B:$B,0))*$G425*INDEX([1]ratio_ins!$D:$D,MATCH('001_population_health_zone_zs'!$B425,[1]ratio_ins!$B:$B,0))</f>
        <v>6990.5694571999993</v>
      </c>
      <c r="AK425" s="10">
        <f>INDEX([1]ratio_ins!AH:AH,MATCH('001_population_health_zone_zs'!$B$2,[1]ratio_ins!$B:$B,0))*$G425*INDEX([1]ratio_ins!$D:$D,MATCH('001_population_health_zone_zs'!$B425,[1]ratio_ins!$B:$B,0))</f>
        <v>15581.389754000003</v>
      </c>
      <c r="AL425" s="10">
        <f>INDEX([1]ratio_ins!AI:AI,MATCH('001_population_health_zone_zs'!$B$2,[1]ratio_ins!$B:$B,0))*$G425*INDEX([1]ratio_ins!$D:$D,MATCH('001_population_health_zone_zs'!$B425,[1]ratio_ins!$B:$B,0))</f>
        <v>14739.152470000001</v>
      </c>
      <c r="AM425" s="10">
        <f>INDEX([1]ratio_ins!AJ:AJ,MATCH('001_population_health_zone_zs'!$B$2,[1]ratio_ins!$B:$B,0))*$G425*INDEX([1]ratio_ins!$D:$D,MATCH('001_population_health_zone_zs'!$B425,[1]ratio_ins!$B:$B,0))</f>
        <v>13475.796544000001</v>
      </c>
      <c r="AN425" s="10">
        <f>INDEX([1]ratio_ins!AK:AK,MATCH('001_population_health_zone_zs'!$B$2,[1]ratio_ins!$B:$B,0))*$G425*INDEX([1]ratio_ins!$D:$D,MATCH('001_population_health_zone_zs'!$B425,[1]ratio_ins!$B:$B,0))</f>
        <v>12633.55926</v>
      </c>
      <c r="AO425" s="10">
        <f>INDEX([1]ratio_ins!AL:AL,MATCH('001_population_health_zone_zs'!$B$2,[1]ratio_ins!$B:$B,0))*$G425*INDEX([1]ratio_ins!$D:$D,MATCH('001_population_health_zone_zs'!$B425,[1]ratio_ins!$B:$B,0))</f>
        <v>9475.1694449999995</v>
      </c>
      <c r="AP425" s="10">
        <f>INDEX([1]ratio_ins!AM:AM,MATCH('001_population_health_zone_zs'!$B$2,[1]ratio_ins!$B:$B,0))*$G425*INDEX([1]ratio_ins!$D:$D,MATCH('001_population_health_zone_zs'!$B425,[1]ratio_ins!$B:$B,0))</f>
        <v>6106.2203089999994</v>
      </c>
      <c r="AQ425" s="10">
        <f>INDEX([1]ratio_ins!AN:AN,MATCH('001_population_health_zone_zs'!$B$2,[1]ratio_ins!$B:$B,0))*$G425*INDEX([1]ratio_ins!$D:$D,MATCH('001_population_health_zone_zs'!$B425,[1]ratio_ins!$B:$B,0))</f>
        <v>4842.8643830000001</v>
      </c>
      <c r="AR425" s="10">
        <f>INDEX([1]ratio_ins!AO:AO,MATCH('001_population_health_zone_zs'!$B$2,[1]ratio_ins!$B:$B,0))*$G425*INDEX([1]ratio_ins!$D:$D,MATCH('001_population_health_zone_zs'!$B425,[1]ratio_ins!$B:$B,0))</f>
        <v>2316.1525310000002</v>
      </c>
      <c r="AS425" s="13">
        <f>INDEX([1]ratio_ins!AP:AP,MATCH('001_population_health_zone_zs'!$B$2,[1]ratio_ins!$B:$B,0))*$G425*INDEX([1]ratio_ins!$D:$D,MATCH('001_population_health_zone_zs'!$B425,[1]ratio_ins!$B:$B,0))</f>
        <v>86160.874153200013</v>
      </c>
      <c r="AT425" s="10">
        <f>INDEX([1]ratio_ins!AQ:AQ,MATCH('001_population_health_zone_zs'!$B$2,[1]ratio_ins!$B:$B,0))*$G425*INDEX([1]ratio_ins!$D:$D,MATCH('001_population_health_zone_zs'!$B425,[1]ratio_ins!$B:$B,0))</f>
        <v>2105.59321</v>
      </c>
      <c r="AU425" s="10">
        <f>INDEX([1]ratio_ins!AR:AR,MATCH('001_population_health_zone_zs'!$B$2,[1]ratio_ins!$B:$B,0))*$G425*INDEX([1]ratio_ins!$D:$D,MATCH('001_population_health_zone_zs'!$B425,[1]ratio_ins!$B:$B,0))</f>
        <v>1263.355926</v>
      </c>
      <c r="AV425" s="10">
        <f>INDEX([1]ratio_ins!AS:AS,MATCH('001_population_health_zone_zs'!$B$2,[1]ratio_ins!$B:$B,0))*$G425*INDEX([1]ratio_ins!$D:$D,MATCH('001_population_health_zone_zs'!$B425,[1]ratio_ins!$B:$B,0))</f>
        <v>631.67796299999998</v>
      </c>
      <c r="AW425" s="10">
        <f>INDEX([1]ratio_ins!AT:AT,MATCH('001_population_health_zone_zs'!$B$2,[1]ratio_ins!$B:$B,0))*$G425*INDEX([1]ratio_ins!$D:$D,MATCH('001_population_health_zone_zs'!$B425,[1]ratio_ins!$B:$B,0))</f>
        <v>421.11864200000002</v>
      </c>
      <c r="AX425" s="13">
        <f>INDEX([1]ratio_ins!AU:AU,MATCH('001_population_health_zone_zs'!$B$2,[1]ratio_ins!$B:$B,0))*$G425*INDEX([1]ratio_ins!$D:$D,MATCH('001_population_health_zone_zs'!$B425,[1]ratio_ins!$B:$B,0))</f>
        <v>4421.7457409999997</v>
      </c>
      <c r="AY425" s="14">
        <f t="shared" si="37"/>
        <v>210559.321</v>
      </c>
      <c r="AZ425" s="15">
        <f t="shared" si="38"/>
        <v>418607</v>
      </c>
      <c r="BA425" s="16">
        <v>398087.49195390969</v>
      </c>
      <c r="BB425" s="10">
        <f t="shared" si="39"/>
        <v>89487.711424999987</v>
      </c>
      <c r="BC425" s="17">
        <f t="shared" si="40"/>
        <v>0.21377499999999997</v>
      </c>
      <c r="BD425" s="10">
        <f t="shared" si="41"/>
        <v>86755.882142999995</v>
      </c>
    </row>
    <row r="426" spans="1:56" x14ac:dyDescent="0.25">
      <c r="A426" s="8" t="s">
        <v>1045</v>
      </c>
      <c r="B426" s="8" t="s">
        <v>1046</v>
      </c>
      <c r="C426" s="8" t="s">
        <v>1047</v>
      </c>
      <c r="D426" s="8" t="s">
        <v>1048</v>
      </c>
      <c r="E426" s="8" t="s">
        <v>1047</v>
      </c>
      <c r="F426" s="8" t="s">
        <v>1049</v>
      </c>
      <c r="G426" s="9">
        <v>271883</v>
      </c>
      <c r="H426" s="10">
        <f>INDEX([1]ratio_ins!F:F,MATCH('001_population_health_zone_zs'!$B$2,[1]ratio_ins!$B:$B,0))*$G426*INDEX([1]ratio_ins!$C:$C,MATCH('001_population_health_zone_zs'!$B426,[1]ratio_ins!$B:$B,0))</f>
        <v>28127.655765</v>
      </c>
      <c r="I426" s="10">
        <f>INDEX([1]ratio_ins!G:G,MATCH('001_population_health_zone_zs'!$B$2,[1]ratio_ins!$B:$B,0))*$G426*INDEX([1]ratio_ins!$C:$C,MATCH('001_population_health_zone_zs'!$B426,[1]ratio_ins!$B:$B,0))</f>
        <v>23013.536534999999</v>
      </c>
      <c r="J426" s="10">
        <f>INDEX([1]ratio_ins!H:H,MATCH('001_population_health_zone_zs'!$B$2,[1]ratio_ins!$B:$B,0))*$G426*INDEX([1]ratio_ins!$C:$C,MATCH('001_population_health_zone_zs'!$B426,[1]ratio_ins!$B:$B,0))</f>
        <v>18168.581474999999</v>
      </c>
      <c r="K426" s="10">
        <f>INDEX([1]ratio_ins!I:I,MATCH('001_population_health_zone_zs'!$B$2,[1]ratio_ins!$B:$B,0))*$G426*INDEX([1]ratio_ins!$C:$C,MATCH('001_population_health_zone_zs'!$B426,[1]ratio_ins!$B:$B,0))</f>
        <v>11170.313055000001</v>
      </c>
      <c r="L426" s="10">
        <f>INDEX([1]ratio_ins!J:J,MATCH('001_population_health_zone_zs'!$B$2,[1]ratio_ins!$B:$B,0))*$G426*INDEX([1]ratio_ins!$C:$C,MATCH('001_population_health_zone_zs'!$B426,[1]ratio_ins!$B:$B,0))</f>
        <v>6702.187833</v>
      </c>
      <c r="M426" s="11">
        <f>INDEX([1]ratio_ins!K:K,MATCH('001_population_health_zone_zs'!$B$2,[1]ratio_ins!$B:$B,0))*$G426*INDEX([1]ratio_ins!$C:$C,MATCH('001_population_health_zone_zs'!$B426,[1]ratio_ins!$B:$B,0))</f>
        <v>76011.961607999998</v>
      </c>
      <c r="N426" s="10">
        <f>INDEX([1]ratio_ins!L:L,MATCH('001_population_health_zone_zs'!$B$2,[1]ratio_ins!$B:$B,0))*$G426*INDEX([1]ratio_ins!$C:$C,MATCH('001_population_health_zone_zs'!$B426,[1]ratio_ins!$B:$B,0))</f>
        <v>4468.1252220000006</v>
      </c>
      <c r="O426" s="10">
        <f>INDEX([1]ratio_ins!M:M,MATCH('001_population_health_zone_zs'!$B$2,[1]ratio_ins!$B:$B,0))*$G426*INDEX([1]ratio_ins!$C:$C,MATCH('001_population_health_zone_zs'!$B426,[1]ratio_ins!$B:$B,0))</f>
        <v>9689.9101200000005</v>
      </c>
      <c r="P426" s="10">
        <f>INDEX([1]ratio_ins!N:N,MATCH('001_population_health_zone_zs'!$B$2,[1]ratio_ins!$B:$B,0))*$G426*INDEX([1]ratio_ins!$C:$C,MATCH('001_population_health_zone_zs'!$B426,[1]ratio_ins!$B:$B,0))</f>
        <v>8747.8355250000004</v>
      </c>
      <c r="Q426" s="10">
        <f>INDEX([1]ratio_ins!O:O,MATCH('001_population_health_zone_zs'!$B$2,[1]ratio_ins!$B:$B,0))*$G426*INDEX([1]ratio_ins!$C:$C,MATCH('001_population_health_zone_zs'!$B426,[1]ratio_ins!$B:$B,0))</f>
        <v>7805.7609299999986</v>
      </c>
      <c r="R426" s="10">
        <f>INDEX([1]ratio_ins!P:P,MATCH('001_population_health_zone_zs'!$B$2,[1]ratio_ins!$B:$B,0))*$G426*INDEX([1]ratio_ins!$C:$C,MATCH('001_population_health_zone_zs'!$B426,[1]ratio_ins!$B:$B,0))</f>
        <v>7671.1788450000004</v>
      </c>
      <c r="S426" s="10">
        <f>INDEX([1]ratio_ins!Q:Q,MATCH('001_population_health_zone_zs'!$B$2,[1]ratio_ins!$B:$B,0))*$G426*INDEX([1]ratio_ins!$C:$C,MATCH('001_population_health_zone_zs'!$B426,[1]ratio_ins!$B:$B,0))</f>
        <v>6459.9400800000003</v>
      </c>
      <c r="T426" s="10">
        <f>INDEX([1]ratio_ins!R:R,MATCH('001_population_health_zone_zs'!$B$2,[1]ratio_ins!$B:$B,0))*$G426*INDEX([1]ratio_ins!$C:$C,MATCH('001_population_health_zone_zs'!$B426,[1]ratio_ins!$B:$B,0))</f>
        <v>4575.7908900000002</v>
      </c>
      <c r="U426" s="10">
        <f>INDEX([1]ratio_ins!S:S,MATCH('001_population_health_zone_zs'!$B$2,[1]ratio_ins!$B:$B,0))*$G426*INDEX([1]ratio_ins!$C:$C,MATCH('001_population_health_zone_zs'!$B426,[1]ratio_ins!$B:$B,0))</f>
        <v>3633.7162950000006</v>
      </c>
      <c r="V426" s="10">
        <f>INDEX([1]ratio_ins!T:T,MATCH('001_population_health_zone_zs'!$B$2,[1]ratio_ins!$B:$B,0))*$G426*INDEX([1]ratio_ins!$C:$C,MATCH('001_population_health_zone_zs'!$B426,[1]ratio_ins!$B:$B,0))</f>
        <v>2018.7312749999999</v>
      </c>
      <c r="W426" s="11">
        <f>INDEX([1]ratio_ins!U:U,MATCH('001_population_health_zone_zs'!$B$2,[1]ratio_ins!$B:$B,0))*$G426*INDEX([1]ratio_ins!$C:$C,MATCH('001_population_health_zone_zs'!$B426,[1]ratio_ins!$B:$B,0))</f>
        <v>55070.989181999998</v>
      </c>
      <c r="X426" s="10">
        <f>INDEX([1]ratio_ins!V:V,MATCH('001_population_health_zone_zs'!$B$2,[1]ratio_ins!$B:$B,0))*$G426*INDEX([1]ratio_ins!$C:$C,MATCH('001_population_health_zone_zs'!$B426,[1]ratio_ins!$B:$B,0))</f>
        <v>1614.9850200000001</v>
      </c>
      <c r="Y426" s="10">
        <f>INDEX([1]ratio_ins!W:W,MATCH('001_population_health_zone_zs'!$B$2,[1]ratio_ins!$B:$B,0))*$G426*INDEX([1]ratio_ins!$C:$C,MATCH('001_population_health_zone_zs'!$B426,[1]ratio_ins!$B:$B,0))</f>
        <v>1076.6566799999998</v>
      </c>
      <c r="Z426" s="10">
        <f>INDEX([1]ratio_ins!X:X,MATCH('001_population_health_zone_zs'!$B$2,[1]ratio_ins!$B:$B,0))*$G426*INDEX([1]ratio_ins!$C:$C,MATCH('001_population_health_zone_zs'!$B426,[1]ratio_ins!$B:$B,0))</f>
        <v>538.32833999999991</v>
      </c>
      <c r="AA426" s="10">
        <f>INDEX([1]ratio_ins!Y:Y,MATCH('001_population_health_zone_zs'!$B$2,[1]ratio_ins!$B:$B,0))*$G426*INDEX([1]ratio_ins!$C:$C,MATCH('001_population_health_zone_zs'!$B426,[1]ratio_ins!$B:$B,0))</f>
        <v>269.16416999999996</v>
      </c>
      <c r="AB426" s="11">
        <f>INDEX([1]ratio_ins!Z:Z,MATCH('001_population_health_zone_zs'!$B$2,[1]ratio_ins!$B:$B,0))*$G426*INDEX([1]ratio_ins!$C:$C,MATCH('001_population_health_zone_zs'!$B426,[1]ratio_ins!$B:$B,0))</f>
        <v>3499.1342100000002</v>
      </c>
      <c r="AC426" s="12">
        <f t="shared" si="36"/>
        <v>134582.08499999999</v>
      </c>
      <c r="AD426" s="10">
        <f>INDEX([1]ratio_ins!AA:AA,MATCH('001_population_health_zone_zs'!$B$2,[1]ratio_ins!$B:$B,0))*$G426*INDEX([1]ratio_ins!$D:$D,MATCH('001_population_health_zone_zs'!$B426,[1]ratio_ins!$B:$B,0))</f>
        <v>28833.192149999999</v>
      </c>
      <c r="AE426" s="10">
        <f>INDEX([1]ratio_ins!AB:AB,MATCH('001_population_health_zone_zs'!$B$2,[1]ratio_ins!$B:$B,0))*$G426*INDEX([1]ratio_ins!$D:$D,MATCH('001_population_health_zone_zs'!$B426,[1]ratio_ins!$B:$B,0))</f>
        <v>23753.058295000003</v>
      </c>
      <c r="AF426" s="10">
        <f>INDEX([1]ratio_ins!AC:AC,MATCH('001_population_health_zone_zs'!$B$2,[1]ratio_ins!$B:$B,0))*$G426*INDEX([1]ratio_ins!$D:$D,MATCH('001_population_health_zone_zs'!$B426,[1]ratio_ins!$B:$B,0))</f>
        <v>18810.225354999999</v>
      </c>
      <c r="AG426" s="10">
        <f>INDEX([1]ratio_ins!AD:AD,MATCH('001_population_health_zone_zs'!$B$2,[1]ratio_ins!$B:$B,0))*$G426*INDEX([1]ratio_ins!$D:$D,MATCH('001_population_health_zone_zs'!$B426,[1]ratio_ins!$B:$B,0))</f>
        <v>11395.975945</v>
      </c>
      <c r="AH426" s="10">
        <f>INDEX([1]ratio_ins!AE:AE,MATCH('001_population_health_zone_zs'!$B$2,[1]ratio_ins!$B:$B,0))*$G426*INDEX([1]ratio_ins!$D:$D,MATCH('001_population_health_zone_zs'!$B426,[1]ratio_ins!$B:$B,0))</f>
        <v>6837.5855670000001</v>
      </c>
      <c r="AI426" s="13">
        <f>INDEX([1]ratio_ins!AF:AF,MATCH('001_population_health_zone_zs'!$B$2,[1]ratio_ins!$B:$B,0))*$G426*INDEX([1]ratio_ins!$D:$D,MATCH('001_population_health_zone_zs'!$B426,[1]ratio_ins!$B:$B,0))</f>
        <v>78234.061366999988</v>
      </c>
      <c r="AJ426" s="10">
        <f>INDEX([1]ratio_ins!AG:AG,MATCH('001_population_health_zone_zs'!$B$2,[1]ratio_ins!$B:$B,0))*$G426*INDEX([1]ratio_ins!$D:$D,MATCH('001_population_health_zone_zs'!$B426,[1]ratio_ins!$B:$B,0))</f>
        <v>4558.3903780000001</v>
      </c>
      <c r="AK426" s="10">
        <f>INDEX([1]ratio_ins!AH:AH,MATCH('001_population_health_zone_zs'!$B$2,[1]ratio_ins!$B:$B,0))*$G426*INDEX([1]ratio_ins!$D:$D,MATCH('001_population_health_zone_zs'!$B426,[1]ratio_ins!$B:$B,0))</f>
        <v>10160.267710000002</v>
      </c>
      <c r="AL426" s="10">
        <f>INDEX([1]ratio_ins!AI:AI,MATCH('001_population_health_zone_zs'!$B$2,[1]ratio_ins!$B:$B,0))*$G426*INDEX([1]ratio_ins!$D:$D,MATCH('001_population_health_zone_zs'!$B426,[1]ratio_ins!$B:$B,0))</f>
        <v>9611.0640500000009</v>
      </c>
      <c r="AM426" s="10">
        <f>INDEX([1]ratio_ins!AJ:AJ,MATCH('001_population_health_zone_zs'!$B$2,[1]ratio_ins!$B:$B,0))*$G426*INDEX([1]ratio_ins!$D:$D,MATCH('001_population_health_zone_zs'!$B426,[1]ratio_ins!$B:$B,0))</f>
        <v>8787.2585600000002</v>
      </c>
      <c r="AN426" s="10">
        <f>INDEX([1]ratio_ins!AK:AK,MATCH('001_population_health_zone_zs'!$B$2,[1]ratio_ins!$B:$B,0))*$G426*INDEX([1]ratio_ins!$D:$D,MATCH('001_population_health_zone_zs'!$B426,[1]ratio_ins!$B:$B,0))</f>
        <v>8238.0548999999992</v>
      </c>
      <c r="AO426" s="10">
        <f>INDEX([1]ratio_ins!AL:AL,MATCH('001_population_health_zone_zs'!$B$2,[1]ratio_ins!$B:$B,0))*$G426*INDEX([1]ratio_ins!$D:$D,MATCH('001_population_health_zone_zs'!$B426,[1]ratio_ins!$B:$B,0))</f>
        <v>6178.5411749999994</v>
      </c>
      <c r="AP426" s="10">
        <f>INDEX([1]ratio_ins!AM:AM,MATCH('001_population_health_zone_zs'!$B$2,[1]ratio_ins!$B:$B,0))*$G426*INDEX([1]ratio_ins!$D:$D,MATCH('001_population_health_zone_zs'!$B426,[1]ratio_ins!$B:$B,0))</f>
        <v>3981.7265349999998</v>
      </c>
      <c r="AQ426" s="10">
        <f>INDEX([1]ratio_ins!AN:AN,MATCH('001_population_health_zone_zs'!$B$2,[1]ratio_ins!$B:$B,0))*$G426*INDEX([1]ratio_ins!$D:$D,MATCH('001_population_health_zone_zs'!$B426,[1]ratio_ins!$B:$B,0))</f>
        <v>3157.921045</v>
      </c>
      <c r="AR426" s="10">
        <f>INDEX([1]ratio_ins!AO:AO,MATCH('001_population_health_zone_zs'!$B$2,[1]ratio_ins!$B:$B,0))*$G426*INDEX([1]ratio_ins!$D:$D,MATCH('001_population_health_zone_zs'!$B426,[1]ratio_ins!$B:$B,0))</f>
        <v>1510.3100650000001</v>
      </c>
      <c r="AS426" s="13">
        <f>INDEX([1]ratio_ins!AP:AP,MATCH('001_population_health_zone_zs'!$B$2,[1]ratio_ins!$B:$B,0))*$G426*INDEX([1]ratio_ins!$D:$D,MATCH('001_population_health_zone_zs'!$B426,[1]ratio_ins!$B:$B,0))</f>
        <v>56183.534418000003</v>
      </c>
      <c r="AT426" s="10">
        <f>INDEX([1]ratio_ins!AQ:AQ,MATCH('001_population_health_zone_zs'!$B$2,[1]ratio_ins!$B:$B,0))*$G426*INDEX([1]ratio_ins!$D:$D,MATCH('001_population_health_zone_zs'!$B426,[1]ratio_ins!$B:$B,0))</f>
        <v>1373.0091499999999</v>
      </c>
      <c r="AU426" s="10">
        <f>INDEX([1]ratio_ins!AR:AR,MATCH('001_population_health_zone_zs'!$B$2,[1]ratio_ins!$B:$B,0))*$G426*INDEX([1]ratio_ins!$D:$D,MATCH('001_population_health_zone_zs'!$B426,[1]ratio_ins!$B:$B,0))</f>
        <v>823.80548999999996</v>
      </c>
      <c r="AV426" s="10">
        <f>INDEX([1]ratio_ins!AS:AS,MATCH('001_population_health_zone_zs'!$B$2,[1]ratio_ins!$B:$B,0))*$G426*INDEX([1]ratio_ins!$D:$D,MATCH('001_population_health_zone_zs'!$B426,[1]ratio_ins!$B:$B,0))</f>
        <v>411.90274499999998</v>
      </c>
      <c r="AW426" s="10">
        <f>INDEX([1]ratio_ins!AT:AT,MATCH('001_population_health_zone_zs'!$B$2,[1]ratio_ins!$B:$B,0))*$G426*INDEX([1]ratio_ins!$D:$D,MATCH('001_population_health_zone_zs'!$B426,[1]ratio_ins!$B:$B,0))</f>
        <v>274.60183000000001</v>
      </c>
      <c r="AX426" s="13">
        <f>INDEX([1]ratio_ins!AU:AU,MATCH('001_population_health_zone_zs'!$B$2,[1]ratio_ins!$B:$B,0))*$G426*INDEX([1]ratio_ins!$D:$D,MATCH('001_population_health_zone_zs'!$B426,[1]ratio_ins!$B:$B,0))</f>
        <v>2883.319215</v>
      </c>
      <c r="AY426" s="14">
        <f t="shared" si="37"/>
        <v>137300.91499999998</v>
      </c>
      <c r="AZ426" s="15">
        <f t="shared" si="38"/>
        <v>271883</v>
      </c>
      <c r="BA426" s="16">
        <v>260137.572371638</v>
      </c>
      <c r="BB426" s="10">
        <f t="shared" si="39"/>
        <v>58352.888875000004</v>
      </c>
      <c r="BC426" s="17">
        <f t="shared" si="40"/>
        <v>0.21462500000000001</v>
      </c>
      <c r="BD426" s="10">
        <f t="shared" si="41"/>
        <v>56120.729445000004</v>
      </c>
    </row>
    <row r="427" spans="1:56" x14ac:dyDescent="0.25">
      <c r="A427" s="8" t="s">
        <v>1045</v>
      </c>
      <c r="B427" s="8" t="s">
        <v>1046</v>
      </c>
      <c r="C427" s="8" t="s">
        <v>1047</v>
      </c>
      <c r="D427" s="8" t="s">
        <v>1048</v>
      </c>
      <c r="E427" s="8" t="s">
        <v>1050</v>
      </c>
      <c r="F427" s="8" t="s">
        <v>1051</v>
      </c>
      <c r="G427" s="9">
        <v>224014</v>
      </c>
      <c r="H427" s="10">
        <f>INDEX([1]ratio_ins!F:F,MATCH('001_population_health_zone_zs'!$B$2,[1]ratio_ins!$B:$B,0))*$G427*INDEX([1]ratio_ins!$C:$C,MATCH('001_population_health_zone_zs'!$B427,[1]ratio_ins!$B:$B,0))</f>
        <v>23175.36837</v>
      </c>
      <c r="I427" s="10">
        <f>INDEX([1]ratio_ins!G:G,MATCH('001_population_health_zone_zs'!$B$2,[1]ratio_ins!$B:$B,0))*$G427*INDEX([1]ratio_ins!$C:$C,MATCH('001_population_health_zone_zs'!$B427,[1]ratio_ins!$B:$B,0))</f>
        <v>18961.66503</v>
      </c>
      <c r="J427" s="10">
        <f>INDEX([1]ratio_ins!H:H,MATCH('001_population_health_zone_zs'!$B$2,[1]ratio_ins!$B:$B,0))*$G427*INDEX([1]ratio_ins!$C:$C,MATCH('001_population_health_zone_zs'!$B427,[1]ratio_ins!$B:$B,0))</f>
        <v>14969.735550000001</v>
      </c>
      <c r="K427" s="10">
        <f>INDEX([1]ratio_ins!I:I,MATCH('001_population_health_zone_zs'!$B$2,[1]ratio_ins!$B:$B,0))*$G427*INDEX([1]ratio_ins!$C:$C,MATCH('001_population_health_zone_zs'!$B427,[1]ratio_ins!$B:$B,0))</f>
        <v>9203.6151900000004</v>
      </c>
      <c r="L427" s="10">
        <f>INDEX([1]ratio_ins!J:J,MATCH('001_population_health_zone_zs'!$B$2,[1]ratio_ins!$B:$B,0))*$G427*INDEX([1]ratio_ins!$C:$C,MATCH('001_population_health_zone_zs'!$B427,[1]ratio_ins!$B:$B,0))</f>
        <v>5522.1691139999994</v>
      </c>
      <c r="M427" s="11">
        <f>INDEX([1]ratio_ins!K:K,MATCH('001_population_health_zone_zs'!$B$2,[1]ratio_ins!$B:$B,0))*$G427*INDEX([1]ratio_ins!$C:$C,MATCH('001_population_health_zone_zs'!$B427,[1]ratio_ins!$B:$B,0))</f>
        <v>62628.938064000002</v>
      </c>
      <c r="N427" s="10">
        <f>INDEX([1]ratio_ins!L:L,MATCH('001_population_health_zone_zs'!$B$2,[1]ratio_ins!$B:$B,0))*$G427*INDEX([1]ratio_ins!$C:$C,MATCH('001_population_health_zone_zs'!$B427,[1]ratio_ins!$B:$B,0))</f>
        <v>3681.4460759999997</v>
      </c>
      <c r="O427" s="10">
        <f>INDEX([1]ratio_ins!M:M,MATCH('001_population_health_zone_zs'!$B$2,[1]ratio_ins!$B:$B,0))*$G427*INDEX([1]ratio_ins!$C:$C,MATCH('001_population_health_zone_zs'!$B427,[1]ratio_ins!$B:$B,0))</f>
        <v>7983.8589600000005</v>
      </c>
      <c r="P427" s="10">
        <f>INDEX([1]ratio_ins!N:N,MATCH('001_population_health_zone_zs'!$B$2,[1]ratio_ins!$B:$B,0))*$G427*INDEX([1]ratio_ins!$C:$C,MATCH('001_population_health_zone_zs'!$B427,[1]ratio_ins!$B:$B,0))</f>
        <v>7207.6504500000001</v>
      </c>
      <c r="Q427" s="10">
        <f>INDEX([1]ratio_ins!O:O,MATCH('001_population_health_zone_zs'!$B$2,[1]ratio_ins!$B:$B,0))*$G427*INDEX([1]ratio_ins!$C:$C,MATCH('001_population_health_zone_zs'!$B427,[1]ratio_ins!$B:$B,0))</f>
        <v>6431.4419399999997</v>
      </c>
      <c r="R427" s="10">
        <f>INDEX([1]ratio_ins!P:P,MATCH('001_population_health_zone_zs'!$B$2,[1]ratio_ins!$B:$B,0))*$G427*INDEX([1]ratio_ins!$C:$C,MATCH('001_population_health_zone_zs'!$B427,[1]ratio_ins!$B:$B,0))</f>
        <v>6320.55501</v>
      </c>
      <c r="S427" s="10">
        <f>INDEX([1]ratio_ins!Q:Q,MATCH('001_population_health_zone_zs'!$B$2,[1]ratio_ins!$B:$B,0))*$G427*INDEX([1]ratio_ins!$C:$C,MATCH('001_population_health_zone_zs'!$B427,[1]ratio_ins!$B:$B,0))</f>
        <v>5322.5726400000003</v>
      </c>
      <c r="T427" s="10">
        <f>INDEX([1]ratio_ins!R:R,MATCH('001_population_health_zone_zs'!$B$2,[1]ratio_ins!$B:$B,0))*$G427*INDEX([1]ratio_ins!$C:$C,MATCH('001_population_health_zone_zs'!$B427,[1]ratio_ins!$B:$B,0))</f>
        <v>3770.1556200000005</v>
      </c>
      <c r="U427" s="10">
        <f>INDEX([1]ratio_ins!S:S,MATCH('001_population_health_zone_zs'!$B$2,[1]ratio_ins!$B:$B,0))*$G427*INDEX([1]ratio_ins!$C:$C,MATCH('001_population_health_zone_zs'!$B427,[1]ratio_ins!$B:$B,0))</f>
        <v>2993.9471100000001</v>
      </c>
      <c r="V427" s="10">
        <f>INDEX([1]ratio_ins!T:T,MATCH('001_population_health_zone_zs'!$B$2,[1]ratio_ins!$B:$B,0))*$G427*INDEX([1]ratio_ins!$C:$C,MATCH('001_population_health_zone_zs'!$B427,[1]ratio_ins!$B:$B,0))</f>
        <v>1663.30395</v>
      </c>
      <c r="W427" s="11">
        <f>INDEX([1]ratio_ins!U:U,MATCH('001_population_health_zone_zs'!$B$2,[1]ratio_ins!$B:$B,0))*$G427*INDEX([1]ratio_ins!$C:$C,MATCH('001_population_health_zone_zs'!$B427,[1]ratio_ins!$B:$B,0))</f>
        <v>45374.931755999998</v>
      </c>
      <c r="X427" s="10">
        <f>INDEX([1]ratio_ins!V:V,MATCH('001_population_health_zone_zs'!$B$2,[1]ratio_ins!$B:$B,0))*$G427*INDEX([1]ratio_ins!$C:$C,MATCH('001_population_health_zone_zs'!$B427,[1]ratio_ins!$B:$B,0))</f>
        <v>1330.6431600000001</v>
      </c>
      <c r="Y427" s="10">
        <f>INDEX([1]ratio_ins!W:W,MATCH('001_population_health_zone_zs'!$B$2,[1]ratio_ins!$B:$B,0))*$G427*INDEX([1]ratio_ins!$C:$C,MATCH('001_population_health_zone_zs'!$B427,[1]ratio_ins!$B:$B,0))</f>
        <v>887.09544000000005</v>
      </c>
      <c r="Z427" s="10">
        <f>INDEX([1]ratio_ins!X:X,MATCH('001_population_health_zone_zs'!$B$2,[1]ratio_ins!$B:$B,0))*$G427*INDEX([1]ratio_ins!$C:$C,MATCH('001_population_health_zone_zs'!$B427,[1]ratio_ins!$B:$B,0))</f>
        <v>443.54772000000003</v>
      </c>
      <c r="AA427" s="10">
        <f>INDEX([1]ratio_ins!Y:Y,MATCH('001_population_health_zone_zs'!$B$2,[1]ratio_ins!$B:$B,0))*$G427*INDEX([1]ratio_ins!$C:$C,MATCH('001_population_health_zone_zs'!$B427,[1]ratio_ins!$B:$B,0))</f>
        <v>221.77386000000001</v>
      </c>
      <c r="AB427" s="11">
        <f>INDEX([1]ratio_ins!Z:Z,MATCH('001_population_health_zone_zs'!$B$2,[1]ratio_ins!$B:$B,0))*$G427*INDEX([1]ratio_ins!$C:$C,MATCH('001_population_health_zone_zs'!$B427,[1]ratio_ins!$B:$B,0))</f>
        <v>2883.0601800000004</v>
      </c>
      <c r="AC427" s="12">
        <f t="shared" si="36"/>
        <v>110886.93</v>
      </c>
      <c r="AD427" s="10">
        <f>INDEX([1]ratio_ins!AA:AA,MATCH('001_population_health_zone_zs'!$B$2,[1]ratio_ins!$B:$B,0))*$G427*INDEX([1]ratio_ins!$D:$D,MATCH('001_population_health_zone_zs'!$B427,[1]ratio_ins!$B:$B,0))</f>
        <v>23756.684699999998</v>
      </c>
      <c r="AE427" s="10">
        <f>INDEX([1]ratio_ins!AB:AB,MATCH('001_population_health_zone_zs'!$B$2,[1]ratio_ins!$B:$B,0))*$G427*INDEX([1]ratio_ins!$D:$D,MATCH('001_population_health_zone_zs'!$B427,[1]ratio_ins!$B:$B,0))</f>
        <v>19570.983110000005</v>
      </c>
      <c r="AF427" s="10">
        <f>INDEX([1]ratio_ins!AC:AC,MATCH('001_population_health_zone_zs'!$B$2,[1]ratio_ins!$B:$B,0))*$G427*INDEX([1]ratio_ins!$D:$D,MATCH('001_population_health_zone_zs'!$B427,[1]ratio_ins!$B:$B,0))</f>
        <v>15498.408589999999</v>
      </c>
      <c r="AG427" s="10">
        <f>INDEX([1]ratio_ins!AD:AD,MATCH('001_population_health_zone_zs'!$B$2,[1]ratio_ins!$B:$B,0))*$G427*INDEX([1]ratio_ins!$D:$D,MATCH('001_population_health_zone_zs'!$B427,[1]ratio_ins!$B:$B,0))</f>
        <v>9389.5468099999998</v>
      </c>
      <c r="AH427" s="10">
        <f>INDEX([1]ratio_ins!AE:AE,MATCH('001_population_health_zone_zs'!$B$2,[1]ratio_ins!$B:$B,0))*$G427*INDEX([1]ratio_ins!$D:$D,MATCH('001_population_health_zone_zs'!$B427,[1]ratio_ins!$B:$B,0))</f>
        <v>5633.7280860000001</v>
      </c>
      <c r="AI427" s="13">
        <f>INDEX([1]ratio_ins!AF:AF,MATCH('001_population_health_zone_zs'!$B$2,[1]ratio_ins!$B:$B,0))*$G427*INDEX([1]ratio_ins!$D:$D,MATCH('001_population_health_zone_zs'!$B427,[1]ratio_ins!$B:$B,0))</f>
        <v>64459.804485999994</v>
      </c>
      <c r="AJ427" s="10">
        <f>INDEX([1]ratio_ins!AG:AG,MATCH('001_population_health_zone_zs'!$B$2,[1]ratio_ins!$B:$B,0))*$G427*INDEX([1]ratio_ins!$D:$D,MATCH('001_population_health_zone_zs'!$B427,[1]ratio_ins!$B:$B,0))</f>
        <v>3755.8187240000002</v>
      </c>
      <c r="AK427" s="10">
        <f>INDEX([1]ratio_ins!AH:AH,MATCH('001_population_health_zone_zs'!$B$2,[1]ratio_ins!$B:$B,0))*$G427*INDEX([1]ratio_ins!$D:$D,MATCH('001_population_health_zone_zs'!$B427,[1]ratio_ins!$B:$B,0))</f>
        <v>8371.4031800000012</v>
      </c>
      <c r="AL427" s="10">
        <f>INDEX([1]ratio_ins!AI:AI,MATCH('001_population_health_zone_zs'!$B$2,[1]ratio_ins!$B:$B,0))*$G427*INDEX([1]ratio_ins!$D:$D,MATCH('001_population_health_zone_zs'!$B427,[1]ratio_ins!$B:$B,0))</f>
        <v>7918.8949000000011</v>
      </c>
      <c r="AM427" s="10">
        <f>INDEX([1]ratio_ins!AJ:AJ,MATCH('001_population_health_zone_zs'!$B$2,[1]ratio_ins!$B:$B,0))*$G427*INDEX([1]ratio_ins!$D:$D,MATCH('001_population_health_zone_zs'!$B427,[1]ratio_ins!$B:$B,0))</f>
        <v>7240.1324800000002</v>
      </c>
      <c r="AN427" s="10">
        <f>INDEX([1]ratio_ins!AK:AK,MATCH('001_population_health_zone_zs'!$B$2,[1]ratio_ins!$B:$B,0))*$G427*INDEX([1]ratio_ins!$D:$D,MATCH('001_population_health_zone_zs'!$B427,[1]ratio_ins!$B:$B,0))</f>
        <v>6787.6242000000002</v>
      </c>
      <c r="AO427" s="10">
        <f>INDEX([1]ratio_ins!AL:AL,MATCH('001_population_health_zone_zs'!$B$2,[1]ratio_ins!$B:$B,0))*$G427*INDEX([1]ratio_ins!$D:$D,MATCH('001_population_health_zone_zs'!$B427,[1]ratio_ins!$B:$B,0))</f>
        <v>5090.7181499999997</v>
      </c>
      <c r="AP427" s="10">
        <f>INDEX([1]ratio_ins!AM:AM,MATCH('001_population_health_zone_zs'!$B$2,[1]ratio_ins!$B:$B,0))*$G427*INDEX([1]ratio_ins!$D:$D,MATCH('001_population_health_zone_zs'!$B427,[1]ratio_ins!$B:$B,0))</f>
        <v>3280.6850300000001</v>
      </c>
      <c r="AQ427" s="10">
        <f>INDEX([1]ratio_ins!AN:AN,MATCH('001_population_health_zone_zs'!$B$2,[1]ratio_ins!$B:$B,0))*$G427*INDEX([1]ratio_ins!$D:$D,MATCH('001_population_health_zone_zs'!$B427,[1]ratio_ins!$B:$B,0))</f>
        <v>2601.9226100000001</v>
      </c>
      <c r="AR427" s="10">
        <f>INDEX([1]ratio_ins!AO:AO,MATCH('001_population_health_zone_zs'!$B$2,[1]ratio_ins!$B:$B,0))*$G427*INDEX([1]ratio_ins!$D:$D,MATCH('001_population_health_zone_zs'!$B427,[1]ratio_ins!$B:$B,0))</f>
        <v>1244.3977700000003</v>
      </c>
      <c r="AS427" s="13">
        <f>INDEX([1]ratio_ins!AP:AP,MATCH('001_population_health_zone_zs'!$B$2,[1]ratio_ins!$B:$B,0))*$G427*INDEX([1]ratio_ins!$D:$D,MATCH('001_population_health_zone_zs'!$B427,[1]ratio_ins!$B:$B,0))</f>
        <v>46291.597044000002</v>
      </c>
      <c r="AT427" s="10">
        <f>INDEX([1]ratio_ins!AQ:AQ,MATCH('001_population_health_zone_zs'!$B$2,[1]ratio_ins!$B:$B,0))*$G427*INDEX([1]ratio_ins!$D:$D,MATCH('001_population_health_zone_zs'!$B427,[1]ratio_ins!$B:$B,0))</f>
        <v>1131.2707</v>
      </c>
      <c r="AU427" s="10">
        <f>INDEX([1]ratio_ins!AR:AR,MATCH('001_population_health_zone_zs'!$B$2,[1]ratio_ins!$B:$B,0))*$G427*INDEX([1]ratio_ins!$D:$D,MATCH('001_population_health_zone_zs'!$B427,[1]ratio_ins!$B:$B,0))</f>
        <v>678.76242000000002</v>
      </c>
      <c r="AV427" s="10">
        <f>INDEX([1]ratio_ins!AS:AS,MATCH('001_population_health_zone_zs'!$B$2,[1]ratio_ins!$B:$B,0))*$G427*INDEX([1]ratio_ins!$D:$D,MATCH('001_population_health_zone_zs'!$B427,[1]ratio_ins!$B:$B,0))</f>
        <v>339.38121000000001</v>
      </c>
      <c r="AW427" s="10">
        <f>INDEX([1]ratio_ins!AT:AT,MATCH('001_population_health_zone_zs'!$B$2,[1]ratio_ins!$B:$B,0))*$G427*INDEX([1]ratio_ins!$D:$D,MATCH('001_population_health_zone_zs'!$B427,[1]ratio_ins!$B:$B,0))</f>
        <v>226.25414000000001</v>
      </c>
      <c r="AX427" s="13">
        <f>INDEX([1]ratio_ins!AU:AU,MATCH('001_population_health_zone_zs'!$B$2,[1]ratio_ins!$B:$B,0))*$G427*INDEX([1]ratio_ins!$D:$D,MATCH('001_population_health_zone_zs'!$B427,[1]ratio_ins!$B:$B,0))</f>
        <v>2375.6684700000001</v>
      </c>
      <c r="AY427" s="14">
        <f t="shared" si="37"/>
        <v>113127.07</v>
      </c>
      <c r="AZ427" s="15">
        <f t="shared" si="38"/>
        <v>224014</v>
      </c>
      <c r="BA427" s="16">
        <v>214336.49694796206</v>
      </c>
      <c r="BB427" s="10">
        <f t="shared" si="39"/>
        <v>48079.00475</v>
      </c>
      <c r="BC427" s="17">
        <f t="shared" si="40"/>
        <v>0.21462500000000001</v>
      </c>
      <c r="BD427" s="10">
        <f t="shared" si="41"/>
        <v>46239.849809999992</v>
      </c>
    </row>
    <row r="428" spans="1:56" x14ac:dyDescent="0.25">
      <c r="A428" s="8" t="s">
        <v>1045</v>
      </c>
      <c r="B428" s="8" t="s">
        <v>1046</v>
      </c>
      <c r="C428" s="8" t="s">
        <v>1047</v>
      </c>
      <c r="D428" s="8" t="s">
        <v>1048</v>
      </c>
      <c r="E428" s="8" t="s">
        <v>1052</v>
      </c>
      <c r="F428" s="8" t="s">
        <v>1053</v>
      </c>
      <c r="G428" s="9">
        <v>150774</v>
      </c>
      <c r="H428" s="10">
        <f>INDEX([1]ratio_ins!F:F,MATCH('001_population_health_zone_zs'!$B$2,[1]ratio_ins!$B:$B,0))*$G428*INDEX([1]ratio_ins!$C:$C,MATCH('001_population_health_zone_zs'!$B428,[1]ratio_ins!$B:$B,0))</f>
        <v>15598.32417</v>
      </c>
      <c r="I428" s="10">
        <f>INDEX([1]ratio_ins!G:G,MATCH('001_population_health_zone_zs'!$B$2,[1]ratio_ins!$B:$B,0))*$G428*INDEX([1]ratio_ins!$C:$C,MATCH('001_population_health_zone_zs'!$B428,[1]ratio_ins!$B:$B,0))</f>
        <v>12762.265230000001</v>
      </c>
      <c r="J428" s="10">
        <f>INDEX([1]ratio_ins!H:H,MATCH('001_population_health_zone_zs'!$B$2,[1]ratio_ins!$B:$B,0))*$G428*INDEX([1]ratio_ins!$C:$C,MATCH('001_population_health_zone_zs'!$B428,[1]ratio_ins!$B:$B,0))</f>
        <v>10075.47255</v>
      </c>
      <c r="K428" s="10">
        <f>INDEX([1]ratio_ins!I:I,MATCH('001_population_health_zone_zs'!$B$2,[1]ratio_ins!$B:$B,0))*$G428*INDEX([1]ratio_ins!$C:$C,MATCH('001_population_health_zone_zs'!$B428,[1]ratio_ins!$B:$B,0))</f>
        <v>6194.54979</v>
      </c>
      <c r="L428" s="10">
        <f>INDEX([1]ratio_ins!J:J,MATCH('001_population_health_zone_zs'!$B$2,[1]ratio_ins!$B:$B,0))*$G428*INDEX([1]ratio_ins!$C:$C,MATCH('001_population_health_zone_zs'!$B428,[1]ratio_ins!$B:$B,0))</f>
        <v>3716.7298739999997</v>
      </c>
      <c r="M428" s="11">
        <f>INDEX([1]ratio_ins!K:K,MATCH('001_population_health_zone_zs'!$B$2,[1]ratio_ins!$B:$B,0))*$G428*INDEX([1]ratio_ins!$C:$C,MATCH('001_population_health_zone_zs'!$B428,[1]ratio_ins!$B:$B,0))</f>
        <v>42152.791824</v>
      </c>
      <c r="N428" s="10">
        <f>INDEX([1]ratio_ins!L:L,MATCH('001_population_health_zone_zs'!$B$2,[1]ratio_ins!$B:$B,0))*$G428*INDEX([1]ratio_ins!$C:$C,MATCH('001_population_health_zone_zs'!$B428,[1]ratio_ins!$B:$B,0))</f>
        <v>2477.8199159999999</v>
      </c>
      <c r="O428" s="10">
        <f>INDEX([1]ratio_ins!M:M,MATCH('001_population_health_zone_zs'!$B$2,[1]ratio_ins!$B:$B,0))*$G428*INDEX([1]ratio_ins!$C:$C,MATCH('001_population_health_zone_zs'!$B428,[1]ratio_ins!$B:$B,0))</f>
        <v>5373.58536</v>
      </c>
      <c r="P428" s="10">
        <f>INDEX([1]ratio_ins!N:N,MATCH('001_population_health_zone_zs'!$B$2,[1]ratio_ins!$B:$B,0))*$G428*INDEX([1]ratio_ins!$C:$C,MATCH('001_population_health_zone_zs'!$B428,[1]ratio_ins!$B:$B,0))</f>
        <v>4851.1534499999998</v>
      </c>
      <c r="Q428" s="10">
        <f>INDEX([1]ratio_ins!O:O,MATCH('001_population_health_zone_zs'!$B$2,[1]ratio_ins!$B:$B,0))*$G428*INDEX([1]ratio_ins!$C:$C,MATCH('001_population_health_zone_zs'!$B428,[1]ratio_ins!$B:$B,0))</f>
        <v>4328.7215399999995</v>
      </c>
      <c r="R428" s="10">
        <f>INDEX([1]ratio_ins!P:P,MATCH('001_population_health_zone_zs'!$B$2,[1]ratio_ins!$B:$B,0))*$G428*INDEX([1]ratio_ins!$C:$C,MATCH('001_population_health_zone_zs'!$B428,[1]ratio_ins!$B:$B,0))</f>
        <v>4254.0884100000003</v>
      </c>
      <c r="S428" s="10">
        <f>INDEX([1]ratio_ins!Q:Q,MATCH('001_population_health_zone_zs'!$B$2,[1]ratio_ins!$B:$B,0))*$G428*INDEX([1]ratio_ins!$C:$C,MATCH('001_population_health_zone_zs'!$B428,[1]ratio_ins!$B:$B,0))</f>
        <v>3582.3902400000002</v>
      </c>
      <c r="T428" s="10">
        <f>INDEX([1]ratio_ins!R:R,MATCH('001_population_health_zone_zs'!$B$2,[1]ratio_ins!$B:$B,0))*$G428*INDEX([1]ratio_ins!$C:$C,MATCH('001_population_health_zone_zs'!$B428,[1]ratio_ins!$B:$B,0))</f>
        <v>2537.5264200000001</v>
      </c>
      <c r="U428" s="10">
        <f>INDEX([1]ratio_ins!S:S,MATCH('001_population_health_zone_zs'!$B$2,[1]ratio_ins!$B:$B,0))*$G428*INDEX([1]ratio_ins!$C:$C,MATCH('001_population_health_zone_zs'!$B428,[1]ratio_ins!$B:$B,0))</f>
        <v>2015.0945100000004</v>
      </c>
      <c r="V428" s="10">
        <f>INDEX([1]ratio_ins!T:T,MATCH('001_population_health_zone_zs'!$B$2,[1]ratio_ins!$B:$B,0))*$G428*INDEX([1]ratio_ins!$C:$C,MATCH('001_population_health_zone_zs'!$B428,[1]ratio_ins!$B:$B,0))</f>
        <v>1119.49695</v>
      </c>
      <c r="W428" s="11">
        <f>INDEX([1]ratio_ins!U:U,MATCH('001_population_health_zone_zs'!$B$2,[1]ratio_ins!$B:$B,0))*$G428*INDEX([1]ratio_ins!$C:$C,MATCH('001_population_health_zone_zs'!$B428,[1]ratio_ins!$B:$B,0))</f>
        <v>30539.876796</v>
      </c>
      <c r="X428" s="10">
        <f>INDEX([1]ratio_ins!V:V,MATCH('001_population_health_zone_zs'!$B$2,[1]ratio_ins!$B:$B,0))*$G428*INDEX([1]ratio_ins!$C:$C,MATCH('001_population_health_zone_zs'!$B428,[1]ratio_ins!$B:$B,0))</f>
        <v>895.59756000000004</v>
      </c>
      <c r="Y428" s="10">
        <f>INDEX([1]ratio_ins!W:W,MATCH('001_population_health_zone_zs'!$B$2,[1]ratio_ins!$B:$B,0))*$G428*INDEX([1]ratio_ins!$C:$C,MATCH('001_population_health_zone_zs'!$B428,[1]ratio_ins!$B:$B,0))</f>
        <v>597.06503999999995</v>
      </c>
      <c r="Z428" s="10">
        <f>INDEX([1]ratio_ins!X:X,MATCH('001_population_health_zone_zs'!$B$2,[1]ratio_ins!$B:$B,0))*$G428*INDEX([1]ratio_ins!$C:$C,MATCH('001_population_health_zone_zs'!$B428,[1]ratio_ins!$B:$B,0))</f>
        <v>298.53251999999998</v>
      </c>
      <c r="AA428" s="10">
        <f>INDEX([1]ratio_ins!Y:Y,MATCH('001_population_health_zone_zs'!$B$2,[1]ratio_ins!$B:$B,0))*$G428*INDEX([1]ratio_ins!$C:$C,MATCH('001_population_health_zone_zs'!$B428,[1]ratio_ins!$B:$B,0))</f>
        <v>149.26625999999999</v>
      </c>
      <c r="AB428" s="11">
        <f>INDEX([1]ratio_ins!Z:Z,MATCH('001_population_health_zone_zs'!$B$2,[1]ratio_ins!$B:$B,0))*$G428*INDEX([1]ratio_ins!$C:$C,MATCH('001_population_health_zone_zs'!$B428,[1]ratio_ins!$B:$B,0))</f>
        <v>1940.4613800000002</v>
      </c>
      <c r="AC428" s="12">
        <f t="shared" si="36"/>
        <v>74633.12999999999</v>
      </c>
      <c r="AD428" s="10">
        <f>INDEX([1]ratio_ins!AA:AA,MATCH('001_population_health_zone_zs'!$B$2,[1]ratio_ins!$B:$B,0))*$G428*INDEX([1]ratio_ins!$D:$D,MATCH('001_population_health_zone_zs'!$B428,[1]ratio_ins!$B:$B,0))</f>
        <v>15989.582699999999</v>
      </c>
      <c r="AE428" s="10">
        <f>INDEX([1]ratio_ins!AB:AB,MATCH('001_population_health_zone_zs'!$B$2,[1]ratio_ins!$B:$B,0))*$G428*INDEX([1]ratio_ins!$D:$D,MATCH('001_population_health_zone_zs'!$B428,[1]ratio_ins!$B:$B,0))</f>
        <v>13172.370510000001</v>
      </c>
      <c r="AF428" s="10">
        <f>INDEX([1]ratio_ins!AC:AC,MATCH('001_population_health_zone_zs'!$B$2,[1]ratio_ins!$B:$B,0))*$G428*INDEX([1]ratio_ins!$D:$D,MATCH('001_population_health_zone_zs'!$B428,[1]ratio_ins!$B:$B,0))</f>
        <v>10431.299189999998</v>
      </c>
      <c r="AG428" s="10">
        <f>INDEX([1]ratio_ins!AD:AD,MATCH('001_population_health_zone_zs'!$B$2,[1]ratio_ins!$B:$B,0))*$G428*INDEX([1]ratio_ins!$D:$D,MATCH('001_population_health_zone_zs'!$B428,[1]ratio_ins!$B:$B,0))</f>
        <v>6319.6922100000002</v>
      </c>
      <c r="AH428" s="10">
        <f>INDEX([1]ratio_ins!AE:AE,MATCH('001_population_health_zone_zs'!$B$2,[1]ratio_ins!$B:$B,0))*$G428*INDEX([1]ratio_ins!$D:$D,MATCH('001_population_health_zone_zs'!$B428,[1]ratio_ins!$B:$B,0))</f>
        <v>3791.8153259999999</v>
      </c>
      <c r="AI428" s="13">
        <f>INDEX([1]ratio_ins!AF:AF,MATCH('001_population_health_zone_zs'!$B$2,[1]ratio_ins!$B:$B,0))*$G428*INDEX([1]ratio_ins!$D:$D,MATCH('001_population_health_zone_zs'!$B428,[1]ratio_ins!$B:$B,0))</f>
        <v>43385.067725999994</v>
      </c>
      <c r="AJ428" s="10">
        <f>INDEX([1]ratio_ins!AG:AG,MATCH('001_population_health_zone_zs'!$B$2,[1]ratio_ins!$B:$B,0))*$G428*INDEX([1]ratio_ins!$D:$D,MATCH('001_population_health_zone_zs'!$B428,[1]ratio_ins!$B:$B,0))</f>
        <v>2527.8768839999998</v>
      </c>
      <c r="AK428" s="10">
        <f>INDEX([1]ratio_ins!AH:AH,MATCH('001_population_health_zone_zs'!$B$2,[1]ratio_ins!$B:$B,0))*$G428*INDEX([1]ratio_ins!$D:$D,MATCH('001_population_health_zone_zs'!$B428,[1]ratio_ins!$B:$B,0))</f>
        <v>5634.4243800000013</v>
      </c>
      <c r="AL428" s="10">
        <f>INDEX([1]ratio_ins!AI:AI,MATCH('001_population_health_zone_zs'!$B$2,[1]ratio_ins!$B:$B,0))*$G428*INDEX([1]ratio_ins!$D:$D,MATCH('001_population_health_zone_zs'!$B428,[1]ratio_ins!$B:$B,0))</f>
        <v>5329.8609000000006</v>
      </c>
      <c r="AM428" s="10">
        <f>INDEX([1]ratio_ins!AJ:AJ,MATCH('001_population_health_zone_zs'!$B$2,[1]ratio_ins!$B:$B,0))*$G428*INDEX([1]ratio_ins!$D:$D,MATCH('001_population_health_zone_zs'!$B428,[1]ratio_ins!$B:$B,0))</f>
        <v>4873.0156800000004</v>
      </c>
      <c r="AN428" s="10">
        <f>INDEX([1]ratio_ins!AK:AK,MATCH('001_population_health_zone_zs'!$B$2,[1]ratio_ins!$B:$B,0))*$G428*INDEX([1]ratio_ins!$D:$D,MATCH('001_population_health_zone_zs'!$B428,[1]ratio_ins!$B:$B,0))</f>
        <v>4568.4522000000006</v>
      </c>
      <c r="AO428" s="10">
        <f>INDEX([1]ratio_ins!AL:AL,MATCH('001_population_health_zone_zs'!$B$2,[1]ratio_ins!$B:$B,0))*$G428*INDEX([1]ratio_ins!$D:$D,MATCH('001_population_health_zone_zs'!$B428,[1]ratio_ins!$B:$B,0))</f>
        <v>3426.3391499999998</v>
      </c>
      <c r="AP428" s="10">
        <f>INDEX([1]ratio_ins!AM:AM,MATCH('001_population_health_zone_zs'!$B$2,[1]ratio_ins!$B:$B,0))*$G428*INDEX([1]ratio_ins!$D:$D,MATCH('001_population_health_zone_zs'!$B428,[1]ratio_ins!$B:$B,0))</f>
        <v>2208.0852300000001</v>
      </c>
      <c r="AQ428" s="10">
        <f>INDEX([1]ratio_ins!AN:AN,MATCH('001_population_health_zone_zs'!$B$2,[1]ratio_ins!$B:$B,0))*$G428*INDEX([1]ratio_ins!$D:$D,MATCH('001_population_health_zone_zs'!$B428,[1]ratio_ins!$B:$B,0))</f>
        <v>1751.24001</v>
      </c>
      <c r="AR428" s="10">
        <f>INDEX([1]ratio_ins!AO:AO,MATCH('001_population_health_zone_zs'!$B$2,[1]ratio_ins!$B:$B,0))*$G428*INDEX([1]ratio_ins!$D:$D,MATCH('001_population_health_zone_zs'!$B428,[1]ratio_ins!$B:$B,0))</f>
        <v>837.54957000000002</v>
      </c>
      <c r="AS428" s="13">
        <f>INDEX([1]ratio_ins!AP:AP,MATCH('001_population_health_zone_zs'!$B$2,[1]ratio_ins!$B:$B,0))*$G428*INDEX([1]ratio_ins!$D:$D,MATCH('001_population_health_zone_zs'!$B428,[1]ratio_ins!$B:$B,0))</f>
        <v>31156.844004000002</v>
      </c>
      <c r="AT428" s="10">
        <f>INDEX([1]ratio_ins!AQ:AQ,MATCH('001_population_health_zone_zs'!$B$2,[1]ratio_ins!$B:$B,0))*$G428*INDEX([1]ratio_ins!$D:$D,MATCH('001_population_health_zone_zs'!$B428,[1]ratio_ins!$B:$B,0))</f>
        <v>761.40870000000007</v>
      </c>
      <c r="AU428" s="10">
        <f>INDEX([1]ratio_ins!AR:AR,MATCH('001_population_health_zone_zs'!$B$2,[1]ratio_ins!$B:$B,0))*$G428*INDEX([1]ratio_ins!$D:$D,MATCH('001_population_health_zone_zs'!$B428,[1]ratio_ins!$B:$B,0))</f>
        <v>456.84521999999998</v>
      </c>
      <c r="AV428" s="10">
        <f>INDEX([1]ratio_ins!AS:AS,MATCH('001_population_health_zone_zs'!$B$2,[1]ratio_ins!$B:$B,0))*$G428*INDEX([1]ratio_ins!$D:$D,MATCH('001_population_health_zone_zs'!$B428,[1]ratio_ins!$B:$B,0))</f>
        <v>228.42260999999999</v>
      </c>
      <c r="AW428" s="10">
        <f>INDEX([1]ratio_ins!AT:AT,MATCH('001_population_health_zone_zs'!$B$2,[1]ratio_ins!$B:$B,0))*$G428*INDEX([1]ratio_ins!$D:$D,MATCH('001_population_health_zone_zs'!$B428,[1]ratio_ins!$B:$B,0))</f>
        <v>152.28174000000001</v>
      </c>
      <c r="AX428" s="13">
        <f>INDEX([1]ratio_ins!AU:AU,MATCH('001_population_health_zone_zs'!$B$2,[1]ratio_ins!$B:$B,0))*$G428*INDEX([1]ratio_ins!$D:$D,MATCH('001_population_health_zone_zs'!$B428,[1]ratio_ins!$B:$B,0))</f>
        <v>1598.9582699999996</v>
      </c>
      <c r="AY428" s="14">
        <f t="shared" si="37"/>
        <v>76140.87</v>
      </c>
      <c r="AZ428" s="15">
        <f t="shared" si="38"/>
        <v>150774</v>
      </c>
      <c r="BA428" s="16">
        <v>144260.53111493215</v>
      </c>
      <c r="BB428" s="10">
        <f t="shared" si="39"/>
        <v>32359.869750000002</v>
      </c>
      <c r="BC428" s="17">
        <f t="shared" si="40"/>
        <v>0.21462500000000001</v>
      </c>
      <c r="BD428" s="10">
        <f t="shared" si="41"/>
        <v>31122.015209999998</v>
      </c>
    </row>
    <row r="429" spans="1:56" x14ac:dyDescent="0.25">
      <c r="A429" s="8" t="s">
        <v>1045</v>
      </c>
      <c r="B429" s="8" t="s">
        <v>1046</v>
      </c>
      <c r="C429" s="8" t="s">
        <v>1054</v>
      </c>
      <c r="D429" s="8" t="s">
        <v>1055</v>
      </c>
      <c r="E429" s="8" t="s">
        <v>1056</v>
      </c>
      <c r="F429" s="8" t="s">
        <v>1057</v>
      </c>
      <c r="G429" s="9">
        <v>231879</v>
      </c>
      <c r="H429" s="10">
        <f>INDEX([1]ratio_ins!F:F,MATCH('001_population_health_zone_zs'!$B$2,[1]ratio_ins!$B:$B,0))*$G429*INDEX([1]ratio_ins!$C:$C,MATCH('001_population_health_zone_zs'!$B429,[1]ratio_ins!$B:$B,0))</f>
        <v>23989.041944999997</v>
      </c>
      <c r="I429" s="10">
        <f>INDEX([1]ratio_ins!G:G,MATCH('001_population_health_zone_zs'!$B$2,[1]ratio_ins!$B:$B,0))*$G429*INDEX([1]ratio_ins!$C:$C,MATCH('001_population_health_zone_zs'!$B429,[1]ratio_ins!$B:$B,0))</f>
        <v>19627.397955</v>
      </c>
      <c r="J429" s="10">
        <f>INDEX([1]ratio_ins!H:H,MATCH('001_population_health_zone_zs'!$B$2,[1]ratio_ins!$B:$B,0))*$G429*INDEX([1]ratio_ins!$C:$C,MATCH('001_population_health_zone_zs'!$B429,[1]ratio_ins!$B:$B,0))</f>
        <v>15495.314175</v>
      </c>
      <c r="K429" s="10">
        <f>INDEX([1]ratio_ins!I:I,MATCH('001_population_health_zone_zs'!$B$2,[1]ratio_ins!$B:$B,0))*$G429*INDEX([1]ratio_ins!$C:$C,MATCH('001_population_health_zone_zs'!$B429,[1]ratio_ins!$B:$B,0))</f>
        <v>9526.7487150000015</v>
      </c>
      <c r="L429" s="10">
        <f>INDEX([1]ratio_ins!J:J,MATCH('001_population_health_zone_zs'!$B$2,[1]ratio_ins!$B:$B,0))*$G429*INDEX([1]ratio_ins!$C:$C,MATCH('001_population_health_zone_zs'!$B429,[1]ratio_ins!$B:$B,0))</f>
        <v>5716.0492289999993</v>
      </c>
      <c r="M429" s="11">
        <f>INDEX([1]ratio_ins!K:K,MATCH('001_population_health_zone_zs'!$B$2,[1]ratio_ins!$B:$B,0))*$G429*INDEX([1]ratio_ins!$C:$C,MATCH('001_population_health_zone_zs'!$B429,[1]ratio_ins!$B:$B,0))</f>
        <v>64827.803303999994</v>
      </c>
      <c r="N429" s="10">
        <f>INDEX([1]ratio_ins!L:L,MATCH('001_population_health_zone_zs'!$B$2,[1]ratio_ins!$B:$B,0))*$G429*INDEX([1]ratio_ins!$C:$C,MATCH('001_population_health_zone_zs'!$B429,[1]ratio_ins!$B:$B,0))</f>
        <v>3810.699486</v>
      </c>
      <c r="O429" s="10">
        <f>INDEX([1]ratio_ins!M:M,MATCH('001_population_health_zone_zs'!$B$2,[1]ratio_ins!$B:$B,0))*$G429*INDEX([1]ratio_ins!$C:$C,MATCH('001_population_health_zone_zs'!$B429,[1]ratio_ins!$B:$B,0))</f>
        <v>8264.1675599999999</v>
      </c>
      <c r="P429" s="10">
        <f>INDEX([1]ratio_ins!N:N,MATCH('001_population_health_zone_zs'!$B$2,[1]ratio_ins!$B:$B,0))*$G429*INDEX([1]ratio_ins!$C:$C,MATCH('001_population_health_zone_zs'!$B429,[1]ratio_ins!$B:$B,0))</f>
        <v>7460.7068250000002</v>
      </c>
      <c r="Q429" s="10">
        <f>INDEX([1]ratio_ins!O:O,MATCH('001_population_health_zone_zs'!$B$2,[1]ratio_ins!$B:$B,0))*$G429*INDEX([1]ratio_ins!$C:$C,MATCH('001_population_health_zone_zs'!$B429,[1]ratio_ins!$B:$B,0))</f>
        <v>6657.2460899999996</v>
      </c>
      <c r="R429" s="10">
        <f>INDEX([1]ratio_ins!P:P,MATCH('001_population_health_zone_zs'!$B$2,[1]ratio_ins!$B:$B,0))*$G429*INDEX([1]ratio_ins!$C:$C,MATCH('001_population_health_zone_zs'!$B429,[1]ratio_ins!$B:$B,0))</f>
        <v>6542.4659850000007</v>
      </c>
      <c r="S429" s="10">
        <f>INDEX([1]ratio_ins!Q:Q,MATCH('001_population_health_zone_zs'!$B$2,[1]ratio_ins!$B:$B,0))*$G429*INDEX([1]ratio_ins!$C:$C,MATCH('001_population_health_zone_zs'!$B429,[1]ratio_ins!$B:$B,0))</f>
        <v>5509.4450400000005</v>
      </c>
      <c r="T429" s="10">
        <f>INDEX([1]ratio_ins!R:R,MATCH('001_population_health_zone_zs'!$B$2,[1]ratio_ins!$B:$B,0))*$G429*INDEX([1]ratio_ins!$C:$C,MATCH('001_population_health_zone_zs'!$B429,[1]ratio_ins!$B:$B,0))</f>
        <v>3902.5235700000003</v>
      </c>
      <c r="U429" s="10">
        <f>INDEX([1]ratio_ins!S:S,MATCH('001_population_health_zone_zs'!$B$2,[1]ratio_ins!$B:$B,0))*$G429*INDEX([1]ratio_ins!$C:$C,MATCH('001_population_health_zone_zs'!$B429,[1]ratio_ins!$B:$B,0))</f>
        <v>3099.0628350000006</v>
      </c>
      <c r="V429" s="10">
        <f>INDEX([1]ratio_ins!T:T,MATCH('001_population_health_zone_zs'!$B$2,[1]ratio_ins!$B:$B,0))*$G429*INDEX([1]ratio_ins!$C:$C,MATCH('001_population_health_zone_zs'!$B429,[1]ratio_ins!$B:$B,0))</f>
        <v>1721.701575</v>
      </c>
      <c r="W429" s="11">
        <f>INDEX([1]ratio_ins!U:U,MATCH('001_population_health_zone_zs'!$B$2,[1]ratio_ins!$B:$B,0))*$G429*INDEX([1]ratio_ins!$C:$C,MATCH('001_population_health_zone_zs'!$B429,[1]ratio_ins!$B:$B,0))</f>
        <v>46968.018966000003</v>
      </c>
      <c r="X429" s="10">
        <f>INDEX([1]ratio_ins!V:V,MATCH('001_population_health_zone_zs'!$B$2,[1]ratio_ins!$B:$B,0))*$G429*INDEX([1]ratio_ins!$C:$C,MATCH('001_population_health_zone_zs'!$B429,[1]ratio_ins!$B:$B,0))</f>
        <v>1377.3612600000001</v>
      </c>
      <c r="Y429" s="10">
        <f>INDEX([1]ratio_ins!W:W,MATCH('001_population_health_zone_zs'!$B$2,[1]ratio_ins!$B:$B,0))*$G429*INDEX([1]ratio_ins!$C:$C,MATCH('001_population_health_zone_zs'!$B429,[1]ratio_ins!$B:$B,0))</f>
        <v>918.24083999999993</v>
      </c>
      <c r="Z429" s="10">
        <f>INDEX([1]ratio_ins!X:X,MATCH('001_population_health_zone_zs'!$B$2,[1]ratio_ins!$B:$B,0))*$G429*INDEX([1]ratio_ins!$C:$C,MATCH('001_population_health_zone_zs'!$B429,[1]ratio_ins!$B:$B,0))</f>
        <v>459.12041999999997</v>
      </c>
      <c r="AA429" s="10">
        <f>INDEX([1]ratio_ins!Y:Y,MATCH('001_population_health_zone_zs'!$B$2,[1]ratio_ins!$B:$B,0))*$G429*INDEX([1]ratio_ins!$C:$C,MATCH('001_population_health_zone_zs'!$B429,[1]ratio_ins!$B:$B,0))</f>
        <v>229.56020999999998</v>
      </c>
      <c r="AB429" s="11">
        <f>INDEX([1]ratio_ins!Z:Z,MATCH('001_population_health_zone_zs'!$B$2,[1]ratio_ins!$B:$B,0))*$G429*INDEX([1]ratio_ins!$C:$C,MATCH('001_population_health_zone_zs'!$B429,[1]ratio_ins!$B:$B,0))</f>
        <v>2984.2827299999999</v>
      </c>
      <c r="AC429" s="12">
        <f t="shared" si="36"/>
        <v>114780.10500000001</v>
      </c>
      <c r="AD429" s="10">
        <f>INDEX([1]ratio_ins!AA:AA,MATCH('001_population_health_zone_zs'!$B$2,[1]ratio_ins!$B:$B,0))*$G429*INDEX([1]ratio_ins!$D:$D,MATCH('001_population_health_zone_zs'!$B429,[1]ratio_ins!$B:$B,0))</f>
        <v>24590.767949999998</v>
      </c>
      <c r="AE429" s="10">
        <f>INDEX([1]ratio_ins!AB:AB,MATCH('001_population_health_zone_zs'!$B$2,[1]ratio_ins!$B:$B,0))*$G429*INDEX([1]ratio_ins!$D:$D,MATCH('001_population_health_zone_zs'!$B429,[1]ratio_ins!$B:$B,0))</f>
        <v>20258.108835000003</v>
      </c>
      <c r="AF429" s="10">
        <f>INDEX([1]ratio_ins!AC:AC,MATCH('001_population_health_zone_zs'!$B$2,[1]ratio_ins!$B:$B,0))*$G429*INDEX([1]ratio_ins!$D:$D,MATCH('001_population_health_zone_zs'!$B429,[1]ratio_ins!$B:$B,0))</f>
        <v>16042.548614999998</v>
      </c>
      <c r="AG429" s="10">
        <f>INDEX([1]ratio_ins!AD:AD,MATCH('001_population_health_zone_zs'!$B$2,[1]ratio_ins!$B:$B,0))*$G429*INDEX([1]ratio_ins!$D:$D,MATCH('001_population_health_zone_zs'!$B429,[1]ratio_ins!$B:$B,0))</f>
        <v>9719.2082850000006</v>
      </c>
      <c r="AH429" s="10">
        <f>INDEX([1]ratio_ins!AE:AE,MATCH('001_population_health_zone_zs'!$B$2,[1]ratio_ins!$B:$B,0))*$G429*INDEX([1]ratio_ins!$D:$D,MATCH('001_population_health_zone_zs'!$B429,[1]ratio_ins!$B:$B,0))</f>
        <v>5831.5249709999998</v>
      </c>
      <c r="AI429" s="13">
        <f>INDEX([1]ratio_ins!AF:AF,MATCH('001_population_health_zone_zs'!$B$2,[1]ratio_ins!$B:$B,0))*$G429*INDEX([1]ratio_ins!$D:$D,MATCH('001_population_health_zone_zs'!$B429,[1]ratio_ins!$B:$B,0))</f>
        <v>66722.950370999999</v>
      </c>
      <c r="AJ429" s="10">
        <f>INDEX([1]ratio_ins!AG:AG,MATCH('001_population_health_zone_zs'!$B$2,[1]ratio_ins!$B:$B,0))*$G429*INDEX([1]ratio_ins!$D:$D,MATCH('001_population_health_zone_zs'!$B429,[1]ratio_ins!$B:$B,0))</f>
        <v>3887.6833140000003</v>
      </c>
      <c r="AK429" s="10">
        <f>INDEX([1]ratio_ins!AH:AH,MATCH('001_population_health_zone_zs'!$B$2,[1]ratio_ins!$B:$B,0))*$G429*INDEX([1]ratio_ins!$D:$D,MATCH('001_population_health_zone_zs'!$B429,[1]ratio_ins!$B:$B,0))</f>
        <v>8665.3182300000008</v>
      </c>
      <c r="AL429" s="10">
        <f>INDEX([1]ratio_ins!AI:AI,MATCH('001_population_health_zone_zs'!$B$2,[1]ratio_ins!$B:$B,0))*$G429*INDEX([1]ratio_ins!$D:$D,MATCH('001_population_health_zone_zs'!$B429,[1]ratio_ins!$B:$B,0))</f>
        <v>8196.9226500000004</v>
      </c>
      <c r="AM429" s="10">
        <f>INDEX([1]ratio_ins!AJ:AJ,MATCH('001_population_health_zone_zs'!$B$2,[1]ratio_ins!$B:$B,0))*$G429*INDEX([1]ratio_ins!$D:$D,MATCH('001_population_health_zone_zs'!$B429,[1]ratio_ins!$B:$B,0))</f>
        <v>7494.3292799999999</v>
      </c>
      <c r="AN429" s="10">
        <f>INDEX([1]ratio_ins!AK:AK,MATCH('001_population_health_zone_zs'!$B$2,[1]ratio_ins!$B:$B,0))*$G429*INDEX([1]ratio_ins!$D:$D,MATCH('001_population_health_zone_zs'!$B429,[1]ratio_ins!$B:$B,0))</f>
        <v>7025.9336999999996</v>
      </c>
      <c r="AO429" s="10">
        <f>INDEX([1]ratio_ins!AL:AL,MATCH('001_population_health_zone_zs'!$B$2,[1]ratio_ins!$B:$B,0))*$G429*INDEX([1]ratio_ins!$D:$D,MATCH('001_population_health_zone_zs'!$B429,[1]ratio_ins!$B:$B,0))</f>
        <v>5269.4502750000001</v>
      </c>
      <c r="AP429" s="10">
        <f>INDEX([1]ratio_ins!AM:AM,MATCH('001_population_health_zone_zs'!$B$2,[1]ratio_ins!$B:$B,0))*$G429*INDEX([1]ratio_ins!$D:$D,MATCH('001_population_health_zone_zs'!$B429,[1]ratio_ins!$B:$B,0))</f>
        <v>3395.8679550000002</v>
      </c>
      <c r="AQ429" s="10">
        <f>INDEX([1]ratio_ins!AN:AN,MATCH('001_population_health_zone_zs'!$B$2,[1]ratio_ins!$B:$B,0))*$G429*INDEX([1]ratio_ins!$D:$D,MATCH('001_population_health_zone_zs'!$B429,[1]ratio_ins!$B:$B,0))</f>
        <v>2693.2745849999997</v>
      </c>
      <c r="AR429" s="10">
        <f>INDEX([1]ratio_ins!AO:AO,MATCH('001_population_health_zone_zs'!$B$2,[1]ratio_ins!$B:$B,0))*$G429*INDEX([1]ratio_ins!$D:$D,MATCH('001_population_health_zone_zs'!$B429,[1]ratio_ins!$B:$B,0))</f>
        <v>1288.0878450000002</v>
      </c>
      <c r="AS429" s="13">
        <f>INDEX([1]ratio_ins!AP:AP,MATCH('001_population_health_zone_zs'!$B$2,[1]ratio_ins!$B:$B,0))*$G429*INDEX([1]ratio_ins!$D:$D,MATCH('001_population_health_zone_zs'!$B429,[1]ratio_ins!$B:$B,0))</f>
        <v>47916.867834000004</v>
      </c>
      <c r="AT429" s="10">
        <f>INDEX([1]ratio_ins!AQ:AQ,MATCH('001_population_health_zone_zs'!$B$2,[1]ratio_ins!$B:$B,0))*$G429*INDEX([1]ratio_ins!$D:$D,MATCH('001_population_health_zone_zs'!$B429,[1]ratio_ins!$B:$B,0))</f>
        <v>1170.9889499999999</v>
      </c>
      <c r="AU429" s="10">
        <f>INDEX([1]ratio_ins!AR:AR,MATCH('001_population_health_zone_zs'!$B$2,[1]ratio_ins!$B:$B,0))*$G429*INDEX([1]ratio_ins!$D:$D,MATCH('001_population_health_zone_zs'!$B429,[1]ratio_ins!$B:$B,0))</f>
        <v>702.59337000000005</v>
      </c>
      <c r="AV429" s="10">
        <f>INDEX([1]ratio_ins!AS:AS,MATCH('001_population_health_zone_zs'!$B$2,[1]ratio_ins!$B:$B,0))*$G429*INDEX([1]ratio_ins!$D:$D,MATCH('001_population_health_zone_zs'!$B429,[1]ratio_ins!$B:$B,0))</f>
        <v>351.29668500000002</v>
      </c>
      <c r="AW429" s="10">
        <f>INDEX([1]ratio_ins!AT:AT,MATCH('001_population_health_zone_zs'!$B$2,[1]ratio_ins!$B:$B,0))*$G429*INDEX([1]ratio_ins!$D:$D,MATCH('001_population_health_zone_zs'!$B429,[1]ratio_ins!$B:$B,0))</f>
        <v>234.19779</v>
      </c>
      <c r="AX429" s="13">
        <f>INDEX([1]ratio_ins!AU:AU,MATCH('001_population_health_zone_zs'!$B$2,[1]ratio_ins!$B:$B,0))*$G429*INDEX([1]ratio_ins!$D:$D,MATCH('001_population_health_zone_zs'!$B429,[1]ratio_ins!$B:$B,0))</f>
        <v>2459.0767949999999</v>
      </c>
      <c r="AY429" s="14">
        <f t="shared" si="37"/>
        <v>117098.895</v>
      </c>
      <c r="AZ429" s="15">
        <f t="shared" si="38"/>
        <v>231879</v>
      </c>
      <c r="BA429" s="16">
        <v>221862.02559418452</v>
      </c>
      <c r="BB429" s="10">
        <f t="shared" si="39"/>
        <v>49767.030375000009</v>
      </c>
      <c r="BC429" s="17">
        <f t="shared" si="40"/>
        <v>0.21462500000000004</v>
      </c>
      <c r="BD429" s="10">
        <f t="shared" si="41"/>
        <v>47863.303784999996</v>
      </c>
    </row>
    <row r="430" spans="1:56" x14ac:dyDescent="0.25">
      <c r="A430" s="8" t="s">
        <v>1045</v>
      </c>
      <c r="B430" s="8" t="s">
        <v>1046</v>
      </c>
      <c r="C430" s="8" t="s">
        <v>1054</v>
      </c>
      <c r="D430" s="8" t="s">
        <v>1055</v>
      </c>
      <c r="E430" s="8" t="s">
        <v>1058</v>
      </c>
      <c r="F430" s="8" t="s">
        <v>1059</v>
      </c>
      <c r="G430" s="9">
        <v>417840</v>
      </c>
      <c r="H430" s="10">
        <f>INDEX([1]ratio_ins!F:F,MATCH('001_population_health_zone_zs'!$B$2,[1]ratio_ins!$B:$B,0))*$G430*INDEX([1]ratio_ins!$C:$C,MATCH('001_population_health_zone_zs'!$B430,[1]ratio_ins!$B:$B,0))</f>
        <v>43227.637199999997</v>
      </c>
      <c r="I430" s="10">
        <f>INDEX([1]ratio_ins!G:G,MATCH('001_population_health_zone_zs'!$B$2,[1]ratio_ins!$B:$B,0))*$G430*INDEX([1]ratio_ins!$C:$C,MATCH('001_population_health_zone_zs'!$B430,[1]ratio_ins!$B:$B,0))</f>
        <v>35368.066800000001</v>
      </c>
      <c r="J430" s="10">
        <f>INDEX([1]ratio_ins!H:H,MATCH('001_population_health_zone_zs'!$B$2,[1]ratio_ins!$B:$B,0))*$G430*INDEX([1]ratio_ins!$C:$C,MATCH('001_population_health_zone_zs'!$B430,[1]ratio_ins!$B:$B,0))</f>
        <v>27922.157999999999</v>
      </c>
      <c r="K430" s="10">
        <f>INDEX([1]ratio_ins!I:I,MATCH('001_population_health_zone_zs'!$B$2,[1]ratio_ins!$B:$B,0))*$G430*INDEX([1]ratio_ins!$C:$C,MATCH('001_population_health_zone_zs'!$B430,[1]ratio_ins!$B:$B,0))</f>
        <v>17166.956399999999</v>
      </c>
      <c r="L430" s="10">
        <f>INDEX([1]ratio_ins!J:J,MATCH('001_population_health_zone_zs'!$B$2,[1]ratio_ins!$B:$B,0))*$G430*INDEX([1]ratio_ins!$C:$C,MATCH('001_population_health_zone_zs'!$B430,[1]ratio_ins!$B:$B,0))</f>
        <v>10300.173839999998</v>
      </c>
      <c r="M430" s="11">
        <f>INDEX([1]ratio_ins!K:K,MATCH('001_population_health_zone_zs'!$B$2,[1]ratio_ins!$B:$B,0))*$G430*INDEX([1]ratio_ins!$C:$C,MATCH('001_population_health_zone_zs'!$B430,[1]ratio_ins!$B:$B,0))</f>
        <v>116818.03583999998</v>
      </c>
      <c r="N430" s="10">
        <f>INDEX([1]ratio_ins!L:L,MATCH('001_population_health_zone_zs'!$B$2,[1]ratio_ins!$B:$B,0))*$G430*INDEX([1]ratio_ins!$C:$C,MATCH('001_population_health_zone_zs'!$B430,[1]ratio_ins!$B:$B,0))</f>
        <v>6866.7825600000006</v>
      </c>
      <c r="O430" s="10">
        <f>INDEX([1]ratio_ins!M:M,MATCH('001_population_health_zone_zs'!$B$2,[1]ratio_ins!$B:$B,0))*$G430*INDEX([1]ratio_ins!$C:$C,MATCH('001_population_health_zone_zs'!$B430,[1]ratio_ins!$B:$B,0))</f>
        <v>14891.817600000002</v>
      </c>
      <c r="P430" s="10">
        <f>INDEX([1]ratio_ins!N:N,MATCH('001_population_health_zone_zs'!$B$2,[1]ratio_ins!$B:$B,0))*$G430*INDEX([1]ratio_ins!$C:$C,MATCH('001_population_health_zone_zs'!$B430,[1]ratio_ins!$B:$B,0))</f>
        <v>13444.002</v>
      </c>
      <c r="Q430" s="10">
        <f>INDEX([1]ratio_ins!O:O,MATCH('001_population_health_zone_zs'!$B$2,[1]ratio_ins!$B:$B,0))*$G430*INDEX([1]ratio_ins!$C:$C,MATCH('001_population_health_zone_zs'!$B430,[1]ratio_ins!$B:$B,0))</f>
        <v>11996.186399999999</v>
      </c>
      <c r="R430" s="10">
        <f>INDEX([1]ratio_ins!P:P,MATCH('001_population_health_zone_zs'!$B$2,[1]ratio_ins!$B:$B,0))*$G430*INDEX([1]ratio_ins!$C:$C,MATCH('001_population_health_zone_zs'!$B430,[1]ratio_ins!$B:$B,0))</f>
        <v>11789.355600000001</v>
      </c>
      <c r="S430" s="10">
        <f>INDEX([1]ratio_ins!Q:Q,MATCH('001_population_health_zone_zs'!$B$2,[1]ratio_ins!$B:$B,0))*$G430*INDEX([1]ratio_ins!$C:$C,MATCH('001_population_health_zone_zs'!$B430,[1]ratio_ins!$B:$B,0))</f>
        <v>9927.8783999999996</v>
      </c>
      <c r="T430" s="10">
        <f>INDEX([1]ratio_ins!R:R,MATCH('001_population_health_zone_zs'!$B$2,[1]ratio_ins!$B:$B,0))*$G430*INDEX([1]ratio_ins!$C:$C,MATCH('001_population_health_zone_zs'!$B430,[1]ratio_ins!$B:$B,0))</f>
        <v>7032.2472000000007</v>
      </c>
      <c r="U430" s="10">
        <f>INDEX([1]ratio_ins!S:S,MATCH('001_population_health_zone_zs'!$B$2,[1]ratio_ins!$B:$B,0))*$G430*INDEX([1]ratio_ins!$C:$C,MATCH('001_population_health_zone_zs'!$B430,[1]ratio_ins!$B:$B,0))</f>
        <v>5584.4316000000008</v>
      </c>
      <c r="V430" s="10">
        <f>INDEX([1]ratio_ins!T:T,MATCH('001_population_health_zone_zs'!$B$2,[1]ratio_ins!$B:$B,0))*$G430*INDEX([1]ratio_ins!$C:$C,MATCH('001_population_health_zone_zs'!$B430,[1]ratio_ins!$B:$B,0))</f>
        <v>3102.4619999999995</v>
      </c>
      <c r="W430" s="11">
        <f>INDEX([1]ratio_ins!U:U,MATCH('001_population_health_zone_zs'!$B$2,[1]ratio_ins!$B:$B,0))*$G430*INDEX([1]ratio_ins!$C:$C,MATCH('001_population_health_zone_zs'!$B430,[1]ratio_ins!$B:$B,0))</f>
        <v>84635.163359999991</v>
      </c>
      <c r="X430" s="10">
        <f>INDEX([1]ratio_ins!V:V,MATCH('001_population_health_zone_zs'!$B$2,[1]ratio_ins!$B:$B,0))*$G430*INDEX([1]ratio_ins!$C:$C,MATCH('001_population_health_zone_zs'!$B430,[1]ratio_ins!$B:$B,0))</f>
        <v>2481.9695999999999</v>
      </c>
      <c r="Y430" s="10">
        <f>INDEX([1]ratio_ins!W:W,MATCH('001_population_health_zone_zs'!$B$2,[1]ratio_ins!$B:$B,0))*$G430*INDEX([1]ratio_ins!$C:$C,MATCH('001_population_health_zone_zs'!$B430,[1]ratio_ins!$B:$B,0))</f>
        <v>1654.6464000000001</v>
      </c>
      <c r="Z430" s="10">
        <f>INDEX([1]ratio_ins!X:X,MATCH('001_population_health_zone_zs'!$B$2,[1]ratio_ins!$B:$B,0))*$G430*INDEX([1]ratio_ins!$C:$C,MATCH('001_population_health_zone_zs'!$B430,[1]ratio_ins!$B:$B,0))</f>
        <v>827.32320000000004</v>
      </c>
      <c r="AA430" s="10">
        <f>INDEX([1]ratio_ins!Y:Y,MATCH('001_population_health_zone_zs'!$B$2,[1]ratio_ins!$B:$B,0))*$G430*INDEX([1]ratio_ins!$C:$C,MATCH('001_population_health_zone_zs'!$B430,[1]ratio_ins!$B:$B,0))</f>
        <v>413.66160000000002</v>
      </c>
      <c r="AB430" s="11">
        <f>INDEX([1]ratio_ins!Z:Z,MATCH('001_population_health_zone_zs'!$B$2,[1]ratio_ins!$B:$B,0))*$G430*INDEX([1]ratio_ins!$C:$C,MATCH('001_population_health_zone_zs'!$B430,[1]ratio_ins!$B:$B,0))</f>
        <v>5377.6008000000002</v>
      </c>
      <c r="AC430" s="12">
        <f t="shared" si="36"/>
        <v>206830.8</v>
      </c>
      <c r="AD430" s="10">
        <f>INDEX([1]ratio_ins!AA:AA,MATCH('001_population_health_zone_zs'!$B$2,[1]ratio_ins!$B:$B,0))*$G430*INDEX([1]ratio_ins!$D:$D,MATCH('001_population_health_zone_zs'!$B430,[1]ratio_ins!$B:$B,0))</f>
        <v>44311.932000000001</v>
      </c>
      <c r="AE430" s="10">
        <f>INDEX([1]ratio_ins!AB:AB,MATCH('001_population_health_zone_zs'!$B$2,[1]ratio_ins!$B:$B,0))*$G430*INDEX([1]ratio_ins!$D:$D,MATCH('001_population_health_zone_zs'!$B430,[1]ratio_ins!$B:$B,0))</f>
        <v>36504.591600000007</v>
      </c>
      <c r="AF430" s="10">
        <f>INDEX([1]ratio_ins!AC:AC,MATCH('001_population_health_zone_zs'!$B$2,[1]ratio_ins!$B:$B,0))*$G430*INDEX([1]ratio_ins!$D:$D,MATCH('001_population_health_zone_zs'!$B430,[1]ratio_ins!$B:$B,0))</f>
        <v>28908.260399999999</v>
      </c>
      <c r="AG430" s="10">
        <f>INDEX([1]ratio_ins!AD:AD,MATCH('001_population_health_zone_zs'!$B$2,[1]ratio_ins!$B:$B,0))*$G430*INDEX([1]ratio_ins!$D:$D,MATCH('001_population_health_zone_zs'!$B430,[1]ratio_ins!$B:$B,0))</f>
        <v>17513.763600000002</v>
      </c>
      <c r="AH430" s="10">
        <f>INDEX([1]ratio_ins!AE:AE,MATCH('001_population_health_zone_zs'!$B$2,[1]ratio_ins!$B:$B,0))*$G430*INDEX([1]ratio_ins!$D:$D,MATCH('001_population_health_zone_zs'!$B430,[1]ratio_ins!$B:$B,0))</f>
        <v>10508.258159999999</v>
      </c>
      <c r="AI430" s="13">
        <f>INDEX([1]ratio_ins!AF:AF,MATCH('001_population_health_zone_zs'!$B$2,[1]ratio_ins!$B:$B,0))*$G430*INDEX([1]ratio_ins!$D:$D,MATCH('001_population_health_zone_zs'!$B430,[1]ratio_ins!$B:$B,0))</f>
        <v>120233.04216</v>
      </c>
      <c r="AJ430" s="10">
        <f>INDEX([1]ratio_ins!AG:AG,MATCH('001_population_health_zone_zs'!$B$2,[1]ratio_ins!$B:$B,0))*$G430*INDEX([1]ratio_ins!$D:$D,MATCH('001_population_health_zone_zs'!$B430,[1]ratio_ins!$B:$B,0))</f>
        <v>7005.5054399999999</v>
      </c>
      <c r="AK430" s="10">
        <f>INDEX([1]ratio_ins!AH:AH,MATCH('001_population_health_zone_zs'!$B$2,[1]ratio_ins!$B:$B,0))*$G430*INDEX([1]ratio_ins!$D:$D,MATCH('001_population_health_zone_zs'!$B430,[1]ratio_ins!$B:$B,0))</f>
        <v>15614.680800000002</v>
      </c>
      <c r="AL430" s="10">
        <f>INDEX([1]ratio_ins!AI:AI,MATCH('001_population_health_zone_zs'!$B$2,[1]ratio_ins!$B:$B,0))*$G430*INDEX([1]ratio_ins!$D:$D,MATCH('001_population_health_zone_zs'!$B430,[1]ratio_ins!$B:$B,0))</f>
        <v>14770.644000000002</v>
      </c>
      <c r="AM430" s="10">
        <f>INDEX([1]ratio_ins!AJ:AJ,MATCH('001_population_health_zone_zs'!$B$2,[1]ratio_ins!$B:$B,0))*$G430*INDEX([1]ratio_ins!$D:$D,MATCH('001_population_health_zone_zs'!$B430,[1]ratio_ins!$B:$B,0))</f>
        <v>13504.588800000001</v>
      </c>
      <c r="AN430" s="10">
        <f>INDEX([1]ratio_ins!AK:AK,MATCH('001_population_health_zone_zs'!$B$2,[1]ratio_ins!$B:$B,0))*$G430*INDEX([1]ratio_ins!$D:$D,MATCH('001_population_health_zone_zs'!$B430,[1]ratio_ins!$B:$B,0))</f>
        <v>12660.552</v>
      </c>
      <c r="AO430" s="10">
        <f>INDEX([1]ratio_ins!AL:AL,MATCH('001_population_health_zone_zs'!$B$2,[1]ratio_ins!$B:$B,0))*$G430*INDEX([1]ratio_ins!$D:$D,MATCH('001_population_health_zone_zs'!$B430,[1]ratio_ins!$B:$B,0))</f>
        <v>9495.4139999999989</v>
      </c>
      <c r="AP430" s="10">
        <f>INDEX([1]ratio_ins!AM:AM,MATCH('001_population_health_zone_zs'!$B$2,[1]ratio_ins!$B:$B,0))*$G430*INDEX([1]ratio_ins!$D:$D,MATCH('001_population_health_zone_zs'!$B430,[1]ratio_ins!$B:$B,0))</f>
        <v>6119.2667999999994</v>
      </c>
      <c r="AQ430" s="10">
        <f>INDEX([1]ratio_ins!AN:AN,MATCH('001_population_health_zone_zs'!$B$2,[1]ratio_ins!$B:$B,0))*$G430*INDEX([1]ratio_ins!$D:$D,MATCH('001_population_health_zone_zs'!$B430,[1]ratio_ins!$B:$B,0))</f>
        <v>4853.2115999999996</v>
      </c>
      <c r="AR430" s="10">
        <f>INDEX([1]ratio_ins!AO:AO,MATCH('001_population_health_zone_zs'!$B$2,[1]ratio_ins!$B:$B,0))*$G430*INDEX([1]ratio_ins!$D:$D,MATCH('001_population_health_zone_zs'!$B430,[1]ratio_ins!$B:$B,0))</f>
        <v>2321.1012000000005</v>
      </c>
      <c r="AS430" s="13">
        <f>INDEX([1]ratio_ins!AP:AP,MATCH('001_population_health_zone_zs'!$B$2,[1]ratio_ins!$B:$B,0))*$G430*INDEX([1]ratio_ins!$D:$D,MATCH('001_population_health_zone_zs'!$B430,[1]ratio_ins!$B:$B,0))</f>
        <v>86344.964640000006</v>
      </c>
      <c r="AT430" s="10">
        <f>INDEX([1]ratio_ins!AQ:AQ,MATCH('001_population_health_zone_zs'!$B$2,[1]ratio_ins!$B:$B,0))*$G430*INDEX([1]ratio_ins!$D:$D,MATCH('001_population_health_zone_zs'!$B430,[1]ratio_ins!$B:$B,0))</f>
        <v>2110.0919999999996</v>
      </c>
      <c r="AU430" s="10">
        <f>INDEX([1]ratio_ins!AR:AR,MATCH('001_population_health_zone_zs'!$B$2,[1]ratio_ins!$B:$B,0))*$G430*INDEX([1]ratio_ins!$D:$D,MATCH('001_population_health_zone_zs'!$B430,[1]ratio_ins!$B:$B,0))</f>
        <v>1266.0552</v>
      </c>
      <c r="AV430" s="10">
        <f>INDEX([1]ratio_ins!AS:AS,MATCH('001_population_health_zone_zs'!$B$2,[1]ratio_ins!$B:$B,0))*$G430*INDEX([1]ratio_ins!$D:$D,MATCH('001_population_health_zone_zs'!$B430,[1]ratio_ins!$B:$B,0))</f>
        <v>633.02760000000001</v>
      </c>
      <c r="AW430" s="10">
        <f>INDEX([1]ratio_ins!AT:AT,MATCH('001_population_health_zone_zs'!$B$2,[1]ratio_ins!$B:$B,0))*$G430*INDEX([1]ratio_ins!$D:$D,MATCH('001_population_health_zone_zs'!$B430,[1]ratio_ins!$B:$B,0))</f>
        <v>422.01840000000004</v>
      </c>
      <c r="AX430" s="13">
        <f>INDEX([1]ratio_ins!AU:AU,MATCH('001_population_health_zone_zs'!$B$2,[1]ratio_ins!$B:$B,0))*$G430*INDEX([1]ratio_ins!$D:$D,MATCH('001_population_health_zone_zs'!$B430,[1]ratio_ins!$B:$B,0))</f>
        <v>4431.1931999999997</v>
      </c>
      <c r="AY430" s="14">
        <f t="shared" si="37"/>
        <v>211009.2</v>
      </c>
      <c r="AZ430" s="15">
        <f t="shared" si="38"/>
        <v>417840</v>
      </c>
      <c r="BA430" s="16">
        <v>399790.09466964961</v>
      </c>
      <c r="BB430" s="10">
        <f t="shared" si="39"/>
        <v>89678.91</v>
      </c>
      <c r="BC430" s="17">
        <f t="shared" si="40"/>
        <v>0.21462500000000001</v>
      </c>
      <c r="BD430" s="10">
        <f t="shared" si="41"/>
        <v>86248.443599999999</v>
      </c>
    </row>
    <row r="431" spans="1:56" x14ac:dyDescent="0.25">
      <c r="A431" s="8" t="s">
        <v>1045</v>
      </c>
      <c r="B431" s="8" t="s">
        <v>1046</v>
      </c>
      <c r="C431" s="8" t="s">
        <v>1060</v>
      </c>
      <c r="D431" s="8" t="s">
        <v>1061</v>
      </c>
      <c r="E431" s="8" t="s">
        <v>1062</v>
      </c>
      <c r="F431" s="8" t="s">
        <v>1063</v>
      </c>
      <c r="G431" s="9">
        <v>196263</v>
      </c>
      <c r="H431" s="10">
        <f>INDEX([1]ratio_ins!F:F,MATCH('001_population_health_zone_zs'!$B$2,[1]ratio_ins!$B:$B,0))*$G431*INDEX([1]ratio_ins!$C:$C,MATCH('001_population_health_zone_zs'!$B431,[1]ratio_ins!$B:$B,0))</f>
        <v>20304.388664999999</v>
      </c>
      <c r="I431" s="10">
        <f>INDEX([1]ratio_ins!G:G,MATCH('001_population_health_zone_zs'!$B$2,[1]ratio_ins!$B:$B,0))*$G431*INDEX([1]ratio_ins!$C:$C,MATCH('001_population_health_zone_zs'!$B431,[1]ratio_ins!$B:$B,0))</f>
        <v>16612.681635000001</v>
      </c>
      <c r="J431" s="10">
        <f>INDEX([1]ratio_ins!H:H,MATCH('001_population_health_zone_zs'!$B$2,[1]ratio_ins!$B:$B,0))*$G431*INDEX([1]ratio_ins!$C:$C,MATCH('001_population_health_zone_zs'!$B431,[1]ratio_ins!$B:$B,0))</f>
        <v>13115.274975</v>
      </c>
      <c r="K431" s="10">
        <f>INDEX([1]ratio_ins!I:I,MATCH('001_population_health_zone_zs'!$B$2,[1]ratio_ins!$B:$B,0))*$G431*INDEX([1]ratio_ins!$C:$C,MATCH('001_population_health_zone_zs'!$B431,[1]ratio_ins!$B:$B,0))</f>
        <v>8063.4653550000003</v>
      </c>
      <c r="L431" s="10">
        <f>INDEX([1]ratio_ins!J:J,MATCH('001_population_health_zone_zs'!$B$2,[1]ratio_ins!$B:$B,0))*$G431*INDEX([1]ratio_ins!$C:$C,MATCH('001_population_health_zone_zs'!$B431,[1]ratio_ins!$B:$B,0))</f>
        <v>4838.079213</v>
      </c>
      <c r="M431" s="11">
        <f>INDEX([1]ratio_ins!K:K,MATCH('001_population_health_zone_zs'!$B$2,[1]ratio_ins!$B:$B,0))*$G431*INDEX([1]ratio_ins!$C:$C,MATCH('001_population_health_zone_zs'!$B431,[1]ratio_ins!$B:$B,0))</f>
        <v>54870.424487999997</v>
      </c>
      <c r="N431" s="10">
        <f>INDEX([1]ratio_ins!L:L,MATCH('001_population_health_zone_zs'!$B$2,[1]ratio_ins!$B:$B,0))*$G431*INDEX([1]ratio_ins!$C:$C,MATCH('001_population_health_zone_zs'!$B431,[1]ratio_ins!$B:$B,0))</f>
        <v>3225.3861419999998</v>
      </c>
      <c r="O431" s="10">
        <f>INDEX([1]ratio_ins!M:M,MATCH('001_population_health_zone_zs'!$B$2,[1]ratio_ins!$B:$B,0))*$G431*INDEX([1]ratio_ins!$C:$C,MATCH('001_population_health_zone_zs'!$B431,[1]ratio_ins!$B:$B,0))</f>
        <v>6994.8133200000011</v>
      </c>
      <c r="P431" s="10">
        <f>INDEX([1]ratio_ins!N:N,MATCH('001_population_health_zone_zs'!$B$2,[1]ratio_ins!$B:$B,0))*$G431*INDEX([1]ratio_ins!$C:$C,MATCH('001_population_health_zone_zs'!$B431,[1]ratio_ins!$B:$B,0))</f>
        <v>6314.7620250000009</v>
      </c>
      <c r="Q431" s="10">
        <f>INDEX([1]ratio_ins!O:O,MATCH('001_population_health_zone_zs'!$B$2,[1]ratio_ins!$B:$B,0))*$G431*INDEX([1]ratio_ins!$C:$C,MATCH('001_population_health_zone_zs'!$B431,[1]ratio_ins!$B:$B,0))</f>
        <v>5634.7107299999998</v>
      </c>
      <c r="R431" s="10">
        <f>INDEX([1]ratio_ins!P:P,MATCH('001_population_health_zone_zs'!$B$2,[1]ratio_ins!$B:$B,0))*$G431*INDEX([1]ratio_ins!$C:$C,MATCH('001_population_health_zone_zs'!$B431,[1]ratio_ins!$B:$B,0))</f>
        <v>5537.5605450000003</v>
      </c>
      <c r="S431" s="10">
        <f>INDEX([1]ratio_ins!Q:Q,MATCH('001_population_health_zone_zs'!$B$2,[1]ratio_ins!$B:$B,0))*$G431*INDEX([1]ratio_ins!$C:$C,MATCH('001_population_health_zone_zs'!$B431,[1]ratio_ins!$B:$B,0))</f>
        <v>4663.2088800000001</v>
      </c>
      <c r="T431" s="10">
        <f>INDEX([1]ratio_ins!R:R,MATCH('001_population_health_zone_zs'!$B$2,[1]ratio_ins!$B:$B,0))*$G431*INDEX([1]ratio_ins!$C:$C,MATCH('001_population_health_zone_zs'!$B431,[1]ratio_ins!$B:$B,0))</f>
        <v>3303.1062900000006</v>
      </c>
      <c r="U431" s="10">
        <f>INDEX([1]ratio_ins!S:S,MATCH('001_population_health_zone_zs'!$B$2,[1]ratio_ins!$B:$B,0))*$G431*INDEX([1]ratio_ins!$C:$C,MATCH('001_population_health_zone_zs'!$B431,[1]ratio_ins!$B:$B,0))</f>
        <v>2623.0549950000004</v>
      </c>
      <c r="V431" s="10">
        <f>INDEX([1]ratio_ins!T:T,MATCH('001_population_health_zone_zs'!$B$2,[1]ratio_ins!$B:$B,0))*$G431*INDEX([1]ratio_ins!$C:$C,MATCH('001_population_health_zone_zs'!$B431,[1]ratio_ins!$B:$B,0))</f>
        <v>1457.2527749999999</v>
      </c>
      <c r="W431" s="11">
        <f>INDEX([1]ratio_ins!U:U,MATCH('001_population_health_zone_zs'!$B$2,[1]ratio_ins!$B:$B,0))*$G431*INDEX([1]ratio_ins!$C:$C,MATCH('001_population_health_zone_zs'!$B431,[1]ratio_ins!$B:$B,0))</f>
        <v>39753.855702000001</v>
      </c>
      <c r="X431" s="10">
        <f>INDEX([1]ratio_ins!V:V,MATCH('001_population_health_zone_zs'!$B$2,[1]ratio_ins!$B:$B,0))*$G431*INDEX([1]ratio_ins!$C:$C,MATCH('001_population_health_zone_zs'!$B431,[1]ratio_ins!$B:$B,0))</f>
        <v>1165.80222</v>
      </c>
      <c r="Y431" s="10">
        <f>INDEX([1]ratio_ins!W:W,MATCH('001_population_health_zone_zs'!$B$2,[1]ratio_ins!$B:$B,0))*$G431*INDEX([1]ratio_ins!$C:$C,MATCH('001_population_health_zone_zs'!$B431,[1]ratio_ins!$B:$B,0))</f>
        <v>777.20148000000006</v>
      </c>
      <c r="Z431" s="10">
        <f>INDEX([1]ratio_ins!X:X,MATCH('001_population_health_zone_zs'!$B$2,[1]ratio_ins!$B:$B,0))*$G431*INDEX([1]ratio_ins!$C:$C,MATCH('001_population_health_zone_zs'!$B431,[1]ratio_ins!$B:$B,0))</f>
        <v>388.60074000000003</v>
      </c>
      <c r="AA431" s="10">
        <f>INDEX([1]ratio_ins!Y:Y,MATCH('001_population_health_zone_zs'!$B$2,[1]ratio_ins!$B:$B,0))*$G431*INDEX([1]ratio_ins!$C:$C,MATCH('001_population_health_zone_zs'!$B431,[1]ratio_ins!$B:$B,0))</f>
        <v>194.30037000000002</v>
      </c>
      <c r="AB431" s="11">
        <f>INDEX([1]ratio_ins!Z:Z,MATCH('001_population_health_zone_zs'!$B$2,[1]ratio_ins!$B:$B,0))*$G431*INDEX([1]ratio_ins!$C:$C,MATCH('001_population_health_zone_zs'!$B431,[1]ratio_ins!$B:$B,0))</f>
        <v>2525.9048100000005</v>
      </c>
      <c r="AC431" s="12">
        <f t="shared" si="36"/>
        <v>97150.184999999998</v>
      </c>
      <c r="AD431" s="10">
        <f>INDEX([1]ratio_ins!AA:AA,MATCH('001_population_health_zone_zs'!$B$2,[1]ratio_ins!$B:$B,0))*$G431*INDEX([1]ratio_ins!$D:$D,MATCH('001_population_health_zone_zs'!$B431,[1]ratio_ins!$B:$B,0))</f>
        <v>20813.691149999999</v>
      </c>
      <c r="AE431" s="10">
        <f>INDEX([1]ratio_ins!AB:AB,MATCH('001_population_health_zone_zs'!$B$2,[1]ratio_ins!$B:$B,0))*$G431*INDEX([1]ratio_ins!$D:$D,MATCH('001_population_health_zone_zs'!$B431,[1]ratio_ins!$B:$B,0))</f>
        <v>17146.516995000002</v>
      </c>
      <c r="AF431" s="10">
        <f>INDEX([1]ratio_ins!AC:AC,MATCH('001_population_health_zone_zs'!$B$2,[1]ratio_ins!$B:$B,0))*$G431*INDEX([1]ratio_ins!$D:$D,MATCH('001_population_health_zone_zs'!$B431,[1]ratio_ins!$B:$B,0))</f>
        <v>13578.455654999998</v>
      </c>
      <c r="AG431" s="10">
        <f>INDEX([1]ratio_ins!AD:AD,MATCH('001_population_health_zone_zs'!$B$2,[1]ratio_ins!$B:$B,0))*$G431*INDEX([1]ratio_ins!$D:$D,MATCH('001_population_health_zone_zs'!$B431,[1]ratio_ins!$B:$B,0))</f>
        <v>8226.3636450000013</v>
      </c>
      <c r="AH431" s="10">
        <f>INDEX([1]ratio_ins!AE:AE,MATCH('001_population_health_zone_zs'!$B$2,[1]ratio_ins!$B:$B,0))*$G431*INDEX([1]ratio_ins!$D:$D,MATCH('001_population_health_zone_zs'!$B431,[1]ratio_ins!$B:$B,0))</f>
        <v>4935.8181869999999</v>
      </c>
      <c r="AI431" s="13">
        <f>INDEX([1]ratio_ins!AF:AF,MATCH('001_population_health_zone_zs'!$B$2,[1]ratio_ins!$B:$B,0))*$G431*INDEX([1]ratio_ins!$D:$D,MATCH('001_population_health_zone_zs'!$B431,[1]ratio_ins!$B:$B,0))</f>
        <v>56474.481986999999</v>
      </c>
      <c r="AJ431" s="10">
        <f>INDEX([1]ratio_ins!AG:AG,MATCH('001_population_health_zone_zs'!$B$2,[1]ratio_ins!$B:$B,0))*$G431*INDEX([1]ratio_ins!$D:$D,MATCH('001_population_health_zone_zs'!$B431,[1]ratio_ins!$B:$B,0))</f>
        <v>3290.5454580000001</v>
      </c>
      <c r="AK431" s="10">
        <f>INDEX([1]ratio_ins!AH:AH,MATCH('001_population_health_zone_zs'!$B$2,[1]ratio_ins!$B:$B,0))*$G431*INDEX([1]ratio_ins!$D:$D,MATCH('001_population_health_zone_zs'!$B431,[1]ratio_ins!$B:$B,0))</f>
        <v>7334.3483100000003</v>
      </c>
      <c r="AL431" s="10">
        <f>INDEX([1]ratio_ins!AI:AI,MATCH('001_population_health_zone_zs'!$B$2,[1]ratio_ins!$B:$B,0))*$G431*INDEX([1]ratio_ins!$D:$D,MATCH('001_population_health_zone_zs'!$B431,[1]ratio_ins!$B:$B,0))</f>
        <v>6937.8970500000005</v>
      </c>
      <c r="AM431" s="10">
        <f>INDEX([1]ratio_ins!AJ:AJ,MATCH('001_population_health_zone_zs'!$B$2,[1]ratio_ins!$B:$B,0))*$G431*INDEX([1]ratio_ins!$D:$D,MATCH('001_population_health_zone_zs'!$B431,[1]ratio_ins!$B:$B,0))</f>
        <v>6343.2201599999999</v>
      </c>
      <c r="AN431" s="10">
        <f>INDEX([1]ratio_ins!AK:AK,MATCH('001_population_health_zone_zs'!$B$2,[1]ratio_ins!$B:$B,0))*$G431*INDEX([1]ratio_ins!$D:$D,MATCH('001_population_health_zone_zs'!$B431,[1]ratio_ins!$B:$B,0))</f>
        <v>5946.7688999999991</v>
      </c>
      <c r="AO431" s="10">
        <f>INDEX([1]ratio_ins!AL:AL,MATCH('001_population_health_zone_zs'!$B$2,[1]ratio_ins!$B:$B,0))*$G431*INDEX([1]ratio_ins!$D:$D,MATCH('001_population_health_zone_zs'!$B431,[1]ratio_ins!$B:$B,0))</f>
        <v>4460.0766749999993</v>
      </c>
      <c r="AP431" s="10">
        <f>INDEX([1]ratio_ins!AM:AM,MATCH('001_population_health_zone_zs'!$B$2,[1]ratio_ins!$B:$B,0))*$G431*INDEX([1]ratio_ins!$D:$D,MATCH('001_population_health_zone_zs'!$B431,[1]ratio_ins!$B:$B,0))</f>
        <v>2874.2716349999996</v>
      </c>
      <c r="AQ431" s="10">
        <f>INDEX([1]ratio_ins!AN:AN,MATCH('001_population_health_zone_zs'!$B$2,[1]ratio_ins!$B:$B,0))*$G431*INDEX([1]ratio_ins!$D:$D,MATCH('001_population_health_zone_zs'!$B431,[1]ratio_ins!$B:$B,0))</f>
        <v>2279.5947449999999</v>
      </c>
      <c r="AR431" s="10">
        <f>INDEX([1]ratio_ins!AO:AO,MATCH('001_population_health_zone_zs'!$B$2,[1]ratio_ins!$B:$B,0))*$G431*INDEX([1]ratio_ins!$D:$D,MATCH('001_population_health_zone_zs'!$B431,[1]ratio_ins!$B:$B,0))</f>
        <v>1090.240965</v>
      </c>
      <c r="AS431" s="13">
        <f>INDEX([1]ratio_ins!AP:AP,MATCH('001_population_health_zone_zs'!$B$2,[1]ratio_ins!$B:$B,0))*$G431*INDEX([1]ratio_ins!$D:$D,MATCH('001_population_health_zone_zs'!$B431,[1]ratio_ins!$B:$B,0))</f>
        <v>40556.963898000002</v>
      </c>
      <c r="AT431" s="10">
        <f>INDEX([1]ratio_ins!AQ:AQ,MATCH('001_population_health_zone_zs'!$B$2,[1]ratio_ins!$B:$B,0))*$G431*INDEX([1]ratio_ins!$D:$D,MATCH('001_population_health_zone_zs'!$B431,[1]ratio_ins!$B:$B,0))</f>
        <v>991.12815000000012</v>
      </c>
      <c r="AU431" s="10">
        <f>INDEX([1]ratio_ins!AR:AR,MATCH('001_population_health_zone_zs'!$B$2,[1]ratio_ins!$B:$B,0))*$G431*INDEX([1]ratio_ins!$D:$D,MATCH('001_population_health_zone_zs'!$B431,[1]ratio_ins!$B:$B,0))</f>
        <v>594.67688999999996</v>
      </c>
      <c r="AV431" s="10">
        <f>INDEX([1]ratio_ins!AS:AS,MATCH('001_population_health_zone_zs'!$B$2,[1]ratio_ins!$B:$B,0))*$G431*INDEX([1]ratio_ins!$D:$D,MATCH('001_population_health_zone_zs'!$B431,[1]ratio_ins!$B:$B,0))</f>
        <v>297.33844499999998</v>
      </c>
      <c r="AW431" s="10">
        <f>INDEX([1]ratio_ins!AT:AT,MATCH('001_population_health_zone_zs'!$B$2,[1]ratio_ins!$B:$B,0))*$G431*INDEX([1]ratio_ins!$D:$D,MATCH('001_population_health_zone_zs'!$B431,[1]ratio_ins!$B:$B,0))</f>
        <v>198.22563</v>
      </c>
      <c r="AX431" s="13">
        <f>INDEX([1]ratio_ins!AU:AU,MATCH('001_population_health_zone_zs'!$B$2,[1]ratio_ins!$B:$B,0))*$G431*INDEX([1]ratio_ins!$D:$D,MATCH('001_population_health_zone_zs'!$B431,[1]ratio_ins!$B:$B,0))</f>
        <v>2081.3691149999995</v>
      </c>
      <c r="AY431" s="14">
        <f t="shared" si="37"/>
        <v>99112.814999999988</v>
      </c>
      <c r="AZ431" s="15">
        <f t="shared" si="38"/>
        <v>196263</v>
      </c>
      <c r="BA431" s="16">
        <v>187784.95632088595</v>
      </c>
      <c r="BB431" s="10">
        <f t="shared" si="39"/>
        <v>42122.946374999992</v>
      </c>
      <c r="BC431" s="17">
        <f t="shared" si="40"/>
        <v>0.21462499999999995</v>
      </c>
      <c r="BD431" s="10">
        <f t="shared" si="41"/>
        <v>40511.627145000006</v>
      </c>
    </row>
    <row r="432" spans="1:56" x14ac:dyDescent="0.25">
      <c r="A432" s="8" t="s">
        <v>1045</v>
      </c>
      <c r="B432" s="8" t="s">
        <v>1046</v>
      </c>
      <c r="C432" s="8" t="s">
        <v>1060</v>
      </c>
      <c r="D432" s="8" t="s">
        <v>1061</v>
      </c>
      <c r="E432" s="8" t="s">
        <v>1064</v>
      </c>
      <c r="F432" s="8" t="s">
        <v>1065</v>
      </c>
      <c r="G432" s="9">
        <v>230401</v>
      </c>
      <c r="H432" s="10">
        <f>INDEX([1]ratio_ins!F:F,MATCH('001_population_health_zone_zs'!$B$2,[1]ratio_ins!$B:$B,0))*$G432*INDEX([1]ratio_ins!$C:$C,MATCH('001_population_health_zone_zs'!$B432,[1]ratio_ins!$B:$B,0))</f>
        <v>23836.135455</v>
      </c>
      <c r="I432" s="10">
        <f>INDEX([1]ratio_ins!G:G,MATCH('001_population_health_zone_zs'!$B$2,[1]ratio_ins!$B:$B,0))*$G432*INDEX([1]ratio_ins!$C:$C,MATCH('001_population_health_zone_zs'!$B432,[1]ratio_ins!$B:$B,0))</f>
        <v>19502.292645000001</v>
      </c>
      <c r="J432" s="10">
        <f>INDEX([1]ratio_ins!H:H,MATCH('001_population_health_zone_zs'!$B$2,[1]ratio_ins!$B:$B,0))*$G432*INDEX([1]ratio_ins!$C:$C,MATCH('001_population_health_zone_zs'!$B432,[1]ratio_ins!$B:$B,0))</f>
        <v>15396.546825000001</v>
      </c>
      <c r="K432" s="10">
        <f>INDEX([1]ratio_ins!I:I,MATCH('001_population_health_zone_zs'!$B$2,[1]ratio_ins!$B:$B,0))*$G432*INDEX([1]ratio_ins!$C:$C,MATCH('001_population_health_zone_zs'!$B432,[1]ratio_ins!$B:$B,0))</f>
        <v>9466.0250849999993</v>
      </c>
      <c r="L432" s="10">
        <f>INDEX([1]ratio_ins!J:J,MATCH('001_population_health_zone_zs'!$B$2,[1]ratio_ins!$B:$B,0))*$G432*INDEX([1]ratio_ins!$C:$C,MATCH('001_population_health_zone_zs'!$B432,[1]ratio_ins!$B:$B,0))</f>
        <v>5679.6150509999998</v>
      </c>
      <c r="M432" s="11">
        <f>INDEX([1]ratio_ins!K:K,MATCH('001_population_health_zone_zs'!$B$2,[1]ratio_ins!$B:$B,0))*$G432*INDEX([1]ratio_ins!$C:$C,MATCH('001_population_health_zone_zs'!$B432,[1]ratio_ins!$B:$B,0))</f>
        <v>64414.589975999996</v>
      </c>
      <c r="N432" s="10">
        <f>INDEX([1]ratio_ins!L:L,MATCH('001_population_health_zone_zs'!$B$2,[1]ratio_ins!$B:$B,0))*$G432*INDEX([1]ratio_ins!$C:$C,MATCH('001_population_health_zone_zs'!$B432,[1]ratio_ins!$B:$B,0))</f>
        <v>3786.410034</v>
      </c>
      <c r="O432" s="10">
        <f>INDEX([1]ratio_ins!M:M,MATCH('001_population_health_zone_zs'!$B$2,[1]ratio_ins!$B:$B,0))*$G432*INDEX([1]ratio_ins!$C:$C,MATCH('001_population_health_zone_zs'!$B432,[1]ratio_ins!$B:$B,0))</f>
        <v>8211.491640000002</v>
      </c>
      <c r="P432" s="10">
        <f>INDEX([1]ratio_ins!N:N,MATCH('001_population_health_zone_zs'!$B$2,[1]ratio_ins!$B:$B,0))*$G432*INDEX([1]ratio_ins!$C:$C,MATCH('001_population_health_zone_zs'!$B432,[1]ratio_ins!$B:$B,0))</f>
        <v>7413.1521750000002</v>
      </c>
      <c r="Q432" s="10">
        <f>INDEX([1]ratio_ins!O:O,MATCH('001_population_health_zone_zs'!$B$2,[1]ratio_ins!$B:$B,0))*$G432*INDEX([1]ratio_ins!$C:$C,MATCH('001_population_health_zone_zs'!$B432,[1]ratio_ins!$B:$B,0))</f>
        <v>6614.8127100000002</v>
      </c>
      <c r="R432" s="10">
        <f>INDEX([1]ratio_ins!P:P,MATCH('001_population_health_zone_zs'!$B$2,[1]ratio_ins!$B:$B,0))*$G432*INDEX([1]ratio_ins!$C:$C,MATCH('001_population_health_zone_zs'!$B432,[1]ratio_ins!$B:$B,0))</f>
        <v>6500.7642150000001</v>
      </c>
      <c r="S432" s="10">
        <f>INDEX([1]ratio_ins!Q:Q,MATCH('001_population_health_zone_zs'!$B$2,[1]ratio_ins!$B:$B,0))*$G432*INDEX([1]ratio_ins!$C:$C,MATCH('001_population_health_zone_zs'!$B432,[1]ratio_ins!$B:$B,0))</f>
        <v>5474.3277600000001</v>
      </c>
      <c r="T432" s="10">
        <f>INDEX([1]ratio_ins!R:R,MATCH('001_population_health_zone_zs'!$B$2,[1]ratio_ins!$B:$B,0))*$G432*INDEX([1]ratio_ins!$C:$C,MATCH('001_population_health_zone_zs'!$B432,[1]ratio_ins!$B:$B,0))</f>
        <v>3877.6488300000005</v>
      </c>
      <c r="U432" s="10">
        <f>INDEX([1]ratio_ins!S:S,MATCH('001_population_health_zone_zs'!$B$2,[1]ratio_ins!$B:$B,0))*$G432*INDEX([1]ratio_ins!$C:$C,MATCH('001_population_health_zone_zs'!$B432,[1]ratio_ins!$B:$B,0))</f>
        <v>3079.3093650000005</v>
      </c>
      <c r="V432" s="10">
        <f>INDEX([1]ratio_ins!T:T,MATCH('001_population_health_zone_zs'!$B$2,[1]ratio_ins!$B:$B,0))*$G432*INDEX([1]ratio_ins!$C:$C,MATCH('001_population_health_zone_zs'!$B432,[1]ratio_ins!$B:$B,0))</f>
        <v>1710.7274249999998</v>
      </c>
      <c r="W432" s="11">
        <f>INDEX([1]ratio_ins!U:U,MATCH('001_population_health_zone_zs'!$B$2,[1]ratio_ins!$B:$B,0))*$G432*INDEX([1]ratio_ins!$C:$C,MATCH('001_population_health_zone_zs'!$B432,[1]ratio_ins!$B:$B,0))</f>
        <v>46668.644154000001</v>
      </c>
      <c r="X432" s="10">
        <f>INDEX([1]ratio_ins!V:V,MATCH('001_population_health_zone_zs'!$B$2,[1]ratio_ins!$B:$B,0))*$G432*INDEX([1]ratio_ins!$C:$C,MATCH('001_population_health_zone_zs'!$B432,[1]ratio_ins!$B:$B,0))</f>
        <v>1368.58194</v>
      </c>
      <c r="Y432" s="10">
        <f>INDEX([1]ratio_ins!W:W,MATCH('001_population_health_zone_zs'!$B$2,[1]ratio_ins!$B:$B,0))*$G432*INDEX([1]ratio_ins!$C:$C,MATCH('001_population_health_zone_zs'!$B432,[1]ratio_ins!$B:$B,0))</f>
        <v>912.38796000000002</v>
      </c>
      <c r="Z432" s="10">
        <f>INDEX([1]ratio_ins!X:X,MATCH('001_population_health_zone_zs'!$B$2,[1]ratio_ins!$B:$B,0))*$G432*INDEX([1]ratio_ins!$C:$C,MATCH('001_population_health_zone_zs'!$B432,[1]ratio_ins!$B:$B,0))</f>
        <v>456.19398000000001</v>
      </c>
      <c r="AA432" s="10">
        <f>INDEX([1]ratio_ins!Y:Y,MATCH('001_population_health_zone_zs'!$B$2,[1]ratio_ins!$B:$B,0))*$G432*INDEX([1]ratio_ins!$C:$C,MATCH('001_population_health_zone_zs'!$B432,[1]ratio_ins!$B:$B,0))</f>
        <v>228.09699000000001</v>
      </c>
      <c r="AB432" s="11">
        <f>INDEX([1]ratio_ins!Z:Z,MATCH('001_population_health_zone_zs'!$B$2,[1]ratio_ins!$B:$B,0))*$G432*INDEX([1]ratio_ins!$C:$C,MATCH('001_population_health_zone_zs'!$B432,[1]ratio_ins!$B:$B,0))</f>
        <v>2965.2608700000001</v>
      </c>
      <c r="AC432" s="12">
        <f t="shared" si="36"/>
        <v>114048.495</v>
      </c>
      <c r="AD432" s="10">
        <f>INDEX([1]ratio_ins!AA:AA,MATCH('001_population_health_zone_zs'!$B$2,[1]ratio_ins!$B:$B,0))*$G432*INDEX([1]ratio_ins!$D:$D,MATCH('001_population_health_zone_zs'!$B432,[1]ratio_ins!$B:$B,0))</f>
        <v>24434.02605</v>
      </c>
      <c r="AE432" s="10">
        <f>INDEX([1]ratio_ins!AB:AB,MATCH('001_population_health_zone_zs'!$B$2,[1]ratio_ins!$B:$B,0))*$G432*INDEX([1]ratio_ins!$D:$D,MATCH('001_population_health_zone_zs'!$B432,[1]ratio_ins!$B:$B,0))</f>
        <v>20128.983365000004</v>
      </c>
      <c r="AF432" s="10">
        <f>INDEX([1]ratio_ins!AC:AC,MATCH('001_population_health_zone_zs'!$B$2,[1]ratio_ins!$B:$B,0))*$G432*INDEX([1]ratio_ins!$D:$D,MATCH('001_population_health_zone_zs'!$B432,[1]ratio_ins!$B:$B,0))</f>
        <v>15940.293184999997</v>
      </c>
      <c r="AG432" s="10">
        <f>INDEX([1]ratio_ins!AD:AD,MATCH('001_population_health_zone_zs'!$B$2,[1]ratio_ins!$B:$B,0))*$G432*INDEX([1]ratio_ins!$D:$D,MATCH('001_population_health_zone_zs'!$B432,[1]ratio_ins!$B:$B,0))</f>
        <v>9657.2579150000001</v>
      </c>
      <c r="AH432" s="10">
        <f>INDEX([1]ratio_ins!AE:AE,MATCH('001_population_health_zone_zs'!$B$2,[1]ratio_ins!$B:$B,0))*$G432*INDEX([1]ratio_ins!$D:$D,MATCH('001_population_health_zone_zs'!$B432,[1]ratio_ins!$B:$B,0))</f>
        <v>5794.3547489999992</v>
      </c>
      <c r="AI432" s="13">
        <f>INDEX([1]ratio_ins!AF:AF,MATCH('001_population_health_zone_zs'!$B$2,[1]ratio_ins!$B:$B,0))*$G432*INDEX([1]ratio_ins!$D:$D,MATCH('001_population_health_zone_zs'!$B432,[1]ratio_ins!$B:$B,0))</f>
        <v>66297.657348999986</v>
      </c>
      <c r="AJ432" s="10">
        <f>INDEX([1]ratio_ins!AG:AG,MATCH('001_population_health_zone_zs'!$B$2,[1]ratio_ins!$B:$B,0))*$G432*INDEX([1]ratio_ins!$D:$D,MATCH('001_population_health_zone_zs'!$B432,[1]ratio_ins!$B:$B,0))</f>
        <v>3862.9031660000005</v>
      </c>
      <c r="AK432" s="10">
        <f>INDEX([1]ratio_ins!AH:AH,MATCH('001_population_health_zone_zs'!$B$2,[1]ratio_ins!$B:$B,0))*$G432*INDEX([1]ratio_ins!$D:$D,MATCH('001_population_health_zone_zs'!$B432,[1]ratio_ins!$B:$B,0))</f>
        <v>8610.0853700000007</v>
      </c>
      <c r="AL432" s="10">
        <f>INDEX([1]ratio_ins!AI:AI,MATCH('001_population_health_zone_zs'!$B$2,[1]ratio_ins!$B:$B,0))*$G432*INDEX([1]ratio_ins!$D:$D,MATCH('001_population_health_zone_zs'!$B432,[1]ratio_ins!$B:$B,0))</f>
        <v>8144.6753500000004</v>
      </c>
      <c r="AM432" s="10">
        <f>INDEX([1]ratio_ins!AJ:AJ,MATCH('001_population_health_zone_zs'!$B$2,[1]ratio_ins!$B:$B,0))*$G432*INDEX([1]ratio_ins!$D:$D,MATCH('001_population_health_zone_zs'!$B432,[1]ratio_ins!$B:$B,0))</f>
        <v>7446.5603200000005</v>
      </c>
      <c r="AN432" s="10">
        <f>INDEX([1]ratio_ins!AK:AK,MATCH('001_population_health_zone_zs'!$B$2,[1]ratio_ins!$B:$B,0))*$G432*INDEX([1]ratio_ins!$D:$D,MATCH('001_population_health_zone_zs'!$B432,[1]ratio_ins!$B:$B,0))</f>
        <v>6981.1503000000002</v>
      </c>
      <c r="AO432" s="10">
        <f>INDEX([1]ratio_ins!AL:AL,MATCH('001_population_health_zone_zs'!$B$2,[1]ratio_ins!$B:$B,0))*$G432*INDEX([1]ratio_ins!$D:$D,MATCH('001_population_health_zone_zs'!$B432,[1]ratio_ins!$B:$B,0))</f>
        <v>5235.862725</v>
      </c>
      <c r="AP432" s="10">
        <f>INDEX([1]ratio_ins!AM:AM,MATCH('001_population_health_zone_zs'!$B$2,[1]ratio_ins!$B:$B,0))*$G432*INDEX([1]ratio_ins!$D:$D,MATCH('001_population_health_zone_zs'!$B432,[1]ratio_ins!$B:$B,0))</f>
        <v>3374.2226449999998</v>
      </c>
      <c r="AQ432" s="10">
        <f>INDEX([1]ratio_ins!AN:AN,MATCH('001_population_health_zone_zs'!$B$2,[1]ratio_ins!$B:$B,0))*$G432*INDEX([1]ratio_ins!$D:$D,MATCH('001_population_health_zone_zs'!$B432,[1]ratio_ins!$B:$B,0))</f>
        <v>2676.1076149999999</v>
      </c>
      <c r="AR432" s="10">
        <f>INDEX([1]ratio_ins!AO:AO,MATCH('001_population_health_zone_zs'!$B$2,[1]ratio_ins!$B:$B,0))*$G432*INDEX([1]ratio_ins!$D:$D,MATCH('001_population_health_zone_zs'!$B432,[1]ratio_ins!$B:$B,0))</f>
        <v>1279.877555</v>
      </c>
      <c r="AS432" s="13">
        <f>INDEX([1]ratio_ins!AP:AP,MATCH('001_population_health_zone_zs'!$B$2,[1]ratio_ins!$B:$B,0))*$G432*INDEX([1]ratio_ins!$D:$D,MATCH('001_population_health_zone_zs'!$B432,[1]ratio_ins!$B:$B,0))</f>
        <v>47611.445046000001</v>
      </c>
      <c r="AT432" s="10">
        <f>INDEX([1]ratio_ins!AQ:AQ,MATCH('001_population_health_zone_zs'!$B$2,[1]ratio_ins!$B:$B,0))*$G432*INDEX([1]ratio_ins!$D:$D,MATCH('001_population_health_zone_zs'!$B432,[1]ratio_ins!$B:$B,0))</f>
        <v>1163.5250500000002</v>
      </c>
      <c r="AU432" s="10">
        <f>INDEX([1]ratio_ins!AR:AR,MATCH('001_population_health_zone_zs'!$B$2,[1]ratio_ins!$B:$B,0))*$G432*INDEX([1]ratio_ins!$D:$D,MATCH('001_population_health_zone_zs'!$B432,[1]ratio_ins!$B:$B,0))</f>
        <v>698.11502999999993</v>
      </c>
      <c r="AV432" s="10">
        <f>INDEX([1]ratio_ins!AS:AS,MATCH('001_population_health_zone_zs'!$B$2,[1]ratio_ins!$B:$B,0))*$G432*INDEX([1]ratio_ins!$D:$D,MATCH('001_population_health_zone_zs'!$B432,[1]ratio_ins!$B:$B,0))</f>
        <v>349.05751499999997</v>
      </c>
      <c r="AW432" s="10">
        <f>INDEX([1]ratio_ins!AT:AT,MATCH('001_population_health_zone_zs'!$B$2,[1]ratio_ins!$B:$B,0))*$G432*INDEX([1]ratio_ins!$D:$D,MATCH('001_population_health_zone_zs'!$B432,[1]ratio_ins!$B:$B,0))</f>
        <v>232.70501000000002</v>
      </c>
      <c r="AX432" s="13">
        <f>INDEX([1]ratio_ins!AU:AU,MATCH('001_population_health_zone_zs'!$B$2,[1]ratio_ins!$B:$B,0))*$G432*INDEX([1]ratio_ins!$D:$D,MATCH('001_population_health_zone_zs'!$B432,[1]ratio_ins!$B:$B,0))</f>
        <v>2443.4026049999998</v>
      </c>
      <c r="AY432" s="14">
        <f t="shared" si="37"/>
        <v>116352.50499999999</v>
      </c>
      <c r="AZ432" s="15">
        <f t="shared" si="38"/>
        <v>230401</v>
      </c>
      <c r="BA432" s="16">
        <v>220448.20470717482</v>
      </c>
      <c r="BB432" s="10">
        <f t="shared" si="39"/>
        <v>49449.814625000006</v>
      </c>
      <c r="BC432" s="17">
        <f t="shared" si="40"/>
        <v>0.21462500000000004</v>
      </c>
      <c r="BD432" s="10">
        <f t="shared" si="41"/>
        <v>47558.222415000004</v>
      </c>
    </row>
    <row r="433" spans="1:56" x14ac:dyDescent="0.25">
      <c r="A433" s="8" t="s">
        <v>1045</v>
      </c>
      <c r="B433" s="8" t="s">
        <v>1046</v>
      </c>
      <c r="C433" s="8" t="s">
        <v>1060</v>
      </c>
      <c r="D433" s="8" t="s">
        <v>1061</v>
      </c>
      <c r="E433" s="8" t="s">
        <v>1066</v>
      </c>
      <c r="F433" s="8" t="s">
        <v>1067</v>
      </c>
      <c r="G433" s="9">
        <v>286296</v>
      </c>
      <c r="H433" s="10">
        <f>INDEX([1]ratio_ins!F:F,MATCH('001_population_health_zone_zs'!$B$2,[1]ratio_ins!$B:$B,0))*$G433*INDEX([1]ratio_ins!$C:$C,MATCH('001_population_health_zone_zs'!$B433,[1]ratio_ins!$B:$B,0))</f>
        <v>29618.752679999998</v>
      </c>
      <c r="I433" s="10">
        <f>INDEX([1]ratio_ins!G:G,MATCH('001_population_health_zone_zs'!$B$2,[1]ratio_ins!$B:$B,0))*$G433*INDEX([1]ratio_ins!$C:$C,MATCH('001_population_health_zone_zs'!$B433,[1]ratio_ins!$B:$B,0))</f>
        <v>24233.52492</v>
      </c>
      <c r="J433" s="10">
        <f>INDEX([1]ratio_ins!H:H,MATCH('001_population_health_zone_zs'!$B$2,[1]ratio_ins!$B:$B,0))*$G433*INDEX([1]ratio_ins!$C:$C,MATCH('001_population_health_zone_zs'!$B433,[1]ratio_ins!$B:$B,0))</f>
        <v>19131.730199999998</v>
      </c>
      <c r="K433" s="10">
        <f>INDEX([1]ratio_ins!I:I,MATCH('001_population_health_zone_zs'!$B$2,[1]ratio_ins!$B:$B,0))*$G433*INDEX([1]ratio_ins!$C:$C,MATCH('001_population_health_zone_zs'!$B433,[1]ratio_ins!$B:$B,0))</f>
        <v>11762.471160000001</v>
      </c>
      <c r="L433" s="10">
        <f>INDEX([1]ratio_ins!J:J,MATCH('001_population_health_zone_zs'!$B$2,[1]ratio_ins!$B:$B,0))*$G433*INDEX([1]ratio_ins!$C:$C,MATCH('001_population_health_zone_zs'!$B433,[1]ratio_ins!$B:$B,0))</f>
        <v>7057.4826959999991</v>
      </c>
      <c r="M433" s="11">
        <f>INDEX([1]ratio_ins!K:K,MATCH('001_population_health_zone_zs'!$B$2,[1]ratio_ins!$B:$B,0))*$G433*INDEX([1]ratio_ins!$C:$C,MATCH('001_population_health_zone_zs'!$B433,[1]ratio_ins!$B:$B,0))</f>
        <v>80041.490495999999</v>
      </c>
      <c r="N433" s="10">
        <f>INDEX([1]ratio_ins!L:L,MATCH('001_population_health_zone_zs'!$B$2,[1]ratio_ins!$B:$B,0))*$G433*INDEX([1]ratio_ins!$C:$C,MATCH('001_population_health_zone_zs'!$B433,[1]ratio_ins!$B:$B,0))</f>
        <v>4704.988464</v>
      </c>
      <c r="O433" s="10">
        <f>INDEX([1]ratio_ins!M:M,MATCH('001_population_health_zone_zs'!$B$2,[1]ratio_ins!$B:$B,0))*$G433*INDEX([1]ratio_ins!$C:$C,MATCH('001_population_health_zone_zs'!$B433,[1]ratio_ins!$B:$B,0))</f>
        <v>10203.589440000002</v>
      </c>
      <c r="P433" s="10">
        <f>INDEX([1]ratio_ins!N:N,MATCH('001_population_health_zone_zs'!$B$2,[1]ratio_ins!$B:$B,0))*$G433*INDEX([1]ratio_ins!$C:$C,MATCH('001_population_health_zone_zs'!$B433,[1]ratio_ins!$B:$B,0))</f>
        <v>9211.5738000000001</v>
      </c>
      <c r="Q433" s="10">
        <f>INDEX([1]ratio_ins!O:O,MATCH('001_population_health_zone_zs'!$B$2,[1]ratio_ins!$B:$B,0))*$G433*INDEX([1]ratio_ins!$C:$C,MATCH('001_population_health_zone_zs'!$B433,[1]ratio_ins!$B:$B,0))</f>
        <v>8219.5581599999987</v>
      </c>
      <c r="R433" s="10">
        <f>INDEX([1]ratio_ins!P:P,MATCH('001_population_health_zone_zs'!$B$2,[1]ratio_ins!$B:$B,0))*$G433*INDEX([1]ratio_ins!$C:$C,MATCH('001_population_health_zone_zs'!$B433,[1]ratio_ins!$B:$B,0))</f>
        <v>8077.8416400000006</v>
      </c>
      <c r="S433" s="10">
        <f>INDEX([1]ratio_ins!Q:Q,MATCH('001_population_health_zone_zs'!$B$2,[1]ratio_ins!$B:$B,0))*$G433*INDEX([1]ratio_ins!$C:$C,MATCH('001_population_health_zone_zs'!$B433,[1]ratio_ins!$B:$B,0))</f>
        <v>6802.3929600000001</v>
      </c>
      <c r="T433" s="10">
        <f>INDEX([1]ratio_ins!R:R,MATCH('001_population_health_zone_zs'!$B$2,[1]ratio_ins!$B:$B,0))*$G433*INDEX([1]ratio_ins!$C:$C,MATCH('001_population_health_zone_zs'!$B433,[1]ratio_ins!$B:$B,0))</f>
        <v>4818.36168</v>
      </c>
      <c r="U433" s="10">
        <f>INDEX([1]ratio_ins!S:S,MATCH('001_population_health_zone_zs'!$B$2,[1]ratio_ins!$B:$B,0))*$G433*INDEX([1]ratio_ins!$C:$C,MATCH('001_population_health_zone_zs'!$B433,[1]ratio_ins!$B:$B,0))</f>
        <v>3826.3460400000004</v>
      </c>
      <c r="V433" s="10">
        <f>INDEX([1]ratio_ins!T:T,MATCH('001_population_health_zone_zs'!$B$2,[1]ratio_ins!$B:$B,0))*$G433*INDEX([1]ratio_ins!$C:$C,MATCH('001_population_health_zone_zs'!$B433,[1]ratio_ins!$B:$B,0))</f>
        <v>2125.7477999999996</v>
      </c>
      <c r="W433" s="11">
        <f>INDEX([1]ratio_ins!U:U,MATCH('001_population_health_zone_zs'!$B$2,[1]ratio_ins!$B:$B,0))*$G433*INDEX([1]ratio_ins!$C:$C,MATCH('001_population_health_zone_zs'!$B433,[1]ratio_ins!$B:$B,0))</f>
        <v>57990.399983999996</v>
      </c>
      <c r="X433" s="10">
        <f>INDEX([1]ratio_ins!V:V,MATCH('001_population_health_zone_zs'!$B$2,[1]ratio_ins!$B:$B,0))*$G433*INDEX([1]ratio_ins!$C:$C,MATCH('001_population_health_zone_zs'!$B433,[1]ratio_ins!$B:$B,0))</f>
        <v>1700.59824</v>
      </c>
      <c r="Y433" s="10">
        <f>INDEX([1]ratio_ins!W:W,MATCH('001_population_health_zone_zs'!$B$2,[1]ratio_ins!$B:$B,0))*$G433*INDEX([1]ratio_ins!$C:$C,MATCH('001_population_health_zone_zs'!$B433,[1]ratio_ins!$B:$B,0))</f>
        <v>1133.73216</v>
      </c>
      <c r="Z433" s="10">
        <f>INDEX([1]ratio_ins!X:X,MATCH('001_population_health_zone_zs'!$B$2,[1]ratio_ins!$B:$B,0))*$G433*INDEX([1]ratio_ins!$C:$C,MATCH('001_population_health_zone_zs'!$B433,[1]ratio_ins!$B:$B,0))</f>
        <v>566.86608000000001</v>
      </c>
      <c r="AA433" s="10">
        <f>INDEX([1]ratio_ins!Y:Y,MATCH('001_population_health_zone_zs'!$B$2,[1]ratio_ins!$B:$B,0))*$G433*INDEX([1]ratio_ins!$C:$C,MATCH('001_population_health_zone_zs'!$B433,[1]ratio_ins!$B:$B,0))</f>
        <v>283.43304000000001</v>
      </c>
      <c r="AB433" s="11">
        <f>INDEX([1]ratio_ins!Z:Z,MATCH('001_population_health_zone_zs'!$B$2,[1]ratio_ins!$B:$B,0))*$G433*INDEX([1]ratio_ins!$C:$C,MATCH('001_population_health_zone_zs'!$B433,[1]ratio_ins!$B:$B,0))</f>
        <v>3684.6295200000004</v>
      </c>
      <c r="AC433" s="12">
        <f t="shared" si="36"/>
        <v>141716.51999999999</v>
      </c>
      <c r="AD433" s="10">
        <f>INDEX([1]ratio_ins!AA:AA,MATCH('001_population_health_zone_zs'!$B$2,[1]ratio_ins!$B:$B,0))*$G433*INDEX([1]ratio_ins!$D:$D,MATCH('001_population_health_zone_zs'!$B433,[1]ratio_ins!$B:$B,0))</f>
        <v>30361.690799999997</v>
      </c>
      <c r="AE433" s="10">
        <f>INDEX([1]ratio_ins!AB:AB,MATCH('001_population_health_zone_zs'!$B$2,[1]ratio_ins!$B:$B,0))*$G433*INDEX([1]ratio_ins!$D:$D,MATCH('001_population_health_zone_zs'!$B433,[1]ratio_ins!$B:$B,0))</f>
        <v>25012.250040000003</v>
      </c>
      <c r="AF433" s="10">
        <f>INDEX([1]ratio_ins!AC:AC,MATCH('001_population_health_zone_zs'!$B$2,[1]ratio_ins!$B:$B,0))*$G433*INDEX([1]ratio_ins!$D:$D,MATCH('001_population_health_zone_zs'!$B433,[1]ratio_ins!$B:$B,0))</f>
        <v>19807.388759999998</v>
      </c>
      <c r="AG433" s="10">
        <f>INDEX([1]ratio_ins!AD:AD,MATCH('001_population_health_zone_zs'!$B$2,[1]ratio_ins!$B:$B,0))*$G433*INDEX([1]ratio_ins!$D:$D,MATCH('001_population_health_zone_zs'!$B433,[1]ratio_ins!$B:$B,0))</f>
        <v>12000.096840000002</v>
      </c>
      <c r="AH433" s="10">
        <f>INDEX([1]ratio_ins!AE:AE,MATCH('001_population_health_zone_zs'!$B$2,[1]ratio_ins!$B:$B,0))*$G433*INDEX([1]ratio_ins!$D:$D,MATCH('001_population_health_zone_zs'!$B433,[1]ratio_ins!$B:$B,0))</f>
        <v>7200.0581039999997</v>
      </c>
      <c r="AI433" s="13">
        <f>INDEX([1]ratio_ins!AF:AF,MATCH('001_population_health_zone_zs'!$B$2,[1]ratio_ins!$B:$B,0))*$G433*INDEX([1]ratio_ins!$D:$D,MATCH('001_population_health_zone_zs'!$B433,[1]ratio_ins!$B:$B,0))</f>
        <v>82381.387704000008</v>
      </c>
      <c r="AJ433" s="10">
        <f>INDEX([1]ratio_ins!AG:AG,MATCH('001_population_health_zone_zs'!$B$2,[1]ratio_ins!$B:$B,0))*$G433*INDEX([1]ratio_ins!$D:$D,MATCH('001_population_health_zone_zs'!$B433,[1]ratio_ins!$B:$B,0))</f>
        <v>4800.0387360000004</v>
      </c>
      <c r="AK433" s="10">
        <f>INDEX([1]ratio_ins!AH:AH,MATCH('001_population_health_zone_zs'!$B$2,[1]ratio_ins!$B:$B,0))*$G433*INDEX([1]ratio_ins!$D:$D,MATCH('001_population_health_zone_zs'!$B433,[1]ratio_ins!$B:$B,0))</f>
        <v>10698.881520000001</v>
      </c>
      <c r="AL433" s="10">
        <f>INDEX([1]ratio_ins!AI:AI,MATCH('001_population_health_zone_zs'!$B$2,[1]ratio_ins!$B:$B,0))*$G433*INDEX([1]ratio_ins!$D:$D,MATCH('001_population_health_zone_zs'!$B433,[1]ratio_ins!$B:$B,0))</f>
        <v>10120.563600000001</v>
      </c>
      <c r="AM433" s="10">
        <f>INDEX([1]ratio_ins!AJ:AJ,MATCH('001_population_health_zone_zs'!$B$2,[1]ratio_ins!$B:$B,0))*$G433*INDEX([1]ratio_ins!$D:$D,MATCH('001_population_health_zone_zs'!$B433,[1]ratio_ins!$B:$B,0))</f>
        <v>9253.0867199999993</v>
      </c>
      <c r="AN433" s="10">
        <f>INDEX([1]ratio_ins!AK:AK,MATCH('001_population_health_zone_zs'!$B$2,[1]ratio_ins!$B:$B,0))*$G433*INDEX([1]ratio_ins!$D:$D,MATCH('001_population_health_zone_zs'!$B433,[1]ratio_ins!$B:$B,0))</f>
        <v>8674.7687999999998</v>
      </c>
      <c r="AO433" s="10">
        <f>INDEX([1]ratio_ins!AL:AL,MATCH('001_population_health_zone_zs'!$B$2,[1]ratio_ins!$B:$B,0))*$G433*INDEX([1]ratio_ins!$D:$D,MATCH('001_population_health_zone_zs'!$B433,[1]ratio_ins!$B:$B,0))</f>
        <v>6506.0766000000003</v>
      </c>
      <c r="AP433" s="10">
        <f>INDEX([1]ratio_ins!AM:AM,MATCH('001_population_health_zone_zs'!$B$2,[1]ratio_ins!$B:$B,0))*$G433*INDEX([1]ratio_ins!$D:$D,MATCH('001_population_health_zone_zs'!$B433,[1]ratio_ins!$B:$B,0))</f>
        <v>4192.8049199999996</v>
      </c>
      <c r="AQ433" s="10">
        <f>INDEX([1]ratio_ins!AN:AN,MATCH('001_population_health_zone_zs'!$B$2,[1]ratio_ins!$B:$B,0))*$G433*INDEX([1]ratio_ins!$D:$D,MATCH('001_population_health_zone_zs'!$B433,[1]ratio_ins!$B:$B,0))</f>
        <v>3325.3280399999999</v>
      </c>
      <c r="AR433" s="10">
        <f>INDEX([1]ratio_ins!AO:AO,MATCH('001_population_health_zone_zs'!$B$2,[1]ratio_ins!$B:$B,0))*$G433*INDEX([1]ratio_ins!$D:$D,MATCH('001_population_health_zone_zs'!$B433,[1]ratio_ins!$B:$B,0))</f>
        <v>1590.3742800000002</v>
      </c>
      <c r="AS433" s="13">
        <f>INDEX([1]ratio_ins!AP:AP,MATCH('001_population_health_zone_zs'!$B$2,[1]ratio_ins!$B:$B,0))*$G433*INDEX([1]ratio_ins!$D:$D,MATCH('001_population_health_zone_zs'!$B433,[1]ratio_ins!$B:$B,0))</f>
        <v>59161.923216000003</v>
      </c>
      <c r="AT433" s="10">
        <f>INDEX([1]ratio_ins!AQ:AQ,MATCH('001_population_health_zone_zs'!$B$2,[1]ratio_ins!$B:$B,0))*$G433*INDEX([1]ratio_ins!$D:$D,MATCH('001_population_health_zone_zs'!$B433,[1]ratio_ins!$B:$B,0))</f>
        <v>1445.7948000000001</v>
      </c>
      <c r="AU433" s="10">
        <f>INDEX([1]ratio_ins!AR:AR,MATCH('001_population_health_zone_zs'!$B$2,[1]ratio_ins!$B:$B,0))*$G433*INDEX([1]ratio_ins!$D:$D,MATCH('001_population_health_zone_zs'!$B433,[1]ratio_ins!$B:$B,0))</f>
        <v>867.47688000000005</v>
      </c>
      <c r="AV433" s="10">
        <f>INDEX([1]ratio_ins!AS:AS,MATCH('001_population_health_zone_zs'!$B$2,[1]ratio_ins!$B:$B,0))*$G433*INDEX([1]ratio_ins!$D:$D,MATCH('001_population_health_zone_zs'!$B433,[1]ratio_ins!$B:$B,0))</f>
        <v>433.73844000000003</v>
      </c>
      <c r="AW433" s="10">
        <f>INDEX([1]ratio_ins!AT:AT,MATCH('001_population_health_zone_zs'!$B$2,[1]ratio_ins!$B:$B,0))*$G433*INDEX([1]ratio_ins!$D:$D,MATCH('001_population_health_zone_zs'!$B433,[1]ratio_ins!$B:$B,0))</f>
        <v>289.15895999999998</v>
      </c>
      <c r="AX433" s="13">
        <f>INDEX([1]ratio_ins!AU:AU,MATCH('001_population_health_zone_zs'!$B$2,[1]ratio_ins!$B:$B,0))*$G433*INDEX([1]ratio_ins!$D:$D,MATCH('001_population_health_zone_zs'!$B433,[1]ratio_ins!$B:$B,0))</f>
        <v>3036.1690799999997</v>
      </c>
      <c r="AY433" s="14">
        <f t="shared" si="37"/>
        <v>144579.48000000001</v>
      </c>
      <c r="AZ433" s="15">
        <f t="shared" si="38"/>
        <v>286296</v>
      </c>
      <c r="BA433" s="16">
        <v>273927.9922452069</v>
      </c>
      <c r="BB433" s="10">
        <f t="shared" si="39"/>
        <v>61446.279000000002</v>
      </c>
      <c r="BC433" s="17">
        <f t="shared" si="40"/>
        <v>0.21462500000000001</v>
      </c>
      <c r="BD433" s="10">
        <f t="shared" si="41"/>
        <v>59095.788840000001</v>
      </c>
    </row>
    <row r="434" spans="1:56" x14ac:dyDescent="0.25">
      <c r="A434" s="8" t="s">
        <v>1045</v>
      </c>
      <c r="B434" s="8" t="s">
        <v>1046</v>
      </c>
      <c r="C434" s="8" t="s">
        <v>1060</v>
      </c>
      <c r="D434" s="8" t="s">
        <v>1061</v>
      </c>
      <c r="E434" s="8" t="s">
        <v>1068</v>
      </c>
      <c r="F434" s="8" t="s">
        <v>1069</v>
      </c>
      <c r="G434" s="9">
        <v>117271</v>
      </c>
      <c r="H434" s="10">
        <f>INDEX([1]ratio_ins!F:F,MATCH('001_population_health_zone_zs'!$B$2,[1]ratio_ins!$B:$B,0))*$G434*INDEX([1]ratio_ins!$C:$C,MATCH('001_population_health_zone_zs'!$B434,[1]ratio_ins!$B:$B,0))</f>
        <v>12132.271305</v>
      </c>
      <c r="I434" s="10">
        <f>INDEX([1]ratio_ins!G:G,MATCH('001_population_health_zone_zs'!$B$2,[1]ratio_ins!$B:$B,0))*$G434*INDEX([1]ratio_ins!$C:$C,MATCH('001_population_health_zone_zs'!$B434,[1]ratio_ins!$B:$B,0))</f>
        <v>9926.4037950000002</v>
      </c>
      <c r="J434" s="10">
        <f>INDEX([1]ratio_ins!H:H,MATCH('001_population_health_zone_zs'!$B$2,[1]ratio_ins!$B:$B,0))*$G434*INDEX([1]ratio_ins!$C:$C,MATCH('001_population_health_zone_zs'!$B434,[1]ratio_ins!$B:$B,0))</f>
        <v>7836.634575</v>
      </c>
      <c r="K434" s="10">
        <f>INDEX([1]ratio_ins!I:I,MATCH('001_population_health_zone_zs'!$B$2,[1]ratio_ins!$B:$B,0))*$G434*INDEX([1]ratio_ins!$C:$C,MATCH('001_population_health_zone_zs'!$B434,[1]ratio_ins!$B:$B,0))</f>
        <v>4818.0790349999997</v>
      </c>
      <c r="L434" s="10">
        <f>INDEX([1]ratio_ins!J:J,MATCH('001_population_health_zone_zs'!$B$2,[1]ratio_ins!$B:$B,0))*$G434*INDEX([1]ratio_ins!$C:$C,MATCH('001_population_health_zone_zs'!$B434,[1]ratio_ins!$B:$B,0))</f>
        <v>2890.8474209999999</v>
      </c>
      <c r="M434" s="11">
        <f>INDEX([1]ratio_ins!K:K,MATCH('001_population_health_zone_zs'!$B$2,[1]ratio_ins!$B:$B,0))*$G434*INDEX([1]ratio_ins!$C:$C,MATCH('001_population_health_zone_zs'!$B434,[1]ratio_ins!$B:$B,0))</f>
        <v>32786.157095999995</v>
      </c>
      <c r="N434" s="10">
        <f>INDEX([1]ratio_ins!L:L,MATCH('001_population_health_zone_zs'!$B$2,[1]ratio_ins!$B:$B,0))*$G434*INDEX([1]ratio_ins!$C:$C,MATCH('001_population_health_zone_zs'!$B434,[1]ratio_ins!$B:$B,0))</f>
        <v>1927.231614</v>
      </c>
      <c r="O434" s="10">
        <f>INDEX([1]ratio_ins!M:M,MATCH('001_population_health_zone_zs'!$B$2,[1]ratio_ins!$B:$B,0))*$G434*INDEX([1]ratio_ins!$C:$C,MATCH('001_population_health_zone_zs'!$B434,[1]ratio_ins!$B:$B,0))</f>
        <v>4179.5384400000003</v>
      </c>
      <c r="P434" s="10">
        <f>INDEX([1]ratio_ins!N:N,MATCH('001_population_health_zone_zs'!$B$2,[1]ratio_ins!$B:$B,0))*$G434*INDEX([1]ratio_ins!$C:$C,MATCH('001_population_health_zone_zs'!$B434,[1]ratio_ins!$B:$B,0))</f>
        <v>3773.1944250000001</v>
      </c>
      <c r="Q434" s="10">
        <f>INDEX([1]ratio_ins!O:O,MATCH('001_population_health_zone_zs'!$B$2,[1]ratio_ins!$B:$B,0))*$G434*INDEX([1]ratio_ins!$C:$C,MATCH('001_population_health_zone_zs'!$B434,[1]ratio_ins!$B:$B,0))</f>
        <v>3366.85041</v>
      </c>
      <c r="R434" s="10">
        <f>INDEX([1]ratio_ins!P:P,MATCH('001_population_health_zone_zs'!$B$2,[1]ratio_ins!$B:$B,0))*$G434*INDEX([1]ratio_ins!$C:$C,MATCH('001_population_health_zone_zs'!$B434,[1]ratio_ins!$B:$B,0))</f>
        <v>3308.8012650000001</v>
      </c>
      <c r="S434" s="10">
        <f>INDEX([1]ratio_ins!Q:Q,MATCH('001_population_health_zone_zs'!$B$2,[1]ratio_ins!$B:$B,0))*$G434*INDEX([1]ratio_ins!$C:$C,MATCH('001_population_health_zone_zs'!$B434,[1]ratio_ins!$B:$B,0))</f>
        <v>2786.35896</v>
      </c>
      <c r="T434" s="10">
        <f>INDEX([1]ratio_ins!R:R,MATCH('001_population_health_zone_zs'!$B$2,[1]ratio_ins!$B:$B,0))*$G434*INDEX([1]ratio_ins!$C:$C,MATCH('001_population_health_zone_zs'!$B434,[1]ratio_ins!$B:$B,0))</f>
        <v>1973.6709300000002</v>
      </c>
      <c r="U434" s="10">
        <f>INDEX([1]ratio_ins!S:S,MATCH('001_population_health_zone_zs'!$B$2,[1]ratio_ins!$B:$B,0))*$G434*INDEX([1]ratio_ins!$C:$C,MATCH('001_population_health_zone_zs'!$B434,[1]ratio_ins!$B:$B,0))</f>
        <v>1567.3269150000003</v>
      </c>
      <c r="V434" s="10">
        <f>INDEX([1]ratio_ins!T:T,MATCH('001_population_health_zone_zs'!$B$2,[1]ratio_ins!$B:$B,0))*$G434*INDEX([1]ratio_ins!$C:$C,MATCH('001_population_health_zone_zs'!$B434,[1]ratio_ins!$B:$B,0))</f>
        <v>870.73717499999987</v>
      </c>
      <c r="W434" s="11">
        <f>INDEX([1]ratio_ins!U:U,MATCH('001_population_health_zone_zs'!$B$2,[1]ratio_ins!$B:$B,0))*$G434*INDEX([1]ratio_ins!$C:$C,MATCH('001_population_health_zone_zs'!$B434,[1]ratio_ins!$B:$B,0))</f>
        <v>23753.710134000001</v>
      </c>
      <c r="X434" s="10">
        <f>INDEX([1]ratio_ins!V:V,MATCH('001_population_health_zone_zs'!$B$2,[1]ratio_ins!$B:$B,0))*$G434*INDEX([1]ratio_ins!$C:$C,MATCH('001_population_health_zone_zs'!$B434,[1]ratio_ins!$B:$B,0))</f>
        <v>696.58974000000001</v>
      </c>
      <c r="Y434" s="10">
        <f>INDEX([1]ratio_ins!W:W,MATCH('001_population_health_zone_zs'!$B$2,[1]ratio_ins!$B:$B,0))*$G434*INDEX([1]ratio_ins!$C:$C,MATCH('001_population_health_zone_zs'!$B434,[1]ratio_ins!$B:$B,0))</f>
        <v>464.39316000000002</v>
      </c>
      <c r="Z434" s="10">
        <f>INDEX([1]ratio_ins!X:X,MATCH('001_population_health_zone_zs'!$B$2,[1]ratio_ins!$B:$B,0))*$G434*INDEX([1]ratio_ins!$C:$C,MATCH('001_population_health_zone_zs'!$B434,[1]ratio_ins!$B:$B,0))</f>
        <v>232.19658000000001</v>
      </c>
      <c r="AA434" s="10">
        <f>INDEX([1]ratio_ins!Y:Y,MATCH('001_population_health_zone_zs'!$B$2,[1]ratio_ins!$B:$B,0))*$G434*INDEX([1]ratio_ins!$C:$C,MATCH('001_population_health_zone_zs'!$B434,[1]ratio_ins!$B:$B,0))</f>
        <v>116.09829000000001</v>
      </c>
      <c r="AB434" s="11">
        <f>INDEX([1]ratio_ins!Z:Z,MATCH('001_population_health_zone_zs'!$B$2,[1]ratio_ins!$B:$B,0))*$G434*INDEX([1]ratio_ins!$C:$C,MATCH('001_population_health_zone_zs'!$B434,[1]ratio_ins!$B:$B,0))</f>
        <v>1509.2777700000001</v>
      </c>
      <c r="AC434" s="12">
        <f t="shared" si="36"/>
        <v>58049.144999999997</v>
      </c>
      <c r="AD434" s="10">
        <f>INDEX([1]ratio_ins!AA:AA,MATCH('001_population_health_zone_zs'!$B$2,[1]ratio_ins!$B:$B,0))*$G434*INDEX([1]ratio_ins!$D:$D,MATCH('001_population_health_zone_zs'!$B434,[1]ratio_ins!$B:$B,0))</f>
        <v>12436.589550000001</v>
      </c>
      <c r="AE434" s="10">
        <f>INDEX([1]ratio_ins!AB:AB,MATCH('001_population_health_zone_zs'!$B$2,[1]ratio_ins!$B:$B,0))*$G434*INDEX([1]ratio_ins!$D:$D,MATCH('001_population_health_zone_zs'!$B434,[1]ratio_ins!$B:$B,0))</f>
        <v>10245.380915000002</v>
      </c>
      <c r="AF434" s="10">
        <f>INDEX([1]ratio_ins!AC:AC,MATCH('001_population_health_zone_zs'!$B$2,[1]ratio_ins!$B:$B,0))*$G434*INDEX([1]ratio_ins!$D:$D,MATCH('001_population_health_zone_zs'!$B434,[1]ratio_ins!$B:$B,0))</f>
        <v>8113.3941349999996</v>
      </c>
      <c r="AG434" s="10">
        <f>INDEX([1]ratio_ins!AD:AD,MATCH('001_population_health_zone_zs'!$B$2,[1]ratio_ins!$B:$B,0))*$G434*INDEX([1]ratio_ins!$D:$D,MATCH('001_population_health_zone_zs'!$B434,[1]ratio_ins!$B:$B,0))</f>
        <v>4915.4139650000006</v>
      </c>
      <c r="AH434" s="10">
        <f>INDEX([1]ratio_ins!AE:AE,MATCH('001_population_health_zone_zs'!$B$2,[1]ratio_ins!$B:$B,0))*$G434*INDEX([1]ratio_ins!$D:$D,MATCH('001_population_health_zone_zs'!$B434,[1]ratio_ins!$B:$B,0))</f>
        <v>2949.2483790000001</v>
      </c>
      <c r="AI434" s="13">
        <f>INDEX([1]ratio_ins!AF:AF,MATCH('001_population_health_zone_zs'!$B$2,[1]ratio_ins!$B:$B,0))*$G434*INDEX([1]ratio_ins!$D:$D,MATCH('001_population_health_zone_zs'!$B434,[1]ratio_ins!$B:$B,0))</f>
        <v>33744.612978999998</v>
      </c>
      <c r="AJ434" s="10">
        <f>INDEX([1]ratio_ins!AG:AG,MATCH('001_population_health_zone_zs'!$B$2,[1]ratio_ins!$B:$B,0))*$G434*INDEX([1]ratio_ins!$D:$D,MATCH('001_population_health_zone_zs'!$B434,[1]ratio_ins!$B:$B,0))</f>
        <v>1966.1655859999998</v>
      </c>
      <c r="AK434" s="10">
        <f>INDEX([1]ratio_ins!AH:AH,MATCH('001_population_health_zone_zs'!$B$2,[1]ratio_ins!$B:$B,0))*$G434*INDEX([1]ratio_ins!$D:$D,MATCH('001_population_health_zone_zs'!$B434,[1]ratio_ins!$B:$B,0))</f>
        <v>4382.4172700000008</v>
      </c>
      <c r="AL434" s="10">
        <f>INDEX([1]ratio_ins!AI:AI,MATCH('001_population_health_zone_zs'!$B$2,[1]ratio_ins!$B:$B,0))*$G434*INDEX([1]ratio_ins!$D:$D,MATCH('001_population_health_zone_zs'!$B434,[1]ratio_ins!$B:$B,0))</f>
        <v>4145.5298500000008</v>
      </c>
      <c r="AM434" s="10">
        <f>INDEX([1]ratio_ins!AJ:AJ,MATCH('001_population_health_zone_zs'!$B$2,[1]ratio_ins!$B:$B,0))*$G434*INDEX([1]ratio_ins!$D:$D,MATCH('001_population_health_zone_zs'!$B434,[1]ratio_ins!$B:$B,0))</f>
        <v>3790.1987199999999</v>
      </c>
      <c r="AN434" s="10">
        <f>INDEX([1]ratio_ins!AK:AK,MATCH('001_population_health_zone_zs'!$B$2,[1]ratio_ins!$B:$B,0))*$G434*INDEX([1]ratio_ins!$D:$D,MATCH('001_population_health_zone_zs'!$B434,[1]ratio_ins!$B:$B,0))</f>
        <v>3553.3112999999998</v>
      </c>
      <c r="AO434" s="10">
        <f>INDEX([1]ratio_ins!AL:AL,MATCH('001_population_health_zone_zs'!$B$2,[1]ratio_ins!$B:$B,0))*$G434*INDEX([1]ratio_ins!$D:$D,MATCH('001_population_health_zone_zs'!$B434,[1]ratio_ins!$B:$B,0))</f>
        <v>2664.983475</v>
      </c>
      <c r="AP434" s="10">
        <f>INDEX([1]ratio_ins!AM:AM,MATCH('001_population_health_zone_zs'!$B$2,[1]ratio_ins!$B:$B,0))*$G434*INDEX([1]ratio_ins!$D:$D,MATCH('001_population_health_zone_zs'!$B434,[1]ratio_ins!$B:$B,0))</f>
        <v>1717.4337949999999</v>
      </c>
      <c r="AQ434" s="10">
        <f>INDEX([1]ratio_ins!AN:AN,MATCH('001_population_health_zone_zs'!$B$2,[1]ratio_ins!$B:$B,0))*$G434*INDEX([1]ratio_ins!$D:$D,MATCH('001_population_health_zone_zs'!$B434,[1]ratio_ins!$B:$B,0))</f>
        <v>1362.1026650000001</v>
      </c>
      <c r="AR434" s="10">
        <f>INDEX([1]ratio_ins!AO:AO,MATCH('001_population_health_zone_zs'!$B$2,[1]ratio_ins!$B:$B,0))*$G434*INDEX([1]ratio_ins!$D:$D,MATCH('001_population_health_zone_zs'!$B434,[1]ratio_ins!$B:$B,0))</f>
        <v>651.44040500000017</v>
      </c>
      <c r="AS434" s="13">
        <f>INDEX([1]ratio_ins!AP:AP,MATCH('001_population_health_zone_zs'!$B$2,[1]ratio_ins!$B:$B,0))*$G434*INDEX([1]ratio_ins!$D:$D,MATCH('001_population_health_zone_zs'!$B434,[1]ratio_ins!$B:$B,0))</f>
        <v>24233.583065999999</v>
      </c>
      <c r="AT434" s="10">
        <f>INDEX([1]ratio_ins!AQ:AQ,MATCH('001_population_health_zone_zs'!$B$2,[1]ratio_ins!$B:$B,0))*$G434*INDEX([1]ratio_ins!$D:$D,MATCH('001_population_health_zone_zs'!$B434,[1]ratio_ins!$B:$B,0))</f>
        <v>592.21855000000005</v>
      </c>
      <c r="AU434" s="10">
        <f>INDEX([1]ratio_ins!AR:AR,MATCH('001_population_health_zone_zs'!$B$2,[1]ratio_ins!$B:$B,0))*$G434*INDEX([1]ratio_ins!$D:$D,MATCH('001_population_health_zone_zs'!$B434,[1]ratio_ins!$B:$B,0))</f>
        <v>355.33112999999997</v>
      </c>
      <c r="AV434" s="10">
        <f>INDEX([1]ratio_ins!AS:AS,MATCH('001_population_health_zone_zs'!$B$2,[1]ratio_ins!$B:$B,0))*$G434*INDEX([1]ratio_ins!$D:$D,MATCH('001_population_health_zone_zs'!$B434,[1]ratio_ins!$B:$B,0))</f>
        <v>177.66556499999999</v>
      </c>
      <c r="AW434" s="10">
        <f>INDEX([1]ratio_ins!AT:AT,MATCH('001_population_health_zone_zs'!$B$2,[1]ratio_ins!$B:$B,0))*$G434*INDEX([1]ratio_ins!$D:$D,MATCH('001_population_health_zone_zs'!$B434,[1]ratio_ins!$B:$B,0))</f>
        <v>118.44371</v>
      </c>
      <c r="AX434" s="13">
        <f>INDEX([1]ratio_ins!AU:AU,MATCH('001_population_health_zone_zs'!$B$2,[1]ratio_ins!$B:$B,0))*$G434*INDEX([1]ratio_ins!$D:$D,MATCH('001_population_health_zone_zs'!$B434,[1]ratio_ins!$B:$B,0))</f>
        <v>1243.6589549999999</v>
      </c>
      <c r="AY434" s="14">
        <f t="shared" si="37"/>
        <v>59221.854999999996</v>
      </c>
      <c r="AZ434" s="15">
        <f t="shared" si="38"/>
        <v>117271</v>
      </c>
      <c r="BA434" s="16">
        <v>112204.54576303052</v>
      </c>
      <c r="BB434" s="10">
        <f t="shared" si="39"/>
        <v>25169.288375000004</v>
      </c>
      <c r="BC434" s="17">
        <f t="shared" si="40"/>
        <v>0.21462500000000004</v>
      </c>
      <c r="BD434" s="10">
        <f t="shared" si="41"/>
        <v>24206.493465000003</v>
      </c>
    </row>
    <row r="435" spans="1:56" x14ac:dyDescent="0.25">
      <c r="A435" s="8" t="s">
        <v>1045</v>
      </c>
      <c r="B435" s="8" t="s">
        <v>1046</v>
      </c>
      <c r="C435" s="8" t="s">
        <v>1070</v>
      </c>
      <c r="D435" s="8" t="s">
        <v>1071</v>
      </c>
      <c r="E435" s="8" t="s">
        <v>1070</v>
      </c>
      <c r="F435" s="8" t="s">
        <v>1072</v>
      </c>
      <c r="G435" s="9">
        <v>95916</v>
      </c>
      <c r="H435" s="10">
        <f>INDEX([1]ratio_ins!F:F,MATCH('001_population_health_zone_zs'!$B$2,[1]ratio_ins!$B:$B,0))*$G435*INDEX([1]ratio_ins!$C:$C,MATCH('001_population_health_zone_zs'!$B435,[1]ratio_ins!$B:$B,0))</f>
        <v>9922.9897799999999</v>
      </c>
      <c r="I435" s="10">
        <f>INDEX([1]ratio_ins!G:G,MATCH('001_population_health_zone_zs'!$B$2,[1]ratio_ins!$B:$B,0))*$G435*INDEX([1]ratio_ins!$C:$C,MATCH('001_population_health_zone_zs'!$B435,[1]ratio_ins!$B:$B,0))</f>
        <v>8118.8098200000013</v>
      </c>
      <c r="J435" s="10">
        <f>INDEX([1]ratio_ins!H:H,MATCH('001_population_health_zone_zs'!$B$2,[1]ratio_ins!$B:$B,0))*$G435*INDEX([1]ratio_ins!$C:$C,MATCH('001_population_health_zone_zs'!$B435,[1]ratio_ins!$B:$B,0))</f>
        <v>6409.5867000000007</v>
      </c>
      <c r="K435" s="10">
        <f>INDEX([1]ratio_ins!I:I,MATCH('001_population_health_zone_zs'!$B$2,[1]ratio_ins!$B:$B,0))*$G435*INDEX([1]ratio_ins!$C:$C,MATCH('001_population_health_zone_zs'!$B435,[1]ratio_ins!$B:$B,0))</f>
        <v>3940.7088600000002</v>
      </c>
      <c r="L435" s="10">
        <f>INDEX([1]ratio_ins!J:J,MATCH('001_population_health_zone_zs'!$B$2,[1]ratio_ins!$B:$B,0))*$G435*INDEX([1]ratio_ins!$C:$C,MATCH('001_population_health_zone_zs'!$B435,[1]ratio_ins!$B:$B,0))</f>
        <v>2364.4253159999998</v>
      </c>
      <c r="M435" s="11">
        <f>INDEX([1]ratio_ins!K:K,MATCH('001_population_health_zone_zs'!$B$2,[1]ratio_ins!$B:$B,0))*$G435*INDEX([1]ratio_ins!$C:$C,MATCH('001_population_health_zone_zs'!$B435,[1]ratio_ins!$B:$B,0))</f>
        <v>26815.811615999995</v>
      </c>
      <c r="N435" s="10">
        <f>INDEX([1]ratio_ins!L:L,MATCH('001_population_health_zone_zs'!$B$2,[1]ratio_ins!$B:$B,0))*$G435*INDEX([1]ratio_ins!$C:$C,MATCH('001_population_health_zone_zs'!$B435,[1]ratio_ins!$B:$B,0))</f>
        <v>1576.2835439999999</v>
      </c>
      <c r="O435" s="10">
        <f>INDEX([1]ratio_ins!M:M,MATCH('001_population_health_zone_zs'!$B$2,[1]ratio_ins!$B:$B,0))*$G435*INDEX([1]ratio_ins!$C:$C,MATCH('001_population_health_zone_zs'!$B435,[1]ratio_ins!$B:$B,0))</f>
        <v>3418.4462400000007</v>
      </c>
      <c r="P435" s="10">
        <f>INDEX([1]ratio_ins!N:N,MATCH('001_population_health_zone_zs'!$B$2,[1]ratio_ins!$B:$B,0))*$G435*INDEX([1]ratio_ins!$C:$C,MATCH('001_population_health_zone_zs'!$B435,[1]ratio_ins!$B:$B,0))</f>
        <v>3086.0972999999999</v>
      </c>
      <c r="Q435" s="10">
        <f>INDEX([1]ratio_ins!O:O,MATCH('001_population_health_zone_zs'!$B$2,[1]ratio_ins!$B:$B,0))*$G435*INDEX([1]ratio_ins!$C:$C,MATCH('001_population_health_zone_zs'!$B435,[1]ratio_ins!$B:$B,0))</f>
        <v>2753.74836</v>
      </c>
      <c r="R435" s="10">
        <f>INDEX([1]ratio_ins!P:P,MATCH('001_population_health_zone_zs'!$B$2,[1]ratio_ins!$B:$B,0))*$G435*INDEX([1]ratio_ins!$C:$C,MATCH('001_population_health_zone_zs'!$B435,[1]ratio_ins!$B:$B,0))</f>
        <v>2706.2699400000001</v>
      </c>
      <c r="S435" s="10">
        <f>INDEX([1]ratio_ins!Q:Q,MATCH('001_population_health_zone_zs'!$B$2,[1]ratio_ins!$B:$B,0))*$G435*INDEX([1]ratio_ins!$C:$C,MATCH('001_population_health_zone_zs'!$B435,[1]ratio_ins!$B:$B,0))</f>
        <v>2278.96416</v>
      </c>
      <c r="T435" s="10">
        <f>INDEX([1]ratio_ins!R:R,MATCH('001_population_health_zone_zs'!$B$2,[1]ratio_ins!$B:$B,0))*$G435*INDEX([1]ratio_ins!$C:$C,MATCH('001_population_health_zone_zs'!$B435,[1]ratio_ins!$B:$B,0))</f>
        <v>1614.2662800000001</v>
      </c>
      <c r="U435" s="10">
        <f>INDEX([1]ratio_ins!S:S,MATCH('001_population_health_zone_zs'!$B$2,[1]ratio_ins!$B:$B,0))*$G435*INDEX([1]ratio_ins!$C:$C,MATCH('001_population_health_zone_zs'!$B435,[1]ratio_ins!$B:$B,0))</f>
        <v>1281.9173400000002</v>
      </c>
      <c r="V435" s="10">
        <f>INDEX([1]ratio_ins!T:T,MATCH('001_population_health_zone_zs'!$B$2,[1]ratio_ins!$B:$B,0))*$G435*INDEX([1]ratio_ins!$C:$C,MATCH('001_population_health_zone_zs'!$B435,[1]ratio_ins!$B:$B,0))</f>
        <v>712.17629999999997</v>
      </c>
      <c r="W435" s="11">
        <f>INDEX([1]ratio_ins!U:U,MATCH('001_population_health_zone_zs'!$B$2,[1]ratio_ins!$B:$B,0))*$G435*INDEX([1]ratio_ins!$C:$C,MATCH('001_population_health_zone_zs'!$B435,[1]ratio_ins!$B:$B,0))</f>
        <v>19428.169463999999</v>
      </c>
      <c r="X435" s="10">
        <f>INDEX([1]ratio_ins!V:V,MATCH('001_population_health_zone_zs'!$B$2,[1]ratio_ins!$B:$B,0))*$G435*INDEX([1]ratio_ins!$C:$C,MATCH('001_population_health_zone_zs'!$B435,[1]ratio_ins!$B:$B,0))</f>
        <v>569.74104</v>
      </c>
      <c r="Y435" s="10">
        <f>INDEX([1]ratio_ins!W:W,MATCH('001_population_health_zone_zs'!$B$2,[1]ratio_ins!$B:$B,0))*$G435*INDEX([1]ratio_ins!$C:$C,MATCH('001_population_health_zone_zs'!$B435,[1]ratio_ins!$B:$B,0))</f>
        <v>379.82736</v>
      </c>
      <c r="Z435" s="10">
        <f>INDEX([1]ratio_ins!X:X,MATCH('001_population_health_zone_zs'!$B$2,[1]ratio_ins!$B:$B,0))*$G435*INDEX([1]ratio_ins!$C:$C,MATCH('001_population_health_zone_zs'!$B435,[1]ratio_ins!$B:$B,0))</f>
        <v>189.91368</v>
      </c>
      <c r="AA435" s="10">
        <f>INDEX([1]ratio_ins!Y:Y,MATCH('001_population_health_zone_zs'!$B$2,[1]ratio_ins!$B:$B,0))*$G435*INDEX([1]ratio_ins!$C:$C,MATCH('001_population_health_zone_zs'!$B435,[1]ratio_ins!$B:$B,0))</f>
        <v>94.95684</v>
      </c>
      <c r="AB435" s="11">
        <f>INDEX([1]ratio_ins!Z:Z,MATCH('001_population_health_zone_zs'!$B$2,[1]ratio_ins!$B:$B,0))*$G435*INDEX([1]ratio_ins!$C:$C,MATCH('001_population_health_zone_zs'!$B435,[1]ratio_ins!$B:$B,0))</f>
        <v>1234.4389200000001</v>
      </c>
      <c r="AC435" s="12">
        <f t="shared" si="36"/>
        <v>47478.42</v>
      </c>
      <c r="AD435" s="10">
        <f>INDEX([1]ratio_ins!AA:AA,MATCH('001_population_health_zone_zs'!$B$2,[1]ratio_ins!$B:$B,0))*$G435*INDEX([1]ratio_ins!$D:$D,MATCH('001_population_health_zone_zs'!$B435,[1]ratio_ins!$B:$B,0))</f>
        <v>10171.891800000001</v>
      </c>
      <c r="AE435" s="10">
        <f>INDEX([1]ratio_ins!AB:AB,MATCH('001_population_health_zone_zs'!$B$2,[1]ratio_ins!$B:$B,0))*$G435*INDEX([1]ratio_ins!$D:$D,MATCH('001_population_health_zone_zs'!$B435,[1]ratio_ins!$B:$B,0))</f>
        <v>8379.7013399999996</v>
      </c>
      <c r="AF435" s="10">
        <f>INDEX([1]ratio_ins!AC:AC,MATCH('001_population_health_zone_zs'!$B$2,[1]ratio_ins!$B:$B,0))*$G435*INDEX([1]ratio_ins!$D:$D,MATCH('001_population_health_zone_zs'!$B435,[1]ratio_ins!$B:$B,0))</f>
        <v>6635.9484599999996</v>
      </c>
      <c r="AG435" s="10">
        <f>INDEX([1]ratio_ins!AD:AD,MATCH('001_population_health_zone_zs'!$B$2,[1]ratio_ins!$B:$B,0))*$G435*INDEX([1]ratio_ins!$D:$D,MATCH('001_population_health_zone_zs'!$B435,[1]ratio_ins!$B:$B,0))</f>
        <v>4020.3191400000001</v>
      </c>
      <c r="AH435" s="10">
        <f>INDEX([1]ratio_ins!AE:AE,MATCH('001_population_health_zone_zs'!$B$2,[1]ratio_ins!$B:$B,0))*$G435*INDEX([1]ratio_ins!$D:$D,MATCH('001_population_health_zone_zs'!$B435,[1]ratio_ins!$B:$B,0))</f>
        <v>2412.1914839999999</v>
      </c>
      <c r="AI435" s="13">
        <f>INDEX([1]ratio_ins!AF:AF,MATCH('001_population_health_zone_zs'!$B$2,[1]ratio_ins!$B:$B,0))*$G435*INDEX([1]ratio_ins!$D:$D,MATCH('001_population_health_zone_zs'!$B435,[1]ratio_ins!$B:$B,0))</f>
        <v>27599.733084</v>
      </c>
      <c r="AJ435" s="10">
        <f>INDEX([1]ratio_ins!AG:AG,MATCH('001_population_health_zone_zs'!$B$2,[1]ratio_ins!$B:$B,0))*$G435*INDEX([1]ratio_ins!$D:$D,MATCH('001_population_health_zone_zs'!$B435,[1]ratio_ins!$B:$B,0))</f>
        <v>1608.1276560000001</v>
      </c>
      <c r="AK435" s="10">
        <f>INDEX([1]ratio_ins!AH:AH,MATCH('001_population_health_zone_zs'!$B$2,[1]ratio_ins!$B:$B,0))*$G435*INDEX([1]ratio_ins!$D:$D,MATCH('001_population_health_zone_zs'!$B435,[1]ratio_ins!$B:$B,0))</f>
        <v>3584.3809200000005</v>
      </c>
      <c r="AL435" s="10">
        <f>INDEX([1]ratio_ins!AI:AI,MATCH('001_population_health_zone_zs'!$B$2,[1]ratio_ins!$B:$B,0))*$G435*INDEX([1]ratio_ins!$D:$D,MATCH('001_population_health_zone_zs'!$B435,[1]ratio_ins!$B:$B,0))</f>
        <v>3390.6306000000004</v>
      </c>
      <c r="AM435" s="10">
        <f>INDEX([1]ratio_ins!AJ:AJ,MATCH('001_population_health_zone_zs'!$B$2,[1]ratio_ins!$B:$B,0))*$G435*INDEX([1]ratio_ins!$D:$D,MATCH('001_population_health_zone_zs'!$B435,[1]ratio_ins!$B:$B,0))</f>
        <v>3100.0051199999998</v>
      </c>
      <c r="AN435" s="10">
        <f>INDEX([1]ratio_ins!AK:AK,MATCH('001_population_health_zone_zs'!$B$2,[1]ratio_ins!$B:$B,0))*$G435*INDEX([1]ratio_ins!$D:$D,MATCH('001_population_health_zone_zs'!$B435,[1]ratio_ins!$B:$B,0))</f>
        <v>2906.2548000000002</v>
      </c>
      <c r="AO435" s="10">
        <f>INDEX([1]ratio_ins!AL:AL,MATCH('001_population_health_zone_zs'!$B$2,[1]ratio_ins!$B:$B,0))*$G435*INDEX([1]ratio_ins!$D:$D,MATCH('001_population_health_zone_zs'!$B435,[1]ratio_ins!$B:$B,0))</f>
        <v>2179.6911</v>
      </c>
      <c r="AP435" s="10">
        <f>INDEX([1]ratio_ins!AM:AM,MATCH('001_population_health_zone_zs'!$B$2,[1]ratio_ins!$B:$B,0))*$G435*INDEX([1]ratio_ins!$D:$D,MATCH('001_population_health_zone_zs'!$B435,[1]ratio_ins!$B:$B,0))</f>
        <v>1404.6898199999998</v>
      </c>
      <c r="AQ435" s="10">
        <f>INDEX([1]ratio_ins!AN:AN,MATCH('001_population_health_zone_zs'!$B$2,[1]ratio_ins!$B:$B,0))*$G435*INDEX([1]ratio_ins!$D:$D,MATCH('001_population_health_zone_zs'!$B435,[1]ratio_ins!$B:$B,0))</f>
        <v>1114.0643399999999</v>
      </c>
      <c r="AR435" s="10">
        <f>INDEX([1]ratio_ins!AO:AO,MATCH('001_population_health_zone_zs'!$B$2,[1]ratio_ins!$B:$B,0))*$G435*INDEX([1]ratio_ins!$D:$D,MATCH('001_population_health_zone_zs'!$B435,[1]ratio_ins!$B:$B,0))</f>
        <v>532.81338000000005</v>
      </c>
      <c r="AS435" s="13">
        <f>INDEX([1]ratio_ins!AP:AP,MATCH('001_population_health_zone_zs'!$B$2,[1]ratio_ins!$B:$B,0))*$G435*INDEX([1]ratio_ins!$D:$D,MATCH('001_population_health_zone_zs'!$B435,[1]ratio_ins!$B:$B,0))</f>
        <v>19820.657736000001</v>
      </c>
      <c r="AT435" s="10">
        <f>INDEX([1]ratio_ins!AQ:AQ,MATCH('001_population_health_zone_zs'!$B$2,[1]ratio_ins!$B:$B,0))*$G435*INDEX([1]ratio_ins!$D:$D,MATCH('001_population_health_zone_zs'!$B435,[1]ratio_ins!$B:$B,0))</f>
        <v>484.37579999999997</v>
      </c>
      <c r="AU435" s="10">
        <f>INDEX([1]ratio_ins!AR:AR,MATCH('001_population_health_zone_zs'!$B$2,[1]ratio_ins!$B:$B,0))*$G435*INDEX([1]ratio_ins!$D:$D,MATCH('001_population_health_zone_zs'!$B435,[1]ratio_ins!$B:$B,0))</f>
        <v>290.62547999999998</v>
      </c>
      <c r="AV435" s="10">
        <f>INDEX([1]ratio_ins!AS:AS,MATCH('001_population_health_zone_zs'!$B$2,[1]ratio_ins!$B:$B,0))*$G435*INDEX([1]ratio_ins!$D:$D,MATCH('001_population_health_zone_zs'!$B435,[1]ratio_ins!$B:$B,0))</f>
        <v>145.31273999999999</v>
      </c>
      <c r="AW435" s="10">
        <f>INDEX([1]ratio_ins!AT:AT,MATCH('001_population_health_zone_zs'!$B$2,[1]ratio_ins!$B:$B,0))*$G435*INDEX([1]ratio_ins!$D:$D,MATCH('001_population_health_zone_zs'!$B435,[1]ratio_ins!$B:$B,0))</f>
        <v>96.875159999999994</v>
      </c>
      <c r="AX435" s="13">
        <f>INDEX([1]ratio_ins!AU:AU,MATCH('001_population_health_zone_zs'!$B$2,[1]ratio_ins!$B:$B,0))*$G435*INDEX([1]ratio_ins!$D:$D,MATCH('001_population_health_zone_zs'!$B435,[1]ratio_ins!$B:$B,0))</f>
        <v>1017.18918</v>
      </c>
      <c r="AY435" s="14">
        <f t="shared" si="37"/>
        <v>48437.58</v>
      </c>
      <c r="AZ435" s="15">
        <f t="shared" si="38"/>
        <v>95916</v>
      </c>
      <c r="BA435" s="16">
        <v>91772.52837823522</v>
      </c>
      <c r="BB435" s="10">
        <f t="shared" si="39"/>
        <v>20585.9715</v>
      </c>
      <c r="BC435" s="17">
        <f t="shared" si="40"/>
        <v>0.21462500000000001</v>
      </c>
      <c r="BD435" s="10">
        <f t="shared" si="41"/>
        <v>19798.50114</v>
      </c>
    </row>
    <row r="436" spans="1:56" x14ac:dyDescent="0.25">
      <c r="A436" s="8" t="s">
        <v>1045</v>
      </c>
      <c r="B436" s="8" t="s">
        <v>1046</v>
      </c>
      <c r="C436" s="8" t="s">
        <v>1073</v>
      </c>
      <c r="D436" s="8" t="s">
        <v>1074</v>
      </c>
      <c r="E436" s="8" t="s">
        <v>1075</v>
      </c>
      <c r="F436" s="8" t="s">
        <v>1076</v>
      </c>
      <c r="G436" s="9">
        <v>154724</v>
      </c>
      <c r="H436" s="10">
        <f>INDEX([1]ratio_ins!F:F,MATCH('001_population_health_zone_zs'!$B$2,[1]ratio_ins!$B:$B,0))*$G436*INDEX([1]ratio_ins!$C:$C,MATCH('001_population_health_zone_zs'!$B436,[1]ratio_ins!$B:$B,0))</f>
        <v>16006.97142</v>
      </c>
      <c r="I436" s="10">
        <f>INDEX([1]ratio_ins!G:G,MATCH('001_population_health_zone_zs'!$B$2,[1]ratio_ins!$B:$B,0))*$G436*INDEX([1]ratio_ins!$C:$C,MATCH('001_population_health_zone_zs'!$B436,[1]ratio_ins!$B:$B,0))</f>
        <v>13096.612980000002</v>
      </c>
      <c r="J436" s="10">
        <f>INDEX([1]ratio_ins!H:H,MATCH('001_population_health_zone_zs'!$B$2,[1]ratio_ins!$B:$B,0))*$G436*INDEX([1]ratio_ins!$C:$C,MATCH('001_population_health_zone_zs'!$B436,[1]ratio_ins!$B:$B,0))</f>
        <v>10339.4313</v>
      </c>
      <c r="K436" s="10">
        <f>INDEX([1]ratio_ins!I:I,MATCH('001_population_health_zone_zs'!$B$2,[1]ratio_ins!$B:$B,0))*$G436*INDEX([1]ratio_ins!$C:$C,MATCH('001_population_health_zone_zs'!$B436,[1]ratio_ins!$B:$B,0))</f>
        <v>6356.83554</v>
      </c>
      <c r="L436" s="10">
        <f>INDEX([1]ratio_ins!J:J,MATCH('001_population_health_zone_zs'!$B$2,[1]ratio_ins!$B:$B,0))*$G436*INDEX([1]ratio_ins!$C:$C,MATCH('001_population_health_zone_zs'!$B436,[1]ratio_ins!$B:$B,0))</f>
        <v>3814.1013239999997</v>
      </c>
      <c r="M436" s="11">
        <f>INDEX([1]ratio_ins!K:K,MATCH('001_population_health_zone_zs'!$B$2,[1]ratio_ins!$B:$B,0))*$G436*INDEX([1]ratio_ins!$C:$C,MATCH('001_population_health_zone_zs'!$B436,[1]ratio_ins!$B:$B,0))</f>
        <v>43257.117023999999</v>
      </c>
      <c r="N436" s="10">
        <f>INDEX([1]ratio_ins!L:L,MATCH('001_population_health_zone_zs'!$B$2,[1]ratio_ins!$B:$B,0))*$G436*INDEX([1]ratio_ins!$C:$C,MATCH('001_population_health_zone_zs'!$B436,[1]ratio_ins!$B:$B,0))</f>
        <v>2542.7342159999998</v>
      </c>
      <c r="O436" s="10">
        <f>INDEX([1]ratio_ins!M:M,MATCH('001_population_health_zone_zs'!$B$2,[1]ratio_ins!$B:$B,0))*$G436*INDEX([1]ratio_ins!$C:$C,MATCH('001_population_health_zone_zs'!$B436,[1]ratio_ins!$B:$B,0))</f>
        <v>5514.3633600000003</v>
      </c>
      <c r="P436" s="10">
        <f>INDEX([1]ratio_ins!N:N,MATCH('001_population_health_zone_zs'!$B$2,[1]ratio_ins!$B:$B,0))*$G436*INDEX([1]ratio_ins!$C:$C,MATCH('001_population_health_zone_zs'!$B436,[1]ratio_ins!$B:$B,0))</f>
        <v>4978.2446999999993</v>
      </c>
      <c r="Q436" s="10">
        <f>INDEX([1]ratio_ins!O:O,MATCH('001_population_health_zone_zs'!$B$2,[1]ratio_ins!$B:$B,0))*$G436*INDEX([1]ratio_ins!$C:$C,MATCH('001_population_health_zone_zs'!$B436,[1]ratio_ins!$B:$B,0))</f>
        <v>4442.1260400000001</v>
      </c>
      <c r="R436" s="10">
        <f>INDEX([1]ratio_ins!P:P,MATCH('001_population_health_zone_zs'!$B$2,[1]ratio_ins!$B:$B,0))*$G436*INDEX([1]ratio_ins!$C:$C,MATCH('001_population_health_zone_zs'!$B436,[1]ratio_ins!$B:$B,0))</f>
        <v>4365.53766</v>
      </c>
      <c r="S436" s="10">
        <f>INDEX([1]ratio_ins!Q:Q,MATCH('001_population_health_zone_zs'!$B$2,[1]ratio_ins!$B:$B,0))*$G436*INDEX([1]ratio_ins!$C:$C,MATCH('001_population_health_zone_zs'!$B436,[1]ratio_ins!$B:$B,0))</f>
        <v>3676.24224</v>
      </c>
      <c r="T436" s="10">
        <f>INDEX([1]ratio_ins!R:R,MATCH('001_population_health_zone_zs'!$B$2,[1]ratio_ins!$B:$B,0))*$G436*INDEX([1]ratio_ins!$C:$C,MATCH('001_population_health_zone_zs'!$B436,[1]ratio_ins!$B:$B,0))</f>
        <v>2604.0049199999999</v>
      </c>
      <c r="U436" s="10">
        <f>INDEX([1]ratio_ins!S:S,MATCH('001_population_health_zone_zs'!$B$2,[1]ratio_ins!$B:$B,0))*$G436*INDEX([1]ratio_ins!$C:$C,MATCH('001_population_health_zone_zs'!$B436,[1]ratio_ins!$B:$B,0))</f>
        <v>2067.8862600000002</v>
      </c>
      <c r="V436" s="10">
        <f>INDEX([1]ratio_ins!T:T,MATCH('001_population_health_zone_zs'!$B$2,[1]ratio_ins!$B:$B,0))*$G436*INDEX([1]ratio_ins!$C:$C,MATCH('001_population_health_zone_zs'!$B436,[1]ratio_ins!$B:$B,0))</f>
        <v>1148.8257000000001</v>
      </c>
      <c r="W436" s="11">
        <f>INDEX([1]ratio_ins!U:U,MATCH('001_population_health_zone_zs'!$B$2,[1]ratio_ins!$B:$B,0))*$G436*INDEX([1]ratio_ins!$C:$C,MATCH('001_population_health_zone_zs'!$B436,[1]ratio_ins!$B:$B,0))</f>
        <v>31339.965096</v>
      </c>
      <c r="X436" s="10">
        <f>INDEX([1]ratio_ins!V:V,MATCH('001_population_health_zone_zs'!$B$2,[1]ratio_ins!$B:$B,0))*$G436*INDEX([1]ratio_ins!$C:$C,MATCH('001_population_health_zone_zs'!$B436,[1]ratio_ins!$B:$B,0))</f>
        <v>919.06056000000001</v>
      </c>
      <c r="Y436" s="10">
        <f>INDEX([1]ratio_ins!W:W,MATCH('001_population_health_zone_zs'!$B$2,[1]ratio_ins!$B:$B,0))*$G436*INDEX([1]ratio_ins!$C:$C,MATCH('001_population_health_zone_zs'!$B436,[1]ratio_ins!$B:$B,0))</f>
        <v>612.70704000000001</v>
      </c>
      <c r="Z436" s="10">
        <f>INDEX([1]ratio_ins!X:X,MATCH('001_population_health_zone_zs'!$B$2,[1]ratio_ins!$B:$B,0))*$G436*INDEX([1]ratio_ins!$C:$C,MATCH('001_population_health_zone_zs'!$B436,[1]ratio_ins!$B:$B,0))</f>
        <v>306.35352</v>
      </c>
      <c r="AA436" s="10">
        <f>INDEX([1]ratio_ins!Y:Y,MATCH('001_population_health_zone_zs'!$B$2,[1]ratio_ins!$B:$B,0))*$G436*INDEX([1]ratio_ins!$C:$C,MATCH('001_population_health_zone_zs'!$B436,[1]ratio_ins!$B:$B,0))</f>
        <v>153.17676</v>
      </c>
      <c r="AB436" s="11">
        <f>INDEX([1]ratio_ins!Z:Z,MATCH('001_population_health_zone_zs'!$B$2,[1]ratio_ins!$B:$B,0))*$G436*INDEX([1]ratio_ins!$C:$C,MATCH('001_population_health_zone_zs'!$B436,[1]ratio_ins!$B:$B,0))</f>
        <v>1991.2978800000003</v>
      </c>
      <c r="AC436" s="12">
        <f t="shared" si="36"/>
        <v>76588.38</v>
      </c>
      <c r="AD436" s="10">
        <f>INDEX([1]ratio_ins!AA:AA,MATCH('001_population_health_zone_zs'!$B$2,[1]ratio_ins!$B:$B,0))*$G436*INDEX([1]ratio_ins!$D:$D,MATCH('001_population_health_zone_zs'!$B436,[1]ratio_ins!$B:$B,0))</f>
        <v>16408.480199999998</v>
      </c>
      <c r="AE436" s="10">
        <f>INDEX([1]ratio_ins!AB:AB,MATCH('001_population_health_zone_zs'!$B$2,[1]ratio_ins!$B:$B,0))*$G436*INDEX([1]ratio_ins!$D:$D,MATCH('001_population_health_zone_zs'!$B436,[1]ratio_ins!$B:$B,0))</f>
        <v>13517.462260000002</v>
      </c>
      <c r="AF436" s="10">
        <f>INDEX([1]ratio_ins!AC:AC,MATCH('001_population_health_zone_zs'!$B$2,[1]ratio_ins!$B:$B,0))*$G436*INDEX([1]ratio_ins!$D:$D,MATCH('001_population_health_zone_zs'!$B436,[1]ratio_ins!$B:$B,0))</f>
        <v>10704.57994</v>
      </c>
      <c r="AG436" s="10">
        <f>INDEX([1]ratio_ins!AD:AD,MATCH('001_population_health_zone_zs'!$B$2,[1]ratio_ins!$B:$B,0))*$G436*INDEX([1]ratio_ins!$D:$D,MATCH('001_population_health_zone_zs'!$B436,[1]ratio_ins!$B:$B,0))</f>
        <v>6485.2564600000005</v>
      </c>
      <c r="AH436" s="10">
        <f>INDEX([1]ratio_ins!AE:AE,MATCH('001_population_health_zone_zs'!$B$2,[1]ratio_ins!$B:$B,0))*$G436*INDEX([1]ratio_ins!$D:$D,MATCH('001_population_health_zone_zs'!$B436,[1]ratio_ins!$B:$B,0))</f>
        <v>3891.1538759999999</v>
      </c>
      <c r="AI436" s="13">
        <f>INDEX([1]ratio_ins!AF:AF,MATCH('001_population_health_zone_zs'!$B$2,[1]ratio_ins!$B:$B,0))*$G436*INDEX([1]ratio_ins!$D:$D,MATCH('001_population_health_zone_zs'!$B436,[1]ratio_ins!$B:$B,0))</f>
        <v>44521.676275999998</v>
      </c>
      <c r="AJ436" s="10">
        <f>INDEX([1]ratio_ins!AG:AG,MATCH('001_population_health_zone_zs'!$B$2,[1]ratio_ins!$B:$B,0))*$G436*INDEX([1]ratio_ins!$D:$D,MATCH('001_population_health_zone_zs'!$B436,[1]ratio_ins!$B:$B,0))</f>
        <v>2594.1025840000002</v>
      </c>
      <c r="AK436" s="10">
        <f>INDEX([1]ratio_ins!AH:AH,MATCH('001_population_health_zone_zs'!$B$2,[1]ratio_ins!$B:$B,0))*$G436*INDEX([1]ratio_ins!$D:$D,MATCH('001_population_health_zone_zs'!$B436,[1]ratio_ins!$B:$B,0))</f>
        <v>5782.0358800000004</v>
      </c>
      <c r="AL436" s="10">
        <f>INDEX([1]ratio_ins!AI:AI,MATCH('001_population_health_zone_zs'!$B$2,[1]ratio_ins!$B:$B,0))*$G436*INDEX([1]ratio_ins!$D:$D,MATCH('001_population_health_zone_zs'!$B436,[1]ratio_ins!$B:$B,0))</f>
        <v>5469.4934000000003</v>
      </c>
      <c r="AM436" s="10">
        <f>INDEX([1]ratio_ins!AJ:AJ,MATCH('001_population_health_zone_zs'!$B$2,[1]ratio_ins!$B:$B,0))*$G436*INDEX([1]ratio_ins!$D:$D,MATCH('001_population_health_zone_zs'!$B436,[1]ratio_ins!$B:$B,0))</f>
        <v>5000.6796799999993</v>
      </c>
      <c r="AN436" s="10">
        <f>INDEX([1]ratio_ins!AK:AK,MATCH('001_population_health_zone_zs'!$B$2,[1]ratio_ins!$B:$B,0))*$G436*INDEX([1]ratio_ins!$D:$D,MATCH('001_population_health_zone_zs'!$B436,[1]ratio_ins!$B:$B,0))</f>
        <v>4688.1372000000001</v>
      </c>
      <c r="AO436" s="10">
        <f>INDEX([1]ratio_ins!AL:AL,MATCH('001_population_health_zone_zs'!$B$2,[1]ratio_ins!$B:$B,0))*$G436*INDEX([1]ratio_ins!$D:$D,MATCH('001_population_health_zone_zs'!$B436,[1]ratio_ins!$B:$B,0))</f>
        <v>3516.1028999999999</v>
      </c>
      <c r="AP436" s="10">
        <f>INDEX([1]ratio_ins!AM:AM,MATCH('001_population_health_zone_zs'!$B$2,[1]ratio_ins!$B:$B,0))*$G436*INDEX([1]ratio_ins!$D:$D,MATCH('001_population_health_zone_zs'!$B436,[1]ratio_ins!$B:$B,0))</f>
        <v>2265.93298</v>
      </c>
      <c r="AQ436" s="10">
        <f>INDEX([1]ratio_ins!AN:AN,MATCH('001_population_health_zone_zs'!$B$2,[1]ratio_ins!$B:$B,0))*$G436*INDEX([1]ratio_ins!$D:$D,MATCH('001_population_health_zone_zs'!$B436,[1]ratio_ins!$B:$B,0))</f>
        <v>1797.1192599999999</v>
      </c>
      <c r="AR436" s="10">
        <f>INDEX([1]ratio_ins!AO:AO,MATCH('001_population_health_zone_zs'!$B$2,[1]ratio_ins!$B:$B,0))*$G436*INDEX([1]ratio_ins!$D:$D,MATCH('001_population_health_zone_zs'!$B436,[1]ratio_ins!$B:$B,0))</f>
        <v>859.49182000000008</v>
      </c>
      <c r="AS436" s="13">
        <f>INDEX([1]ratio_ins!AP:AP,MATCH('001_population_health_zone_zs'!$B$2,[1]ratio_ins!$B:$B,0))*$G436*INDEX([1]ratio_ins!$D:$D,MATCH('001_population_health_zone_zs'!$B436,[1]ratio_ins!$B:$B,0))</f>
        <v>31973.095703999999</v>
      </c>
      <c r="AT436" s="10">
        <f>INDEX([1]ratio_ins!AQ:AQ,MATCH('001_population_health_zone_zs'!$B$2,[1]ratio_ins!$B:$B,0))*$G436*INDEX([1]ratio_ins!$D:$D,MATCH('001_population_health_zone_zs'!$B436,[1]ratio_ins!$B:$B,0))</f>
        <v>781.35620000000006</v>
      </c>
      <c r="AU436" s="10">
        <f>INDEX([1]ratio_ins!AR:AR,MATCH('001_population_health_zone_zs'!$B$2,[1]ratio_ins!$B:$B,0))*$G436*INDEX([1]ratio_ins!$D:$D,MATCH('001_population_health_zone_zs'!$B436,[1]ratio_ins!$B:$B,0))</f>
        <v>468.81372000000005</v>
      </c>
      <c r="AV436" s="10">
        <f>INDEX([1]ratio_ins!AS:AS,MATCH('001_population_health_zone_zs'!$B$2,[1]ratio_ins!$B:$B,0))*$G436*INDEX([1]ratio_ins!$D:$D,MATCH('001_population_health_zone_zs'!$B436,[1]ratio_ins!$B:$B,0))</f>
        <v>234.40686000000002</v>
      </c>
      <c r="AW436" s="10">
        <f>INDEX([1]ratio_ins!AT:AT,MATCH('001_population_health_zone_zs'!$B$2,[1]ratio_ins!$B:$B,0))*$G436*INDEX([1]ratio_ins!$D:$D,MATCH('001_population_health_zone_zs'!$B436,[1]ratio_ins!$B:$B,0))</f>
        <v>156.27123999999998</v>
      </c>
      <c r="AX436" s="13">
        <f>INDEX([1]ratio_ins!AU:AU,MATCH('001_population_health_zone_zs'!$B$2,[1]ratio_ins!$B:$B,0))*$G436*INDEX([1]ratio_ins!$D:$D,MATCH('001_population_health_zone_zs'!$B436,[1]ratio_ins!$B:$B,0))</f>
        <v>1640.8480199999999</v>
      </c>
      <c r="AY436" s="14">
        <f t="shared" si="37"/>
        <v>78135.62</v>
      </c>
      <c r="AZ436" s="15">
        <f t="shared" si="38"/>
        <v>154724</v>
      </c>
      <c r="BA436" s="16">
        <v>148040.0987266397</v>
      </c>
      <c r="BB436" s="10">
        <f t="shared" si="39"/>
        <v>33207.638500000001</v>
      </c>
      <c r="BC436" s="17">
        <f t="shared" si="40"/>
        <v>0.21462500000000001</v>
      </c>
      <c r="BD436" s="10">
        <f t="shared" si="41"/>
        <v>31937.354459999995</v>
      </c>
    </row>
    <row r="437" spans="1:56" x14ac:dyDescent="0.25">
      <c r="A437" s="8" t="s">
        <v>1045</v>
      </c>
      <c r="B437" s="8" t="s">
        <v>1046</v>
      </c>
      <c r="C437" s="8" t="s">
        <v>1073</v>
      </c>
      <c r="D437" s="8" t="s">
        <v>1074</v>
      </c>
      <c r="E437" s="8" t="s">
        <v>1077</v>
      </c>
      <c r="F437" s="8" t="s">
        <v>1078</v>
      </c>
      <c r="G437" s="9">
        <v>283888</v>
      </c>
      <c r="H437" s="10">
        <f>INDEX([1]ratio_ins!F:F,MATCH('001_population_health_zone_zs'!$B$2,[1]ratio_ins!$B:$B,0))*$G437*INDEX([1]ratio_ins!$C:$C,MATCH('001_population_health_zone_zs'!$B437,[1]ratio_ins!$B:$B,0))</f>
        <v>29369.633039999997</v>
      </c>
      <c r="I437" s="10">
        <f>INDEX([1]ratio_ins!G:G,MATCH('001_population_health_zone_zs'!$B$2,[1]ratio_ins!$B:$B,0))*$G437*INDEX([1]ratio_ins!$C:$C,MATCH('001_population_health_zone_zs'!$B437,[1]ratio_ins!$B:$B,0))</f>
        <v>24029.699760000003</v>
      </c>
      <c r="J437" s="10">
        <f>INDEX([1]ratio_ins!H:H,MATCH('001_population_health_zone_zs'!$B$2,[1]ratio_ins!$B:$B,0))*$G437*INDEX([1]ratio_ins!$C:$C,MATCH('001_population_health_zone_zs'!$B437,[1]ratio_ins!$B:$B,0))</f>
        <v>18970.815600000002</v>
      </c>
      <c r="K437" s="10">
        <f>INDEX([1]ratio_ins!I:I,MATCH('001_population_health_zone_zs'!$B$2,[1]ratio_ins!$B:$B,0))*$G437*INDEX([1]ratio_ins!$C:$C,MATCH('001_population_health_zone_zs'!$B437,[1]ratio_ins!$B:$B,0))</f>
        <v>11663.538480000001</v>
      </c>
      <c r="L437" s="10">
        <f>INDEX([1]ratio_ins!J:J,MATCH('001_population_health_zone_zs'!$B$2,[1]ratio_ins!$B:$B,0))*$G437*INDEX([1]ratio_ins!$C:$C,MATCH('001_population_health_zone_zs'!$B437,[1]ratio_ins!$B:$B,0))</f>
        <v>6998.1230879999994</v>
      </c>
      <c r="M437" s="11">
        <f>INDEX([1]ratio_ins!K:K,MATCH('001_population_health_zone_zs'!$B$2,[1]ratio_ins!$B:$B,0))*$G437*INDEX([1]ratio_ins!$C:$C,MATCH('001_population_health_zone_zs'!$B437,[1]ratio_ins!$B:$B,0))</f>
        <v>79368.271487999998</v>
      </c>
      <c r="N437" s="10">
        <f>INDEX([1]ratio_ins!L:L,MATCH('001_population_health_zone_zs'!$B$2,[1]ratio_ins!$B:$B,0))*$G437*INDEX([1]ratio_ins!$C:$C,MATCH('001_population_health_zone_zs'!$B437,[1]ratio_ins!$B:$B,0))</f>
        <v>4665.4153919999999</v>
      </c>
      <c r="O437" s="10">
        <f>INDEX([1]ratio_ins!M:M,MATCH('001_population_health_zone_zs'!$B$2,[1]ratio_ins!$B:$B,0))*$G437*INDEX([1]ratio_ins!$C:$C,MATCH('001_population_health_zone_zs'!$B437,[1]ratio_ins!$B:$B,0))</f>
        <v>10117.768320000001</v>
      </c>
      <c r="P437" s="10">
        <f>INDEX([1]ratio_ins!N:N,MATCH('001_population_health_zone_zs'!$B$2,[1]ratio_ins!$B:$B,0))*$G437*INDEX([1]ratio_ins!$C:$C,MATCH('001_population_health_zone_zs'!$B437,[1]ratio_ins!$B:$B,0))</f>
        <v>9134.0964000000004</v>
      </c>
      <c r="Q437" s="10">
        <f>INDEX([1]ratio_ins!O:O,MATCH('001_population_health_zone_zs'!$B$2,[1]ratio_ins!$B:$B,0))*$G437*INDEX([1]ratio_ins!$C:$C,MATCH('001_population_health_zone_zs'!$B437,[1]ratio_ins!$B:$B,0))</f>
        <v>8150.4244799999988</v>
      </c>
      <c r="R437" s="10">
        <f>INDEX([1]ratio_ins!P:P,MATCH('001_population_health_zone_zs'!$B$2,[1]ratio_ins!$B:$B,0))*$G437*INDEX([1]ratio_ins!$C:$C,MATCH('001_population_health_zone_zs'!$B437,[1]ratio_ins!$B:$B,0))</f>
        <v>8009.8999199999998</v>
      </c>
      <c r="S437" s="10">
        <f>INDEX([1]ratio_ins!Q:Q,MATCH('001_population_health_zone_zs'!$B$2,[1]ratio_ins!$B:$B,0))*$G437*INDEX([1]ratio_ins!$C:$C,MATCH('001_population_health_zone_zs'!$B437,[1]ratio_ins!$B:$B,0))</f>
        <v>6745.1788799999995</v>
      </c>
      <c r="T437" s="10">
        <f>INDEX([1]ratio_ins!R:R,MATCH('001_population_health_zone_zs'!$B$2,[1]ratio_ins!$B:$B,0))*$G437*INDEX([1]ratio_ins!$C:$C,MATCH('001_population_health_zone_zs'!$B437,[1]ratio_ins!$B:$B,0))</f>
        <v>4777.8350400000008</v>
      </c>
      <c r="U437" s="10">
        <f>INDEX([1]ratio_ins!S:S,MATCH('001_population_health_zone_zs'!$B$2,[1]ratio_ins!$B:$B,0))*$G437*INDEX([1]ratio_ins!$C:$C,MATCH('001_population_health_zone_zs'!$B437,[1]ratio_ins!$B:$B,0))</f>
        <v>3794.1631200000002</v>
      </c>
      <c r="V437" s="10">
        <f>INDEX([1]ratio_ins!T:T,MATCH('001_population_health_zone_zs'!$B$2,[1]ratio_ins!$B:$B,0))*$G437*INDEX([1]ratio_ins!$C:$C,MATCH('001_population_health_zone_zs'!$B437,[1]ratio_ins!$B:$B,0))</f>
        <v>2107.8683999999998</v>
      </c>
      <c r="W437" s="11">
        <f>INDEX([1]ratio_ins!U:U,MATCH('001_population_health_zone_zs'!$B$2,[1]ratio_ins!$B:$B,0))*$G437*INDEX([1]ratio_ins!$C:$C,MATCH('001_population_health_zone_zs'!$B437,[1]ratio_ins!$B:$B,0))</f>
        <v>57502.649952</v>
      </c>
      <c r="X437" s="10">
        <f>INDEX([1]ratio_ins!V:V,MATCH('001_population_health_zone_zs'!$B$2,[1]ratio_ins!$B:$B,0))*$G437*INDEX([1]ratio_ins!$C:$C,MATCH('001_population_health_zone_zs'!$B437,[1]ratio_ins!$B:$B,0))</f>
        <v>1686.2947199999999</v>
      </c>
      <c r="Y437" s="10">
        <f>INDEX([1]ratio_ins!W:W,MATCH('001_population_health_zone_zs'!$B$2,[1]ratio_ins!$B:$B,0))*$G437*INDEX([1]ratio_ins!$C:$C,MATCH('001_population_health_zone_zs'!$B437,[1]ratio_ins!$B:$B,0))</f>
        <v>1124.1964800000001</v>
      </c>
      <c r="Z437" s="10">
        <f>INDEX([1]ratio_ins!X:X,MATCH('001_population_health_zone_zs'!$B$2,[1]ratio_ins!$B:$B,0))*$G437*INDEX([1]ratio_ins!$C:$C,MATCH('001_population_health_zone_zs'!$B437,[1]ratio_ins!$B:$B,0))</f>
        <v>562.09824000000003</v>
      </c>
      <c r="AA437" s="10">
        <f>INDEX([1]ratio_ins!Y:Y,MATCH('001_population_health_zone_zs'!$B$2,[1]ratio_ins!$B:$B,0))*$G437*INDEX([1]ratio_ins!$C:$C,MATCH('001_population_health_zone_zs'!$B437,[1]ratio_ins!$B:$B,0))</f>
        <v>281.04912000000002</v>
      </c>
      <c r="AB437" s="11">
        <f>INDEX([1]ratio_ins!Z:Z,MATCH('001_population_health_zone_zs'!$B$2,[1]ratio_ins!$B:$B,0))*$G437*INDEX([1]ratio_ins!$C:$C,MATCH('001_population_health_zone_zs'!$B437,[1]ratio_ins!$B:$B,0))</f>
        <v>3653.6385600000003</v>
      </c>
      <c r="AC437" s="12">
        <f t="shared" si="36"/>
        <v>140524.56</v>
      </c>
      <c r="AD437" s="10">
        <f>INDEX([1]ratio_ins!AA:AA,MATCH('001_population_health_zone_zs'!$B$2,[1]ratio_ins!$B:$B,0))*$G437*INDEX([1]ratio_ins!$D:$D,MATCH('001_population_health_zone_zs'!$B437,[1]ratio_ins!$B:$B,0))</f>
        <v>30106.322399999997</v>
      </c>
      <c r="AE437" s="10">
        <f>INDEX([1]ratio_ins!AB:AB,MATCH('001_population_health_zone_zs'!$B$2,[1]ratio_ins!$B:$B,0))*$G437*INDEX([1]ratio_ins!$D:$D,MATCH('001_population_health_zone_zs'!$B437,[1]ratio_ins!$B:$B,0))</f>
        <v>24801.875120000001</v>
      </c>
      <c r="AF437" s="10">
        <f>INDEX([1]ratio_ins!AC:AC,MATCH('001_population_health_zone_zs'!$B$2,[1]ratio_ins!$B:$B,0))*$G437*INDEX([1]ratio_ins!$D:$D,MATCH('001_population_health_zone_zs'!$B437,[1]ratio_ins!$B:$B,0))</f>
        <v>19640.791279999998</v>
      </c>
      <c r="AG437" s="10">
        <f>INDEX([1]ratio_ins!AD:AD,MATCH('001_population_health_zone_zs'!$B$2,[1]ratio_ins!$B:$B,0))*$G437*INDEX([1]ratio_ins!$D:$D,MATCH('001_population_health_zone_zs'!$B437,[1]ratio_ins!$B:$B,0))</f>
        <v>11899.16552</v>
      </c>
      <c r="AH437" s="10">
        <f>INDEX([1]ratio_ins!AE:AE,MATCH('001_population_health_zone_zs'!$B$2,[1]ratio_ins!$B:$B,0))*$G437*INDEX([1]ratio_ins!$D:$D,MATCH('001_population_health_zone_zs'!$B437,[1]ratio_ins!$B:$B,0))</f>
        <v>7139.499311999999</v>
      </c>
      <c r="AI437" s="13">
        <f>INDEX([1]ratio_ins!AF:AF,MATCH('001_population_health_zone_zs'!$B$2,[1]ratio_ins!$B:$B,0))*$G437*INDEX([1]ratio_ins!$D:$D,MATCH('001_population_health_zone_zs'!$B437,[1]ratio_ins!$B:$B,0))</f>
        <v>81688.488112000006</v>
      </c>
      <c r="AJ437" s="10">
        <f>INDEX([1]ratio_ins!AG:AG,MATCH('001_population_health_zone_zs'!$B$2,[1]ratio_ins!$B:$B,0))*$G437*INDEX([1]ratio_ins!$D:$D,MATCH('001_population_health_zone_zs'!$B437,[1]ratio_ins!$B:$B,0))</f>
        <v>4759.6662079999996</v>
      </c>
      <c r="AK437" s="10">
        <f>INDEX([1]ratio_ins!AH:AH,MATCH('001_population_health_zone_zs'!$B$2,[1]ratio_ins!$B:$B,0))*$G437*INDEX([1]ratio_ins!$D:$D,MATCH('001_population_health_zone_zs'!$B437,[1]ratio_ins!$B:$B,0))</f>
        <v>10608.894560000002</v>
      </c>
      <c r="AL437" s="10">
        <f>INDEX([1]ratio_ins!AI:AI,MATCH('001_population_health_zone_zs'!$B$2,[1]ratio_ins!$B:$B,0))*$G437*INDEX([1]ratio_ins!$D:$D,MATCH('001_population_health_zone_zs'!$B437,[1]ratio_ins!$B:$B,0))</f>
        <v>10035.440800000002</v>
      </c>
      <c r="AM437" s="10">
        <f>INDEX([1]ratio_ins!AJ:AJ,MATCH('001_population_health_zone_zs'!$B$2,[1]ratio_ins!$B:$B,0))*$G437*INDEX([1]ratio_ins!$D:$D,MATCH('001_population_health_zone_zs'!$B437,[1]ratio_ins!$B:$B,0))</f>
        <v>9175.2601600000016</v>
      </c>
      <c r="AN437" s="10">
        <f>INDEX([1]ratio_ins!AK:AK,MATCH('001_population_health_zone_zs'!$B$2,[1]ratio_ins!$B:$B,0))*$G437*INDEX([1]ratio_ins!$D:$D,MATCH('001_population_health_zone_zs'!$B437,[1]ratio_ins!$B:$B,0))</f>
        <v>8601.8063999999995</v>
      </c>
      <c r="AO437" s="10">
        <f>INDEX([1]ratio_ins!AL:AL,MATCH('001_population_health_zone_zs'!$B$2,[1]ratio_ins!$B:$B,0))*$G437*INDEX([1]ratio_ins!$D:$D,MATCH('001_population_health_zone_zs'!$B437,[1]ratio_ins!$B:$B,0))</f>
        <v>6451.3548000000001</v>
      </c>
      <c r="AP437" s="10">
        <f>INDEX([1]ratio_ins!AM:AM,MATCH('001_population_health_zone_zs'!$B$2,[1]ratio_ins!$B:$B,0))*$G437*INDEX([1]ratio_ins!$D:$D,MATCH('001_population_health_zone_zs'!$B437,[1]ratio_ins!$B:$B,0))</f>
        <v>4157.5397599999997</v>
      </c>
      <c r="AQ437" s="10">
        <f>INDEX([1]ratio_ins!AN:AN,MATCH('001_population_health_zone_zs'!$B$2,[1]ratio_ins!$B:$B,0))*$G437*INDEX([1]ratio_ins!$D:$D,MATCH('001_population_health_zone_zs'!$B437,[1]ratio_ins!$B:$B,0))</f>
        <v>3297.3591200000001</v>
      </c>
      <c r="AR437" s="10">
        <f>INDEX([1]ratio_ins!AO:AO,MATCH('001_population_health_zone_zs'!$B$2,[1]ratio_ins!$B:$B,0))*$G437*INDEX([1]ratio_ins!$D:$D,MATCH('001_population_health_zone_zs'!$B437,[1]ratio_ins!$B:$B,0))</f>
        <v>1576.9978400000002</v>
      </c>
      <c r="AS437" s="13">
        <f>INDEX([1]ratio_ins!AP:AP,MATCH('001_population_health_zone_zs'!$B$2,[1]ratio_ins!$B:$B,0))*$G437*INDEX([1]ratio_ins!$D:$D,MATCH('001_population_health_zone_zs'!$B437,[1]ratio_ins!$B:$B,0))</f>
        <v>58664.319647999997</v>
      </c>
      <c r="AT437" s="10">
        <f>INDEX([1]ratio_ins!AQ:AQ,MATCH('001_population_health_zone_zs'!$B$2,[1]ratio_ins!$B:$B,0))*$G437*INDEX([1]ratio_ins!$D:$D,MATCH('001_population_health_zone_zs'!$B437,[1]ratio_ins!$B:$B,0))</f>
        <v>1433.6344000000001</v>
      </c>
      <c r="AU437" s="10">
        <f>INDEX([1]ratio_ins!AR:AR,MATCH('001_population_health_zone_zs'!$B$2,[1]ratio_ins!$B:$B,0))*$G437*INDEX([1]ratio_ins!$D:$D,MATCH('001_population_health_zone_zs'!$B437,[1]ratio_ins!$B:$B,0))</f>
        <v>860.18064000000004</v>
      </c>
      <c r="AV437" s="10">
        <f>INDEX([1]ratio_ins!AS:AS,MATCH('001_population_health_zone_zs'!$B$2,[1]ratio_ins!$B:$B,0))*$G437*INDEX([1]ratio_ins!$D:$D,MATCH('001_population_health_zone_zs'!$B437,[1]ratio_ins!$B:$B,0))</f>
        <v>430.09032000000002</v>
      </c>
      <c r="AW437" s="10">
        <f>INDEX([1]ratio_ins!AT:AT,MATCH('001_population_health_zone_zs'!$B$2,[1]ratio_ins!$B:$B,0))*$G437*INDEX([1]ratio_ins!$D:$D,MATCH('001_population_health_zone_zs'!$B437,[1]ratio_ins!$B:$B,0))</f>
        <v>286.72688000000005</v>
      </c>
      <c r="AX437" s="13">
        <f>INDEX([1]ratio_ins!AU:AU,MATCH('001_population_health_zone_zs'!$B$2,[1]ratio_ins!$B:$B,0))*$G437*INDEX([1]ratio_ins!$D:$D,MATCH('001_population_health_zone_zs'!$B437,[1]ratio_ins!$B:$B,0))</f>
        <v>3010.6322399999995</v>
      </c>
      <c r="AY437" s="14">
        <f t="shared" si="37"/>
        <v>143363.44</v>
      </c>
      <c r="AZ437" s="15">
        <f t="shared" si="38"/>
        <v>283888</v>
      </c>
      <c r="BA437" s="16">
        <v>271624.76938505349</v>
      </c>
      <c r="BB437" s="10">
        <f t="shared" si="39"/>
        <v>60929.462000000014</v>
      </c>
      <c r="BC437" s="17">
        <f t="shared" si="40"/>
        <v>0.21462500000000004</v>
      </c>
      <c r="BD437" s="10">
        <f t="shared" si="41"/>
        <v>58598.741519999996</v>
      </c>
    </row>
    <row r="438" spans="1:56" x14ac:dyDescent="0.25">
      <c r="A438" s="8" t="s">
        <v>1045</v>
      </c>
      <c r="B438" s="8" t="s">
        <v>1046</v>
      </c>
      <c r="C438" s="8" t="s">
        <v>1073</v>
      </c>
      <c r="D438" s="8" t="s">
        <v>1074</v>
      </c>
      <c r="E438" s="8" t="s">
        <v>1073</v>
      </c>
      <c r="F438" s="8" t="s">
        <v>1079</v>
      </c>
      <c r="G438" s="9">
        <v>307666</v>
      </c>
      <c r="H438" s="10">
        <f>INDEX([1]ratio_ins!F:F,MATCH('001_population_health_zone_zs'!$B$2,[1]ratio_ins!$B:$B,0))*$G438*INDEX([1]ratio_ins!$C:$C,MATCH('001_population_health_zone_zs'!$B438,[1]ratio_ins!$B:$B,0))</f>
        <v>31829.586029999999</v>
      </c>
      <c r="I438" s="10">
        <f>INDEX([1]ratio_ins!G:G,MATCH('001_population_health_zone_zs'!$B$2,[1]ratio_ins!$B:$B,0))*$G438*INDEX([1]ratio_ins!$C:$C,MATCH('001_population_health_zone_zs'!$B438,[1]ratio_ins!$B:$B,0))</f>
        <v>26042.388570000003</v>
      </c>
      <c r="J438" s="10">
        <f>INDEX([1]ratio_ins!H:H,MATCH('001_population_health_zone_zs'!$B$2,[1]ratio_ins!$B:$B,0))*$G438*INDEX([1]ratio_ins!$C:$C,MATCH('001_population_health_zone_zs'!$B438,[1]ratio_ins!$B:$B,0))</f>
        <v>20559.780450000002</v>
      </c>
      <c r="K438" s="10">
        <f>INDEX([1]ratio_ins!I:I,MATCH('001_population_health_zone_zs'!$B$2,[1]ratio_ins!$B:$B,0))*$G438*INDEX([1]ratio_ins!$C:$C,MATCH('001_population_health_zone_zs'!$B438,[1]ratio_ins!$B:$B,0))</f>
        <v>12640.457610000001</v>
      </c>
      <c r="L438" s="10">
        <f>INDEX([1]ratio_ins!J:J,MATCH('001_population_health_zone_zs'!$B$2,[1]ratio_ins!$B:$B,0))*$G438*INDEX([1]ratio_ins!$C:$C,MATCH('001_population_health_zone_zs'!$B438,[1]ratio_ins!$B:$B,0))</f>
        <v>7584.274566</v>
      </c>
      <c r="M438" s="11">
        <f>INDEX([1]ratio_ins!K:K,MATCH('001_population_health_zone_zs'!$B$2,[1]ratio_ins!$B:$B,0))*$G438*INDEX([1]ratio_ins!$C:$C,MATCH('001_population_health_zone_zs'!$B438,[1]ratio_ins!$B:$B,0))</f>
        <v>86016.029616</v>
      </c>
      <c r="N438" s="10">
        <f>INDEX([1]ratio_ins!L:L,MATCH('001_population_health_zone_zs'!$B$2,[1]ratio_ins!$B:$B,0))*$G438*INDEX([1]ratio_ins!$C:$C,MATCH('001_population_health_zone_zs'!$B438,[1]ratio_ins!$B:$B,0))</f>
        <v>5056.1830440000003</v>
      </c>
      <c r="O438" s="10">
        <f>INDEX([1]ratio_ins!M:M,MATCH('001_population_health_zone_zs'!$B$2,[1]ratio_ins!$B:$B,0))*$G438*INDEX([1]ratio_ins!$C:$C,MATCH('001_population_health_zone_zs'!$B438,[1]ratio_ins!$B:$B,0))</f>
        <v>10965.21624</v>
      </c>
      <c r="P438" s="10">
        <f>INDEX([1]ratio_ins!N:N,MATCH('001_population_health_zone_zs'!$B$2,[1]ratio_ins!$B:$B,0))*$G438*INDEX([1]ratio_ins!$C:$C,MATCH('001_population_health_zone_zs'!$B438,[1]ratio_ins!$B:$B,0))</f>
        <v>9899.1535500000009</v>
      </c>
      <c r="Q438" s="10">
        <f>INDEX([1]ratio_ins!O:O,MATCH('001_population_health_zone_zs'!$B$2,[1]ratio_ins!$B:$B,0))*$G438*INDEX([1]ratio_ins!$C:$C,MATCH('001_population_health_zone_zs'!$B438,[1]ratio_ins!$B:$B,0))</f>
        <v>8833.0908599999984</v>
      </c>
      <c r="R438" s="10">
        <f>INDEX([1]ratio_ins!P:P,MATCH('001_population_health_zone_zs'!$B$2,[1]ratio_ins!$B:$B,0))*$G438*INDEX([1]ratio_ins!$C:$C,MATCH('001_population_health_zone_zs'!$B438,[1]ratio_ins!$B:$B,0))</f>
        <v>8680.7961899999991</v>
      </c>
      <c r="S438" s="10">
        <f>INDEX([1]ratio_ins!Q:Q,MATCH('001_population_health_zone_zs'!$B$2,[1]ratio_ins!$B:$B,0))*$G438*INDEX([1]ratio_ins!$C:$C,MATCH('001_population_health_zone_zs'!$B438,[1]ratio_ins!$B:$B,0))</f>
        <v>7310.1441600000007</v>
      </c>
      <c r="T438" s="10">
        <f>INDEX([1]ratio_ins!R:R,MATCH('001_population_health_zone_zs'!$B$2,[1]ratio_ins!$B:$B,0))*$G438*INDEX([1]ratio_ins!$C:$C,MATCH('001_population_health_zone_zs'!$B438,[1]ratio_ins!$B:$B,0))</f>
        <v>5178.0187800000003</v>
      </c>
      <c r="U438" s="10">
        <f>INDEX([1]ratio_ins!S:S,MATCH('001_population_health_zone_zs'!$B$2,[1]ratio_ins!$B:$B,0))*$G438*INDEX([1]ratio_ins!$C:$C,MATCH('001_population_health_zone_zs'!$B438,[1]ratio_ins!$B:$B,0))</f>
        <v>4111.9560900000006</v>
      </c>
      <c r="V438" s="10">
        <f>INDEX([1]ratio_ins!T:T,MATCH('001_population_health_zone_zs'!$B$2,[1]ratio_ins!$B:$B,0))*$G438*INDEX([1]ratio_ins!$C:$C,MATCH('001_population_health_zone_zs'!$B438,[1]ratio_ins!$B:$B,0))</f>
        <v>2284.4200499999997</v>
      </c>
      <c r="W438" s="11">
        <f>INDEX([1]ratio_ins!U:U,MATCH('001_population_health_zone_zs'!$B$2,[1]ratio_ins!$B:$B,0))*$G438*INDEX([1]ratio_ins!$C:$C,MATCH('001_population_health_zone_zs'!$B438,[1]ratio_ins!$B:$B,0))</f>
        <v>62318.978964000002</v>
      </c>
      <c r="X438" s="10">
        <f>INDEX([1]ratio_ins!V:V,MATCH('001_population_health_zone_zs'!$B$2,[1]ratio_ins!$B:$B,0))*$G438*INDEX([1]ratio_ins!$C:$C,MATCH('001_population_health_zone_zs'!$B438,[1]ratio_ins!$B:$B,0))</f>
        <v>1827.5360400000002</v>
      </c>
      <c r="Y438" s="10">
        <f>INDEX([1]ratio_ins!W:W,MATCH('001_population_health_zone_zs'!$B$2,[1]ratio_ins!$B:$B,0))*$G438*INDEX([1]ratio_ins!$C:$C,MATCH('001_population_health_zone_zs'!$B438,[1]ratio_ins!$B:$B,0))</f>
        <v>1218.35736</v>
      </c>
      <c r="Z438" s="10">
        <f>INDEX([1]ratio_ins!X:X,MATCH('001_population_health_zone_zs'!$B$2,[1]ratio_ins!$B:$B,0))*$G438*INDEX([1]ratio_ins!$C:$C,MATCH('001_population_health_zone_zs'!$B438,[1]ratio_ins!$B:$B,0))</f>
        <v>609.17867999999999</v>
      </c>
      <c r="AA438" s="10">
        <f>INDEX([1]ratio_ins!Y:Y,MATCH('001_population_health_zone_zs'!$B$2,[1]ratio_ins!$B:$B,0))*$G438*INDEX([1]ratio_ins!$C:$C,MATCH('001_population_health_zone_zs'!$B438,[1]ratio_ins!$B:$B,0))</f>
        <v>304.58933999999999</v>
      </c>
      <c r="AB438" s="11">
        <f>INDEX([1]ratio_ins!Z:Z,MATCH('001_population_health_zone_zs'!$B$2,[1]ratio_ins!$B:$B,0))*$G438*INDEX([1]ratio_ins!$C:$C,MATCH('001_population_health_zone_zs'!$B438,[1]ratio_ins!$B:$B,0))</f>
        <v>3959.6614200000004</v>
      </c>
      <c r="AC438" s="12">
        <f t="shared" si="36"/>
        <v>152294.66999999998</v>
      </c>
      <c r="AD438" s="10">
        <f>INDEX([1]ratio_ins!AA:AA,MATCH('001_population_health_zone_zs'!$B$2,[1]ratio_ins!$B:$B,0))*$G438*INDEX([1]ratio_ins!$D:$D,MATCH('001_population_health_zone_zs'!$B438,[1]ratio_ins!$B:$B,0))</f>
        <v>32627.979299999999</v>
      </c>
      <c r="AE438" s="10">
        <f>INDEX([1]ratio_ins!AB:AB,MATCH('001_population_health_zone_zs'!$B$2,[1]ratio_ins!$B:$B,0))*$G438*INDEX([1]ratio_ins!$D:$D,MATCH('001_population_health_zone_zs'!$B438,[1]ratio_ins!$B:$B,0))</f>
        <v>26879.240090000003</v>
      </c>
      <c r="AF438" s="10">
        <f>INDEX([1]ratio_ins!AC:AC,MATCH('001_population_health_zone_zs'!$B$2,[1]ratio_ins!$B:$B,0))*$G438*INDEX([1]ratio_ins!$D:$D,MATCH('001_population_health_zone_zs'!$B438,[1]ratio_ins!$B:$B,0))</f>
        <v>21285.872209999998</v>
      </c>
      <c r="AG438" s="10">
        <f>INDEX([1]ratio_ins!AD:AD,MATCH('001_population_health_zone_zs'!$B$2,[1]ratio_ins!$B:$B,0))*$G438*INDEX([1]ratio_ins!$D:$D,MATCH('001_population_health_zone_zs'!$B438,[1]ratio_ins!$B:$B,0))</f>
        <v>12895.820390000001</v>
      </c>
      <c r="AH438" s="10">
        <f>INDEX([1]ratio_ins!AE:AE,MATCH('001_population_health_zone_zs'!$B$2,[1]ratio_ins!$B:$B,0))*$G438*INDEX([1]ratio_ins!$D:$D,MATCH('001_population_health_zone_zs'!$B438,[1]ratio_ins!$B:$B,0))</f>
        <v>7737.4922339999994</v>
      </c>
      <c r="AI438" s="13">
        <f>INDEX([1]ratio_ins!AF:AF,MATCH('001_population_health_zone_zs'!$B$2,[1]ratio_ins!$B:$B,0))*$G438*INDEX([1]ratio_ins!$D:$D,MATCH('001_population_health_zone_zs'!$B438,[1]ratio_ins!$B:$B,0))</f>
        <v>88530.58383399999</v>
      </c>
      <c r="AJ438" s="10">
        <f>INDEX([1]ratio_ins!AG:AG,MATCH('001_population_health_zone_zs'!$B$2,[1]ratio_ins!$B:$B,0))*$G438*INDEX([1]ratio_ins!$D:$D,MATCH('001_population_health_zone_zs'!$B438,[1]ratio_ins!$B:$B,0))</f>
        <v>5158.3281560000005</v>
      </c>
      <c r="AK438" s="10">
        <f>INDEX([1]ratio_ins!AH:AH,MATCH('001_population_health_zone_zs'!$B$2,[1]ratio_ins!$B:$B,0))*$G438*INDEX([1]ratio_ins!$D:$D,MATCH('001_population_health_zone_zs'!$B438,[1]ratio_ins!$B:$B,0))</f>
        <v>11497.478420000001</v>
      </c>
      <c r="AL438" s="10">
        <f>INDEX([1]ratio_ins!AI:AI,MATCH('001_population_health_zone_zs'!$B$2,[1]ratio_ins!$B:$B,0))*$G438*INDEX([1]ratio_ins!$D:$D,MATCH('001_population_health_zone_zs'!$B438,[1]ratio_ins!$B:$B,0))</f>
        <v>10875.993100000002</v>
      </c>
      <c r="AM438" s="10">
        <f>INDEX([1]ratio_ins!AJ:AJ,MATCH('001_population_health_zone_zs'!$B$2,[1]ratio_ins!$B:$B,0))*$G438*INDEX([1]ratio_ins!$D:$D,MATCH('001_population_health_zone_zs'!$B438,[1]ratio_ins!$B:$B,0))</f>
        <v>9943.76512</v>
      </c>
      <c r="AN438" s="10">
        <f>INDEX([1]ratio_ins!AK:AK,MATCH('001_population_health_zone_zs'!$B$2,[1]ratio_ins!$B:$B,0))*$G438*INDEX([1]ratio_ins!$D:$D,MATCH('001_population_health_zone_zs'!$B438,[1]ratio_ins!$B:$B,0))</f>
        <v>9322.2798000000003</v>
      </c>
      <c r="AO438" s="10">
        <f>INDEX([1]ratio_ins!AL:AL,MATCH('001_population_health_zone_zs'!$B$2,[1]ratio_ins!$B:$B,0))*$G438*INDEX([1]ratio_ins!$D:$D,MATCH('001_population_health_zone_zs'!$B438,[1]ratio_ins!$B:$B,0))</f>
        <v>6991.7098499999993</v>
      </c>
      <c r="AP438" s="10">
        <f>INDEX([1]ratio_ins!AM:AM,MATCH('001_population_health_zone_zs'!$B$2,[1]ratio_ins!$B:$B,0))*$G438*INDEX([1]ratio_ins!$D:$D,MATCH('001_population_health_zone_zs'!$B438,[1]ratio_ins!$B:$B,0))</f>
        <v>4505.7685699999993</v>
      </c>
      <c r="AQ438" s="10">
        <f>INDEX([1]ratio_ins!AN:AN,MATCH('001_population_health_zone_zs'!$B$2,[1]ratio_ins!$B:$B,0))*$G438*INDEX([1]ratio_ins!$D:$D,MATCH('001_population_health_zone_zs'!$B438,[1]ratio_ins!$B:$B,0))</f>
        <v>3573.5405900000001</v>
      </c>
      <c r="AR438" s="10">
        <f>INDEX([1]ratio_ins!AO:AO,MATCH('001_population_health_zone_zs'!$B$2,[1]ratio_ins!$B:$B,0))*$G438*INDEX([1]ratio_ins!$D:$D,MATCH('001_population_health_zone_zs'!$B438,[1]ratio_ins!$B:$B,0))</f>
        <v>1709.0846300000003</v>
      </c>
      <c r="AS438" s="13">
        <f>INDEX([1]ratio_ins!AP:AP,MATCH('001_population_health_zone_zs'!$B$2,[1]ratio_ins!$B:$B,0))*$G438*INDEX([1]ratio_ins!$D:$D,MATCH('001_population_health_zone_zs'!$B438,[1]ratio_ins!$B:$B,0))</f>
        <v>63577.948236000004</v>
      </c>
      <c r="AT438" s="10">
        <f>INDEX([1]ratio_ins!AQ:AQ,MATCH('001_population_health_zone_zs'!$B$2,[1]ratio_ins!$B:$B,0))*$G438*INDEX([1]ratio_ins!$D:$D,MATCH('001_population_health_zone_zs'!$B438,[1]ratio_ins!$B:$B,0))</f>
        <v>1553.7132999999999</v>
      </c>
      <c r="AU438" s="10">
        <f>INDEX([1]ratio_ins!AR:AR,MATCH('001_population_health_zone_zs'!$B$2,[1]ratio_ins!$B:$B,0))*$G438*INDEX([1]ratio_ins!$D:$D,MATCH('001_population_health_zone_zs'!$B438,[1]ratio_ins!$B:$B,0))</f>
        <v>932.22798</v>
      </c>
      <c r="AV438" s="10">
        <f>INDEX([1]ratio_ins!AS:AS,MATCH('001_population_health_zone_zs'!$B$2,[1]ratio_ins!$B:$B,0))*$G438*INDEX([1]ratio_ins!$D:$D,MATCH('001_population_health_zone_zs'!$B438,[1]ratio_ins!$B:$B,0))</f>
        <v>466.11399</v>
      </c>
      <c r="AW438" s="10">
        <f>INDEX([1]ratio_ins!AT:AT,MATCH('001_population_health_zone_zs'!$B$2,[1]ratio_ins!$B:$B,0))*$G438*INDEX([1]ratio_ins!$D:$D,MATCH('001_population_health_zone_zs'!$B438,[1]ratio_ins!$B:$B,0))</f>
        <v>310.74266</v>
      </c>
      <c r="AX438" s="13">
        <f>INDEX([1]ratio_ins!AU:AU,MATCH('001_population_health_zone_zs'!$B$2,[1]ratio_ins!$B:$B,0))*$G438*INDEX([1]ratio_ins!$D:$D,MATCH('001_population_health_zone_zs'!$B438,[1]ratio_ins!$B:$B,0))</f>
        <v>3262.7979299999997</v>
      </c>
      <c r="AY438" s="14">
        <f t="shared" si="37"/>
        <v>155371.32999999999</v>
      </c>
      <c r="AZ438" s="15">
        <f t="shared" si="38"/>
        <v>307666</v>
      </c>
      <c r="BA438" s="16">
        <v>294374.8590478315</v>
      </c>
      <c r="BB438" s="10">
        <f t="shared" si="39"/>
        <v>66032.81525</v>
      </c>
      <c r="BC438" s="17">
        <f t="shared" si="40"/>
        <v>0.21462500000000001</v>
      </c>
      <c r="BD438" s="10">
        <f t="shared" si="41"/>
        <v>63506.877390000001</v>
      </c>
    </row>
    <row r="439" spans="1:56" x14ac:dyDescent="0.25">
      <c r="A439" s="8" t="s">
        <v>1045</v>
      </c>
      <c r="B439" s="8" t="s">
        <v>1046</v>
      </c>
      <c r="C439" s="8" t="s">
        <v>1080</v>
      </c>
      <c r="D439" s="8" t="s">
        <v>1081</v>
      </c>
      <c r="E439" s="8" t="s">
        <v>1082</v>
      </c>
      <c r="F439" s="8" t="s">
        <v>1083</v>
      </c>
      <c r="G439" s="9">
        <v>187291</v>
      </c>
      <c r="H439" s="10">
        <f>INDEX([1]ratio_ins!F:F,MATCH('001_population_health_zone_zs'!$B$2,[1]ratio_ins!$B:$B,0))*$G439*INDEX([1]ratio_ins!$C:$C,MATCH('001_population_health_zone_zs'!$B439,[1]ratio_ins!$B:$B,0))</f>
        <v>19376.190404999998</v>
      </c>
      <c r="I439" s="10">
        <f>INDEX([1]ratio_ins!G:G,MATCH('001_population_health_zone_zs'!$B$2,[1]ratio_ins!$B:$B,0))*$G439*INDEX([1]ratio_ins!$C:$C,MATCH('001_population_health_zone_zs'!$B439,[1]ratio_ins!$B:$B,0))</f>
        <v>15853.246695000002</v>
      </c>
      <c r="J439" s="10">
        <f>INDEX([1]ratio_ins!H:H,MATCH('001_population_health_zone_zs'!$B$2,[1]ratio_ins!$B:$B,0))*$G439*INDEX([1]ratio_ins!$C:$C,MATCH('001_population_health_zone_zs'!$B439,[1]ratio_ins!$B:$B,0))</f>
        <v>12515.721074999999</v>
      </c>
      <c r="K439" s="10">
        <f>INDEX([1]ratio_ins!I:I,MATCH('001_population_health_zone_zs'!$B$2,[1]ratio_ins!$B:$B,0))*$G439*INDEX([1]ratio_ins!$C:$C,MATCH('001_population_health_zone_zs'!$B439,[1]ratio_ins!$B:$B,0))</f>
        <v>7694.850735</v>
      </c>
      <c r="L439" s="10">
        <f>INDEX([1]ratio_ins!J:J,MATCH('001_population_health_zone_zs'!$B$2,[1]ratio_ins!$B:$B,0))*$G439*INDEX([1]ratio_ins!$C:$C,MATCH('001_population_health_zone_zs'!$B439,[1]ratio_ins!$B:$B,0))</f>
        <v>4616.910441</v>
      </c>
      <c r="M439" s="11">
        <f>INDEX([1]ratio_ins!K:K,MATCH('001_population_health_zone_zs'!$B$2,[1]ratio_ins!$B:$B,0))*$G439*INDEX([1]ratio_ins!$C:$C,MATCH('001_population_health_zone_zs'!$B439,[1]ratio_ins!$B:$B,0))</f>
        <v>52362.068615999997</v>
      </c>
      <c r="N439" s="10">
        <f>INDEX([1]ratio_ins!L:L,MATCH('001_population_health_zone_zs'!$B$2,[1]ratio_ins!$B:$B,0))*$G439*INDEX([1]ratio_ins!$C:$C,MATCH('001_population_health_zone_zs'!$B439,[1]ratio_ins!$B:$B,0))</f>
        <v>3077.940294</v>
      </c>
      <c r="O439" s="10">
        <f>INDEX([1]ratio_ins!M:M,MATCH('001_population_health_zone_zs'!$B$2,[1]ratio_ins!$B:$B,0))*$G439*INDEX([1]ratio_ins!$C:$C,MATCH('001_population_health_zone_zs'!$B439,[1]ratio_ins!$B:$B,0))</f>
        <v>6675.0512400000007</v>
      </c>
      <c r="P439" s="10">
        <f>INDEX([1]ratio_ins!N:N,MATCH('001_population_health_zone_zs'!$B$2,[1]ratio_ins!$B:$B,0))*$G439*INDEX([1]ratio_ins!$C:$C,MATCH('001_population_health_zone_zs'!$B439,[1]ratio_ins!$B:$B,0))</f>
        <v>6026.0879250000007</v>
      </c>
      <c r="Q439" s="10">
        <f>INDEX([1]ratio_ins!O:O,MATCH('001_population_health_zone_zs'!$B$2,[1]ratio_ins!$B:$B,0))*$G439*INDEX([1]ratio_ins!$C:$C,MATCH('001_population_health_zone_zs'!$B439,[1]ratio_ins!$B:$B,0))</f>
        <v>5377.1246099999989</v>
      </c>
      <c r="R439" s="10">
        <f>INDEX([1]ratio_ins!P:P,MATCH('001_population_health_zone_zs'!$B$2,[1]ratio_ins!$B:$B,0))*$G439*INDEX([1]ratio_ins!$C:$C,MATCH('001_population_health_zone_zs'!$B439,[1]ratio_ins!$B:$B,0))</f>
        <v>5284.4155649999993</v>
      </c>
      <c r="S439" s="10">
        <f>INDEX([1]ratio_ins!Q:Q,MATCH('001_population_health_zone_zs'!$B$2,[1]ratio_ins!$B:$B,0))*$G439*INDEX([1]ratio_ins!$C:$C,MATCH('001_population_health_zone_zs'!$B439,[1]ratio_ins!$B:$B,0))</f>
        <v>4450.0341600000002</v>
      </c>
      <c r="T439" s="10">
        <f>INDEX([1]ratio_ins!R:R,MATCH('001_population_health_zone_zs'!$B$2,[1]ratio_ins!$B:$B,0))*$G439*INDEX([1]ratio_ins!$C:$C,MATCH('001_population_health_zone_zs'!$B439,[1]ratio_ins!$B:$B,0))</f>
        <v>3152.1075300000002</v>
      </c>
      <c r="U439" s="10">
        <f>INDEX([1]ratio_ins!S:S,MATCH('001_population_health_zone_zs'!$B$2,[1]ratio_ins!$B:$B,0))*$G439*INDEX([1]ratio_ins!$C:$C,MATCH('001_population_health_zone_zs'!$B439,[1]ratio_ins!$B:$B,0))</f>
        <v>2503.1442150000003</v>
      </c>
      <c r="V439" s="10">
        <f>INDEX([1]ratio_ins!T:T,MATCH('001_population_health_zone_zs'!$B$2,[1]ratio_ins!$B:$B,0))*$G439*INDEX([1]ratio_ins!$C:$C,MATCH('001_population_health_zone_zs'!$B439,[1]ratio_ins!$B:$B,0))</f>
        <v>1390.635675</v>
      </c>
      <c r="W439" s="11">
        <f>INDEX([1]ratio_ins!U:U,MATCH('001_population_health_zone_zs'!$B$2,[1]ratio_ins!$B:$B,0))*$G439*INDEX([1]ratio_ins!$C:$C,MATCH('001_population_health_zone_zs'!$B439,[1]ratio_ins!$B:$B,0))</f>
        <v>37936.541214000004</v>
      </c>
      <c r="X439" s="10">
        <f>INDEX([1]ratio_ins!V:V,MATCH('001_population_health_zone_zs'!$B$2,[1]ratio_ins!$B:$B,0))*$G439*INDEX([1]ratio_ins!$C:$C,MATCH('001_population_health_zone_zs'!$B439,[1]ratio_ins!$B:$B,0))</f>
        <v>1112.50854</v>
      </c>
      <c r="Y439" s="10">
        <f>INDEX([1]ratio_ins!W:W,MATCH('001_population_health_zone_zs'!$B$2,[1]ratio_ins!$B:$B,0))*$G439*INDEX([1]ratio_ins!$C:$C,MATCH('001_population_health_zone_zs'!$B439,[1]ratio_ins!$B:$B,0))</f>
        <v>741.67236000000003</v>
      </c>
      <c r="Z439" s="10">
        <f>INDEX([1]ratio_ins!X:X,MATCH('001_population_health_zone_zs'!$B$2,[1]ratio_ins!$B:$B,0))*$G439*INDEX([1]ratio_ins!$C:$C,MATCH('001_population_health_zone_zs'!$B439,[1]ratio_ins!$B:$B,0))</f>
        <v>370.83618000000001</v>
      </c>
      <c r="AA439" s="10">
        <f>INDEX([1]ratio_ins!Y:Y,MATCH('001_population_health_zone_zs'!$B$2,[1]ratio_ins!$B:$B,0))*$G439*INDEX([1]ratio_ins!$C:$C,MATCH('001_population_health_zone_zs'!$B439,[1]ratio_ins!$B:$B,0))</f>
        <v>185.41809000000001</v>
      </c>
      <c r="AB439" s="11">
        <f>INDEX([1]ratio_ins!Z:Z,MATCH('001_population_health_zone_zs'!$B$2,[1]ratio_ins!$B:$B,0))*$G439*INDEX([1]ratio_ins!$C:$C,MATCH('001_population_health_zone_zs'!$B439,[1]ratio_ins!$B:$B,0))</f>
        <v>2410.4351700000002</v>
      </c>
      <c r="AC439" s="12">
        <f t="shared" si="36"/>
        <v>92709.044999999998</v>
      </c>
      <c r="AD439" s="10">
        <f>INDEX([1]ratio_ins!AA:AA,MATCH('001_population_health_zone_zs'!$B$2,[1]ratio_ins!$B:$B,0))*$G439*INDEX([1]ratio_ins!$D:$D,MATCH('001_population_health_zone_zs'!$B439,[1]ratio_ins!$B:$B,0))</f>
        <v>19862.21055</v>
      </c>
      <c r="AE439" s="10">
        <f>INDEX([1]ratio_ins!AB:AB,MATCH('001_population_health_zone_zs'!$B$2,[1]ratio_ins!$B:$B,0))*$G439*INDEX([1]ratio_ins!$D:$D,MATCH('001_population_health_zone_zs'!$B439,[1]ratio_ins!$B:$B,0))</f>
        <v>16362.678215000002</v>
      </c>
      <c r="AF439" s="10">
        <f>INDEX([1]ratio_ins!AC:AC,MATCH('001_population_health_zone_zs'!$B$2,[1]ratio_ins!$B:$B,0))*$G439*INDEX([1]ratio_ins!$D:$D,MATCH('001_population_health_zone_zs'!$B439,[1]ratio_ins!$B:$B,0))</f>
        <v>12957.727835</v>
      </c>
      <c r="AG439" s="10">
        <f>INDEX([1]ratio_ins!AD:AD,MATCH('001_population_health_zone_zs'!$B$2,[1]ratio_ins!$B:$B,0))*$G439*INDEX([1]ratio_ins!$D:$D,MATCH('001_population_health_zone_zs'!$B439,[1]ratio_ins!$B:$B,0))</f>
        <v>7850.3022650000003</v>
      </c>
      <c r="AH439" s="10">
        <f>INDEX([1]ratio_ins!AE:AE,MATCH('001_population_health_zone_zs'!$B$2,[1]ratio_ins!$B:$B,0))*$G439*INDEX([1]ratio_ins!$D:$D,MATCH('001_population_health_zone_zs'!$B439,[1]ratio_ins!$B:$B,0))</f>
        <v>4710.1813590000002</v>
      </c>
      <c r="AI439" s="13">
        <f>INDEX([1]ratio_ins!AF:AF,MATCH('001_population_health_zone_zs'!$B$2,[1]ratio_ins!$B:$B,0))*$G439*INDEX([1]ratio_ins!$D:$D,MATCH('001_population_health_zone_zs'!$B439,[1]ratio_ins!$B:$B,0))</f>
        <v>53892.797959000003</v>
      </c>
      <c r="AJ439" s="10">
        <f>INDEX([1]ratio_ins!AG:AG,MATCH('001_population_health_zone_zs'!$B$2,[1]ratio_ins!$B:$B,0))*$G439*INDEX([1]ratio_ins!$D:$D,MATCH('001_population_health_zone_zs'!$B439,[1]ratio_ins!$B:$B,0))</f>
        <v>3140.1209060000001</v>
      </c>
      <c r="AK439" s="10">
        <f>INDEX([1]ratio_ins!AH:AH,MATCH('001_population_health_zone_zs'!$B$2,[1]ratio_ins!$B:$B,0))*$G439*INDEX([1]ratio_ins!$D:$D,MATCH('001_population_health_zone_zs'!$B439,[1]ratio_ins!$B:$B,0))</f>
        <v>6999.0646700000007</v>
      </c>
      <c r="AL439" s="10">
        <f>INDEX([1]ratio_ins!AI:AI,MATCH('001_population_health_zone_zs'!$B$2,[1]ratio_ins!$B:$B,0))*$G439*INDEX([1]ratio_ins!$D:$D,MATCH('001_population_health_zone_zs'!$B439,[1]ratio_ins!$B:$B,0))</f>
        <v>6620.7368500000002</v>
      </c>
      <c r="AM439" s="10">
        <f>INDEX([1]ratio_ins!AJ:AJ,MATCH('001_population_health_zone_zs'!$B$2,[1]ratio_ins!$B:$B,0))*$G439*INDEX([1]ratio_ins!$D:$D,MATCH('001_population_health_zone_zs'!$B439,[1]ratio_ins!$B:$B,0))</f>
        <v>6053.2451199999996</v>
      </c>
      <c r="AN439" s="10">
        <f>INDEX([1]ratio_ins!AK:AK,MATCH('001_population_health_zone_zs'!$B$2,[1]ratio_ins!$B:$B,0))*$G439*INDEX([1]ratio_ins!$D:$D,MATCH('001_population_health_zone_zs'!$B439,[1]ratio_ins!$B:$B,0))</f>
        <v>5674.9172999999992</v>
      </c>
      <c r="AO439" s="10">
        <f>INDEX([1]ratio_ins!AL:AL,MATCH('001_population_health_zone_zs'!$B$2,[1]ratio_ins!$B:$B,0))*$G439*INDEX([1]ratio_ins!$D:$D,MATCH('001_population_health_zone_zs'!$B439,[1]ratio_ins!$B:$B,0))</f>
        <v>4256.1879749999998</v>
      </c>
      <c r="AP439" s="10">
        <f>INDEX([1]ratio_ins!AM:AM,MATCH('001_population_health_zone_zs'!$B$2,[1]ratio_ins!$B:$B,0))*$G439*INDEX([1]ratio_ins!$D:$D,MATCH('001_population_health_zone_zs'!$B439,[1]ratio_ins!$B:$B,0))</f>
        <v>2742.8766949999999</v>
      </c>
      <c r="AQ439" s="10">
        <f>INDEX([1]ratio_ins!AN:AN,MATCH('001_population_health_zone_zs'!$B$2,[1]ratio_ins!$B:$B,0))*$G439*INDEX([1]ratio_ins!$D:$D,MATCH('001_population_health_zone_zs'!$B439,[1]ratio_ins!$B:$B,0))</f>
        <v>2175.3849650000002</v>
      </c>
      <c r="AR439" s="10">
        <f>INDEX([1]ratio_ins!AO:AO,MATCH('001_population_health_zone_zs'!$B$2,[1]ratio_ins!$B:$B,0))*$G439*INDEX([1]ratio_ins!$D:$D,MATCH('001_population_health_zone_zs'!$B439,[1]ratio_ins!$B:$B,0))</f>
        <v>1040.401505</v>
      </c>
      <c r="AS439" s="13">
        <f>INDEX([1]ratio_ins!AP:AP,MATCH('001_population_health_zone_zs'!$B$2,[1]ratio_ins!$B:$B,0))*$G439*INDEX([1]ratio_ins!$D:$D,MATCH('001_population_health_zone_zs'!$B439,[1]ratio_ins!$B:$B,0))</f>
        <v>38702.935986000004</v>
      </c>
      <c r="AT439" s="10">
        <f>INDEX([1]ratio_ins!AQ:AQ,MATCH('001_population_health_zone_zs'!$B$2,[1]ratio_ins!$B:$B,0))*$G439*INDEX([1]ratio_ins!$D:$D,MATCH('001_population_health_zone_zs'!$B439,[1]ratio_ins!$B:$B,0))</f>
        <v>945.81955000000005</v>
      </c>
      <c r="AU439" s="10">
        <f>INDEX([1]ratio_ins!AR:AR,MATCH('001_population_health_zone_zs'!$B$2,[1]ratio_ins!$B:$B,0))*$G439*INDEX([1]ratio_ins!$D:$D,MATCH('001_population_health_zone_zs'!$B439,[1]ratio_ins!$B:$B,0))</f>
        <v>567.49173000000008</v>
      </c>
      <c r="AV439" s="10">
        <f>INDEX([1]ratio_ins!AS:AS,MATCH('001_population_health_zone_zs'!$B$2,[1]ratio_ins!$B:$B,0))*$G439*INDEX([1]ratio_ins!$D:$D,MATCH('001_population_health_zone_zs'!$B439,[1]ratio_ins!$B:$B,0))</f>
        <v>283.74586500000004</v>
      </c>
      <c r="AW439" s="10">
        <f>INDEX([1]ratio_ins!AT:AT,MATCH('001_population_health_zone_zs'!$B$2,[1]ratio_ins!$B:$B,0))*$G439*INDEX([1]ratio_ins!$D:$D,MATCH('001_population_health_zone_zs'!$B439,[1]ratio_ins!$B:$B,0))</f>
        <v>189.16390999999999</v>
      </c>
      <c r="AX439" s="13">
        <f>INDEX([1]ratio_ins!AU:AU,MATCH('001_population_health_zone_zs'!$B$2,[1]ratio_ins!$B:$B,0))*$G439*INDEX([1]ratio_ins!$D:$D,MATCH('001_population_health_zone_zs'!$B439,[1]ratio_ins!$B:$B,0))</f>
        <v>1986.2210549999998</v>
      </c>
      <c r="AY439" s="14">
        <f t="shared" si="37"/>
        <v>94581.955000000016</v>
      </c>
      <c r="AZ439" s="15">
        <f t="shared" si="38"/>
        <v>187291</v>
      </c>
      <c r="BA439" s="16">
        <v>179200.42971894314</v>
      </c>
      <c r="BB439" s="10">
        <f t="shared" si="39"/>
        <v>40197.330875</v>
      </c>
      <c r="BC439" s="17">
        <f t="shared" si="40"/>
        <v>0.21462500000000001</v>
      </c>
      <c r="BD439" s="10">
        <f t="shared" si="41"/>
        <v>38659.671764999999</v>
      </c>
    </row>
    <row r="440" spans="1:56" x14ac:dyDescent="0.25">
      <c r="A440" s="8" t="s">
        <v>1045</v>
      </c>
      <c r="B440" s="8" t="s">
        <v>1046</v>
      </c>
      <c r="C440" s="8" t="s">
        <v>1080</v>
      </c>
      <c r="D440" s="8" t="s">
        <v>1081</v>
      </c>
      <c r="E440" s="8" t="s">
        <v>1080</v>
      </c>
      <c r="F440" s="8" t="s">
        <v>1084</v>
      </c>
      <c r="G440" s="9">
        <v>204024</v>
      </c>
      <c r="H440" s="10">
        <f>INDEX([1]ratio_ins!F:F,MATCH('001_population_health_zone_zs'!$B$2,[1]ratio_ins!$B:$B,0))*$G440*INDEX([1]ratio_ins!$C:$C,MATCH('001_population_health_zone_zs'!$B440,[1]ratio_ins!$B:$B,0))</f>
        <v>21107.302919999998</v>
      </c>
      <c r="I440" s="10">
        <f>INDEX([1]ratio_ins!G:G,MATCH('001_population_health_zone_zs'!$B$2,[1]ratio_ins!$B:$B,0))*$G440*INDEX([1]ratio_ins!$C:$C,MATCH('001_population_health_zone_zs'!$B440,[1]ratio_ins!$B:$B,0))</f>
        <v>17269.61148</v>
      </c>
      <c r="J440" s="10">
        <f>INDEX([1]ratio_ins!H:H,MATCH('001_population_health_zone_zs'!$B$2,[1]ratio_ins!$B:$B,0))*$G440*INDEX([1]ratio_ins!$C:$C,MATCH('001_population_health_zone_zs'!$B440,[1]ratio_ins!$B:$B,0))</f>
        <v>13633.9038</v>
      </c>
      <c r="K440" s="10">
        <f>INDEX([1]ratio_ins!I:I,MATCH('001_population_health_zone_zs'!$B$2,[1]ratio_ins!$B:$B,0))*$G440*INDEX([1]ratio_ins!$C:$C,MATCH('001_population_health_zone_zs'!$B440,[1]ratio_ins!$B:$B,0))</f>
        <v>8382.3260400000017</v>
      </c>
      <c r="L440" s="10">
        <f>INDEX([1]ratio_ins!J:J,MATCH('001_population_health_zone_zs'!$B$2,[1]ratio_ins!$B:$B,0))*$G440*INDEX([1]ratio_ins!$C:$C,MATCH('001_population_health_zone_zs'!$B440,[1]ratio_ins!$B:$B,0))</f>
        <v>5029.3956239999998</v>
      </c>
      <c r="M440" s="11">
        <f>INDEX([1]ratio_ins!K:K,MATCH('001_population_health_zone_zs'!$B$2,[1]ratio_ins!$B:$B,0))*$G440*INDEX([1]ratio_ins!$C:$C,MATCH('001_population_health_zone_zs'!$B440,[1]ratio_ins!$B:$B,0))</f>
        <v>57040.213823999999</v>
      </c>
      <c r="N440" s="10">
        <f>INDEX([1]ratio_ins!L:L,MATCH('001_population_health_zone_zs'!$B$2,[1]ratio_ins!$B:$B,0))*$G440*INDEX([1]ratio_ins!$C:$C,MATCH('001_population_health_zone_zs'!$B440,[1]ratio_ins!$B:$B,0))</f>
        <v>3352.9304160000002</v>
      </c>
      <c r="O440" s="10">
        <f>INDEX([1]ratio_ins!M:M,MATCH('001_population_health_zone_zs'!$B$2,[1]ratio_ins!$B:$B,0))*$G440*INDEX([1]ratio_ins!$C:$C,MATCH('001_population_health_zone_zs'!$B440,[1]ratio_ins!$B:$B,0))</f>
        <v>7271.41536</v>
      </c>
      <c r="P440" s="10">
        <f>INDEX([1]ratio_ins!N:N,MATCH('001_population_health_zone_zs'!$B$2,[1]ratio_ins!$B:$B,0))*$G440*INDEX([1]ratio_ins!$C:$C,MATCH('001_population_health_zone_zs'!$B440,[1]ratio_ins!$B:$B,0))</f>
        <v>6564.4722000000002</v>
      </c>
      <c r="Q440" s="10">
        <f>INDEX([1]ratio_ins!O:O,MATCH('001_population_health_zone_zs'!$B$2,[1]ratio_ins!$B:$B,0))*$G440*INDEX([1]ratio_ins!$C:$C,MATCH('001_population_health_zone_zs'!$B440,[1]ratio_ins!$B:$B,0))</f>
        <v>5857.5290399999994</v>
      </c>
      <c r="R440" s="10">
        <f>INDEX([1]ratio_ins!P:P,MATCH('001_population_health_zone_zs'!$B$2,[1]ratio_ins!$B:$B,0))*$G440*INDEX([1]ratio_ins!$C:$C,MATCH('001_population_health_zone_zs'!$B440,[1]ratio_ins!$B:$B,0))</f>
        <v>5756.5371599999999</v>
      </c>
      <c r="S440" s="10">
        <f>INDEX([1]ratio_ins!Q:Q,MATCH('001_population_health_zone_zs'!$B$2,[1]ratio_ins!$B:$B,0))*$G440*INDEX([1]ratio_ins!$C:$C,MATCH('001_population_health_zone_zs'!$B440,[1]ratio_ins!$B:$B,0))</f>
        <v>4847.61024</v>
      </c>
      <c r="T440" s="10">
        <f>INDEX([1]ratio_ins!R:R,MATCH('001_population_health_zone_zs'!$B$2,[1]ratio_ins!$B:$B,0))*$G440*INDEX([1]ratio_ins!$C:$C,MATCH('001_population_health_zone_zs'!$B440,[1]ratio_ins!$B:$B,0))</f>
        <v>3433.7239200000004</v>
      </c>
      <c r="U440" s="10">
        <f>INDEX([1]ratio_ins!S:S,MATCH('001_population_health_zone_zs'!$B$2,[1]ratio_ins!$B:$B,0))*$G440*INDEX([1]ratio_ins!$C:$C,MATCH('001_population_health_zone_zs'!$B440,[1]ratio_ins!$B:$B,0))</f>
        <v>2726.7807600000006</v>
      </c>
      <c r="V440" s="10">
        <f>INDEX([1]ratio_ins!T:T,MATCH('001_population_health_zone_zs'!$B$2,[1]ratio_ins!$B:$B,0))*$G440*INDEX([1]ratio_ins!$C:$C,MATCH('001_population_health_zone_zs'!$B440,[1]ratio_ins!$B:$B,0))</f>
        <v>1514.8781999999999</v>
      </c>
      <c r="W440" s="11">
        <f>INDEX([1]ratio_ins!U:U,MATCH('001_population_health_zone_zs'!$B$2,[1]ratio_ins!$B:$B,0))*$G440*INDEX([1]ratio_ins!$C:$C,MATCH('001_population_health_zone_zs'!$B440,[1]ratio_ins!$B:$B,0))</f>
        <v>41325.877295999999</v>
      </c>
      <c r="X440" s="10">
        <f>INDEX([1]ratio_ins!V:V,MATCH('001_population_health_zone_zs'!$B$2,[1]ratio_ins!$B:$B,0))*$G440*INDEX([1]ratio_ins!$C:$C,MATCH('001_population_health_zone_zs'!$B440,[1]ratio_ins!$B:$B,0))</f>
        <v>1211.90256</v>
      </c>
      <c r="Y440" s="10">
        <f>INDEX([1]ratio_ins!W:W,MATCH('001_population_health_zone_zs'!$B$2,[1]ratio_ins!$B:$B,0))*$G440*INDEX([1]ratio_ins!$C:$C,MATCH('001_population_health_zone_zs'!$B440,[1]ratio_ins!$B:$B,0))</f>
        <v>807.93503999999996</v>
      </c>
      <c r="Z440" s="10">
        <f>INDEX([1]ratio_ins!X:X,MATCH('001_population_health_zone_zs'!$B$2,[1]ratio_ins!$B:$B,0))*$G440*INDEX([1]ratio_ins!$C:$C,MATCH('001_population_health_zone_zs'!$B440,[1]ratio_ins!$B:$B,0))</f>
        <v>403.96751999999998</v>
      </c>
      <c r="AA440" s="10">
        <f>INDEX([1]ratio_ins!Y:Y,MATCH('001_population_health_zone_zs'!$B$2,[1]ratio_ins!$B:$B,0))*$G440*INDEX([1]ratio_ins!$C:$C,MATCH('001_population_health_zone_zs'!$B440,[1]ratio_ins!$B:$B,0))</f>
        <v>201.98375999999999</v>
      </c>
      <c r="AB440" s="11">
        <f>INDEX([1]ratio_ins!Z:Z,MATCH('001_population_health_zone_zs'!$B$2,[1]ratio_ins!$B:$B,0))*$G440*INDEX([1]ratio_ins!$C:$C,MATCH('001_population_health_zone_zs'!$B440,[1]ratio_ins!$B:$B,0))</f>
        <v>2625.7888800000005</v>
      </c>
      <c r="AC440" s="12">
        <f t="shared" si="36"/>
        <v>100991.88</v>
      </c>
      <c r="AD440" s="10">
        <f>INDEX([1]ratio_ins!AA:AA,MATCH('001_population_health_zone_zs'!$B$2,[1]ratio_ins!$B:$B,0))*$G440*INDEX([1]ratio_ins!$D:$D,MATCH('001_population_health_zone_zs'!$B440,[1]ratio_ins!$B:$B,0))</f>
        <v>21636.745200000001</v>
      </c>
      <c r="AE440" s="10">
        <f>INDEX([1]ratio_ins!AB:AB,MATCH('001_population_health_zone_zs'!$B$2,[1]ratio_ins!$B:$B,0))*$G440*INDEX([1]ratio_ins!$D:$D,MATCH('001_population_health_zone_zs'!$B440,[1]ratio_ins!$B:$B,0))</f>
        <v>17824.556759999999</v>
      </c>
      <c r="AF440" s="10">
        <f>INDEX([1]ratio_ins!AC:AC,MATCH('001_population_health_zone_zs'!$B$2,[1]ratio_ins!$B:$B,0))*$G440*INDEX([1]ratio_ins!$D:$D,MATCH('001_population_health_zone_zs'!$B440,[1]ratio_ins!$B:$B,0))</f>
        <v>14115.400439999998</v>
      </c>
      <c r="AG440" s="10">
        <f>INDEX([1]ratio_ins!AD:AD,MATCH('001_population_health_zone_zs'!$B$2,[1]ratio_ins!$B:$B,0))*$G440*INDEX([1]ratio_ins!$D:$D,MATCH('001_population_health_zone_zs'!$B440,[1]ratio_ins!$B:$B,0))</f>
        <v>8551.6659600000003</v>
      </c>
      <c r="AH440" s="10">
        <f>INDEX([1]ratio_ins!AE:AE,MATCH('001_population_health_zone_zs'!$B$2,[1]ratio_ins!$B:$B,0))*$G440*INDEX([1]ratio_ins!$D:$D,MATCH('001_population_health_zone_zs'!$B440,[1]ratio_ins!$B:$B,0))</f>
        <v>5130.9995759999993</v>
      </c>
      <c r="AI440" s="13">
        <f>INDEX([1]ratio_ins!AF:AF,MATCH('001_population_health_zone_zs'!$B$2,[1]ratio_ins!$B:$B,0))*$G440*INDEX([1]ratio_ins!$D:$D,MATCH('001_population_health_zone_zs'!$B440,[1]ratio_ins!$B:$B,0))</f>
        <v>58707.701975999997</v>
      </c>
      <c r="AJ440" s="10">
        <f>INDEX([1]ratio_ins!AG:AG,MATCH('001_population_health_zone_zs'!$B$2,[1]ratio_ins!$B:$B,0))*$G440*INDEX([1]ratio_ins!$D:$D,MATCH('001_population_health_zone_zs'!$B440,[1]ratio_ins!$B:$B,0))</f>
        <v>3420.6663840000001</v>
      </c>
      <c r="AK440" s="10">
        <f>INDEX([1]ratio_ins!AH:AH,MATCH('001_population_health_zone_zs'!$B$2,[1]ratio_ins!$B:$B,0))*$G440*INDEX([1]ratio_ins!$D:$D,MATCH('001_population_health_zone_zs'!$B440,[1]ratio_ins!$B:$B,0))</f>
        <v>7624.3768800000007</v>
      </c>
      <c r="AL440" s="10">
        <f>INDEX([1]ratio_ins!AI:AI,MATCH('001_population_health_zone_zs'!$B$2,[1]ratio_ins!$B:$B,0))*$G440*INDEX([1]ratio_ins!$D:$D,MATCH('001_population_health_zone_zs'!$B440,[1]ratio_ins!$B:$B,0))</f>
        <v>7212.2484000000013</v>
      </c>
      <c r="AM440" s="10">
        <f>INDEX([1]ratio_ins!AJ:AJ,MATCH('001_population_health_zone_zs'!$B$2,[1]ratio_ins!$B:$B,0))*$G440*INDEX([1]ratio_ins!$D:$D,MATCH('001_population_health_zone_zs'!$B440,[1]ratio_ins!$B:$B,0))</f>
        <v>6594.0556800000004</v>
      </c>
      <c r="AN440" s="10">
        <f>INDEX([1]ratio_ins!AK:AK,MATCH('001_population_health_zone_zs'!$B$2,[1]ratio_ins!$B:$B,0))*$G440*INDEX([1]ratio_ins!$D:$D,MATCH('001_population_health_zone_zs'!$B440,[1]ratio_ins!$B:$B,0))</f>
        <v>6181.9271999999992</v>
      </c>
      <c r="AO440" s="10">
        <f>INDEX([1]ratio_ins!AL:AL,MATCH('001_population_health_zone_zs'!$B$2,[1]ratio_ins!$B:$B,0))*$G440*INDEX([1]ratio_ins!$D:$D,MATCH('001_population_health_zone_zs'!$B440,[1]ratio_ins!$B:$B,0))</f>
        <v>4636.4453999999996</v>
      </c>
      <c r="AP440" s="10">
        <f>INDEX([1]ratio_ins!AM:AM,MATCH('001_population_health_zone_zs'!$B$2,[1]ratio_ins!$B:$B,0))*$G440*INDEX([1]ratio_ins!$D:$D,MATCH('001_population_health_zone_zs'!$B440,[1]ratio_ins!$B:$B,0))</f>
        <v>2987.9314800000002</v>
      </c>
      <c r="AQ440" s="10">
        <f>INDEX([1]ratio_ins!AN:AN,MATCH('001_population_health_zone_zs'!$B$2,[1]ratio_ins!$B:$B,0))*$G440*INDEX([1]ratio_ins!$D:$D,MATCH('001_population_health_zone_zs'!$B440,[1]ratio_ins!$B:$B,0))</f>
        <v>2369.7387599999997</v>
      </c>
      <c r="AR440" s="10">
        <f>INDEX([1]ratio_ins!AO:AO,MATCH('001_population_health_zone_zs'!$B$2,[1]ratio_ins!$B:$B,0))*$G440*INDEX([1]ratio_ins!$D:$D,MATCH('001_population_health_zone_zs'!$B440,[1]ratio_ins!$B:$B,0))</f>
        <v>1133.3533200000002</v>
      </c>
      <c r="AS440" s="13">
        <f>INDEX([1]ratio_ins!AP:AP,MATCH('001_population_health_zone_zs'!$B$2,[1]ratio_ins!$B:$B,0))*$G440*INDEX([1]ratio_ins!$D:$D,MATCH('001_population_health_zone_zs'!$B440,[1]ratio_ins!$B:$B,0))</f>
        <v>42160.743504000005</v>
      </c>
      <c r="AT440" s="10">
        <f>INDEX([1]ratio_ins!AQ:AQ,MATCH('001_population_health_zone_zs'!$B$2,[1]ratio_ins!$B:$B,0))*$G440*INDEX([1]ratio_ins!$D:$D,MATCH('001_population_health_zone_zs'!$B440,[1]ratio_ins!$B:$B,0))</f>
        <v>1030.3212000000001</v>
      </c>
      <c r="AU440" s="10">
        <f>INDEX([1]ratio_ins!AR:AR,MATCH('001_population_health_zone_zs'!$B$2,[1]ratio_ins!$B:$B,0))*$G440*INDEX([1]ratio_ins!$D:$D,MATCH('001_population_health_zone_zs'!$B440,[1]ratio_ins!$B:$B,0))</f>
        <v>618.19272000000001</v>
      </c>
      <c r="AV440" s="10">
        <f>INDEX([1]ratio_ins!AS:AS,MATCH('001_population_health_zone_zs'!$B$2,[1]ratio_ins!$B:$B,0))*$G440*INDEX([1]ratio_ins!$D:$D,MATCH('001_population_health_zone_zs'!$B440,[1]ratio_ins!$B:$B,0))</f>
        <v>309.09636</v>
      </c>
      <c r="AW440" s="10">
        <f>INDEX([1]ratio_ins!AT:AT,MATCH('001_population_health_zone_zs'!$B$2,[1]ratio_ins!$B:$B,0))*$G440*INDEX([1]ratio_ins!$D:$D,MATCH('001_population_health_zone_zs'!$B440,[1]ratio_ins!$B:$B,0))</f>
        <v>206.06424000000001</v>
      </c>
      <c r="AX440" s="13">
        <f>INDEX([1]ratio_ins!AU:AU,MATCH('001_population_health_zone_zs'!$B$2,[1]ratio_ins!$B:$B,0))*$G440*INDEX([1]ratio_ins!$D:$D,MATCH('001_population_health_zone_zs'!$B440,[1]ratio_ins!$B:$B,0))</f>
        <v>2163.67452</v>
      </c>
      <c r="AY440" s="14">
        <f t="shared" si="37"/>
        <v>103032.12</v>
      </c>
      <c r="AZ440" s="15">
        <f t="shared" si="38"/>
        <v>204024</v>
      </c>
      <c r="BA440" s="16">
        <v>195210.44678383743</v>
      </c>
      <c r="BB440" s="10">
        <f t="shared" si="39"/>
        <v>43788.650999999998</v>
      </c>
      <c r="BC440" s="17">
        <f t="shared" si="40"/>
        <v>0.21462499999999998</v>
      </c>
      <c r="BD440" s="10">
        <f t="shared" si="41"/>
        <v>42113.613960000002</v>
      </c>
    </row>
    <row r="441" spans="1:56" x14ac:dyDescent="0.25">
      <c r="A441" s="8" t="s">
        <v>1045</v>
      </c>
      <c r="B441" s="8" t="s">
        <v>1046</v>
      </c>
      <c r="C441" s="8" t="s">
        <v>1080</v>
      </c>
      <c r="D441" s="8" t="s">
        <v>1081</v>
      </c>
      <c r="E441" s="8" t="s">
        <v>1085</v>
      </c>
      <c r="F441" s="8" t="s">
        <v>1086</v>
      </c>
      <c r="G441" s="9">
        <v>132919</v>
      </c>
      <c r="H441" s="10">
        <f>INDEX([1]ratio_ins!F:F,MATCH('001_population_health_zone_zs'!$B$2,[1]ratio_ins!$B:$B,0))*$G441*INDEX([1]ratio_ins!$C:$C,MATCH('001_population_health_zone_zs'!$B441,[1]ratio_ins!$B:$B,0))</f>
        <v>13751.135145</v>
      </c>
      <c r="I441" s="10">
        <f>INDEX([1]ratio_ins!G:G,MATCH('001_population_health_zone_zs'!$B$2,[1]ratio_ins!$B:$B,0))*$G441*INDEX([1]ratio_ins!$C:$C,MATCH('001_population_health_zone_zs'!$B441,[1]ratio_ins!$B:$B,0))</f>
        <v>11250.928755000001</v>
      </c>
      <c r="J441" s="10">
        <f>INDEX([1]ratio_ins!H:H,MATCH('001_population_health_zone_zs'!$B$2,[1]ratio_ins!$B:$B,0))*$G441*INDEX([1]ratio_ins!$C:$C,MATCH('001_population_health_zone_zs'!$B441,[1]ratio_ins!$B:$B,0))</f>
        <v>8882.3121750000009</v>
      </c>
      <c r="K441" s="10">
        <f>INDEX([1]ratio_ins!I:I,MATCH('001_population_health_zone_zs'!$B$2,[1]ratio_ins!$B:$B,0))*$G441*INDEX([1]ratio_ins!$C:$C,MATCH('001_population_health_zone_zs'!$B441,[1]ratio_ins!$B:$B,0))</f>
        <v>5460.9771149999997</v>
      </c>
      <c r="L441" s="10">
        <f>INDEX([1]ratio_ins!J:J,MATCH('001_population_health_zone_zs'!$B$2,[1]ratio_ins!$B:$B,0))*$G441*INDEX([1]ratio_ins!$C:$C,MATCH('001_population_health_zone_zs'!$B441,[1]ratio_ins!$B:$B,0))</f>
        <v>3276.5862689999999</v>
      </c>
      <c r="M441" s="11">
        <f>INDEX([1]ratio_ins!K:K,MATCH('001_population_health_zone_zs'!$B$2,[1]ratio_ins!$B:$B,0))*$G441*INDEX([1]ratio_ins!$C:$C,MATCH('001_population_health_zone_zs'!$B441,[1]ratio_ins!$B:$B,0))</f>
        <v>37160.962344</v>
      </c>
      <c r="N441" s="10">
        <f>INDEX([1]ratio_ins!L:L,MATCH('001_population_health_zone_zs'!$B$2,[1]ratio_ins!$B:$B,0))*$G441*INDEX([1]ratio_ins!$C:$C,MATCH('001_population_health_zone_zs'!$B441,[1]ratio_ins!$B:$B,0))</f>
        <v>2184.3908459999998</v>
      </c>
      <c r="O441" s="10">
        <f>INDEX([1]ratio_ins!M:M,MATCH('001_population_health_zone_zs'!$B$2,[1]ratio_ins!$B:$B,0))*$G441*INDEX([1]ratio_ins!$C:$C,MATCH('001_population_health_zone_zs'!$B441,[1]ratio_ins!$B:$B,0))</f>
        <v>4737.2331600000007</v>
      </c>
      <c r="P441" s="10">
        <f>INDEX([1]ratio_ins!N:N,MATCH('001_population_health_zone_zs'!$B$2,[1]ratio_ins!$B:$B,0))*$G441*INDEX([1]ratio_ins!$C:$C,MATCH('001_population_health_zone_zs'!$B441,[1]ratio_ins!$B:$B,0))</f>
        <v>4276.6688250000007</v>
      </c>
      <c r="Q441" s="10">
        <f>INDEX([1]ratio_ins!O:O,MATCH('001_population_health_zone_zs'!$B$2,[1]ratio_ins!$B:$B,0))*$G441*INDEX([1]ratio_ins!$C:$C,MATCH('001_population_health_zone_zs'!$B441,[1]ratio_ins!$B:$B,0))</f>
        <v>3816.1044899999997</v>
      </c>
      <c r="R441" s="10">
        <f>INDEX([1]ratio_ins!P:P,MATCH('001_population_health_zone_zs'!$B$2,[1]ratio_ins!$B:$B,0))*$G441*INDEX([1]ratio_ins!$C:$C,MATCH('001_population_health_zone_zs'!$B441,[1]ratio_ins!$B:$B,0))</f>
        <v>3750.3095850000004</v>
      </c>
      <c r="S441" s="10">
        <f>INDEX([1]ratio_ins!Q:Q,MATCH('001_population_health_zone_zs'!$B$2,[1]ratio_ins!$B:$B,0))*$G441*INDEX([1]ratio_ins!$C:$C,MATCH('001_population_health_zone_zs'!$B441,[1]ratio_ins!$B:$B,0))</f>
        <v>3158.15544</v>
      </c>
      <c r="T441" s="10">
        <f>INDEX([1]ratio_ins!R:R,MATCH('001_population_health_zone_zs'!$B$2,[1]ratio_ins!$B:$B,0))*$G441*INDEX([1]ratio_ins!$C:$C,MATCH('001_population_health_zone_zs'!$B441,[1]ratio_ins!$B:$B,0))</f>
        <v>2237.0267699999999</v>
      </c>
      <c r="U441" s="10">
        <f>INDEX([1]ratio_ins!S:S,MATCH('001_population_health_zone_zs'!$B$2,[1]ratio_ins!$B:$B,0))*$G441*INDEX([1]ratio_ins!$C:$C,MATCH('001_population_health_zone_zs'!$B441,[1]ratio_ins!$B:$B,0))</f>
        <v>1776.4624350000004</v>
      </c>
      <c r="V441" s="10">
        <f>INDEX([1]ratio_ins!T:T,MATCH('001_population_health_zone_zs'!$B$2,[1]ratio_ins!$B:$B,0))*$G441*INDEX([1]ratio_ins!$C:$C,MATCH('001_population_health_zone_zs'!$B441,[1]ratio_ins!$B:$B,0))</f>
        <v>986.92357499999991</v>
      </c>
      <c r="W441" s="11">
        <f>INDEX([1]ratio_ins!U:U,MATCH('001_population_health_zone_zs'!$B$2,[1]ratio_ins!$B:$B,0))*$G441*INDEX([1]ratio_ins!$C:$C,MATCH('001_population_health_zone_zs'!$B441,[1]ratio_ins!$B:$B,0))</f>
        <v>26923.275126</v>
      </c>
      <c r="X441" s="10">
        <f>INDEX([1]ratio_ins!V:V,MATCH('001_population_health_zone_zs'!$B$2,[1]ratio_ins!$B:$B,0))*$G441*INDEX([1]ratio_ins!$C:$C,MATCH('001_population_health_zone_zs'!$B441,[1]ratio_ins!$B:$B,0))</f>
        <v>789.53886</v>
      </c>
      <c r="Y441" s="10">
        <f>INDEX([1]ratio_ins!W:W,MATCH('001_population_health_zone_zs'!$B$2,[1]ratio_ins!$B:$B,0))*$G441*INDEX([1]ratio_ins!$C:$C,MATCH('001_population_health_zone_zs'!$B441,[1]ratio_ins!$B:$B,0))</f>
        <v>526.35924</v>
      </c>
      <c r="Z441" s="10">
        <f>INDEX([1]ratio_ins!X:X,MATCH('001_population_health_zone_zs'!$B$2,[1]ratio_ins!$B:$B,0))*$G441*INDEX([1]ratio_ins!$C:$C,MATCH('001_population_health_zone_zs'!$B441,[1]ratio_ins!$B:$B,0))</f>
        <v>263.17962</v>
      </c>
      <c r="AA441" s="10">
        <f>INDEX([1]ratio_ins!Y:Y,MATCH('001_population_health_zone_zs'!$B$2,[1]ratio_ins!$B:$B,0))*$G441*INDEX([1]ratio_ins!$C:$C,MATCH('001_population_health_zone_zs'!$B441,[1]ratio_ins!$B:$B,0))</f>
        <v>131.58981</v>
      </c>
      <c r="AB441" s="11">
        <f>INDEX([1]ratio_ins!Z:Z,MATCH('001_population_health_zone_zs'!$B$2,[1]ratio_ins!$B:$B,0))*$G441*INDEX([1]ratio_ins!$C:$C,MATCH('001_population_health_zone_zs'!$B441,[1]ratio_ins!$B:$B,0))</f>
        <v>1710.6675300000002</v>
      </c>
      <c r="AC441" s="12">
        <f t="shared" si="36"/>
        <v>65794.904999999999</v>
      </c>
      <c r="AD441" s="10">
        <f>INDEX([1]ratio_ins!AA:AA,MATCH('001_population_health_zone_zs'!$B$2,[1]ratio_ins!$B:$B,0))*$G441*INDEX([1]ratio_ins!$D:$D,MATCH('001_population_health_zone_zs'!$B441,[1]ratio_ins!$B:$B,0))</f>
        <v>14096.059949999999</v>
      </c>
      <c r="AE441" s="10">
        <f>INDEX([1]ratio_ins!AB:AB,MATCH('001_population_health_zone_zs'!$B$2,[1]ratio_ins!$B:$B,0))*$G441*INDEX([1]ratio_ins!$D:$D,MATCH('001_population_health_zone_zs'!$B441,[1]ratio_ins!$B:$B,0))</f>
        <v>11612.468435000001</v>
      </c>
      <c r="AF441" s="10">
        <f>INDEX([1]ratio_ins!AC:AC,MATCH('001_population_health_zone_zs'!$B$2,[1]ratio_ins!$B:$B,0))*$G441*INDEX([1]ratio_ins!$D:$D,MATCH('001_population_health_zone_zs'!$B441,[1]ratio_ins!$B:$B,0))</f>
        <v>9196.0010149999998</v>
      </c>
      <c r="AG441" s="10">
        <f>INDEX([1]ratio_ins!AD:AD,MATCH('001_population_health_zone_zs'!$B$2,[1]ratio_ins!$B:$B,0))*$G441*INDEX([1]ratio_ins!$D:$D,MATCH('001_population_health_zone_zs'!$B441,[1]ratio_ins!$B:$B,0))</f>
        <v>5571.2998850000004</v>
      </c>
      <c r="AH441" s="10">
        <f>INDEX([1]ratio_ins!AE:AE,MATCH('001_population_health_zone_zs'!$B$2,[1]ratio_ins!$B:$B,0))*$G441*INDEX([1]ratio_ins!$D:$D,MATCH('001_population_health_zone_zs'!$B441,[1]ratio_ins!$B:$B,0))</f>
        <v>3342.7799309999996</v>
      </c>
      <c r="AI441" s="13">
        <f>INDEX([1]ratio_ins!AF:AF,MATCH('001_population_health_zone_zs'!$B$2,[1]ratio_ins!$B:$B,0))*$G441*INDEX([1]ratio_ins!$D:$D,MATCH('001_population_health_zone_zs'!$B441,[1]ratio_ins!$B:$B,0))</f>
        <v>38247.309330999997</v>
      </c>
      <c r="AJ441" s="10">
        <f>INDEX([1]ratio_ins!AG:AG,MATCH('001_population_health_zone_zs'!$B$2,[1]ratio_ins!$B:$B,0))*$G441*INDEX([1]ratio_ins!$D:$D,MATCH('001_population_health_zone_zs'!$B441,[1]ratio_ins!$B:$B,0))</f>
        <v>2228.5199539999999</v>
      </c>
      <c r="AK441" s="10">
        <f>INDEX([1]ratio_ins!AH:AH,MATCH('001_population_health_zone_zs'!$B$2,[1]ratio_ins!$B:$B,0))*$G441*INDEX([1]ratio_ins!$D:$D,MATCH('001_population_health_zone_zs'!$B441,[1]ratio_ins!$B:$B,0))</f>
        <v>4967.1830300000011</v>
      </c>
      <c r="AL441" s="10">
        <f>INDEX([1]ratio_ins!AI:AI,MATCH('001_population_health_zone_zs'!$B$2,[1]ratio_ins!$B:$B,0))*$G441*INDEX([1]ratio_ins!$D:$D,MATCH('001_population_health_zone_zs'!$B441,[1]ratio_ins!$B:$B,0))</f>
        <v>4698.6866500000006</v>
      </c>
      <c r="AM441" s="10">
        <f>INDEX([1]ratio_ins!AJ:AJ,MATCH('001_population_health_zone_zs'!$B$2,[1]ratio_ins!$B:$B,0))*$G441*INDEX([1]ratio_ins!$D:$D,MATCH('001_population_health_zone_zs'!$B441,[1]ratio_ins!$B:$B,0))</f>
        <v>4295.9420800000007</v>
      </c>
      <c r="AN441" s="10">
        <f>INDEX([1]ratio_ins!AK:AK,MATCH('001_population_health_zone_zs'!$B$2,[1]ratio_ins!$B:$B,0))*$G441*INDEX([1]ratio_ins!$D:$D,MATCH('001_population_health_zone_zs'!$B441,[1]ratio_ins!$B:$B,0))</f>
        <v>4027.4456999999998</v>
      </c>
      <c r="AO441" s="10">
        <f>INDEX([1]ratio_ins!AL:AL,MATCH('001_population_health_zone_zs'!$B$2,[1]ratio_ins!$B:$B,0))*$G441*INDEX([1]ratio_ins!$D:$D,MATCH('001_population_health_zone_zs'!$B441,[1]ratio_ins!$B:$B,0))</f>
        <v>3020.5842749999997</v>
      </c>
      <c r="AP441" s="10">
        <f>INDEX([1]ratio_ins!AM:AM,MATCH('001_population_health_zone_zs'!$B$2,[1]ratio_ins!$B:$B,0))*$G441*INDEX([1]ratio_ins!$D:$D,MATCH('001_population_health_zone_zs'!$B441,[1]ratio_ins!$B:$B,0))</f>
        <v>1946.598755</v>
      </c>
      <c r="AQ441" s="10">
        <f>INDEX([1]ratio_ins!AN:AN,MATCH('001_population_health_zone_zs'!$B$2,[1]ratio_ins!$B:$B,0))*$G441*INDEX([1]ratio_ins!$D:$D,MATCH('001_population_health_zone_zs'!$B441,[1]ratio_ins!$B:$B,0))</f>
        <v>1543.8541850000001</v>
      </c>
      <c r="AR441" s="10">
        <f>INDEX([1]ratio_ins!AO:AO,MATCH('001_population_health_zone_zs'!$B$2,[1]ratio_ins!$B:$B,0))*$G441*INDEX([1]ratio_ins!$D:$D,MATCH('001_population_health_zone_zs'!$B441,[1]ratio_ins!$B:$B,0))</f>
        <v>738.36504500000012</v>
      </c>
      <c r="AS441" s="13">
        <f>INDEX([1]ratio_ins!AP:AP,MATCH('001_population_health_zone_zs'!$B$2,[1]ratio_ins!$B:$B,0))*$G441*INDEX([1]ratio_ins!$D:$D,MATCH('001_population_health_zone_zs'!$B441,[1]ratio_ins!$B:$B,0))</f>
        <v>27467.179673999999</v>
      </c>
      <c r="AT441" s="10">
        <f>INDEX([1]ratio_ins!AQ:AQ,MATCH('001_population_health_zone_zs'!$B$2,[1]ratio_ins!$B:$B,0))*$G441*INDEX([1]ratio_ins!$D:$D,MATCH('001_population_health_zone_zs'!$B441,[1]ratio_ins!$B:$B,0))</f>
        <v>671.24095</v>
      </c>
      <c r="AU441" s="10">
        <f>INDEX([1]ratio_ins!AR:AR,MATCH('001_population_health_zone_zs'!$B$2,[1]ratio_ins!$B:$B,0))*$G441*INDEX([1]ratio_ins!$D:$D,MATCH('001_population_health_zone_zs'!$B441,[1]ratio_ins!$B:$B,0))</f>
        <v>402.74457000000001</v>
      </c>
      <c r="AV441" s="10">
        <f>INDEX([1]ratio_ins!AS:AS,MATCH('001_population_health_zone_zs'!$B$2,[1]ratio_ins!$B:$B,0))*$G441*INDEX([1]ratio_ins!$D:$D,MATCH('001_population_health_zone_zs'!$B441,[1]ratio_ins!$B:$B,0))</f>
        <v>201.37228500000001</v>
      </c>
      <c r="AW441" s="10">
        <f>INDEX([1]ratio_ins!AT:AT,MATCH('001_population_health_zone_zs'!$B$2,[1]ratio_ins!$B:$B,0))*$G441*INDEX([1]ratio_ins!$D:$D,MATCH('001_population_health_zone_zs'!$B441,[1]ratio_ins!$B:$B,0))</f>
        <v>134.24819000000002</v>
      </c>
      <c r="AX441" s="13">
        <f>INDEX([1]ratio_ins!AU:AU,MATCH('001_population_health_zone_zs'!$B$2,[1]ratio_ins!$B:$B,0))*$G441*INDEX([1]ratio_ins!$D:$D,MATCH('001_population_health_zone_zs'!$B441,[1]ratio_ins!$B:$B,0))</f>
        <v>1409.6059949999997</v>
      </c>
      <c r="AY441" s="14">
        <f t="shared" si="37"/>
        <v>67124.095000000001</v>
      </c>
      <c r="AZ441" s="15">
        <f t="shared" si="38"/>
        <v>132919</v>
      </c>
      <c r="BA441" s="16">
        <v>127177.44822479501</v>
      </c>
      <c r="BB441" s="10">
        <f t="shared" si="39"/>
        <v>28527.740375000001</v>
      </c>
      <c r="BC441" s="17">
        <f t="shared" si="40"/>
        <v>0.21462500000000001</v>
      </c>
      <c r="BD441" s="10">
        <f t="shared" si="41"/>
        <v>27436.475385000002</v>
      </c>
    </row>
    <row r="442" spans="1:56" x14ac:dyDescent="0.25">
      <c r="A442" s="8" t="s">
        <v>1087</v>
      </c>
      <c r="B442" s="8" t="s">
        <v>1088</v>
      </c>
      <c r="C442" s="8" t="s">
        <v>1089</v>
      </c>
      <c r="D442" s="8" t="s">
        <v>1090</v>
      </c>
      <c r="E442" s="8" t="s">
        <v>1091</v>
      </c>
      <c r="F442" s="8" t="s">
        <v>1092</v>
      </c>
      <c r="G442" s="9">
        <v>345224</v>
      </c>
      <c r="H442" s="10">
        <f>INDEX([1]ratio_ins!F:F,MATCH('001_population_health_zone_zs'!$B$2,[1]ratio_ins!$B:$B,0))*$G442*INDEX([1]ratio_ins!$C:$C,MATCH('001_population_health_zone_zs'!$B442,[1]ratio_ins!$B:$B,0))</f>
        <v>35715.148919999992</v>
      </c>
      <c r="I442" s="10">
        <f>INDEX([1]ratio_ins!G:G,MATCH('001_population_health_zone_zs'!$B$2,[1]ratio_ins!$B:$B,0))*$G442*INDEX([1]ratio_ins!$C:$C,MATCH('001_population_health_zone_zs'!$B442,[1]ratio_ins!$B:$B,0))</f>
        <v>29221.485480000003</v>
      </c>
      <c r="J442" s="10">
        <f>INDEX([1]ratio_ins!H:H,MATCH('001_population_health_zone_zs'!$B$2,[1]ratio_ins!$B:$B,0))*$G442*INDEX([1]ratio_ins!$C:$C,MATCH('001_population_health_zone_zs'!$B442,[1]ratio_ins!$B:$B,0))</f>
        <v>23069.593800000002</v>
      </c>
      <c r="K442" s="10">
        <f>INDEX([1]ratio_ins!I:I,MATCH('001_population_health_zone_zs'!$B$2,[1]ratio_ins!$B:$B,0))*$G442*INDEX([1]ratio_ins!$C:$C,MATCH('001_population_health_zone_zs'!$B442,[1]ratio_ins!$B:$B,0))</f>
        <v>14183.528040000001</v>
      </c>
      <c r="L442" s="10">
        <f>INDEX([1]ratio_ins!J:J,MATCH('001_population_health_zone_zs'!$B$2,[1]ratio_ins!$B:$B,0))*$G442*INDEX([1]ratio_ins!$C:$C,MATCH('001_population_health_zone_zs'!$B442,[1]ratio_ins!$B:$B,0))</f>
        <v>8510.1168239999988</v>
      </c>
      <c r="M442" s="11">
        <f>INDEX([1]ratio_ins!K:K,MATCH('001_population_health_zone_zs'!$B$2,[1]ratio_ins!$B:$B,0))*$G442*INDEX([1]ratio_ins!$C:$C,MATCH('001_population_health_zone_zs'!$B442,[1]ratio_ins!$B:$B,0))</f>
        <v>96516.345023999995</v>
      </c>
      <c r="N442" s="10">
        <f>INDEX([1]ratio_ins!L:L,MATCH('001_population_health_zone_zs'!$B$2,[1]ratio_ins!$B:$B,0))*$G442*INDEX([1]ratio_ins!$C:$C,MATCH('001_population_health_zone_zs'!$B442,[1]ratio_ins!$B:$B,0))</f>
        <v>5673.4112159999995</v>
      </c>
      <c r="O442" s="10">
        <f>INDEX([1]ratio_ins!M:M,MATCH('001_population_health_zone_zs'!$B$2,[1]ratio_ins!$B:$B,0))*$G442*INDEX([1]ratio_ins!$C:$C,MATCH('001_population_health_zone_zs'!$B442,[1]ratio_ins!$B:$B,0))</f>
        <v>12303.783360000001</v>
      </c>
      <c r="P442" s="10">
        <f>INDEX([1]ratio_ins!N:N,MATCH('001_population_health_zone_zs'!$B$2,[1]ratio_ins!$B:$B,0))*$G442*INDEX([1]ratio_ins!$C:$C,MATCH('001_population_health_zone_zs'!$B442,[1]ratio_ins!$B:$B,0))</f>
        <v>11107.582200000001</v>
      </c>
      <c r="Q442" s="10">
        <f>INDEX([1]ratio_ins!O:O,MATCH('001_population_health_zone_zs'!$B$2,[1]ratio_ins!$B:$B,0))*$G442*INDEX([1]ratio_ins!$C:$C,MATCH('001_population_health_zone_zs'!$B442,[1]ratio_ins!$B:$B,0))</f>
        <v>9911.3810399999984</v>
      </c>
      <c r="R442" s="10">
        <f>INDEX([1]ratio_ins!P:P,MATCH('001_population_health_zone_zs'!$B$2,[1]ratio_ins!$B:$B,0))*$G442*INDEX([1]ratio_ins!$C:$C,MATCH('001_population_health_zone_zs'!$B442,[1]ratio_ins!$B:$B,0))</f>
        <v>9740.4951600000004</v>
      </c>
      <c r="S442" s="10">
        <f>INDEX([1]ratio_ins!Q:Q,MATCH('001_population_health_zone_zs'!$B$2,[1]ratio_ins!$B:$B,0))*$G442*INDEX([1]ratio_ins!$C:$C,MATCH('001_population_health_zone_zs'!$B442,[1]ratio_ins!$B:$B,0))</f>
        <v>8202.5222400000002</v>
      </c>
      <c r="T442" s="10">
        <f>INDEX([1]ratio_ins!R:R,MATCH('001_population_health_zone_zs'!$B$2,[1]ratio_ins!$B:$B,0))*$G442*INDEX([1]ratio_ins!$C:$C,MATCH('001_population_health_zone_zs'!$B442,[1]ratio_ins!$B:$B,0))</f>
        <v>5810.1199200000001</v>
      </c>
      <c r="U442" s="10">
        <f>INDEX([1]ratio_ins!S:S,MATCH('001_population_health_zone_zs'!$B$2,[1]ratio_ins!$B:$B,0))*$G442*INDEX([1]ratio_ins!$C:$C,MATCH('001_population_health_zone_zs'!$B442,[1]ratio_ins!$B:$B,0))</f>
        <v>4613.9187600000005</v>
      </c>
      <c r="V442" s="10">
        <f>INDEX([1]ratio_ins!T:T,MATCH('001_population_health_zone_zs'!$B$2,[1]ratio_ins!$B:$B,0))*$G442*INDEX([1]ratio_ins!$C:$C,MATCH('001_population_health_zone_zs'!$B442,[1]ratio_ins!$B:$B,0))</f>
        <v>2563.2882</v>
      </c>
      <c r="W442" s="11">
        <f>INDEX([1]ratio_ins!U:U,MATCH('001_population_health_zone_zs'!$B$2,[1]ratio_ins!$B:$B,0))*$G442*INDEX([1]ratio_ins!$C:$C,MATCH('001_population_health_zone_zs'!$B442,[1]ratio_ins!$B:$B,0))</f>
        <v>69926.502096000011</v>
      </c>
      <c r="X442" s="10">
        <f>INDEX([1]ratio_ins!V:V,MATCH('001_population_health_zone_zs'!$B$2,[1]ratio_ins!$B:$B,0))*$G442*INDEX([1]ratio_ins!$C:$C,MATCH('001_population_health_zone_zs'!$B442,[1]ratio_ins!$B:$B,0))</f>
        <v>2050.6305600000001</v>
      </c>
      <c r="Y442" s="10">
        <f>INDEX([1]ratio_ins!W:W,MATCH('001_population_health_zone_zs'!$B$2,[1]ratio_ins!$B:$B,0))*$G442*INDEX([1]ratio_ins!$C:$C,MATCH('001_population_health_zone_zs'!$B442,[1]ratio_ins!$B:$B,0))</f>
        <v>1367.0870399999999</v>
      </c>
      <c r="Z442" s="10">
        <f>INDEX([1]ratio_ins!X:X,MATCH('001_population_health_zone_zs'!$B$2,[1]ratio_ins!$B:$B,0))*$G442*INDEX([1]ratio_ins!$C:$C,MATCH('001_population_health_zone_zs'!$B442,[1]ratio_ins!$B:$B,0))</f>
        <v>683.54351999999994</v>
      </c>
      <c r="AA442" s="10">
        <f>INDEX([1]ratio_ins!Y:Y,MATCH('001_population_health_zone_zs'!$B$2,[1]ratio_ins!$B:$B,0))*$G442*INDEX([1]ratio_ins!$C:$C,MATCH('001_population_health_zone_zs'!$B442,[1]ratio_ins!$B:$B,0))</f>
        <v>341.77175999999997</v>
      </c>
      <c r="AB442" s="11">
        <f>INDEX([1]ratio_ins!Z:Z,MATCH('001_population_health_zone_zs'!$B$2,[1]ratio_ins!$B:$B,0))*$G442*INDEX([1]ratio_ins!$C:$C,MATCH('001_population_health_zone_zs'!$B442,[1]ratio_ins!$B:$B,0))</f>
        <v>4443.0328800000007</v>
      </c>
      <c r="AC442" s="12">
        <f t="shared" si="36"/>
        <v>170885.88</v>
      </c>
      <c r="AD442" s="10">
        <f>INDEX([1]ratio_ins!AA:AA,MATCH('001_population_health_zone_zs'!$B$2,[1]ratio_ins!$B:$B,0))*$G442*INDEX([1]ratio_ins!$D:$D,MATCH('001_population_health_zone_zs'!$B442,[1]ratio_ins!$B:$B,0))</f>
        <v>36611.0052</v>
      </c>
      <c r="AE442" s="10">
        <f>INDEX([1]ratio_ins!AB:AB,MATCH('001_population_health_zone_zs'!$B$2,[1]ratio_ins!$B:$B,0))*$G442*INDEX([1]ratio_ins!$D:$D,MATCH('001_population_health_zone_zs'!$B442,[1]ratio_ins!$B:$B,0))</f>
        <v>30160.494760000005</v>
      </c>
      <c r="AF442" s="10">
        <f>INDEX([1]ratio_ins!AC:AC,MATCH('001_population_health_zone_zs'!$B$2,[1]ratio_ins!$B:$B,0))*$G442*INDEX([1]ratio_ins!$D:$D,MATCH('001_population_health_zone_zs'!$B442,[1]ratio_ins!$B:$B,0))</f>
        <v>23884.322439999996</v>
      </c>
      <c r="AG442" s="10">
        <f>INDEX([1]ratio_ins!AD:AD,MATCH('001_population_health_zone_zs'!$B$2,[1]ratio_ins!$B:$B,0))*$G442*INDEX([1]ratio_ins!$D:$D,MATCH('001_population_health_zone_zs'!$B442,[1]ratio_ins!$B:$B,0))</f>
        <v>14470.063959999999</v>
      </c>
      <c r="AH442" s="10">
        <f>INDEX([1]ratio_ins!AE:AE,MATCH('001_population_health_zone_zs'!$B$2,[1]ratio_ins!$B:$B,0))*$G442*INDEX([1]ratio_ins!$D:$D,MATCH('001_population_health_zone_zs'!$B442,[1]ratio_ins!$B:$B,0))</f>
        <v>8682.0383759999986</v>
      </c>
      <c r="AI442" s="13">
        <f>INDEX([1]ratio_ins!AF:AF,MATCH('001_population_health_zone_zs'!$B$2,[1]ratio_ins!$B:$B,0))*$G442*INDEX([1]ratio_ins!$D:$D,MATCH('001_population_health_zone_zs'!$B442,[1]ratio_ins!$B:$B,0))</f>
        <v>99337.860776000001</v>
      </c>
      <c r="AJ442" s="10">
        <f>INDEX([1]ratio_ins!AG:AG,MATCH('001_population_health_zone_zs'!$B$2,[1]ratio_ins!$B:$B,0))*$G442*INDEX([1]ratio_ins!$D:$D,MATCH('001_population_health_zone_zs'!$B442,[1]ratio_ins!$B:$B,0))</f>
        <v>5788.025584</v>
      </c>
      <c r="AK442" s="10">
        <f>INDEX([1]ratio_ins!AH:AH,MATCH('001_population_health_zone_zs'!$B$2,[1]ratio_ins!$B:$B,0))*$G442*INDEX([1]ratio_ins!$D:$D,MATCH('001_population_health_zone_zs'!$B442,[1]ratio_ins!$B:$B,0))</f>
        <v>12901.020880000002</v>
      </c>
      <c r="AL442" s="10">
        <f>INDEX([1]ratio_ins!AI:AI,MATCH('001_population_health_zone_zs'!$B$2,[1]ratio_ins!$B:$B,0))*$G442*INDEX([1]ratio_ins!$D:$D,MATCH('001_population_health_zone_zs'!$B442,[1]ratio_ins!$B:$B,0))</f>
        <v>12203.668400000002</v>
      </c>
      <c r="AM442" s="10">
        <f>INDEX([1]ratio_ins!AJ:AJ,MATCH('001_population_health_zone_zs'!$B$2,[1]ratio_ins!$B:$B,0))*$G442*INDEX([1]ratio_ins!$D:$D,MATCH('001_population_health_zone_zs'!$B442,[1]ratio_ins!$B:$B,0))</f>
        <v>11157.63968</v>
      </c>
      <c r="AN442" s="10">
        <f>INDEX([1]ratio_ins!AK:AK,MATCH('001_population_health_zone_zs'!$B$2,[1]ratio_ins!$B:$B,0))*$G442*INDEX([1]ratio_ins!$D:$D,MATCH('001_population_health_zone_zs'!$B442,[1]ratio_ins!$B:$B,0))</f>
        <v>10460.287199999999</v>
      </c>
      <c r="AO442" s="10">
        <f>INDEX([1]ratio_ins!AL:AL,MATCH('001_population_health_zone_zs'!$B$2,[1]ratio_ins!$B:$B,0))*$G442*INDEX([1]ratio_ins!$D:$D,MATCH('001_population_health_zone_zs'!$B442,[1]ratio_ins!$B:$B,0))</f>
        <v>7845.2154</v>
      </c>
      <c r="AP442" s="10">
        <f>INDEX([1]ratio_ins!AM:AM,MATCH('001_population_health_zone_zs'!$B$2,[1]ratio_ins!$B:$B,0))*$G442*INDEX([1]ratio_ins!$D:$D,MATCH('001_population_health_zone_zs'!$B442,[1]ratio_ins!$B:$B,0))</f>
        <v>5055.80548</v>
      </c>
      <c r="AQ442" s="10">
        <f>INDEX([1]ratio_ins!AN:AN,MATCH('001_population_health_zone_zs'!$B$2,[1]ratio_ins!$B:$B,0))*$G442*INDEX([1]ratio_ins!$D:$D,MATCH('001_population_health_zone_zs'!$B442,[1]ratio_ins!$B:$B,0))</f>
        <v>4009.7767600000002</v>
      </c>
      <c r="AR442" s="10">
        <f>INDEX([1]ratio_ins!AO:AO,MATCH('001_population_health_zone_zs'!$B$2,[1]ratio_ins!$B:$B,0))*$G442*INDEX([1]ratio_ins!$D:$D,MATCH('001_population_health_zone_zs'!$B442,[1]ratio_ins!$B:$B,0))</f>
        <v>1917.7193200000002</v>
      </c>
      <c r="AS442" s="13">
        <f>INDEX([1]ratio_ins!AP:AP,MATCH('001_population_health_zone_zs'!$B$2,[1]ratio_ins!$B:$B,0))*$G442*INDEX([1]ratio_ins!$D:$D,MATCH('001_population_health_zone_zs'!$B442,[1]ratio_ins!$B:$B,0))</f>
        <v>71339.158704000001</v>
      </c>
      <c r="AT442" s="10">
        <f>INDEX([1]ratio_ins!AQ:AQ,MATCH('001_population_health_zone_zs'!$B$2,[1]ratio_ins!$B:$B,0))*$G442*INDEX([1]ratio_ins!$D:$D,MATCH('001_population_health_zone_zs'!$B442,[1]ratio_ins!$B:$B,0))</f>
        <v>1743.3812</v>
      </c>
      <c r="AU442" s="10">
        <f>INDEX([1]ratio_ins!AR:AR,MATCH('001_population_health_zone_zs'!$B$2,[1]ratio_ins!$B:$B,0))*$G442*INDEX([1]ratio_ins!$D:$D,MATCH('001_population_health_zone_zs'!$B442,[1]ratio_ins!$B:$B,0))</f>
        <v>1046.02872</v>
      </c>
      <c r="AV442" s="10">
        <f>INDEX([1]ratio_ins!AS:AS,MATCH('001_population_health_zone_zs'!$B$2,[1]ratio_ins!$B:$B,0))*$G442*INDEX([1]ratio_ins!$D:$D,MATCH('001_population_health_zone_zs'!$B442,[1]ratio_ins!$B:$B,0))</f>
        <v>523.01436000000001</v>
      </c>
      <c r="AW442" s="10">
        <f>INDEX([1]ratio_ins!AT:AT,MATCH('001_population_health_zone_zs'!$B$2,[1]ratio_ins!$B:$B,0))*$G442*INDEX([1]ratio_ins!$D:$D,MATCH('001_population_health_zone_zs'!$B442,[1]ratio_ins!$B:$B,0))</f>
        <v>348.67624000000001</v>
      </c>
      <c r="AX442" s="13">
        <f>INDEX([1]ratio_ins!AU:AU,MATCH('001_population_health_zone_zs'!$B$2,[1]ratio_ins!$B:$B,0))*$G442*INDEX([1]ratio_ins!$D:$D,MATCH('001_population_health_zone_zs'!$B442,[1]ratio_ins!$B:$B,0))</f>
        <v>3661.1005199999995</v>
      </c>
      <c r="AY442" s="14">
        <f t="shared" si="37"/>
        <v>174338.12000000002</v>
      </c>
      <c r="AZ442" s="15">
        <f t="shared" si="38"/>
        <v>345224</v>
      </c>
      <c r="BA442" s="16">
        <v>330747.65406144038</v>
      </c>
      <c r="BB442" s="10">
        <f t="shared" si="39"/>
        <v>74093.701000000001</v>
      </c>
      <c r="BC442" s="17">
        <f t="shared" si="40"/>
        <v>0.21462500000000001</v>
      </c>
      <c r="BD442" s="10">
        <f t="shared" si="41"/>
        <v>71259.411959999998</v>
      </c>
    </row>
    <row r="443" spans="1:56" x14ac:dyDescent="0.25">
      <c r="A443" s="8" t="s">
        <v>1087</v>
      </c>
      <c r="B443" s="8" t="s">
        <v>1088</v>
      </c>
      <c r="C443" s="8" t="s">
        <v>1089</v>
      </c>
      <c r="D443" s="8" t="s">
        <v>1090</v>
      </c>
      <c r="E443" s="8" t="s">
        <v>1093</v>
      </c>
      <c r="F443" s="8" t="s">
        <v>1094</v>
      </c>
      <c r="G443" s="9">
        <v>193576</v>
      </c>
      <c r="H443" s="10">
        <f>INDEX([1]ratio_ins!F:F,MATCH('001_population_health_zone_zs'!$B$2,[1]ratio_ins!$B:$B,0))*$G443*INDEX([1]ratio_ins!$C:$C,MATCH('001_population_health_zone_zs'!$B443,[1]ratio_ins!$B:$B,0))</f>
        <v>20026.40508</v>
      </c>
      <c r="I443" s="10">
        <f>INDEX([1]ratio_ins!G:G,MATCH('001_population_health_zone_zs'!$B$2,[1]ratio_ins!$B:$B,0))*$G443*INDEX([1]ratio_ins!$C:$C,MATCH('001_population_health_zone_zs'!$B443,[1]ratio_ins!$B:$B,0))</f>
        <v>16385.240519999999</v>
      </c>
      <c r="J443" s="10">
        <f>INDEX([1]ratio_ins!H:H,MATCH('001_population_health_zone_zs'!$B$2,[1]ratio_ins!$B:$B,0))*$G443*INDEX([1]ratio_ins!$C:$C,MATCH('001_population_health_zone_zs'!$B443,[1]ratio_ins!$B:$B,0))</f>
        <v>12935.716200000001</v>
      </c>
      <c r="K443" s="10">
        <f>INDEX([1]ratio_ins!I:I,MATCH('001_population_health_zone_zs'!$B$2,[1]ratio_ins!$B:$B,0))*$G443*INDEX([1]ratio_ins!$C:$C,MATCH('001_population_health_zone_zs'!$B443,[1]ratio_ins!$B:$B,0))</f>
        <v>7953.0699600000007</v>
      </c>
      <c r="L443" s="10">
        <f>INDEX([1]ratio_ins!J:J,MATCH('001_population_health_zone_zs'!$B$2,[1]ratio_ins!$B:$B,0))*$G443*INDEX([1]ratio_ins!$C:$C,MATCH('001_population_health_zone_zs'!$B443,[1]ratio_ins!$B:$B,0))</f>
        <v>4771.8419759999997</v>
      </c>
      <c r="M443" s="11">
        <f>INDEX([1]ratio_ins!K:K,MATCH('001_population_health_zone_zs'!$B$2,[1]ratio_ins!$B:$B,0))*$G443*INDEX([1]ratio_ins!$C:$C,MATCH('001_population_health_zone_zs'!$B443,[1]ratio_ins!$B:$B,0))</f>
        <v>54119.203775999995</v>
      </c>
      <c r="N443" s="10">
        <f>INDEX([1]ratio_ins!L:L,MATCH('001_population_health_zone_zs'!$B$2,[1]ratio_ins!$B:$B,0))*$G443*INDEX([1]ratio_ins!$C:$C,MATCH('001_population_health_zone_zs'!$B443,[1]ratio_ins!$B:$B,0))</f>
        <v>3181.2279840000001</v>
      </c>
      <c r="O443" s="10">
        <f>INDEX([1]ratio_ins!M:M,MATCH('001_population_health_zone_zs'!$B$2,[1]ratio_ins!$B:$B,0))*$G443*INDEX([1]ratio_ins!$C:$C,MATCH('001_population_health_zone_zs'!$B443,[1]ratio_ins!$B:$B,0))</f>
        <v>6899.0486400000009</v>
      </c>
      <c r="P443" s="10">
        <f>INDEX([1]ratio_ins!N:N,MATCH('001_population_health_zone_zs'!$B$2,[1]ratio_ins!$B:$B,0))*$G443*INDEX([1]ratio_ins!$C:$C,MATCH('001_population_health_zone_zs'!$B443,[1]ratio_ins!$B:$B,0))</f>
        <v>6228.3078000000005</v>
      </c>
      <c r="Q443" s="10">
        <f>INDEX([1]ratio_ins!O:O,MATCH('001_population_health_zone_zs'!$B$2,[1]ratio_ins!$B:$B,0))*$G443*INDEX([1]ratio_ins!$C:$C,MATCH('001_population_health_zone_zs'!$B443,[1]ratio_ins!$B:$B,0))</f>
        <v>5557.5669600000001</v>
      </c>
      <c r="R443" s="10">
        <f>INDEX([1]ratio_ins!P:P,MATCH('001_population_health_zone_zs'!$B$2,[1]ratio_ins!$B:$B,0))*$G443*INDEX([1]ratio_ins!$C:$C,MATCH('001_population_health_zone_zs'!$B443,[1]ratio_ins!$B:$B,0))</f>
        <v>5461.7468399999998</v>
      </c>
      <c r="S443" s="10">
        <f>INDEX([1]ratio_ins!Q:Q,MATCH('001_population_health_zone_zs'!$B$2,[1]ratio_ins!$B:$B,0))*$G443*INDEX([1]ratio_ins!$C:$C,MATCH('001_population_health_zone_zs'!$B443,[1]ratio_ins!$B:$B,0))</f>
        <v>4599.3657600000006</v>
      </c>
      <c r="T443" s="10">
        <f>INDEX([1]ratio_ins!R:R,MATCH('001_population_health_zone_zs'!$B$2,[1]ratio_ins!$B:$B,0))*$G443*INDEX([1]ratio_ins!$C:$C,MATCH('001_population_health_zone_zs'!$B443,[1]ratio_ins!$B:$B,0))</f>
        <v>3257.8840800000003</v>
      </c>
      <c r="U443" s="10">
        <f>INDEX([1]ratio_ins!S:S,MATCH('001_population_health_zone_zs'!$B$2,[1]ratio_ins!$B:$B,0))*$G443*INDEX([1]ratio_ins!$C:$C,MATCH('001_population_health_zone_zs'!$B443,[1]ratio_ins!$B:$B,0))</f>
        <v>2587.1432400000003</v>
      </c>
      <c r="V443" s="10">
        <f>INDEX([1]ratio_ins!T:T,MATCH('001_population_health_zone_zs'!$B$2,[1]ratio_ins!$B:$B,0))*$G443*INDEX([1]ratio_ins!$C:$C,MATCH('001_population_health_zone_zs'!$B443,[1]ratio_ins!$B:$B,0))</f>
        <v>1437.3018</v>
      </c>
      <c r="W443" s="11">
        <f>INDEX([1]ratio_ins!U:U,MATCH('001_population_health_zone_zs'!$B$2,[1]ratio_ins!$B:$B,0))*$G443*INDEX([1]ratio_ins!$C:$C,MATCH('001_population_health_zone_zs'!$B443,[1]ratio_ins!$B:$B,0))</f>
        <v>39209.593104000007</v>
      </c>
      <c r="X443" s="10">
        <f>INDEX([1]ratio_ins!V:V,MATCH('001_population_health_zone_zs'!$B$2,[1]ratio_ins!$B:$B,0))*$G443*INDEX([1]ratio_ins!$C:$C,MATCH('001_population_health_zone_zs'!$B443,[1]ratio_ins!$B:$B,0))</f>
        <v>1149.8414400000001</v>
      </c>
      <c r="Y443" s="10">
        <f>INDEX([1]ratio_ins!W:W,MATCH('001_population_health_zone_zs'!$B$2,[1]ratio_ins!$B:$B,0))*$G443*INDEX([1]ratio_ins!$C:$C,MATCH('001_population_health_zone_zs'!$B443,[1]ratio_ins!$B:$B,0))</f>
        <v>766.56096000000002</v>
      </c>
      <c r="Z443" s="10">
        <f>INDEX([1]ratio_ins!X:X,MATCH('001_population_health_zone_zs'!$B$2,[1]ratio_ins!$B:$B,0))*$G443*INDEX([1]ratio_ins!$C:$C,MATCH('001_population_health_zone_zs'!$B443,[1]ratio_ins!$B:$B,0))</f>
        <v>383.28048000000001</v>
      </c>
      <c r="AA443" s="10">
        <f>INDEX([1]ratio_ins!Y:Y,MATCH('001_population_health_zone_zs'!$B$2,[1]ratio_ins!$B:$B,0))*$G443*INDEX([1]ratio_ins!$C:$C,MATCH('001_population_health_zone_zs'!$B443,[1]ratio_ins!$B:$B,0))</f>
        <v>191.64024000000001</v>
      </c>
      <c r="AB443" s="11">
        <f>INDEX([1]ratio_ins!Z:Z,MATCH('001_population_health_zone_zs'!$B$2,[1]ratio_ins!$B:$B,0))*$G443*INDEX([1]ratio_ins!$C:$C,MATCH('001_population_health_zone_zs'!$B443,[1]ratio_ins!$B:$B,0))</f>
        <v>2491.3231200000005</v>
      </c>
      <c r="AC443" s="12">
        <f t="shared" si="36"/>
        <v>95820.12000000001</v>
      </c>
      <c r="AD443" s="10">
        <f>INDEX([1]ratio_ins!AA:AA,MATCH('001_population_health_zone_zs'!$B$2,[1]ratio_ins!$B:$B,0))*$G443*INDEX([1]ratio_ins!$D:$D,MATCH('001_population_health_zone_zs'!$B443,[1]ratio_ins!$B:$B,0))</f>
        <v>20528.734799999998</v>
      </c>
      <c r="AE443" s="10">
        <f>INDEX([1]ratio_ins!AB:AB,MATCH('001_population_health_zone_zs'!$B$2,[1]ratio_ins!$B:$B,0))*$G443*INDEX([1]ratio_ins!$D:$D,MATCH('001_population_health_zone_zs'!$B443,[1]ratio_ins!$B:$B,0))</f>
        <v>16911.767240000001</v>
      </c>
      <c r="AF443" s="10">
        <f>INDEX([1]ratio_ins!AC:AC,MATCH('001_population_health_zone_zs'!$B$2,[1]ratio_ins!$B:$B,0))*$G443*INDEX([1]ratio_ins!$D:$D,MATCH('001_population_health_zone_zs'!$B443,[1]ratio_ins!$B:$B,0))</f>
        <v>13392.555559999999</v>
      </c>
      <c r="AG443" s="10">
        <f>INDEX([1]ratio_ins!AD:AD,MATCH('001_population_health_zone_zs'!$B$2,[1]ratio_ins!$B:$B,0))*$G443*INDEX([1]ratio_ins!$D:$D,MATCH('001_population_health_zone_zs'!$B443,[1]ratio_ins!$B:$B,0))</f>
        <v>8113.7380400000002</v>
      </c>
      <c r="AH443" s="10">
        <f>INDEX([1]ratio_ins!AE:AE,MATCH('001_population_health_zone_zs'!$B$2,[1]ratio_ins!$B:$B,0))*$G443*INDEX([1]ratio_ins!$D:$D,MATCH('001_population_health_zone_zs'!$B443,[1]ratio_ins!$B:$B,0))</f>
        <v>4868.242823999999</v>
      </c>
      <c r="AI443" s="13">
        <f>INDEX([1]ratio_ins!AF:AF,MATCH('001_population_health_zone_zs'!$B$2,[1]ratio_ins!$B:$B,0))*$G443*INDEX([1]ratio_ins!$D:$D,MATCH('001_population_health_zone_zs'!$B443,[1]ratio_ins!$B:$B,0))</f>
        <v>55701.300424000001</v>
      </c>
      <c r="AJ443" s="10">
        <f>INDEX([1]ratio_ins!AG:AG,MATCH('001_population_health_zone_zs'!$B$2,[1]ratio_ins!$B:$B,0))*$G443*INDEX([1]ratio_ins!$D:$D,MATCH('001_population_health_zone_zs'!$B443,[1]ratio_ins!$B:$B,0))</f>
        <v>3245.4952160000003</v>
      </c>
      <c r="AK443" s="10">
        <f>INDEX([1]ratio_ins!AH:AH,MATCH('001_population_health_zone_zs'!$B$2,[1]ratio_ins!$B:$B,0))*$G443*INDEX([1]ratio_ins!$D:$D,MATCH('001_population_health_zone_zs'!$B443,[1]ratio_ins!$B:$B,0))</f>
        <v>7233.935120000001</v>
      </c>
      <c r="AL443" s="10">
        <f>INDEX([1]ratio_ins!AI:AI,MATCH('001_population_health_zone_zs'!$B$2,[1]ratio_ins!$B:$B,0))*$G443*INDEX([1]ratio_ins!$D:$D,MATCH('001_population_health_zone_zs'!$B443,[1]ratio_ins!$B:$B,0))</f>
        <v>6842.9116000000013</v>
      </c>
      <c r="AM443" s="10">
        <f>INDEX([1]ratio_ins!AJ:AJ,MATCH('001_population_health_zone_zs'!$B$2,[1]ratio_ins!$B:$B,0))*$G443*INDEX([1]ratio_ins!$D:$D,MATCH('001_population_health_zone_zs'!$B443,[1]ratio_ins!$B:$B,0))</f>
        <v>6256.3763199999994</v>
      </c>
      <c r="AN443" s="10">
        <f>INDEX([1]ratio_ins!AK:AK,MATCH('001_population_health_zone_zs'!$B$2,[1]ratio_ins!$B:$B,0))*$G443*INDEX([1]ratio_ins!$D:$D,MATCH('001_population_health_zone_zs'!$B443,[1]ratio_ins!$B:$B,0))</f>
        <v>5865.3527999999997</v>
      </c>
      <c r="AO443" s="10">
        <f>INDEX([1]ratio_ins!AL:AL,MATCH('001_population_health_zone_zs'!$B$2,[1]ratio_ins!$B:$B,0))*$G443*INDEX([1]ratio_ins!$D:$D,MATCH('001_population_health_zone_zs'!$B443,[1]ratio_ins!$B:$B,0))</f>
        <v>4399.0146000000004</v>
      </c>
      <c r="AP443" s="10">
        <f>INDEX([1]ratio_ins!AM:AM,MATCH('001_population_health_zone_zs'!$B$2,[1]ratio_ins!$B:$B,0))*$G443*INDEX([1]ratio_ins!$D:$D,MATCH('001_population_health_zone_zs'!$B443,[1]ratio_ins!$B:$B,0))</f>
        <v>2834.9205199999997</v>
      </c>
      <c r="AQ443" s="10">
        <f>INDEX([1]ratio_ins!AN:AN,MATCH('001_population_health_zone_zs'!$B$2,[1]ratio_ins!$B:$B,0))*$G443*INDEX([1]ratio_ins!$D:$D,MATCH('001_population_health_zone_zs'!$B443,[1]ratio_ins!$B:$B,0))</f>
        <v>2248.3852399999996</v>
      </c>
      <c r="AR443" s="10">
        <f>INDEX([1]ratio_ins!AO:AO,MATCH('001_population_health_zone_zs'!$B$2,[1]ratio_ins!$B:$B,0))*$G443*INDEX([1]ratio_ins!$D:$D,MATCH('001_population_health_zone_zs'!$B443,[1]ratio_ins!$B:$B,0))</f>
        <v>1075.3146800000002</v>
      </c>
      <c r="AS443" s="13">
        <f>INDEX([1]ratio_ins!AP:AP,MATCH('001_population_health_zone_zs'!$B$2,[1]ratio_ins!$B:$B,0))*$G443*INDEX([1]ratio_ins!$D:$D,MATCH('001_population_health_zone_zs'!$B443,[1]ratio_ins!$B:$B,0))</f>
        <v>40001.706096000002</v>
      </c>
      <c r="AT443" s="10">
        <f>INDEX([1]ratio_ins!AQ:AQ,MATCH('001_population_health_zone_zs'!$B$2,[1]ratio_ins!$B:$B,0))*$G443*INDEX([1]ratio_ins!$D:$D,MATCH('001_population_health_zone_zs'!$B443,[1]ratio_ins!$B:$B,0))</f>
        <v>977.55880000000002</v>
      </c>
      <c r="AU443" s="10">
        <f>INDEX([1]ratio_ins!AR:AR,MATCH('001_population_health_zone_zs'!$B$2,[1]ratio_ins!$B:$B,0))*$G443*INDEX([1]ratio_ins!$D:$D,MATCH('001_population_health_zone_zs'!$B443,[1]ratio_ins!$B:$B,0))</f>
        <v>586.53528000000006</v>
      </c>
      <c r="AV443" s="10">
        <f>INDEX([1]ratio_ins!AS:AS,MATCH('001_population_health_zone_zs'!$B$2,[1]ratio_ins!$B:$B,0))*$G443*INDEX([1]ratio_ins!$D:$D,MATCH('001_population_health_zone_zs'!$B443,[1]ratio_ins!$B:$B,0))</f>
        <v>293.26764000000003</v>
      </c>
      <c r="AW443" s="10">
        <f>INDEX([1]ratio_ins!AT:AT,MATCH('001_population_health_zone_zs'!$B$2,[1]ratio_ins!$B:$B,0))*$G443*INDEX([1]ratio_ins!$D:$D,MATCH('001_population_health_zone_zs'!$B443,[1]ratio_ins!$B:$B,0))</f>
        <v>195.51175999999998</v>
      </c>
      <c r="AX443" s="13">
        <f>INDEX([1]ratio_ins!AU:AU,MATCH('001_population_health_zone_zs'!$B$2,[1]ratio_ins!$B:$B,0))*$G443*INDEX([1]ratio_ins!$D:$D,MATCH('001_population_health_zone_zs'!$B443,[1]ratio_ins!$B:$B,0))</f>
        <v>2052.8734799999997</v>
      </c>
      <c r="AY443" s="14">
        <f t="shared" si="37"/>
        <v>97755.87999999999</v>
      </c>
      <c r="AZ443" s="15">
        <f t="shared" si="38"/>
        <v>193576</v>
      </c>
      <c r="BA443" s="16">
        <v>185459.05152381721</v>
      </c>
      <c r="BB443" s="10">
        <f t="shared" si="39"/>
        <v>41546.249000000003</v>
      </c>
      <c r="BC443" s="17">
        <f t="shared" si="40"/>
        <v>0.21462500000000001</v>
      </c>
      <c r="BD443" s="10">
        <f t="shared" si="41"/>
        <v>39956.990040000004</v>
      </c>
    </row>
    <row r="444" spans="1:56" x14ac:dyDescent="0.25">
      <c r="A444" s="8" t="s">
        <v>1087</v>
      </c>
      <c r="B444" s="8" t="s">
        <v>1088</v>
      </c>
      <c r="C444" s="8" t="s">
        <v>1089</v>
      </c>
      <c r="D444" s="8" t="s">
        <v>1090</v>
      </c>
      <c r="E444" s="8" t="s">
        <v>1095</v>
      </c>
      <c r="F444" s="8" t="s">
        <v>1096</v>
      </c>
      <c r="G444" s="9">
        <v>255731</v>
      </c>
      <c r="H444" s="10">
        <f>INDEX([1]ratio_ins!F:F,MATCH('001_population_health_zone_zs'!$B$2,[1]ratio_ins!$B:$B,0))*$G444*INDEX([1]ratio_ins!$C:$C,MATCH('001_population_health_zone_zs'!$B444,[1]ratio_ins!$B:$B,0))</f>
        <v>26456.650604999999</v>
      </c>
      <c r="I444" s="10">
        <f>INDEX([1]ratio_ins!G:G,MATCH('001_population_health_zone_zs'!$B$2,[1]ratio_ins!$B:$B,0))*$G444*INDEX([1]ratio_ins!$C:$C,MATCH('001_population_health_zone_zs'!$B444,[1]ratio_ins!$B:$B,0))</f>
        <v>21646.350495000002</v>
      </c>
      <c r="J444" s="10">
        <f>INDEX([1]ratio_ins!H:H,MATCH('001_population_health_zone_zs'!$B$2,[1]ratio_ins!$B:$B,0))*$G444*INDEX([1]ratio_ins!$C:$C,MATCH('001_population_health_zone_zs'!$B444,[1]ratio_ins!$B:$B,0))</f>
        <v>17089.224075000002</v>
      </c>
      <c r="K444" s="10">
        <f>INDEX([1]ratio_ins!I:I,MATCH('001_population_health_zone_zs'!$B$2,[1]ratio_ins!$B:$B,0))*$G444*INDEX([1]ratio_ins!$C:$C,MATCH('001_population_health_zone_zs'!$B444,[1]ratio_ins!$B:$B,0))</f>
        <v>10506.708135000001</v>
      </c>
      <c r="L444" s="10">
        <f>INDEX([1]ratio_ins!J:J,MATCH('001_population_health_zone_zs'!$B$2,[1]ratio_ins!$B:$B,0))*$G444*INDEX([1]ratio_ins!$C:$C,MATCH('001_population_health_zone_zs'!$B444,[1]ratio_ins!$B:$B,0))</f>
        <v>6304.0248810000003</v>
      </c>
      <c r="M444" s="11">
        <f>INDEX([1]ratio_ins!K:K,MATCH('001_population_health_zone_zs'!$B$2,[1]ratio_ins!$B:$B,0))*$G444*INDEX([1]ratio_ins!$C:$C,MATCH('001_population_health_zone_zs'!$B444,[1]ratio_ins!$B:$B,0))</f>
        <v>71496.250056000004</v>
      </c>
      <c r="N444" s="10">
        <f>INDEX([1]ratio_ins!L:L,MATCH('001_population_health_zone_zs'!$B$2,[1]ratio_ins!$B:$B,0))*$G444*INDEX([1]ratio_ins!$C:$C,MATCH('001_population_health_zone_zs'!$B444,[1]ratio_ins!$B:$B,0))</f>
        <v>4202.6832540000005</v>
      </c>
      <c r="O444" s="10">
        <f>INDEX([1]ratio_ins!M:M,MATCH('001_population_health_zone_zs'!$B$2,[1]ratio_ins!$B:$B,0))*$G444*INDEX([1]ratio_ins!$C:$C,MATCH('001_population_health_zone_zs'!$B444,[1]ratio_ins!$B:$B,0))</f>
        <v>9114.252840000001</v>
      </c>
      <c r="P444" s="10">
        <f>INDEX([1]ratio_ins!N:N,MATCH('001_population_health_zone_zs'!$B$2,[1]ratio_ins!$B:$B,0))*$G444*INDEX([1]ratio_ins!$C:$C,MATCH('001_population_health_zone_zs'!$B444,[1]ratio_ins!$B:$B,0))</f>
        <v>8228.1449250000005</v>
      </c>
      <c r="Q444" s="10">
        <f>INDEX([1]ratio_ins!O:O,MATCH('001_population_health_zone_zs'!$B$2,[1]ratio_ins!$B:$B,0))*$G444*INDEX([1]ratio_ins!$C:$C,MATCH('001_population_health_zone_zs'!$B444,[1]ratio_ins!$B:$B,0))</f>
        <v>7342.0370099999991</v>
      </c>
      <c r="R444" s="10">
        <f>INDEX([1]ratio_ins!P:P,MATCH('001_population_health_zone_zs'!$B$2,[1]ratio_ins!$B:$B,0))*$G444*INDEX([1]ratio_ins!$C:$C,MATCH('001_population_health_zone_zs'!$B444,[1]ratio_ins!$B:$B,0))</f>
        <v>7215.4501650000002</v>
      </c>
      <c r="S444" s="10">
        <f>INDEX([1]ratio_ins!Q:Q,MATCH('001_population_health_zone_zs'!$B$2,[1]ratio_ins!$B:$B,0))*$G444*INDEX([1]ratio_ins!$C:$C,MATCH('001_population_health_zone_zs'!$B444,[1]ratio_ins!$B:$B,0))</f>
        <v>6076.1685600000001</v>
      </c>
      <c r="T444" s="10">
        <f>INDEX([1]ratio_ins!R:R,MATCH('001_population_health_zone_zs'!$B$2,[1]ratio_ins!$B:$B,0))*$G444*INDEX([1]ratio_ins!$C:$C,MATCH('001_population_health_zone_zs'!$B444,[1]ratio_ins!$B:$B,0))</f>
        <v>4303.9527300000009</v>
      </c>
      <c r="U444" s="10">
        <f>INDEX([1]ratio_ins!S:S,MATCH('001_population_health_zone_zs'!$B$2,[1]ratio_ins!$B:$B,0))*$G444*INDEX([1]ratio_ins!$C:$C,MATCH('001_population_health_zone_zs'!$B444,[1]ratio_ins!$B:$B,0))</f>
        <v>3417.8448150000004</v>
      </c>
      <c r="V444" s="10">
        <f>INDEX([1]ratio_ins!T:T,MATCH('001_population_health_zone_zs'!$B$2,[1]ratio_ins!$B:$B,0))*$G444*INDEX([1]ratio_ins!$C:$C,MATCH('001_population_health_zone_zs'!$B444,[1]ratio_ins!$B:$B,0))</f>
        <v>1898.8026749999999</v>
      </c>
      <c r="W444" s="11">
        <f>INDEX([1]ratio_ins!U:U,MATCH('001_population_health_zone_zs'!$B$2,[1]ratio_ins!$B:$B,0))*$G444*INDEX([1]ratio_ins!$C:$C,MATCH('001_population_health_zone_zs'!$B444,[1]ratio_ins!$B:$B,0))</f>
        <v>51799.336973999998</v>
      </c>
      <c r="X444" s="10">
        <f>INDEX([1]ratio_ins!V:V,MATCH('001_population_health_zone_zs'!$B$2,[1]ratio_ins!$B:$B,0))*$G444*INDEX([1]ratio_ins!$C:$C,MATCH('001_population_health_zone_zs'!$B444,[1]ratio_ins!$B:$B,0))</f>
        <v>1519.04214</v>
      </c>
      <c r="Y444" s="10">
        <f>INDEX([1]ratio_ins!W:W,MATCH('001_population_health_zone_zs'!$B$2,[1]ratio_ins!$B:$B,0))*$G444*INDEX([1]ratio_ins!$C:$C,MATCH('001_population_health_zone_zs'!$B444,[1]ratio_ins!$B:$B,0))</f>
        <v>1012.69476</v>
      </c>
      <c r="Z444" s="10">
        <f>INDEX([1]ratio_ins!X:X,MATCH('001_population_health_zone_zs'!$B$2,[1]ratio_ins!$B:$B,0))*$G444*INDEX([1]ratio_ins!$C:$C,MATCH('001_population_health_zone_zs'!$B444,[1]ratio_ins!$B:$B,0))</f>
        <v>506.34737999999999</v>
      </c>
      <c r="AA444" s="10">
        <f>INDEX([1]ratio_ins!Y:Y,MATCH('001_population_health_zone_zs'!$B$2,[1]ratio_ins!$B:$B,0))*$G444*INDEX([1]ratio_ins!$C:$C,MATCH('001_population_health_zone_zs'!$B444,[1]ratio_ins!$B:$B,0))</f>
        <v>253.17368999999999</v>
      </c>
      <c r="AB444" s="11">
        <f>INDEX([1]ratio_ins!Z:Z,MATCH('001_population_health_zone_zs'!$B$2,[1]ratio_ins!$B:$B,0))*$G444*INDEX([1]ratio_ins!$C:$C,MATCH('001_population_health_zone_zs'!$B444,[1]ratio_ins!$B:$B,0))</f>
        <v>3291.2579700000001</v>
      </c>
      <c r="AC444" s="12">
        <f t="shared" si="36"/>
        <v>126586.845</v>
      </c>
      <c r="AD444" s="10">
        <f>INDEX([1]ratio_ins!AA:AA,MATCH('001_population_health_zone_zs'!$B$2,[1]ratio_ins!$B:$B,0))*$G444*INDEX([1]ratio_ins!$D:$D,MATCH('001_population_health_zone_zs'!$B444,[1]ratio_ins!$B:$B,0))</f>
        <v>27120.272549999998</v>
      </c>
      <c r="AE444" s="10">
        <f>INDEX([1]ratio_ins!AB:AB,MATCH('001_population_health_zone_zs'!$B$2,[1]ratio_ins!$B:$B,0))*$G444*INDEX([1]ratio_ins!$D:$D,MATCH('001_population_health_zone_zs'!$B444,[1]ratio_ins!$B:$B,0))</f>
        <v>22341.938815000001</v>
      </c>
      <c r="AF444" s="10">
        <f>INDEX([1]ratio_ins!AC:AC,MATCH('001_population_health_zone_zs'!$B$2,[1]ratio_ins!$B:$B,0))*$G444*INDEX([1]ratio_ins!$D:$D,MATCH('001_population_health_zone_zs'!$B444,[1]ratio_ins!$B:$B,0))</f>
        <v>17692.749234999999</v>
      </c>
      <c r="AG444" s="10">
        <f>INDEX([1]ratio_ins!AD:AD,MATCH('001_population_health_zone_zs'!$B$2,[1]ratio_ins!$B:$B,0))*$G444*INDEX([1]ratio_ins!$D:$D,MATCH('001_population_health_zone_zs'!$B444,[1]ratio_ins!$B:$B,0))</f>
        <v>10718.964865000002</v>
      </c>
      <c r="AH444" s="10">
        <f>INDEX([1]ratio_ins!AE:AE,MATCH('001_population_health_zone_zs'!$B$2,[1]ratio_ins!$B:$B,0))*$G444*INDEX([1]ratio_ins!$D:$D,MATCH('001_population_health_zone_zs'!$B444,[1]ratio_ins!$B:$B,0))</f>
        <v>6431.3789189999998</v>
      </c>
      <c r="AI444" s="13">
        <f>INDEX([1]ratio_ins!AF:AF,MATCH('001_population_health_zone_zs'!$B$2,[1]ratio_ins!$B:$B,0))*$G444*INDEX([1]ratio_ins!$D:$D,MATCH('001_population_health_zone_zs'!$B444,[1]ratio_ins!$B:$B,0))</f>
        <v>73586.339519000001</v>
      </c>
      <c r="AJ444" s="10">
        <f>INDEX([1]ratio_ins!AG:AG,MATCH('001_population_health_zone_zs'!$B$2,[1]ratio_ins!$B:$B,0))*$G444*INDEX([1]ratio_ins!$D:$D,MATCH('001_population_health_zone_zs'!$B444,[1]ratio_ins!$B:$B,0))</f>
        <v>4287.5859460000001</v>
      </c>
      <c r="AK444" s="10">
        <f>INDEX([1]ratio_ins!AH:AH,MATCH('001_population_health_zone_zs'!$B$2,[1]ratio_ins!$B:$B,0))*$G444*INDEX([1]ratio_ins!$D:$D,MATCH('001_population_health_zone_zs'!$B444,[1]ratio_ins!$B:$B,0))</f>
        <v>9556.6674700000003</v>
      </c>
      <c r="AL444" s="10">
        <f>INDEX([1]ratio_ins!AI:AI,MATCH('001_population_health_zone_zs'!$B$2,[1]ratio_ins!$B:$B,0))*$G444*INDEX([1]ratio_ins!$D:$D,MATCH('001_population_health_zone_zs'!$B444,[1]ratio_ins!$B:$B,0))</f>
        <v>9040.0908500000005</v>
      </c>
      <c r="AM444" s="10">
        <f>INDEX([1]ratio_ins!AJ:AJ,MATCH('001_population_health_zone_zs'!$B$2,[1]ratio_ins!$B:$B,0))*$G444*INDEX([1]ratio_ins!$D:$D,MATCH('001_population_health_zone_zs'!$B444,[1]ratio_ins!$B:$B,0))</f>
        <v>8265.2259200000008</v>
      </c>
      <c r="AN444" s="10">
        <f>INDEX([1]ratio_ins!AK:AK,MATCH('001_population_health_zone_zs'!$B$2,[1]ratio_ins!$B:$B,0))*$G444*INDEX([1]ratio_ins!$D:$D,MATCH('001_population_health_zone_zs'!$B444,[1]ratio_ins!$B:$B,0))</f>
        <v>7748.6492999999991</v>
      </c>
      <c r="AO444" s="10">
        <f>INDEX([1]ratio_ins!AL:AL,MATCH('001_population_health_zone_zs'!$B$2,[1]ratio_ins!$B:$B,0))*$G444*INDEX([1]ratio_ins!$D:$D,MATCH('001_population_health_zone_zs'!$B444,[1]ratio_ins!$B:$B,0))</f>
        <v>5811.4869750000007</v>
      </c>
      <c r="AP444" s="10">
        <f>INDEX([1]ratio_ins!AM:AM,MATCH('001_population_health_zone_zs'!$B$2,[1]ratio_ins!$B:$B,0))*$G444*INDEX([1]ratio_ins!$D:$D,MATCH('001_population_health_zone_zs'!$B444,[1]ratio_ins!$B:$B,0))</f>
        <v>3745.1804950000001</v>
      </c>
      <c r="AQ444" s="10">
        <f>INDEX([1]ratio_ins!AN:AN,MATCH('001_population_health_zone_zs'!$B$2,[1]ratio_ins!$B:$B,0))*$G444*INDEX([1]ratio_ins!$D:$D,MATCH('001_population_health_zone_zs'!$B444,[1]ratio_ins!$B:$B,0))</f>
        <v>2970.3155649999999</v>
      </c>
      <c r="AR444" s="10">
        <f>INDEX([1]ratio_ins!AO:AO,MATCH('001_population_health_zone_zs'!$B$2,[1]ratio_ins!$B:$B,0))*$G444*INDEX([1]ratio_ins!$D:$D,MATCH('001_population_health_zone_zs'!$B444,[1]ratio_ins!$B:$B,0))</f>
        <v>1420.5857050000002</v>
      </c>
      <c r="AS444" s="13">
        <f>INDEX([1]ratio_ins!AP:AP,MATCH('001_population_health_zone_zs'!$B$2,[1]ratio_ins!$B:$B,0))*$G444*INDEX([1]ratio_ins!$D:$D,MATCH('001_population_health_zone_zs'!$B444,[1]ratio_ins!$B:$B,0))</f>
        <v>52845.788225999997</v>
      </c>
      <c r="AT444" s="10">
        <f>INDEX([1]ratio_ins!AQ:AQ,MATCH('001_population_health_zone_zs'!$B$2,[1]ratio_ins!$B:$B,0))*$G444*INDEX([1]ratio_ins!$D:$D,MATCH('001_population_health_zone_zs'!$B444,[1]ratio_ins!$B:$B,0))</f>
        <v>1291.44155</v>
      </c>
      <c r="AU444" s="10">
        <f>INDEX([1]ratio_ins!AR:AR,MATCH('001_population_health_zone_zs'!$B$2,[1]ratio_ins!$B:$B,0))*$G444*INDEX([1]ratio_ins!$D:$D,MATCH('001_population_health_zone_zs'!$B444,[1]ratio_ins!$B:$B,0))</f>
        <v>774.86492999999996</v>
      </c>
      <c r="AV444" s="10">
        <f>INDEX([1]ratio_ins!AS:AS,MATCH('001_population_health_zone_zs'!$B$2,[1]ratio_ins!$B:$B,0))*$G444*INDEX([1]ratio_ins!$D:$D,MATCH('001_population_health_zone_zs'!$B444,[1]ratio_ins!$B:$B,0))</f>
        <v>387.43246499999998</v>
      </c>
      <c r="AW444" s="10">
        <f>INDEX([1]ratio_ins!AT:AT,MATCH('001_population_health_zone_zs'!$B$2,[1]ratio_ins!$B:$B,0))*$G444*INDEX([1]ratio_ins!$D:$D,MATCH('001_population_health_zone_zs'!$B444,[1]ratio_ins!$B:$B,0))</f>
        <v>258.28831000000002</v>
      </c>
      <c r="AX444" s="13">
        <f>INDEX([1]ratio_ins!AU:AU,MATCH('001_population_health_zone_zs'!$B$2,[1]ratio_ins!$B:$B,0))*$G444*INDEX([1]ratio_ins!$D:$D,MATCH('001_population_health_zone_zs'!$B444,[1]ratio_ins!$B:$B,0))</f>
        <v>2712.027255</v>
      </c>
      <c r="AY444" s="14">
        <f t="shared" si="37"/>
        <v>129144.155</v>
      </c>
      <c r="AZ444" s="15">
        <f t="shared" si="38"/>
        <v>255731</v>
      </c>
      <c r="BA444" s="16">
        <v>245007.89845403199</v>
      </c>
      <c r="BB444" s="10">
        <f t="shared" si="39"/>
        <v>54886.265875000005</v>
      </c>
      <c r="BC444" s="17">
        <f t="shared" si="40"/>
        <v>0.21462500000000001</v>
      </c>
      <c r="BD444" s="10">
        <f t="shared" si="41"/>
        <v>52786.714365000007</v>
      </c>
    </row>
    <row r="445" spans="1:56" x14ac:dyDescent="0.25">
      <c r="A445" s="8" t="s">
        <v>1087</v>
      </c>
      <c r="B445" s="8" t="s">
        <v>1088</v>
      </c>
      <c r="C445" s="8" t="s">
        <v>1089</v>
      </c>
      <c r="D445" s="8" t="s">
        <v>1090</v>
      </c>
      <c r="E445" s="8" t="s">
        <v>1097</v>
      </c>
      <c r="F445" s="8" t="s">
        <v>1098</v>
      </c>
      <c r="G445" s="9">
        <v>358107</v>
      </c>
      <c r="H445" s="10">
        <f>INDEX([1]ratio_ins!F:F,MATCH('001_population_health_zone_zs'!$B$2,[1]ratio_ins!$B:$B,0))*$G445*INDEX([1]ratio_ins!$C:$C,MATCH('001_population_health_zone_zs'!$B445,[1]ratio_ins!$B:$B,0))</f>
        <v>37047.959685000002</v>
      </c>
      <c r="I445" s="10">
        <f>INDEX([1]ratio_ins!G:G,MATCH('001_population_health_zone_zs'!$B$2,[1]ratio_ins!$B:$B,0))*$G445*INDEX([1]ratio_ins!$C:$C,MATCH('001_population_health_zone_zs'!$B445,[1]ratio_ins!$B:$B,0))</f>
        <v>30311.967015000002</v>
      </c>
      <c r="J445" s="10">
        <f>INDEX([1]ratio_ins!H:H,MATCH('001_population_health_zone_zs'!$B$2,[1]ratio_ins!$B:$B,0))*$G445*INDEX([1]ratio_ins!$C:$C,MATCH('001_population_health_zone_zs'!$B445,[1]ratio_ins!$B:$B,0))</f>
        <v>23930.500274999999</v>
      </c>
      <c r="K445" s="10">
        <f>INDEX([1]ratio_ins!I:I,MATCH('001_population_health_zone_zs'!$B$2,[1]ratio_ins!$B:$B,0))*$G445*INDEX([1]ratio_ins!$C:$C,MATCH('001_population_health_zone_zs'!$B445,[1]ratio_ins!$B:$B,0))</f>
        <v>14712.826095</v>
      </c>
      <c r="L445" s="10">
        <f>INDEX([1]ratio_ins!J:J,MATCH('001_population_health_zone_zs'!$B$2,[1]ratio_ins!$B:$B,0))*$G445*INDEX([1]ratio_ins!$C:$C,MATCH('001_population_health_zone_zs'!$B445,[1]ratio_ins!$B:$B,0))</f>
        <v>8827.6956569999984</v>
      </c>
      <c r="M445" s="11">
        <f>INDEX([1]ratio_ins!K:K,MATCH('001_population_health_zone_zs'!$B$2,[1]ratio_ins!$B:$B,0))*$G445*INDEX([1]ratio_ins!$C:$C,MATCH('001_population_health_zone_zs'!$B445,[1]ratio_ins!$B:$B,0))</f>
        <v>100118.12263199998</v>
      </c>
      <c r="N445" s="10">
        <f>INDEX([1]ratio_ins!L:L,MATCH('001_population_health_zone_zs'!$B$2,[1]ratio_ins!$B:$B,0))*$G445*INDEX([1]ratio_ins!$C:$C,MATCH('001_population_health_zone_zs'!$B445,[1]ratio_ins!$B:$B,0))</f>
        <v>5885.1304380000001</v>
      </c>
      <c r="O445" s="10">
        <f>INDEX([1]ratio_ins!M:M,MATCH('001_population_health_zone_zs'!$B$2,[1]ratio_ins!$B:$B,0))*$G445*INDEX([1]ratio_ins!$C:$C,MATCH('001_population_health_zone_zs'!$B445,[1]ratio_ins!$B:$B,0))</f>
        <v>12762.933480000002</v>
      </c>
      <c r="P445" s="10">
        <f>INDEX([1]ratio_ins!N:N,MATCH('001_population_health_zone_zs'!$B$2,[1]ratio_ins!$B:$B,0))*$G445*INDEX([1]ratio_ins!$C:$C,MATCH('001_population_health_zone_zs'!$B445,[1]ratio_ins!$B:$B,0))</f>
        <v>11522.092725</v>
      </c>
      <c r="Q445" s="10">
        <f>INDEX([1]ratio_ins!O:O,MATCH('001_population_health_zone_zs'!$B$2,[1]ratio_ins!$B:$B,0))*$G445*INDEX([1]ratio_ins!$C:$C,MATCH('001_population_health_zone_zs'!$B445,[1]ratio_ins!$B:$B,0))</f>
        <v>10281.251969999999</v>
      </c>
      <c r="R445" s="10">
        <f>INDEX([1]ratio_ins!P:P,MATCH('001_population_health_zone_zs'!$B$2,[1]ratio_ins!$B:$B,0))*$G445*INDEX([1]ratio_ins!$C:$C,MATCH('001_population_health_zone_zs'!$B445,[1]ratio_ins!$B:$B,0))</f>
        <v>10103.989005000001</v>
      </c>
      <c r="S445" s="10">
        <f>INDEX([1]ratio_ins!Q:Q,MATCH('001_population_health_zone_zs'!$B$2,[1]ratio_ins!$B:$B,0))*$G445*INDEX([1]ratio_ins!$C:$C,MATCH('001_population_health_zone_zs'!$B445,[1]ratio_ins!$B:$B,0))</f>
        <v>8508.6223199999986</v>
      </c>
      <c r="T445" s="10">
        <f>INDEX([1]ratio_ins!R:R,MATCH('001_population_health_zone_zs'!$B$2,[1]ratio_ins!$B:$B,0))*$G445*INDEX([1]ratio_ins!$C:$C,MATCH('001_population_health_zone_zs'!$B445,[1]ratio_ins!$B:$B,0))</f>
        <v>6026.9408100000001</v>
      </c>
      <c r="U445" s="10">
        <f>INDEX([1]ratio_ins!S:S,MATCH('001_population_health_zone_zs'!$B$2,[1]ratio_ins!$B:$B,0))*$G445*INDEX([1]ratio_ins!$C:$C,MATCH('001_population_health_zone_zs'!$B445,[1]ratio_ins!$B:$B,0))</f>
        <v>4786.1000550000008</v>
      </c>
      <c r="V445" s="10">
        <f>INDEX([1]ratio_ins!T:T,MATCH('001_population_health_zone_zs'!$B$2,[1]ratio_ins!$B:$B,0))*$G445*INDEX([1]ratio_ins!$C:$C,MATCH('001_population_health_zone_zs'!$B445,[1]ratio_ins!$B:$B,0))</f>
        <v>2658.9444749999998</v>
      </c>
      <c r="W445" s="11">
        <f>INDEX([1]ratio_ins!U:U,MATCH('001_population_health_zone_zs'!$B$2,[1]ratio_ins!$B:$B,0))*$G445*INDEX([1]ratio_ins!$C:$C,MATCH('001_population_health_zone_zs'!$B445,[1]ratio_ins!$B:$B,0))</f>
        <v>72536.005278000011</v>
      </c>
      <c r="X445" s="10">
        <f>INDEX([1]ratio_ins!V:V,MATCH('001_population_health_zone_zs'!$B$2,[1]ratio_ins!$B:$B,0))*$G445*INDEX([1]ratio_ins!$C:$C,MATCH('001_population_health_zone_zs'!$B445,[1]ratio_ins!$B:$B,0))</f>
        <v>2127.1555799999996</v>
      </c>
      <c r="Y445" s="10">
        <f>INDEX([1]ratio_ins!W:W,MATCH('001_population_health_zone_zs'!$B$2,[1]ratio_ins!$B:$B,0))*$G445*INDEX([1]ratio_ins!$C:$C,MATCH('001_population_health_zone_zs'!$B445,[1]ratio_ins!$B:$B,0))</f>
        <v>1418.1037200000001</v>
      </c>
      <c r="Z445" s="10">
        <f>INDEX([1]ratio_ins!X:X,MATCH('001_population_health_zone_zs'!$B$2,[1]ratio_ins!$B:$B,0))*$G445*INDEX([1]ratio_ins!$C:$C,MATCH('001_population_health_zone_zs'!$B445,[1]ratio_ins!$B:$B,0))</f>
        <v>709.05186000000003</v>
      </c>
      <c r="AA445" s="10">
        <f>INDEX([1]ratio_ins!Y:Y,MATCH('001_population_health_zone_zs'!$B$2,[1]ratio_ins!$B:$B,0))*$G445*INDEX([1]ratio_ins!$C:$C,MATCH('001_population_health_zone_zs'!$B445,[1]ratio_ins!$B:$B,0))</f>
        <v>354.52593000000002</v>
      </c>
      <c r="AB445" s="11">
        <f>INDEX([1]ratio_ins!Z:Z,MATCH('001_population_health_zone_zs'!$B$2,[1]ratio_ins!$B:$B,0))*$G445*INDEX([1]ratio_ins!$C:$C,MATCH('001_population_health_zone_zs'!$B445,[1]ratio_ins!$B:$B,0))</f>
        <v>4608.8370900000009</v>
      </c>
      <c r="AC445" s="12">
        <f t="shared" si="36"/>
        <v>177262.96499999997</v>
      </c>
      <c r="AD445" s="10">
        <f>INDEX([1]ratio_ins!AA:AA,MATCH('001_population_health_zone_zs'!$B$2,[1]ratio_ins!$B:$B,0))*$G445*INDEX([1]ratio_ins!$D:$D,MATCH('001_population_health_zone_zs'!$B445,[1]ratio_ins!$B:$B,0))</f>
        <v>37977.247349999998</v>
      </c>
      <c r="AE445" s="10">
        <f>INDEX([1]ratio_ins!AB:AB,MATCH('001_population_health_zone_zs'!$B$2,[1]ratio_ins!$B:$B,0))*$G445*INDEX([1]ratio_ins!$D:$D,MATCH('001_population_health_zone_zs'!$B445,[1]ratio_ins!$B:$B,0))</f>
        <v>31286.018055000004</v>
      </c>
      <c r="AF445" s="10">
        <f>INDEX([1]ratio_ins!AC:AC,MATCH('001_population_health_zone_zs'!$B$2,[1]ratio_ins!$B:$B,0))*$G445*INDEX([1]ratio_ins!$D:$D,MATCH('001_population_health_zone_zs'!$B445,[1]ratio_ins!$B:$B,0))</f>
        <v>24775.632794999998</v>
      </c>
      <c r="AG445" s="10">
        <f>INDEX([1]ratio_ins!AD:AD,MATCH('001_population_health_zone_zs'!$B$2,[1]ratio_ins!$B:$B,0))*$G445*INDEX([1]ratio_ins!$D:$D,MATCH('001_population_health_zone_zs'!$B445,[1]ratio_ins!$B:$B,0))</f>
        <v>15010.054905000001</v>
      </c>
      <c r="AH445" s="10">
        <f>INDEX([1]ratio_ins!AE:AE,MATCH('001_population_health_zone_zs'!$B$2,[1]ratio_ins!$B:$B,0))*$G445*INDEX([1]ratio_ins!$D:$D,MATCH('001_population_health_zone_zs'!$B445,[1]ratio_ins!$B:$B,0))</f>
        <v>9006.0329430000002</v>
      </c>
      <c r="AI445" s="13">
        <f>INDEX([1]ratio_ins!AF:AF,MATCH('001_population_health_zone_zs'!$B$2,[1]ratio_ins!$B:$B,0))*$G445*INDEX([1]ratio_ins!$D:$D,MATCH('001_population_health_zone_zs'!$B445,[1]ratio_ins!$B:$B,0))</f>
        <v>103044.93114299999</v>
      </c>
      <c r="AJ445" s="10">
        <f>INDEX([1]ratio_ins!AG:AG,MATCH('001_population_health_zone_zs'!$B$2,[1]ratio_ins!$B:$B,0))*$G445*INDEX([1]ratio_ins!$D:$D,MATCH('001_population_health_zone_zs'!$B445,[1]ratio_ins!$B:$B,0))</f>
        <v>6004.0219620000007</v>
      </c>
      <c r="AK445" s="10">
        <f>INDEX([1]ratio_ins!AH:AH,MATCH('001_population_health_zone_zs'!$B$2,[1]ratio_ins!$B:$B,0))*$G445*INDEX([1]ratio_ins!$D:$D,MATCH('001_population_health_zone_zs'!$B445,[1]ratio_ins!$B:$B,0))</f>
        <v>13382.458590000002</v>
      </c>
      <c r="AL445" s="10">
        <f>INDEX([1]ratio_ins!AI:AI,MATCH('001_population_health_zone_zs'!$B$2,[1]ratio_ins!$B:$B,0))*$G445*INDEX([1]ratio_ins!$D:$D,MATCH('001_population_health_zone_zs'!$B445,[1]ratio_ins!$B:$B,0))</f>
        <v>12659.082450000002</v>
      </c>
      <c r="AM445" s="10">
        <f>INDEX([1]ratio_ins!AJ:AJ,MATCH('001_population_health_zone_zs'!$B$2,[1]ratio_ins!$B:$B,0))*$G445*INDEX([1]ratio_ins!$D:$D,MATCH('001_population_health_zone_zs'!$B445,[1]ratio_ins!$B:$B,0))</f>
        <v>11574.018240000001</v>
      </c>
      <c r="AN445" s="10">
        <f>INDEX([1]ratio_ins!AK:AK,MATCH('001_population_health_zone_zs'!$B$2,[1]ratio_ins!$B:$B,0))*$G445*INDEX([1]ratio_ins!$D:$D,MATCH('001_population_health_zone_zs'!$B445,[1]ratio_ins!$B:$B,0))</f>
        <v>10850.642099999999</v>
      </c>
      <c r="AO445" s="10">
        <f>INDEX([1]ratio_ins!AL:AL,MATCH('001_population_health_zone_zs'!$B$2,[1]ratio_ins!$B:$B,0))*$G445*INDEX([1]ratio_ins!$D:$D,MATCH('001_population_health_zone_zs'!$B445,[1]ratio_ins!$B:$B,0))</f>
        <v>8137.9815749999998</v>
      </c>
      <c r="AP445" s="10">
        <f>INDEX([1]ratio_ins!AM:AM,MATCH('001_population_health_zone_zs'!$B$2,[1]ratio_ins!$B:$B,0))*$G445*INDEX([1]ratio_ins!$D:$D,MATCH('001_population_health_zone_zs'!$B445,[1]ratio_ins!$B:$B,0))</f>
        <v>5244.4770149999995</v>
      </c>
      <c r="AQ445" s="10">
        <f>INDEX([1]ratio_ins!AN:AN,MATCH('001_population_health_zone_zs'!$B$2,[1]ratio_ins!$B:$B,0))*$G445*INDEX([1]ratio_ins!$D:$D,MATCH('001_population_health_zone_zs'!$B445,[1]ratio_ins!$B:$B,0))</f>
        <v>4159.4128049999999</v>
      </c>
      <c r="AR445" s="10">
        <f>INDEX([1]ratio_ins!AO:AO,MATCH('001_population_health_zone_zs'!$B$2,[1]ratio_ins!$B:$B,0))*$G445*INDEX([1]ratio_ins!$D:$D,MATCH('001_population_health_zone_zs'!$B445,[1]ratio_ins!$B:$B,0))</f>
        <v>1989.2843850000004</v>
      </c>
      <c r="AS445" s="13">
        <f>INDEX([1]ratio_ins!AP:AP,MATCH('001_population_health_zone_zs'!$B$2,[1]ratio_ins!$B:$B,0))*$G445*INDEX([1]ratio_ins!$D:$D,MATCH('001_population_health_zone_zs'!$B445,[1]ratio_ins!$B:$B,0))</f>
        <v>74001.379121999998</v>
      </c>
      <c r="AT445" s="10">
        <f>INDEX([1]ratio_ins!AQ:AQ,MATCH('001_population_health_zone_zs'!$B$2,[1]ratio_ins!$B:$B,0))*$G445*INDEX([1]ratio_ins!$D:$D,MATCH('001_population_health_zone_zs'!$B445,[1]ratio_ins!$B:$B,0))</f>
        <v>1808.4403500000001</v>
      </c>
      <c r="AU445" s="10">
        <f>INDEX([1]ratio_ins!AR:AR,MATCH('001_population_health_zone_zs'!$B$2,[1]ratio_ins!$B:$B,0))*$G445*INDEX([1]ratio_ins!$D:$D,MATCH('001_population_health_zone_zs'!$B445,[1]ratio_ins!$B:$B,0))</f>
        <v>1085.06421</v>
      </c>
      <c r="AV445" s="10">
        <f>INDEX([1]ratio_ins!AS:AS,MATCH('001_population_health_zone_zs'!$B$2,[1]ratio_ins!$B:$B,0))*$G445*INDEX([1]ratio_ins!$D:$D,MATCH('001_population_health_zone_zs'!$B445,[1]ratio_ins!$B:$B,0))</f>
        <v>542.532105</v>
      </c>
      <c r="AW445" s="10">
        <f>INDEX([1]ratio_ins!AT:AT,MATCH('001_population_health_zone_zs'!$B$2,[1]ratio_ins!$B:$B,0))*$G445*INDEX([1]ratio_ins!$D:$D,MATCH('001_population_health_zone_zs'!$B445,[1]ratio_ins!$B:$B,0))</f>
        <v>361.68807000000004</v>
      </c>
      <c r="AX445" s="13">
        <f>INDEX([1]ratio_ins!AU:AU,MATCH('001_population_health_zone_zs'!$B$2,[1]ratio_ins!$B:$B,0))*$G445*INDEX([1]ratio_ins!$D:$D,MATCH('001_population_health_zone_zs'!$B445,[1]ratio_ins!$B:$B,0))</f>
        <v>3797.7247349999998</v>
      </c>
      <c r="AY445" s="14">
        <f t="shared" si="37"/>
        <v>180844.03499999997</v>
      </c>
      <c r="AZ445" s="15">
        <f t="shared" si="38"/>
        <v>358106.99999999994</v>
      </c>
      <c r="BA445" s="16">
        <v>343090.95355818898</v>
      </c>
      <c r="BB445" s="10">
        <f t="shared" si="39"/>
        <v>76858.714875000005</v>
      </c>
      <c r="BC445" s="17">
        <f t="shared" si="40"/>
        <v>0.21462500000000001</v>
      </c>
      <c r="BD445" s="10">
        <f t="shared" si="41"/>
        <v>73918.656405000002</v>
      </c>
    </row>
    <row r="446" spans="1:56" x14ac:dyDescent="0.25">
      <c r="A446" s="8" t="s">
        <v>1087</v>
      </c>
      <c r="B446" s="8" t="s">
        <v>1088</v>
      </c>
      <c r="C446" s="8" t="s">
        <v>1089</v>
      </c>
      <c r="D446" s="8" t="s">
        <v>1090</v>
      </c>
      <c r="E446" s="8" t="s">
        <v>1099</v>
      </c>
      <c r="F446" s="8" t="s">
        <v>1100</v>
      </c>
      <c r="G446" s="9">
        <v>244364</v>
      </c>
      <c r="H446" s="10">
        <f>INDEX([1]ratio_ins!F:F,MATCH('001_population_health_zone_zs'!$B$2,[1]ratio_ins!$B:$B,0))*$G446*INDEX([1]ratio_ins!$C:$C,MATCH('001_population_health_zone_zs'!$B446,[1]ratio_ins!$B:$B,0))</f>
        <v>25280.677619999999</v>
      </c>
      <c r="I446" s="10">
        <f>INDEX([1]ratio_ins!G:G,MATCH('001_population_health_zone_zs'!$B$2,[1]ratio_ins!$B:$B,0))*$G446*INDEX([1]ratio_ins!$C:$C,MATCH('001_population_health_zone_zs'!$B446,[1]ratio_ins!$B:$B,0))</f>
        <v>20684.190780000004</v>
      </c>
      <c r="J446" s="10">
        <f>INDEX([1]ratio_ins!H:H,MATCH('001_population_health_zone_zs'!$B$2,[1]ratio_ins!$B:$B,0))*$G446*INDEX([1]ratio_ins!$C:$C,MATCH('001_population_health_zone_zs'!$B446,[1]ratio_ins!$B:$B,0))</f>
        <v>16329.624299999999</v>
      </c>
      <c r="K446" s="10">
        <f>INDEX([1]ratio_ins!I:I,MATCH('001_population_health_zone_zs'!$B$2,[1]ratio_ins!$B:$B,0))*$G446*INDEX([1]ratio_ins!$C:$C,MATCH('001_population_health_zone_zs'!$B446,[1]ratio_ins!$B:$B,0))</f>
        <v>10039.694939999999</v>
      </c>
      <c r="L446" s="10">
        <f>INDEX([1]ratio_ins!J:J,MATCH('001_population_health_zone_zs'!$B$2,[1]ratio_ins!$B:$B,0))*$G446*INDEX([1]ratio_ins!$C:$C,MATCH('001_population_health_zone_zs'!$B446,[1]ratio_ins!$B:$B,0))</f>
        <v>6023.8169639999996</v>
      </c>
      <c r="M446" s="11">
        <f>INDEX([1]ratio_ins!K:K,MATCH('001_population_health_zone_zs'!$B$2,[1]ratio_ins!$B:$B,0))*$G446*INDEX([1]ratio_ins!$C:$C,MATCH('001_population_health_zone_zs'!$B446,[1]ratio_ins!$B:$B,0))</f>
        <v>68318.309664</v>
      </c>
      <c r="N446" s="10">
        <f>INDEX([1]ratio_ins!L:L,MATCH('001_population_health_zone_zs'!$B$2,[1]ratio_ins!$B:$B,0))*$G446*INDEX([1]ratio_ins!$C:$C,MATCH('001_population_health_zone_zs'!$B446,[1]ratio_ins!$B:$B,0))</f>
        <v>4015.8779759999998</v>
      </c>
      <c r="O446" s="10">
        <f>INDEX([1]ratio_ins!M:M,MATCH('001_population_health_zone_zs'!$B$2,[1]ratio_ins!$B:$B,0))*$G446*INDEX([1]ratio_ins!$C:$C,MATCH('001_population_health_zone_zs'!$B446,[1]ratio_ins!$B:$B,0))</f>
        <v>8709.1329600000008</v>
      </c>
      <c r="P446" s="10">
        <f>INDEX([1]ratio_ins!N:N,MATCH('001_population_health_zone_zs'!$B$2,[1]ratio_ins!$B:$B,0))*$G446*INDEX([1]ratio_ins!$C:$C,MATCH('001_population_health_zone_zs'!$B446,[1]ratio_ins!$B:$B,0))</f>
        <v>7862.4116999999997</v>
      </c>
      <c r="Q446" s="10">
        <f>INDEX([1]ratio_ins!O:O,MATCH('001_population_health_zone_zs'!$B$2,[1]ratio_ins!$B:$B,0))*$G446*INDEX([1]ratio_ins!$C:$C,MATCH('001_population_health_zone_zs'!$B446,[1]ratio_ins!$B:$B,0))</f>
        <v>7015.6904399999994</v>
      </c>
      <c r="R446" s="10">
        <f>INDEX([1]ratio_ins!P:P,MATCH('001_population_health_zone_zs'!$B$2,[1]ratio_ins!$B:$B,0))*$G446*INDEX([1]ratio_ins!$C:$C,MATCH('001_population_health_zone_zs'!$B446,[1]ratio_ins!$B:$B,0))</f>
        <v>6894.7302599999994</v>
      </c>
      <c r="S446" s="10">
        <f>INDEX([1]ratio_ins!Q:Q,MATCH('001_population_health_zone_zs'!$B$2,[1]ratio_ins!$B:$B,0))*$G446*INDEX([1]ratio_ins!$C:$C,MATCH('001_population_health_zone_zs'!$B446,[1]ratio_ins!$B:$B,0))</f>
        <v>5806.0886399999999</v>
      </c>
      <c r="T446" s="10">
        <f>INDEX([1]ratio_ins!R:R,MATCH('001_population_health_zone_zs'!$B$2,[1]ratio_ins!$B:$B,0))*$G446*INDEX([1]ratio_ins!$C:$C,MATCH('001_population_health_zone_zs'!$B446,[1]ratio_ins!$B:$B,0))</f>
        <v>4112.6461200000003</v>
      </c>
      <c r="U446" s="10">
        <f>INDEX([1]ratio_ins!S:S,MATCH('001_population_health_zone_zs'!$B$2,[1]ratio_ins!$B:$B,0))*$G446*INDEX([1]ratio_ins!$C:$C,MATCH('001_population_health_zone_zs'!$B446,[1]ratio_ins!$B:$B,0))</f>
        <v>3265.9248600000001</v>
      </c>
      <c r="V446" s="10">
        <f>INDEX([1]ratio_ins!T:T,MATCH('001_population_health_zone_zs'!$B$2,[1]ratio_ins!$B:$B,0))*$G446*INDEX([1]ratio_ins!$C:$C,MATCH('001_population_health_zone_zs'!$B446,[1]ratio_ins!$B:$B,0))</f>
        <v>1814.4027000000001</v>
      </c>
      <c r="W446" s="11">
        <f>INDEX([1]ratio_ins!U:U,MATCH('001_population_health_zone_zs'!$B$2,[1]ratio_ins!$B:$B,0))*$G446*INDEX([1]ratio_ins!$C:$C,MATCH('001_population_health_zone_zs'!$B446,[1]ratio_ins!$B:$B,0))</f>
        <v>49496.905656000003</v>
      </c>
      <c r="X446" s="10">
        <f>INDEX([1]ratio_ins!V:V,MATCH('001_population_health_zone_zs'!$B$2,[1]ratio_ins!$B:$B,0))*$G446*INDEX([1]ratio_ins!$C:$C,MATCH('001_population_health_zone_zs'!$B446,[1]ratio_ins!$B:$B,0))</f>
        <v>1451.52216</v>
      </c>
      <c r="Y446" s="10">
        <f>INDEX([1]ratio_ins!W:W,MATCH('001_population_health_zone_zs'!$B$2,[1]ratio_ins!$B:$B,0))*$G446*INDEX([1]ratio_ins!$C:$C,MATCH('001_population_health_zone_zs'!$B446,[1]ratio_ins!$B:$B,0))</f>
        <v>967.68143999999995</v>
      </c>
      <c r="Z446" s="10">
        <f>INDEX([1]ratio_ins!X:X,MATCH('001_population_health_zone_zs'!$B$2,[1]ratio_ins!$B:$B,0))*$G446*INDEX([1]ratio_ins!$C:$C,MATCH('001_population_health_zone_zs'!$B446,[1]ratio_ins!$B:$B,0))</f>
        <v>483.84071999999998</v>
      </c>
      <c r="AA446" s="10">
        <f>INDEX([1]ratio_ins!Y:Y,MATCH('001_population_health_zone_zs'!$B$2,[1]ratio_ins!$B:$B,0))*$G446*INDEX([1]ratio_ins!$C:$C,MATCH('001_population_health_zone_zs'!$B446,[1]ratio_ins!$B:$B,0))</f>
        <v>241.92035999999999</v>
      </c>
      <c r="AB446" s="11">
        <f>INDEX([1]ratio_ins!Z:Z,MATCH('001_population_health_zone_zs'!$B$2,[1]ratio_ins!$B:$B,0))*$G446*INDEX([1]ratio_ins!$C:$C,MATCH('001_population_health_zone_zs'!$B446,[1]ratio_ins!$B:$B,0))</f>
        <v>3144.9646800000005</v>
      </c>
      <c r="AC446" s="12">
        <f t="shared" si="36"/>
        <v>120960.18000000001</v>
      </c>
      <c r="AD446" s="10">
        <f>INDEX([1]ratio_ins!AA:AA,MATCH('001_population_health_zone_zs'!$B$2,[1]ratio_ins!$B:$B,0))*$G446*INDEX([1]ratio_ins!$D:$D,MATCH('001_population_health_zone_zs'!$B446,[1]ratio_ins!$B:$B,0))</f>
        <v>25914.802199999998</v>
      </c>
      <c r="AE446" s="10">
        <f>INDEX([1]ratio_ins!AB:AB,MATCH('001_population_health_zone_zs'!$B$2,[1]ratio_ins!$B:$B,0))*$G446*INDEX([1]ratio_ins!$D:$D,MATCH('001_population_health_zone_zs'!$B446,[1]ratio_ins!$B:$B,0))</f>
        <v>21348.860860000001</v>
      </c>
      <c r="AF446" s="10">
        <f>INDEX([1]ratio_ins!AC:AC,MATCH('001_population_health_zone_zs'!$B$2,[1]ratio_ins!$B:$B,0))*$G446*INDEX([1]ratio_ins!$D:$D,MATCH('001_population_health_zone_zs'!$B446,[1]ratio_ins!$B:$B,0))</f>
        <v>16906.323339999999</v>
      </c>
      <c r="AG446" s="10">
        <f>INDEX([1]ratio_ins!AD:AD,MATCH('001_population_health_zone_zs'!$B$2,[1]ratio_ins!$B:$B,0))*$G446*INDEX([1]ratio_ins!$D:$D,MATCH('001_population_health_zone_zs'!$B446,[1]ratio_ins!$B:$B,0))</f>
        <v>10242.51706</v>
      </c>
      <c r="AH446" s="10">
        <f>INDEX([1]ratio_ins!AE:AE,MATCH('001_population_health_zone_zs'!$B$2,[1]ratio_ins!$B:$B,0))*$G446*INDEX([1]ratio_ins!$D:$D,MATCH('001_population_health_zone_zs'!$B446,[1]ratio_ins!$B:$B,0))</f>
        <v>6145.5102360000001</v>
      </c>
      <c r="AI446" s="13">
        <f>INDEX([1]ratio_ins!AF:AF,MATCH('001_population_health_zone_zs'!$B$2,[1]ratio_ins!$B:$B,0))*$G446*INDEX([1]ratio_ins!$D:$D,MATCH('001_population_health_zone_zs'!$B446,[1]ratio_ins!$B:$B,0))</f>
        <v>70315.496635999996</v>
      </c>
      <c r="AJ446" s="10">
        <f>INDEX([1]ratio_ins!AG:AG,MATCH('001_population_health_zone_zs'!$B$2,[1]ratio_ins!$B:$B,0))*$G446*INDEX([1]ratio_ins!$D:$D,MATCH('001_population_health_zone_zs'!$B446,[1]ratio_ins!$B:$B,0))</f>
        <v>4097.0068240000001</v>
      </c>
      <c r="AK446" s="10">
        <f>INDEX([1]ratio_ins!AH:AH,MATCH('001_population_health_zone_zs'!$B$2,[1]ratio_ins!$B:$B,0))*$G446*INDEX([1]ratio_ins!$D:$D,MATCH('001_population_health_zone_zs'!$B446,[1]ratio_ins!$B:$B,0))</f>
        <v>9131.8826800000006</v>
      </c>
      <c r="AL446" s="10">
        <f>INDEX([1]ratio_ins!AI:AI,MATCH('001_population_health_zone_zs'!$B$2,[1]ratio_ins!$B:$B,0))*$G446*INDEX([1]ratio_ins!$D:$D,MATCH('001_population_health_zone_zs'!$B446,[1]ratio_ins!$B:$B,0))</f>
        <v>8638.2674000000025</v>
      </c>
      <c r="AM446" s="10">
        <f>INDEX([1]ratio_ins!AJ:AJ,MATCH('001_population_health_zone_zs'!$B$2,[1]ratio_ins!$B:$B,0))*$G446*INDEX([1]ratio_ins!$D:$D,MATCH('001_population_health_zone_zs'!$B446,[1]ratio_ins!$B:$B,0))</f>
        <v>7897.8444800000007</v>
      </c>
      <c r="AN446" s="10">
        <f>INDEX([1]ratio_ins!AK:AK,MATCH('001_population_health_zone_zs'!$B$2,[1]ratio_ins!$B:$B,0))*$G446*INDEX([1]ratio_ins!$D:$D,MATCH('001_population_health_zone_zs'!$B446,[1]ratio_ins!$B:$B,0))</f>
        <v>7404.2291999999998</v>
      </c>
      <c r="AO446" s="10">
        <f>INDEX([1]ratio_ins!AL:AL,MATCH('001_population_health_zone_zs'!$B$2,[1]ratio_ins!$B:$B,0))*$G446*INDEX([1]ratio_ins!$D:$D,MATCH('001_population_health_zone_zs'!$B446,[1]ratio_ins!$B:$B,0))</f>
        <v>5553.1718999999994</v>
      </c>
      <c r="AP446" s="10">
        <f>INDEX([1]ratio_ins!AM:AM,MATCH('001_population_health_zone_zs'!$B$2,[1]ratio_ins!$B:$B,0))*$G446*INDEX([1]ratio_ins!$D:$D,MATCH('001_population_health_zone_zs'!$B446,[1]ratio_ins!$B:$B,0))</f>
        <v>3578.7107799999999</v>
      </c>
      <c r="AQ446" s="10">
        <f>INDEX([1]ratio_ins!AN:AN,MATCH('001_population_health_zone_zs'!$B$2,[1]ratio_ins!$B:$B,0))*$G446*INDEX([1]ratio_ins!$D:$D,MATCH('001_population_health_zone_zs'!$B446,[1]ratio_ins!$B:$B,0))</f>
        <v>2838.2878600000004</v>
      </c>
      <c r="AR446" s="10">
        <f>INDEX([1]ratio_ins!AO:AO,MATCH('001_population_health_zone_zs'!$B$2,[1]ratio_ins!$B:$B,0))*$G446*INDEX([1]ratio_ins!$D:$D,MATCH('001_population_health_zone_zs'!$B446,[1]ratio_ins!$B:$B,0))</f>
        <v>1357.4420200000002</v>
      </c>
      <c r="AS446" s="13">
        <f>INDEX([1]ratio_ins!AP:AP,MATCH('001_population_health_zone_zs'!$B$2,[1]ratio_ins!$B:$B,0))*$G446*INDEX([1]ratio_ins!$D:$D,MATCH('001_population_health_zone_zs'!$B446,[1]ratio_ins!$B:$B,0))</f>
        <v>50496.843143999999</v>
      </c>
      <c r="AT446" s="10">
        <f>INDEX([1]ratio_ins!AQ:AQ,MATCH('001_population_health_zone_zs'!$B$2,[1]ratio_ins!$B:$B,0))*$G446*INDEX([1]ratio_ins!$D:$D,MATCH('001_population_health_zone_zs'!$B446,[1]ratio_ins!$B:$B,0))</f>
        <v>1234.0382</v>
      </c>
      <c r="AU446" s="10">
        <f>INDEX([1]ratio_ins!AR:AR,MATCH('001_population_health_zone_zs'!$B$2,[1]ratio_ins!$B:$B,0))*$G446*INDEX([1]ratio_ins!$D:$D,MATCH('001_population_health_zone_zs'!$B446,[1]ratio_ins!$B:$B,0))</f>
        <v>740.42291999999998</v>
      </c>
      <c r="AV446" s="10">
        <f>INDEX([1]ratio_ins!AS:AS,MATCH('001_population_health_zone_zs'!$B$2,[1]ratio_ins!$B:$B,0))*$G446*INDEX([1]ratio_ins!$D:$D,MATCH('001_population_health_zone_zs'!$B446,[1]ratio_ins!$B:$B,0))</f>
        <v>370.21145999999999</v>
      </c>
      <c r="AW446" s="10">
        <f>INDEX([1]ratio_ins!AT:AT,MATCH('001_population_health_zone_zs'!$B$2,[1]ratio_ins!$B:$B,0))*$G446*INDEX([1]ratio_ins!$D:$D,MATCH('001_population_health_zone_zs'!$B446,[1]ratio_ins!$B:$B,0))</f>
        <v>246.80764000000002</v>
      </c>
      <c r="AX446" s="13">
        <f>INDEX([1]ratio_ins!AU:AU,MATCH('001_population_health_zone_zs'!$B$2,[1]ratio_ins!$B:$B,0))*$G446*INDEX([1]ratio_ins!$D:$D,MATCH('001_population_health_zone_zs'!$B446,[1]ratio_ins!$B:$B,0))</f>
        <v>2591.4802199999995</v>
      </c>
      <c r="AY446" s="14">
        <f t="shared" si="37"/>
        <v>123403.81999999999</v>
      </c>
      <c r="AZ446" s="15">
        <f t="shared" si="38"/>
        <v>244364</v>
      </c>
      <c r="BA446" s="16">
        <v>234117.31546221511</v>
      </c>
      <c r="BB446" s="10">
        <f t="shared" si="39"/>
        <v>52446.623500000009</v>
      </c>
      <c r="BC446" s="17">
        <f t="shared" si="40"/>
        <v>0.21462500000000004</v>
      </c>
      <c r="BD446" s="10">
        <f t="shared" si="41"/>
        <v>50440.395059999995</v>
      </c>
    </row>
    <row r="447" spans="1:56" x14ac:dyDescent="0.25">
      <c r="A447" s="8" t="s">
        <v>1087</v>
      </c>
      <c r="B447" s="8" t="s">
        <v>1088</v>
      </c>
      <c r="C447" s="8" t="s">
        <v>1089</v>
      </c>
      <c r="D447" s="8" t="s">
        <v>1090</v>
      </c>
      <c r="E447" s="8" t="s">
        <v>1101</v>
      </c>
      <c r="F447" s="8" t="s">
        <v>1102</v>
      </c>
      <c r="G447" s="9">
        <v>251463</v>
      </c>
      <c r="H447" s="10">
        <f>INDEX([1]ratio_ins!F:F,MATCH('001_population_health_zone_zs'!$B$2,[1]ratio_ins!$B:$B,0))*$G447*INDEX([1]ratio_ins!$C:$C,MATCH('001_population_health_zone_zs'!$B447,[1]ratio_ins!$B:$B,0))</f>
        <v>26015.104664999999</v>
      </c>
      <c r="I447" s="10">
        <f>INDEX([1]ratio_ins!G:G,MATCH('001_population_health_zone_zs'!$B$2,[1]ratio_ins!$B:$B,0))*$G447*INDEX([1]ratio_ins!$C:$C,MATCH('001_population_health_zone_zs'!$B447,[1]ratio_ins!$B:$B,0))</f>
        <v>21285.085634999999</v>
      </c>
      <c r="J447" s="10">
        <f>INDEX([1]ratio_ins!H:H,MATCH('001_population_health_zone_zs'!$B$2,[1]ratio_ins!$B:$B,0))*$G447*INDEX([1]ratio_ins!$C:$C,MATCH('001_population_health_zone_zs'!$B447,[1]ratio_ins!$B:$B,0))</f>
        <v>16804.014975000002</v>
      </c>
      <c r="K447" s="10">
        <f>INDEX([1]ratio_ins!I:I,MATCH('001_population_health_zone_zs'!$B$2,[1]ratio_ins!$B:$B,0))*$G447*INDEX([1]ratio_ins!$C:$C,MATCH('001_population_health_zone_zs'!$B447,[1]ratio_ins!$B:$B,0))</f>
        <v>10331.357355</v>
      </c>
      <c r="L447" s="10">
        <f>INDEX([1]ratio_ins!J:J,MATCH('001_population_health_zone_zs'!$B$2,[1]ratio_ins!$B:$B,0))*$G447*INDEX([1]ratio_ins!$C:$C,MATCH('001_population_health_zone_zs'!$B447,[1]ratio_ins!$B:$B,0))</f>
        <v>6198.8144129999991</v>
      </c>
      <c r="M447" s="11">
        <f>INDEX([1]ratio_ins!K:K,MATCH('001_population_health_zone_zs'!$B$2,[1]ratio_ins!$B:$B,0))*$G447*INDEX([1]ratio_ins!$C:$C,MATCH('001_population_health_zone_zs'!$B447,[1]ratio_ins!$B:$B,0))</f>
        <v>70303.019687999986</v>
      </c>
      <c r="N447" s="10">
        <f>INDEX([1]ratio_ins!L:L,MATCH('001_population_health_zone_zs'!$B$2,[1]ratio_ins!$B:$B,0))*$G447*INDEX([1]ratio_ins!$C:$C,MATCH('001_population_health_zone_zs'!$B447,[1]ratio_ins!$B:$B,0))</f>
        <v>4132.542942</v>
      </c>
      <c r="O447" s="10">
        <f>INDEX([1]ratio_ins!M:M,MATCH('001_population_health_zone_zs'!$B$2,[1]ratio_ins!$B:$B,0))*$G447*INDEX([1]ratio_ins!$C:$C,MATCH('001_population_health_zone_zs'!$B447,[1]ratio_ins!$B:$B,0))</f>
        <v>8962.1413200000006</v>
      </c>
      <c r="P447" s="10">
        <f>INDEX([1]ratio_ins!N:N,MATCH('001_population_health_zone_zs'!$B$2,[1]ratio_ins!$B:$B,0))*$G447*INDEX([1]ratio_ins!$C:$C,MATCH('001_population_health_zone_zs'!$B447,[1]ratio_ins!$B:$B,0))</f>
        <v>8090.8220250000004</v>
      </c>
      <c r="Q447" s="10">
        <f>INDEX([1]ratio_ins!O:O,MATCH('001_population_health_zone_zs'!$B$2,[1]ratio_ins!$B:$B,0))*$G447*INDEX([1]ratio_ins!$C:$C,MATCH('001_population_health_zone_zs'!$B447,[1]ratio_ins!$B:$B,0))</f>
        <v>7219.5027299999992</v>
      </c>
      <c r="R447" s="10">
        <f>INDEX([1]ratio_ins!P:P,MATCH('001_population_health_zone_zs'!$B$2,[1]ratio_ins!$B:$B,0))*$G447*INDEX([1]ratio_ins!$C:$C,MATCH('001_population_health_zone_zs'!$B447,[1]ratio_ins!$B:$B,0))</f>
        <v>7095.0285450000001</v>
      </c>
      <c r="S447" s="10">
        <f>INDEX([1]ratio_ins!Q:Q,MATCH('001_population_health_zone_zs'!$B$2,[1]ratio_ins!$B:$B,0))*$G447*INDEX([1]ratio_ins!$C:$C,MATCH('001_population_health_zone_zs'!$B447,[1]ratio_ins!$B:$B,0))</f>
        <v>5974.7608799999998</v>
      </c>
      <c r="T447" s="10">
        <f>INDEX([1]ratio_ins!R:R,MATCH('001_population_health_zone_zs'!$B$2,[1]ratio_ins!$B:$B,0))*$G447*INDEX([1]ratio_ins!$C:$C,MATCH('001_population_health_zone_zs'!$B447,[1]ratio_ins!$B:$B,0))</f>
        <v>4232.1222900000002</v>
      </c>
      <c r="U447" s="10">
        <f>INDEX([1]ratio_ins!S:S,MATCH('001_population_health_zone_zs'!$B$2,[1]ratio_ins!$B:$B,0))*$G447*INDEX([1]ratio_ins!$C:$C,MATCH('001_population_health_zone_zs'!$B447,[1]ratio_ins!$B:$B,0))</f>
        <v>3360.8029950000005</v>
      </c>
      <c r="V447" s="10">
        <f>INDEX([1]ratio_ins!T:T,MATCH('001_population_health_zone_zs'!$B$2,[1]ratio_ins!$B:$B,0))*$G447*INDEX([1]ratio_ins!$C:$C,MATCH('001_population_health_zone_zs'!$B447,[1]ratio_ins!$B:$B,0))</f>
        <v>1867.1127749999998</v>
      </c>
      <c r="W447" s="11">
        <f>INDEX([1]ratio_ins!U:U,MATCH('001_population_health_zone_zs'!$B$2,[1]ratio_ins!$B:$B,0))*$G447*INDEX([1]ratio_ins!$C:$C,MATCH('001_population_health_zone_zs'!$B447,[1]ratio_ins!$B:$B,0))</f>
        <v>50934.836501999998</v>
      </c>
      <c r="X447" s="10">
        <f>INDEX([1]ratio_ins!V:V,MATCH('001_population_health_zone_zs'!$B$2,[1]ratio_ins!$B:$B,0))*$G447*INDEX([1]ratio_ins!$C:$C,MATCH('001_population_health_zone_zs'!$B447,[1]ratio_ins!$B:$B,0))</f>
        <v>1493.69022</v>
      </c>
      <c r="Y447" s="10">
        <f>INDEX([1]ratio_ins!W:W,MATCH('001_population_health_zone_zs'!$B$2,[1]ratio_ins!$B:$B,0))*$G447*INDEX([1]ratio_ins!$C:$C,MATCH('001_population_health_zone_zs'!$B447,[1]ratio_ins!$B:$B,0))</f>
        <v>995.79347999999993</v>
      </c>
      <c r="Z447" s="10">
        <f>INDEX([1]ratio_ins!X:X,MATCH('001_population_health_zone_zs'!$B$2,[1]ratio_ins!$B:$B,0))*$G447*INDEX([1]ratio_ins!$C:$C,MATCH('001_population_health_zone_zs'!$B447,[1]ratio_ins!$B:$B,0))</f>
        <v>497.89673999999997</v>
      </c>
      <c r="AA447" s="10">
        <f>INDEX([1]ratio_ins!Y:Y,MATCH('001_population_health_zone_zs'!$B$2,[1]ratio_ins!$B:$B,0))*$G447*INDEX([1]ratio_ins!$C:$C,MATCH('001_population_health_zone_zs'!$B447,[1]ratio_ins!$B:$B,0))</f>
        <v>248.94836999999998</v>
      </c>
      <c r="AB447" s="11">
        <f>INDEX([1]ratio_ins!Z:Z,MATCH('001_population_health_zone_zs'!$B$2,[1]ratio_ins!$B:$B,0))*$G447*INDEX([1]ratio_ins!$C:$C,MATCH('001_population_health_zone_zs'!$B447,[1]ratio_ins!$B:$B,0))</f>
        <v>3236.32881</v>
      </c>
      <c r="AC447" s="12">
        <f t="shared" si="36"/>
        <v>124474.185</v>
      </c>
      <c r="AD447" s="10">
        <f>INDEX([1]ratio_ins!AA:AA,MATCH('001_population_health_zone_zs'!$B$2,[1]ratio_ins!$B:$B,0))*$G447*INDEX([1]ratio_ins!$D:$D,MATCH('001_population_health_zone_zs'!$B447,[1]ratio_ins!$B:$B,0))</f>
        <v>26667.651149999998</v>
      </c>
      <c r="AE447" s="10">
        <f>INDEX([1]ratio_ins!AB:AB,MATCH('001_population_health_zone_zs'!$B$2,[1]ratio_ins!$B:$B,0))*$G447*INDEX([1]ratio_ins!$D:$D,MATCH('001_population_health_zone_zs'!$B447,[1]ratio_ins!$B:$B,0))</f>
        <v>21969.064995000001</v>
      </c>
      <c r="AF447" s="10">
        <f>INDEX([1]ratio_ins!AC:AC,MATCH('001_population_health_zone_zs'!$B$2,[1]ratio_ins!$B:$B,0))*$G447*INDEX([1]ratio_ins!$D:$D,MATCH('001_population_health_zone_zs'!$B447,[1]ratio_ins!$B:$B,0))</f>
        <v>17397.467655</v>
      </c>
      <c r="AG447" s="10">
        <f>INDEX([1]ratio_ins!AD:AD,MATCH('001_population_health_zone_zs'!$B$2,[1]ratio_ins!$B:$B,0))*$G447*INDEX([1]ratio_ins!$D:$D,MATCH('001_population_health_zone_zs'!$B447,[1]ratio_ins!$B:$B,0))</f>
        <v>10540.071645</v>
      </c>
      <c r="AH447" s="10">
        <f>INDEX([1]ratio_ins!AE:AE,MATCH('001_population_health_zone_zs'!$B$2,[1]ratio_ins!$B:$B,0))*$G447*INDEX([1]ratio_ins!$D:$D,MATCH('001_population_health_zone_zs'!$B447,[1]ratio_ins!$B:$B,0))</f>
        <v>6324.0429869999998</v>
      </c>
      <c r="AI447" s="13">
        <f>INDEX([1]ratio_ins!AF:AF,MATCH('001_population_health_zone_zs'!$B$2,[1]ratio_ins!$B:$B,0))*$G447*INDEX([1]ratio_ins!$D:$D,MATCH('001_population_health_zone_zs'!$B447,[1]ratio_ins!$B:$B,0))</f>
        <v>72358.226786999992</v>
      </c>
      <c r="AJ447" s="10">
        <f>INDEX([1]ratio_ins!AG:AG,MATCH('001_population_health_zone_zs'!$B$2,[1]ratio_ins!$B:$B,0))*$G447*INDEX([1]ratio_ins!$D:$D,MATCH('001_population_health_zone_zs'!$B447,[1]ratio_ins!$B:$B,0))</f>
        <v>4216.0286579999993</v>
      </c>
      <c r="AK447" s="10">
        <f>INDEX([1]ratio_ins!AH:AH,MATCH('001_population_health_zone_zs'!$B$2,[1]ratio_ins!$B:$B,0))*$G447*INDEX([1]ratio_ins!$D:$D,MATCH('001_population_health_zone_zs'!$B447,[1]ratio_ins!$B:$B,0))</f>
        <v>9397.1723100000017</v>
      </c>
      <c r="AL447" s="10">
        <f>INDEX([1]ratio_ins!AI:AI,MATCH('001_population_health_zone_zs'!$B$2,[1]ratio_ins!$B:$B,0))*$G447*INDEX([1]ratio_ins!$D:$D,MATCH('001_population_health_zone_zs'!$B447,[1]ratio_ins!$B:$B,0))</f>
        <v>8889.2170500000011</v>
      </c>
      <c r="AM447" s="10">
        <f>INDEX([1]ratio_ins!AJ:AJ,MATCH('001_population_health_zone_zs'!$B$2,[1]ratio_ins!$B:$B,0))*$G447*INDEX([1]ratio_ins!$D:$D,MATCH('001_population_health_zone_zs'!$B447,[1]ratio_ins!$B:$B,0))</f>
        <v>8127.2841600000002</v>
      </c>
      <c r="AN447" s="10">
        <f>INDEX([1]ratio_ins!AK:AK,MATCH('001_population_health_zone_zs'!$B$2,[1]ratio_ins!$B:$B,0))*$G447*INDEX([1]ratio_ins!$D:$D,MATCH('001_population_health_zone_zs'!$B447,[1]ratio_ins!$B:$B,0))</f>
        <v>7619.3288999999995</v>
      </c>
      <c r="AO447" s="10">
        <f>INDEX([1]ratio_ins!AL:AL,MATCH('001_population_health_zone_zs'!$B$2,[1]ratio_ins!$B:$B,0))*$G447*INDEX([1]ratio_ins!$D:$D,MATCH('001_population_health_zone_zs'!$B447,[1]ratio_ins!$B:$B,0))</f>
        <v>5714.4966749999994</v>
      </c>
      <c r="AP447" s="10">
        <f>INDEX([1]ratio_ins!AM:AM,MATCH('001_population_health_zone_zs'!$B$2,[1]ratio_ins!$B:$B,0))*$G447*INDEX([1]ratio_ins!$D:$D,MATCH('001_population_health_zone_zs'!$B447,[1]ratio_ins!$B:$B,0))</f>
        <v>3682.6756350000001</v>
      </c>
      <c r="AQ447" s="10">
        <f>INDEX([1]ratio_ins!AN:AN,MATCH('001_population_health_zone_zs'!$B$2,[1]ratio_ins!$B:$B,0))*$G447*INDEX([1]ratio_ins!$D:$D,MATCH('001_population_health_zone_zs'!$B447,[1]ratio_ins!$B:$B,0))</f>
        <v>2920.742745</v>
      </c>
      <c r="AR447" s="10">
        <f>INDEX([1]ratio_ins!AO:AO,MATCH('001_population_health_zone_zs'!$B$2,[1]ratio_ins!$B:$B,0))*$G447*INDEX([1]ratio_ins!$D:$D,MATCH('001_population_health_zone_zs'!$B447,[1]ratio_ins!$B:$B,0))</f>
        <v>1396.8769650000002</v>
      </c>
      <c r="AS447" s="13">
        <f>INDEX([1]ratio_ins!AP:AP,MATCH('001_population_health_zone_zs'!$B$2,[1]ratio_ins!$B:$B,0))*$G447*INDEX([1]ratio_ins!$D:$D,MATCH('001_population_health_zone_zs'!$B447,[1]ratio_ins!$B:$B,0))</f>
        <v>51963.823098000001</v>
      </c>
      <c r="AT447" s="10">
        <f>INDEX([1]ratio_ins!AQ:AQ,MATCH('001_population_health_zone_zs'!$B$2,[1]ratio_ins!$B:$B,0))*$G447*INDEX([1]ratio_ins!$D:$D,MATCH('001_population_health_zone_zs'!$B447,[1]ratio_ins!$B:$B,0))</f>
        <v>1269.88815</v>
      </c>
      <c r="AU447" s="10">
        <f>INDEX([1]ratio_ins!AR:AR,MATCH('001_population_health_zone_zs'!$B$2,[1]ratio_ins!$B:$B,0))*$G447*INDEX([1]ratio_ins!$D:$D,MATCH('001_population_health_zone_zs'!$B447,[1]ratio_ins!$B:$B,0))</f>
        <v>761.93289000000004</v>
      </c>
      <c r="AV447" s="10">
        <f>INDEX([1]ratio_ins!AS:AS,MATCH('001_population_health_zone_zs'!$B$2,[1]ratio_ins!$B:$B,0))*$G447*INDEX([1]ratio_ins!$D:$D,MATCH('001_population_health_zone_zs'!$B447,[1]ratio_ins!$B:$B,0))</f>
        <v>380.96644500000002</v>
      </c>
      <c r="AW447" s="10">
        <f>INDEX([1]ratio_ins!AT:AT,MATCH('001_population_health_zone_zs'!$B$2,[1]ratio_ins!$B:$B,0))*$G447*INDEX([1]ratio_ins!$D:$D,MATCH('001_population_health_zone_zs'!$B447,[1]ratio_ins!$B:$B,0))</f>
        <v>253.97763</v>
      </c>
      <c r="AX447" s="13">
        <f>INDEX([1]ratio_ins!AU:AU,MATCH('001_population_health_zone_zs'!$B$2,[1]ratio_ins!$B:$B,0))*$G447*INDEX([1]ratio_ins!$D:$D,MATCH('001_population_health_zone_zs'!$B447,[1]ratio_ins!$B:$B,0))</f>
        <v>2666.7651149999997</v>
      </c>
      <c r="AY447" s="14">
        <f t="shared" si="37"/>
        <v>126988.81499999999</v>
      </c>
      <c r="AZ447" s="15">
        <f t="shared" si="38"/>
        <v>251463</v>
      </c>
      <c r="BA447" s="16">
        <v>240918.03346881326</v>
      </c>
      <c r="BB447" s="10">
        <f t="shared" si="39"/>
        <v>53970.24637500001</v>
      </c>
      <c r="BC447" s="17">
        <f t="shared" si="40"/>
        <v>0.21462500000000004</v>
      </c>
      <c r="BD447" s="10">
        <f t="shared" si="41"/>
        <v>51905.735145000006</v>
      </c>
    </row>
    <row r="448" spans="1:56" x14ac:dyDescent="0.25">
      <c r="A448" s="8" t="s">
        <v>1087</v>
      </c>
      <c r="B448" s="8" t="s">
        <v>1088</v>
      </c>
      <c r="C448" s="8" t="s">
        <v>1089</v>
      </c>
      <c r="D448" s="8" t="s">
        <v>1090</v>
      </c>
      <c r="E448" s="8" t="s">
        <v>1103</v>
      </c>
      <c r="F448" s="8" t="s">
        <v>1104</v>
      </c>
      <c r="G448" s="9">
        <v>262787</v>
      </c>
      <c r="H448" s="10">
        <f>INDEX([1]ratio_ins!F:F,MATCH('001_population_health_zone_zs'!$B$2,[1]ratio_ins!$B:$B,0))*$G448*INDEX([1]ratio_ins!$C:$C,MATCH('001_population_health_zone_zs'!$B448,[1]ratio_ins!$B:$B,0))</f>
        <v>27186.629085</v>
      </c>
      <c r="I448" s="10">
        <f>INDEX([1]ratio_ins!G:G,MATCH('001_population_health_zone_zs'!$B$2,[1]ratio_ins!$B:$B,0))*$G448*INDEX([1]ratio_ins!$C:$C,MATCH('001_population_health_zone_zs'!$B448,[1]ratio_ins!$B:$B,0))</f>
        <v>22243.605615</v>
      </c>
      <c r="J448" s="10">
        <f>INDEX([1]ratio_ins!H:H,MATCH('001_population_health_zone_zs'!$B$2,[1]ratio_ins!$B:$B,0))*$G448*INDEX([1]ratio_ins!$C:$C,MATCH('001_population_health_zone_zs'!$B448,[1]ratio_ins!$B:$B,0))</f>
        <v>17560.741275</v>
      </c>
      <c r="K448" s="10">
        <f>INDEX([1]ratio_ins!I:I,MATCH('001_population_health_zone_zs'!$B$2,[1]ratio_ins!$B:$B,0))*$G448*INDEX([1]ratio_ins!$C:$C,MATCH('001_population_health_zone_zs'!$B448,[1]ratio_ins!$B:$B,0))</f>
        <v>10796.603895</v>
      </c>
      <c r="L448" s="10">
        <f>INDEX([1]ratio_ins!J:J,MATCH('001_population_health_zone_zs'!$B$2,[1]ratio_ins!$B:$B,0))*$G448*INDEX([1]ratio_ins!$C:$C,MATCH('001_population_health_zone_zs'!$B448,[1]ratio_ins!$B:$B,0))</f>
        <v>6477.962336999999</v>
      </c>
      <c r="M448" s="11">
        <f>INDEX([1]ratio_ins!K:K,MATCH('001_population_health_zone_zs'!$B$2,[1]ratio_ins!$B:$B,0))*$G448*INDEX([1]ratio_ins!$C:$C,MATCH('001_population_health_zone_zs'!$B448,[1]ratio_ins!$B:$B,0))</f>
        <v>73468.938311999984</v>
      </c>
      <c r="N448" s="10">
        <f>INDEX([1]ratio_ins!L:L,MATCH('001_population_health_zone_zs'!$B$2,[1]ratio_ins!$B:$B,0))*$G448*INDEX([1]ratio_ins!$C:$C,MATCH('001_population_health_zone_zs'!$B448,[1]ratio_ins!$B:$B,0))</f>
        <v>4318.6415579999993</v>
      </c>
      <c r="O448" s="10">
        <f>INDEX([1]ratio_ins!M:M,MATCH('001_population_health_zone_zs'!$B$2,[1]ratio_ins!$B:$B,0))*$G448*INDEX([1]ratio_ins!$C:$C,MATCH('001_population_health_zone_zs'!$B448,[1]ratio_ins!$B:$B,0))</f>
        <v>9365.7286800000002</v>
      </c>
      <c r="P448" s="10">
        <f>INDEX([1]ratio_ins!N:N,MATCH('001_population_health_zone_zs'!$B$2,[1]ratio_ins!$B:$B,0))*$G448*INDEX([1]ratio_ins!$C:$C,MATCH('001_population_health_zone_zs'!$B448,[1]ratio_ins!$B:$B,0))</f>
        <v>8455.1717250000002</v>
      </c>
      <c r="Q448" s="10">
        <f>INDEX([1]ratio_ins!O:O,MATCH('001_population_health_zone_zs'!$B$2,[1]ratio_ins!$B:$B,0))*$G448*INDEX([1]ratio_ins!$C:$C,MATCH('001_population_health_zone_zs'!$B448,[1]ratio_ins!$B:$B,0))</f>
        <v>7544.6147699999992</v>
      </c>
      <c r="R448" s="10">
        <f>INDEX([1]ratio_ins!P:P,MATCH('001_population_health_zone_zs'!$B$2,[1]ratio_ins!$B:$B,0))*$G448*INDEX([1]ratio_ins!$C:$C,MATCH('001_population_health_zone_zs'!$B448,[1]ratio_ins!$B:$B,0))</f>
        <v>7414.5352050000001</v>
      </c>
      <c r="S448" s="10">
        <f>INDEX([1]ratio_ins!Q:Q,MATCH('001_population_health_zone_zs'!$B$2,[1]ratio_ins!$B:$B,0))*$G448*INDEX([1]ratio_ins!$C:$C,MATCH('001_population_health_zone_zs'!$B448,[1]ratio_ins!$B:$B,0))</f>
        <v>6243.8191200000001</v>
      </c>
      <c r="T448" s="10">
        <f>INDEX([1]ratio_ins!R:R,MATCH('001_population_health_zone_zs'!$B$2,[1]ratio_ins!$B:$B,0))*$G448*INDEX([1]ratio_ins!$C:$C,MATCH('001_population_health_zone_zs'!$B448,[1]ratio_ins!$B:$B,0))</f>
        <v>4422.7052100000001</v>
      </c>
      <c r="U448" s="10">
        <f>INDEX([1]ratio_ins!S:S,MATCH('001_population_health_zone_zs'!$B$2,[1]ratio_ins!$B:$B,0))*$G448*INDEX([1]ratio_ins!$C:$C,MATCH('001_population_health_zone_zs'!$B448,[1]ratio_ins!$B:$B,0))</f>
        <v>3512.1482550000005</v>
      </c>
      <c r="V448" s="10">
        <f>INDEX([1]ratio_ins!T:T,MATCH('001_population_health_zone_zs'!$B$2,[1]ratio_ins!$B:$B,0))*$G448*INDEX([1]ratio_ins!$C:$C,MATCH('001_population_health_zone_zs'!$B448,[1]ratio_ins!$B:$B,0))</f>
        <v>1951.1934749999998</v>
      </c>
      <c r="W448" s="11">
        <f>INDEX([1]ratio_ins!U:U,MATCH('001_population_health_zone_zs'!$B$2,[1]ratio_ins!$B:$B,0))*$G448*INDEX([1]ratio_ins!$C:$C,MATCH('001_population_health_zone_zs'!$B448,[1]ratio_ins!$B:$B,0))</f>
        <v>53228.557998000004</v>
      </c>
      <c r="X448" s="10">
        <f>INDEX([1]ratio_ins!V:V,MATCH('001_population_health_zone_zs'!$B$2,[1]ratio_ins!$B:$B,0))*$G448*INDEX([1]ratio_ins!$C:$C,MATCH('001_population_health_zone_zs'!$B448,[1]ratio_ins!$B:$B,0))</f>
        <v>1560.95478</v>
      </c>
      <c r="Y448" s="10">
        <f>INDEX([1]ratio_ins!W:W,MATCH('001_population_health_zone_zs'!$B$2,[1]ratio_ins!$B:$B,0))*$G448*INDEX([1]ratio_ins!$C:$C,MATCH('001_population_health_zone_zs'!$B448,[1]ratio_ins!$B:$B,0))</f>
        <v>1040.6365199999998</v>
      </c>
      <c r="Z448" s="10">
        <f>INDEX([1]ratio_ins!X:X,MATCH('001_population_health_zone_zs'!$B$2,[1]ratio_ins!$B:$B,0))*$G448*INDEX([1]ratio_ins!$C:$C,MATCH('001_population_health_zone_zs'!$B448,[1]ratio_ins!$B:$B,0))</f>
        <v>520.3182599999999</v>
      </c>
      <c r="AA448" s="10">
        <f>INDEX([1]ratio_ins!Y:Y,MATCH('001_population_health_zone_zs'!$B$2,[1]ratio_ins!$B:$B,0))*$G448*INDEX([1]ratio_ins!$C:$C,MATCH('001_population_health_zone_zs'!$B448,[1]ratio_ins!$B:$B,0))</f>
        <v>260.15912999999995</v>
      </c>
      <c r="AB448" s="11">
        <f>INDEX([1]ratio_ins!Z:Z,MATCH('001_population_health_zone_zs'!$B$2,[1]ratio_ins!$B:$B,0))*$G448*INDEX([1]ratio_ins!$C:$C,MATCH('001_population_health_zone_zs'!$B448,[1]ratio_ins!$B:$B,0))</f>
        <v>3382.0686900000001</v>
      </c>
      <c r="AC448" s="12">
        <f t="shared" si="36"/>
        <v>130079.56499999999</v>
      </c>
      <c r="AD448" s="10">
        <f>INDEX([1]ratio_ins!AA:AA,MATCH('001_population_health_zone_zs'!$B$2,[1]ratio_ins!$B:$B,0))*$G448*INDEX([1]ratio_ins!$D:$D,MATCH('001_population_health_zone_zs'!$B448,[1]ratio_ins!$B:$B,0))</f>
        <v>27868.56135</v>
      </c>
      <c r="AE448" s="10">
        <f>INDEX([1]ratio_ins!AB:AB,MATCH('001_population_health_zone_zs'!$B$2,[1]ratio_ins!$B:$B,0))*$G448*INDEX([1]ratio_ins!$D:$D,MATCH('001_population_health_zone_zs'!$B448,[1]ratio_ins!$B:$B,0))</f>
        <v>22958.386255000001</v>
      </c>
      <c r="AF448" s="10">
        <f>INDEX([1]ratio_ins!AC:AC,MATCH('001_population_health_zone_zs'!$B$2,[1]ratio_ins!$B:$B,0))*$G448*INDEX([1]ratio_ins!$D:$D,MATCH('001_population_health_zone_zs'!$B448,[1]ratio_ins!$B:$B,0))</f>
        <v>18180.918594999999</v>
      </c>
      <c r="AG448" s="10">
        <f>INDEX([1]ratio_ins!AD:AD,MATCH('001_population_health_zone_zs'!$B$2,[1]ratio_ins!$B:$B,0))*$G448*INDEX([1]ratio_ins!$D:$D,MATCH('001_population_health_zone_zs'!$B448,[1]ratio_ins!$B:$B,0))</f>
        <v>11014.717105</v>
      </c>
      <c r="AH448" s="10">
        <f>INDEX([1]ratio_ins!AE:AE,MATCH('001_population_health_zone_zs'!$B$2,[1]ratio_ins!$B:$B,0))*$G448*INDEX([1]ratio_ins!$D:$D,MATCH('001_population_health_zone_zs'!$B448,[1]ratio_ins!$B:$B,0))</f>
        <v>6608.8302629999998</v>
      </c>
      <c r="AI448" s="13">
        <f>INDEX([1]ratio_ins!AF:AF,MATCH('001_population_health_zone_zs'!$B$2,[1]ratio_ins!$B:$B,0))*$G448*INDEX([1]ratio_ins!$D:$D,MATCH('001_population_health_zone_zs'!$B448,[1]ratio_ins!$B:$B,0))</f>
        <v>75616.696463</v>
      </c>
      <c r="AJ448" s="10">
        <f>INDEX([1]ratio_ins!AG:AG,MATCH('001_population_health_zone_zs'!$B$2,[1]ratio_ins!$B:$B,0))*$G448*INDEX([1]ratio_ins!$D:$D,MATCH('001_population_health_zone_zs'!$B448,[1]ratio_ins!$B:$B,0))</f>
        <v>4405.8868419999999</v>
      </c>
      <c r="AK448" s="10">
        <f>INDEX([1]ratio_ins!AH:AH,MATCH('001_population_health_zone_zs'!$B$2,[1]ratio_ins!$B:$B,0))*$G448*INDEX([1]ratio_ins!$D:$D,MATCH('001_population_health_zone_zs'!$B448,[1]ratio_ins!$B:$B,0))</f>
        <v>9820.350190000001</v>
      </c>
      <c r="AL448" s="10">
        <f>INDEX([1]ratio_ins!AI:AI,MATCH('001_population_health_zone_zs'!$B$2,[1]ratio_ins!$B:$B,0))*$G448*INDEX([1]ratio_ins!$D:$D,MATCH('001_population_health_zone_zs'!$B448,[1]ratio_ins!$B:$B,0))</f>
        <v>9289.52045</v>
      </c>
      <c r="AM448" s="10">
        <f>INDEX([1]ratio_ins!AJ:AJ,MATCH('001_population_health_zone_zs'!$B$2,[1]ratio_ins!$B:$B,0))*$G448*INDEX([1]ratio_ins!$D:$D,MATCH('001_population_health_zone_zs'!$B448,[1]ratio_ins!$B:$B,0))</f>
        <v>8493.2758400000002</v>
      </c>
      <c r="AN448" s="10">
        <f>INDEX([1]ratio_ins!AK:AK,MATCH('001_population_health_zone_zs'!$B$2,[1]ratio_ins!$B:$B,0))*$G448*INDEX([1]ratio_ins!$D:$D,MATCH('001_population_health_zone_zs'!$B448,[1]ratio_ins!$B:$B,0))</f>
        <v>7962.4461000000001</v>
      </c>
      <c r="AO448" s="10">
        <f>INDEX([1]ratio_ins!AL:AL,MATCH('001_population_health_zone_zs'!$B$2,[1]ratio_ins!$B:$B,0))*$G448*INDEX([1]ratio_ins!$D:$D,MATCH('001_population_health_zone_zs'!$B448,[1]ratio_ins!$B:$B,0))</f>
        <v>5971.8345749999999</v>
      </c>
      <c r="AP448" s="10">
        <f>INDEX([1]ratio_ins!AM:AM,MATCH('001_population_health_zone_zs'!$B$2,[1]ratio_ins!$B:$B,0))*$G448*INDEX([1]ratio_ins!$D:$D,MATCH('001_population_health_zone_zs'!$B448,[1]ratio_ins!$B:$B,0))</f>
        <v>3848.5156149999998</v>
      </c>
      <c r="AQ448" s="10">
        <f>INDEX([1]ratio_ins!AN:AN,MATCH('001_population_health_zone_zs'!$B$2,[1]ratio_ins!$B:$B,0))*$G448*INDEX([1]ratio_ins!$D:$D,MATCH('001_population_health_zone_zs'!$B448,[1]ratio_ins!$B:$B,0))</f>
        <v>3052.2710050000001</v>
      </c>
      <c r="AR448" s="10">
        <f>INDEX([1]ratio_ins!AO:AO,MATCH('001_population_health_zone_zs'!$B$2,[1]ratio_ins!$B:$B,0))*$G448*INDEX([1]ratio_ins!$D:$D,MATCH('001_population_health_zone_zs'!$B448,[1]ratio_ins!$B:$B,0))</f>
        <v>1459.7817850000001</v>
      </c>
      <c r="AS448" s="13">
        <f>INDEX([1]ratio_ins!AP:AP,MATCH('001_population_health_zone_zs'!$B$2,[1]ratio_ins!$B:$B,0))*$G448*INDEX([1]ratio_ins!$D:$D,MATCH('001_population_health_zone_zs'!$B448,[1]ratio_ins!$B:$B,0))</f>
        <v>54303.882402000003</v>
      </c>
      <c r="AT448" s="10">
        <f>INDEX([1]ratio_ins!AQ:AQ,MATCH('001_population_health_zone_zs'!$B$2,[1]ratio_ins!$B:$B,0))*$G448*INDEX([1]ratio_ins!$D:$D,MATCH('001_population_health_zone_zs'!$B448,[1]ratio_ins!$B:$B,0))</f>
        <v>1327.0743499999999</v>
      </c>
      <c r="AU448" s="10">
        <f>INDEX([1]ratio_ins!AR:AR,MATCH('001_population_health_zone_zs'!$B$2,[1]ratio_ins!$B:$B,0))*$G448*INDEX([1]ratio_ins!$D:$D,MATCH('001_population_health_zone_zs'!$B448,[1]ratio_ins!$B:$B,0))</f>
        <v>796.24460999999997</v>
      </c>
      <c r="AV448" s="10">
        <f>INDEX([1]ratio_ins!AS:AS,MATCH('001_population_health_zone_zs'!$B$2,[1]ratio_ins!$B:$B,0))*$G448*INDEX([1]ratio_ins!$D:$D,MATCH('001_population_health_zone_zs'!$B448,[1]ratio_ins!$B:$B,0))</f>
        <v>398.12230499999998</v>
      </c>
      <c r="AW448" s="10">
        <f>INDEX([1]ratio_ins!AT:AT,MATCH('001_population_health_zone_zs'!$B$2,[1]ratio_ins!$B:$B,0))*$G448*INDEX([1]ratio_ins!$D:$D,MATCH('001_population_health_zone_zs'!$B448,[1]ratio_ins!$B:$B,0))</f>
        <v>265.41487000000001</v>
      </c>
      <c r="AX448" s="13">
        <f>INDEX([1]ratio_ins!AU:AU,MATCH('001_population_health_zone_zs'!$B$2,[1]ratio_ins!$B:$B,0))*$G448*INDEX([1]ratio_ins!$D:$D,MATCH('001_population_health_zone_zs'!$B448,[1]ratio_ins!$B:$B,0))</f>
        <v>2786.8561349999995</v>
      </c>
      <c r="AY448" s="14">
        <f t="shared" si="37"/>
        <v>132707.435</v>
      </c>
      <c r="AZ448" s="15">
        <f t="shared" si="38"/>
        <v>262787</v>
      </c>
      <c r="BA448" s="16">
        <v>251768.07896302931</v>
      </c>
      <c r="BB448" s="10">
        <f t="shared" si="39"/>
        <v>56400.659874999998</v>
      </c>
      <c r="BC448" s="17">
        <f t="shared" si="40"/>
        <v>0.21462499999999998</v>
      </c>
      <c r="BD448" s="10">
        <f t="shared" si="41"/>
        <v>54243.178605000001</v>
      </c>
    </row>
    <row r="449" spans="1:56" x14ac:dyDescent="0.25">
      <c r="A449" s="8" t="s">
        <v>1087</v>
      </c>
      <c r="B449" s="8" t="s">
        <v>1088</v>
      </c>
      <c r="C449" s="8" t="s">
        <v>1089</v>
      </c>
      <c r="D449" s="8" t="s">
        <v>1090</v>
      </c>
      <c r="E449" s="8" t="s">
        <v>1105</v>
      </c>
      <c r="F449" s="8" t="s">
        <v>1106</v>
      </c>
      <c r="G449" s="9">
        <v>293580</v>
      </c>
      <c r="H449" s="10">
        <f>INDEX([1]ratio_ins!F:F,MATCH('001_population_health_zone_zs'!$B$2,[1]ratio_ins!$B:$B,0))*$G449*INDEX([1]ratio_ins!$C:$C,MATCH('001_population_health_zone_zs'!$B449,[1]ratio_ins!$B:$B,0))</f>
        <v>30372.318899999998</v>
      </c>
      <c r="I449" s="10">
        <f>INDEX([1]ratio_ins!G:G,MATCH('001_population_health_zone_zs'!$B$2,[1]ratio_ins!$B:$B,0))*$G449*INDEX([1]ratio_ins!$C:$C,MATCH('001_population_health_zone_zs'!$B449,[1]ratio_ins!$B:$B,0))</f>
        <v>24850.079099999999</v>
      </c>
      <c r="J449" s="10">
        <f>INDEX([1]ratio_ins!H:H,MATCH('001_population_health_zone_zs'!$B$2,[1]ratio_ins!$B:$B,0))*$G449*INDEX([1]ratio_ins!$C:$C,MATCH('001_population_health_zone_zs'!$B449,[1]ratio_ins!$B:$B,0))</f>
        <v>19618.483500000002</v>
      </c>
      <c r="K449" s="10">
        <f>INDEX([1]ratio_ins!I:I,MATCH('001_population_health_zone_zs'!$B$2,[1]ratio_ins!$B:$B,0))*$G449*INDEX([1]ratio_ins!$C:$C,MATCH('001_population_health_zone_zs'!$B449,[1]ratio_ins!$B:$B,0))</f>
        <v>12061.734300000002</v>
      </c>
      <c r="L449" s="10">
        <f>INDEX([1]ratio_ins!J:J,MATCH('001_population_health_zone_zs'!$B$2,[1]ratio_ins!$B:$B,0))*$G449*INDEX([1]ratio_ins!$C:$C,MATCH('001_population_health_zone_zs'!$B449,[1]ratio_ins!$B:$B,0))</f>
        <v>7237.0405799999999</v>
      </c>
      <c r="M449" s="11">
        <f>INDEX([1]ratio_ins!K:K,MATCH('001_population_health_zone_zs'!$B$2,[1]ratio_ins!$B:$B,0))*$G449*INDEX([1]ratio_ins!$C:$C,MATCH('001_population_health_zone_zs'!$B449,[1]ratio_ins!$B:$B,0))</f>
        <v>82077.922080000004</v>
      </c>
      <c r="N449" s="10">
        <f>INDEX([1]ratio_ins!L:L,MATCH('001_population_health_zone_zs'!$B$2,[1]ratio_ins!$B:$B,0))*$G449*INDEX([1]ratio_ins!$C:$C,MATCH('001_population_health_zone_zs'!$B449,[1]ratio_ins!$B:$B,0))</f>
        <v>4824.6937200000002</v>
      </c>
      <c r="O449" s="10">
        <f>INDEX([1]ratio_ins!M:M,MATCH('001_population_health_zone_zs'!$B$2,[1]ratio_ins!$B:$B,0))*$G449*INDEX([1]ratio_ins!$C:$C,MATCH('001_population_health_zone_zs'!$B449,[1]ratio_ins!$B:$B,0))</f>
        <v>10463.191200000001</v>
      </c>
      <c r="P449" s="10">
        <f>INDEX([1]ratio_ins!N:N,MATCH('001_population_health_zone_zs'!$B$2,[1]ratio_ins!$B:$B,0))*$G449*INDEX([1]ratio_ins!$C:$C,MATCH('001_population_health_zone_zs'!$B449,[1]ratio_ins!$B:$B,0))</f>
        <v>9445.9364999999998</v>
      </c>
      <c r="Q449" s="10">
        <f>INDEX([1]ratio_ins!O:O,MATCH('001_population_health_zone_zs'!$B$2,[1]ratio_ins!$B:$B,0))*$G449*INDEX([1]ratio_ins!$C:$C,MATCH('001_population_health_zone_zs'!$B449,[1]ratio_ins!$B:$B,0))</f>
        <v>8428.6818000000003</v>
      </c>
      <c r="R449" s="10">
        <f>INDEX([1]ratio_ins!P:P,MATCH('001_population_health_zone_zs'!$B$2,[1]ratio_ins!$B:$B,0))*$G449*INDEX([1]ratio_ins!$C:$C,MATCH('001_population_health_zone_zs'!$B449,[1]ratio_ins!$B:$B,0))</f>
        <v>8283.3597000000009</v>
      </c>
      <c r="S449" s="10">
        <f>INDEX([1]ratio_ins!Q:Q,MATCH('001_population_health_zone_zs'!$B$2,[1]ratio_ins!$B:$B,0))*$G449*INDEX([1]ratio_ins!$C:$C,MATCH('001_population_health_zone_zs'!$B449,[1]ratio_ins!$B:$B,0))</f>
        <v>6975.4607999999998</v>
      </c>
      <c r="T449" s="10">
        <f>INDEX([1]ratio_ins!R:R,MATCH('001_population_health_zone_zs'!$B$2,[1]ratio_ins!$B:$B,0))*$G449*INDEX([1]ratio_ins!$C:$C,MATCH('001_population_health_zone_zs'!$B449,[1]ratio_ins!$B:$B,0))</f>
        <v>4940.9514000000008</v>
      </c>
      <c r="U449" s="10">
        <f>INDEX([1]ratio_ins!S:S,MATCH('001_population_health_zone_zs'!$B$2,[1]ratio_ins!$B:$B,0))*$G449*INDEX([1]ratio_ins!$C:$C,MATCH('001_population_health_zone_zs'!$B449,[1]ratio_ins!$B:$B,0))</f>
        <v>3923.6967000000004</v>
      </c>
      <c r="V449" s="10">
        <f>INDEX([1]ratio_ins!T:T,MATCH('001_population_health_zone_zs'!$B$2,[1]ratio_ins!$B:$B,0))*$G449*INDEX([1]ratio_ins!$C:$C,MATCH('001_population_health_zone_zs'!$B449,[1]ratio_ins!$B:$B,0))</f>
        <v>2179.8314999999998</v>
      </c>
      <c r="W449" s="11">
        <f>INDEX([1]ratio_ins!U:U,MATCH('001_population_health_zone_zs'!$B$2,[1]ratio_ins!$B:$B,0))*$G449*INDEX([1]ratio_ins!$C:$C,MATCH('001_population_health_zone_zs'!$B449,[1]ratio_ins!$B:$B,0))</f>
        <v>59465.803319999999</v>
      </c>
      <c r="X449" s="10">
        <f>INDEX([1]ratio_ins!V:V,MATCH('001_population_health_zone_zs'!$B$2,[1]ratio_ins!$B:$B,0))*$G449*INDEX([1]ratio_ins!$C:$C,MATCH('001_population_health_zone_zs'!$B449,[1]ratio_ins!$B:$B,0))</f>
        <v>1743.8652</v>
      </c>
      <c r="Y449" s="10">
        <f>INDEX([1]ratio_ins!W:W,MATCH('001_population_health_zone_zs'!$B$2,[1]ratio_ins!$B:$B,0))*$G449*INDEX([1]ratio_ins!$C:$C,MATCH('001_population_health_zone_zs'!$B449,[1]ratio_ins!$B:$B,0))</f>
        <v>1162.5767999999998</v>
      </c>
      <c r="Z449" s="10">
        <f>INDEX([1]ratio_ins!X:X,MATCH('001_population_health_zone_zs'!$B$2,[1]ratio_ins!$B:$B,0))*$G449*INDEX([1]ratio_ins!$C:$C,MATCH('001_population_health_zone_zs'!$B449,[1]ratio_ins!$B:$B,0))</f>
        <v>581.28839999999991</v>
      </c>
      <c r="AA449" s="10">
        <f>INDEX([1]ratio_ins!Y:Y,MATCH('001_population_health_zone_zs'!$B$2,[1]ratio_ins!$B:$B,0))*$G449*INDEX([1]ratio_ins!$C:$C,MATCH('001_population_health_zone_zs'!$B449,[1]ratio_ins!$B:$B,0))</f>
        <v>290.64419999999996</v>
      </c>
      <c r="AB449" s="11">
        <f>INDEX([1]ratio_ins!Z:Z,MATCH('001_population_health_zone_zs'!$B$2,[1]ratio_ins!$B:$B,0))*$G449*INDEX([1]ratio_ins!$C:$C,MATCH('001_population_health_zone_zs'!$B449,[1]ratio_ins!$B:$B,0))</f>
        <v>3778.3746000000006</v>
      </c>
      <c r="AC449" s="12">
        <f t="shared" si="36"/>
        <v>145322.1</v>
      </c>
      <c r="AD449" s="10">
        <f>INDEX([1]ratio_ins!AA:AA,MATCH('001_population_health_zone_zs'!$B$2,[1]ratio_ins!$B:$B,0))*$G449*INDEX([1]ratio_ins!$D:$D,MATCH('001_population_health_zone_zs'!$B449,[1]ratio_ins!$B:$B,0))</f>
        <v>31134.159</v>
      </c>
      <c r="AE449" s="10">
        <f>INDEX([1]ratio_ins!AB:AB,MATCH('001_population_health_zone_zs'!$B$2,[1]ratio_ins!$B:$B,0))*$G449*INDEX([1]ratio_ins!$D:$D,MATCH('001_population_health_zone_zs'!$B449,[1]ratio_ins!$B:$B,0))</f>
        <v>25648.616700000002</v>
      </c>
      <c r="AF449" s="10">
        <f>INDEX([1]ratio_ins!AC:AC,MATCH('001_population_health_zone_zs'!$B$2,[1]ratio_ins!$B:$B,0))*$G449*INDEX([1]ratio_ins!$D:$D,MATCH('001_population_health_zone_zs'!$B449,[1]ratio_ins!$B:$B,0))</f>
        <v>20311.332299999995</v>
      </c>
      <c r="AG449" s="10">
        <f>INDEX([1]ratio_ins!AD:AD,MATCH('001_population_health_zone_zs'!$B$2,[1]ratio_ins!$B:$B,0))*$G449*INDEX([1]ratio_ins!$D:$D,MATCH('001_population_health_zone_zs'!$B449,[1]ratio_ins!$B:$B,0))</f>
        <v>12305.405700000001</v>
      </c>
      <c r="AH449" s="10">
        <f>INDEX([1]ratio_ins!AE:AE,MATCH('001_population_health_zone_zs'!$B$2,[1]ratio_ins!$B:$B,0))*$G449*INDEX([1]ratio_ins!$D:$D,MATCH('001_population_health_zone_zs'!$B449,[1]ratio_ins!$B:$B,0))</f>
        <v>7383.2434199999998</v>
      </c>
      <c r="AI449" s="13">
        <f>INDEX([1]ratio_ins!AF:AF,MATCH('001_population_health_zone_zs'!$B$2,[1]ratio_ins!$B:$B,0))*$G449*INDEX([1]ratio_ins!$D:$D,MATCH('001_population_health_zone_zs'!$B449,[1]ratio_ins!$B:$B,0))</f>
        <v>84477.351419999992</v>
      </c>
      <c r="AJ449" s="10">
        <f>INDEX([1]ratio_ins!AG:AG,MATCH('001_population_health_zone_zs'!$B$2,[1]ratio_ins!$B:$B,0))*$G449*INDEX([1]ratio_ins!$D:$D,MATCH('001_population_health_zone_zs'!$B449,[1]ratio_ins!$B:$B,0))</f>
        <v>4922.1622799999996</v>
      </c>
      <c r="AK449" s="10">
        <f>INDEX([1]ratio_ins!AH:AH,MATCH('001_population_health_zone_zs'!$B$2,[1]ratio_ins!$B:$B,0))*$G449*INDEX([1]ratio_ins!$D:$D,MATCH('001_population_health_zone_zs'!$B449,[1]ratio_ins!$B:$B,0))</f>
        <v>10971.084600000002</v>
      </c>
      <c r="AL449" s="10">
        <f>INDEX([1]ratio_ins!AI:AI,MATCH('001_population_health_zone_zs'!$B$2,[1]ratio_ins!$B:$B,0))*$G449*INDEX([1]ratio_ins!$D:$D,MATCH('001_population_health_zone_zs'!$B449,[1]ratio_ins!$B:$B,0))</f>
        <v>10378.053000000002</v>
      </c>
      <c r="AM449" s="10">
        <f>INDEX([1]ratio_ins!AJ:AJ,MATCH('001_population_health_zone_zs'!$B$2,[1]ratio_ins!$B:$B,0))*$G449*INDEX([1]ratio_ins!$D:$D,MATCH('001_population_health_zone_zs'!$B449,[1]ratio_ins!$B:$B,0))</f>
        <v>9488.5056000000004</v>
      </c>
      <c r="AN449" s="10">
        <f>INDEX([1]ratio_ins!AK:AK,MATCH('001_population_health_zone_zs'!$B$2,[1]ratio_ins!$B:$B,0))*$G449*INDEX([1]ratio_ins!$D:$D,MATCH('001_population_health_zone_zs'!$B449,[1]ratio_ins!$B:$B,0))</f>
        <v>8895.4740000000002</v>
      </c>
      <c r="AO449" s="10">
        <f>INDEX([1]ratio_ins!AL:AL,MATCH('001_population_health_zone_zs'!$B$2,[1]ratio_ins!$B:$B,0))*$G449*INDEX([1]ratio_ins!$D:$D,MATCH('001_population_health_zone_zs'!$B449,[1]ratio_ins!$B:$B,0))</f>
        <v>6671.6055000000006</v>
      </c>
      <c r="AP449" s="10">
        <f>INDEX([1]ratio_ins!AM:AM,MATCH('001_population_health_zone_zs'!$B$2,[1]ratio_ins!$B:$B,0))*$G449*INDEX([1]ratio_ins!$D:$D,MATCH('001_population_health_zone_zs'!$B449,[1]ratio_ins!$B:$B,0))</f>
        <v>4299.4790999999996</v>
      </c>
      <c r="AQ449" s="10">
        <f>INDEX([1]ratio_ins!AN:AN,MATCH('001_population_health_zone_zs'!$B$2,[1]ratio_ins!$B:$B,0))*$G449*INDEX([1]ratio_ins!$D:$D,MATCH('001_population_health_zone_zs'!$B449,[1]ratio_ins!$B:$B,0))</f>
        <v>3409.9317000000001</v>
      </c>
      <c r="AR449" s="10">
        <f>INDEX([1]ratio_ins!AO:AO,MATCH('001_population_health_zone_zs'!$B$2,[1]ratio_ins!$B:$B,0))*$G449*INDEX([1]ratio_ins!$D:$D,MATCH('001_population_health_zone_zs'!$B449,[1]ratio_ins!$B:$B,0))</f>
        <v>1630.8369</v>
      </c>
      <c r="AS449" s="13">
        <f>INDEX([1]ratio_ins!AP:AP,MATCH('001_population_health_zone_zs'!$B$2,[1]ratio_ins!$B:$B,0))*$G449*INDEX([1]ratio_ins!$D:$D,MATCH('001_population_health_zone_zs'!$B449,[1]ratio_ins!$B:$B,0))</f>
        <v>60667.132680000002</v>
      </c>
      <c r="AT449" s="10">
        <f>INDEX([1]ratio_ins!AQ:AQ,MATCH('001_population_health_zone_zs'!$B$2,[1]ratio_ins!$B:$B,0))*$G449*INDEX([1]ratio_ins!$D:$D,MATCH('001_population_health_zone_zs'!$B449,[1]ratio_ins!$B:$B,0))</f>
        <v>1482.5790000000002</v>
      </c>
      <c r="AU449" s="10">
        <f>INDEX([1]ratio_ins!AR:AR,MATCH('001_population_health_zone_zs'!$B$2,[1]ratio_ins!$B:$B,0))*$G449*INDEX([1]ratio_ins!$D:$D,MATCH('001_population_health_zone_zs'!$B449,[1]ratio_ins!$B:$B,0))</f>
        <v>889.54740000000004</v>
      </c>
      <c r="AV449" s="10">
        <f>INDEX([1]ratio_ins!AS:AS,MATCH('001_population_health_zone_zs'!$B$2,[1]ratio_ins!$B:$B,0))*$G449*INDEX([1]ratio_ins!$D:$D,MATCH('001_population_health_zone_zs'!$B449,[1]ratio_ins!$B:$B,0))</f>
        <v>444.77370000000002</v>
      </c>
      <c r="AW449" s="10">
        <f>INDEX([1]ratio_ins!AT:AT,MATCH('001_population_health_zone_zs'!$B$2,[1]ratio_ins!$B:$B,0))*$G449*INDEX([1]ratio_ins!$D:$D,MATCH('001_population_health_zone_zs'!$B449,[1]ratio_ins!$B:$B,0))</f>
        <v>296.51580000000001</v>
      </c>
      <c r="AX449" s="13">
        <f>INDEX([1]ratio_ins!AU:AU,MATCH('001_population_health_zone_zs'!$B$2,[1]ratio_ins!$B:$B,0))*$G449*INDEX([1]ratio_ins!$D:$D,MATCH('001_population_health_zone_zs'!$B449,[1]ratio_ins!$B:$B,0))</f>
        <v>3113.4158999999995</v>
      </c>
      <c r="AY449" s="14">
        <f t="shared" si="37"/>
        <v>148257.9</v>
      </c>
      <c r="AZ449" s="15">
        <f t="shared" si="38"/>
        <v>293580</v>
      </c>
      <c r="BA449" s="16">
        <v>281269.79562609468</v>
      </c>
      <c r="BB449" s="10">
        <f t="shared" si="39"/>
        <v>63009.607500000006</v>
      </c>
      <c r="BC449" s="17">
        <f t="shared" si="40"/>
        <v>0.21462500000000001</v>
      </c>
      <c r="BD449" s="10">
        <f t="shared" si="41"/>
        <v>60599.315699999999</v>
      </c>
    </row>
    <row r="450" spans="1:56" x14ac:dyDescent="0.25">
      <c r="A450" s="8" t="s">
        <v>1087</v>
      </c>
      <c r="B450" s="8" t="s">
        <v>1088</v>
      </c>
      <c r="C450" s="8" t="s">
        <v>1089</v>
      </c>
      <c r="D450" s="8" t="s">
        <v>1090</v>
      </c>
      <c r="E450" s="8" t="s">
        <v>1107</v>
      </c>
      <c r="F450" s="8" t="s">
        <v>1108</v>
      </c>
      <c r="G450" s="9">
        <v>335167</v>
      </c>
      <c r="H450" s="10">
        <f>INDEX([1]ratio_ins!F:F,MATCH('001_population_health_zone_zs'!$B$2,[1]ratio_ins!$B:$B,0))*$G450*INDEX([1]ratio_ins!$C:$C,MATCH('001_population_health_zone_zs'!$B450,[1]ratio_ins!$B:$B,0))</f>
        <v>34674.701984999992</v>
      </c>
      <c r="I450" s="10">
        <f>INDEX([1]ratio_ins!G:G,MATCH('001_population_health_zone_zs'!$B$2,[1]ratio_ins!$B:$B,0))*$G450*INDEX([1]ratio_ins!$C:$C,MATCH('001_population_health_zone_zs'!$B450,[1]ratio_ins!$B:$B,0))</f>
        <v>28370.210715000005</v>
      </c>
      <c r="J450" s="10">
        <f>INDEX([1]ratio_ins!H:H,MATCH('001_population_health_zone_zs'!$B$2,[1]ratio_ins!$B:$B,0))*$G450*INDEX([1]ratio_ins!$C:$C,MATCH('001_population_health_zone_zs'!$B450,[1]ratio_ins!$B:$B,0))</f>
        <v>22397.534775000004</v>
      </c>
      <c r="K450" s="10">
        <f>INDEX([1]ratio_ins!I:I,MATCH('001_population_health_zone_zs'!$B$2,[1]ratio_ins!$B:$B,0))*$G450*INDEX([1]ratio_ins!$C:$C,MATCH('001_population_health_zone_zs'!$B450,[1]ratio_ins!$B:$B,0))</f>
        <v>13770.336195</v>
      </c>
      <c r="L450" s="10">
        <f>INDEX([1]ratio_ins!J:J,MATCH('001_population_health_zone_zs'!$B$2,[1]ratio_ins!$B:$B,0))*$G450*INDEX([1]ratio_ins!$C:$C,MATCH('001_population_health_zone_zs'!$B450,[1]ratio_ins!$B:$B,0))</f>
        <v>8262.2017169999999</v>
      </c>
      <c r="M450" s="11">
        <f>INDEX([1]ratio_ins!K:K,MATCH('001_population_health_zone_zs'!$B$2,[1]ratio_ins!$B:$B,0))*$G450*INDEX([1]ratio_ins!$C:$C,MATCH('001_population_health_zone_zs'!$B450,[1]ratio_ins!$B:$B,0))</f>
        <v>93704.649191999997</v>
      </c>
      <c r="N450" s="10">
        <f>INDEX([1]ratio_ins!L:L,MATCH('001_population_health_zone_zs'!$B$2,[1]ratio_ins!$B:$B,0))*$G450*INDEX([1]ratio_ins!$C:$C,MATCH('001_population_health_zone_zs'!$B450,[1]ratio_ins!$B:$B,0))</f>
        <v>5508.1344779999999</v>
      </c>
      <c r="O450" s="10">
        <f>INDEX([1]ratio_ins!M:M,MATCH('001_population_health_zone_zs'!$B$2,[1]ratio_ins!$B:$B,0))*$G450*INDEX([1]ratio_ins!$C:$C,MATCH('001_population_health_zone_zs'!$B450,[1]ratio_ins!$B:$B,0))</f>
        <v>11945.35188</v>
      </c>
      <c r="P450" s="10">
        <f>INDEX([1]ratio_ins!N:N,MATCH('001_population_health_zone_zs'!$B$2,[1]ratio_ins!$B:$B,0))*$G450*INDEX([1]ratio_ins!$C:$C,MATCH('001_population_health_zone_zs'!$B450,[1]ratio_ins!$B:$B,0))</f>
        <v>10783.998224999999</v>
      </c>
      <c r="Q450" s="10">
        <f>INDEX([1]ratio_ins!O:O,MATCH('001_population_health_zone_zs'!$B$2,[1]ratio_ins!$B:$B,0))*$G450*INDEX([1]ratio_ins!$C:$C,MATCH('001_population_health_zone_zs'!$B450,[1]ratio_ins!$B:$B,0))</f>
        <v>9622.6445699999986</v>
      </c>
      <c r="R450" s="10">
        <f>INDEX([1]ratio_ins!P:P,MATCH('001_population_health_zone_zs'!$B$2,[1]ratio_ins!$B:$B,0))*$G450*INDEX([1]ratio_ins!$C:$C,MATCH('001_population_health_zone_zs'!$B450,[1]ratio_ins!$B:$B,0))</f>
        <v>9456.7369049999998</v>
      </c>
      <c r="S450" s="10">
        <f>INDEX([1]ratio_ins!Q:Q,MATCH('001_population_health_zone_zs'!$B$2,[1]ratio_ins!$B:$B,0))*$G450*INDEX([1]ratio_ins!$C:$C,MATCH('001_population_health_zone_zs'!$B450,[1]ratio_ins!$B:$B,0))</f>
        <v>7963.5679199999995</v>
      </c>
      <c r="T450" s="10">
        <f>INDEX([1]ratio_ins!R:R,MATCH('001_population_health_zone_zs'!$B$2,[1]ratio_ins!$B:$B,0))*$G450*INDEX([1]ratio_ins!$C:$C,MATCH('001_population_health_zone_zs'!$B450,[1]ratio_ins!$B:$B,0))</f>
        <v>5640.8606100000006</v>
      </c>
      <c r="U450" s="10">
        <f>INDEX([1]ratio_ins!S:S,MATCH('001_population_health_zone_zs'!$B$2,[1]ratio_ins!$B:$B,0))*$G450*INDEX([1]ratio_ins!$C:$C,MATCH('001_population_health_zone_zs'!$B450,[1]ratio_ins!$B:$B,0))</f>
        <v>4479.5069550000007</v>
      </c>
      <c r="V450" s="10">
        <f>INDEX([1]ratio_ins!T:T,MATCH('001_population_health_zone_zs'!$B$2,[1]ratio_ins!$B:$B,0))*$G450*INDEX([1]ratio_ins!$C:$C,MATCH('001_population_health_zone_zs'!$B450,[1]ratio_ins!$B:$B,0))</f>
        <v>2488.614975</v>
      </c>
      <c r="W450" s="11">
        <f>INDEX([1]ratio_ins!U:U,MATCH('001_population_health_zone_zs'!$B$2,[1]ratio_ins!$B:$B,0))*$G450*INDEX([1]ratio_ins!$C:$C,MATCH('001_population_health_zone_zs'!$B450,[1]ratio_ins!$B:$B,0))</f>
        <v>67889.416517999998</v>
      </c>
      <c r="X450" s="10">
        <f>INDEX([1]ratio_ins!V:V,MATCH('001_population_health_zone_zs'!$B$2,[1]ratio_ins!$B:$B,0))*$G450*INDEX([1]ratio_ins!$C:$C,MATCH('001_population_health_zone_zs'!$B450,[1]ratio_ins!$B:$B,0))</f>
        <v>1990.8919799999999</v>
      </c>
      <c r="Y450" s="10">
        <f>INDEX([1]ratio_ins!W:W,MATCH('001_population_health_zone_zs'!$B$2,[1]ratio_ins!$B:$B,0))*$G450*INDEX([1]ratio_ins!$C:$C,MATCH('001_population_health_zone_zs'!$B450,[1]ratio_ins!$B:$B,0))</f>
        <v>1327.2613200000001</v>
      </c>
      <c r="Z450" s="10">
        <f>INDEX([1]ratio_ins!X:X,MATCH('001_population_health_zone_zs'!$B$2,[1]ratio_ins!$B:$B,0))*$G450*INDEX([1]ratio_ins!$C:$C,MATCH('001_population_health_zone_zs'!$B450,[1]ratio_ins!$B:$B,0))</f>
        <v>663.63066000000003</v>
      </c>
      <c r="AA450" s="10">
        <f>INDEX([1]ratio_ins!Y:Y,MATCH('001_population_health_zone_zs'!$B$2,[1]ratio_ins!$B:$B,0))*$G450*INDEX([1]ratio_ins!$C:$C,MATCH('001_population_health_zone_zs'!$B450,[1]ratio_ins!$B:$B,0))</f>
        <v>331.81533000000002</v>
      </c>
      <c r="AB450" s="11">
        <f>INDEX([1]ratio_ins!Z:Z,MATCH('001_population_health_zone_zs'!$B$2,[1]ratio_ins!$B:$B,0))*$G450*INDEX([1]ratio_ins!$C:$C,MATCH('001_population_health_zone_zs'!$B450,[1]ratio_ins!$B:$B,0))</f>
        <v>4313.5992900000001</v>
      </c>
      <c r="AC450" s="12">
        <f t="shared" si="36"/>
        <v>165907.66500000001</v>
      </c>
      <c r="AD450" s="10">
        <f>INDEX([1]ratio_ins!AA:AA,MATCH('001_population_health_zone_zs'!$B$2,[1]ratio_ins!$B:$B,0))*$G450*INDEX([1]ratio_ins!$D:$D,MATCH('001_population_health_zone_zs'!$B450,[1]ratio_ins!$B:$B,0))</f>
        <v>35544.460349999994</v>
      </c>
      <c r="AE450" s="10">
        <f>INDEX([1]ratio_ins!AB:AB,MATCH('001_population_health_zone_zs'!$B$2,[1]ratio_ins!$B:$B,0))*$G450*INDEX([1]ratio_ins!$D:$D,MATCH('001_population_health_zone_zs'!$B450,[1]ratio_ins!$B:$B,0))</f>
        <v>29281.864955000001</v>
      </c>
      <c r="AF450" s="10">
        <f>INDEX([1]ratio_ins!AC:AC,MATCH('001_population_health_zone_zs'!$B$2,[1]ratio_ins!$B:$B,0))*$G450*INDEX([1]ratio_ins!$D:$D,MATCH('001_population_health_zone_zs'!$B450,[1]ratio_ins!$B:$B,0))</f>
        <v>23188.528894999996</v>
      </c>
      <c r="AG450" s="10">
        <f>INDEX([1]ratio_ins!AD:AD,MATCH('001_population_health_zone_zs'!$B$2,[1]ratio_ins!$B:$B,0))*$G450*INDEX([1]ratio_ins!$D:$D,MATCH('001_population_health_zone_zs'!$B450,[1]ratio_ins!$B:$B,0))</f>
        <v>14048.524805000001</v>
      </c>
      <c r="AH450" s="10">
        <f>INDEX([1]ratio_ins!AE:AE,MATCH('001_population_health_zone_zs'!$B$2,[1]ratio_ins!$B:$B,0))*$G450*INDEX([1]ratio_ins!$D:$D,MATCH('001_population_health_zone_zs'!$B450,[1]ratio_ins!$B:$B,0))</f>
        <v>8429.1148829999984</v>
      </c>
      <c r="AI450" s="13">
        <f>INDEX([1]ratio_ins!AF:AF,MATCH('001_population_health_zone_zs'!$B$2,[1]ratio_ins!$B:$B,0))*$G450*INDEX([1]ratio_ins!$D:$D,MATCH('001_population_health_zone_zs'!$B450,[1]ratio_ins!$B:$B,0))</f>
        <v>96443.969082999989</v>
      </c>
      <c r="AJ450" s="10">
        <f>INDEX([1]ratio_ins!AG:AG,MATCH('001_population_health_zone_zs'!$B$2,[1]ratio_ins!$B:$B,0))*$G450*INDEX([1]ratio_ins!$D:$D,MATCH('001_population_health_zone_zs'!$B450,[1]ratio_ins!$B:$B,0))</f>
        <v>5619.4099220000007</v>
      </c>
      <c r="AK450" s="10">
        <f>INDEX([1]ratio_ins!AH:AH,MATCH('001_population_health_zone_zs'!$B$2,[1]ratio_ins!$B:$B,0))*$G450*INDEX([1]ratio_ins!$D:$D,MATCH('001_population_health_zone_zs'!$B450,[1]ratio_ins!$B:$B,0))</f>
        <v>12525.190790000002</v>
      </c>
      <c r="AL450" s="10">
        <f>INDEX([1]ratio_ins!AI:AI,MATCH('001_population_health_zone_zs'!$B$2,[1]ratio_ins!$B:$B,0))*$G450*INDEX([1]ratio_ins!$D:$D,MATCH('001_population_health_zone_zs'!$B450,[1]ratio_ins!$B:$B,0))</f>
        <v>11848.153450000002</v>
      </c>
      <c r="AM450" s="10">
        <f>INDEX([1]ratio_ins!AJ:AJ,MATCH('001_population_health_zone_zs'!$B$2,[1]ratio_ins!$B:$B,0))*$G450*INDEX([1]ratio_ins!$D:$D,MATCH('001_population_health_zone_zs'!$B450,[1]ratio_ins!$B:$B,0))</f>
        <v>10832.597440000001</v>
      </c>
      <c r="AN450" s="10">
        <f>INDEX([1]ratio_ins!AK:AK,MATCH('001_population_health_zone_zs'!$B$2,[1]ratio_ins!$B:$B,0))*$G450*INDEX([1]ratio_ins!$D:$D,MATCH('001_population_health_zone_zs'!$B450,[1]ratio_ins!$B:$B,0))</f>
        <v>10155.560100000001</v>
      </c>
      <c r="AO450" s="10">
        <f>INDEX([1]ratio_ins!AL:AL,MATCH('001_population_health_zone_zs'!$B$2,[1]ratio_ins!$B:$B,0))*$G450*INDEX([1]ratio_ins!$D:$D,MATCH('001_population_health_zone_zs'!$B450,[1]ratio_ins!$B:$B,0))</f>
        <v>7616.670075</v>
      </c>
      <c r="AP450" s="10">
        <f>INDEX([1]ratio_ins!AM:AM,MATCH('001_population_health_zone_zs'!$B$2,[1]ratio_ins!$B:$B,0))*$G450*INDEX([1]ratio_ins!$D:$D,MATCH('001_population_health_zone_zs'!$B450,[1]ratio_ins!$B:$B,0))</f>
        <v>4908.5207149999997</v>
      </c>
      <c r="AQ450" s="10">
        <f>INDEX([1]ratio_ins!AN:AN,MATCH('001_population_health_zone_zs'!$B$2,[1]ratio_ins!$B:$B,0))*$G450*INDEX([1]ratio_ins!$D:$D,MATCH('001_population_health_zone_zs'!$B450,[1]ratio_ins!$B:$B,0))</f>
        <v>3892.9647049999999</v>
      </c>
      <c r="AR450" s="10">
        <f>INDEX([1]ratio_ins!AO:AO,MATCH('001_population_health_zone_zs'!$B$2,[1]ratio_ins!$B:$B,0))*$G450*INDEX([1]ratio_ins!$D:$D,MATCH('001_population_health_zone_zs'!$B450,[1]ratio_ins!$B:$B,0))</f>
        <v>1861.8526850000003</v>
      </c>
      <c r="AS450" s="13">
        <f>INDEX([1]ratio_ins!AP:AP,MATCH('001_population_health_zone_zs'!$B$2,[1]ratio_ins!$B:$B,0))*$G450*INDEX([1]ratio_ins!$D:$D,MATCH('001_population_health_zone_zs'!$B450,[1]ratio_ins!$B:$B,0))</f>
        <v>69260.919882000002</v>
      </c>
      <c r="AT450" s="10">
        <f>INDEX([1]ratio_ins!AQ:AQ,MATCH('001_population_health_zone_zs'!$B$2,[1]ratio_ins!$B:$B,0))*$G450*INDEX([1]ratio_ins!$D:$D,MATCH('001_population_health_zone_zs'!$B450,[1]ratio_ins!$B:$B,0))</f>
        <v>1692.5933500000001</v>
      </c>
      <c r="AU450" s="10">
        <f>INDEX([1]ratio_ins!AR:AR,MATCH('001_population_health_zone_zs'!$B$2,[1]ratio_ins!$B:$B,0))*$G450*INDEX([1]ratio_ins!$D:$D,MATCH('001_population_health_zone_zs'!$B450,[1]ratio_ins!$B:$B,0))</f>
        <v>1015.55601</v>
      </c>
      <c r="AV450" s="10">
        <f>INDEX([1]ratio_ins!AS:AS,MATCH('001_population_health_zone_zs'!$B$2,[1]ratio_ins!$B:$B,0))*$G450*INDEX([1]ratio_ins!$D:$D,MATCH('001_population_health_zone_zs'!$B450,[1]ratio_ins!$B:$B,0))</f>
        <v>507.77800500000001</v>
      </c>
      <c r="AW450" s="10">
        <f>INDEX([1]ratio_ins!AT:AT,MATCH('001_population_health_zone_zs'!$B$2,[1]ratio_ins!$B:$B,0))*$G450*INDEX([1]ratio_ins!$D:$D,MATCH('001_population_health_zone_zs'!$B450,[1]ratio_ins!$B:$B,0))</f>
        <v>338.51867000000004</v>
      </c>
      <c r="AX450" s="13">
        <f>INDEX([1]ratio_ins!AU:AU,MATCH('001_population_health_zone_zs'!$B$2,[1]ratio_ins!$B:$B,0))*$G450*INDEX([1]ratio_ins!$D:$D,MATCH('001_population_health_zone_zs'!$B450,[1]ratio_ins!$B:$B,0))</f>
        <v>3554.4460349999999</v>
      </c>
      <c r="AY450" s="14">
        <f t="shared" si="37"/>
        <v>169259.33499999999</v>
      </c>
      <c r="AZ450" s="15">
        <f t="shared" si="38"/>
        <v>335167</v>
      </c>
      <c r="BA450" s="16">
        <v>321112.25940442749</v>
      </c>
      <c r="BB450" s="10">
        <f t="shared" si="39"/>
        <v>71935.217375000007</v>
      </c>
      <c r="BC450" s="17">
        <f t="shared" si="40"/>
        <v>0.21462500000000001</v>
      </c>
      <c r="BD450" s="10">
        <f t="shared" si="41"/>
        <v>69183.496304999993</v>
      </c>
    </row>
    <row r="451" spans="1:56" x14ac:dyDescent="0.25">
      <c r="A451" s="8" t="s">
        <v>1087</v>
      </c>
      <c r="B451" s="8" t="s">
        <v>1088</v>
      </c>
      <c r="C451" s="8" t="s">
        <v>1089</v>
      </c>
      <c r="D451" s="8" t="s">
        <v>1090</v>
      </c>
      <c r="E451" s="8" t="s">
        <v>1109</v>
      </c>
      <c r="F451" s="8" t="s">
        <v>1110</v>
      </c>
      <c r="G451" s="9">
        <v>284639</v>
      </c>
      <c r="H451" s="10">
        <f>INDEX([1]ratio_ins!F:F,MATCH('001_population_health_zone_zs'!$B$2,[1]ratio_ins!$B:$B,0))*$G451*INDEX([1]ratio_ins!$C:$C,MATCH('001_population_health_zone_zs'!$B451,[1]ratio_ins!$B:$B,0))</f>
        <v>29447.327744999999</v>
      </c>
      <c r="I451" s="10">
        <f>INDEX([1]ratio_ins!G:G,MATCH('001_population_health_zone_zs'!$B$2,[1]ratio_ins!$B:$B,0))*$G451*INDEX([1]ratio_ins!$C:$C,MATCH('001_population_health_zone_zs'!$B451,[1]ratio_ins!$B:$B,0))</f>
        <v>24093.268155000002</v>
      </c>
      <c r="J451" s="10">
        <f>INDEX([1]ratio_ins!H:H,MATCH('001_population_health_zone_zs'!$B$2,[1]ratio_ins!$B:$B,0))*$G451*INDEX([1]ratio_ins!$C:$C,MATCH('001_population_health_zone_zs'!$B451,[1]ratio_ins!$B:$B,0))</f>
        <v>19021.001175000001</v>
      </c>
      <c r="K451" s="10">
        <f>INDEX([1]ratio_ins!I:I,MATCH('001_population_health_zone_zs'!$B$2,[1]ratio_ins!$B:$B,0))*$G451*INDEX([1]ratio_ins!$C:$C,MATCH('001_population_health_zone_zs'!$B451,[1]ratio_ins!$B:$B,0))</f>
        <v>11694.393314999999</v>
      </c>
      <c r="L451" s="10">
        <f>INDEX([1]ratio_ins!J:J,MATCH('001_population_health_zone_zs'!$B$2,[1]ratio_ins!$B:$B,0))*$G451*INDEX([1]ratio_ins!$C:$C,MATCH('001_population_health_zone_zs'!$B451,[1]ratio_ins!$B:$B,0))</f>
        <v>7016.6359889999994</v>
      </c>
      <c r="M451" s="11">
        <f>INDEX([1]ratio_ins!K:K,MATCH('001_population_health_zone_zs'!$B$2,[1]ratio_ins!$B:$B,0))*$G451*INDEX([1]ratio_ins!$C:$C,MATCH('001_population_health_zone_zs'!$B451,[1]ratio_ins!$B:$B,0))</f>
        <v>79578.233064</v>
      </c>
      <c r="N451" s="10">
        <f>INDEX([1]ratio_ins!L:L,MATCH('001_population_health_zone_zs'!$B$2,[1]ratio_ins!$B:$B,0))*$G451*INDEX([1]ratio_ins!$C:$C,MATCH('001_population_health_zone_zs'!$B451,[1]ratio_ins!$B:$B,0))</f>
        <v>4677.7573259999999</v>
      </c>
      <c r="O451" s="10">
        <f>INDEX([1]ratio_ins!M:M,MATCH('001_population_health_zone_zs'!$B$2,[1]ratio_ins!$B:$B,0))*$G451*INDEX([1]ratio_ins!$C:$C,MATCH('001_population_health_zone_zs'!$B451,[1]ratio_ins!$B:$B,0))</f>
        <v>10144.533960000001</v>
      </c>
      <c r="P451" s="10">
        <f>INDEX([1]ratio_ins!N:N,MATCH('001_population_health_zone_zs'!$B$2,[1]ratio_ins!$B:$B,0))*$G451*INDEX([1]ratio_ins!$C:$C,MATCH('001_population_health_zone_zs'!$B451,[1]ratio_ins!$B:$B,0))</f>
        <v>9158.2598249999992</v>
      </c>
      <c r="Q451" s="10">
        <f>INDEX([1]ratio_ins!O:O,MATCH('001_population_health_zone_zs'!$B$2,[1]ratio_ins!$B:$B,0))*$G451*INDEX([1]ratio_ins!$C:$C,MATCH('001_population_health_zone_zs'!$B451,[1]ratio_ins!$B:$B,0))</f>
        <v>8171.9856899999986</v>
      </c>
      <c r="R451" s="10">
        <f>INDEX([1]ratio_ins!P:P,MATCH('001_population_health_zone_zs'!$B$2,[1]ratio_ins!$B:$B,0))*$G451*INDEX([1]ratio_ins!$C:$C,MATCH('001_population_health_zone_zs'!$B451,[1]ratio_ins!$B:$B,0))</f>
        <v>8031.0893850000002</v>
      </c>
      <c r="S451" s="10">
        <f>INDEX([1]ratio_ins!Q:Q,MATCH('001_population_health_zone_zs'!$B$2,[1]ratio_ins!$B:$B,0))*$G451*INDEX([1]ratio_ins!$C:$C,MATCH('001_population_health_zone_zs'!$B451,[1]ratio_ins!$B:$B,0))</f>
        <v>6763.0226400000001</v>
      </c>
      <c r="T451" s="10">
        <f>INDEX([1]ratio_ins!R:R,MATCH('001_population_health_zone_zs'!$B$2,[1]ratio_ins!$B:$B,0))*$G451*INDEX([1]ratio_ins!$C:$C,MATCH('001_population_health_zone_zs'!$B451,[1]ratio_ins!$B:$B,0))</f>
        <v>4790.4743699999999</v>
      </c>
      <c r="U451" s="10">
        <f>INDEX([1]ratio_ins!S:S,MATCH('001_population_health_zone_zs'!$B$2,[1]ratio_ins!$B:$B,0))*$G451*INDEX([1]ratio_ins!$C:$C,MATCH('001_population_health_zone_zs'!$B451,[1]ratio_ins!$B:$B,0))</f>
        <v>3804.2002350000002</v>
      </c>
      <c r="V451" s="10">
        <f>INDEX([1]ratio_ins!T:T,MATCH('001_population_health_zone_zs'!$B$2,[1]ratio_ins!$B:$B,0))*$G451*INDEX([1]ratio_ins!$C:$C,MATCH('001_population_health_zone_zs'!$B451,[1]ratio_ins!$B:$B,0))</f>
        <v>2113.444575</v>
      </c>
      <c r="W451" s="11">
        <f>INDEX([1]ratio_ins!U:U,MATCH('001_population_health_zone_zs'!$B$2,[1]ratio_ins!$B:$B,0))*$G451*INDEX([1]ratio_ins!$C:$C,MATCH('001_population_health_zone_zs'!$B451,[1]ratio_ins!$B:$B,0))</f>
        <v>57654.768005999998</v>
      </c>
      <c r="X451" s="10">
        <f>INDEX([1]ratio_ins!V:V,MATCH('001_population_health_zone_zs'!$B$2,[1]ratio_ins!$B:$B,0))*$G451*INDEX([1]ratio_ins!$C:$C,MATCH('001_population_health_zone_zs'!$B451,[1]ratio_ins!$B:$B,0))</f>
        <v>1690.75566</v>
      </c>
      <c r="Y451" s="10">
        <f>INDEX([1]ratio_ins!W:W,MATCH('001_population_health_zone_zs'!$B$2,[1]ratio_ins!$B:$B,0))*$G451*INDEX([1]ratio_ins!$C:$C,MATCH('001_population_health_zone_zs'!$B451,[1]ratio_ins!$B:$B,0))</f>
        <v>1127.1704400000001</v>
      </c>
      <c r="Z451" s="10">
        <f>INDEX([1]ratio_ins!X:X,MATCH('001_population_health_zone_zs'!$B$2,[1]ratio_ins!$B:$B,0))*$G451*INDEX([1]ratio_ins!$C:$C,MATCH('001_population_health_zone_zs'!$B451,[1]ratio_ins!$B:$B,0))</f>
        <v>563.58522000000005</v>
      </c>
      <c r="AA451" s="10">
        <f>INDEX([1]ratio_ins!Y:Y,MATCH('001_population_health_zone_zs'!$B$2,[1]ratio_ins!$B:$B,0))*$G451*INDEX([1]ratio_ins!$C:$C,MATCH('001_population_health_zone_zs'!$B451,[1]ratio_ins!$B:$B,0))</f>
        <v>281.79261000000002</v>
      </c>
      <c r="AB451" s="11">
        <f>INDEX([1]ratio_ins!Z:Z,MATCH('001_population_health_zone_zs'!$B$2,[1]ratio_ins!$B:$B,0))*$G451*INDEX([1]ratio_ins!$C:$C,MATCH('001_population_health_zone_zs'!$B451,[1]ratio_ins!$B:$B,0))</f>
        <v>3663.30393</v>
      </c>
      <c r="AC451" s="12">
        <f t="shared" ref="AC451:AC514" si="42">M451+W451+AB451</f>
        <v>140896.30499999999</v>
      </c>
      <c r="AD451" s="10">
        <f>INDEX([1]ratio_ins!AA:AA,MATCH('001_population_health_zone_zs'!$B$2,[1]ratio_ins!$B:$B,0))*$G451*INDEX([1]ratio_ins!$D:$D,MATCH('001_population_health_zone_zs'!$B451,[1]ratio_ins!$B:$B,0))</f>
        <v>30185.965949999998</v>
      </c>
      <c r="AE451" s="10">
        <f>INDEX([1]ratio_ins!AB:AB,MATCH('001_population_health_zone_zs'!$B$2,[1]ratio_ins!$B:$B,0))*$G451*INDEX([1]ratio_ins!$D:$D,MATCH('001_population_health_zone_zs'!$B451,[1]ratio_ins!$B:$B,0))</f>
        <v>24867.486235000004</v>
      </c>
      <c r="AF451" s="10">
        <f>INDEX([1]ratio_ins!AC:AC,MATCH('001_population_health_zone_zs'!$B$2,[1]ratio_ins!$B:$B,0))*$G451*INDEX([1]ratio_ins!$D:$D,MATCH('001_population_health_zone_zs'!$B451,[1]ratio_ins!$B:$B,0))</f>
        <v>19692.749215</v>
      </c>
      <c r="AG451" s="10">
        <f>INDEX([1]ratio_ins!AD:AD,MATCH('001_population_health_zone_zs'!$B$2,[1]ratio_ins!$B:$B,0))*$G451*INDEX([1]ratio_ins!$D:$D,MATCH('001_population_health_zone_zs'!$B451,[1]ratio_ins!$B:$B,0))</f>
        <v>11930.643685000001</v>
      </c>
      <c r="AH451" s="10">
        <f>INDEX([1]ratio_ins!AE:AE,MATCH('001_population_health_zone_zs'!$B$2,[1]ratio_ins!$B:$B,0))*$G451*INDEX([1]ratio_ins!$D:$D,MATCH('001_population_health_zone_zs'!$B451,[1]ratio_ins!$B:$B,0))</f>
        <v>7158.386211</v>
      </c>
      <c r="AI451" s="13">
        <f>INDEX([1]ratio_ins!AF:AF,MATCH('001_population_health_zone_zs'!$B$2,[1]ratio_ins!$B:$B,0))*$G451*INDEX([1]ratio_ins!$D:$D,MATCH('001_population_health_zone_zs'!$B451,[1]ratio_ins!$B:$B,0))</f>
        <v>81904.58761100001</v>
      </c>
      <c r="AJ451" s="10">
        <f>INDEX([1]ratio_ins!AG:AG,MATCH('001_population_health_zone_zs'!$B$2,[1]ratio_ins!$B:$B,0))*$G451*INDEX([1]ratio_ins!$D:$D,MATCH('001_population_health_zone_zs'!$B451,[1]ratio_ins!$B:$B,0))</f>
        <v>4772.2574740000009</v>
      </c>
      <c r="AK451" s="10">
        <f>INDEX([1]ratio_ins!AH:AH,MATCH('001_population_health_zone_zs'!$B$2,[1]ratio_ins!$B:$B,0))*$G451*INDEX([1]ratio_ins!$D:$D,MATCH('001_population_health_zone_zs'!$B451,[1]ratio_ins!$B:$B,0))</f>
        <v>10636.959430000003</v>
      </c>
      <c r="AL451" s="10">
        <f>INDEX([1]ratio_ins!AI:AI,MATCH('001_population_health_zone_zs'!$B$2,[1]ratio_ins!$B:$B,0))*$G451*INDEX([1]ratio_ins!$D:$D,MATCH('001_population_health_zone_zs'!$B451,[1]ratio_ins!$B:$B,0))</f>
        <v>10061.988650000001</v>
      </c>
      <c r="AM451" s="10">
        <f>INDEX([1]ratio_ins!AJ:AJ,MATCH('001_population_health_zone_zs'!$B$2,[1]ratio_ins!$B:$B,0))*$G451*INDEX([1]ratio_ins!$D:$D,MATCH('001_population_health_zone_zs'!$B451,[1]ratio_ins!$B:$B,0))</f>
        <v>9199.5324799999999</v>
      </c>
      <c r="AN451" s="10">
        <f>INDEX([1]ratio_ins!AK:AK,MATCH('001_population_health_zone_zs'!$B$2,[1]ratio_ins!$B:$B,0))*$G451*INDEX([1]ratio_ins!$D:$D,MATCH('001_population_health_zone_zs'!$B451,[1]ratio_ins!$B:$B,0))</f>
        <v>8624.5617000000002</v>
      </c>
      <c r="AO451" s="10">
        <f>INDEX([1]ratio_ins!AL:AL,MATCH('001_population_health_zone_zs'!$B$2,[1]ratio_ins!$B:$B,0))*$G451*INDEX([1]ratio_ins!$D:$D,MATCH('001_population_health_zone_zs'!$B451,[1]ratio_ins!$B:$B,0))</f>
        <v>6468.4212749999997</v>
      </c>
      <c r="AP451" s="10">
        <f>INDEX([1]ratio_ins!AM:AM,MATCH('001_population_health_zone_zs'!$B$2,[1]ratio_ins!$B:$B,0))*$G451*INDEX([1]ratio_ins!$D:$D,MATCH('001_population_health_zone_zs'!$B451,[1]ratio_ins!$B:$B,0))</f>
        <v>4168.5381549999993</v>
      </c>
      <c r="AQ451" s="10">
        <f>INDEX([1]ratio_ins!AN:AN,MATCH('001_population_health_zone_zs'!$B$2,[1]ratio_ins!$B:$B,0))*$G451*INDEX([1]ratio_ins!$D:$D,MATCH('001_population_health_zone_zs'!$B451,[1]ratio_ins!$B:$B,0))</f>
        <v>3306.0819850000003</v>
      </c>
      <c r="AR451" s="10">
        <f>INDEX([1]ratio_ins!AO:AO,MATCH('001_population_health_zone_zs'!$B$2,[1]ratio_ins!$B:$B,0))*$G451*INDEX([1]ratio_ins!$D:$D,MATCH('001_population_health_zone_zs'!$B451,[1]ratio_ins!$B:$B,0))</f>
        <v>1581.1696450000002</v>
      </c>
      <c r="AS451" s="13">
        <f>INDEX([1]ratio_ins!AP:AP,MATCH('001_population_health_zone_zs'!$B$2,[1]ratio_ins!$B:$B,0))*$G451*INDEX([1]ratio_ins!$D:$D,MATCH('001_population_health_zone_zs'!$B451,[1]ratio_ins!$B:$B,0))</f>
        <v>58819.510794000002</v>
      </c>
      <c r="AT451" s="10">
        <f>INDEX([1]ratio_ins!AQ:AQ,MATCH('001_population_health_zone_zs'!$B$2,[1]ratio_ins!$B:$B,0))*$G451*INDEX([1]ratio_ins!$D:$D,MATCH('001_population_health_zone_zs'!$B451,[1]ratio_ins!$B:$B,0))</f>
        <v>1437.42695</v>
      </c>
      <c r="AU451" s="10">
        <f>INDEX([1]ratio_ins!AR:AR,MATCH('001_population_health_zone_zs'!$B$2,[1]ratio_ins!$B:$B,0))*$G451*INDEX([1]ratio_ins!$D:$D,MATCH('001_population_health_zone_zs'!$B451,[1]ratio_ins!$B:$B,0))</f>
        <v>862.45617000000004</v>
      </c>
      <c r="AV451" s="10">
        <f>INDEX([1]ratio_ins!AS:AS,MATCH('001_population_health_zone_zs'!$B$2,[1]ratio_ins!$B:$B,0))*$G451*INDEX([1]ratio_ins!$D:$D,MATCH('001_population_health_zone_zs'!$B451,[1]ratio_ins!$B:$B,0))</f>
        <v>431.22808500000002</v>
      </c>
      <c r="AW451" s="10">
        <f>INDEX([1]ratio_ins!AT:AT,MATCH('001_population_health_zone_zs'!$B$2,[1]ratio_ins!$B:$B,0))*$G451*INDEX([1]ratio_ins!$D:$D,MATCH('001_population_health_zone_zs'!$B451,[1]ratio_ins!$B:$B,0))</f>
        <v>287.48539</v>
      </c>
      <c r="AX451" s="13">
        <f>INDEX([1]ratio_ins!AU:AU,MATCH('001_population_health_zone_zs'!$B$2,[1]ratio_ins!$B:$B,0))*$G451*INDEX([1]ratio_ins!$D:$D,MATCH('001_population_health_zone_zs'!$B451,[1]ratio_ins!$B:$B,0))</f>
        <v>3018.5965949999995</v>
      </c>
      <c r="AY451" s="14">
        <f t="shared" ref="AY451:AY514" si="43">AI451+AS451+AX451</f>
        <v>143742.69500000001</v>
      </c>
      <c r="AZ451" s="15">
        <f t="shared" ref="AZ451:AZ514" si="44">AC451+AY451</f>
        <v>284639</v>
      </c>
      <c r="BA451" s="16">
        <v>272703.11681492202</v>
      </c>
      <c r="BB451" s="10">
        <f t="shared" ref="BB451:BB514" si="45">SUM(AH451,AJ451,AK451:AP451)</f>
        <v>61090.645375000007</v>
      </c>
      <c r="BC451" s="17">
        <f t="shared" ref="BC451:BC514" si="46">BB451/G451</f>
        <v>0.21462500000000004</v>
      </c>
      <c r="BD451" s="10">
        <f t="shared" ref="BD451:BD514" si="47">SUM(L451,N451:T451)</f>
        <v>58753.759185000003</v>
      </c>
    </row>
    <row r="452" spans="1:56" x14ac:dyDescent="0.25">
      <c r="A452" s="8" t="s">
        <v>1087</v>
      </c>
      <c r="B452" s="8" t="s">
        <v>1088</v>
      </c>
      <c r="C452" s="8" t="s">
        <v>1111</v>
      </c>
      <c r="D452" s="8" t="s">
        <v>1112</v>
      </c>
      <c r="E452" s="8" t="s">
        <v>1113</v>
      </c>
      <c r="F452" s="8" t="s">
        <v>1114</v>
      </c>
      <c r="G452" s="9">
        <v>198392</v>
      </c>
      <c r="H452" s="10">
        <f>INDEX([1]ratio_ins!F:F,MATCH('001_population_health_zone_zs'!$B$2,[1]ratio_ins!$B:$B,0))*$G452*INDEX([1]ratio_ins!$C:$C,MATCH('001_population_health_zone_zs'!$B452,[1]ratio_ins!$B:$B,0))</f>
        <v>20524.644359999998</v>
      </c>
      <c r="I452" s="10">
        <f>INDEX([1]ratio_ins!G:G,MATCH('001_population_health_zone_zs'!$B$2,[1]ratio_ins!$B:$B,0))*$G452*INDEX([1]ratio_ins!$C:$C,MATCH('001_population_health_zone_zs'!$B452,[1]ratio_ins!$B:$B,0))</f>
        <v>16792.89084</v>
      </c>
      <c r="J452" s="10">
        <f>INDEX([1]ratio_ins!H:H,MATCH('001_population_health_zone_zs'!$B$2,[1]ratio_ins!$B:$B,0))*$G452*INDEX([1]ratio_ins!$C:$C,MATCH('001_population_health_zone_zs'!$B452,[1]ratio_ins!$B:$B,0))</f>
        <v>13257.545400000001</v>
      </c>
      <c r="K452" s="10">
        <f>INDEX([1]ratio_ins!I:I,MATCH('001_population_health_zone_zs'!$B$2,[1]ratio_ins!$B:$B,0))*$G452*INDEX([1]ratio_ins!$C:$C,MATCH('001_population_health_zone_zs'!$B452,[1]ratio_ins!$B:$B,0))</f>
        <v>8150.9353199999996</v>
      </c>
      <c r="L452" s="10">
        <f>INDEX([1]ratio_ins!J:J,MATCH('001_population_health_zone_zs'!$B$2,[1]ratio_ins!$B:$B,0))*$G452*INDEX([1]ratio_ins!$C:$C,MATCH('001_population_health_zone_zs'!$B452,[1]ratio_ins!$B:$B,0))</f>
        <v>4890.5611920000001</v>
      </c>
      <c r="M452" s="11">
        <f>INDEX([1]ratio_ins!K:K,MATCH('001_population_health_zone_zs'!$B$2,[1]ratio_ins!$B:$B,0))*$G452*INDEX([1]ratio_ins!$C:$C,MATCH('001_population_health_zone_zs'!$B452,[1]ratio_ins!$B:$B,0))</f>
        <v>55465.641791999995</v>
      </c>
      <c r="N452" s="10">
        <f>INDEX([1]ratio_ins!L:L,MATCH('001_population_health_zone_zs'!$B$2,[1]ratio_ins!$B:$B,0))*$G452*INDEX([1]ratio_ins!$C:$C,MATCH('001_population_health_zone_zs'!$B452,[1]ratio_ins!$B:$B,0))</f>
        <v>3260.3741280000004</v>
      </c>
      <c r="O452" s="10">
        <f>INDEX([1]ratio_ins!M:M,MATCH('001_population_health_zone_zs'!$B$2,[1]ratio_ins!$B:$B,0))*$G452*INDEX([1]ratio_ins!$C:$C,MATCH('001_population_health_zone_zs'!$B452,[1]ratio_ins!$B:$B,0))</f>
        <v>7070.690880000001</v>
      </c>
      <c r="P452" s="10">
        <f>INDEX([1]ratio_ins!N:N,MATCH('001_population_health_zone_zs'!$B$2,[1]ratio_ins!$B:$B,0))*$G452*INDEX([1]ratio_ins!$C:$C,MATCH('001_population_health_zone_zs'!$B452,[1]ratio_ins!$B:$B,0))</f>
        <v>6383.2626</v>
      </c>
      <c r="Q452" s="10">
        <f>INDEX([1]ratio_ins!O:O,MATCH('001_population_health_zone_zs'!$B$2,[1]ratio_ins!$B:$B,0))*$G452*INDEX([1]ratio_ins!$C:$C,MATCH('001_population_health_zone_zs'!$B452,[1]ratio_ins!$B:$B,0))</f>
        <v>5695.834319999999</v>
      </c>
      <c r="R452" s="10">
        <f>INDEX([1]ratio_ins!P:P,MATCH('001_population_health_zone_zs'!$B$2,[1]ratio_ins!$B:$B,0))*$G452*INDEX([1]ratio_ins!$C:$C,MATCH('001_population_health_zone_zs'!$B452,[1]ratio_ins!$B:$B,0))</f>
        <v>5597.6302800000003</v>
      </c>
      <c r="S452" s="10">
        <f>INDEX([1]ratio_ins!Q:Q,MATCH('001_population_health_zone_zs'!$B$2,[1]ratio_ins!$B:$B,0))*$G452*INDEX([1]ratio_ins!$C:$C,MATCH('001_population_health_zone_zs'!$B452,[1]ratio_ins!$B:$B,0))</f>
        <v>4713.7939200000001</v>
      </c>
      <c r="T452" s="10">
        <f>INDEX([1]ratio_ins!R:R,MATCH('001_population_health_zone_zs'!$B$2,[1]ratio_ins!$B:$B,0))*$G452*INDEX([1]ratio_ins!$C:$C,MATCH('001_population_health_zone_zs'!$B452,[1]ratio_ins!$B:$B,0))</f>
        <v>3338.9373600000004</v>
      </c>
      <c r="U452" s="10">
        <f>INDEX([1]ratio_ins!S:S,MATCH('001_population_health_zone_zs'!$B$2,[1]ratio_ins!$B:$B,0))*$G452*INDEX([1]ratio_ins!$C:$C,MATCH('001_population_health_zone_zs'!$B452,[1]ratio_ins!$B:$B,0))</f>
        <v>2651.5090800000003</v>
      </c>
      <c r="V452" s="10">
        <f>INDEX([1]ratio_ins!T:T,MATCH('001_population_health_zone_zs'!$B$2,[1]ratio_ins!$B:$B,0))*$G452*INDEX([1]ratio_ins!$C:$C,MATCH('001_population_health_zone_zs'!$B452,[1]ratio_ins!$B:$B,0))</f>
        <v>1473.0606</v>
      </c>
      <c r="W452" s="11">
        <f>INDEX([1]ratio_ins!U:U,MATCH('001_population_health_zone_zs'!$B$2,[1]ratio_ins!$B:$B,0))*$G452*INDEX([1]ratio_ins!$C:$C,MATCH('001_population_health_zone_zs'!$B452,[1]ratio_ins!$B:$B,0))</f>
        <v>40185.093167999999</v>
      </c>
      <c r="X452" s="10">
        <f>INDEX([1]ratio_ins!V:V,MATCH('001_population_health_zone_zs'!$B$2,[1]ratio_ins!$B:$B,0))*$G452*INDEX([1]ratio_ins!$C:$C,MATCH('001_population_health_zone_zs'!$B452,[1]ratio_ins!$B:$B,0))</f>
        <v>1178.44848</v>
      </c>
      <c r="Y452" s="10">
        <f>INDEX([1]ratio_ins!W:W,MATCH('001_population_health_zone_zs'!$B$2,[1]ratio_ins!$B:$B,0))*$G452*INDEX([1]ratio_ins!$C:$C,MATCH('001_population_health_zone_zs'!$B452,[1]ratio_ins!$B:$B,0))</f>
        <v>785.63231999999994</v>
      </c>
      <c r="Z452" s="10">
        <f>INDEX([1]ratio_ins!X:X,MATCH('001_population_health_zone_zs'!$B$2,[1]ratio_ins!$B:$B,0))*$G452*INDEX([1]ratio_ins!$C:$C,MATCH('001_population_health_zone_zs'!$B452,[1]ratio_ins!$B:$B,0))</f>
        <v>392.81615999999997</v>
      </c>
      <c r="AA452" s="10">
        <f>INDEX([1]ratio_ins!Y:Y,MATCH('001_population_health_zone_zs'!$B$2,[1]ratio_ins!$B:$B,0))*$G452*INDEX([1]ratio_ins!$C:$C,MATCH('001_population_health_zone_zs'!$B452,[1]ratio_ins!$B:$B,0))</f>
        <v>196.40807999999998</v>
      </c>
      <c r="AB452" s="11">
        <f>INDEX([1]ratio_ins!Z:Z,MATCH('001_population_health_zone_zs'!$B$2,[1]ratio_ins!$B:$B,0))*$G452*INDEX([1]ratio_ins!$C:$C,MATCH('001_population_health_zone_zs'!$B452,[1]ratio_ins!$B:$B,0))</f>
        <v>2553.3050400000002</v>
      </c>
      <c r="AC452" s="12">
        <f t="shared" si="42"/>
        <v>98204.040000000008</v>
      </c>
      <c r="AD452" s="10">
        <f>INDEX([1]ratio_ins!AA:AA,MATCH('001_population_health_zone_zs'!$B$2,[1]ratio_ins!$B:$B,0))*$G452*INDEX([1]ratio_ins!$D:$D,MATCH('001_population_health_zone_zs'!$B452,[1]ratio_ins!$B:$B,0))</f>
        <v>21039.471600000001</v>
      </c>
      <c r="AE452" s="10">
        <f>INDEX([1]ratio_ins!AB:AB,MATCH('001_population_health_zone_zs'!$B$2,[1]ratio_ins!$B:$B,0))*$G452*INDEX([1]ratio_ins!$D:$D,MATCH('001_population_health_zone_zs'!$B452,[1]ratio_ins!$B:$B,0))</f>
        <v>17332.517080000005</v>
      </c>
      <c r="AF452" s="10">
        <f>INDEX([1]ratio_ins!AC:AC,MATCH('001_population_health_zone_zs'!$B$2,[1]ratio_ins!$B:$B,0))*$G452*INDEX([1]ratio_ins!$D:$D,MATCH('001_population_health_zone_zs'!$B452,[1]ratio_ins!$B:$B,0))</f>
        <v>13725.75052</v>
      </c>
      <c r="AG452" s="10">
        <f>INDEX([1]ratio_ins!AD:AD,MATCH('001_population_health_zone_zs'!$B$2,[1]ratio_ins!$B:$B,0))*$G452*INDEX([1]ratio_ins!$D:$D,MATCH('001_population_health_zone_zs'!$B452,[1]ratio_ins!$B:$B,0))</f>
        <v>8315.6006799999996</v>
      </c>
      <c r="AH452" s="10">
        <f>INDEX([1]ratio_ins!AE:AE,MATCH('001_population_health_zone_zs'!$B$2,[1]ratio_ins!$B:$B,0))*$G452*INDEX([1]ratio_ins!$D:$D,MATCH('001_population_health_zone_zs'!$B452,[1]ratio_ins!$B:$B,0))</f>
        <v>4989.3604079999996</v>
      </c>
      <c r="AI452" s="13">
        <f>INDEX([1]ratio_ins!AF:AF,MATCH('001_population_health_zone_zs'!$B$2,[1]ratio_ins!$B:$B,0))*$G452*INDEX([1]ratio_ins!$D:$D,MATCH('001_population_health_zone_zs'!$B452,[1]ratio_ins!$B:$B,0))</f>
        <v>57087.099607999997</v>
      </c>
      <c r="AJ452" s="10">
        <f>INDEX([1]ratio_ins!AG:AG,MATCH('001_population_health_zone_zs'!$B$2,[1]ratio_ins!$B:$B,0))*$G452*INDEX([1]ratio_ins!$D:$D,MATCH('001_population_health_zone_zs'!$B452,[1]ratio_ins!$B:$B,0))</f>
        <v>3326.240272</v>
      </c>
      <c r="AK452" s="10">
        <f>INDEX([1]ratio_ins!AH:AH,MATCH('001_population_health_zone_zs'!$B$2,[1]ratio_ins!$B:$B,0))*$G452*INDEX([1]ratio_ins!$D:$D,MATCH('001_population_health_zone_zs'!$B452,[1]ratio_ins!$B:$B,0))</f>
        <v>7413.9090400000005</v>
      </c>
      <c r="AL452" s="10">
        <f>INDEX([1]ratio_ins!AI:AI,MATCH('001_population_health_zone_zs'!$B$2,[1]ratio_ins!$B:$B,0))*$G452*INDEX([1]ratio_ins!$D:$D,MATCH('001_population_health_zone_zs'!$B452,[1]ratio_ins!$B:$B,0))</f>
        <v>7013.1572000000006</v>
      </c>
      <c r="AM452" s="10">
        <f>INDEX([1]ratio_ins!AJ:AJ,MATCH('001_population_health_zone_zs'!$B$2,[1]ratio_ins!$B:$B,0))*$G452*INDEX([1]ratio_ins!$D:$D,MATCH('001_population_health_zone_zs'!$B452,[1]ratio_ins!$B:$B,0))</f>
        <v>6412.0294400000002</v>
      </c>
      <c r="AN452" s="10">
        <f>INDEX([1]ratio_ins!AK:AK,MATCH('001_population_health_zone_zs'!$B$2,[1]ratio_ins!$B:$B,0))*$G452*INDEX([1]ratio_ins!$D:$D,MATCH('001_population_health_zone_zs'!$B452,[1]ratio_ins!$B:$B,0))</f>
        <v>6011.2776000000003</v>
      </c>
      <c r="AO452" s="10">
        <f>INDEX([1]ratio_ins!AL:AL,MATCH('001_population_health_zone_zs'!$B$2,[1]ratio_ins!$B:$B,0))*$G452*INDEX([1]ratio_ins!$D:$D,MATCH('001_population_health_zone_zs'!$B452,[1]ratio_ins!$B:$B,0))</f>
        <v>4508.4582</v>
      </c>
      <c r="AP452" s="10">
        <f>INDEX([1]ratio_ins!AM:AM,MATCH('001_population_health_zone_zs'!$B$2,[1]ratio_ins!$B:$B,0))*$G452*INDEX([1]ratio_ins!$D:$D,MATCH('001_population_health_zone_zs'!$B452,[1]ratio_ins!$B:$B,0))</f>
        <v>2905.45084</v>
      </c>
      <c r="AQ452" s="10">
        <f>INDEX([1]ratio_ins!AN:AN,MATCH('001_population_health_zone_zs'!$B$2,[1]ratio_ins!$B:$B,0))*$G452*INDEX([1]ratio_ins!$D:$D,MATCH('001_population_health_zone_zs'!$B452,[1]ratio_ins!$B:$B,0))</f>
        <v>2304.3230799999997</v>
      </c>
      <c r="AR452" s="10">
        <f>INDEX([1]ratio_ins!AO:AO,MATCH('001_population_health_zone_zs'!$B$2,[1]ratio_ins!$B:$B,0))*$G452*INDEX([1]ratio_ins!$D:$D,MATCH('001_population_health_zone_zs'!$B452,[1]ratio_ins!$B:$B,0))</f>
        <v>1102.0675600000002</v>
      </c>
      <c r="AS452" s="13">
        <f>INDEX([1]ratio_ins!AP:AP,MATCH('001_population_health_zone_zs'!$B$2,[1]ratio_ins!$B:$B,0))*$G452*INDEX([1]ratio_ins!$D:$D,MATCH('001_population_health_zone_zs'!$B452,[1]ratio_ins!$B:$B,0))</f>
        <v>40996.913231999999</v>
      </c>
      <c r="AT452" s="10">
        <f>INDEX([1]ratio_ins!AQ:AQ,MATCH('001_population_health_zone_zs'!$B$2,[1]ratio_ins!$B:$B,0))*$G452*INDEX([1]ratio_ins!$D:$D,MATCH('001_population_health_zone_zs'!$B452,[1]ratio_ins!$B:$B,0))</f>
        <v>1001.8796000000001</v>
      </c>
      <c r="AU452" s="10">
        <f>INDEX([1]ratio_ins!AR:AR,MATCH('001_population_health_zone_zs'!$B$2,[1]ratio_ins!$B:$B,0))*$G452*INDEX([1]ratio_ins!$D:$D,MATCH('001_population_health_zone_zs'!$B452,[1]ratio_ins!$B:$B,0))</f>
        <v>601.12776000000008</v>
      </c>
      <c r="AV452" s="10">
        <f>INDEX([1]ratio_ins!AS:AS,MATCH('001_population_health_zone_zs'!$B$2,[1]ratio_ins!$B:$B,0))*$G452*INDEX([1]ratio_ins!$D:$D,MATCH('001_population_health_zone_zs'!$B452,[1]ratio_ins!$B:$B,0))</f>
        <v>300.56388000000004</v>
      </c>
      <c r="AW452" s="10">
        <f>INDEX([1]ratio_ins!AT:AT,MATCH('001_population_health_zone_zs'!$B$2,[1]ratio_ins!$B:$B,0))*$G452*INDEX([1]ratio_ins!$D:$D,MATCH('001_population_health_zone_zs'!$B452,[1]ratio_ins!$B:$B,0))</f>
        <v>200.37592000000001</v>
      </c>
      <c r="AX452" s="13">
        <f>INDEX([1]ratio_ins!AU:AU,MATCH('001_population_health_zone_zs'!$B$2,[1]ratio_ins!$B:$B,0))*$G452*INDEX([1]ratio_ins!$D:$D,MATCH('001_population_health_zone_zs'!$B452,[1]ratio_ins!$B:$B,0))</f>
        <v>2103.9471600000002</v>
      </c>
      <c r="AY452" s="14">
        <f t="shared" si="43"/>
        <v>100187.95999999999</v>
      </c>
      <c r="AZ452" s="15">
        <f t="shared" si="44"/>
        <v>198392</v>
      </c>
      <c r="BA452" s="16">
        <v>190072.95579620311</v>
      </c>
      <c r="BB452" s="10">
        <f t="shared" si="45"/>
        <v>42579.883000000002</v>
      </c>
      <c r="BC452" s="17">
        <f t="shared" si="46"/>
        <v>0.21462500000000001</v>
      </c>
      <c r="BD452" s="10">
        <f t="shared" si="47"/>
        <v>40951.084680000007</v>
      </c>
    </row>
    <row r="453" spans="1:56" x14ac:dyDescent="0.25">
      <c r="A453" s="8" t="s">
        <v>1087</v>
      </c>
      <c r="B453" s="8" t="s">
        <v>1088</v>
      </c>
      <c r="C453" s="8" t="s">
        <v>1111</v>
      </c>
      <c r="D453" s="8" t="s">
        <v>1112</v>
      </c>
      <c r="E453" s="8" t="s">
        <v>1111</v>
      </c>
      <c r="F453" s="8" t="s">
        <v>1115</v>
      </c>
      <c r="G453" s="9">
        <v>285233</v>
      </c>
      <c r="H453" s="10">
        <f>INDEX([1]ratio_ins!F:F,MATCH('001_population_health_zone_zs'!$B$2,[1]ratio_ins!$B:$B,0))*$G453*INDEX([1]ratio_ins!$C:$C,MATCH('001_population_health_zone_zs'!$B453,[1]ratio_ins!$B:$B,0))</f>
        <v>29508.780015</v>
      </c>
      <c r="I453" s="10">
        <f>INDEX([1]ratio_ins!G:G,MATCH('001_population_health_zone_zs'!$B$2,[1]ratio_ins!$B:$B,0))*$G453*INDEX([1]ratio_ins!$C:$C,MATCH('001_population_health_zone_zs'!$B453,[1]ratio_ins!$B:$B,0))</f>
        <v>24143.547285000001</v>
      </c>
      <c r="J453" s="10">
        <f>INDEX([1]ratio_ins!H:H,MATCH('001_population_health_zone_zs'!$B$2,[1]ratio_ins!$B:$B,0))*$G453*INDEX([1]ratio_ins!$C:$C,MATCH('001_population_health_zone_zs'!$B453,[1]ratio_ins!$B:$B,0))</f>
        <v>19060.695224999999</v>
      </c>
      <c r="K453" s="10">
        <f>INDEX([1]ratio_ins!I:I,MATCH('001_population_health_zone_zs'!$B$2,[1]ratio_ins!$B:$B,0))*$G453*INDEX([1]ratio_ins!$C:$C,MATCH('001_population_health_zone_zs'!$B453,[1]ratio_ins!$B:$B,0))</f>
        <v>11718.797805</v>
      </c>
      <c r="L453" s="10">
        <f>INDEX([1]ratio_ins!J:J,MATCH('001_population_health_zone_zs'!$B$2,[1]ratio_ins!$B:$B,0))*$G453*INDEX([1]ratio_ins!$C:$C,MATCH('001_population_health_zone_zs'!$B453,[1]ratio_ins!$B:$B,0))</f>
        <v>7031.2786829999995</v>
      </c>
      <c r="M453" s="11">
        <f>INDEX([1]ratio_ins!K:K,MATCH('001_population_health_zone_zs'!$B$2,[1]ratio_ins!$B:$B,0))*$G453*INDEX([1]ratio_ins!$C:$C,MATCH('001_population_health_zone_zs'!$B453,[1]ratio_ins!$B:$B,0))</f>
        <v>79744.30120799999</v>
      </c>
      <c r="N453" s="10">
        <f>INDEX([1]ratio_ins!L:L,MATCH('001_population_health_zone_zs'!$B$2,[1]ratio_ins!$B:$B,0))*$G453*INDEX([1]ratio_ins!$C:$C,MATCH('001_population_health_zone_zs'!$B453,[1]ratio_ins!$B:$B,0))</f>
        <v>4687.5191219999997</v>
      </c>
      <c r="O453" s="10">
        <f>INDEX([1]ratio_ins!M:M,MATCH('001_population_health_zone_zs'!$B$2,[1]ratio_ins!$B:$B,0))*$G453*INDEX([1]ratio_ins!$C:$C,MATCH('001_population_health_zone_zs'!$B453,[1]ratio_ins!$B:$B,0))</f>
        <v>10165.70412</v>
      </c>
      <c r="P453" s="10">
        <f>INDEX([1]ratio_ins!N:N,MATCH('001_population_health_zone_zs'!$B$2,[1]ratio_ins!$B:$B,0))*$G453*INDEX([1]ratio_ins!$C:$C,MATCH('001_population_health_zone_zs'!$B453,[1]ratio_ins!$B:$B,0))</f>
        <v>9177.3717749999996</v>
      </c>
      <c r="Q453" s="10">
        <f>INDEX([1]ratio_ins!O:O,MATCH('001_population_health_zone_zs'!$B$2,[1]ratio_ins!$B:$B,0))*$G453*INDEX([1]ratio_ins!$C:$C,MATCH('001_population_health_zone_zs'!$B453,[1]ratio_ins!$B:$B,0))</f>
        <v>8189.0394299999998</v>
      </c>
      <c r="R453" s="10">
        <f>INDEX([1]ratio_ins!P:P,MATCH('001_population_health_zone_zs'!$B$2,[1]ratio_ins!$B:$B,0))*$G453*INDEX([1]ratio_ins!$C:$C,MATCH('001_population_health_zone_zs'!$B453,[1]ratio_ins!$B:$B,0))</f>
        <v>8047.8490950000005</v>
      </c>
      <c r="S453" s="10">
        <f>INDEX([1]ratio_ins!Q:Q,MATCH('001_population_health_zone_zs'!$B$2,[1]ratio_ins!$B:$B,0))*$G453*INDEX([1]ratio_ins!$C:$C,MATCH('001_population_health_zone_zs'!$B453,[1]ratio_ins!$B:$B,0))</f>
        <v>6777.1360800000002</v>
      </c>
      <c r="T453" s="10">
        <f>INDEX([1]ratio_ins!R:R,MATCH('001_population_health_zone_zs'!$B$2,[1]ratio_ins!$B:$B,0))*$G453*INDEX([1]ratio_ins!$C:$C,MATCH('001_population_health_zone_zs'!$B453,[1]ratio_ins!$B:$B,0))</f>
        <v>4800.4713900000006</v>
      </c>
      <c r="U453" s="10">
        <f>INDEX([1]ratio_ins!S:S,MATCH('001_population_health_zone_zs'!$B$2,[1]ratio_ins!$B:$B,0))*$G453*INDEX([1]ratio_ins!$C:$C,MATCH('001_population_health_zone_zs'!$B453,[1]ratio_ins!$B:$B,0))</f>
        <v>3812.1390450000004</v>
      </c>
      <c r="V453" s="10">
        <f>INDEX([1]ratio_ins!T:T,MATCH('001_population_health_zone_zs'!$B$2,[1]ratio_ins!$B:$B,0))*$G453*INDEX([1]ratio_ins!$C:$C,MATCH('001_population_health_zone_zs'!$B453,[1]ratio_ins!$B:$B,0))</f>
        <v>2117.8550249999998</v>
      </c>
      <c r="W453" s="11">
        <f>INDEX([1]ratio_ins!U:U,MATCH('001_population_health_zone_zs'!$B$2,[1]ratio_ins!$B:$B,0))*$G453*INDEX([1]ratio_ins!$C:$C,MATCH('001_population_health_zone_zs'!$B453,[1]ratio_ins!$B:$B,0))</f>
        <v>57775.085082000005</v>
      </c>
      <c r="X453" s="10">
        <f>INDEX([1]ratio_ins!V:V,MATCH('001_population_health_zone_zs'!$B$2,[1]ratio_ins!$B:$B,0))*$G453*INDEX([1]ratio_ins!$C:$C,MATCH('001_population_health_zone_zs'!$B453,[1]ratio_ins!$B:$B,0))</f>
        <v>1694.2840200000001</v>
      </c>
      <c r="Y453" s="10">
        <f>INDEX([1]ratio_ins!W:W,MATCH('001_population_health_zone_zs'!$B$2,[1]ratio_ins!$B:$B,0))*$G453*INDEX([1]ratio_ins!$C:$C,MATCH('001_population_health_zone_zs'!$B453,[1]ratio_ins!$B:$B,0))</f>
        <v>1129.52268</v>
      </c>
      <c r="Z453" s="10">
        <f>INDEX([1]ratio_ins!X:X,MATCH('001_population_health_zone_zs'!$B$2,[1]ratio_ins!$B:$B,0))*$G453*INDEX([1]ratio_ins!$C:$C,MATCH('001_population_health_zone_zs'!$B453,[1]ratio_ins!$B:$B,0))</f>
        <v>564.76134000000002</v>
      </c>
      <c r="AA453" s="10">
        <f>INDEX([1]ratio_ins!Y:Y,MATCH('001_population_health_zone_zs'!$B$2,[1]ratio_ins!$B:$B,0))*$G453*INDEX([1]ratio_ins!$C:$C,MATCH('001_population_health_zone_zs'!$B453,[1]ratio_ins!$B:$B,0))</f>
        <v>282.38067000000001</v>
      </c>
      <c r="AB453" s="11">
        <f>INDEX([1]ratio_ins!Z:Z,MATCH('001_population_health_zone_zs'!$B$2,[1]ratio_ins!$B:$B,0))*$G453*INDEX([1]ratio_ins!$C:$C,MATCH('001_population_health_zone_zs'!$B453,[1]ratio_ins!$B:$B,0))</f>
        <v>3670.9487100000006</v>
      </c>
      <c r="AC453" s="12">
        <f t="shared" si="42"/>
        <v>141190.33499999999</v>
      </c>
      <c r="AD453" s="10">
        <f>INDEX([1]ratio_ins!AA:AA,MATCH('001_population_health_zone_zs'!$B$2,[1]ratio_ins!$B:$B,0))*$G453*INDEX([1]ratio_ins!$D:$D,MATCH('001_population_health_zone_zs'!$B453,[1]ratio_ins!$B:$B,0))</f>
        <v>30248.959650000001</v>
      </c>
      <c r="AE453" s="10">
        <f>INDEX([1]ratio_ins!AB:AB,MATCH('001_population_health_zone_zs'!$B$2,[1]ratio_ins!$B:$B,0))*$G453*INDEX([1]ratio_ins!$D:$D,MATCH('001_population_health_zone_zs'!$B453,[1]ratio_ins!$B:$B,0))</f>
        <v>24919.381045000002</v>
      </c>
      <c r="AF453" s="10">
        <f>INDEX([1]ratio_ins!AC:AC,MATCH('001_population_health_zone_zs'!$B$2,[1]ratio_ins!$B:$B,0))*$G453*INDEX([1]ratio_ins!$D:$D,MATCH('001_population_health_zone_zs'!$B453,[1]ratio_ins!$B:$B,0))</f>
        <v>19733.845104999997</v>
      </c>
      <c r="AG453" s="10">
        <f>INDEX([1]ratio_ins!AD:AD,MATCH('001_population_health_zone_zs'!$B$2,[1]ratio_ins!$B:$B,0))*$G453*INDEX([1]ratio_ins!$D:$D,MATCH('001_population_health_zone_zs'!$B453,[1]ratio_ins!$B:$B,0))</f>
        <v>11955.541195</v>
      </c>
      <c r="AH453" s="10">
        <f>INDEX([1]ratio_ins!AE:AE,MATCH('001_population_health_zone_zs'!$B$2,[1]ratio_ins!$B:$B,0))*$G453*INDEX([1]ratio_ins!$D:$D,MATCH('001_population_health_zone_zs'!$B453,[1]ratio_ins!$B:$B,0))</f>
        <v>7173.3247170000004</v>
      </c>
      <c r="AI453" s="13">
        <f>INDEX([1]ratio_ins!AF:AF,MATCH('001_population_health_zone_zs'!$B$2,[1]ratio_ins!$B:$B,0))*$G453*INDEX([1]ratio_ins!$D:$D,MATCH('001_population_health_zone_zs'!$B453,[1]ratio_ins!$B:$B,0))</f>
        <v>82075.510517000002</v>
      </c>
      <c r="AJ453" s="10">
        <f>INDEX([1]ratio_ins!AG:AG,MATCH('001_population_health_zone_zs'!$B$2,[1]ratio_ins!$B:$B,0))*$G453*INDEX([1]ratio_ins!$D:$D,MATCH('001_population_health_zone_zs'!$B453,[1]ratio_ins!$B:$B,0))</f>
        <v>4782.2164780000003</v>
      </c>
      <c r="AK453" s="10">
        <f>INDEX([1]ratio_ins!AH:AH,MATCH('001_population_health_zone_zs'!$B$2,[1]ratio_ins!$B:$B,0))*$G453*INDEX([1]ratio_ins!$D:$D,MATCH('001_population_health_zone_zs'!$B453,[1]ratio_ins!$B:$B,0))</f>
        <v>10659.157210000001</v>
      </c>
      <c r="AL453" s="10">
        <f>INDEX([1]ratio_ins!AI:AI,MATCH('001_population_health_zone_zs'!$B$2,[1]ratio_ins!$B:$B,0))*$G453*INDEX([1]ratio_ins!$D:$D,MATCH('001_population_health_zone_zs'!$B453,[1]ratio_ins!$B:$B,0))</f>
        <v>10082.986550000001</v>
      </c>
      <c r="AM453" s="10">
        <f>INDEX([1]ratio_ins!AJ:AJ,MATCH('001_population_health_zone_zs'!$B$2,[1]ratio_ins!$B:$B,0))*$G453*INDEX([1]ratio_ins!$D:$D,MATCH('001_population_health_zone_zs'!$B453,[1]ratio_ins!$B:$B,0))</f>
        <v>9218.73056</v>
      </c>
      <c r="AN453" s="10">
        <f>INDEX([1]ratio_ins!AK:AK,MATCH('001_population_health_zone_zs'!$B$2,[1]ratio_ins!$B:$B,0))*$G453*INDEX([1]ratio_ins!$D:$D,MATCH('001_population_health_zone_zs'!$B453,[1]ratio_ins!$B:$B,0))</f>
        <v>8642.5599000000002</v>
      </c>
      <c r="AO453" s="10">
        <f>INDEX([1]ratio_ins!AL:AL,MATCH('001_population_health_zone_zs'!$B$2,[1]ratio_ins!$B:$B,0))*$G453*INDEX([1]ratio_ins!$D:$D,MATCH('001_population_health_zone_zs'!$B453,[1]ratio_ins!$B:$B,0))</f>
        <v>6481.9199249999992</v>
      </c>
      <c r="AP453" s="10">
        <f>INDEX([1]ratio_ins!AM:AM,MATCH('001_population_health_zone_zs'!$B$2,[1]ratio_ins!$B:$B,0))*$G453*INDEX([1]ratio_ins!$D:$D,MATCH('001_population_health_zone_zs'!$B453,[1]ratio_ins!$B:$B,0))</f>
        <v>4177.2372850000002</v>
      </c>
      <c r="AQ453" s="10">
        <f>INDEX([1]ratio_ins!AN:AN,MATCH('001_population_health_zone_zs'!$B$2,[1]ratio_ins!$B:$B,0))*$G453*INDEX([1]ratio_ins!$D:$D,MATCH('001_population_health_zone_zs'!$B453,[1]ratio_ins!$B:$B,0))</f>
        <v>3312.9812949999996</v>
      </c>
      <c r="AR453" s="10">
        <f>INDEX([1]ratio_ins!AO:AO,MATCH('001_population_health_zone_zs'!$B$2,[1]ratio_ins!$B:$B,0))*$G453*INDEX([1]ratio_ins!$D:$D,MATCH('001_population_health_zone_zs'!$B453,[1]ratio_ins!$B:$B,0))</f>
        <v>1584.4693150000001</v>
      </c>
      <c r="AS453" s="13">
        <f>INDEX([1]ratio_ins!AP:AP,MATCH('001_population_health_zone_zs'!$B$2,[1]ratio_ins!$B:$B,0))*$G453*INDEX([1]ratio_ins!$D:$D,MATCH('001_population_health_zone_zs'!$B453,[1]ratio_ins!$B:$B,0))</f>
        <v>58942.258518000002</v>
      </c>
      <c r="AT453" s="10">
        <f>INDEX([1]ratio_ins!AQ:AQ,MATCH('001_population_health_zone_zs'!$B$2,[1]ratio_ins!$B:$B,0))*$G453*INDEX([1]ratio_ins!$D:$D,MATCH('001_population_health_zone_zs'!$B453,[1]ratio_ins!$B:$B,0))</f>
        <v>1440.4266499999999</v>
      </c>
      <c r="AU453" s="10">
        <f>INDEX([1]ratio_ins!AR:AR,MATCH('001_population_health_zone_zs'!$B$2,[1]ratio_ins!$B:$B,0))*$G453*INDEX([1]ratio_ins!$D:$D,MATCH('001_population_health_zone_zs'!$B453,[1]ratio_ins!$B:$B,0))</f>
        <v>864.25599000000011</v>
      </c>
      <c r="AV453" s="10">
        <f>INDEX([1]ratio_ins!AS:AS,MATCH('001_population_health_zone_zs'!$B$2,[1]ratio_ins!$B:$B,0))*$G453*INDEX([1]ratio_ins!$D:$D,MATCH('001_population_health_zone_zs'!$B453,[1]ratio_ins!$B:$B,0))</f>
        <v>432.12799500000006</v>
      </c>
      <c r="AW453" s="10">
        <f>INDEX([1]ratio_ins!AT:AT,MATCH('001_population_health_zone_zs'!$B$2,[1]ratio_ins!$B:$B,0))*$G453*INDEX([1]ratio_ins!$D:$D,MATCH('001_population_health_zone_zs'!$B453,[1]ratio_ins!$B:$B,0))</f>
        <v>288.08533</v>
      </c>
      <c r="AX453" s="13">
        <f>INDEX([1]ratio_ins!AU:AU,MATCH('001_population_health_zone_zs'!$B$2,[1]ratio_ins!$B:$B,0))*$G453*INDEX([1]ratio_ins!$D:$D,MATCH('001_population_health_zone_zs'!$B453,[1]ratio_ins!$B:$B,0))</f>
        <v>3024.8959649999997</v>
      </c>
      <c r="AY453" s="14">
        <f t="shared" si="43"/>
        <v>144042.66500000001</v>
      </c>
      <c r="AZ453" s="15">
        <f t="shared" si="44"/>
        <v>285233</v>
      </c>
      <c r="BA453" s="16">
        <v>273272.11587215553</v>
      </c>
      <c r="BB453" s="10">
        <f t="shared" si="45"/>
        <v>61218.132625000006</v>
      </c>
      <c r="BC453" s="17">
        <f t="shared" si="46"/>
        <v>0.21462500000000001</v>
      </c>
      <c r="BD453" s="10">
        <f t="shared" si="47"/>
        <v>58876.369694999994</v>
      </c>
    </row>
    <row r="454" spans="1:56" x14ac:dyDescent="0.25">
      <c r="A454" s="8" t="s">
        <v>1087</v>
      </c>
      <c r="B454" s="8" t="s">
        <v>1088</v>
      </c>
      <c r="C454" s="8" t="s">
        <v>1116</v>
      </c>
      <c r="D454" s="8" t="s">
        <v>1117</v>
      </c>
      <c r="E454" s="8" t="s">
        <v>1118</v>
      </c>
      <c r="F454" s="8" t="s">
        <v>1119</v>
      </c>
      <c r="G454" s="9">
        <v>175062</v>
      </c>
      <c r="H454" s="10">
        <f>INDEX([1]ratio_ins!F:F,MATCH('001_population_health_zone_zs'!$B$2,[1]ratio_ins!$B:$B,0))*$G454*INDEX([1]ratio_ins!$C:$C,MATCH('001_population_health_zone_zs'!$B454,[1]ratio_ins!$B:$B,0))</f>
        <v>18111.039209999999</v>
      </c>
      <c r="I454" s="10">
        <f>INDEX([1]ratio_ins!G:G,MATCH('001_population_health_zone_zs'!$B$2,[1]ratio_ins!$B:$B,0))*$G454*INDEX([1]ratio_ins!$C:$C,MATCH('001_population_health_zone_zs'!$B454,[1]ratio_ins!$B:$B,0))</f>
        <v>14818.122990000002</v>
      </c>
      <c r="J454" s="10">
        <f>INDEX([1]ratio_ins!H:H,MATCH('001_population_health_zone_zs'!$B$2,[1]ratio_ins!$B:$B,0))*$G454*INDEX([1]ratio_ins!$C:$C,MATCH('001_population_health_zone_zs'!$B454,[1]ratio_ins!$B:$B,0))</f>
        <v>11698.518150000002</v>
      </c>
      <c r="K454" s="10">
        <f>INDEX([1]ratio_ins!I:I,MATCH('001_population_health_zone_zs'!$B$2,[1]ratio_ins!$B:$B,0))*$G454*INDEX([1]ratio_ins!$C:$C,MATCH('001_population_health_zone_zs'!$B454,[1]ratio_ins!$B:$B,0))</f>
        <v>7192.42227</v>
      </c>
      <c r="L454" s="10">
        <f>INDEX([1]ratio_ins!J:J,MATCH('001_population_health_zone_zs'!$B$2,[1]ratio_ins!$B:$B,0))*$G454*INDEX([1]ratio_ins!$C:$C,MATCH('001_population_health_zone_zs'!$B454,[1]ratio_ins!$B:$B,0))</f>
        <v>4315.4533619999993</v>
      </c>
      <c r="M454" s="11">
        <f>INDEX([1]ratio_ins!K:K,MATCH('001_population_health_zone_zs'!$B$2,[1]ratio_ins!$B:$B,0))*$G454*INDEX([1]ratio_ins!$C:$C,MATCH('001_population_health_zone_zs'!$B454,[1]ratio_ins!$B:$B,0))</f>
        <v>48943.133711999995</v>
      </c>
      <c r="N454" s="10">
        <f>INDEX([1]ratio_ins!L:L,MATCH('001_population_health_zone_zs'!$B$2,[1]ratio_ins!$B:$B,0))*$G454*INDEX([1]ratio_ins!$C:$C,MATCH('001_population_health_zone_zs'!$B454,[1]ratio_ins!$B:$B,0))</f>
        <v>2876.9689079999998</v>
      </c>
      <c r="O454" s="10">
        <f>INDEX([1]ratio_ins!M:M,MATCH('001_population_health_zone_zs'!$B$2,[1]ratio_ins!$B:$B,0))*$G454*INDEX([1]ratio_ins!$C:$C,MATCH('001_population_health_zone_zs'!$B454,[1]ratio_ins!$B:$B,0))</f>
        <v>6239.2096800000008</v>
      </c>
      <c r="P454" s="10">
        <f>INDEX([1]ratio_ins!N:N,MATCH('001_population_health_zone_zs'!$B$2,[1]ratio_ins!$B:$B,0))*$G454*INDEX([1]ratio_ins!$C:$C,MATCH('001_population_health_zone_zs'!$B454,[1]ratio_ins!$B:$B,0))</f>
        <v>5632.61985</v>
      </c>
      <c r="Q454" s="10">
        <f>INDEX([1]ratio_ins!O:O,MATCH('001_population_health_zone_zs'!$B$2,[1]ratio_ins!$B:$B,0))*$G454*INDEX([1]ratio_ins!$C:$C,MATCH('001_population_health_zone_zs'!$B454,[1]ratio_ins!$B:$B,0))</f>
        <v>5026.0300200000001</v>
      </c>
      <c r="R454" s="10">
        <f>INDEX([1]ratio_ins!P:P,MATCH('001_population_health_zone_zs'!$B$2,[1]ratio_ins!$B:$B,0))*$G454*INDEX([1]ratio_ins!$C:$C,MATCH('001_population_health_zone_zs'!$B454,[1]ratio_ins!$B:$B,0))</f>
        <v>4939.3743299999996</v>
      </c>
      <c r="S454" s="10">
        <f>INDEX([1]ratio_ins!Q:Q,MATCH('001_population_health_zone_zs'!$B$2,[1]ratio_ins!$B:$B,0))*$G454*INDEX([1]ratio_ins!$C:$C,MATCH('001_population_health_zone_zs'!$B454,[1]ratio_ins!$B:$B,0))</f>
        <v>4159.4731200000006</v>
      </c>
      <c r="T454" s="10">
        <f>INDEX([1]ratio_ins!R:R,MATCH('001_population_health_zone_zs'!$B$2,[1]ratio_ins!$B:$B,0))*$G454*INDEX([1]ratio_ins!$C:$C,MATCH('001_population_health_zone_zs'!$B454,[1]ratio_ins!$B:$B,0))</f>
        <v>2946.2934599999999</v>
      </c>
      <c r="U454" s="10">
        <f>INDEX([1]ratio_ins!S:S,MATCH('001_population_health_zone_zs'!$B$2,[1]ratio_ins!$B:$B,0))*$G454*INDEX([1]ratio_ins!$C:$C,MATCH('001_population_health_zone_zs'!$B454,[1]ratio_ins!$B:$B,0))</f>
        <v>2339.7036300000004</v>
      </c>
      <c r="V454" s="10">
        <f>INDEX([1]ratio_ins!T:T,MATCH('001_population_health_zone_zs'!$B$2,[1]ratio_ins!$B:$B,0))*$G454*INDEX([1]ratio_ins!$C:$C,MATCH('001_population_health_zone_zs'!$B454,[1]ratio_ins!$B:$B,0))</f>
        <v>1299.8353499999998</v>
      </c>
      <c r="W454" s="11">
        <f>INDEX([1]ratio_ins!U:U,MATCH('001_population_health_zone_zs'!$B$2,[1]ratio_ins!$B:$B,0))*$G454*INDEX([1]ratio_ins!$C:$C,MATCH('001_population_health_zone_zs'!$B454,[1]ratio_ins!$B:$B,0))</f>
        <v>35459.508348000003</v>
      </c>
      <c r="X454" s="10">
        <f>INDEX([1]ratio_ins!V:V,MATCH('001_population_health_zone_zs'!$B$2,[1]ratio_ins!$B:$B,0))*$G454*INDEX([1]ratio_ins!$C:$C,MATCH('001_population_health_zone_zs'!$B454,[1]ratio_ins!$B:$B,0))</f>
        <v>1039.8682800000001</v>
      </c>
      <c r="Y454" s="10">
        <f>INDEX([1]ratio_ins!W:W,MATCH('001_population_health_zone_zs'!$B$2,[1]ratio_ins!$B:$B,0))*$G454*INDEX([1]ratio_ins!$C:$C,MATCH('001_population_health_zone_zs'!$B454,[1]ratio_ins!$B:$B,0))</f>
        <v>693.24552000000006</v>
      </c>
      <c r="Z454" s="10">
        <f>INDEX([1]ratio_ins!X:X,MATCH('001_population_health_zone_zs'!$B$2,[1]ratio_ins!$B:$B,0))*$G454*INDEX([1]ratio_ins!$C:$C,MATCH('001_population_health_zone_zs'!$B454,[1]ratio_ins!$B:$B,0))</f>
        <v>346.62276000000003</v>
      </c>
      <c r="AA454" s="10">
        <f>INDEX([1]ratio_ins!Y:Y,MATCH('001_population_health_zone_zs'!$B$2,[1]ratio_ins!$B:$B,0))*$G454*INDEX([1]ratio_ins!$C:$C,MATCH('001_population_health_zone_zs'!$B454,[1]ratio_ins!$B:$B,0))</f>
        <v>173.31138000000001</v>
      </c>
      <c r="AB454" s="11">
        <f>INDEX([1]ratio_ins!Z:Z,MATCH('001_population_health_zone_zs'!$B$2,[1]ratio_ins!$B:$B,0))*$G454*INDEX([1]ratio_ins!$C:$C,MATCH('001_population_health_zone_zs'!$B454,[1]ratio_ins!$B:$B,0))</f>
        <v>2253.0479399999999</v>
      </c>
      <c r="AC454" s="12">
        <f t="shared" si="42"/>
        <v>86655.69</v>
      </c>
      <c r="AD454" s="10">
        <f>INDEX([1]ratio_ins!AA:AA,MATCH('001_population_health_zone_zs'!$B$2,[1]ratio_ins!$B:$B,0))*$G454*INDEX([1]ratio_ins!$D:$D,MATCH('001_population_health_zone_zs'!$B454,[1]ratio_ins!$B:$B,0))</f>
        <v>18565.325099999998</v>
      </c>
      <c r="AE454" s="10">
        <f>INDEX([1]ratio_ins!AB:AB,MATCH('001_population_health_zone_zs'!$B$2,[1]ratio_ins!$B:$B,0))*$G454*INDEX([1]ratio_ins!$D:$D,MATCH('001_population_health_zone_zs'!$B454,[1]ratio_ins!$B:$B,0))</f>
        <v>15294.291630000002</v>
      </c>
      <c r="AF454" s="10">
        <f>INDEX([1]ratio_ins!AC:AC,MATCH('001_population_health_zone_zs'!$B$2,[1]ratio_ins!$B:$B,0))*$G454*INDEX([1]ratio_ins!$D:$D,MATCH('001_population_health_zone_zs'!$B454,[1]ratio_ins!$B:$B,0))</f>
        <v>12111.66447</v>
      </c>
      <c r="AG454" s="10">
        <f>INDEX([1]ratio_ins!AD:AD,MATCH('001_population_health_zone_zs'!$B$2,[1]ratio_ins!$B:$B,0))*$G454*INDEX([1]ratio_ins!$D:$D,MATCH('001_population_health_zone_zs'!$B454,[1]ratio_ins!$B:$B,0))</f>
        <v>7337.7237300000006</v>
      </c>
      <c r="AH454" s="10">
        <f>INDEX([1]ratio_ins!AE:AE,MATCH('001_population_health_zone_zs'!$B$2,[1]ratio_ins!$B:$B,0))*$G454*INDEX([1]ratio_ins!$D:$D,MATCH('001_population_health_zone_zs'!$B454,[1]ratio_ins!$B:$B,0))</f>
        <v>4402.6342379999996</v>
      </c>
      <c r="AI454" s="13">
        <f>INDEX([1]ratio_ins!AF:AF,MATCH('001_population_health_zone_zs'!$B$2,[1]ratio_ins!$B:$B,0))*$G454*INDEX([1]ratio_ins!$D:$D,MATCH('001_population_health_zone_zs'!$B454,[1]ratio_ins!$B:$B,0))</f>
        <v>50373.915437999996</v>
      </c>
      <c r="AJ454" s="10">
        <f>INDEX([1]ratio_ins!AG:AG,MATCH('001_population_health_zone_zs'!$B$2,[1]ratio_ins!$B:$B,0))*$G454*INDEX([1]ratio_ins!$D:$D,MATCH('001_population_health_zone_zs'!$B454,[1]ratio_ins!$B:$B,0))</f>
        <v>2935.0894920000001</v>
      </c>
      <c r="AK454" s="10">
        <f>INDEX([1]ratio_ins!AH:AH,MATCH('001_population_health_zone_zs'!$B$2,[1]ratio_ins!$B:$B,0))*$G454*INDEX([1]ratio_ins!$D:$D,MATCH('001_population_health_zone_zs'!$B454,[1]ratio_ins!$B:$B,0))</f>
        <v>6542.0669400000006</v>
      </c>
      <c r="AL454" s="10">
        <f>INDEX([1]ratio_ins!AI:AI,MATCH('001_population_health_zone_zs'!$B$2,[1]ratio_ins!$B:$B,0))*$G454*INDEX([1]ratio_ins!$D:$D,MATCH('001_population_health_zone_zs'!$B454,[1]ratio_ins!$B:$B,0))</f>
        <v>6188.4417000000012</v>
      </c>
      <c r="AM454" s="10">
        <f>INDEX([1]ratio_ins!AJ:AJ,MATCH('001_population_health_zone_zs'!$B$2,[1]ratio_ins!$B:$B,0))*$G454*INDEX([1]ratio_ins!$D:$D,MATCH('001_population_health_zone_zs'!$B454,[1]ratio_ins!$B:$B,0))</f>
        <v>5658.0038400000003</v>
      </c>
      <c r="AN454" s="10">
        <f>INDEX([1]ratio_ins!AK:AK,MATCH('001_population_health_zone_zs'!$B$2,[1]ratio_ins!$B:$B,0))*$G454*INDEX([1]ratio_ins!$D:$D,MATCH('001_population_health_zone_zs'!$B454,[1]ratio_ins!$B:$B,0))</f>
        <v>5304.3786</v>
      </c>
      <c r="AO454" s="10">
        <f>INDEX([1]ratio_ins!AL:AL,MATCH('001_population_health_zone_zs'!$B$2,[1]ratio_ins!$B:$B,0))*$G454*INDEX([1]ratio_ins!$D:$D,MATCH('001_population_health_zone_zs'!$B454,[1]ratio_ins!$B:$B,0))</f>
        <v>3978.28395</v>
      </c>
      <c r="AP454" s="10">
        <f>INDEX([1]ratio_ins!AM:AM,MATCH('001_population_health_zone_zs'!$B$2,[1]ratio_ins!$B:$B,0))*$G454*INDEX([1]ratio_ins!$D:$D,MATCH('001_population_health_zone_zs'!$B454,[1]ratio_ins!$B:$B,0))</f>
        <v>2563.7829899999997</v>
      </c>
      <c r="AQ454" s="10">
        <f>INDEX([1]ratio_ins!AN:AN,MATCH('001_population_health_zone_zs'!$B$2,[1]ratio_ins!$B:$B,0))*$G454*INDEX([1]ratio_ins!$D:$D,MATCH('001_population_health_zone_zs'!$B454,[1]ratio_ins!$B:$B,0))</f>
        <v>2033.3451299999999</v>
      </c>
      <c r="AR454" s="10">
        <f>INDEX([1]ratio_ins!AO:AO,MATCH('001_population_health_zone_zs'!$B$2,[1]ratio_ins!$B:$B,0))*$G454*INDEX([1]ratio_ins!$D:$D,MATCH('001_population_health_zone_zs'!$B454,[1]ratio_ins!$B:$B,0))</f>
        <v>972.46941000000015</v>
      </c>
      <c r="AS454" s="13">
        <f>INDEX([1]ratio_ins!AP:AP,MATCH('001_population_health_zone_zs'!$B$2,[1]ratio_ins!$B:$B,0))*$G454*INDEX([1]ratio_ins!$D:$D,MATCH('001_population_health_zone_zs'!$B454,[1]ratio_ins!$B:$B,0))</f>
        <v>36175.862051999997</v>
      </c>
      <c r="AT454" s="10">
        <f>INDEX([1]ratio_ins!AQ:AQ,MATCH('001_population_health_zone_zs'!$B$2,[1]ratio_ins!$B:$B,0))*$G454*INDEX([1]ratio_ins!$D:$D,MATCH('001_population_health_zone_zs'!$B454,[1]ratio_ins!$B:$B,0))</f>
        <v>884.06310000000008</v>
      </c>
      <c r="AU454" s="10">
        <f>INDEX([1]ratio_ins!AR:AR,MATCH('001_population_health_zone_zs'!$B$2,[1]ratio_ins!$B:$B,0))*$G454*INDEX([1]ratio_ins!$D:$D,MATCH('001_population_health_zone_zs'!$B454,[1]ratio_ins!$B:$B,0))</f>
        <v>530.43786</v>
      </c>
      <c r="AV454" s="10">
        <f>INDEX([1]ratio_ins!AS:AS,MATCH('001_population_health_zone_zs'!$B$2,[1]ratio_ins!$B:$B,0))*$G454*INDEX([1]ratio_ins!$D:$D,MATCH('001_population_health_zone_zs'!$B454,[1]ratio_ins!$B:$B,0))</f>
        <v>265.21893</v>
      </c>
      <c r="AW454" s="10">
        <f>INDEX([1]ratio_ins!AT:AT,MATCH('001_population_health_zone_zs'!$B$2,[1]ratio_ins!$B:$B,0))*$G454*INDEX([1]ratio_ins!$D:$D,MATCH('001_population_health_zone_zs'!$B454,[1]ratio_ins!$B:$B,0))</f>
        <v>176.81262000000001</v>
      </c>
      <c r="AX454" s="13">
        <f>INDEX([1]ratio_ins!AU:AU,MATCH('001_population_health_zone_zs'!$B$2,[1]ratio_ins!$B:$B,0))*$G454*INDEX([1]ratio_ins!$D:$D,MATCH('001_population_health_zone_zs'!$B454,[1]ratio_ins!$B:$B,0))</f>
        <v>1856.5325099999998</v>
      </c>
      <c r="AY454" s="14">
        <f t="shared" si="43"/>
        <v>88406.31</v>
      </c>
      <c r="AZ454" s="15">
        <f t="shared" si="44"/>
        <v>175062</v>
      </c>
      <c r="BA454" s="16">
        <v>167721.31666451396</v>
      </c>
      <c r="BB454" s="10">
        <f t="shared" si="45"/>
        <v>37572.681750000003</v>
      </c>
      <c r="BC454" s="17">
        <f t="shared" si="46"/>
        <v>0.21462500000000001</v>
      </c>
      <c r="BD454" s="10">
        <f t="shared" si="47"/>
        <v>36135.422729999998</v>
      </c>
    </row>
    <row r="455" spans="1:56" x14ac:dyDescent="0.25">
      <c r="A455" s="8" t="s">
        <v>1087</v>
      </c>
      <c r="B455" s="8" t="s">
        <v>1088</v>
      </c>
      <c r="C455" s="8" t="s">
        <v>1116</v>
      </c>
      <c r="D455" s="8" t="s">
        <v>1117</v>
      </c>
      <c r="E455" s="8" t="s">
        <v>1116</v>
      </c>
      <c r="F455" s="8" t="s">
        <v>1120</v>
      </c>
      <c r="G455" s="9">
        <v>140400</v>
      </c>
      <c r="H455" s="10">
        <f>INDEX([1]ratio_ins!F:F,MATCH('001_population_health_zone_zs'!$B$2,[1]ratio_ins!$B:$B,0))*$G455*INDEX([1]ratio_ins!$C:$C,MATCH('001_population_health_zone_zs'!$B455,[1]ratio_ins!$B:$B,0))</f>
        <v>14525.081999999999</v>
      </c>
      <c r="I455" s="10">
        <f>INDEX([1]ratio_ins!G:G,MATCH('001_population_health_zone_zs'!$B$2,[1]ratio_ins!$B:$B,0))*$G455*INDEX([1]ratio_ins!$C:$C,MATCH('001_population_health_zone_zs'!$B455,[1]ratio_ins!$B:$B,0))</f>
        <v>11884.158000000001</v>
      </c>
      <c r="J455" s="10">
        <f>INDEX([1]ratio_ins!H:H,MATCH('001_population_health_zone_zs'!$B$2,[1]ratio_ins!$B:$B,0))*$G455*INDEX([1]ratio_ins!$C:$C,MATCH('001_population_health_zone_zs'!$B455,[1]ratio_ins!$B:$B,0))</f>
        <v>9382.23</v>
      </c>
      <c r="K455" s="10">
        <f>INDEX([1]ratio_ins!I:I,MATCH('001_population_health_zone_zs'!$B$2,[1]ratio_ins!$B:$B,0))*$G455*INDEX([1]ratio_ins!$C:$C,MATCH('001_population_health_zone_zs'!$B455,[1]ratio_ins!$B:$B,0))</f>
        <v>5768.3340000000007</v>
      </c>
      <c r="L455" s="10">
        <f>INDEX([1]ratio_ins!J:J,MATCH('001_population_health_zone_zs'!$B$2,[1]ratio_ins!$B:$B,0))*$G455*INDEX([1]ratio_ins!$C:$C,MATCH('001_population_health_zone_zs'!$B455,[1]ratio_ins!$B:$B,0))</f>
        <v>3461.0003999999994</v>
      </c>
      <c r="M455" s="11">
        <f>INDEX([1]ratio_ins!K:K,MATCH('001_population_health_zone_zs'!$B$2,[1]ratio_ins!$B:$B,0))*$G455*INDEX([1]ratio_ins!$C:$C,MATCH('001_population_health_zone_zs'!$B455,[1]ratio_ins!$B:$B,0))</f>
        <v>39252.470399999998</v>
      </c>
      <c r="N455" s="10">
        <f>INDEX([1]ratio_ins!L:L,MATCH('001_population_health_zone_zs'!$B$2,[1]ratio_ins!$B:$B,0))*$G455*INDEX([1]ratio_ins!$C:$C,MATCH('001_population_health_zone_zs'!$B455,[1]ratio_ins!$B:$B,0))</f>
        <v>2307.3335999999999</v>
      </c>
      <c r="O455" s="10">
        <f>INDEX([1]ratio_ins!M:M,MATCH('001_population_health_zone_zs'!$B$2,[1]ratio_ins!$B:$B,0))*$G455*INDEX([1]ratio_ins!$C:$C,MATCH('001_population_health_zone_zs'!$B455,[1]ratio_ins!$B:$B,0))</f>
        <v>5003.8560000000007</v>
      </c>
      <c r="P455" s="10">
        <f>INDEX([1]ratio_ins!N:N,MATCH('001_population_health_zone_zs'!$B$2,[1]ratio_ins!$B:$B,0))*$G455*INDEX([1]ratio_ins!$C:$C,MATCH('001_population_health_zone_zs'!$B455,[1]ratio_ins!$B:$B,0))</f>
        <v>4517.37</v>
      </c>
      <c r="Q455" s="10">
        <f>INDEX([1]ratio_ins!O:O,MATCH('001_population_health_zone_zs'!$B$2,[1]ratio_ins!$B:$B,0))*$G455*INDEX([1]ratio_ins!$C:$C,MATCH('001_population_health_zone_zs'!$B455,[1]ratio_ins!$B:$B,0))</f>
        <v>4030.884</v>
      </c>
      <c r="R455" s="10">
        <f>INDEX([1]ratio_ins!P:P,MATCH('001_population_health_zone_zs'!$B$2,[1]ratio_ins!$B:$B,0))*$G455*INDEX([1]ratio_ins!$C:$C,MATCH('001_population_health_zone_zs'!$B455,[1]ratio_ins!$B:$B,0))</f>
        <v>3961.386</v>
      </c>
      <c r="S455" s="10">
        <f>INDEX([1]ratio_ins!Q:Q,MATCH('001_population_health_zone_zs'!$B$2,[1]ratio_ins!$B:$B,0))*$G455*INDEX([1]ratio_ins!$C:$C,MATCH('001_population_health_zone_zs'!$B455,[1]ratio_ins!$B:$B,0))</f>
        <v>3335.904</v>
      </c>
      <c r="T455" s="10">
        <f>INDEX([1]ratio_ins!R:R,MATCH('001_population_health_zone_zs'!$B$2,[1]ratio_ins!$B:$B,0))*$G455*INDEX([1]ratio_ins!$C:$C,MATCH('001_population_health_zone_zs'!$B455,[1]ratio_ins!$B:$B,0))</f>
        <v>2362.9320000000002</v>
      </c>
      <c r="U455" s="10">
        <f>INDEX([1]ratio_ins!S:S,MATCH('001_population_health_zone_zs'!$B$2,[1]ratio_ins!$B:$B,0))*$G455*INDEX([1]ratio_ins!$C:$C,MATCH('001_population_health_zone_zs'!$B455,[1]ratio_ins!$B:$B,0))</f>
        <v>1876.4460000000004</v>
      </c>
      <c r="V455" s="10">
        <f>INDEX([1]ratio_ins!T:T,MATCH('001_population_health_zone_zs'!$B$2,[1]ratio_ins!$B:$B,0))*$G455*INDEX([1]ratio_ins!$C:$C,MATCH('001_population_health_zone_zs'!$B455,[1]ratio_ins!$B:$B,0))</f>
        <v>1042.47</v>
      </c>
      <c r="W455" s="11">
        <f>INDEX([1]ratio_ins!U:U,MATCH('001_population_health_zone_zs'!$B$2,[1]ratio_ins!$B:$B,0))*$G455*INDEX([1]ratio_ins!$C:$C,MATCH('001_population_health_zone_zs'!$B455,[1]ratio_ins!$B:$B,0))</f>
        <v>28438.581600000001</v>
      </c>
      <c r="X455" s="10">
        <f>INDEX([1]ratio_ins!V:V,MATCH('001_population_health_zone_zs'!$B$2,[1]ratio_ins!$B:$B,0))*$G455*INDEX([1]ratio_ins!$C:$C,MATCH('001_population_health_zone_zs'!$B455,[1]ratio_ins!$B:$B,0))</f>
        <v>833.976</v>
      </c>
      <c r="Y455" s="10">
        <f>INDEX([1]ratio_ins!W:W,MATCH('001_population_health_zone_zs'!$B$2,[1]ratio_ins!$B:$B,0))*$G455*INDEX([1]ratio_ins!$C:$C,MATCH('001_population_health_zone_zs'!$B455,[1]ratio_ins!$B:$B,0))</f>
        <v>555.98400000000004</v>
      </c>
      <c r="Z455" s="10">
        <f>INDEX([1]ratio_ins!X:X,MATCH('001_population_health_zone_zs'!$B$2,[1]ratio_ins!$B:$B,0))*$G455*INDEX([1]ratio_ins!$C:$C,MATCH('001_population_health_zone_zs'!$B455,[1]ratio_ins!$B:$B,0))</f>
        <v>277.99200000000002</v>
      </c>
      <c r="AA455" s="10">
        <f>INDEX([1]ratio_ins!Y:Y,MATCH('001_population_health_zone_zs'!$B$2,[1]ratio_ins!$B:$B,0))*$G455*INDEX([1]ratio_ins!$C:$C,MATCH('001_population_health_zone_zs'!$B455,[1]ratio_ins!$B:$B,0))</f>
        <v>138.99600000000001</v>
      </c>
      <c r="AB455" s="11">
        <f>INDEX([1]ratio_ins!Z:Z,MATCH('001_population_health_zone_zs'!$B$2,[1]ratio_ins!$B:$B,0))*$G455*INDEX([1]ratio_ins!$C:$C,MATCH('001_population_health_zone_zs'!$B455,[1]ratio_ins!$B:$B,0))</f>
        <v>1806.9480000000003</v>
      </c>
      <c r="AC455" s="12">
        <f t="shared" si="42"/>
        <v>69498</v>
      </c>
      <c r="AD455" s="10">
        <f>INDEX([1]ratio_ins!AA:AA,MATCH('001_population_health_zone_zs'!$B$2,[1]ratio_ins!$B:$B,0))*$G455*INDEX([1]ratio_ins!$D:$D,MATCH('001_population_health_zone_zs'!$B455,[1]ratio_ins!$B:$B,0))</f>
        <v>14889.42</v>
      </c>
      <c r="AE455" s="10">
        <f>INDEX([1]ratio_ins!AB:AB,MATCH('001_population_health_zone_zs'!$B$2,[1]ratio_ins!$B:$B,0))*$G455*INDEX([1]ratio_ins!$D:$D,MATCH('001_population_health_zone_zs'!$B455,[1]ratio_ins!$B:$B,0))</f>
        <v>12266.046</v>
      </c>
      <c r="AF455" s="10">
        <f>INDEX([1]ratio_ins!AC:AC,MATCH('001_population_health_zone_zs'!$B$2,[1]ratio_ins!$B:$B,0))*$G455*INDEX([1]ratio_ins!$D:$D,MATCH('001_population_health_zone_zs'!$B455,[1]ratio_ins!$B:$B,0))</f>
        <v>9713.5740000000005</v>
      </c>
      <c r="AG455" s="10">
        <f>INDEX([1]ratio_ins!AD:AD,MATCH('001_population_health_zone_zs'!$B$2,[1]ratio_ins!$B:$B,0))*$G455*INDEX([1]ratio_ins!$D:$D,MATCH('001_population_health_zone_zs'!$B455,[1]ratio_ins!$B:$B,0))</f>
        <v>5884.866</v>
      </c>
      <c r="AH455" s="10">
        <f>INDEX([1]ratio_ins!AE:AE,MATCH('001_population_health_zone_zs'!$B$2,[1]ratio_ins!$B:$B,0))*$G455*INDEX([1]ratio_ins!$D:$D,MATCH('001_population_health_zone_zs'!$B455,[1]ratio_ins!$B:$B,0))</f>
        <v>3530.9195999999997</v>
      </c>
      <c r="AI455" s="13">
        <f>INDEX([1]ratio_ins!AF:AF,MATCH('001_population_health_zone_zs'!$B$2,[1]ratio_ins!$B:$B,0))*$G455*INDEX([1]ratio_ins!$D:$D,MATCH('001_population_health_zone_zs'!$B455,[1]ratio_ins!$B:$B,0))</f>
        <v>40399.959600000002</v>
      </c>
      <c r="AJ455" s="10">
        <f>INDEX([1]ratio_ins!AG:AG,MATCH('001_population_health_zone_zs'!$B$2,[1]ratio_ins!$B:$B,0))*$G455*INDEX([1]ratio_ins!$D:$D,MATCH('001_population_health_zone_zs'!$B455,[1]ratio_ins!$B:$B,0))</f>
        <v>2353.9463999999998</v>
      </c>
      <c r="AK455" s="10">
        <f>INDEX([1]ratio_ins!AH:AH,MATCH('001_population_health_zone_zs'!$B$2,[1]ratio_ins!$B:$B,0))*$G455*INDEX([1]ratio_ins!$D:$D,MATCH('001_population_health_zone_zs'!$B455,[1]ratio_ins!$B:$B,0))</f>
        <v>5246.7480000000014</v>
      </c>
      <c r="AL455" s="10">
        <f>INDEX([1]ratio_ins!AI:AI,MATCH('001_population_health_zone_zs'!$B$2,[1]ratio_ins!$B:$B,0))*$G455*INDEX([1]ratio_ins!$D:$D,MATCH('001_population_health_zone_zs'!$B455,[1]ratio_ins!$B:$B,0))</f>
        <v>4963.1400000000012</v>
      </c>
      <c r="AM455" s="10">
        <f>INDEX([1]ratio_ins!AJ:AJ,MATCH('001_population_health_zone_zs'!$B$2,[1]ratio_ins!$B:$B,0))*$G455*INDEX([1]ratio_ins!$D:$D,MATCH('001_population_health_zone_zs'!$B455,[1]ratio_ins!$B:$B,0))</f>
        <v>4537.7280000000001</v>
      </c>
      <c r="AN455" s="10">
        <f>INDEX([1]ratio_ins!AK:AK,MATCH('001_population_health_zone_zs'!$B$2,[1]ratio_ins!$B:$B,0))*$G455*INDEX([1]ratio_ins!$D:$D,MATCH('001_population_health_zone_zs'!$B455,[1]ratio_ins!$B:$B,0))</f>
        <v>4254.12</v>
      </c>
      <c r="AO455" s="10">
        <f>INDEX([1]ratio_ins!AL:AL,MATCH('001_population_health_zone_zs'!$B$2,[1]ratio_ins!$B:$B,0))*$G455*INDEX([1]ratio_ins!$D:$D,MATCH('001_population_health_zone_zs'!$B455,[1]ratio_ins!$B:$B,0))</f>
        <v>3190.59</v>
      </c>
      <c r="AP455" s="10">
        <f>INDEX([1]ratio_ins!AM:AM,MATCH('001_population_health_zone_zs'!$B$2,[1]ratio_ins!$B:$B,0))*$G455*INDEX([1]ratio_ins!$D:$D,MATCH('001_population_health_zone_zs'!$B455,[1]ratio_ins!$B:$B,0))</f>
        <v>2056.1579999999999</v>
      </c>
      <c r="AQ455" s="10">
        <f>INDEX([1]ratio_ins!AN:AN,MATCH('001_population_health_zone_zs'!$B$2,[1]ratio_ins!$B:$B,0))*$G455*INDEX([1]ratio_ins!$D:$D,MATCH('001_population_health_zone_zs'!$B455,[1]ratio_ins!$B:$B,0))</f>
        <v>1630.7459999999999</v>
      </c>
      <c r="AR455" s="10">
        <f>INDEX([1]ratio_ins!AO:AO,MATCH('001_population_health_zone_zs'!$B$2,[1]ratio_ins!$B:$B,0))*$G455*INDEX([1]ratio_ins!$D:$D,MATCH('001_population_health_zone_zs'!$B455,[1]ratio_ins!$B:$B,0))</f>
        <v>779.92200000000003</v>
      </c>
      <c r="AS455" s="13">
        <f>INDEX([1]ratio_ins!AP:AP,MATCH('001_population_health_zone_zs'!$B$2,[1]ratio_ins!$B:$B,0))*$G455*INDEX([1]ratio_ins!$D:$D,MATCH('001_population_health_zone_zs'!$B455,[1]ratio_ins!$B:$B,0))</f>
        <v>29013.098399999999</v>
      </c>
      <c r="AT455" s="10">
        <f>INDEX([1]ratio_ins!AQ:AQ,MATCH('001_population_health_zone_zs'!$B$2,[1]ratio_ins!$B:$B,0))*$G455*INDEX([1]ratio_ins!$D:$D,MATCH('001_population_health_zone_zs'!$B455,[1]ratio_ins!$B:$B,0))</f>
        <v>709.02</v>
      </c>
      <c r="AU455" s="10">
        <f>INDEX([1]ratio_ins!AR:AR,MATCH('001_population_health_zone_zs'!$B$2,[1]ratio_ins!$B:$B,0))*$G455*INDEX([1]ratio_ins!$D:$D,MATCH('001_population_health_zone_zs'!$B455,[1]ratio_ins!$B:$B,0))</f>
        <v>425.41199999999998</v>
      </c>
      <c r="AV455" s="10">
        <f>INDEX([1]ratio_ins!AS:AS,MATCH('001_population_health_zone_zs'!$B$2,[1]ratio_ins!$B:$B,0))*$G455*INDEX([1]ratio_ins!$D:$D,MATCH('001_population_health_zone_zs'!$B455,[1]ratio_ins!$B:$B,0))</f>
        <v>212.70599999999999</v>
      </c>
      <c r="AW455" s="10">
        <f>INDEX([1]ratio_ins!AT:AT,MATCH('001_population_health_zone_zs'!$B$2,[1]ratio_ins!$B:$B,0))*$G455*INDEX([1]ratio_ins!$D:$D,MATCH('001_population_health_zone_zs'!$B455,[1]ratio_ins!$B:$B,0))</f>
        <v>141.804</v>
      </c>
      <c r="AX455" s="13">
        <f>INDEX([1]ratio_ins!AU:AU,MATCH('001_population_health_zone_zs'!$B$2,[1]ratio_ins!$B:$B,0))*$G455*INDEX([1]ratio_ins!$D:$D,MATCH('001_population_health_zone_zs'!$B455,[1]ratio_ins!$B:$B,0))</f>
        <v>1488.9419999999998</v>
      </c>
      <c r="AY455" s="14">
        <f t="shared" si="43"/>
        <v>70902</v>
      </c>
      <c r="AZ455" s="15">
        <f t="shared" si="44"/>
        <v>140400</v>
      </c>
      <c r="BA455" s="16">
        <v>134512.99862991046</v>
      </c>
      <c r="BB455" s="10">
        <f t="shared" si="45"/>
        <v>30133.350000000002</v>
      </c>
      <c r="BC455" s="17">
        <f t="shared" si="46"/>
        <v>0.21462500000000001</v>
      </c>
      <c r="BD455" s="10">
        <f t="shared" si="47"/>
        <v>28980.665999999994</v>
      </c>
    </row>
    <row r="456" spans="1:56" x14ac:dyDescent="0.25">
      <c r="A456" s="8" t="s">
        <v>1087</v>
      </c>
      <c r="B456" s="8" t="s">
        <v>1088</v>
      </c>
      <c r="C456" s="8" t="s">
        <v>1121</v>
      </c>
      <c r="D456" s="8" t="s">
        <v>1122</v>
      </c>
      <c r="E456" s="8" t="s">
        <v>1123</v>
      </c>
      <c r="F456" s="8" t="s">
        <v>1124</v>
      </c>
      <c r="G456" s="9">
        <v>173647</v>
      </c>
      <c r="H456" s="10">
        <f>INDEX([1]ratio_ins!F:F,MATCH('001_population_health_zone_zs'!$B$2,[1]ratio_ins!$B:$B,0))*$G456*INDEX([1]ratio_ins!$C:$C,MATCH('001_population_health_zone_zs'!$B456,[1]ratio_ins!$B:$B,0))</f>
        <v>17964.650384999997</v>
      </c>
      <c r="I456" s="10">
        <f>INDEX([1]ratio_ins!G:G,MATCH('001_population_health_zone_zs'!$B$2,[1]ratio_ins!$B:$B,0))*$G456*INDEX([1]ratio_ins!$C:$C,MATCH('001_population_health_zone_zs'!$B456,[1]ratio_ins!$B:$B,0))</f>
        <v>14698.350315000002</v>
      </c>
      <c r="J456" s="10">
        <f>INDEX([1]ratio_ins!H:H,MATCH('001_population_health_zone_zs'!$B$2,[1]ratio_ins!$B:$B,0))*$G456*INDEX([1]ratio_ins!$C:$C,MATCH('001_population_health_zone_zs'!$B456,[1]ratio_ins!$B:$B,0))</f>
        <v>11603.960775000001</v>
      </c>
      <c r="K456" s="10">
        <f>INDEX([1]ratio_ins!I:I,MATCH('001_population_health_zone_zs'!$B$2,[1]ratio_ins!$B:$B,0))*$G456*INDEX([1]ratio_ins!$C:$C,MATCH('001_population_health_zone_zs'!$B456,[1]ratio_ins!$B:$B,0))</f>
        <v>7134.2869950000004</v>
      </c>
      <c r="L456" s="10">
        <f>INDEX([1]ratio_ins!J:J,MATCH('001_population_health_zone_zs'!$B$2,[1]ratio_ins!$B:$B,0))*$G456*INDEX([1]ratio_ins!$C:$C,MATCH('001_population_health_zone_zs'!$B456,[1]ratio_ins!$B:$B,0))</f>
        <v>4280.5721970000004</v>
      </c>
      <c r="M456" s="11">
        <f>INDEX([1]ratio_ins!K:K,MATCH('001_population_health_zone_zs'!$B$2,[1]ratio_ins!$B:$B,0))*$G456*INDEX([1]ratio_ins!$C:$C,MATCH('001_population_health_zone_zs'!$B456,[1]ratio_ins!$B:$B,0))</f>
        <v>48547.533671999998</v>
      </c>
      <c r="N456" s="10">
        <f>INDEX([1]ratio_ins!L:L,MATCH('001_population_health_zone_zs'!$B$2,[1]ratio_ins!$B:$B,0))*$G456*INDEX([1]ratio_ins!$C:$C,MATCH('001_population_health_zone_zs'!$B456,[1]ratio_ins!$B:$B,0))</f>
        <v>2853.714798</v>
      </c>
      <c r="O456" s="10">
        <f>INDEX([1]ratio_ins!M:M,MATCH('001_population_health_zone_zs'!$B$2,[1]ratio_ins!$B:$B,0))*$G456*INDEX([1]ratio_ins!$C:$C,MATCH('001_population_health_zone_zs'!$B456,[1]ratio_ins!$B:$B,0))</f>
        <v>6188.7790800000002</v>
      </c>
      <c r="P456" s="10">
        <f>INDEX([1]ratio_ins!N:N,MATCH('001_population_health_zone_zs'!$B$2,[1]ratio_ins!$B:$B,0))*$G456*INDEX([1]ratio_ins!$C:$C,MATCH('001_population_health_zone_zs'!$B456,[1]ratio_ins!$B:$B,0))</f>
        <v>5587.0922250000003</v>
      </c>
      <c r="Q456" s="10">
        <f>INDEX([1]ratio_ins!O:O,MATCH('001_population_health_zone_zs'!$B$2,[1]ratio_ins!$B:$B,0))*$G456*INDEX([1]ratio_ins!$C:$C,MATCH('001_population_health_zone_zs'!$B456,[1]ratio_ins!$B:$B,0))</f>
        <v>4985.4053699999995</v>
      </c>
      <c r="R456" s="10">
        <f>INDEX([1]ratio_ins!P:P,MATCH('001_population_health_zone_zs'!$B$2,[1]ratio_ins!$B:$B,0))*$G456*INDEX([1]ratio_ins!$C:$C,MATCH('001_population_health_zone_zs'!$B456,[1]ratio_ins!$B:$B,0))</f>
        <v>4899.4501050000008</v>
      </c>
      <c r="S456" s="10">
        <f>INDEX([1]ratio_ins!Q:Q,MATCH('001_population_health_zone_zs'!$B$2,[1]ratio_ins!$B:$B,0))*$G456*INDEX([1]ratio_ins!$C:$C,MATCH('001_population_health_zone_zs'!$B456,[1]ratio_ins!$B:$B,0))</f>
        <v>4125.8527199999999</v>
      </c>
      <c r="T456" s="10">
        <f>INDEX([1]ratio_ins!R:R,MATCH('001_population_health_zone_zs'!$B$2,[1]ratio_ins!$B:$B,0))*$G456*INDEX([1]ratio_ins!$C:$C,MATCH('001_population_health_zone_zs'!$B456,[1]ratio_ins!$B:$B,0))</f>
        <v>2922.47901</v>
      </c>
      <c r="U456" s="10">
        <f>INDEX([1]ratio_ins!S:S,MATCH('001_population_health_zone_zs'!$B$2,[1]ratio_ins!$B:$B,0))*$G456*INDEX([1]ratio_ins!$C:$C,MATCH('001_population_health_zone_zs'!$B456,[1]ratio_ins!$B:$B,0))</f>
        <v>2320.7921550000005</v>
      </c>
      <c r="V456" s="10">
        <f>INDEX([1]ratio_ins!T:T,MATCH('001_population_health_zone_zs'!$B$2,[1]ratio_ins!$B:$B,0))*$G456*INDEX([1]ratio_ins!$C:$C,MATCH('001_population_health_zone_zs'!$B456,[1]ratio_ins!$B:$B,0))</f>
        <v>1289.3289749999999</v>
      </c>
      <c r="W456" s="11">
        <f>INDEX([1]ratio_ins!U:U,MATCH('001_population_health_zone_zs'!$B$2,[1]ratio_ins!$B:$B,0))*$G456*INDEX([1]ratio_ins!$C:$C,MATCH('001_population_health_zone_zs'!$B456,[1]ratio_ins!$B:$B,0))</f>
        <v>35172.894438000003</v>
      </c>
      <c r="X456" s="10">
        <f>INDEX([1]ratio_ins!V:V,MATCH('001_population_health_zone_zs'!$B$2,[1]ratio_ins!$B:$B,0))*$G456*INDEX([1]ratio_ins!$C:$C,MATCH('001_population_health_zone_zs'!$B456,[1]ratio_ins!$B:$B,0))</f>
        <v>1031.46318</v>
      </c>
      <c r="Y456" s="10">
        <f>INDEX([1]ratio_ins!W:W,MATCH('001_population_health_zone_zs'!$B$2,[1]ratio_ins!$B:$B,0))*$G456*INDEX([1]ratio_ins!$C:$C,MATCH('001_population_health_zone_zs'!$B456,[1]ratio_ins!$B:$B,0))</f>
        <v>687.64211999999998</v>
      </c>
      <c r="Z456" s="10">
        <f>INDEX([1]ratio_ins!X:X,MATCH('001_population_health_zone_zs'!$B$2,[1]ratio_ins!$B:$B,0))*$G456*INDEX([1]ratio_ins!$C:$C,MATCH('001_population_health_zone_zs'!$B456,[1]ratio_ins!$B:$B,0))</f>
        <v>343.82105999999999</v>
      </c>
      <c r="AA456" s="10">
        <f>INDEX([1]ratio_ins!Y:Y,MATCH('001_population_health_zone_zs'!$B$2,[1]ratio_ins!$B:$B,0))*$G456*INDEX([1]ratio_ins!$C:$C,MATCH('001_population_health_zone_zs'!$B456,[1]ratio_ins!$B:$B,0))</f>
        <v>171.91052999999999</v>
      </c>
      <c r="AB456" s="11">
        <f>INDEX([1]ratio_ins!Z:Z,MATCH('001_population_health_zone_zs'!$B$2,[1]ratio_ins!$B:$B,0))*$G456*INDEX([1]ratio_ins!$C:$C,MATCH('001_population_health_zone_zs'!$B456,[1]ratio_ins!$B:$B,0))</f>
        <v>2234.83689</v>
      </c>
      <c r="AC456" s="12">
        <f t="shared" si="42"/>
        <v>85955.265000000014</v>
      </c>
      <c r="AD456" s="10">
        <f>INDEX([1]ratio_ins!AA:AA,MATCH('001_population_health_zone_zs'!$B$2,[1]ratio_ins!$B:$B,0))*$G456*INDEX([1]ratio_ins!$D:$D,MATCH('001_population_health_zone_zs'!$B456,[1]ratio_ins!$B:$B,0))</f>
        <v>18415.264349999998</v>
      </c>
      <c r="AE456" s="10">
        <f>INDEX([1]ratio_ins!AB:AB,MATCH('001_population_health_zone_zs'!$B$2,[1]ratio_ins!$B:$B,0))*$G456*INDEX([1]ratio_ins!$D:$D,MATCH('001_population_health_zone_zs'!$B456,[1]ratio_ins!$B:$B,0))</f>
        <v>15170.670155000002</v>
      </c>
      <c r="AF456" s="10">
        <f>INDEX([1]ratio_ins!AC:AC,MATCH('001_population_health_zone_zs'!$B$2,[1]ratio_ins!$B:$B,0))*$G456*INDEX([1]ratio_ins!$D:$D,MATCH('001_population_health_zone_zs'!$B456,[1]ratio_ins!$B:$B,0))</f>
        <v>12013.767694999999</v>
      </c>
      <c r="AG456" s="10">
        <f>INDEX([1]ratio_ins!AD:AD,MATCH('001_population_health_zone_zs'!$B$2,[1]ratio_ins!$B:$B,0))*$G456*INDEX([1]ratio_ins!$D:$D,MATCH('001_population_health_zone_zs'!$B456,[1]ratio_ins!$B:$B,0))</f>
        <v>7278.4140050000005</v>
      </c>
      <c r="AH456" s="10">
        <f>INDEX([1]ratio_ins!AE:AE,MATCH('001_population_health_zone_zs'!$B$2,[1]ratio_ins!$B:$B,0))*$G456*INDEX([1]ratio_ins!$D:$D,MATCH('001_population_health_zone_zs'!$B456,[1]ratio_ins!$B:$B,0))</f>
        <v>4367.0484029999998</v>
      </c>
      <c r="AI456" s="13">
        <f>INDEX([1]ratio_ins!AF:AF,MATCH('001_population_health_zone_zs'!$B$2,[1]ratio_ins!$B:$B,0))*$G456*INDEX([1]ratio_ins!$D:$D,MATCH('001_population_health_zone_zs'!$B456,[1]ratio_ins!$B:$B,0))</f>
        <v>49966.750603</v>
      </c>
      <c r="AJ456" s="10">
        <f>INDEX([1]ratio_ins!AG:AG,MATCH('001_population_health_zone_zs'!$B$2,[1]ratio_ins!$B:$B,0))*$G456*INDEX([1]ratio_ins!$D:$D,MATCH('001_population_health_zone_zs'!$B456,[1]ratio_ins!$B:$B,0))</f>
        <v>2911.3656019999999</v>
      </c>
      <c r="AK456" s="10">
        <f>INDEX([1]ratio_ins!AH:AH,MATCH('001_population_health_zone_zs'!$B$2,[1]ratio_ins!$B:$B,0))*$G456*INDEX([1]ratio_ins!$D:$D,MATCH('001_population_health_zone_zs'!$B456,[1]ratio_ins!$B:$B,0))</f>
        <v>6489.1883900000012</v>
      </c>
      <c r="AL456" s="10">
        <f>INDEX([1]ratio_ins!AI:AI,MATCH('001_population_health_zone_zs'!$B$2,[1]ratio_ins!$B:$B,0))*$G456*INDEX([1]ratio_ins!$D:$D,MATCH('001_population_health_zone_zs'!$B456,[1]ratio_ins!$B:$B,0))</f>
        <v>6138.4214500000007</v>
      </c>
      <c r="AM456" s="10">
        <f>INDEX([1]ratio_ins!AJ:AJ,MATCH('001_population_health_zone_zs'!$B$2,[1]ratio_ins!$B:$B,0))*$G456*INDEX([1]ratio_ins!$D:$D,MATCH('001_population_health_zone_zs'!$B456,[1]ratio_ins!$B:$B,0))</f>
        <v>5612.2710399999996</v>
      </c>
      <c r="AN456" s="10">
        <f>INDEX([1]ratio_ins!AK:AK,MATCH('001_population_health_zone_zs'!$B$2,[1]ratio_ins!$B:$B,0))*$G456*INDEX([1]ratio_ins!$D:$D,MATCH('001_population_health_zone_zs'!$B456,[1]ratio_ins!$B:$B,0))</f>
        <v>5261.5041000000001</v>
      </c>
      <c r="AO456" s="10">
        <f>INDEX([1]ratio_ins!AL:AL,MATCH('001_population_health_zone_zs'!$B$2,[1]ratio_ins!$B:$B,0))*$G456*INDEX([1]ratio_ins!$D:$D,MATCH('001_population_health_zone_zs'!$B456,[1]ratio_ins!$B:$B,0))</f>
        <v>3946.1280750000001</v>
      </c>
      <c r="AP456" s="10">
        <f>INDEX([1]ratio_ins!AM:AM,MATCH('001_population_health_zone_zs'!$B$2,[1]ratio_ins!$B:$B,0))*$G456*INDEX([1]ratio_ins!$D:$D,MATCH('001_population_health_zone_zs'!$B456,[1]ratio_ins!$B:$B,0))</f>
        <v>2543.0603150000002</v>
      </c>
      <c r="AQ456" s="10">
        <f>INDEX([1]ratio_ins!AN:AN,MATCH('001_population_health_zone_zs'!$B$2,[1]ratio_ins!$B:$B,0))*$G456*INDEX([1]ratio_ins!$D:$D,MATCH('001_population_health_zone_zs'!$B456,[1]ratio_ins!$B:$B,0))</f>
        <v>2016.909905</v>
      </c>
      <c r="AR456" s="10">
        <f>INDEX([1]ratio_ins!AO:AO,MATCH('001_population_health_zone_zs'!$B$2,[1]ratio_ins!$B:$B,0))*$G456*INDEX([1]ratio_ins!$D:$D,MATCH('001_population_health_zone_zs'!$B456,[1]ratio_ins!$B:$B,0))</f>
        <v>964.60908500000005</v>
      </c>
      <c r="AS456" s="13">
        <f>INDEX([1]ratio_ins!AP:AP,MATCH('001_population_health_zone_zs'!$B$2,[1]ratio_ins!$B:$B,0))*$G456*INDEX([1]ratio_ins!$D:$D,MATCH('001_population_health_zone_zs'!$B456,[1]ratio_ins!$B:$B,0))</f>
        <v>35883.457962</v>
      </c>
      <c r="AT456" s="10">
        <f>INDEX([1]ratio_ins!AQ:AQ,MATCH('001_population_health_zone_zs'!$B$2,[1]ratio_ins!$B:$B,0))*$G456*INDEX([1]ratio_ins!$D:$D,MATCH('001_population_health_zone_zs'!$B456,[1]ratio_ins!$B:$B,0))</f>
        <v>876.91735000000006</v>
      </c>
      <c r="AU456" s="10">
        <f>INDEX([1]ratio_ins!AR:AR,MATCH('001_population_health_zone_zs'!$B$2,[1]ratio_ins!$B:$B,0))*$G456*INDEX([1]ratio_ins!$D:$D,MATCH('001_population_health_zone_zs'!$B456,[1]ratio_ins!$B:$B,0))</f>
        <v>526.15041000000008</v>
      </c>
      <c r="AV456" s="10">
        <f>INDEX([1]ratio_ins!AS:AS,MATCH('001_population_health_zone_zs'!$B$2,[1]ratio_ins!$B:$B,0))*$G456*INDEX([1]ratio_ins!$D:$D,MATCH('001_population_health_zone_zs'!$B456,[1]ratio_ins!$B:$B,0))</f>
        <v>263.07520500000004</v>
      </c>
      <c r="AW456" s="10">
        <f>INDEX([1]ratio_ins!AT:AT,MATCH('001_population_health_zone_zs'!$B$2,[1]ratio_ins!$B:$B,0))*$G456*INDEX([1]ratio_ins!$D:$D,MATCH('001_population_health_zone_zs'!$B456,[1]ratio_ins!$B:$B,0))</f>
        <v>175.38346999999999</v>
      </c>
      <c r="AX456" s="13">
        <f>INDEX([1]ratio_ins!AU:AU,MATCH('001_population_health_zone_zs'!$B$2,[1]ratio_ins!$B:$B,0))*$G456*INDEX([1]ratio_ins!$D:$D,MATCH('001_population_health_zone_zs'!$B456,[1]ratio_ins!$B:$B,0))</f>
        <v>1841.5264349999998</v>
      </c>
      <c r="AY456" s="14">
        <f t="shared" si="43"/>
        <v>87691.735000000015</v>
      </c>
      <c r="AZ456" s="15">
        <f t="shared" si="44"/>
        <v>173647.00000000003</v>
      </c>
      <c r="BA456" s="16">
        <v>166365.89015382424</v>
      </c>
      <c r="BB456" s="10">
        <f t="shared" si="45"/>
        <v>37268.987375000004</v>
      </c>
      <c r="BC456" s="17">
        <f t="shared" si="46"/>
        <v>0.21462500000000004</v>
      </c>
      <c r="BD456" s="10">
        <f t="shared" si="47"/>
        <v>35843.345505000005</v>
      </c>
    </row>
    <row r="457" spans="1:56" x14ac:dyDescent="0.25">
      <c r="A457" s="8" t="s">
        <v>1087</v>
      </c>
      <c r="B457" s="8" t="s">
        <v>1088</v>
      </c>
      <c r="C457" s="8" t="s">
        <v>1125</v>
      </c>
      <c r="D457" s="8" t="s">
        <v>1126</v>
      </c>
      <c r="E457" s="8" t="s">
        <v>1127</v>
      </c>
      <c r="F457" s="8" t="s">
        <v>1128</v>
      </c>
      <c r="G457" s="9">
        <v>113903</v>
      </c>
      <c r="H457" s="10">
        <f>INDEX([1]ratio_ins!F:F,MATCH('001_population_health_zone_zs'!$B$2,[1]ratio_ins!$B:$B,0))*$G457*INDEX([1]ratio_ins!$C:$C,MATCH('001_population_health_zone_zs'!$B457,[1]ratio_ins!$B:$B,0))</f>
        <v>11783.834864999999</v>
      </c>
      <c r="I457" s="10">
        <f>INDEX([1]ratio_ins!G:G,MATCH('001_population_health_zone_zs'!$B$2,[1]ratio_ins!$B:$B,0))*$G457*INDEX([1]ratio_ins!$C:$C,MATCH('001_population_health_zone_zs'!$B457,[1]ratio_ins!$B:$B,0))</f>
        <v>9641.3194349999994</v>
      </c>
      <c r="J457" s="10">
        <f>INDEX([1]ratio_ins!H:H,MATCH('001_population_health_zone_zs'!$B$2,[1]ratio_ins!$B:$B,0))*$G457*INDEX([1]ratio_ins!$C:$C,MATCH('001_population_health_zone_zs'!$B457,[1]ratio_ins!$B:$B,0))</f>
        <v>7611.5679749999999</v>
      </c>
      <c r="K457" s="10">
        <f>INDEX([1]ratio_ins!I:I,MATCH('001_population_health_zone_zs'!$B$2,[1]ratio_ins!$B:$B,0))*$G457*INDEX([1]ratio_ins!$C:$C,MATCH('001_population_health_zone_zs'!$B457,[1]ratio_ins!$B:$B,0))</f>
        <v>4679.7047550000007</v>
      </c>
      <c r="L457" s="10">
        <f>INDEX([1]ratio_ins!J:J,MATCH('001_population_health_zone_zs'!$B$2,[1]ratio_ins!$B:$B,0))*$G457*INDEX([1]ratio_ins!$C:$C,MATCH('001_population_health_zone_zs'!$B457,[1]ratio_ins!$B:$B,0))</f>
        <v>2807.8228529999997</v>
      </c>
      <c r="M457" s="11">
        <f>INDEX([1]ratio_ins!K:K,MATCH('001_population_health_zone_zs'!$B$2,[1]ratio_ins!$B:$B,0))*$G457*INDEX([1]ratio_ins!$C:$C,MATCH('001_population_health_zone_zs'!$B457,[1]ratio_ins!$B:$B,0))</f>
        <v>31844.545127999998</v>
      </c>
      <c r="N457" s="10">
        <f>INDEX([1]ratio_ins!L:L,MATCH('001_population_health_zone_zs'!$B$2,[1]ratio_ins!$B:$B,0))*$G457*INDEX([1]ratio_ins!$C:$C,MATCH('001_population_health_zone_zs'!$B457,[1]ratio_ins!$B:$B,0))</f>
        <v>1871.8819020000001</v>
      </c>
      <c r="O457" s="10">
        <f>INDEX([1]ratio_ins!M:M,MATCH('001_population_health_zone_zs'!$B$2,[1]ratio_ins!$B:$B,0))*$G457*INDEX([1]ratio_ins!$C:$C,MATCH('001_population_health_zone_zs'!$B457,[1]ratio_ins!$B:$B,0))</f>
        <v>4059.5029200000008</v>
      </c>
      <c r="P457" s="10">
        <f>INDEX([1]ratio_ins!N:N,MATCH('001_population_health_zone_zs'!$B$2,[1]ratio_ins!$B:$B,0))*$G457*INDEX([1]ratio_ins!$C:$C,MATCH('001_population_health_zone_zs'!$B457,[1]ratio_ins!$B:$B,0))</f>
        <v>3664.8290250000005</v>
      </c>
      <c r="Q457" s="10">
        <f>INDEX([1]ratio_ins!O:O,MATCH('001_population_health_zone_zs'!$B$2,[1]ratio_ins!$B:$B,0))*$G457*INDEX([1]ratio_ins!$C:$C,MATCH('001_population_health_zone_zs'!$B457,[1]ratio_ins!$B:$B,0))</f>
        <v>3270.1551299999996</v>
      </c>
      <c r="R457" s="10">
        <f>INDEX([1]ratio_ins!P:P,MATCH('001_population_health_zone_zs'!$B$2,[1]ratio_ins!$B:$B,0))*$G457*INDEX([1]ratio_ins!$C:$C,MATCH('001_population_health_zone_zs'!$B457,[1]ratio_ins!$B:$B,0))</f>
        <v>3213.7731450000001</v>
      </c>
      <c r="S457" s="10">
        <f>INDEX([1]ratio_ins!Q:Q,MATCH('001_population_health_zone_zs'!$B$2,[1]ratio_ins!$B:$B,0))*$G457*INDEX([1]ratio_ins!$C:$C,MATCH('001_population_health_zone_zs'!$B457,[1]ratio_ins!$B:$B,0))</f>
        <v>2706.3352799999998</v>
      </c>
      <c r="T457" s="10">
        <f>INDEX([1]ratio_ins!R:R,MATCH('001_population_health_zone_zs'!$B$2,[1]ratio_ins!$B:$B,0))*$G457*INDEX([1]ratio_ins!$C:$C,MATCH('001_population_health_zone_zs'!$B457,[1]ratio_ins!$B:$B,0))</f>
        <v>1916.9874900000002</v>
      </c>
      <c r="U457" s="10">
        <f>INDEX([1]ratio_ins!S:S,MATCH('001_population_health_zone_zs'!$B$2,[1]ratio_ins!$B:$B,0))*$G457*INDEX([1]ratio_ins!$C:$C,MATCH('001_population_health_zone_zs'!$B457,[1]ratio_ins!$B:$B,0))</f>
        <v>1522.3135950000001</v>
      </c>
      <c r="V457" s="10">
        <f>INDEX([1]ratio_ins!T:T,MATCH('001_population_health_zone_zs'!$B$2,[1]ratio_ins!$B:$B,0))*$G457*INDEX([1]ratio_ins!$C:$C,MATCH('001_population_health_zone_zs'!$B457,[1]ratio_ins!$B:$B,0))</f>
        <v>845.7297749999999</v>
      </c>
      <c r="W457" s="11">
        <f>INDEX([1]ratio_ins!U:U,MATCH('001_population_health_zone_zs'!$B$2,[1]ratio_ins!$B:$B,0))*$G457*INDEX([1]ratio_ins!$C:$C,MATCH('001_population_health_zone_zs'!$B457,[1]ratio_ins!$B:$B,0))</f>
        <v>23071.508262000003</v>
      </c>
      <c r="X457" s="10">
        <f>INDEX([1]ratio_ins!V:V,MATCH('001_population_health_zone_zs'!$B$2,[1]ratio_ins!$B:$B,0))*$G457*INDEX([1]ratio_ins!$C:$C,MATCH('001_population_health_zone_zs'!$B457,[1]ratio_ins!$B:$B,0))</f>
        <v>676.58381999999995</v>
      </c>
      <c r="Y457" s="10">
        <f>INDEX([1]ratio_ins!W:W,MATCH('001_population_health_zone_zs'!$B$2,[1]ratio_ins!$B:$B,0))*$G457*INDEX([1]ratio_ins!$C:$C,MATCH('001_population_health_zone_zs'!$B457,[1]ratio_ins!$B:$B,0))</f>
        <v>451.05588</v>
      </c>
      <c r="Z457" s="10">
        <f>INDEX([1]ratio_ins!X:X,MATCH('001_population_health_zone_zs'!$B$2,[1]ratio_ins!$B:$B,0))*$G457*INDEX([1]ratio_ins!$C:$C,MATCH('001_population_health_zone_zs'!$B457,[1]ratio_ins!$B:$B,0))</f>
        <v>225.52794</v>
      </c>
      <c r="AA457" s="10">
        <f>INDEX([1]ratio_ins!Y:Y,MATCH('001_population_health_zone_zs'!$B$2,[1]ratio_ins!$B:$B,0))*$G457*INDEX([1]ratio_ins!$C:$C,MATCH('001_population_health_zone_zs'!$B457,[1]ratio_ins!$B:$B,0))</f>
        <v>112.76397</v>
      </c>
      <c r="AB457" s="11">
        <f>INDEX([1]ratio_ins!Z:Z,MATCH('001_population_health_zone_zs'!$B$2,[1]ratio_ins!$B:$B,0))*$G457*INDEX([1]ratio_ins!$C:$C,MATCH('001_population_health_zone_zs'!$B457,[1]ratio_ins!$B:$B,0))</f>
        <v>1465.9316100000001</v>
      </c>
      <c r="AC457" s="12">
        <f t="shared" si="42"/>
        <v>56381.985000000001</v>
      </c>
      <c r="AD457" s="10">
        <f>INDEX([1]ratio_ins!AA:AA,MATCH('001_population_health_zone_zs'!$B$2,[1]ratio_ins!$B:$B,0))*$G457*INDEX([1]ratio_ins!$D:$D,MATCH('001_population_health_zone_zs'!$B457,[1]ratio_ins!$B:$B,0))</f>
        <v>12079.413149999998</v>
      </c>
      <c r="AE457" s="10">
        <f>INDEX([1]ratio_ins!AB:AB,MATCH('001_population_health_zone_zs'!$B$2,[1]ratio_ins!$B:$B,0))*$G457*INDEX([1]ratio_ins!$D:$D,MATCH('001_population_health_zone_zs'!$B457,[1]ratio_ins!$B:$B,0))</f>
        <v>9951.1355949999997</v>
      </c>
      <c r="AF457" s="10">
        <f>INDEX([1]ratio_ins!AC:AC,MATCH('001_population_health_zone_zs'!$B$2,[1]ratio_ins!$B:$B,0))*$G457*INDEX([1]ratio_ins!$D:$D,MATCH('001_population_health_zone_zs'!$B457,[1]ratio_ins!$B:$B,0))</f>
        <v>7880.3790549999985</v>
      </c>
      <c r="AG457" s="10">
        <f>INDEX([1]ratio_ins!AD:AD,MATCH('001_population_health_zone_zs'!$B$2,[1]ratio_ins!$B:$B,0))*$G457*INDEX([1]ratio_ins!$D:$D,MATCH('001_population_health_zone_zs'!$B457,[1]ratio_ins!$B:$B,0))</f>
        <v>4774.2442449999999</v>
      </c>
      <c r="AH457" s="10">
        <f>INDEX([1]ratio_ins!AE:AE,MATCH('001_population_health_zone_zs'!$B$2,[1]ratio_ins!$B:$B,0))*$G457*INDEX([1]ratio_ins!$D:$D,MATCH('001_population_health_zone_zs'!$B457,[1]ratio_ins!$B:$B,0))</f>
        <v>2864.5465469999999</v>
      </c>
      <c r="AI457" s="13">
        <f>INDEX([1]ratio_ins!AF:AF,MATCH('001_population_health_zone_zs'!$B$2,[1]ratio_ins!$B:$B,0))*$G457*INDEX([1]ratio_ins!$D:$D,MATCH('001_population_health_zone_zs'!$B457,[1]ratio_ins!$B:$B,0))</f>
        <v>32775.474346999996</v>
      </c>
      <c r="AJ457" s="10">
        <f>INDEX([1]ratio_ins!AG:AG,MATCH('001_population_health_zone_zs'!$B$2,[1]ratio_ins!$B:$B,0))*$G457*INDEX([1]ratio_ins!$D:$D,MATCH('001_population_health_zone_zs'!$B457,[1]ratio_ins!$B:$B,0))</f>
        <v>1909.6976979999999</v>
      </c>
      <c r="AK457" s="10">
        <f>INDEX([1]ratio_ins!AH:AH,MATCH('001_population_health_zone_zs'!$B$2,[1]ratio_ins!$B:$B,0))*$G457*INDEX([1]ratio_ins!$D:$D,MATCH('001_population_health_zone_zs'!$B457,[1]ratio_ins!$B:$B,0))</f>
        <v>4256.5551100000012</v>
      </c>
      <c r="AL457" s="10">
        <f>INDEX([1]ratio_ins!AI:AI,MATCH('001_population_health_zone_zs'!$B$2,[1]ratio_ins!$B:$B,0))*$G457*INDEX([1]ratio_ins!$D:$D,MATCH('001_population_health_zone_zs'!$B457,[1]ratio_ins!$B:$B,0))</f>
        <v>4026.4710500000006</v>
      </c>
      <c r="AM457" s="10">
        <f>INDEX([1]ratio_ins!AJ:AJ,MATCH('001_population_health_zone_zs'!$B$2,[1]ratio_ins!$B:$B,0))*$G457*INDEX([1]ratio_ins!$D:$D,MATCH('001_population_health_zone_zs'!$B457,[1]ratio_ins!$B:$B,0))</f>
        <v>3681.3449600000004</v>
      </c>
      <c r="AN457" s="10">
        <f>INDEX([1]ratio_ins!AK:AK,MATCH('001_population_health_zone_zs'!$B$2,[1]ratio_ins!$B:$B,0))*$G457*INDEX([1]ratio_ins!$D:$D,MATCH('001_population_health_zone_zs'!$B457,[1]ratio_ins!$B:$B,0))</f>
        <v>3451.2608999999998</v>
      </c>
      <c r="AO457" s="10">
        <f>INDEX([1]ratio_ins!AL:AL,MATCH('001_population_health_zone_zs'!$B$2,[1]ratio_ins!$B:$B,0))*$G457*INDEX([1]ratio_ins!$D:$D,MATCH('001_population_health_zone_zs'!$B457,[1]ratio_ins!$B:$B,0))</f>
        <v>2588.4456749999999</v>
      </c>
      <c r="AP457" s="10">
        <f>INDEX([1]ratio_ins!AM:AM,MATCH('001_population_health_zone_zs'!$B$2,[1]ratio_ins!$B:$B,0))*$G457*INDEX([1]ratio_ins!$D:$D,MATCH('001_population_health_zone_zs'!$B457,[1]ratio_ins!$B:$B,0))</f>
        <v>1668.1094350000001</v>
      </c>
      <c r="AQ457" s="10">
        <f>INDEX([1]ratio_ins!AN:AN,MATCH('001_population_health_zone_zs'!$B$2,[1]ratio_ins!$B:$B,0))*$G457*INDEX([1]ratio_ins!$D:$D,MATCH('001_population_health_zone_zs'!$B457,[1]ratio_ins!$B:$B,0))</f>
        <v>1322.9833449999999</v>
      </c>
      <c r="AR457" s="10">
        <f>INDEX([1]ratio_ins!AO:AO,MATCH('001_population_health_zone_zs'!$B$2,[1]ratio_ins!$B:$B,0))*$G457*INDEX([1]ratio_ins!$D:$D,MATCH('001_population_health_zone_zs'!$B457,[1]ratio_ins!$B:$B,0))</f>
        <v>632.73116500000015</v>
      </c>
      <c r="AS457" s="13">
        <f>INDEX([1]ratio_ins!AP:AP,MATCH('001_population_health_zone_zs'!$B$2,[1]ratio_ins!$B:$B,0))*$G457*INDEX([1]ratio_ins!$D:$D,MATCH('001_population_health_zone_zs'!$B457,[1]ratio_ins!$B:$B,0))</f>
        <v>23537.599338</v>
      </c>
      <c r="AT457" s="10">
        <f>INDEX([1]ratio_ins!AQ:AQ,MATCH('001_population_health_zone_zs'!$B$2,[1]ratio_ins!$B:$B,0))*$G457*INDEX([1]ratio_ins!$D:$D,MATCH('001_population_health_zone_zs'!$B457,[1]ratio_ins!$B:$B,0))</f>
        <v>575.21015</v>
      </c>
      <c r="AU457" s="10">
        <f>INDEX([1]ratio_ins!AR:AR,MATCH('001_population_health_zone_zs'!$B$2,[1]ratio_ins!$B:$B,0))*$G457*INDEX([1]ratio_ins!$D:$D,MATCH('001_population_health_zone_zs'!$B457,[1]ratio_ins!$B:$B,0))</f>
        <v>345.12609000000003</v>
      </c>
      <c r="AV457" s="10">
        <f>INDEX([1]ratio_ins!AS:AS,MATCH('001_population_health_zone_zs'!$B$2,[1]ratio_ins!$B:$B,0))*$G457*INDEX([1]ratio_ins!$D:$D,MATCH('001_population_health_zone_zs'!$B457,[1]ratio_ins!$B:$B,0))</f>
        <v>172.56304500000002</v>
      </c>
      <c r="AW457" s="10">
        <f>INDEX([1]ratio_ins!AT:AT,MATCH('001_population_health_zone_zs'!$B$2,[1]ratio_ins!$B:$B,0))*$G457*INDEX([1]ratio_ins!$D:$D,MATCH('001_population_health_zone_zs'!$B457,[1]ratio_ins!$B:$B,0))</f>
        <v>115.04203000000001</v>
      </c>
      <c r="AX457" s="13">
        <f>INDEX([1]ratio_ins!AU:AU,MATCH('001_population_health_zone_zs'!$B$2,[1]ratio_ins!$B:$B,0))*$G457*INDEX([1]ratio_ins!$D:$D,MATCH('001_population_health_zone_zs'!$B457,[1]ratio_ins!$B:$B,0))</f>
        <v>1207.9413149999998</v>
      </c>
      <c r="AY457" s="14">
        <f t="shared" si="43"/>
        <v>57521.014999999992</v>
      </c>
      <c r="AZ457" s="15">
        <f t="shared" si="44"/>
        <v>113903</v>
      </c>
      <c r="BA457" s="16">
        <v>109126.9435414461</v>
      </c>
      <c r="BB457" s="10">
        <f t="shared" si="45"/>
        <v>24446.431375</v>
      </c>
      <c r="BC457" s="17">
        <f t="shared" si="46"/>
        <v>0.21462500000000001</v>
      </c>
      <c r="BD457" s="10">
        <f t="shared" si="47"/>
        <v>23511.287745000001</v>
      </c>
    </row>
    <row r="458" spans="1:56" x14ac:dyDescent="0.25">
      <c r="A458" s="8" t="s">
        <v>1087</v>
      </c>
      <c r="B458" s="8" t="s">
        <v>1088</v>
      </c>
      <c r="C458" s="8" t="s">
        <v>1125</v>
      </c>
      <c r="D458" s="8" t="s">
        <v>1126</v>
      </c>
      <c r="E458" s="8" t="s">
        <v>1129</v>
      </c>
      <c r="F458" s="8" t="s">
        <v>1130</v>
      </c>
      <c r="G458" s="9">
        <v>183828</v>
      </c>
      <c r="H458" s="10">
        <f>INDEX([1]ratio_ins!F:F,MATCH('001_population_health_zone_zs'!$B$2,[1]ratio_ins!$B:$B,0))*$G458*INDEX([1]ratio_ins!$C:$C,MATCH('001_population_health_zone_zs'!$B458,[1]ratio_ins!$B:$B,0))</f>
        <v>19017.925739999999</v>
      </c>
      <c r="I458" s="10">
        <f>INDEX([1]ratio_ins!G:G,MATCH('001_population_health_zone_zs'!$B$2,[1]ratio_ins!$B:$B,0))*$G458*INDEX([1]ratio_ins!$C:$C,MATCH('001_population_health_zone_zs'!$B458,[1]ratio_ins!$B:$B,0))</f>
        <v>15560.121060000001</v>
      </c>
      <c r="J458" s="10">
        <f>INDEX([1]ratio_ins!H:H,MATCH('001_population_health_zone_zs'!$B$2,[1]ratio_ins!$B:$B,0))*$G458*INDEX([1]ratio_ins!$C:$C,MATCH('001_population_health_zone_zs'!$B458,[1]ratio_ins!$B:$B,0))</f>
        <v>12284.306100000002</v>
      </c>
      <c r="K458" s="10">
        <f>INDEX([1]ratio_ins!I:I,MATCH('001_population_health_zone_zs'!$B$2,[1]ratio_ins!$B:$B,0))*$G458*INDEX([1]ratio_ins!$C:$C,MATCH('001_population_health_zone_zs'!$B458,[1]ratio_ins!$B:$B,0))</f>
        <v>7552.5733799999998</v>
      </c>
      <c r="L458" s="10">
        <f>INDEX([1]ratio_ins!J:J,MATCH('001_population_health_zone_zs'!$B$2,[1]ratio_ins!$B:$B,0))*$G458*INDEX([1]ratio_ins!$C:$C,MATCH('001_population_health_zone_zs'!$B458,[1]ratio_ins!$B:$B,0))</f>
        <v>4531.5440279999993</v>
      </c>
      <c r="M458" s="11">
        <f>INDEX([1]ratio_ins!K:K,MATCH('001_population_health_zone_zs'!$B$2,[1]ratio_ins!$B:$B,0))*$G458*INDEX([1]ratio_ins!$C:$C,MATCH('001_population_health_zone_zs'!$B458,[1]ratio_ins!$B:$B,0))</f>
        <v>51393.896927999995</v>
      </c>
      <c r="N458" s="10">
        <f>INDEX([1]ratio_ins!L:L,MATCH('001_population_health_zone_zs'!$B$2,[1]ratio_ins!$B:$B,0))*$G458*INDEX([1]ratio_ins!$C:$C,MATCH('001_population_health_zone_zs'!$B458,[1]ratio_ins!$B:$B,0))</f>
        <v>3021.029352</v>
      </c>
      <c r="O458" s="10">
        <f>INDEX([1]ratio_ins!M:M,MATCH('001_population_health_zone_zs'!$B$2,[1]ratio_ins!$B:$B,0))*$G458*INDEX([1]ratio_ins!$C:$C,MATCH('001_population_health_zone_zs'!$B458,[1]ratio_ins!$B:$B,0))</f>
        <v>6551.6299200000012</v>
      </c>
      <c r="P458" s="10">
        <f>INDEX([1]ratio_ins!N:N,MATCH('001_population_health_zone_zs'!$B$2,[1]ratio_ins!$B:$B,0))*$G458*INDEX([1]ratio_ins!$C:$C,MATCH('001_population_health_zone_zs'!$B458,[1]ratio_ins!$B:$B,0))</f>
        <v>5914.6659</v>
      </c>
      <c r="Q458" s="10">
        <f>INDEX([1]ratio_ins!O:O,MATCH('001_population_health_zone_zs'!$B$2,[1]ratio_ins!$B:$B,0))*$G458*INDEX([1]ratio_ins!$C:$C,MATCH('001_population_health_zone_zs'!$B458,[1]ratio_ins!$B:$B,0))</f>
        <v>5277.7018799999996</v>
      </c>
      <c r="R458" s="10">
        <f>INDEX([1]ratio_ins!P:P,MATCH('001_population_health_zone_zs'!$B$2,[1]ratio_ins!$B:$B,0))*$G458*INDEX([1]ratio_ins!$C:$C,MATCH('001_population_health_zone_zs'!$B458,[1]ratio_ins!$B:$B,0))</f>
        <v>5186.7070199999998</v>
      </c>
      <c r="S458" s="10">
        <f>INDEX([1]ratio_ins!Q:Q,MATCH('001_population_health_zone_zs'!$B$2,[1]ratio_ins!$B:$B,0))*$G458*INDEX([1]ratio_ins!$C:$C,MATCH('001_population_health_zone_zs'!$B458,[1]ratio_ins!$B:$B,0))</f>
        <v>4367.7532799999999</v>
      </c>
      <c r="T458" s="10">
        <f>INDEX([1]ratio_ins!R:R,MATCH('001_population_health_zone_zs'!$B$2,[1]ratio_ins!$B:$B,0))*$G458*INDEX([1]ratio_ins!$C:$C,MATCH('001_population_health_zone_zs'!$B458,[1]ratio_ins!$B:$B,0))</f>
        <v>3093.8252400000001</v>
      </c>
      <c r="U458" s="10">
        <f>INDEX([1]ratio_ins!S:S,MATCH('001_population_health_zone_zs'!$B$2,[1]ratio_ins!$B:$B,0))*$G458*INDEX([1]ratio_ins!$C:$C,MATCH('001_population_health_zone_zs'!$B458,[1]ratio_ins!$B:$B,0))</f>
        <v>2456.8612200000002</v>
      </c>
      <c r="V458" s="10">
        <f>INDEX([1]ratio_ins!T:T,MATCH('001_population_health_zone_zs'!$B$2,[1]ratio_ins!$B:$B,0))*$G458*INDEX([1]ratio_ins!$C:$C,MATCH('001_population_health_zone_zs'!$B458,[1]ratio_ins!$B:$B,0))</f>
        <v>1364.9229</v>
      </c>
      <c r="W458" s="11">
        <f>INDEX([1]ratio_ins!U:U,MATCH('001_population_health_zone_zs'!$B$2,[1]ratio_ins!$B:$B,0))*$G458*INDEX([1]ratio_ins!$C:$C,MATCH('001_population_health_zone_zs'!$B458,[1]ratio_ins!$B:$B,0))</f>
        <v>37235.096711999999</v>
      </c>
      <c r="X458" s="10">
        <f>INDEX([1]ratio_ins!V:V,MATCH('001_population_health_zone_zs'!$B$2,[1]ratio_ins!$B:$B,0))*$G458*INDEX([1]ratio_ins!$C:$C,MATCH('001_population_health_zone_zs'!$B458,[1]ratio_ins!$B:$B,0))</f>
        <v>1091.93832</v>
      </c>
      <c r="Y458" s="10">
        <f>INDEX([1]ratio_ins!W:W,MATCH('001_population_health_zone_zs'!$B$2,[1]ratio_ins!$B:$B,0))*$G458*INDEX([1]ratio_ins!$C:$C,MATCH('001_population_health_zone_zs'!$B458,[1]ratio_ins!$B:$B,0))</f>
        <v>727.95888000000002</v>
      </c>
      <c r="Z458" s="10">
        <f>INDEX([1]ratio_ins!X:X,MATCH('001_population_health_zone_zs'!$B$2,[1]ratio_ins!$B:$B,0))*$G458*INDEX([1]ratio_ins!$C:$C,MATCH('001_population_health_zone_zs'!$B458,[1]ratio_ins!$B:$B,0))</f>
        <v>363.97944000000001</v>
      </c>
      <c r="AA458" s="10">
        <f>INDEX([1]ratio_ins!Y:Y,MATCH('001_population_health_zone_zs'!$B$2,[1]ratio_ins!$B:$B,0))*$G458*INDEX([1]ratio_ins!$C:$C,MATCH('001_population_health_zone_zs'!$B458,[1]ratio_ins!$B:$B,0))</f>
        <v>181.98972000000001</v>
      </c>
      <c r="AB458" s="11">
        <f>INDEX([1]ratio_ins!Z:Z,MATCH('001_population_health_zone_zs'!$B$2,[1]ratio_ins!$B:$B,0))*$G458*INDEX([1]ratio_ins!$C:$C,MATCH('001_population_health_zone_zs'!$B458,[1]ratio_ins!$B:$B,0))</f>
        <v>2365.86636</v>
      </c>
      <c r="AC458" s="12">
        <f t="shared" si="42"/>
        <v>90994.86</v>
      </c>
      <c r="AD458" s="10">
        <f>INDEX([1]ratio_ins!AA:AA,MATCH('001_population_health_zone_zs'!$B$2,[1]ratio_ins!$B:$B,0))*$G458*INDEX([1]ratio_ins!$D:$D,MATCH('001_population_health_zone_zs'!$B458,[1]ratio_ins!$B:$B,0))</f>
        <v>19494.9594</v>
      </c>
      <c r="AE458" s="10">
        <f>INDEX([1]ratio_ins!AB:AB,MATCH('001_population_health_zone_zs'!$B$2,[1]ratio_ins!$B:$B,0))*$G458*INDEX([1]ratio_ins!$D:$D,MATCH('001_population_health_zone_zs'!$B458,[1]ratio_ins!$B:$B,0))</f>
        <v>16060.133220000002</v>
      </c>
      <c r="AF458" s="10">
        <f>INDEX([1]ratio_ins!AC:AC,MATCH('001_population_health_zone_zs'!$B$2,[1]ratio_ins!$B:$B,0))*$G458*INDEX([1]ratio_ins!$D:$D,MATCH('001_population_health_zone_zs'!$B458,[1]ratio_ins!$B:$B,0))</f>
        <v>12718.140179999999</v>
      </c>
      <c r="AG458" s="10">
        <f>INDEX([1]ratio_ins!AD:AD,MATCH('001_population_health_zone_zs'!$B$2,[1]ratio_ins!$B:$B,0))*$G458*INDEX([1]ratio_ins!$D:$D,MATCH('001_population_health_zone_zs'!$B458,[1]ratio_ins!$B:$B,0))</f>
        <v>7705.1506200000003</v>
      </c>
      <c r="AH458" s="10">
        <f>INDEX([1]ratio_ins!AE:AE,MATCH('001_population_health_zone_zs'!$B$2,[1]ratio_ins!$B:$B,0))*$G458*INDEX([1]ratio_ins!$D:$D,MATCH('001_population_health_zone_zs'!$B458,[1]ratio_ins!$B:$B,0))</f>
        <v>4623.0903719999997</v>
      </c>
      <c r="AI458" s="13">
        <f>INDEX([1]ratio_ins!AF:AF,MATCH('001_population_health_zone_zs'!$B$2,[1]ratio_ins!$B:$B,0))*$G458*INDEX([1]ratio_ins!$D:$D,MATCH('001_population_health_zone_zs'!$B458,[1]ratio_ins!$B:$B,0))</f>
        <v>52896.323171999997</v>
      </c>
      <c r="AJ458" s="10">
        <f>INDEX([1]ratio_ins!AG:AG,MATCH('001_population_health_zone_zs'!$B$2,[1]ratio_ins!$B:$B,0))*$G458*INDEX([1]ratio_ins!$D:$D,MATCH('001_population_health_zone_zs'!$B458,[1]ratio_ins!$B:$B,0))</f>
        <v>3082.0602480000002</v>
      </c>
      <c r="AK458" s="10">
        <f>INDEX([1]ratio_ins!AH:AH,MATCH('001_population_health_zone_zs'!$B$2,[1]ratio_ins!$B:$B,0))*$G458*INDEX([1]ratio_ins!$D:$D,MATCH('001_population_health_zone_zs'!$B458,[1]ratio_ins!$B:$B,0))</f>
        <v>6869.652360000001</v>
      </c>
      <c r="AL458" s="10">
        <f>INDEX([1]ratio_ins!AI:AI,MATCH('001_population_health_zone_zs'!$B$2,[1]ratio_ins!$B:$B,0))*$G458*INDEX([1]ratio_ins!$D:$D,MATCH('001_population_health_zone_zs'!$B458,[1]ratio_ins!$B:$B,0))</f>
        <v>6498.3198000000002</v>
      </c>
      <c r="AM458" s="10">
        <f>INDEX([1]ratio_ins!AJ:AJ,MATCH('001_population_health_zone_zs'!$B$2,[1]ratio_ins!$B:$B,0))*$G458*INDEX([1]ratio_ins!$D:$D,MATCH('001_population_health_zone_zs'!$B458,[1]ratio_ins!$B:$B,0))</f>
        <v>5941.32096</v>
      </c>
      <c r="AN458" s="10">
        <f>INDEX([1]ratio_ins!AK:AK,MATCH('001_population_health_zone_zs'!$B$2,[1]ratio_ins!$B:$B,0))*$G458*INDEX([1]ratio_ins!$D:$D,MATCH('001_population_health_zone_zs'!$B458,[1]ratio_ins!$B:$B,0))</f>
        <v>5569.9884000000002</v>
      </c>
      <c r="AO458" s="10">
        <f>INDEX([1]ratio_ins!AL:AL,MATCH('001_population_health_zone_zs'!$B$2,[1]ratio_ins!$B:$B,0))*$G458*INDEX([1]ratio_ins!$D:$D,MATCH('001_population_health_zone_zs'!$B458,[1]ratio_ins!$B:$B,0))</f>
        <v>4177.4913000000006</v>
      </c>
      <c r="AP458" s="10">
        <f>INDEX([1]ratio_ins!AM:AM,MATCH('001_population_health_zone_zs'!$B$2,[1]ratio_ins!$B:$B,0))*$G458*INDEX([1]ratio_ins!$D:$D,MATCH('001_population_health_zone_zs'!$B458,[1]ratio_ins!$B:$B,0))</f>
        <v>2692.1610599999999</v>
      </c>
      <c r="AQ458" s="10">
        <f>INDEX([1]ratio_ins!AN:AN,MATCH('001_population_health_zone_zs'!$B$2,[1]ratio_ins!$B:$B,0))*$G458*INDEX([1]ratio_ins!$D:$D,MATCH('001_population_health_zone_zs'!$B458,[1]ratio_ins!$B:$B,0))</f>
        <v>2135.1622200000002</v>
      </c>
      <c r="AR458" s="10">
        <f>INDEX([1]ratio_ins!AO:AO,MATCH('001_population_health_zone_zs'!$B$2,[1]ratio_ins!$B:$B,0))*$G458*INDEX([1]ratio_ins!$D:$D,MATCH('001_population_health_zone_zs'!$B458,[1]ratio_ins!$B:$B,0))</f>
        <v>1021.1645400000001</v>
      </c>
      <c r="AS458" s="13">
        <f>INDEX([1]ratio_ins!AP:AP,MATCH('001_population_health_zone_zs'!$B$2,[1]ratio_ins!$B:$B,0))*$G458*INDEX([1]ratio_ins!$D:$D,MATCH('001_population_health_zone_zs'!$B458,[1]ratio_ins!$B:$B,0))</f>
        <v>37987.320888000002</v>
      </c>
      <c r="AT458" s="10">
        <f>INDEX([1]ratio_ins!AQ:AQ,MATCH('001_population_health_zone_zs'!$B$2,[1]ratio_ins!$B:$B,0))*$G458*INDEX([1]ratio_ins!$D:$D,MATCH('001_population_health_zone_zs'!$B458,[1]ratio_ins!$B:$B,0))</f>
        <v>928.33140000000003</v>
      </c>
      <c r="AU458" s="10">
        <f>INDEX([1]ratio_ins!AR:AR,MATCH('001_population_health_zone_zs'!$B$2,[1]ratio_ins!$B:$B,0))*$G458*INDEX([1]ratio_ins!$D:$D,MATCH('001_population_health_zone_zs'!$B458,[1]ratio_ins!$B:$B,0))</f>
        <v>556.99884000000009</v>
      </c>
      <c r="AV458" s="10">
        <f>INDEX([1]ratio_ins!AS:AS,MATCH('001_population_health_zone_zs'!$B$2,[1]ratio_ins!$B:$B,0))*$G458*INDEX([1]ratio_ins!$D:$D,MATCH('001_population_health_zone_zs'!$B458,[1]ratio_ins!$B:$B,0))</f>
        <v>278.49942000000004</v>
      </c>
      <c r="AW458" s="10">
        <f>INDEX([1]ratio_ins!AT:AT,MATCH('001_population_health_zone_zs'!$B$2,[1]ratio_ins!$B:$B,0))*$G458*INDEX([1]ratio_ins!$D:$D,MATCH('001_population_health_zone_zs'!$B458,[1]ratio_ins!$B:$B,0))</f>
        <v>185.66628</v>
      </c>
      <c r="AX458" s="13">
        <f>INDEX([1]ratio_ins!AU:AU,MATCH('001_population_health_zone_zs'!$B$2,[1]ratio_ins!$B:$B,0))*$G458*INDEX([1]ratio_ins!$D:$D,MATCH('001_population_health_zone_zs'!$B458,[1]ratio_ins!$B:$B,0))</f>
        <v>1949.4959399999998</v>
      </c>
      <c r="AY458" s="14">
        <f t="shared" si="43"/>
        <v>92833.139999999985</v>
      </c>
      <c r="AZ458" s="15">
        <f t="shared" si="44"/>
        <v>183828</v>
      </c>
      <c r="BA458" s="16">
        <v>176119.94912199592</v>
      </c>
      <c r="BB458" s="10">
        <f t="shared" si="45"/>
        <v>39454.084500000004</v>
      </c>
      <c r="BC458" s="17">
        <f t="shared" si="46"/>
        <v>0.21462500000000004</v>
      </c>
      <c r="BD458" s="10">
        <f t="shared" si="47"/>
        <v>37944.856619999999</v>
      </c>
    </row>
    <row r="459" spans="1:56" x14ac:dyDescent="0.25">
      <c r="A459" s="8" t="s">
        <v>1087</v>
      </c>
      <c r="B459" s="8" t="s">
        <v>1088</v>
      </c>
      <c r="C459" s="8" t="s">
        <v>1131</v>
      </c>
      <c r="D459" s="8" t="s">
        <v>1132</v>
      </c>
      <c r="E459" s="8" t="s">
        <v>1133</v>
      </c>
      <c r="F459" s="8" t="s">
        <v>1134</v>
      </c>
      <c r="G459" s="9">
        <v>144039</v>
      </c>
      <c r="H459" s="10">
        <f>INDEX([1]ratio_ins!F:F,MATCH('001_population_health_zone_zs'!$B$2,[1]ratio_ins!$B:$B,0))*$G459*INDEX([1]ratio_ins!$C:$C,MATCH('001_population_health_zone_zs'!$B459,[1]ratio_ins!$B:$B,0))</f>
        <v>14901.554744999999</v>
      </c>
      <c r="I459" s="10">
        <f>INDEX([1]ratio_ins!G:G,MATCH('001_population_health_zone_zs'!$B$2,[1]ratio_ins!$B:$B,0))*$G459*INDEX([1]ratio_ins!$C:$C,MATCH('001_population_health_zone_zs'!$B459,[1]ratio_ins!$B:$B,0))</f>
        <v>12192.181155</v>
      </c>
      <c r="J459" s="10">
        <f>INDEX([1]ratio_ins!H:H,MATCH('001_population_health_zone_zs'!$B$2,[1]ratio_ins!$B:$B,0))*$G459*INDEX([1]ratio_ins!$C:$C,MATCH('001_population_health_zone_zs'!$B459,[1]ratio_ins!$B:$B,0))</f>
        <v>9625.4061750000019</v>
      </c>
      <c r="K459" s="10">
        <f>INDEX([1]ratio_ins!I:I,MATCH('001_population_health_zone_zs'!$B$2,[1]ratio_ins!$B:$B,0))*$G459*INDEX([1]ratio_ins!$C:$C,MATCH('001_population_health_zone_zs'!$B459,[1]ratio_ins!$B:$B,0))</f>
        <v>5917.8423150000008</v>
      </c>
      <c r="L459" s="10">
        <f>INDEX([1]ratio_ins!J:J,MATCH('001_population_health_zone_zs'!$B$2,[1]ratio_ins!$B:$B,0))*$G459*INDEX([1]ratio_ins!$C:$C,MATCH('001_population_health_zone_zs'!$B459,[1]ratio_ins!$B:$B,0))</f>
        <v>3550.7053889999997</v>
      </c>
      <c r="M459" s="11">
        <f>INDEX([1]ratio_ins!K:K,MATCH('001_population_health_zone_zs'!$B$2,[1]ratio_ins!$B:$B,0))*$G459*INDEX([1]ratio_ins!$C:$C,MATCH('001_population_health_zone_zs'!$B459,[1]ratio_ins!$B:$B,0))</f>
        <v>40269.847463999999</v>
      </c>
      <c r="N459" s="10">
        <f>INDEX([1]ratio_ins!L:L,MATCH('001_population_health_zone_zs'!$B$2,[1]ratio_ins!$B:$B,0))*$G459*INDEX([1]ratio_ins!$C:$C,MATCH('001_population_health_zone_zs'!$B459,[1]ratio_ins!$B:$B,0))</f>
        <v>2367.1369260000001</v>
      </c>
      <c r="O459" s="10">
        <f>INDEX([1]ratio_ins!M:M,MATCH('001_population_health_zone_zs'!$B$2,[1]ratio_ins!$B:$B,0))*$G459*INDEX([1]ratio_ins!$C:$C,MATCH('001_population_health_zone_zs'!$B459,[1]ratio_ins!$B:$B,0))</f>
        <v>5133.5499600000003</v>
      </c>
      <c r="P459" s="10">
        <f>INDEX([1]ratio_ins!N:N,MATCH('001_population_health_zone_zs'!$B$2,[1]ratio_ins!$B:$B,0))*$G459*INDEX([1]ratio_ins!$C:$C,MATCH('001_population_health_zone_zs'!$B459,[1]ratio_ins!$B:$B,0))</f>
        <v>4634.4548249999998</v>
      </c>
      <c r="Q459" s="10">
        <f>INDEX([1]ratio_ins!O:O,MATCH('001_population_health_zone_zs'!$B$2,[1]ratio_ins!$B:$B,0))*$G459*INDEX([1]ratio_ins!$C:$C,MATCH('001_population_health_zone_zs'!$B459,[1]ratio_ins!$B:$B,0))</f>
        <v>4135.3596899999993</v>
      </c>
      <c r="R459" s="10">
        <f>INDEX([1]ratio_ins!P:P,MATCH('001_population_health_zone_zs'!$B$2,[1]ratio_ins!$B:$B,0))*$G459*INDEX([1]ratio_ins!$C:$C,MATCH('001_population_health_zone_zs'!$B459,[1]ratio_ins!$B:$B,0))</f>
        <v>4064.0603849999998</v>
      </c>
      <c r="S459" s="10">
        <f>INDEX([1]ratio_ins!Q:Q,MATCH('001_population_health_zone_zs'!$B$2,[1]ratio_ins!$B:$B,0))*$G459*INDEX([1]ratio_ins!$C:$C,MATCH('001_population_health_zone_zs'!$B459,[1]ratio_ins!$B:$B,0))</f>
        <v>3422.3666400000002</v>
      </c>
      <c r="T459" s="10">
        <f>INDEX([1]ratio_ins!R:R,MATCH('001_population_health_zone_zs'!$B$2,[1]ratio_ins!$B:$B,0))*$G459*INDEX([1]ratio_ins!$C:$C,MATCH('001_population_health_zone_zs'!$B459,[1]ratio_ins!$B:$B,0))</f>
        <v>2424.1763700000001</v>
      </c>
      <c r="U459" s="10">
        <f>INDEX([1]ratio_ins!S:S,MATCH('001_population_health_zone_zs'!$B$2,[1]ratio_ins!$B:$B,0))*$G459*INDEX([1]ratio_ins!$C:$C,MATCH('001_population_health_zone_zs'!$B459,[1]ratio_ins!$B:$B,0))</f>
        <v>1925.0812350000001</v>
      </c>
      <c r="V459" s="10">
        <f>INDEX([1]ratio_ins!T:T,MATCH('001_population_health_zone_zs'!$B$2,[1]ratio_ins!$B:$B,0))*$G459*INDEX([1]ratio_ins!$C:$C,MATCH('001_population_health_zone_zs'!$B459,[1]ratio_ins!$B:$B,0))</f>
        <v>1069.4895750000001</v>
      </c>
      <c r="W459" s="11">
        <f>INDEX([1]ratio_ins!U:U,MATCH('001_population_health_zone_zs'!$B$2,[1]ratio_ins!$B:$B,0))*$G459*INDEX([1]ratio_ins!$C:$C,MATCH('001_population_health_zone_zs'!$B459,[1]ratio_ins!$B:$B,0))</f>
        <v>29175.675606000001</v>
      </c>
      <c r="X459" s="10">
        <f>INDEX([1]ratio_ins!V:V,MATCH('001_population_health_zone_zs'!$B$2,[1]ratio_ins!$B:$B,0))*$G459*INDEX([1]ratio_ins!$C:$C,MATCH('001_population_health_zone_zs'!$B459,[1]ratio_ins!$B:$B,0))</f>
        <v>855.59166000000005</v>
      </c>
      <c r="Y459" s="10">
        <f>INDEX([1]ratio_ins!W:W,MATCH('001_population_health_zone_zs'!$B$2,[1]ratio_ins!$B:$B,0))*$G459*INDEX([1]ratio_ins!$C:$C,MATCH('001_population_health_zone_zs'!$B459,[1]ratio_ins!$B:$B,0))</f>
        <v>570.39444000000003</v>
      </c>
      <c r="Z459" s="10">
        <f>INDEX([1]ratio_ins!X:X,MATCH('001_population_health_zone_zs'!$B$2,[1]ratio_ins!$B:$B,0))*$G459*INDEX([1]ratio_ins!$C:$C,MATCH('001_population_health_zone_zs'!$B459,[1]ratio_ins!$B:$B,0))</f>
        <v>285.19722000000002</v>
      </c>
      <c r="AA459" s="10">
        <f>INDEX([1]ratio_ins!Y:Y,MATCH('001_population_health_zone_zs'!$B$2,[1]ratio_ins!$B:$B,0))*$G459*INDEX([1]ratio_ins!$C:$C,MATCH('001_population_health_zone_zs'!$B459,[1]ratio_ins!$B:$B,0))</f>
        <v>142.59861000000001</v>
      </c>
      <c r="AB459" s="11">
        <f>INDEX([1]ratio_ins!Z:Z,MATCH('001_population_health_zone_zs'!$B$2,[1]ratio_ins!$B:$B,0))*$G459*INDEX([1]ratio_ins!$C:$C,MATCH('001_population_health_zone_zs'!$B459,[1]ratio_ins!$B:$B,0))</f>
        <v>1853.7819300000001</v>
      </c>
      <c r="AC459" s="12">
        <f t="shared" si="42"/>
        <v>71299.304999999993</v>
      </c>
      <c r="AD459" s="10">
        <f>INDEX([1]ratio_ins!AA:AA,MATCH('001_population_health_zone_zs'!$B$2,[1]ratio_ins!$B:$B,0))*$G459*INDEX([1]ratio_ins!$D:$D,MATCH('001_population_health_zone_zs'!$B459,[1]ratio_ins!$B:$B,0))</f>
        <v>15275.335949999999</v>
      </c>
      <c r="AE459" s="10">
        <f>INDEX([1]ratio_ins!AB:AB,MATCH('001_population_health_zone_zs'!$B$2,[1]ratio_ins!$B:$B,0))*$G459*INDEX([1]ratio_ins!$D:$D,MATCH('001_population_health_zone_zs'!$B459,[1]ratio_ins!$B:$B,0))</f>
        <v>12583.967235000002</v>
      </c>
      <c r="AF459" s="10">
        <f>INDEX([1]ratio_ins!AC:AC,MATCH('001_population_health_zone_zs'!$B$2,[1]ratio_ins!$B:$B,0))*$G459*INDEX([1]ratio_ins!$D:$D,MATCH('001_population_health_zone_zs'!$B459,[1]ratio_ins!$B:$B,0))</f>
        <v>9965.3382149999979</v>
      </c>
      <c r="AG459" s="10">
        <f>INDEX([1]ratio_ins!AD:AD,MATCH('001_population_health_zone_zs'!$B$2,[1]ratio_ins!$B:$B,0))*$G459*INDEX([1]ratio_ins!$D:$D,MATCH('001_population_health_zone_zs'!$B459,[1]ratio_ins!$B:$B,0))</f>
        <v>6037.3946850000002</v>
      </c>
      <c r="AH459" s="10">
        <f>INDEX([1]ratio_ins!AE:AE,MATCH('001_population_health_zone_zs'!$B$2,[1]ratio_ins!$B:$B,0))*$G459*INDEX([1]ratio_ins!$D:$D,MATCH('001_population_health_zone_zs'!$B459,[1]ratio_ins!$B:$B,0))</f>
        <v>3622.4368109999996</v>
      </c>
      <c r="AI459" s="13">
        <f>INDEX([1]ratio_ins!AF:AF,MATCH('001_population_health_zone_zs'!$B$2,[1]ratio_ins!$B:$B,0))*$G459*INDEX([1]ratio_ins!$D:$D,MATCH('001_population_health_zone_zs'!$B459,[1]ratio_ins!$B:$B,0))</f>
        <v>41447.078211</v>
      </c>
      <c r="AJ459" s="10">
        <f>INDEX([1]ratio_ins!AG:AG,MATCH('001_population_health_zone_zs'!$B$2,[1]ratio_ins!$B:$B,0))*$G459*INDEX([1]ratio_ins!$D:$D,MATCH('001_population_health_zone_zs'!$B459,[1]ratio_ins!$B:$B,0))</f>
        <v>2414.9578739999997</v>
      </c>
      <c r="AK459" s="10">
        <f>INDEX([1]ratio_ins!AH:AH,MATCH('001_population_health_zone_zs'!$B$2,[1]ratio_ins!$B:$B,0))*$G459*INDEX([1]ratio_ins!$D:$D,MATCH('001_population_health_zone_zs'!$B459,[1]ratio_ins!$B:$B,0))</f>
        <v>5382.737430000001</v>
      </c>
      <c r="AL459" s="10">
        <f>INDEX([1]ratio_ins!AI:AI,MATCH('001_population_health_zone_zs'!$B$2,[1]ratio_ins!$B:$B,0))*$G459*INDEX([1]ratio_ins!$D:$D,MATCH('001_population_health_zone_zs'!$B459,[1]ratio_ins!$B:$B,0))</f>
        <v>5091.7786500000011</v>
      </c>
      <c r="AM459" s="10">
        <f>INDEX([1]ratio_ins!AJ:AJ,MATCH('001_population_health_zone_zs'!$B$2,[1]ratio_ins!$B:$B,0))*$G459*INDEX([1]ratio_ins!$D:$D,MATCH('001_population_health_zone_zs'!$B459,[1]ratio_ins!$B:$B,0))</f>
        <v>4655.3404800000008</v>
      </c>
      <c r="AN459" s="10">
        <f>INDEX([1]ratio_ins!AK:AK,MATCH('001_population_health_zone_zs'!$B$2,[1]ratio_ins!$B:$B,0))*$G459*INDEX([1]ratio_ins!$D:$D,MATCH('001_population_health_zone_zs'!$B459,[1]ratio_ins!$B:$B,0))</f>
        <v>4364.3816999999999</v>
      </c>
      <c r="AO459" s="10">
        <f>INDEX([1]ratio_ins!AL:AL,MATCH('001_population_health_zone_zs'!$B$2,[1]ratio_ins!$B:$B,0))*$G459*INDEX([1]ratio_ins!$D:$D,MATCH('001_population_health_zone_zs'!$B459,[1]ratio_ins!$B:$B,0))</f>
        <v>3273.2862749999999</v>
      </c>
      <c r="AP459" s="10">
        <f>INDEX([1]ratio_ins!AM:AM,MATCH('001_population_health_zone_zs'!$B$2,[1]ratio_ins!$B:$B,0))*$G459*INDEX([1]ratio_ins!$D:$D,MATCH('001_population_health_zone_zs'!$B459,[1]ratio_ins!$B:$B,0))</f>
        <v>2109.4511549999997</v>
      </c>
      <c r="AQ459" s="10">
        <f>INDEX([1]ratio_ins!AN:AN,MATCH('001_population_health_zone_zs'!$B$2,[1]ratio_ins!$B:$B,0))*$G459*INDEX([1]ratio_ins!$D:$D,MATCH('001_population_health_zone_zs'!$B459,[1]ratio_ins!$B:$B,0))</f>
        <v>1673.0129850000001</v>
      </c>
      <c r="AR459" s="10">
        <f>INDEX([1]ratio_ins!AO:AO,MATCH('001_population_health_zone_zs'!$B$2,[1]ratio_ins!$B:$B,0))*$G459*INDEX([1]ratio_ins!$D:$D,MATCH('001_population_health_zone_zs'!$B459,[1]ratio_ins!$B:$B,0))</f>
        <v>800.13664500000004</v>
      </c>
      <c r="AS459" s="13">
        <f>INDEX([1]ratio_ins!AP:AP,MATCH('001_population_health_zone_zs'!$B$2,[1]ratio_ins!$B:$B,0))*$G459*INDEX([1]ratio_ins!$D:$D,MATCH('001_population_health_zone_zs'!$B459,[1]ratio_ins!$B:$B,0))</f>
        <v>29765.083194000003</v>
      </c>
      <c r="AT459" s="10">
        <f>INDEX([1]ratio_ins!AQ:AQ,MATCH('001_population_health_zone_zs'!$B$2,[1]ratio_ins!$B:$B,0))*$G459*INDEX([1]ratio_ins!$D:$D,MATCH('001_population_health_zone_zs'!$B459,[1]ratio_ins!$B:$B,0))</f>
        <v>727.39695000000006</v>
      </c>
      <c r="AU459" s="10">
        <f>INDEX([1]ratio_ins!AR:AR,MATCH('001_population_health_zone_zs'!$B$2,[1]ratio_ins!$B:$B,0))*$G459*INDEX([1]ratio_ins!$D:$D,MATCH('001_population_health_zone_zs'!$B459,[1]ratio_ins!$B:$B,0))</f>
        <v>436.43817000000001</v>
      </c>
      <c r="AV459" s="10">
        <f>INDEX([1]ratio_ins!AS:AS,MATCH('001_population_health_zone_zs'!$B$2,[1]ratio_ins!$B:$B,0))*$G459*INDEX([1]ratio_ins!$D:$D,MATCH('001_population_health_zone_zs'!$B459,[1]ratio_ins!$B:$B,0))</f>
        <v>218.21908500000001</v>
      </c>
      <c r="AW459" s="10">
        <f>INDEX([1]ratio_ins!AT:AT,MATCH('001_population_health_zone_zs'!$B$2,[1]ratio_ins!$B:$B,0))*$G459*INDEX([1]ratio_ins!$D:$D,MATCH('001_population_health_zone_zs'!$B459,[1]ratio_ins!$B:$B,0))</f>
        <v>145.47939000000002</v>
      </c>
      <c r="AX459" s="13">
        <f>INDEX([1]ratio_ins!AU:AU,MATCH('001_population_health_zone_zs'!$B$2,[1]ratio_ins!$B:$B,0))*$G459*INDEX([1]ratio_ins!$D:$D,MATCH('001_population_health_zone_zs'!$B459,[1]ratio_ins!$B:$B,0))</f>
        <v>1527.5335949999997</v>
      </c>
      <c r="AY459" s="14">
        <f t="shared" si="43"/>
        <v>72739.695000000007</v>
      </c>
      <c r="AZ459" s="15">
        <f t="shared" si="44"/>
        <v>144039</v>
      </c>
      <c r="BA459" s="16">
        <v>137999.22342358218</v>
      </c>
      <c r="BB459" s="10">
        <f t="shared" si="45"/>
        <v>30914.370374999995</v>
      </c>
      <c r="BC459" s="17">
        <f t="shared" si="46"/>
        <v>0.21462499999999995</v>
      </c>
      <c r="BD459" s="10">
        <f t="shared" si="47"/>
        <v>29731.810184999998</v>
      </c>
    </row>
    <row r="460" spans="1:56" x14ac:dyDescent="0.25">
      <c r="A460" s="8" t="s">
        <v>1087</v>
      </c>
      <c r="B460" s="8" t="s">
        <v>1088</v>
      </c>
      <c r="C460" s="8" t="s">
        <v>1131</v>
      </c>
      <c r="D460" s="8" t="s">
        <v>1132</v>
      </c>
      <c r="E460" s="8" t="s">
        <v>1135</v>
      </c>
      <c r="F460" s="8" t="s">
        <v>1136</v>
      </c>
      <c r="G460" s="9">
        <v>221968</v>
      </c>
      <c r="H460" s="10">
        <f>INDEX([1]ratio_ins!F:F,MATCH('001_population_health_zone_zs'!$B$2,[1]ratio_ins!$B:$B,0))*$G460*INDEX([1]ratio_ins!$C:$C,MATCH('001_population_health_zone_zs'!$B460,[1]ratio_ins!$B:$B,0))</f>
        <v>22963.69944</v>
      </c>
      <c r="I460" s="10">
        <f>INDEX([1]ratio_ins!G:G,MATCH('001_population_health_zone_zs'!$B$2,[1]ratio_ins!$B:$B,0))*$G460*INDEX([1]ratio_ins!$C:$C,MATCH('001_population_health_zone_zs'!$B460,[1]ratio_ins!$B:$B,0))</f>
        <v>18788.481360000002</v>
      </c>
      <c r="J460" s="10">
        <f>INDEX([1]ratio_ins!H:H,MATCH('001_population_health_zone_zs'!$B$2,[1]ratio_ins!$B:$B,0))*$G460*INDEX([1]ratio_ins!$C:$C,MATCH('001_population_health_zone_zs'!$B460,[1]ratio_ins!$B:$B,0))</f>
        <v>14833.0116</v>
      </c>
      <c r="K460" s="10">
        <f>INDEX([1]ratio_ins!I:I,MATCH('001_population_health_zone_zs'!$B$2,[1]ratio_ins!$B:$B,0))*$G460*INDEX([1]ratio_ins!$C:$C,MATCH('001_population_health_zone_zs'!$B460,[1]ratio_ins!$B:$B,0))</f>
        <v>9119.5552800000005</v>
      </c>
      <c r="L460" s="10">
        <f>INDEX([1]ratio_ins!J:J,MATCH('001_population_health_zone_zs'!$B$2,[1]ratio_ins!$B:$B,0))*$G460*INDEX([1]ratio_ins!$C:$C,MATCH('001_population_health_zone_zs'!$B460,[1]ratio_ins!$B:$B,0))</f>
        <v>5471.7331679999998</v>
      </c>
      <c r="M460" s="11">
        <f>INDEX([1]ratio_ins!K:K,MATCH('001_population_health_zone_zs'!$B$2,[1]ratio_ins!$B:$B,0))*$G460*INDEX([1]ratio_ins!$C:$C,MATCH('001_population_health_zone_zs'!$B460,[1]ratio_ins!$B:$B,0))</f>
        <v>62056.925567999991</v>
      </c>
      <c r="N460" s="10">
        <f>INDEX([1]ratio_ins!L:L,MATCH('001_population_health_zone_zs'!$B$2,[1]ratio_ins!$B:$B,0))*$G460*INDEX([1]ratio_ins!$C:$C,MATCH('001_population_health_zone_zs'!$B460,[1]ratio_ins!$B:$B,0))</f>
        <v>3647.8221119999998</v>
      </c>
      <c r="O460" s="10">
        <f>INDEX([1]ratio_ins!M:M,MATCH('001_population_health_zone_zs'!$B$2,[1]ratio_ins!$B:$B,0))*$G460*INDEX([1]ratio_ins!$C:$C,MATCH('001_population_health_zone_zs'!$B460,[1]ratio_ins!$B:$B,0))</f>
        <v>7910.9395200000008</v>
      </c>
      <c r="P460" s="10">
        <f>INDEX([1]ratio_ins!N:N,MATCH('001_population_health_zone_zs'!$B$2,[1]ratio_ins!$B:$B,0))*$G460*INDEX([1]ratio_ins!$C:$C,MATCH('001_population_health_zone_zs'!$B460,[1]ratio_ins!$B:$B,0))</f>
        <v>7141.8203999999996</v>
      </c>
      <c r="Q460" s="10">
        <f>INDEX([1]ratio_ins!O:O,MATCH('001_population_health_zone_zs'!$B$2,[1]ratio_ins!$B:$B,0))*$G460*INDEX([1]ratio_ins!$C:$C,MATCH('001_population_health_zone_zs'!$B460,[1]ratio_ins!$B:$B,0))</f>
        <v>6372.7012799999993</v>
      </c>
      <c r="R460" s="10">
        <f>INDEX([1]ratio_ins!P:P,MATCH('001_population_health_zone_zs'!$B$2,[1]ratio_ins!$B:$B,0))*$G460*INDEX([1]ratio_ins!$C:$C,MATCH('001_population_health_zone_zs'!$B460,[1]ratio_ins!$B:$B,0))</f>
        <v>6262.8271200000008</v>
      </c>
      <c r="S460" s="10">
        <f>INDEX([1]ratio_ins!Q:Q,MATCH('001_population_health_zone_zs'!$B$2,[1]ratio_ins!$B:$B,0))*$G460*INDEX([1]ratio_ins!$C:$C,MATCH('001_population_health_zone_zs'!$B460,[1]ratio_ins!$B:$B,0))</f>
        <v>5273.9596799999999</v>
      </c>
      <c r="T460" s="10">
        <f>INDEX([1]ratio_ins!R:R,MATCH('001_population_health_zone_zs'!$B$2,[1]ratio_ins!$B:$B,0))*$G460*INDEX([1]ratio_ins!$C:$C,MATCH('001_population_health_zone_zs'!$B460,[1]ratio_ins!$B:$B,0))</f>
        <v>3735.7214400000003</v>
      </c>
      <c r="U460" s="10">
        <f>INDEX([1]ratio_ins!S:S,MATCH('001_population_health_zone_zs'!$B$2,[1]ratio_ins!$B:$B,0))*$G460*INDEX([1]ratio_ins!$C:$C,MATCH('001_population_health_zone_zs'!$B460,[1]ratio_ins!$B:$B,0))</f>
        <v>2966.60232</v>
      </c>
      <c r="V460" s="10">
        <f>INDEX([1]ratio_ins!T:T,MATCH('001_population_health_zone_zs'!$B$2,[1]ratio_ins!$B:$B,0))*$G460*INDEX([1]ratio_ins!$C:$C,MATCH('001_population_health_zone_zs'!$B460,[1]ratio_ins!$B:$B,0))</f>
        <v>1648.1124</v>
      </c>
      <c r="W460" s="11">
        <f>INDEX([1]ratio_ins!U:U,MATCH('001_population_health_zone_zs'!$B$2,[1]ratio_ins!$B:$B,0))*$G460*INDEX([1]ratio_ins!$C:$C,MATCH('001_population_health_zone_zs'!$B460,[1]ratio_ins!$B:$B,0))</f>
        <v>44960.506272000006</v>
      </c>
      <c r="X460" s="10">
        <f>INDEX([1]ratio_ins!V:V,MATCH('001_population_health_zone_zs'!$B$2,[1]ratio_ins!$B:$B,0))*$G460*INDEX([1]ratio_ins!$C:$C,MATCH('001_population_health_zone_zs'!$B460,[1]ratio_ins!$B:$B,0))</f>
        <v>1318.48992</v>
      </c>
      <c r="Y460" s="10">
        <f>INDEX([1]ratio_ins!W:W,MATCH('001_population_health_zone_zs'!$B$2,[1]ratio_ins!$B:$B,0))*$G460*INDEX([1]ratio_ins!$C:$C,MATCH('001_population_health_zone_zs'!$B460,[1]ratio_ins!$B:$B,0))</f>
        <v>878.99328000000003</v>
      </c>
      <c r="Z460" s="10">
        <f>INDEX([1]ratio_ins!X:X,MATCH('001_population_health_zone_zs'!$B$2,[1]ratio_ins!$B:$B,0))*$G460*INDEX([1]ratio_ins!$C:$C,MATCH('001_population_health_zone_zs'!$B460,[1]ratio_ins!$B:$B,0))</f>
        <v>439.49664000000001</v>
      </c>
      <c r="AA460" s="10">
        <f>INDEX([1]ratio_ins!Y:Y,MATCH('001_population_health_zone_zs'!$B$2,[1]ratio_ins!$B:$B,0))*$G460*INDEX([1]ratio_ins!$C:$C,MATCH('001_population_health_zone_zs'!$B460,[1]ratio_ins!$B:$B,0))</f>
        <v>219.74832000000001</v>
      </c>
      <c r="AB460" s="11">
        <f>INDEX([1]ratio_ins!Z:Z,MATCH('001_population_health_zone_zs'!$B$2,[1]ratio_ins!$B:$B,0))*$G460*INDEX([1]ratio_ins!$C:$C,MATCH('001_population_health_zone_zs'!$B460,[1]ratio_ins!$B:$B,0))</f>
        <v>2856.7281600000001</v>
      </c>
      <c r="AC460" s="12">
        <f t="shared" si="42"/>
        <v>109874.16</v>
      </c>
      <c r="AD460" s="10">
        <f>INDEX([1]ratio_ins!AA:AA,MATCH('001_population_health_zone_zs'!$B$2,[1]ratio_ins!$B:$B,0))*$G460*INDEX([1]ratio_ins!$D:$D,MATCH('001_population_health_zone_zs'!$B460,[1]ratio_ins!$B:$B,0))</f>
        <v>23539.706399999999</v>
      </c>
      <c r="AE460" s="10">
        <f>INDEX([1]ratio_ins!AB:AB,MATCH('001_population_health_zone_zs'!$B$2,[1]ratio_ins!$B:$B,0))*$G460*INDEX([1]ratio_ins!$D:$D,MATCH('001_population_health_zone_zs'!$B460,[1]ratio_ins!$B:$B,0))</f>
        <v>19392.23432</v>
      </c>
      <c r="AF460" s="10">
        <f>INDEX([1]ratio_ins!AC:AC,MATCH('001_population_health_zone_zs'!$B$2,[1]ratio_ins!$B:$B,0))*$G460*INDEX([1]ratio_ins!$D:$D,MATCH('001_population_health_zone_zs'!$B460,[1]ratio_ins!$B:$B,0))</f>
        <v>15356.856079999998</v>
      </c>
      <c r="AG460" s="10">
        <f>INDEX([1]ratio_ins!AD:AD,MATCH('001_population_health_zone_zs'!$B$2,[1]ratio_ins!$B:$B,0))*$G460*INDEX([1]ratio_ins!$D:$D,MATCH('001_population_health_zone_zs'!$B460,[1]ratio_ins!$B:$B,0))</f>
        <v>9303.7887200000005</v>
      </c>
      <c r="AH460" s="10">
        <f>INDEX([1]ratio_ins!AE:AE,MATCH('001_population_health_zone_zs'!$B$2,[1]ratio_ins!$B:$B,0))*$G460*INDEX([1]ratio_ins!$D:$D,MATCH('001_population_health_zone_zs'!$B460,[1]ratio_ins!$B:$B,0))</f>
        <v>5582.2732320000005</v>
      </c>
      <c r="AI460" s="13">
        <f>INDEX([1]ratio_ins!AF:AF,MATCH('001_population_health_zone_zs'!$B$2,[1]ratio_ins!$B:$B,0))*$G460*INDEX([1]ratio_ins!$D:$D,MATCH('001_population_health_zone_zs'!$B460,[1]ratio_ins!$B:$B,0))</f>
        <v>63871.070032000003</v>
      </c>
      <c r="AJ460" s="10">
        <f>INDEX([1]ratio_ins!AG:AG,MATCH('001_population_health_zone_zs'!$B$2,[1]ratio_ins!$B:$B,0))*$G460*INDEX([1]ratio_ins!$D:$D,MATCH('001_population_health_zone_zs'!$B460,[1]ratio_ins!$B:$B,0))</f>
        <v>3721.515488</v>
      </c>
      <c r="AK460" s="10">
        <f>INDEX([1]ratio_ins!AH:AH,MATCH('001_population_health_zone_zs'!$B$2,[1]ratio_ins!$B:$B,0))*$G460*INDEX([1]ratio_ins!$D:$D,MATCH('001_population_health_zone_zs'!$B460,[1]ratio_ins!$B:$B,0))</f>
        <v>8294.9441600000009</v>
      </c>
      <c r="AL460" s="10">
        <f>INDEX([1]ratio_ins!AI:AI,MATCH('001_population_health_zone_zs'!$B$2,[1]ratio_ins!$B:$B,0))*$G460*INDEX([1]ratio_ins!$D:$D,MATCH('001_population_health_zone_zs'!$B460,[1]ratio_ins!$B:$B,0))</f>
        <v>7846.5688000000009</v>
      </c>
      <c r="AM460" s="10">
        <f>INDEX([1]ratio_ins!AJ:AJ,MATCH('001_population_health_zone_zs'!$B$2,[1]ratio_ins!$B:$B,0))*$G460*INDEX([1]ratio_ins!$D:$D,MATCH('001_population_health_zone_zs'!$B460,[1]ratio_ins!$B:$B,0))</f>
        <v>7174.0057600000009</v>
      </c>
      <c r="AN460" s="10">
        <f>INDEX([1]ratio_ins!AK:AK,MATCH('001_population_health_zone_zs'!$B$2,[1]ratio_ins!$B:$B,0))*$G460*INDEX([1]ratio_ins!$D:$D,MATCH('001_population_health_zone_zs'!$B460,[1]ratio_ins!$B:$B,0))</f>
        <v>6725.6304</v>
      </c>
      <c r="AO460" s="10">
        <f>INDEX([1]ratio_ins!AL:AL,MATCH('001_population_health_zone_zs'!$B$2,[1]ratio_ins!$B:$B,0))*$G460*INDEX([1]ratio_ins!$D:$D,MATCH('001_population_health_zone_zs'!$B460,[1]ratio_ins!$B:$B,0))</f>
        <v>5044.2227999999996</v>
      </c>
      <c r="AP460" s="10">
        <f>INDEX([1]ratio_ins!AM:AM,MATCH('001_population_health_zone_zs'!$B$2,[1]ratio_ins!$B:$B,0))*$G460*INDEX([1]ratio_ins!$D:$D,MATCH('001_population_health_zone_zs'!$B460,[1]ratio_ins!$B:$B,0))</f>
        <v>3250.7213599999995</v>
      </c>
      <c r="AQ460" s="10">
        <f>INDEX([1]ratio_ins!AN:AN,MATCH('001_population_health_zone_zs'!$B$2,[1]ratio_ins!$B:$B,0))*$G460*INDEX([1]ratio_ins!$D:$D,MATCH('001_population_health_zone_zs'!$B460,[1]ratio_ins!$B:$B,0))</f>
        <v>2578.15832</v>
      </c>
      <c r="AR460" s="10">
        <f>INDEX([1]ratio_ins!AO:AO,MATCH('001_population_health_zone_zs'!$B$2,[1]ratio_ins!$B:$B,0))*$G460*INDEX([1]ratio_ins!$D:$D,MATCH('001_population_health_zone_zs'!$B460,[1]ratio_ins!$B:$B,0))</f>
        <v>1233.03224</v>
      </c>
      <c r="AS460" s="13">
        <f>INDEX([1]ratio_ins!AP:AP,MATCH('001_population_health_zone_zs'!$B$2,[1]ratio_ins!$B:$B,0))*$G460*INDEX([1]ratio_ins!$D:$D,MATCH('001_population_health_zone_zs'!$B460,[1]ratio_ins!$B:$B,0))</f>
        <v>45868.799328000001</v>
      </c>
      <c r="AT460" s="10">
        <f>INDEX([1]ratio_ins!AQ:AQ,MATCH('001_population_health_zone_zs'!$B$2,[1]ratio_ins!$B:$B,0))*$G460*INDEX([1]ratio_ins!$D:$D,MATCH('001_population_health_zone_zs'!$B460,[1]ratio_ins!$B:$B,0))</f>
        <v>1120.9384</v>
      </c>
      <c r="AU460" s="10">
        <f>INDEX([1]ratio_ins!AR:AR,MATCH('001_population_health_zone_zs'!$B$2,[1]ratio_ins!$B:$B,0))*$G460*INDEX([1]ratio_ins!$D:$D,MATCH('001_population_health_zone_zs'!$B460,[1]ratio_ins!$B:$B,0))</f>
        <v>672.56304</v>
      </c>
      <c r="AV460" s="10">
        <f>INDEX([1]ratio_ins!AS:AS,MATCH('001_population_health_zone_zs'!$B$2,[1]ratio_ins!$B:$B,0))*$G460*INDEX([1]ratio_ins!$D:$D,MATCH('001_population_health_zone_zs'!$B460,[1]ratio_ins!$B:$B,0))</f>
        <v>336.28152</v>
      </c>
      <c r="AW460" s="10">
        <f>INDEX([1]ratio_ins!AT:AT,MATCH('001_population_health_zone_zs'!$B$2,[1]ratio_ins!$B:$B,0))*$G460*INDEX([1]ratio_ins!$D:$D,MATCH('001_population_health_zone_zs'!$B460,[1]ratio_ins!$B:$B,0))</f>
        <v>224.18768000000003</v>
      </c>
      <c r="AX460" s="13">
        <f>INDEX([1]ratio_ins!AU:AU,MATCH('001_population_health_zone_zs'!$B$2,[1]ratio_ins!$B:$B,0))*$G460*INDEX([1]ratio_ins!$D:$D,MATCH('001_population_health_zone_zs'!$B460,[1]ratio_ins!$B:$B,0))</f>
        <v>2353.97064</v>
      </c>
      <c r="AY460" s="14">
        <f t="shared" si="43"/>
        <v>112093.84000000001</v>
      </c>
      <c r="AZ460" s="15">
        <f t="shared" si="44"/>
        <v>221968</v>
      </c>
      <c r="BA460" s="16">
        <v>212660.44945938801</v>
      </c>
      <c r="BB460" s="10">
        <f t="shared" si="45"/>
        <v>47639.881999999998</v>
      </c>
      <c r="BC460" s="17">
        <f t="shared" si="46"/>
        <v>0.21462499999999998</v>
      </c>
      <c r="BD460" s="10">
        <f t="shared" si="47"/>
        <v>45817.524720000001</v>
      </c>
    </row>
    <row r="461" spans="1:56" x14ac:dyDescent="0.25">
      <c r="A461" s="8" t="s">
        <v>1137</v>
      </c>
      <c r="B461" s="8" t="s">
        <v>1138</v>
      </c>
      <c r="C461" s="8" t="s">
        <v>1139</v>
      </c>
      <c r="D461" s="8" t="s">
        <v>1140</v>
      </c>
      <c r="E461" s="8" t="s">
        <v>1139</v>
      </c>
      <c r="F461" s="8" t="s">
        <v>1141</v>
      </c>
      <c r="G461" s="9">
        <v>151356</v>
      </c>
      <c r="H461" s="10">
        <f>INDEX([1]ratio_ins!F:F,MATCH('001_population_health_zone_zs'!$B$2,[1]ratio_ins!$B:$B,0))*$G461*INDEX([1]ratio_ins!$C:$C,MATCH('001_population_health_zone_zs'!$B461,[1]ratio_ins!$B:$B,0))</f>
        <v>15658.534979999999</v>
      </c>
      <c r="I461" s="10">
        <f>INDEX([1]ratio_ins!G:G,MATCH('001_population_health_zone_zs'!$B$2,[1]ratio_ins!$B:$B,0))*$G461*INDEX([1]ratio_ins!$C:$C,MATCH('001_population_health_zone_zs'!$B461,[1]ratio_ins!$B:$B,0))</f>
        <v>12811.528619999999</v>
      </c>
      <c r="J461" s="10">
        <f>INDEX([1]ratio_ins!H:H,MATCH('001_population_health_zone_zs'!$B$2,[1]ratio_ins!$B:$B,0))*$G461*INDEX([1]ratio_ins!$C:$C,MATCH('001_population_health_zone_zs'!$B461,[1]ratio_ins!$B:$B,0))</f>
        <v>10114.3647</v>
      </c>
      <c r="K461" s="10">
        <f>INDEX([1]ratio_ins!I:I,MATCH('001_population_health_zone_zs'!$B$2,[1]ratio_ins!$B:$B,0))*$G461*INDEX([1]ratio_ins!$C:$C,MATCH('001_population_health_zone_zs'!$B461,[1]ratio_ins!$B:$B,0))</f>
        <v>6218.46126</v>
      </c>
      <c r="L461" s="10">
        <f>INDEX([1]ratio_ins!J:J,MATCH('001_population_health_zone_zs'!$B$2,[1]ratio_ins!$B:$B,0))*$G461*INDEX([1]ratio_ins!$C:$C,MATCH('001_population_health_zone_zs'!$B461,[1]ratio_ins!$B:$B,0))</f>
        <v>3731.0767559999995</v>
      </c>
      <c r="M461" s="11">
        <f>INDEX([1]ratio_ins!K:K,MATCH('001_population_health_zone_zs'!$B$2,[1]ratio_ins!$B:$B,0))*$G461*INDEX([1]ratio_ins!$C:$C,MATCH('001_population_health_zone_zs'!$B461,[1]ratio_ins!$B:$B,0))</f>
        <v>42315.505055999995</v>
      </c>
      <c r="N461" s="10">
        <f>INDEX([1]ratio_ins!L:L,MATCH('001_population_health_zone_zs'!$B$2,[1]ratio_ins!$B:$B,0))*$G461*INDEX([1]ratio_ins!$C:$C,MATCH('001_population_health_zone_zs'!$B461,[1]ratio_ins!$B:$B,0))</f>
        <v>2487.3845039999997</v>
      </c>
      <c r="O461" s="10">
        <f>INDEX([1]ratio_ins!M:M,MATCH('001_population_health_zone_zs'!$B$2,[1]ratio_ins!$B:$B,0))*$G461*INDEX([1]ratio_ins!$C:$C,MATCH('001_population_health_zone_zs'!$B461,[1]ratio_ins!$B:$B,0))</f>
        <v>5394.3278400000008</v>
      </c>
      <c r="P461" s="10">
        <f>INDEX([1]ratio_ins!N:N,MATCH('001_population_health_zone_zs'!$B$2,[1]ratio_ins!$B:$B,0))*$G461*INDEX([1]ratio_ins!$C:$C,MATCH('001_population_health_zone_zs'!$B461,[1]ratio_ins!$B:$B,0))</f>
        <v>4869.8793000000005</v>
      </c>
      <c r="Q461" s="10">
        <f>INDEX([1]ratio_ins!O:O,MATCH('001_population_health_zone_zs'!$B$2,[1]ratio_ins!$B:$B,0))*$G461*INDEX([1]ratio_ins!$C:$C,MATCH('001_population_health_zone_zs'!$B461,[1]ratio_ins!$B:$B,0))</f>
        <v>4345.4307599999993</v>
      </c>
      <c r="R461" s="10">
        <f>INDEX([1]ratio_ins!P:P,MATCH('001_population_health_zone_zs'!$B$2,[1]ratio_ins!$B:$B,0))*$G461*INDEX([1]ratio_ins!$C:$C,MATCH('001_population_health_zone_zs'!$B461,[1]ratio_ins!$B:$B,0))</f>
        <v>4270.50954</v>
      </c>
      <c r="S461" s="10">
        <f>INDEX([1]ratio_ins!Q:Q,MATCH('001_population_health_zone_zs'!$B$2,[1]ratio_ins!$B:$B,0))*$G461*INDEX([1]ratio_ins!$C:$C,MATCH('001_population_health_zone_zs'!$B461,[1]ratio_ins!$B:$B,0))</f>
        <v>3596.2185599999998</v>
      </c>
      <c r="T461" s="10">
        <f>INDEX([1]ratio_ins!R:R,MATCH('001_population_health_zone_zs'!$B$2,[1]ratio_ins!$B:$B,0))*$G461*INDEX([1]ratio_ins!$C:$C,MATCH('001_population_health_zone_zs'!$B461,[1]ratio_ins!$B:$B,0))</f>
        <v>2547.3214800000001</v>
      </c>
      <c r="U461" s="10">
        <f>INDEX([1]ratio_ins!S:S,MATCH('001_population_health_zone_zs'!$B$2,[1]ratio_ins!$B:$B,0))*$G461*INDEX([1]ratio_ins!$C:$C,MATCH('001_population_health_zone_zs'!$B461,[1]ratio_ins!$B:$B,0))</f>
        <v>2022.8729400000002</v>
      </c>
      <c r="V461" s="10">
        <f>INDEX([1]ratio_ins!T:T,MATCH('001_population_health_zone_zs'!$B$2,[1]ratio_ins!$B:$B,0))*$G461*INDEX([1]ratio_ins!$C:$C,MATCH('001_population_health_zone_zs'!$B461,[1]ratio_ins!$B:$B,0))</f>
        <v>1123.8182999999999</v>
      </c>
      <c r="W461" s="11">
        <f>INDEX([1]ratio_ins!U:U,MATCH('001_population_health_zone_zs'!$B$2,[1]ratio_ins!$B:$B,0))*$G461*INDEX([1]ratio_ins!$C:$C,MATCH('001_population_health_zone_zs'!$B461,[1]ratio_ins!$B:$B,0))</f>
        <v>30657.763224000002</v>
      </c>
      <c r="X461" s="10">
        <f>INDEX([1]ratio_ins!V:V,MATCH('001_population_health_zone_zs'!$B$2,[1]ratio_ins!$B:$B,0))*$G461*INDEX([1]ratio_ins!$C:$C,MATCH('001_population_health_zone_zs'!$B461,[1]ratio_ins!$B:$B,0))</f>
        <v>899.05463999999995</v>
      </c>
      <c r="Y461" s="10">
        <f>INDEX([1]ratio_ins!W:W,MATCH('001_population_health_zone_zs'!$B$2,[1]ratio_ins!$B:$B,0))*$G461*INDEX([1]ratio_ins!$C:$C,MATCH('001_population_health_zone_zs'!$B461,[1]ratio_ins!$B:$B,0))</f>
        <v>599.36975999999993</v>
      </c>
      <c r="Z461" s="10">
        <f>INDEX([1]ratio_ins!X:X,MATCH('001_population_health_zone_zs'!$B$2,[1]ratio_ins!$B:$B,0))*$G461*INDEX([1]ratio_ins!$C:$C,MATCH('001_population_health_zone_zs'!$B461,[1]ratio_ins!$B:$B,0))</f>
        <v>299.68487999999996</v>
      </c>
      <c r="AA461" s="10">
        <f>INDEX([1]ratio_ins!Y:Y,MATCH('001_population_health_zone_zs'!$B$2,[1]ratio_ins!$B:$B,0))*$G461*INDEX([1]ratio_ins!$C:$C,MATCH('001_population_health_zone_zs'!$B461,[1]ratio_ins!$B:$B,0))</f>
        <v>149.84243999999998</v>
      </c>
      <c r="AB461" s="11">
        <f>INDEX([1]ratio_ins!Z:Z,MATCH('001_population_health_zone_zs'!$B$2,[1]ratio_ins!$B:$B,0))*$G461*INDEX([1]ratio_ins!$C:$C,MATCH('001_population_health_zone_zs'!$B461,[1]ratio_ins!$B:$B,0))</f>
        <v>1947.9517200000003</v>
      </c>
      <c r="AC461" s="12">
        <f t="shared" si="42"/>
        <v>74921.219999999987</v>
      </c>
      <c r="AD461" s="10">
        <f>INDEX([1]ratio_ins!AA:AA,MATCH('001_population_health_zone_zs'!$B$2,[1]ratio_ins!$B:$B,0))*$G461*INDEX([1]ratio_ins!$D:$D,MATCH('001_population_health_zone_zs'!$B461,[1]ratio_ins!$B:$B,0))</f>
        <v>16051.3038</v>
      </c>
      <c r="AE461" s="10">
        <f>INDEX([1]ratio_ins!AB:AB,MATCH('001_population_health_zone_zs'!$B$2,[1]ratio_ins!$B:$B,0))*$G461*INDEX([1]ratio_ins!$D:$D,MATCH('001_population_health_zone_zs'!$B461,[1]ratio_ins!$B:$B,0))</f>
        <v>13223.216940000002</v>
      </c>
      <c r="AF461" s="10">
        <f>INDEX([1]ratio_ins!AC:AC,MATCH('001_population_health_zone_zs'!$B$2,[1]ratio_ins!$B:$B,0))*$G461*INDEX([1]ratio_ins!$D:$D,MATCH('001_population_health_zone_zs'!$B461,[1]ratio_ins!$B:$B,0))</f>
        <v>10471.564859999999</v>
      </c>
      <c r="AG461" s="10">
        <f>INDEX([1]ratio_ins!AD:AD,MATCH('001_population_health_zone_zs'!$B$2,[1]ratio_ins!$B:$B,0))*$G461*INDEX([1]ratio_ins!$D:$D,MATCH('001_population_health_zone_zs'!$B461,[1]ratio_ins!$B:$B,0))</f>
        <v>6344.0867400000006</v>
      </c>
      <c r="AH461" s="10">
        <f>INDEX([1]ratio_ins!AE:AE,MATCH('001_population_health_zone_zs'!$B$2,[1]ratio_ins!$B:$B,0))*$G461*INDEX([1]ratio_ins!$D:$D,MATCH('001_population_health_zone_zs'!$B461,[1]ratio_ins!$B:$B,0))</f>
        <v>3806.4520439999997</v>
      </c>
      <c r="AI461" s="13">
        <f>INDEX([1]ratio_ins!AF:AF,MATCH('001_population_health_zone_zs'!$B$2,[1]ratio_ins!$B:$B,0))*$G461*INDEX([1]ratio_ins!$D:$D,MATCH('001_population_health_zone_zs'!$B461,[1]ratio_ins!$B:$B,0))</f>
        <v>43552.537643999996</v>
      </c>
      <c r="AJ461" s="10">
        <f>INDEX([1]ratio_ins!AG:AG,MATCH('001_population_health_zone_zs'!$B$2,[1]ratio_ins!$B:$B,0))*$G461*INDEX([1]ratio_ins!$D:$D,MATCH('001_population_health_zone_zs'!$B461,[1]ratio_ins!$B:$B,0))</f>
        <v>2537.6346960000001</v>
      </c>
      <c r="AK461" s="10">
        <f>INDEX([1]ratio_ins!AH:AH,MATCH('001_population_health_zone_zs'!$B$2,[1]ratio_ins!$B:$B,0))*$G461*INDEX([1]ratio_ins!$D:$D,MATCH('001_population_health_zone_zs'!$B461,[1]ratio_ins!$B:$B,0))</f>
        <v>5656.1737200000007</v>
      </c>
      <c r="AL461" s="10">
        <f>INDEX([1]ratio_ins!AI:AI,MATCH('001_population_health_zone_zs'!$B$2,[1]ratio_ins!$B:$B,0))*$G461*INDEX([1]ratio_ins!$D:$D,MATCH('001_population_health_zone_zs'!$B461,[1]ratio_ins!$B:$B,0))</f>
        <v>5350.4346000000014</v>
      </c>
      <c r="AM461" s="10">
        <f>INDEX([1]ratio_ins!AJ:AJ,MATCH('001_population_health_zone_zs'!$B$2,[1]ratio_ins!$B:$B,0))*$G461*INDEX([1]ratio_ins!$D:$D,MATCH('001_population_health_zone_zs'!$B461,[1]ratio_ins!$B:$B,0))</f>
        <v>4891.8259200000002</v>
      </c>
      <c r="AN461" s="10">
        <f>INDEX([1]ratio_ins!AK:AK,MATCH('001_population_health_zone_zs'!$B$2,[1]ratio_ins!$B:$B,0))*$G461*INDEX([1]ratio_ins!$D:$D,MATCH('001_population_health_zone_zs'!$B461,[1]ratio_ins!$B:$B,0))</f>
        <v>4586.0867999999991</v>
      </c>
      <c r="AO461" s="10">
        <f>INDEX([1]ratio_ins!AL:AL,MATCH('001_population_health_zone_zs'!$B$2,[1]ratio_ins!$B:$B,0))*$G461*INDEX([1]ratio_ins!$D:$D,MATCH('001_population_health_zone_zs'!$B461,[1]ratio_ins!$B:$B,0))</f>
        <v>3439.5650999999998</v>
      </c>
      <c r="AP461" s="10">
        <f>INDEX([1]ratio_ins!AM:AM,MATCH('001_population_health_zone_zs'!$B$2,[1]ratio_ins!$B:$B,0))*$G461*INDEX([1]ratio_ins!$D:$D,MATCH('001_population_health_zone_zs'!$B461,[1]ratio_ins!$B:$B,0))</f>
        <v>2216.60862</v>
      </c>
      <c r="AQ461" s="10">
        <f>INDEX([1]ratio_ins!AN:AN,MATCH('001_population_health_zone_zs'!$B$2,[1]ratio_ins!$B:$B,0))*$G461*INDEX([1]ratio_ins!$D:$D,MATCH('001_population_health_zone_zs'!$B461,[1]ratio_ins!$B:$B,0))</f>
        <v>1757.9999400000002</v>
      </c>
      <c r="AR461" s="10">
        <f>INDEX([1]ratio_ins!AO:AO,MATCH('001_population_health_zone_zs'!$B$2,[1]ratio_ins!$B:$B,0))*$G461*INDEX([1]ratio_ins!$D:$D,MATCH('001_population_health_zone_zs'!$B461,[1]ratio_ins!$B:$B,0))</f>
        <v>840.78258000000005</v>
      </c>
      <c r="AS461" s="13">
        <f>INDEX([1]ratio_ins!AP:AP,MATCH('001_population_health_zone_zs'!$B$2,[1]ratio_ins!$B:$B,0))*$G461*INDEX([1]ratio_ins!$D:$D,MATCH('001_population_health_zone_zs'!$B461,[1]ratio_ins!$B:$B,0))</f>
        <v>31277.111976</v>
      </c>
      <c r="AT461" s="10">
        <f>INDEX([1]ratio_ins!AQ:AQ,MATCH('001_population_health_zone_zs'!$B$2,[1]ratio_ins!$B:$B,0))*$G461*INDEX([1]ratio_ins!$D:$D,MATCH('001_population_health_zone_zs'!$B461,[1]ratio_ins!$B:$B,0))</f>
        <v>764.34780000000001</v>
      </c>
      <c r="AU461" s="10">
        <f>INDEX([1]ratio_ins!AR:AR,MATCH('001_population_health_zone_zs'!$B$2,[1]ratio_ins!$B:$B,0))*$G461*INDEX([1]ratio_ins!$D:$D,MATCH('001_population_health_zone_zs'!$B461,[1]ratio_ins!$B:$B,0))</f>
        <v>458.60867999999999</v>
      </c>
      <c r="AV461" s="10">
        <f>INDEX([1]ratio_ins!AS:AS,MATCH('001_population_health_zone_zs'!$B$2,[1]ratio_ins!$B:$B,0))*$G461*INDEX([1]ratio_ins!$D:$D,MATCH('001_population_health_zone_zs'!$B461,[1]ratio_ins!$B:$B,0))</f>
        <v>229.30434</v>
      </c>
      <c r="AW461" s="10">
        <f>INDEX([1]ratio_ins!AT:AT,MATCH('001_population_health_zone_zs'!$B$2,[1]ratio_ins!$B:$B,0))*$G461*INDEX([1]ratio_ins!$D:$D,MATCH('001_population_health_zone_zs'!$B461,[1]ratio_ins!$B:$B,0))</f>
        <v>152.86956000000001</v>
      </c>
      <c r="AX461" s="13">
        <f>INDEX([1]ratio_ins!AU:AU,MATCH('001_population_health_zone_zs'!$B$2,[1]ratio_ins!$B:$B,0))*$G461*INDEX([1]ratio_ins!$D:$D,MATCH('001_population_health_zone_zs'!$B461,[1]ratio_ins!$B:$B,0))</f>
        <v>1605.1303799999998</v>
      </c>
      <c r="AY461" s="14">
        <f t="shared" si="43"/>
        <v>76434.78</v>
      </c>
      <c r="AZ461" s="15">
        <f t="shared" si="44"/>
        <v>151356</v>
      </c>
      <c r="BA461" s="16">
        <v>144968.85150214395</v>
      </c>
      <c r="BB461" s="10">
        <f t="shared" si="45"/>
        <v>32484.781499999997</v>
      </c>
      <c r="BC461" s="17">
        <f t="shared" si="46"/>
        <v>0.21462499999999998</v>
      </c>
      <c r="BD461" s="10">
        <f t="shared" si="47"/>
        <v>31242.148740000001</v>
      </c>
    </row>
    <row r="462" spans="1:56" x14ac:dyDescent="0.25">
      <c r="A462" s="8" t="s">
        <v>1137</v>
      </c>
      <c r="B462" s="8" t="s">
        <v>1138</v>
      </c>
      <c r="C462" s="8" t="s">
        <v>1139</v>
      </c>
      <c r="D462" s="8" t="s">
        <v>1140</v>
      </c>
      <c r="E462" s="8" t="s">
        <v>1142</v>
      </c>
      <c r="F462" s="8" t="s">
        <v>1143</v>
      </c>
      <c r="G462" s="9">
        <v>216014</v>
      </c>
      <c r="H462" s="10">
        <f>INDEX([1]ratio_ins!F:F,MATCH('001_population_health_zone_zs'!$B$2,[1]ratio_ins!$B:$B,0))*$G462*INDEX([1]ratio_ins!$C:$C,MATCH('001_population_health_zone_zs'!$B462,[1]ratio_ins!$B:$B,0))</f>
        <v>22347.728370000001</v>
      </c>
      <c r="I462" s="10">
        <f>INDEX([1]ratio_ins!G:G,MATCH('001_population_health_zone_zs'!$B$2,[1]ratio_ins!$B:$B,0))*$G462*INDEX([1]ratio_ins!$C:$C,MATCH('001_population_health_zone_zs'!$B462,[1]ratio_ins!$B:$B,0))</f>
        <v>18284.50503</v>
      </c>
      <c r="J462" s="10">
        <f>INDEX([1]ratio_ins!H:H,MATCH('001_population_health_zone_zs'!$B$2,[1]ratio_ins!$B:$B,0))*$G462*INDEX([1]ratio_ins!$C:$C,MATCH('001_population_health_zone_zs'!$B462,[1]ratio_ins!$B:$B,0))</f>
        <v>14435.135550000001</v>
      </c>
      <c r="K462" s="10">
        <f>INDEX([1]ratio_ins!I:I,MATCH('001_population_health_zone_zs'!$B$2,[1]ratio_ins!$B:$B,0))*$G462*INDEX([1]ratio_ins!$C:$C,MATCH('001_population_health_zone_zs'!$B462,[1]ratio_ins!$B:$B,0))</f>
        <v>8874.9351900000001</v>
      </c>
      <c r="L462" s="10">
        <f>INDEX([1]ratio_ins!J:J,MATCH('001_population_health_zone_zs'!$B$2,[1]ratio_ins!$B:$B,0))*$G462*INDEX([1]ratio_ins!$C:$C,MATCH('001_population_health_zone_zs'!$B462,[1]ratio_ins!$B:$B,0))</f>
        <v>5324.9611139999997</v>
      </c>
      <c r="M462" s="11">
        <f>INDEX([1]ratio_ins!K:K,MATCH('001_population_health_zone_zs'!$B$2,[1]ratio_ins!$B:$B,0))*$G462*INDEX([1]ratio_ins!$C:$C,MATCH('001_population_health_zone_zs'!$B462,[1]ratio_ins!$B:$B,0))</f>
        <v>60392.330063999994</v>
      </c>
      <c r="N462" s="10">
        <f>INDEX([1]ratio_ins!L:L,MATCH('001_population_health_zone_zs'!$B$2,[1]ratio_ins!$B:$B,0))*$G462*INDEX([1]ratio_ins!$C:$C,MATCH('001_population_health_zone_zs'!$B462,[1]ratio_ins!$B:$B,0))</f>
        <v>3549.9740760000004</v>
      </c>
      <c r="O462" s="10">
        <f>INDEX([1]ratio_ins!M:M,MATCH('001_population_health_zone_zs'!$B$2,[1]ratio_ins!$B:$B,0))*$G462*INDEX([1]ratio_ins!$C:$C,MATCH('001_population_health_zone_zs'!$B462,[1]ratio_ins!$B:$B,0))</f>
        <v>7698.7389600000006</v>
      </c>
      <c r="P462" s="10">
        <f>INDEX([1]ratio_ins!N:N,MATCH('001_population_health_zone_zs'!$B$2,[1]ratio_ins!$B:$B,0))*$G462*INDEX([1]ratio_ins!$C:$C,MATCH('001_population_health_zone_zs'!$B462,[1]ratio_ins!$B:$B,0))</f>
        <v>6950.2504499999995</v>
      </c>
      <c r="Q462" s="10">
        <f>INDEX([1]ratio_ins!O:O,MATCH('001_population_health_zone_zs'!$B$2,[1]ratio_ins!$B:$B,0))*$G462*INDEX([1]ratio_ins!$C:$C,MATCH('001_population_health_zone_zs'!$B462,[1]ratio_ins!$B:$B,0))</f>
        <v>6201.7619400000003</v>
      </c>
      <c r="R462" s="10">
        <f>INDEX([1]ratio_ins!P:P,MATCH('001_population_health_zone_zs'!$B$2,[1]ratio_ins!$B:$B,0))*$G462*INDEX([1]ratio_ins!$C:$C,MATCH('001_population_health_zone_zs'!$B462,[1]ratio_ins!$B:$B,0))</f>
        <v>6094.8350100000007</v>
      </c>
      <c r="S462" s="10">
        <f>INDEX([1]ratio_ins!Q:Q,MATCH('001_population_health_zone_zs'!$B$2,[1]ratio_ins!$B:$B,0))*$G462*INDEX([1]ratio_ins!$C:$C,MATCH('001_population_health_zone_zs'!$B462,[1]ratio_ins!$B:$B,0))</f>
        <v>5132.4926400000004</v>
      </c>
      <c r="T462" s="10">
        <f>INDEX([1]ratio_ins!R:R,MATCH('001_population_health_zone_zs'!$B$2,[1]ratio_ins!$B:$B,0))*$G462*INDEX([1]ratio_ins!$C:$C,MATCH('001_population_health_zone_zs'!$B462,[1]ratio_ins!$B:$B,0))</f>
        <v>3635.5156200000001</v>
      </c>
      <c r="U462" s="10">
        <f>INDEX([1]ratio_ins!S:S,MATCH('001_population_health_zone_zs'!$B$2,[1]ratio_ins!$B:$B,0))*$G462*INDEX([1]ratio_ins!$C:$C,MATCH('001_population_health_zone_zs'!$B462,[1]ratio_ins!$B:$B,0))</f>
        <v>2887.0271100000004</v>
      </c>
      <c r="V462" s="10">
        <f>INDEX([1]ratio_ins!T:T,MATCH('001_population_health_zone_zs'!$B$2,[1]ratio_ins!$B:$B,0))*$G462*INDEX([1]ratio_ins!$C:$C,MATCH('001_population_health_zone_zs'!$B462,[1]ratio_ins!$B:$B,0))</f>
        <v>1603.9039499999999</v>
      </c>
      <c r="W462" s="11">
        <f>INDEX([1]ratio_ins!U:U,MATCH('001_population_health_zone_zs'!$B$2,[1]ratio_ins!$B:$B,0))*$G462*INDEX([1]ratio_ins!$C:$C,MATCH('001_population_health_zone_zs'!$B462,[1]ratio_ins!$B:$B,0))</f>
        <v>43754.499756000005</v>
      </c>
      <c r="X462" s="10">
        <f>INDEX([1]ratio_ins!V:V,MATCH('001_population_health_zone_zs'!$B$2,[1]ratio_ins!$B:$B,0))*$G462*INDEX([1]ratio_ins!$C:$C,MATCH('001_population_health_zone_zs'!$B462,[1]ratio_ins!$B:$B,0))</f>
        <v>1283.1231600000001</v>
      </c>
      <c r="Y462" s="10">
        <f>INDEX([1]ratio_ins!W:W,MATCH('001_population_health_zone_zs'!$B$2,[1]ratio_ins!$B:$B,0))*$G462*INDEX([1]ratio_ins!$C:$C,MATCH('001_population_health_zone_zs'!$B462,[1]ratio_ins!$B:$B,0))</f>
        <v>855.41543999999999</v>
      </c>
      <c r="Z462" s="10">
        <f>INDEX([1]ratio_ins!X:X,MATCH('001_population_health_zone_zs'!$B$2,[1]ratio_ins!$B:$B,0))*$G462*INDEX([1]ratio_ins!$C:$C,MATCH('001_population_health_zone_zs'!$B462,[1]ratio_ins!$B:$B,0))</f>
        <v>427.70771999999999</v>
      </c>
      <c r="AA462" s="10">
        <f>INDEX([1]ratio_ins!Y:Y,MATCH('001_population_health_zone_zs'!$B$2,[1]ratio_ins!$B:$B,0))*$G462*INDEX([1]ratio_ins!$C:$C,MATCH('001_population_health_zone_zs'!$B462,[1]ratio_ins!$B:$B,0))</f>
        <v>213.85386</v>
      </c>
      <c r="AB462" s="11">
        <f>INDEX([1]ratio_ins!Z:Z,MATCH('001_population_health_zone_zs'!$B$2,[1]ratio_ins!$B:$B,0))*$G462*INDEX([1]ratio_ins!$C:$C,MATCH('001_population_health_zone_zs'!$B462,[1]ratio_ins!$B:$B,0))</f>
        <v>2780.1001800000004</v>
      </c>
      <c r="AC462" s="12">
        <f t="shared" si="42"/>
        <v>106926.93</v>
      </c>
      <c r="AD462" s="10">
        <f>INDEX([1]ratio_ins!AA:AA,MATCH('001_population_health_zone_zs'!$B$2,[1]ratio_ins!$B:$B,0))*$G462*INDEX([1]ratio_ins!$D:$D,MATCH('001_population_health_zone_zs'!$B462,[1]ratio_ins!$B:$B,0))</f>
        <v>22908.284699999997</v>
      </c>
      <c r="AE462" s="10">
        <f>INDEX([1]ratio_ins!AB:AB,MATCH('001_population_health_zone_zs'!$B$2,[1]ratio_ins!$B:$B,0))*$G462*INDEX([1]ratio_ins!$D:$D,MATCH('001_population_health_zone_zs'!$B462,[1]ratio_ins!$B:$B,0))</f>
        <v>18872.063110000003</v>
      </c>
      <c r="AF462" s="10">
        <f>INDEX([1]ratio_ins!AC:AC,MATCH('001_population_health_zone_zs'!$B$2,[1]ratio_ins!$B:$B,0))*$G462*INDEX([1]ratio_ins!$D:$D,MATCH('001_population_health_zone_zs'!$B462,[1]ratio_ins!$B:$B,0))</f>
        <v>14944.92859</v>
      </c>
      <c r="AG462" s="10">
        <f>INDEX([1]ratio_ins!AD:AD,MATCH('001_population_health_zone_zs'!$B$2,[1]ratio_ins!$B:$B,0))*$G462*INDEX([1]ratio_ins!$D:$D,MATCH('001_population_health_zone_zs'!$B462,[1]ratio_ins!$B:$B,0))</f>
        <v>9054.2268100000001</v>
      </c>
      <c r="AH462" s="10">
        <f>INDEX([1]ratio_ins!AE:AE,MATCH('001_population_health_zone_zs'!$B$2,[1]ratio_ins!$B:$B,0))*$G462*INDEX([1]ratio_ins!$D:$D,MATCH('001_population_health_zone_zs'!$B462,[1]ratio_ins!$B:$B,0))</f>
        <v>5432.5360860000001</v>
      </c>
      <c r="AI462" s="13">
        <f>INDEX([1]ratio_ins!AF:AF,MATCH('001_population_health_zone_zs'!$B$2,[1]ratio_ins!$B:$B,0))*$G462*INDEX([1]ratio_ins!$D:$D,MATCH('001_population_health_zone_zs'!$B462,[1]ratio_ins!$B:$B,0))</f>
        <v>62157.812486000003</v>
      </c>
      <c r="AJ462" s="10">
        <f>INDEX([1]ratio_ins!AG:AG,MATCH('001_population_health_zone_zs'!$B$2,[1]ratio_ins!$B:$B,0))*$G462*INDEX([1]ratio_ins!$D:$D,MATCH('001_population_health_zone_zs'!$B462,[1]ratio_ins!$B:$B,0))</f>
        <v>3621.690724</v>
      </c>
      <c r="AK462" s="10">
        <f>INDEX([1]ratio_ins!AH:AH,MATCH('001_population_health_zone_zs'!$B$2,[1]ratio_ins!$B:$B,0))*$G462*INDEX([1]ratio_ins!$D:$D,MATCH('001_population_health_zone_zs'!$B462,[1]ratio_ins!$B:$B,0))</f>
        <v>8072.4431800000011</v>
      </c>
      <c r="AL462" s="10">
        <f>INDEX([1]ratio_ins!AI:AI,MATCH('001_population_health_zone_zs'!$B$2,[1]ratio_ins!$B:$B,0))*$G462*INDEX([1]ratio_ins!$D:$D,MATCH('001_population_health_zone_zs'!$B462,[1]ratio_ins!$B:$B,0))</f>
        <v>7636.094900000001</v>
      </c>
      <c r="AM462" s="10">
        <f>INDEX([1]ratio_ins!AJ:AJ,MATCH('001_population_health_zone_zs'!$B$2,[1]ratio_ins!$B:$B,0))*$G462*INDEX([1]ratio_ins!$D:$D,MATCH('001_population_health_zone_zs'!$B462,[1]ratio_ins!$B:$B,0))</f>
        <v>6981.5724800000007</v>
      </c>
      <c r="AN462" s="10">
        <f>INDEX([1]ratio_ins!AK:AK,MATCH('001_population_health_zone_zs'!$B$2,[1]ratio_ins!$B:$B,0))*$G462*INDEX([1]ratio_ins!$D:$D,MATCH('001_population_health_zone_zs'!$B462,[1]ratio_ins!$B:$B,0))</f>
        <v>6545.2242000000006</v>
      </c>
      <c r="AO462" s="10">
        <f>INDEX([1]ratio_ins!AL:AL,MATCH('001_population_health_zone_zs'!$B$2,[1]ratio_ins!$B:$B,0))*$G462*INDEX([1]ratio_ins!$D:$D,MATCH('001_population_health_zone_zs'!$B462,[1]ratio_ins!$B:$B,0))</f>
        <v>4908.9181499999995</v>
      </c>
      <c r="AP462" s="10">
        <f>INDEX([1]ratio_ins!AM:AM,MATCH('001_population_health_zone_zs'!$B$2,[1]ratio_ins!$B:$B,0))*$G462*INDEX([1]ratio_ins!$D:$D,MATCH('001_population_health_zone_zs'!$B462,[1]ratio_ins!$B:$B,0))</f>
        <v>3163.5250299999998</v>
      </c>
      <c r="AQ462" s="10">
        <f>INDEX([1]ratio_ins!AN:AN,MATCH('001_population_health_zone_zs'!$B$2,[1]ratio_ins!$B:$B,0))*$G462*INDEX([1]ratio_ins!$D:$D,MATCH('001_population_health_zone_zs'!$B462,[1]ratio_ins!$B:$B,0))</f>
        <v>2509.00261</v>
      </c>
      <c r="AR462" s="10">
        <f>INDEX([1]ratio_ins!AO:AO,MATCH('001_population_health_zone_zs'!$B$2,[1]ratio_ins!$B:$B,0))*$G462*INDEX([1]ratio_ins!$D:$D,MATCH('001_population_health_zone_zs'!$B462,[1]ratio_ins!$B:$B,0))</f>
        <v>1199.9577700000002</v>
      </c>
      <c r="AS462" s="13">
        <f>INDEX([1]ratio_ins!AP:AP,MATCH('001_population_health_zone_zs'!$B$2,[1]ratio_ins!$B:$B,0))*$G462*INDEX([1]ratio_ins!$D:$D,MATCH('001_population_health_zone_zs'!$B462,[1]ratio_ins!$B:$B,0))</f>
        <v>44638.429044000004</v>
      </c>
      <c r="AT462" s="10">
        <f>INDEX([1]ratio_ins!AQ:AQ,MATCH('001_population_health_zone_zs'!$B$2,[1]ratio_ins!$B:$B,0))*$G462*INDEX([1]ratio_ins!$D:$D,MATCH('001_population_health_zone_zs'!$B462,[1]ratio_ins!$B:$B,0))</f>
        <v>1090.8706999999999</v>
      </c>
      <c r="AU462" s="10">
        <f>INDEX([1]ratio_ins!AR:AR,MATCH('001_population_health_zone_zs'!$B$2,[1]ratio_ins!$B:$B,0))*$G462*INDEX([1]ratio_ins!$D:$D,MATCH('001_population_health_zone_zs'!$B462,[1]ratio_ins!$B:$B,0))</f>
        <v>654.52242000000001</v>
      </c>
      <c r="AV462" s="10">
        <f>INDEX([1]ratio_ins!AS:AS,MATCH('001_population_health_zone_zs'!$B$2,[1]ratio_ins!$B:$B,0))*$G462*INDEX([1]ratio_ins!$D:$D,MATCH('001_population_health_zone_zs'!$B462,[1]ratio_ins!$B:$B,0))</f>
        <v>327.26121000000001</v>
      </c>
      <c r="AW462" s="10">
        <f>INDEX([1]ratio_ins!AT:AT,MATCH('001_population_health_zone_zs'!$B$2,[1]ratio_ins!$B:$B,0))*$G462*INDEX([1]ratio_ins!$D:$D,MATCH('001_population_health_zone_zs'!$B462,[1]ratio_ins!$B:$B,0))</f>
        <v>218.17414000000002</v>
      </c>
      <c r="AX462" s="13">
        <f>INDEX([1]ratio_ins!AU:AU,MATCH('001_population_health_zone_zs'!$B$2,[1]ratio_ins!$B:$B,0))*$G462*INDEX([1]ratio_ins!$D:$D,MATCH('001_population_health_zone_zs'!$B462,[1]ratio_ins!$B:$B,0))</f>
        <v>2290.8284699999999</v>
      </c>
      <c r="AY462" s="14">
        <f t="shared" si="43"/>
        <v>109087.06999999999</v>
      </c>
      <c r="AZ462" s="15">
        <f t="shared" si="44"/>
        <v>216014</v>
      </c>
      <c r="BA462" s="16">
        <v>206897.64887057102</v>
      </c>
      <c r="BB462" s="10">
        <f t="shared" si="45"/>
        <v>46362.00475</v>
      </c>
      <c r="BC462" s="17">
        <f t="shared" si="46"/>
        <v>0.21462500000000001</v>
      </c>
      <c r="BD462" s="10">
        <f t="shared" si="47"/>
        <v>44588.52981</v>
      </c>
    </row>
    <row r="463" spans="1:56" x14ac:dyDescent="0.25">
      <c r="A463" s="8" t="s">
        <v>1137</v>
      </c>
      <c r="B463" s="8" t="s">
        <v>1138</v>
      </c>
      <c r="C463" s="8" t="s">
        <v>1139</v>
      </c>
      <c r="D463" s="8" t="s">
        <v>1140</v>
      </c>
      <c r="E463" s="8" t="s">
        <v>1144</v>
      </c>
      <c r="F463" s="8" t="s">
        <v>1145</v>
      </c>
      <c r="G463" s="9">
        <v>122645</v>
      </c>
      <c r="H463" s="10">
        <f>INDEX([1]ratio_ins!F:F,MATCH('001_population_health_zone_zs'!$B$2,[1]ratio_ins!$B:$B,0))*$G463*INDEX([1]ratio_ins!$C:$C,MATCH('001_population_health_zone_zs'!$B463,[1]ratio_ins!$B:$B,0))</f>
        <v>12688.238475</v>
      </c>
      <c r="I463" s="10">
        <f>INDEX([1]ratio_ins!G:G,MATCH('001_population_health_zone_zs'!$B$2,[1]ratio_ins!$B:$B,0))*$G463*INDEX([1]ratio_ins!$C:$C,MATCH('001_population_health_zone_zs'!$B463,[1]ratio_ins!$B:$B,0))</f>
        <v>10381.286025000001</v>
      </c>
      <c r="J463" s="10">
        <f>INDEX([1]ratio_ins!H:H,MATCH('001_population_health_zone_zs'!$B$2,[1]ratio_ins!$B:$B,0))*$G463*INDEX([1]ratio_ins!$C:$C,MATCH('001_population_health_zone_zs'!$B463,[1]ratio_ins!$B:$B,0))</f>
        <v>8195.7521250000009</v>
      </c>
      <c r="K463" s="10">
        <f>INDEX([1]ratio_ins!I:I,MATCH('001_population_health_zone_zs'!$B$2,[1]ratio_ins!$B:$B,0))*$G463*INDEX([1]ratio_ins!$C:$C,MATCH('001_population_health_zone_zs'!$B463,[1]ratio_ins!$B:$B,0))</f>
        <v>5038.8698249999998</v>
      </c>
      <c r="L463" s="10">
        <f>INDEX([1]ratio_ins!J:J,MATCH('001_population_health_zone_zs'!$B$2,[1]ratio_ins!$B:$B,0))*$G463*INDEX([1]ratio_ins!$C:$C,MATCH('001_population_health_zone_zs'!$B463,[1]ratio_ins!$B:$B,0))</f>
        <v>3023.3218949999996</v>
      </c>
      <c r="M463" s="11">
        <f>INDEX([1]ratio_ins!K:K,MATCH('001_population_health_zone_zs'!$B$2,[1]ratio_ins!$B:$B,0))*$G463*INDEX([1]ratio_ins!$C:$C,MATCH('001_population_health_zone_zs'!$B463,[1]ratio_ins!$B:$B,0))</f>
        <v>34288.59852</v>
      </c>
      <c r="N463" s="10">
        <f>INDEX([1]ratio_ins!L:L,MATCH('001_population_health_zone_zs'!$B$2,[1]ratio_ins!$B:$B,0))*$G463*INDEX([1]ratio_ins!$C:$C,MATCH('001_population_health_zone_zs'!$B463,[1]ratio_ins!$B:$B,0))</f>
        <v>2015.54793</v>
      </c>
      <c r="O463" s="10">
        <f>INDEX([1]ratio_ins!M:M,MATCH('001_population_health_zone_zs'!$B$2,[1]ratio_ins!$B:$B,0))*$G463*INDEX([1]ratio_ins!$C:$C,MATCH('001_population_health_zone_zs'!$B463,[1]ratio_ins!$B:$B,0))</f>
        <v>4371.0677999999998</v>
      </c>
      <c r="P463" s="10">
        <f>INDEX([1]ratio_ins!N:N,MATCH('001_population_health_zone_zs'!$B$2,[1]ratio_ins!$B:$B,0))*$G463*INDEX([1]ratio_ins!$C:$C,MATCH('001_population_health_zone_zs'!$B463,[1]ratio_ins!$B:$B,0))</f>
        <v>3946.102875</v>
      </c>
      <c r="Q463" s="10">
        <f>INDEX([1]ratio_ins!O:O,MATCH('001_population_health_zone_zs'!$B$2,[1]ratio_ins!$B:$B,0))*$G463*INDEX([1]ratio_ins!$C:$C,MATCH('001_population_health_zone_zs'!$B463,[1]ratio_ins!$B:$B,0))</f>
        <v>3521.1379499999998</v>
      </c>
      <c r="R463" s="10">
        <f>INDEX([1]ratio_ins!P:P,MATCH('001_population_health_zone_zs'!$B$2,[1]ratio_ins!$B:$B,0))*$G463*INDEX([1]ratio_ins!$C:$C,MATCH('001_population_health_zone_zs'!$B463,[1]ratio_ins!$B:$B,0))</f>
        <v>3460.4286750000001</v>
      </c>
      <c r="S463" s="10">
        <f>INDEX([1]ratio_ins!Q:Q,MATCH('001_population_health_zone_zs'!$B$2,[1]ratio_ins!$B:$B,0))*$G463*INDEX([1]ratio_ins!$C:$C,MATCH('001_population_health_zone_zs'!$B463,[1]ratio_ins!$B:$B,0))</f>
        <v>2914.0452</v>
      </c>
      <c r="T463" s="10">
        <f>INDEX([1]ratio_ins!R:R,MATCH('001_population_health_zone_zs'!$B$2,[1]ratio_ins!$B:$B,0))*$G463*INDEX([1]ratio_ins!$C:$C,MATCH('001_population_health_zone_zs'!$B463,[1]ratio_ins!$B:$B,0))</f>
        <v>2064.11535</v>
      </c>
      <c r="U463" s="10">
        <f>INDEX([1]ratio_ins!S:S,MATCH('001_population_health_zone_zs'!$B$2,[1]ratio_ins!$B:$B,0))*$G463*INDEX([1]ratio_ins!$C:$C,MATCH('001_population_health_zone_zs'!$B463,[1]ratio_ins!$B:$B,0))</f>
        <v>1639.1504250000003</v>
      </c>
      <c r="V463" s="10">
        <f>INDEX([1]ratio_ins!T:T,MATCH('001_population_health_zone_zs'!$B$2,[1]ratio_ins!$B:$B,0))*$G463*INDEX([1]ratio_ins!$C:$C,MATCH('001_population_health_zone_zs'!$B463,[1]ratio_ins!$B:$B,0))</f>
        <v>910.63912499999992</v>
      </c>
      <c r="W463" s="11">
        <f>INDEX([1]ratio_ins!U:U,MATCH('001_population_health_zone_zs'!$B$2,[1]ratio_ins!$B:$B,0))*$G463*INDEX([1]ratio_ins!$C:$C,MATCH('001_population_health_zone_zs'!$B463,[1]ratio_ins!$B:$B,0))</f>
        <v>24842.23533</v>
      </c>
      <c r="X463" s="10">
        <f>INDEX([1]ratio_ins!V:V,MATCH('001_population_health_zone_zs'!$B$2,[1]ratio_ins!$B:$B,0))*$G463*INDEX([1]ratio_ins!$C:$C,MATCH('001_population_health_zone_zs'!$B463,[1]ratio_ins!$B:$B,0))</f>
        <v>728.51130000000001</v>
      </c>
      <c r="Y463" s="10">
        <f>INDEX([1]ratio_ins!W:W,MATCH('001_population_health_zone_zs'!$B$2,[1]ratio_ins!$B:$B,0))*$G463*INDEX([1]ratio_ins!$C:$C,MATCH('001_population_health_zone_zs'!$B463,[1]ratio_ins!$B:$B,0))</f>
        <v>485.67419999999998</v>
      </c>
      <c r="Z463" s="10">
        <f>INDEX([1]ratio_ins!X:X,MATCH('001_population_health_zone_zs'!$B$2,[1]ratio_ins!$B:$B,0))*$G463*INDEX([1]ratio_ins!$C:$C,MATCH('001_population_health_zone_zs'!$B463,[1]ratio_ins!$B:$B,0))</f>
        <v>242.83709999999999</v>
      </c>
      <c r="AA463" s="10">
        <f>INDEX([1]ratio_ins!Y:Y,MATCH('001_population_health_zone_zs'!$B$2,[1]ratio_ins!$B:$B,0))*$G463*INDEX([1]ratio_ins!$C:$C,MATCH('001_population_health_zone_zs'!$B463,[1]ratio_ins!$B:$B,0))</f>
        <v>121.41855</v>
      </c>
      <c r="AB463" s="11">
        <f>INDEX([1]ratio_ins!Z:Z,MATCH('001_population_health_zone_zs'!$B$2,[1]ratio_ins!$B:$B,0))*$G463*INDEX([1]ratio_ins!$C:$C,MATCH('001_population_health_zone_zs'!$B463,[1]ratio_ins!$B:$B,0))</f>
        <v>1578.4411500000001</v>
      </c>
      <c r="AC463" s="12">
        <f t="shared" si="42"/>
        <v>60709.274999999994</v>
      </c>
      <c r="AD463" s="10">
        <f>INDEX([1]ratio_ins!AA:AA,MATCH('001_population_health_zone_zs'!$B$2,[1]ratio_ins!$B:$B,0))*$G463*INDEX([1]ratio_ins!$D:$D,MATCH('001_population_health_zone_zs'!$B463,[1]ratio_ins!$B:$B,0))</f>
        <v>13006.502250000001</v>
      </c>
      <c r="AE463" s="10">
        <f>INDEX([1]ratio_ins!AB:AB,MATCH('001_population_health_zone_zs'!$B$2,[1]ratio_ins!$B:$B,0))*$G463*INDEX([1]ratio_ins!$D:$D,MATCH('001_population_health_zone_zs'!$B463,[1]ratio_ins!$B:$B,0))</f>
        <v>10714.880425000001</v>
      </c>
      <c r="AF463" s="10">
        <f>INDEX([1]ratio_ins!AC:AC,MATCH('001_population_health_zone_zs'!$B$2,[1]ratio_ins!$B:$B,0))*$G463*INDEX([1]ratio_ins!$D:$D,MATCH('001_population_health_zone_zs'!$B463,[1]ratio_ins!$B:$B,0))</f>
        <v>8485.1943249999986</v>
      </c>
      <c r="AG463" s="10">
        <f>INDEX([1]ratio_ins!AD:AD,MATCH('001_population_health_zone_zs'!$B$2,[1]ratio_ins!$B:$B,0))*$G463*INDEX([1]ratio_ins!$D:$D,MATCH('001_population_health_zone_zs'!$B463,[1]ratio_ins!$B:$B,0))</f>
        <v>5140.6651750000001</v>
      </c>
      <c r="AH463" s="10">
        <f>INDEX([1]ratio_ins!AE:AE,MATCH('001_population_health_zone_zs'!$B$2,[1]ratio_ins!$B:$B,0))*$G463*INDEX([1]ratio_ins!$D:$D,MATCH('001_population_health_zone_zs'!$B463,[1]ratio_ins!$B:$B,0))</f>
        <v>3084.399105</v>
      </c>
      <c r="AI463" s="13">
        <f>INDEX([1]ratio_ins!AF:AF,MATCH('001_population_health_zone_zs'!$B$2,[1]ratio_ins!$B:$B,0))*$G463*INDEX([1]ratio_ins!$D:$D,MATCH('001_population_health_zone_zs'!$B463,[1]ratio_ins!$B:$B,0))</f>
        <v>35290.976105000002</v>
      </c>
      <c r="AJ463" s="10">
        <f>INDEX([1]ratio_ins!AG:AG,MATCH('001_population_health_zone_zs'!$B$2,[1]ratio_ins!$B:$B,0))*$G463*INDEX([1]ratio_ins!$D:$D,MATCH('001_population_health_zone_zs'!$B463,[1]ratio_ins!$B:$B,0))</f>
        <v>2056.2660700000001</v>
      </c>
      <c r="AK463" s="10">
        <f>INDEX([1]ratio_ins!AH:AH,MATCH('001_population_health_zone_zs'!$B$2,[1]ratio_ins!$B:$B,0))*$G463*INDEX([1]ratio_ins!$D:$D,MATCH('001_population_health_zone_zs'!$B463,[1]ratio_ins!$B:$B,0))</f>
        <v>4583.2436500000003</v>
      </c>
      <c r="AL463" s="10">
        <f>INDEX([1]ratio_ins!AI:AI,MATCH('001_population_health_zone_zs'!$B$2,[1]ratio_ins!$B:$B,0))*$G463*INDEX([1]ratio_ins!$D:$D,MATCH('001_population_health_zone_zs'!$B463,[1]ratio_ins!$B:$B,0))</f>
        <v>4335.5007500000011</v>
      </c>
      <c r="AM463" s="10">
        <f>INDEX([1]ratio_ins!AJ:AJ,MATCH('001_population_health_zone_zs'!$B$2,[1]ratio_ins!$B:$B,0))*$G463*INDEX([1]ratio_ins!$D:$D,MATCH('001_population_health_zone_zs'!$B463,[1]ratio_ins!$B:$B,0))</f>
        <v>3963.8863999999999</v>
      </c>
      <c r="AN463" s="10">
        <f>INDEX([1]ratio_ins!AK:AK,MATCH('001_population_health_zone_zs'!$B$2,[1]ratio_ins!$B:$B,0))*$G463*INDEX([1]ratio_ins!$D:$D,MATCH('001_population_health_zone_zs'!$B463,[1]ratio_ins!$B:$B,0))</f>
        <v>3716.1435000000001</v>
      </c>
      <c r="AO463" s="10">
        <f>INDEX([1]ratio_ins!AL:AL,MATCH('001_population_health_zone_zs'!$B$2,[1]ratio_ins!$B:$B,0))*$G463*INDEX([1]ratio_ins!$D:$D,MATCH('001_population_health_zone_zs'!$B463,[1]ratio_ins!$B:$B,0))</f>
        <v>2787.1076249999996</v>
      </c>
      <c r="AP463" s="10">
        <f>INDEX([1]ratio_ins!AM:AM,MATCH('001_population_health_zone_zs'!$B$2,[1]ratio_ins!$B:$B,0))*$G463*INDEX([1]ratio_ins!$D:$D,MATCH('001_population_health_zone_zs'!$B463,[1]ratio_ins!$B:$B,0))</f>
        <v>1796.136025</v>
      </c>
      <c r="AQ463" s="10">
        <f>INDEX([1]ratio_ins!AN:AN,MATCH('001_population_health_zone_zs'!$B$2,[1]ratio_ins!$B:$B,0))*$G463*INDEX([1]ratio_ins!$D:$D,MATCH('001_population_health_zone_zs'!$B463,[1]ratio_ins!$B:$B,0))</f>
        <v>1424.521675</v>
      </c>
      <c r="AR463" s="10">
        <f>INDEX([1]ratio_ins!AO:AO,MATCH('001_population_health_zone_zs'!$B$2,[1]ratio_ins!$B:$B,0))*$G463*INDEX([1]ratio_ins!$D:$D,MATCH('001_population_health_zone_zs'!$B463,[1]ratio_ins!$B:$B,0))</f>
        <v>681.29297500000007</v>
      </c>
      <c r="AS463" s="13">
        <f>INDEX([1]ratio_ins!AP:AP,MATCH('001_population_health_zone_zs'!$B$2,[1]ratio_ins!$B:$B,0))*$G463*INDEX([1]ratio_ins!$D:$D,MATCH('001_population_health_zone_zs'!$B463,[1]ratio_ins!$B:$B,0))</f>
        <v>25344.098670000003</v>
      </c>
      <c r="AT463" s="10">
        <f>INDEX([1]ratio_ins!AQ:AQ,MATCH('001_population_health_zone_zs'!$B$2,[1]ratio_ins!$B:$B,0))*$G463*INDEX([1]ratio_ins!$D:$D,MATCH('001_population_health_zone_zs'!$B463,[1]ratio_ins!$B:$B,0))</f>
        <v>619.35725000000002</v>
      </c>
      <c r="AU463" s="10">
        <f>INDEX([1]ratio_ins!AR:AR,MATCH('001_population_health_zone_zs'!$B$2,[1]ratio_ins!$B:$B,0))*$G463*INDEX([1]ratio_ins!$D:$D,MATCH('001_population_health_zone_zs'!$B463,[1]ratio_ins!$B:$B,0))</f>
        <v>371.61435</v>
      </c>
      <c r="AV463" s="10">
        <f>INDEX([1]ratio_ins!AS:AS,MATCH('001_population_health_zone_zs'!$B$2,[1]ratio_ins!$B:$B,0))*$G463*INDEX([1]ratio_ins!$D:$D,MATCH('001_population_health_zone_zs'!$B463,[1]ratio_ins!$B:$B,0))</f>
        <v>185.807175</v>
      </c>
      <c r="AW463" s="10">
        <f>INDEX([1]ratio_ins!AT:AT,MATCH('001_population_health_zone_zs'!$B$2,[1]ratio_ins!$B:$B,0))*$G463*INDEX([1]ratio_ins!$D:$D,MATCH('001_population_health_zone_zs'!$B463,[1]ratio_ins!$B:$B,0))</f>
        <v>123.87145</v>
      </c>
      <c r="AX463" s="13">
        <f>INDEX([1]ratio_ins!AU:AU,MATCH('001_population_health_zone_zs'!$B$2,[1]ratio_ins!$B:$B,0))*$G463*INDEX([1]ratio_ins!$D:$D,MATCH('001_population_health_zone_zs'!$B463,[1]ratio_ins!$B:$B,0))</f>
        <v>1300.6502249999999</v>
      </c>
      <c r="AY463" s="14">
        <f t="shared" si="43"/>
        <v>61935.724999999999</v>
      </c>
      <c r="AZ463" s="15">
        <f t="shared" si="44"/>
        <v>122645</v>
      </c>
      <c r="BA463" s="16">
        <v>117469.09248802639</v>
      </c>
      <c r="BB463" s="10">
        <f t="shared" si="45"/>
        <v>26322.683125</v>
      </c>
      <c r="BC463" s="17">
        <f t="shared" si="46"/>
        <v>0.21462500000000001</v>
      </c>
      <c r="BD463" s="10">
        <f t="shared" si="47"/>
        <v>25315.767674999999</v>
      </c>
    </row>
    <row r="464" spans="1:56" x14ac:dyDescent="0.25">
      <c r="A464" s="8" t="s">
        <v>1137</v>
      </c>
      <c r="B464" s="8" t="s">
        <v>1138</v>
      </c>
      <c r="C464" s="8" t="s">
        <v>1146</v>
      </c>
      <c r="D464" s="8" t="s">
        <v>1147</v>
      </c>
      <c r="E464" s="8" t="s">
        <v>1146</v>
      </c>
      <c r="F464" s="8" t="s">
        <v>1148</v>
      </c>
      <c r="G464" s="9">
        <v>308419</v>
      </c>
      <c r="H464" s="10">
        <f>INDEX([1]ratio_ins!F:F,MATCH('001_population_health_zone_zs'!$B$2,[1]ratio_ins!$B:$B,0))*$G464*INDEX([1]ratio_ins!$C:$C,MATCH('001_population_health_zone_zs'!$B464,[1]ratio_ins!$B:$B,0))</f>
        <v>31907.487644999997</v>
      </c>
      <c r="I464" s="10">
        <f>INDEX([1]ratio_ins!G:G,MATCH('001_population_health_zone_zs'!$B$2,[1]ratio_ins!$B:$B,0))*$G464*INDEX([1]ratio_ins!$C:$C,MATCH('001_population_health_zone_zs'!$B464,[1]ratio_ins!$B:$B,0))</f>
        <v>26106.126255000003</v>
      </c>
      <c r="J464" s="10">
        <f>INDEX([1]ratio_ins!H:H,MATCH('001_population_health_zone_zs'!$B$2,[1]ratio_ins!$B:$B,0))*$G464*INDEX([1]ratio_ins!$C:$C,MATCH('001_population_health_zone_zs'!$B464,[1]ratio_ins!$B:$B,0))</f>
        <v>20610.099675000001</v>
      </c>
      <c r="K464" s="10">
        <f>INDEX([1]ratio_ins!I:I,MATCH('001_population_health_zone_zs'!$B$2,[1]ratio_ins!$B:$B,0))*$G464*INDEX([1]ratio_ins!$C:$C,MATCH('001_population_health_zone_zs'!$B464,[1]ratio_ins!$B:$B,0))</f>
        <v>12671.394615000001</v>
      </c>
      <c r="L464" s="10">
        <f>INDEX([1]ratio_ins!J:J,MATCH('001_population_health_zone_zs'!$B$2,[1]ratio_ins!$B:$B,0))*$G464*INDEX([1]ratio_ins!$C:$C,MATCH('001_population_health_zone_zs'!$B464,[1]ratio_ins!$B:$B,0))</f>
        <v>7602.8367689999986</v>
      </c>
      <c r="M464" s="11">
        <f>INDEX([1]ratio_ins!K:K,MATCH('001_population_health_zone_zs'!$B$2,[1]ratio_ins!$B:$B,0))*$G464*INDEX([1]ratio_ins!$C:$C,MATCH('001_population_health_zone_zs'!$B464,[1]ratio_ins!$B:$B,0))</f>
        <v>86226.550343999988</v>
      </c>
      <c r="N464" s="10">
        <f>INDEX([1]ratio_ins!L:L,MATCH('001_population_health_zone_zs'!$B$2,[1]ratio_ins!$B:$B,0))*$G464*INDEX([1]ratio_ins!$C:$C,MATCH('001_population_health_zone_zs'!$B464,[1]ratio_ins!$B:$B,0))</f>
        <v>5068.5578459999997</v>
      </c>
      <c r="O464" s="10">
        <f>INDEX([1]ratio_ins!M:M,MATCH('001_population_health_zone_zs'!$B$2,[1]ratio_ins!$B:$B,0))*$G464*INDEX([1]ratio_ins!$C:$C,MATCH('001_population_health_zone_zs'!$B464,[1]ratio_ins!$B:$B,0))</f>
        <v>10992.053160000001</v>
      </c>
      <c r="P464" s="10">
        <f>INDEX([1]ratio_ins!N:N,MATCH('001_population_health_zone_zs'!$B$2,[1]ratio_ins!$B:$B,0))*$G464*INDEX([1]ratio_ins!$C:$C,MATCH('001_population_health_zone_zs'!$B464,[1]ratio_ins!$B:$B,0))</f>
        <v>9923.3813250000003</v>
      </c>
      <c r="Q464" s="10">
        <f>INDEX([1]ratio_ins!O:O,MATCH('001_population_health_zone_zs'!$B$2,[1]ratio_ins!$B:$B,0))*$G464*INDEX([1]ratio_ins!$C:$C,MATCH('001_population_health_zone_zs'!$B464,[1]ratio_ins!$B:$B,0))</f>
        <v>8854.7094899999993</v>
      </c>
      <c r="R464" s="10">
        <f>INDEX([1]ratio_ins!P:P,MATCH('001_population_health_zone_zs'!$B$2,[1]ratio_ins!$B:$B,0))*$G464*INDEX([1]ratio_ins!$C:$C,MATCH('001_population_health_zone_zs'!$B464,[1]ratio_ins!$B:$B,0))</f>
        <v>8702.042085000001</v>
      </c>
      <c r="S464" s="10">
        <f>INDEX([1]ratio_ins!Q:Q,MATCH('001_population_health_zone_zs'!$B$2,[1]ratio_ins!$B:$B,0))*$G464*INDEX([1]ratio_ins!$C:$C,MATCH('001_population_health_zone_zs'!$B464,[1]ratio_ins!$B:$B,0))</f>
        <v>7328.0354400000006</v>
      </c>
      <c r="T464" s="10">
        <f>INDEX([1]ratio_ins!R:R,MATCH('001_population_health_zone_zs'!$B$2,[1]ratio_ins!$B:$B,0))*$G464*INDEX([1]ratio_ins!$C:$C,MATCH('001_population_health_zone_zs'!$B464,[1]ratio_ins!$B:$B,0))</f>
        <v>5190.6917700000004</v>
      </c>
      <c r="U464" s="10">
        <f>INDEX([1]ratio_ins!S:S,MATCH('001_population_health_zone_zs'!$B$2,[1]ratio_ins!$B:$B,0))*$G464*INDEX([1]ratio_ins!$C:$C,MATCH('001_population_health_zone_zs'!$B464,[1]ratio_ins!$B:$B,0))</f>
        <v>4122.0199350000003</v>
      </c>
      <c r="V464" s="10">
        <f>INDEX([1]ratio_ins!T:T,MATCH('001_population_health_zone_zs'!$B$2,[1]ratio_ins!$B:$B,0))*$G464*INDEX([1]ratio_ins!$C:$C,MATCH('001_population_health_zone_zs'!$B464,[1]ratio_ins!$B:$B,0))</f>
        <v>2290.0110749999999</v>
      </c>
      <c r="W464" s="11">
        <f>INDEX([1]ratio_ins!U:U,MATCH('001_population_health_zone_zs'!$B$2,[1]ratio_ins!$B:$B,0))*$G464*INDEX([1]ratio_ins!$C:$C,MATCH('001_population_health_zone_zs'!$B464,[1]ratio_ins!$B:$B,0))</f>
        <v>62471.502125999999</v>
      </c>
      <c r="X464" s="10">
        <f>INDEX([1]ratio_ins!V:V,MATCH('001_population_health_zone_zs'!$B$2,[1]ratio_ins!$B:$B,0))*$G464*INDEX([1]ratio_ins!$C:$C,MATCH('001_population_health_zone_zs'!$B464,[1]ratio_ins!$B:$B,0))</f>
        <v>1832.0088600000001</v>
      </c>
      <c r="Y464" s="10">
        <f>INDEX([1]ratio_ins!W:W,MATCH('001_population_health_zone_zs'!$B$2,[1]ratio_ins!$B:$B,0))*$G464*INDEX([1]ratio_ins!$C:$C,MATCH('001_population_health_zone_zs'!$B464,[1]ratio_ins!$B:$B,0))</f>
        <v>1221.33924</v>
      </c>
      <c r="Z464" s="10">
        <f>INDEX([1]ratio_ins!X:X,MATCH('001_population_health_zone_zs'!$B$2,[1]ratio_ins!$B:$B,0))*$G464*INDEX([1]ratio_ins!$C:$C,MATCH('001_population_health_zone_zs'!$B464,[1]ratio_ins!$B:$B,0))</f>
        <v>610.66962000000001</v>
      </c>
      <c r="AA464" s="10">
        <f>INDEX([1]ratio_ins!Y:Y,MATCH('001_population_health_zone_zs'!$B$2,[1]ratio_ins!$B:$B,0))*$G464*INDEX([1]ratio_ins!$C:$C,MATCH('001_population_health_zone_zs'!$B464,[1]ratio_ins!$B:$B,0))</f>
        <v>305.33481</v>
      </c>
      <c r="AB464" s="11">
        <f>INDEX([1]ratio_ins!Z:Z,MATCH('001_population_health_zone_zs'!$B$2,[1]ratio_ins!$B:$B,0))*$G464*INDEX([1]ratio_ins!$C:$C,MATCH('001_population_health_zone_zs'!$B464,[1]ratio_ins!$B:$B,0))</f>
        <v>3969.3525300000006</v>
      </c>
      <c r="AC464" s="12">
        <f t="shared" si="42"/>
        <v>152667.405</v>
      </c>
      <c r="AD464" s="10">
        <f>INDEX([1]ratio_ins!AA:AA,MATCH('001_population_health_zone_zs'!$B$2,[1]ratio_ins!$B:$B,0))*$G464*INDEX([1]ratio_ins!$D:$D,MATCH('001_population_health_zone_zs'!$B464,[1]ratio_ins!$B:$B,0))</f>
        <v>32707.83495</v>
      </c>
      <c r="AE464" s="10">
        <f>INDEX([1]ratio_ins!AB:AB,MATCH('001_population_health_zone_zs'!$B$2,[1]ratio_ins!$B:$B,0))*$G464*INDEX([1]ratio_ins!$D:$D,MATCH('001_population_health_zone_zs'!$B464,[1]ratio_ins!$B:$B,0))</f>
        <v>26945.025935000001</v>
      </c>
      <c r="AF464" s="10">
        <f>INDEX([1]ratio_ins!AC:AC,MATCH('001_population_health_zone_zs'!$B$2,[1]ratio_ins!$B:$B,0))*$G464*INDEX([1]ratio_ins!$D:$D,MATCH('001_population_health_zone_zs'!$B464,[1]ratio_ins!$B:$B,0))</f>
        <v>21337.968514999997</v>
      </c>
      <c r="AG464" s="10">
        <f>INDEX([1]ratio_ins!AD:AD,MATCH('001_population_health_zone_zs'!$B$2,[1]ratio_ins!$B:$B,0))*$G464*INDEX([1]ratio_ins!$D:$D,MATCH('001_population_health_zone_zs'!$B464,[1]ratio_ins!$B:$B,0))</f>
        <v>12927.382385000001</v>
      </c>
      <c r="AH464" s="10">
        <f>INDEX([1]ratio_ins!AE:AE,MATCH('001_population_health_zone_zs'!$B$2,[1]ratio_ins!$B:$B,0))*$G464*INDEX([1]ratio_ins!$D:$D,MATCH('001_population_health_zone_zs'!$B464,[1]ratio_ins!$B:$B,0))</f>
        <v>7756.4294309999996</v>
      </c>
      <c r="AI464" s="13">
        <f>INDEX([1]ratio_ins!AF:AF,MATCH('001_population_health_zone_zs'!$B$2,[1]ratio_ins!$B:$B,0))*$G464*INDEX([1]ratio_ins!$D:$D,MATCH('001_population_health_zone_zs'!$B464,[1]ratio_ins!$B:$B,0))</f>
        <v>88747.258830999999</v>
      </c>
      <c r="AJ464" s="10">
        <f>INDEX([1]ratio_ins!AG:AG,MATCH('001_population_health_zone_zs'!$B$2,[1]ratio_ins!$B:$B,0))*$G464*INDEX([1]ratio_ins!$D:$D,MATCH('001_population_health_zone_zs'!$B464,[1]ratio_ins!$B:$B,0))</f>
        <v>5170.9529540000003</v>
      </c>
      <c r="AK464" s="10">
        <f>INDEX([1]ratio_ins!AH:AH,MATCH('001_population_health_zone_zs'!$B$2,[1]ratio_ins!$B:$B,0))*$G464*INDEX([1]ratio_ins!$D:$D,MATCH('001_population_health_zone_zs'!$B464,[1]ratio_ins!$B:$B,0))</f>
        <v>11525.618030000003</v>
      </c>
      <c r="AL464" s="10">
        <f>INDEX([1]ratio_ins!AI:AI,MATCH('001_population_health_zone_zs'!$B$2,[1]ratio_ins!$B:$B,0))*$G464*INDEX([1]ratio_ins!$D:$D,MATCH('001_population_health_zone_zs'!$B464,[1]ratio_ins!$B:$B,0))</f>
        <v>10902.611650000001</v>
      </c>
      <c r="AM464" s="10">
        <f>INDEX([1]ratio_ins!AJ:AJ,MATCH('001_population_health_zone_zs'!$B$2,[1]ratio_ins!$B:$B,0))*$G464*INDEX([1]ratio_ins!$D:$D,MATCH('001_population_health_zone_zs'!$B464,[1]ratio_ins!$B:$B,0))</f>
        <v>9968.1020799999988</v>
      </c>
      <c r="AN464" s="10">
        <f>INDEX([1]ratio_ins!AK:AK,MATCH('001_population_health_zone_zs'!$B$2,[1]ratio_ins!$B:$B,0))*$G464*INDEX([1]ratio_ins!$D:$D,MATCH('001_population_health_zone_zs'!$B464,[1]ratio_ins!$B:$B,0))</f>
        <v>9345.0956999999999</v>
      </c>
      <c r="AO464" s="10">
        <f>INDEX([1]ratio_ins!AL:AL,MATCH('001_population_health_zone_zs'!$B$2,[1]ratio_ins!$B:$B,0))*$G464*INDEX([1]ratio_ins!$D:$D,MATCH('001_population_health_zone_zs'!$B464,[1]ratio_ins!$B:$B,0))</f>
        <v>7008.8217749999994</v>
      </c>
      <c r="AP464" s="10">
        <f>INDEX([1]ratio_ins!AM:AM,MATCH('001_population_health_zone_zs'!$B$2,[1]ratio_ins!$B:$B,0))*$G464*INDEX([1]ratio_ins!$D:$D,MATCH('001_population_health_zone_zs'!$B464,[1]ratio_ins!$B:$B,0))</f>
        <v>4516.7962550000002</v>
      </c>
      <c r="AQ464" s="10">
        <f>INDEX([1]ratio_ins!AN:AN,MATCH('001_population_health_zone_zs'!$B$2,[1]ratio_ins!$B:$B,0))*$G464*INDEX([1]ratio_ins!$D:$D,MATCH('001_population_health_zone_zs'!$B464,[1]ratio_ins!$B:$B,0))</f>
        <v>3582.286685</v>
      </c>
      <c r="AR464" s="10">
        <f>INDEX([1]ratio_ins!AO:AO,MATCH('001_population_health_zone_zs'!$B$2,[1]ratio_ins!$B:$B,0))*$G464*INDEX([1]ratio_ins!$D:$D,MATCH('001_population_health_zone_zs'!$B464,[1]ratio_ins!$B:$B,0))</f>
        <v>1713.2675450000002</v>
      </c>
      <c r="AS464" s="13">
        <f>INDEX([1]ratio_ins!AP:AP,MATCH('001_population_health_zone_zs'!$B$2,[1]ratio_ins!$B:$B,0))*$G464*INDEX([1]ratio_ins!$D:$D,MATCH('001_population_health_zone_zs'!$B464,[1]ratio_ins!$B:$B,0))</f>
        <v>63733.552673999999</v>
      </c>
      <c r="AT464" s="10">
        <f>INDEX([1]ratio_ins!AQ:AQ,MATCH('001_population_health_zone_zs'!$B$2,[1]ratio_ins!$B:$B,0))*$G464*INDEX([1]ratio_ins!$D:$D,MATCH('001_population_health_zone_zs'!$B464,[1]ratio_ins!$B:$B,0))</f>
        <v>1557.51595</v>
      </c>
      <c r="AU464" s="10">
        <f>INDEX([1]ratio_ins!AR:AR,MATCH('001_population_health_zone_zs'!$B$2,[1]ratio_ins!$B:$B,0))*$G464*INDEX([1]ratio_ins!$D:$D,MATCH('001_population_health_zone_zs'!$B464,[1]ratio_ins!$B:$B,0))</f>
        <v>934.50957000000005</v>
      </c>
      <c r="AV464" s="10">
        <f>INDEX([1]ratio_ins!AS:AS,MATCH('001_population_health_zone_zs'!$B$2,[1]ratio_ins!$B:$B,0))*$G464*INDEX([1]ratio_ins!$D:$D,MATCH('001_population_health_zone_zs'!$B464,[1]ratio_ins!$B:$B,0))</f>
        <v>467.25478500000003</v>
      </c>
      <c r="AW464" s="10">
        <f>INDEX([1]ratio_ins!AT:AT,MATCH('001_population_health_zone_zs'!$B$2,[1]ratio_ins!$B:$B,0))*$G464*INDEX([1]ratio_ins!$D:$D,MATCH('001_population_health_zone_zs'!$B464,[1]ratio_ins!$B:$B,0))</f>
        <v>311.50318999999996</v>
      </c>
      <c r="AX464" s="13">
        <f>INDEX([1]ratio_ins!AU:AU,MATCH('001_population_health_zone_zs'!$B$2,[1]ratio_ins!$B:$B,0))*$G464*INDEX([1]ratio_ins!$D:$D,MATCH('001_population_health_zone_zs'!$B464,[1]ratio_ins!$B:$B,0))</f>
        <v>3270.7834949999997</v>
      </c>
      <c r="AY464" s="14">
        <f t="shared" si="43"/>
        <v>155751.595</v>
      </c>
      <c r="AZ464" s="15">
        <f t="shared" si="44"/>
        <v>308419</v>
      </c>
      <c r="BA464" s="16">
        <v>295403.08697366831</v>
      </c>
      <c r="BB464" s="10">
        <f t="shared" si="45"/>
        <v>66194.427874999994</v>
      </c>
      <c r="BC464" s="17">
        <f t="shared" si="46"/>
        <v>0.21462499999999998</v>
      </c>
      <c r="BD464" s="10">
        <f t="shared" si="47"/>
        <v>63662.307885000002</v>
      </c>
    </row>
    <row r="465" spans="1:56" x14ac:dyDescent="0.25">
      <c r="A465" s="8" t="s">
        <v>1137</v>
      </c>
      <c r="B465" s="8" t="s">
        <v>1138</v>
      </c>
      <c r="C465" s="8" t="s">
        <v>1146</v>
      </c>
      <c r="D465" s="8" t="s">
        <v>1147</v>
      </c>
      <c r="E465" s="8" t="s">
        <v>1149</v>
      </c>
      <c r="F465" s="8" t="s">
        <v>1150</v>
      </c>
      <c r="G465" s="9">
        <v>218196</v>
      </c>
      <c r="H465" s="10">
        <f>INDEX([1]ratio_ins!F:F,MATCH('001_population_health_zone_zs'!$B$2,[1]ratio_ins!$B:$B,0))*$G465*INDEX([1]ratio_ins!$C:$C,MATCH('001_population_health_zone_zs'!$B465,[1]ratio_ins!$B:$B,0))</f>
        <v>22573.46718</v>
      </c>
      <c r="I465" s="10">
        <f>INDEX([1]ratio_ins!G:G,MATCH('001_population_health_zone_zs'!$B$2,[1]ratio_ins!$B:$B,0))*$G465*INDEX([1]ratio_ins!$C:$C,MATCH('001_population_health_zone_zs'!$B465,[1]ratio_ins!$B:$B,0))</f>
        <v>18469.200420000001</v>
      </c>
      <c r="J465" s="10">
        <f>INDEX([1]ratio_ins!H:H,MATCH('001_population_health_zone_zs'!$B$2,[1]ratio_ins!$B:$B,0))*$G465*INDEX([1]ratio_ins!$C:$C,MATCH('001_population_health_zone_zs'!$B465,[1]ratio_ins!$B:$B,0))</f>
        <v>14580.947700000001</v>
      </c>
      <c r="K465" s="10">
        <f>INDEX([1]ratio_ins!I:I,MATCH('001_population_health_zone_zs'!$B$2,[1]ratio_ins!$B:$B,0))*$G465*INDEX([1]ratio_ins!$C:$C,MATCH('001_population_health_zone_zs'!$B465,[1]ratio_ins!$B:$B,0))</f>
        <v>8964.58266</v>
      </c>
      <c r="L465" s="10">
        <f>INDEX([1]ratio_ins!J:J,MATCH('001_population_health_zone_zs'!$B$2,[1]ratio_ins!$B:$B,0))*$G465*INDEX([1]ratio_ins!$C:$C,MATCH('001_population_health_zone_zs'!$B465,[1]ratio_ins!$B:$B,0))</f>
        <v>5378.7495959999997</v>
      </c>
      <c r="M465" s="11">
        <f>INDEX([1]ratio_ins!K:K,MATCH('001_population_health_zone_zs'!$B$2,[1]ratio_ins!$B:$B,0))*$G465*INDEX([1]ratio_ins!$C:$C,MATCH('001_population_health_zone_zs'!$B465,[1]ratio_ins!$B:$B,0))</f>
        <v>61002.364895999999</v>
      </c>
      <c r="N465" s="10">
        <f>INDEX([1]ratio_ins!L:L,MATCH('001_population_health_zone_zs'!$B$2,[1]ratio_ins!$B:$B,0))*$G465*INDEX([1]ratio_ins!$C:$C,MATCH('001_population_health_zone_zs'!$B465,[1]ratio_ins!$B:$B,0))</f>
        <v>3585.8330640000004</v>
      </c>
      <c r="O465" s="10">
        <f>INDEX([1]ratio_ins!M:M,MATCH('001_population_health_zone_zs'!$B$2,[1]ratio_ins!$B:$B,0))*$G465*INDEX([1]ratio_ins!$C:$C,MATCH('001_population_health_zone_zs'!$B465,[1]ratio_ins!$B:$B,0))</f>
        <v>7776.5054400000008</v>
      </c>
      <c r="P465" s="10">
        <f>INDEX([1]ratio_ins!N:N,MATCH('001_population_health_zone_zs'!$B$2,[1]ratio_ins!$B:$B,0))*$G465*INDEX([1]ratio_ins!$C:$C,MATCH('001_population_health_zone_zs'!$B465,[1]ratio_ins!$B:$B,0))</f>
        <v>7020.4562999999998</v>
      </c>
      <c r="Q465" s="10">
        <f>INDEX([1]ratio_ins!O:O,MATCH('001_population_health_zone_zs'!$B$2,[1]ratio_ins!$B:$B,0))*$G465*INDEX([1]ratio_ins!$C:$C,MATCH('001_population_health_zone_zs'!$B465,[1]ratio_ins!$B:$B,0))</f>
        <v>6264.4071599999988</v>
      </c>
      <c r="R465" s="10">
        <f>INDEX([1]ratio_ins!P:P,MATCH('001_population_health_zone_zs'!$B$2,[1]ratio_ins!$B:$B,0))*$G465*INDEX([1]ratio_ins!$C:$C,MATCH('001_population_health_zone_zs'!$B465,[1]ratio_ins!$B:$B,0))</f>
        <v>6156.4001399999997</v>
      </c>
      <c r="S465" s="10">
        <f>INDEX([1]ratio_ins!Q:Q,MATCH('001_population_health_zone_zs'!$B$2,[1]ratio_ins!$B:$B,0))*$G465*INDEX([1]ratio_ins!$C:$C,MATCH('001_population_health_zone_zs'!$B465,[1]ratio_ins!$B:$B,0))</f>
        <v>5184.3369599999996</v>
      </c>
      <c r="T465" s="10">
        <f>INDEX([1]ratio_ins!R:R,MATCH('001_population_health_zone_zs'!$B$2,[1]ratio_ins!$B:$B,0))*$G465*INDEX([1]ratio_ins!$C:$C,MATCH('001_population_health_zone_zs'!$B465,[1]ratio_ins!$B:$B,0))</f>
        <v>3672.2386800000004</v>
      </c>
      <c r="U465" s="10">
        <f>INDEX([1]ratio_ins!S:S,MATCH('001_population_health_zone_zs'!$B$2,[1]ratio_ins!$B:$B,0))*$G465*INDEX([1]ratio_ins!$C:$C,MATCH('001_population_health_zone_zs'!$B465,[1]ratio_ins!$B:$B,0))</f>
        <v>2916.1895400000003</v>
      </c>
      <c r="V465" s="10">
        <f>INDEX([1]ratio_ins!T:T,MATCH('001_population_health_zone_zs'!$B$2,[1]ratio_ins!$B:$B,0))*$G465*INDEX([1]ratio_ins!$C:$C,MATCH('001_population_health_zone_zs'!$B465,[1]ratio_ins!$B:$B,0))</f>
        <v>1620.1052999999999</v>
      </c>
      <c r="W465" s="11">
        <f>INDEX([1]ratio_ins!U:U,MATCH('001_population_health_zone_zs'!$B$2,[1]ratio_ins!$B:$B,0))*$G465*INDEX([1]ratio_ins!$C:$C,MATCH('001_population_health_zone_zs'!$B465,[1]ratio_ins!$B:$B,0))</f>
        <v>44196.472583999996</v>
      </c>
      <c r="X465" s="10">
        <f>INDEX([1]ratio_ins!V:V,MATCH('001_population_health_zone_zs'!$B$2,[1]ratio_ins!$B:$B,0))*$G465*INDEX([1]ratio_ins!$C:$C,MATCH('001_population_health_zone_zs'!$B465,[1]ratio_ins!$B:$B,0))</f>
        <v>1296.0842399999999</v>
      </c>
      <c r="Y465" s="10">
        <f>INDEX([1]ratio_ins!W:W,MATCH('001_population_health_zone_zs'!$B$2,[1]ratio_ins!$B:$B,0))*$G465*INDEX([1]ratio_ins!$C:$C,MATCH('001_population_health_zone_zs'!$B465,[1]ratio_ins!$B:$B,0))</f>
        <v>864.05615999999998</v>
      </c>
      <c r="Z465" s="10">
        <f>INDEX([1]ratio_ins!X:X,MATCH('001_population_health_zone_zs'!$B$2,[1]ratio_ins!$B:$B,0))*$G465*INDEX([1]ratio_ins!$C:$C,MATCH('001_population_health_zone_zs'!$B465,[1]ratio_ins!$B:$B,0))</f>
        <v>432.02807999999999</v>
      </c>
      <c r="AA465" s="10">
        <f>INDEX([1]ratio_ins!Y:Y,MATCH('001_population_health_zone_zs'!$B$2,[1]ratio_ins!$B:$B,0))*$G465*INDEX([1]ratio_ins!$C:$C,MATCH('001_population_health_zone_zs'!$B465,[1]ratio_ins!$B:$B,0))</f>
        <v>216.01403999999999</v>
      </c>
      <c r="AB465" s="11">
        <f>INDEX([1]ratio_ins!Z:Z,MATCH('001_population_health_zone_zs'!$B$2,[1]ratio_ins!$B:$B,0))*$G465*INDEX([1]ratio_ins!$C:$C,MATCH('001_population_health_zone_zs'!$B465,[1]ratio_ins!$B:$B,0))</f>
        <v>2808.1825200000003</v>
      </c>
      <c r="AC465" s="12">
        <f t="shared" si="42"/>
        <v>108007.01999999999</v>
      </c>
      <c r="AD465" s="10">
        <f>INDEX([1]ratio_ins!AA:AA,MATCH('001_population_health_zone_zs'!$B$2,[1]ratio_ins!$B:$B,0))*$G465*INDEX([1]ratio_ins!$D:$D,MATCH('001_population_health_zone_zs'!$B465,[1]ratio_ins!$B:$B,0))</f>
        <v>23139.685799999999</v>
      </c>
      <c r="AE465" s="10">
        <f>INDEX([1]ratio_ins!AB:AB,MATCH('001_population_health_zone_zs'!$B$2,[1]ratio_ins!$B:$B,0))*$G465*INDEX([1]ratio_ins!$D:$D,MATCH('001_population_health_zone_zs'!$B465,[1]ratio_ins!$B:$B,0))</f>
        <v>19062.69354</v>
      </c>
      <c r="AF465" s="10">
        <f>INDEX([1]ratio_ins!AC:AC,MATCH('001_population_health_zone_zs'!$B$2,[1]ratio_ins!$B:$B,0))*$G465*INDEX([1]ratio_ins!$D:$D,MATCH('001_population_health_zone_zs'!$B465,[1]ratio_ins!$B:$B,0))</f>
        <v>15095.890259999998</v>
      </c>
      <c r="AG465" s="10">
        <f>INDEX([1]ratio_ins!AD:AD,MATCH('001_population_health_zone_zs'!$B$2,[1]ratio_ins!$B:$B,0))*$G465*INDEX([1]ratio_ins!$D:$D,MATCH('001_population_health_zone_zs'!$B465,[1]ratio_ins!$B:$B,0))</f>
        <v>9145.68534</v>
      </c>
      <c r="AH465" s="10">
        <f>INDEX([1]ratio_ins!AE:AE,MATCH('001_population_health_zone_zs'!$B$2,[1]ratio_ins!$B:$B,0))*$G465*INDEX([1]ratio_ins!$D:$D,MATCH('001_population_health_zone_zs'!$B465,[1]ratio_ins!$B:$B,0))</f>
        <v>5487.411204</v>
      </c>
      <c r="AI465" s="13">
        <f>INDEX([1]ratio_ins!AF:AF,MATCH('001_population_health_zone_zs'!$B$2,[1]ratio_ins!$B:$B,0))*$G465*INDEX([1]ratio_ins!$D:$D,MATCH('001_population_health_zone_zs'!$B465,[1]ratio_ins!$B:$B,0))</f>
        <v>62785.680803999996</v>
      </c>
      <c r="AJ465" s="10">
        <f>INDEX([1]ratio_ins!AG:AG,MATCH('001_population_health_zone_zs'!$B$2,[1]ratio_ins!$B:$B,0))*$G465*INDEX([1]ratio_ins!$D:$D,MATCH('001_population_health_zone_zs'!$B465,[1]ratio_ins!$B:$B,0))</f>
        <v>3658.274136</v>
      </c>
      <c r="AK465" s="10">
        <f>INDEX([1]ratio_ins!AH:AH,MATCH('001_population_health_zone_zs'!$B$2,[1]ratio_ins!$B:$B,0))*$G465*INDEX([1]ratio_ins!$D:$D,MATCH('001_population_health_zone_zs'!$B465,[1]ratio_ins!$B:$B,0))</f>
        <v>8153.9845200000018</v>
      </c>
      <c r="AL465" s="10">
        <f>INDEX([1]ratio_ins!AI:AI,MATCH('001_population_health_zone_zs'!$B$2,[1]ratio_ins!$B:$B,0))*$G465*INDEX([1]ratio_ins!$D:$D,MATCH('001_population_health_zone_zs'!$B465,[1]ratio_ins!$B:$B,0))</f>
        <v>7713.2286000000004</v>
      </c>
      <c r="AM465" s="10">
        <f>INDEX([1]ratio_ins!AJ:AJ,MATCH('001_population_health_zone_zs'!$B$2,[1]ratio_ins!$B:$B,0))*$G465*INDEX([1]ratio_ins!$D:$D,MATCH('001_population_health_zone_zs'!$B465,[1]ratio_ins!$B:$B,0))</f>
        <v>7052.0947200000001</v>
      </c>
      <c r="AN465" s="10">
        <f>INDEX([1]ratio_ins!AK:AK,MATCH('001_population_health_zone_zs'!$B$2,[1]ratio_ins!$B:$B,0))*$G465*INDEX([1]ratio_ins!$D:$D,MATCH('001_population_health_zone_zs'!$B465,[1]ratio_ins!$B:$B,0))</f>
        <v>6611.3388000000004</v>
      </c>
      <c r="AO465" s="10">
        <f>INDEX([1]ratio_ins!AL:AL,MATCH('001_population_health_zone_zs'!$B$2,[1]ratio_ins!$B:$B,0))*$G465*INDEX([1]ratio_ins!$D:$D,MATCH('001_population_health_zone_zs'!$B465,[1]ratio_ins!$B:$B,0))</f>
        <v>4958.5041000000001</v>
      </c>
      <c r="AP465" s="10">
        <f>INDEX([1]ratio_ins!AM:AM,MATCH('001_population_health_zone_zs'!$B$2,[1]ratio_ins!$B:$B,0))*$G465*INDEX([1]ratio_ins!$D:$D,MATCH('001_population_health_zone_zs'!$B465,[1]ratio_ins!$B:$B,0))</f>
        <v>3195.4804199999999</v>
      </c>
      <c r="AQ465" s="10">
        <f>INDEX([1]ratio_ins!AN:AN,MATCH('001_population_health_zone_zs'!$B$2,[1]ratio_ins!$B:$B,0))*$G465*INDEX([1]ratio_ins!$D:$D,MATCH('001_population_health_zone_zs'!$B465,[1]ratio_ins!$B:$B,0))</f>
        <v>2534.34654</v>
      </c>
      <c r="AR465" s="10">
        <f>INDEX([1]ratio_ins!AO:AO,MATCH('001_population_health_zone_zs'!$B$2,[1]ratio_ins!$B:$B,0))*$G465*INDEX([1]ratio_ins!$D:$D,MATCH('001_population_health_zone_zs'!$B465,[1]ratio_ins!$B:$B,0))</f>
        <v>1212.0787800000003</v>
      </c>
      <c r="AS465" s="13">
        <f>INDEX([1]ratio_ins!AP:AP,MATCH('001_population_health_zone_zs'!$B$2,[1]ratio_ins!$B:$B,0))*$G465*INDEX([1]ratio_ins!$D:$D,MATCH('001_population_health_zone_zs'!$B465,[1]ratio_ins!$B:$B,0))</f>
        <v>45089.330615999999</v>
      </c>
      <c r="AT465" s="10">
        <f>INDEX([1]ratio_ins!AQ:AQ,MATCH('001_population_health_zone_zs'!$B$2,[1]ratio_ins!$B:$B,0))*$G465*INDEX([1]ratio_ins!$D:$D,MATCH('001_population_health_zone_zs'!$B465,[1]ratio_ins!$B:$B,0))</f>
        <v>1101.8897999999999</v>
      </c>
      <c r="AU465" s="10">
        <f>INDEX([1]ratio_ins!AR:AR,MATCH('001_population_health_zone_zs'!$B$2,[1]ratio_ins!$B:$B,0))*$G465*INDEX([1]ratio_ins!$D:$D,MATCH('001_population_health_zone_zs'!$B465,[1]ratio_ins!$B:$B,0))</f>
        <v>661.13387999999998</v>
      </c>
      <c r="AV465" s="10">
        <f>INDEX([1]ratio_ins!AS:AS,MATCH('001_population_health_zone_zs'!$B$2,[1]ratio_ins!$B:$B,0))*$G465*INDEX([1]ratio_ins!$D:$D,MATCH('001_population_health_zone_zs'!$B465,[1]ratio_ins!$B:$B,0))</f>
        <v>330.56693999999999</v>
      </c>
      <c r="AW465" s="10">
        <f>INDEX([1]ratio_ins!AT:AT,MATCH('001_population_health_zone_zs'!$B$2,[1]ratio_ins!$B:$B,0))*$G465*INDEX([1]ratio_ins!$D:$D,MATCH('001_population_health_zone_zs'!$B465,[1]ratio_ins!$B:$B,0))</f>
        <v>220.37796</v>
      </c>
      <c r="AX465" s="13">
        <f>INDEX([1]ratio_ins!AU:AU,MATCH('001_population_health_zone_zs'!$B$2,[1]ratio_ins!$B:$B,0))*$G465*INDEX([1]ratio_ins!$D:$D,MATCH('001_population_health_zone_zs'!$B465,[1]ratio_ins!$B:$B,0))</f>
        <v>2313.9685799999997</v>
      </c>
      <c r="AY465" s="14">
        <f t="shared" si="43"/>
        <v>110188.98</v>
      </c>
      <c r="AZ465" s="15">
        <f t="shared" si="44"/>
        <v>218196</v>
      </c>
      <c r="BA465" s="16">
        <v>208987.43152872412</v>
      </c>
      <c r="BB465" s="10">
        <f t="shared" si="45"/>
        <v>46830.316500000001</v>
      </c>
      <c r="BC465" s="17">
        <f t="shared" si="46"/>
        <v>0.21462500000000001</v>
      </c>
      <c r="BD465" s="10">
        <f t="shared" si="47"/>
        <v>45038.927340000002</v>
      </c>
    </row>
    <row r="466" spans="1:56" x14ac:dyDescent="0.25">
      <c r="A466" s="8" t="s">
        <v>1137</v>
      </c>
      <c r="B466" s="8" t="s">
        <v>1138</v>
      </c>
      <c r="C466" s="8" t="s">
        <v>1146</v>
      </c>
      <c r="D466" s="8" t="s">
        <v>1147</v>
      </c>
      <c r="E466" s="8" t="s">
        <v>1151</v>
      </c>
      <c r="F466" s="8" t="s">
        <v>1152</v>
      </c>
      <c r="G466" s="9">
        <v>207017</v>
      </c>
      <c r="H466" s="10">
        <f>INDEX([1]ratio_ins!F:F,MATCH('001_population_health_zone_zs'!$B$2,[1]ratio_ins!$B:$B,0))*$G466*INDEX([1]ratio_ins!$C:$C,MATCH('001_population_health_zone_zs'!$B466,[1]ratio_ins!$B:$B,0))</f>
        <v>21416.943735000001</v>
      </c>
      <c r="I466" s="10">
        <f>INDEX([1]ratio_ins!G:G,MATCH('001_population_health_zone_zs'!$B$2,[1]ratio_ins!$B:$B,0))*$G466*INDEX([1]ratio_ins!$C:$C,MATCH('001_population_health_zone_zs'!$B466,[1]ratio_ins!$B:$B,0))</f>
        <v>17522.953965000001</v>
      </c>
      <c r="J466" s="10">
        <f>INDEX([1]ratio_ins!H:H,MATCH('001_population_health_zone_zs'!$B$2,[1]ratio_ins!$B:$B,0))*$G466*INDEX([1]ratio_ins!$C:$C,MATCH('001_population_health_zone_zs'!$B466,[1]ratio_ins!$B:$B,0))</f>
        <v>13833.911025000001</v>
      </c>
      <c r="K466" s="10">
        <f>INDEX([1]ratio_ins!I:I,MATCH('001_population_health_zone_zs'!$B$2,[1]ratio_ins!$B:$B,0))*$G466*INDEX([1]ratio_ins!$C:$C,MATCH('001_population_health_zone_zs'!$B466,[1]ratio_ins!$B:$B,0))</f>
        <v>8505.2934449999993</v>
      </c>
      <c r="L466" s="10">
        <f>INDEX([1]ratio_ins!J:J,MATCH('001_population_health_zone_zs'!$B$2,[1]ratio_ins!$B:$B,0))*$G466*INDEX([1]ratio_ins!$C:$C,MATCH('001_population_health_zone_zs'!$B466,[1]ratio_ins!$B:$B,0))</f>
        <v>5103.1760669999994</v>
      </c>
      <c r="M466" s="11">
        <f>INDEX([1]ratio_ins!K:K,MATCH('001_population_health_zone_zs'!$B$2,[1]ratio_ins!$B:$B,0))*$G466*INDEX([1]ratio_ins!$C:$C,MATCH('001_population_health_zone_zs'!$B466,[1]ratio_ins!$B:$B,0))</f>
        <v>57876.984792000003</v>
      </c>
      <c r="N466" s="10">
        <f>INDEX([1]ratio_ins!L:L,MATCH('001_population_health_zone_zs'!$B$2,[1]ratio_ins!$B:$B,0))*$G466*INDEX([1]ratio_ins!$C:$C,MATCH('001_population_health_zone_zs'!$B466,[1]ratio_ins!$B:$B,0))</f>
        <v>3402.1173779999999</v>
      </c>
      <c r="O466" s="10">
        <f>INDEX([1]ratio_ins!M:M,MATCH('001_population_health_zone_zs'!$B$2,[1]ratio_ins!$B:$B,0))*$G466*INDEX([1]ratio_ins!$C:$C,MATCH('001_population_health_zone_zs'!$B466,[1]ratio_ins!$B:$B,0))</f>
        <v>7378.0858800000005</v>
      </c>
      <c r="P466" s="10">
        <f>INDEX([1]ratio_ins!N:N,MATCH('001_population_health_zone_zs'!$B$2,[1]ratio_ins!$B:$B,0))*$G466*INDEX([1]ratio_ins!$C:$C,MATCH('001_population_health_zone_zs'!$B466,[1]ratio_ins!$B:$B,0))</f>
        <v>6660.7719749999997</v>
      </c>
      <c r="Q466" s="10">
        <f>INDEX([1]ratio_ins!O:O,MATCH('001_population_health_zone_zs'!$B$2,[1]ratio_ins!$B:$B,0))*$G466*INDEX([1]ratio_ins!$C:$C,MATCH('001_population_health_zone_zs'!$B466,[1]ratio_ins!$B:$B,0))</f>
        <v>5943.4580699999997</v>
      </c>
      <c r="R466" s="10">
        <f>INDEX([1]ratio_ins!P:P,MATCH('001_population_health_zone_zs'!$B$2,[1]ratio_ins!$B:$B,0))*$G466*INDEX([1]ratio_ins!$C:$C,MATCH('001_population_health_zone_zs'!$B466,[1]ratio_ins!$B:$B,0))</f>
        <v>5840.9846550000002</v>
      </c>
      <c r="S466" s="10">
        <f>INDEX([1]ratio_ins!Q:Q,MATCH('001_population_health_zone_zs'!$B$2,[1]ratio_ins!$B:$B,0))*$G466*INDEX([1]ratio_ins!$C:$C,MATCH('001_population_health_zone_zs'!$B466,[1]ratio_ins!$B:$B,0))</f>
        <v>4918.7239200000004</v>
      </c>
      <c r="T466" s="10">
        <f>INDEX([1]ratio_ins!R:R,MATCH('001_population_health_zone_zs'!$B$2,[1]ratio_ins!$B:$B,0))*$G466*INDEX([1]ratio_ins!$C:$C,MATCH('001_population_health_zone_zs'!$B466,[1]ratio_ins!$B:$B,0))</f>
        <v>3484.0961100000004</v>
      </c>
      <c r="U466" s="10">
        <f>INDEX([1]ratio_ins!S:S,MATCH('001_population_health_zone_zs'!$B$2,[1]ratio_ins!$B:$B,0))*$G466*INDEX([1]ratio_ins!$C:$C,MATCH('001_population_health_zone_zs'!$B466,[1]ratio_ins!$B:$B,0))</f>
        <v>2766.7822050000004</v>
      </c>
      <c r="V466" s="10">
        <f>INDEX([1]ratio_ins!T:T,MATCH('001_population_health_zone_zs'!$B$2,[1]ratio_ins!$B:$B,0))*$G466*INDEX([1]ratio_ins!$C:$C,MATCH('001_population_health_zone_zs'!$B466,[1]ratio_ins!$B:$B,0))</f>
        <v>1537.1012250000001</v>
      </c>
      <c r="W466" s="11">
        <f>INDEX([1]ratio_ins!U:U,MATCH('001_population_health_zone_zs'!$B$2,[1]ratio_ins!$B:$B,0))*$G466*INDEX([1]ratio_ins!$C:$C,MATCH('001_population_health_zone_zs'!$B466,[1]ratio_ins!$B:$B,0))</f>
        <v>41932.121418000002</v>
      </c>
      <c r="X466" s="10">
        <f>INDEX([1]ratio_ins!V:V,MATCH('001_population_health_zone_zs'!$B$2,[1]ratio_ins!$B:$B,0))*$G466*INDEX([1]ratio_ins!$C:$C,MATCH('001_population_health_zone_zs'!$B466,[1]ratio_ins!$B:$B,0))</f>
        <v>1229.6809800000001</v>
      </c>
      <c r="Y466" s="10">
        <f>INDEX([1]ratio_ins!W:W,MATCH('001_population_health_zone_zs'!$B$2,[1]ratio_ins!$B:$B,0))*$G466*INDEX([1]ratio_ins!$C:$C,MATCH('001_population_health_zone_zs'!$B466,[1]ratio_ins!$B:$B,0))</f>
        <v>819.78732000000002</v>
      </c>
      <c r="Z466" s="10">
        <f>INDEX([1]ratio_ins!X:X,MATCH('001_population_health_zone_zs'!$B$2,[1]ratio_ins!$B:$B,0))*$G466*INDEX([1]ratio_ins!$C:$C,MATCH('001_population_health_zone_zs'!$B466,[1]ratio_ins!$B:$B,0))</f>
        <v>409.89366000000001</v>
      </c>
      <c r="AA466" s="10">
        <f>INDEX([1]ratio_ins!Y:Y,MATCH('001_population_health_zone_zs'!$B$2,[1]ratio_ins!$B:$B,0))*$G466*INDEX([1]ratio_ins!$C:$C,MATCH('001_population_health_zone_zs'!$B466,[1]ratio_ins!$B:$B,0))</f>
        <v>204.94683000000001</v>
      </c>
      <c r="AB466" s="11">
        <f>INDEX([1]ratio_ins!Z:Z,MATCH('001_population_health_zone_zs'!$B$2,[1]ratio_ins!$B:$B,0))*$G466*INDEX([1]ratio_ins!$C:$C,MATCH('001_population_health_zone_zs'!$B466,[1]ratio_ins!$B:$B,0))</f>
        <v>2664.3087900000005</v>
      </c>
      <c r="AC466" s="12">
        <f t="shared" si="42"/>
        <v>102473.41499999999</v>
      </c>
      <c r="AD466" s="10">
        <f>INDEX([1]ratio_ins!AA:AA,MATCH('001_population_health_zone_zs'!$B$2,[1]ratio_ins!$B:$B,0))*$G466*INDEX([1]ratio_ins!$D:$D,MATCH('001_population_health_zone_zs'!$B466,[1]ratio_ins!$B:$B,0))</f>
        <v>21954.152849999999</v>
      </c>
      <c r="AE466" s="10">
        <f>INDEX([1]ratio_ins!AB:AB,MATCH('001_population_health_zone_zs'!$B$2,[1]ratio_ins!$B:$B,0))*$G466*INDEX([1]ratio_ins!$D:$D,MATCH('001_population_health_zone_zs'!$B466,[1]ratio_ins!$B:$B,0))</f>
        <v>18086.040205000005</v>
      </c>
      <c r="AF466" s="10">
        <f>INDEX([1]ratio_ins!AC:AC,MATCH('001_population_health_zone_zs'!$B$2,[1]ratio_ins!$B:$B,0))*$G466*INDEX([1]ratio_ins!$D:$D,MATCH('001_population_health_zone_zs'!$B466,[1]ratio_ins!$B:$B,0))</f>
        <v>14322.471145</v>
      </c>
      <c r="AG466" s="10">
        <f>INDEX([1]ratio_ins!AD:AD,MATCH('001_population_health_zone_zs'!$B$2,[1]ratio_ins!$B:$B,0))*$G466*INDEX([1]ratio_ins!$D:$D,MATCH('001_population_health_zone_zs'!$B466,[1]ratio_ins!$B:$B,0))</f>
        <v>8677.1175550000007</v>
      </c>
      <c r="AH466" s="10">
        <f>INDEX([1]ratio_ins!AE:AE,MATCH('001_population_health_zone_zs'!$B$2,[1]ratio_ins!$B:$B,0))*$G466*INDEX([1]ratio_ins!$D:$D,MATCH('001_population_health_zone_zs'!$B466,[1]ratio_ins!$B:$B,0))</f>
        <v>5206.2705329999999</v>
      </c>
      <c r="AI466" s="13">
        <f>INDEX([1]ratio_ins!AF:AF,MATCH('001_population_health_zone_zs'!$B$2,[1]ratio_ins!$B:$B,0))*$G466*INDEX([1]ratio_ins!$D:$D,MATCH('001_population_health_zone_zs'!$B466,[1]ratio_ins!$B:$B,0))</f>
        <v>59568.934732999995</v>
      </c>
      <c r="AJ466" s="10">
        <f>INDEX([1]ratio_ins!AG:AG,MATCH('001_population_health_zone_zs'!$B$2,[1]ratio_ins!$B:$B,0))*$G466*INDEX([1]ratio_ins!$D:$D,MATCH('001_population_health_zone_zs'!$B466,[1]ratio_ins!$B:$B,0))</f>
        <v>3470.8470219999999</v>
      </c>
      <c r="AK466" s="10">
        <f>INDEX([1]ratio_ins!AH:AH,MATCH('001_population_health_zone_zs'!$B$2,[1]ratio_ins!$B:$B,0))*$G466*INDEX([1]ratio_ins!$D:$D,MATCH('001_population_health_zone_zs'!$B466,[1]ratio_ins!$B:$B,0))</f>
        <v>7736.2252900000012</v>
      </c>
      <c r="AL466" s="10">
        <f>INDEX([1]ratio_ins!AI:AI,MATCH('001_population_health_zone_zs'!$B$2,[1]ratio_ins!$B:$B,0))*$G466*INDEX([1]ratio_ins!$D:$D,MATCH('001_population_health_zone_zs'!$B466,[1]ratio_ins!$B:$B,0))</f>
        <v>7318.0509500000007</v>
      </c>
      <c r="AM466" s="10">
        <f>INDEX([1]ratio_ins!AJ:AJ,MATCH('001_population_health_zone_zs'!$B$2,[1]ratio_ins!$B:$B,0))*$G466*INDEX([1]ratio_ins!$D:$D,MATCH('001_population_health_zone_zs'!$B466,[1]ratio_ins!$B:$B,0))</f>
        <v>6690.7894399999996</v>
      </c>
      <c r="AN466" s="10">
        <f>INDEX([1]ratio_ins!AK:AK,MATCH('001_population_health_zone_zs'!$B$2,[1]ratio_ins!$B:$B,0))*$G466*INDEX([1]ratio_ins!$D:$D,MATCH('001_population_health_zone_zs'!$B466,[1]ratio_ins!$B:$B,0))</f>
        <v>6272.6151</v>
      </c>
      <c r="AO466" s="10">
        <f>INDEX([1]ratio_ins!AL:AL,MATCH('001_population_health_zone_zs'!$B$2,[1]ratio_ins!$B:$B,0))*$G466*INDEX([1]ratio_ins!$D:$D,MATCH('001_population_health_zone_zs'!$B466,[1]ratio_ins!$B:$B,0))</f>
        <v>4704.4613249999993</v>
      </c>
      <c r="AP466" s="10">
        <f>INDEX([1]ratio_ins!AM:AM,MATCH('001_population_health_zone_zs'!$B$2,[1]ratio_ins!$B:$B,0))*$G466*INDEX([1]ratio_ins!$D:$D,MATCH('001_population_health_zone_zs'!$B466,[1]ratio_ins!$B:$B,0))</f>
        <v>3031.7639649999996</v>
      </c>
      <c r="AQ466" s="10">
        <f>INDEX([1]ratio_ins!AN:AN,MATCH('001_population_health_zone_zs'!$B$2,[1]ratio_ins!$B:$B,0))*$G466*INDEX([1]ratio_ins!$D:$D,MATCH('001_population_health_zone_zs'!$B466,[1]ratio_ins!$B:$B,0))</f>
        <v>2404.5024549999998</v>
      </c>
      <c r="AR466" s="10">
        <f>INDEX([1]ratio_ins!AO:AO,MATCH('001_population_health_zone_zs'!$B$2,[1]ratio_ins!$B:$B,0))*$G466*INDEX([1]ratio_ins!$D:$D,MATCH('001_population_health_zone_zs'!$B466,[1]ratio_ins!$B:$B,0))</f>
        <v>1149.9794350000002</v>
      </c>
      <c r="AS466" s="13">
        <f>INDEX([1]ratio_ins!AP:AP,MATCH('001_population_health_zone_zs'!$B$2,[1]ratio_ins!$B:$B,0))*$G466*INDEX([1]ratio_ins!$D:$D,MATCH('001_population_health_zone_zs'!$B466,[1]ratio_ins!$B:$B,0))</f>
        <v>42779.234982000002</v>
      </c>
      <c r="AT466" s="10">
        <f>INDEX([1]ratio_ins!AQ:AQ,MATCH('001_population_health_zone_zs'!$B$2,[1]ratio_ins!$B:$B,0))*$G466*INDEX([1]ratio_ins!$D:$D,MATCH('001_population_health_zone_zs'!$B466,[1]ratio_ins!$B:$B,0))</f>
        <v>1045.4358500000001</v>
      </c>
      <c r="AU466" s="10">
        <f>INDEX([1]ratio_ins!AR:AR,MATCH('001_population_health_zone_zs'!$B$2,[1]ratio_ins!$B:$B,0))*$G466*INDEX([1]ratio_ins!$D:$D,MATCH('001_population_health_zone_zs'!$B466,[1]ratio_ins!$B:$B,0))</f>
        <v>627.26151000000004</v>
      </c>
      <c r="AV466" s="10">
        <f>INDEX([1]ratio_ins!AS:AS,MATCH('001_population_health_zone_zs'!$B$2,[1]ratio_ins!$B:$B,0))*$G466*INDEX([1]ratio_ins!$D:$D,MATCH('001_population_health_zone_zs'!$B466,[1]ratio_ins!$B:$B,0))</f>
        <v>313.63075500000002</v>
      </c>
      <c r="AW466" s="10">
        <f>INDEX([1]ratio_ins!AT:AT,MATCH('001_population_health_zone_zs'!$B$2,[1]ratio_ins!$B:$B,0))*$G466*INDEX([1]ratio_ins!$D:$D,MATCH('001_population_health_zone_zs'!$B466,[1]ratio_ins!$B:$B,0))</f>
        <v>209.08716999999999</v>
      </c>
      <c r="AX466" s="13">
        <f>INDEX([1]ratio_ins!AU:AU,MATCH('001_population_health_zone_zs'!$B$2,[1]ratio_ins!$B:$B,0))*$G466*INDEX([1]ratio_ins!$D:$D,MATCH('001_population_health_zone_zs'!$B466,[1]ratio_ins!$B:$B,0))</f>
        <v>2195.415285</v>
      </c>
      <c r="AY466" s="14">
        <f t="shared" si="43"/>
        <v>104543.58499999999</v>
      </c>
      <c r="AZ466" s="15">
        <f t="shared" si="44"/>
        <v>207017</v>
      </c>
      <c r="BA466" s="16">
        <v>198280.56887476548</v>
      </c>
      <c r="BB466" s="10">
        <f t="shared" si="45"/>
        <v>44431.023625000002</v>
      </c>
      <c r="BC466" s="17">
        <f t="shared" si="46"/>
        <v>0.21462500000000001</v>
      </c>
      <c r="BD466" s="10">
        <f t="shared" si="47"/>
        <v>42731.414055000001</v>
      </c>
    </row>
    <row r="467" spans="1:56" x14ac:dyDescent="0.25">
      <c r="A467" s="8" t="s">
        <v>1137</v>
      </c>
      <c r="B467" s="8" t="s">
        <v>1138</v>
      </c>
      <c r="C467" s="8" t="s">
        <v>1153</v>
      </c>
      <c r="D467" s="8" t="s">
        <v>1154</v>
      </c>
      <c r="E467" s="8" t="s">
        <v>1155</v>
      </c>
      <c r="F467" s="8" t="s">
        <v>1156</v>
      </c>
      <c r="G467" s="9">
        <v>143593</v>
      </c>
      <c r="H467" s="10">
        <f>INDEX([1]ratio_ins!F:F,MATCH('001_population_health_zone_zs'!$B$2,[1]ratio_ins!$B:$B,0))*$G467*INDEX([1]ratio_ins!$C:$C,MATCH('001_population_health_zone_zs'!$B467,[1]ratio_ins!$B:$B,0))</f>
        <v>14855.413814999998</v>
      </c>
      <c r="I467" s="10">
        <f>INDEX([1]ratio_ins!G:G,MATCH('001_population_health_zone_zs'!$B$2,[1]ratio_ins!$B:$B,0))*$G467*INDEX([1]ratio_ins!$C:$C,MATCH('001_population_health_zone_zs'!$B467,[1]ratio_ins!$B:$B,0))</f>
        <v>12154.429485000001</v>
      </c>
      <c r="J467" s="10">
        <f>INDEX([1]ratio_ins!H:H,MATCH('001_population_health_zone_zs'!$B$2,[1]ratio_ins!$B:$B,0))*$G467*INDEX([1]ratio_ins!$C:$C,MATCH('001_population_health_zone_zs'!$B467,[1]ratio_ins!$B:$B,0))</f>
        <v>9595.6022250000005</v>
      </c>
      <c r="K467" s="10">
        <f>INDEX([1]ratio_ins!I:I,MATCH('001_population_health_zone_zs'!$B$2,[1]ratio_ins!$B:$B,0))*$G467*INDEX([1]ratio_ins!$C:$C,MATCH('001_population_health_zone_zs'!$B467,[1]ratio_ins!$B:$B,0))</f>
        <v>5899.5184050000007</v>
      </c>
      <c r="L467" s="10">
        <f>INDEX([1]ratio_ins!J:J,MATCH('001_population_health_zone_zs'!$B$2,[1]ratio_ins!$B:$B,0))*$G467*INDEX([1]ratio_ins!$C:$C,MATCH('001_population_health_zone_zs'!$B467,[1]ratio_ins!$B:$B,0))</f>
        <v>3539.7110429999998</v>
      </c>
      <c r="M467" s="11">
        <f>INDEX([1]ratio_ins!K:K,MATCH('001_population_health_zone_zs'!$B$2,[1]ratio_ins!$B:$B,0))*$G467*INDEX([1]ratio_ins!$C:$C,MATCH('001_population_health_zone_zs'!$B467,[1]ratio_ins!$B:$B,0))</f>
        <v>40145.156567999999</v>
      </c>
      <c r="N467" s="10">
        <f>INDEX([1]ratio_ins!L:L,MATCH('001_population_health_zone_zs'!$B$2,[1]ratio_ins!$B:$B,0))*$G467*INDEX([1]ratio_ins!$C:$C,MATCH('001_population_health_zone_zs'!$B467,[1]ratio_ins!$B:$B,0))</f>
        <v>2359.807362</v>
      </c>
      <c r="O467" s="10">
        <f>INDEX([1]ratio_ins!M:M,MATCH('001_population_health_zone_zs'!$B$2,[1]ratio_ins!$B:$B,0))*$G467*INDEX([1]ratio_ins!$C:$C,MATCH('001_population_health_zone_zs'!$B467,[1]ratio_ins!$B:$B,0))</f>
        <v>5117.654520000001</v>
      </c>
      <c r="P467" s="10">
        <f>INDEX([1]ratio_ins!N:N,MATCH('001_population_health_zone_zs'!$B$2,[1]ratio_ins!$B:$B,0))*$G467*INDEX([1]ratio_ins!$C:$C,MATCH('001_population_health_zone_zs'!$B467,[1]ratio_ins!$B:$B,0))</f>
        <v>4620.1047749999998</v>
      </c>
      <c r="Q467" s="10">
        <f>INDEX([1]ratio_ins!O:O,MATCH('001_population_health_zone_zs'!$B$2,[1]ratio_ins!$B:$B,0))*$G467*INDEX([1]ratio_ins!$C:$C,MATCH('001_population_health_zone_zs'!$B467,[1]ratio_ins!$B:$B,0))</f>
        <v>4122.5550300000004</v>
      </c>
      <c r="R467" s="10">
        <f>INDEX([1]ratio_ins!P:P,MATCH('001_population_health_zone_zs'!$B$2,[1]ratio_ins!$B:$B,0))*$G467*INDEX([1]ratio_ins!$C:$C,MATCH('001_population_health_zone_zs'!$B467,[1]ratio_ins!$B:$B,0))</f>
        <v>4051.4764950000003</v>
      </c>
      <c r="S467" s="10">
        <f>INDEX([1]ratio_ins!Q:Q,MATCH('001_population_health_zone_zs'!$B$2,[1]ratio_ins!$B:$B,0))*$G467*INDEX([1]ratio_ins!$C:$C,MATCH('001_population_health_zone_zs'!$B467,[1]ratio_ins!$B:$B,0))</f>
        <v>3411.7696799999999</v>
      </c>
      <c r="T467" s="10">
        <f>INDEX([1]ratio_ins!R:R,MATCH('001_population_health_zone_zs'!$B$2,[1]ratio_ins!$B:$B,0))*$G467*INDEX([1]ratio_ins!$C:$C,MATCH('001_population_health_zone_zs'!$B467,[1]ratio_ins!$B:$B,0))</f>
        <v>2416.6701900000003</v>
      </c>
      <c r="U467" s="10">
        <f>INDEX([1]ratio_ins!S:S,MATCH('001_population_health_zone_zs'!$B$2,[1]ratio_ins!$B:$B,0))*$G467*INDEX([1]ratio_ins!$C:$C,MATCH('001_population_health_zone_zs'!$B467,[1]ratio_ins!$B:$B,0))</f>
        <v>1919.1204450000002</v>
      </c>
      <c r="V467" s="10">
        <f>INDEX([1]ratio_ins!T:T,MATCH('001_population_health_zone_zs'!$B$2,[1]ratio_ins!$B:$B,0))*$G467*INDEX([1]ratio_ins!$C:$C,MATCH('001_population_health_zone_zs'!$B467,[1]ratio_ins!$B:$B,0))</f>
        <v>1066.1780249999999</v>
      </c>
      <c r="W467" s="11">
        <f>INDEX([1]ratio_ins!U:U,MATCH('001_population_health_zone_zs'!$B$2,[1]ratio_ins!$B:$B,0))*$G467*INDEX([1]ratio_ins!$C:$C,MATCH('001_population_health_zone_zs'!$B467,[1]ratio_ins!$B:$B,0))</f>
        <v>29085.336522000001</v>
      </c>
      <c r="X467" s="10">
        <f>INDEX([1]ratio_ins!V:V,MATCH('001_population_health_zone_zs'!$B$2,[1]ratio_ins!$B:$B,0))*$G467*INDEX([1]ratio_ins!$C:$C,MATCH('001_population_health_zone_zs'!$B467,[1]ratio_ins!$B:$B,0))</f>
        <v>852.94241999999997</v>
      </c>
      <c r="Y467" s="10">
        <f>INDEX([1]ratio_ins!W:W,MATCH('001_population_health_zone_zs'!$B$2,[1]ratio_ins!$B:$B,0))*$G467*INDEX([1]ratio_ins!$C:$C,MATCH('001_population_health_zone_zs'!$B467,[1]ratio_ins!$B:$B,0))</f>
        <v>568.6282799999999</v>
      </c>
      <c r="Z467" s="10">
        <f>INDEX([1]ratio_ins!X:X,MATCH('001_population_health_zone_zs'!$B$2,[1]ratio_ins!$B:$B,0))*$G467*INDEX([1]ratio_ins!$C:$C,MATCH('001_population_health_zone_zs'!$B467,[1]ratio_ins!$B:$B,0))</f>
        <v>284.31413999999995</v>
      </c>
      <c r="AA467" s="10">
        <f>INDEX([1]ratio_ins!Y:Y,MATCH('001_population_health_zone_zs'!$B$2,[1]ratio_ins!$B:$B,0))*$G467*INDEX([1]ratio_ins!$C:$C,MATCH('001_population_health_zone_zs'!$B467,[1]ratio_ins!$B:$B,0))</f>
        <v>142.15706999999998</v>
      </c>
      <c r="AB467" s="11">
        <f>INDEX([1]ratio_ins!Z:Z,MATCH('001_population_health_zone_zs'!$B$2,[1]ratio_ins!$B:$B,0))*$G467*INDEX([1]ratio_ins!$C:$C,MATCH('001_population_health_zone_zs'!$B467,[1]ratio_ins!$B:$B,0))</f>
        <v>1848.0419100000001</v>
      </c>
      <c r="AC467" s="12">
        <f t="shared" si="42"/>
        <v>71078.535000000003</v>
      </c>
      <c r="AD467" s="10">
        <f>INDEX([1]ratio_ins!AA:AA,MATCH('001_population_health_zone_zs'!$B$2,[1]ratio_ins!$B:$B,0))*$G467*INDEX([1]ratio_ins!$D:$D,MATCH('001_population_health_zone_zs'!$B467,[1]ratio_ins!$B:$B,0))</f>
        <v>15228.03765</v>
      </c>
      <c r="AE467" s="10">
        <f>INDEX([1]ratio_ins!AB:AB,MATCH('001_population_health_zone_zs'!$B$2,[1]ratio_ins!$B:$B,0))*$G467*INDEX([1]ratio_ins!$D:$D,MATCH('001_population_health_zone_zs'!$B467,[1]ratio_ins!$B:$B,0))</f>
        <v>12545.002445000002</v>
      </c>
      <c r="AF467" s="10">
        <f>INDEX([1]ratio_ins!AC:AC,MATCH('001_population_health_zone_zs'!$B$2,[1]ratio_ins!$B:$B,0))*$G467*INDEX([1]ratio_ins!$D:$D,MATCH('001_population_health_zone_zs'!$B467,[1]ratio_ins!$B:$B,0))</f>
        <v>9934.4817049999983</v>
      </c>
      <c r="AG467" s="10">
        <f>INDEX([1]ratio_ins!AD:AD,MATCH('001_population_health_zone_zs'!$B$2,[1]ratio_ins!$B:$B,0))*$G467*INDEX([1]ratio_ins!$D:$D,MATCH('001_population_health_zone_zs'!$B467,[1]ratio_ins!$B:$B,0))</f>
        <v>6018.7005950000002</v>
      </c>
      <c r="AH467" s="10">
        <f>INDEX([1]ratio_ins!AE:AE,MATCH('001_population_health_zone_zs'!$B$2,[1]ratio_ins!$B:$B,0))*$G467*INDEX([1]ratio_ins!$D:$D,MATCH('001_population_health_zone_zs'!$B467,[1]ratio_ins!$B:$B,0))</f>
        <v>3611.2203569999997</v>
      </c>
      <c r="AI467" s="13">
        <f>INDEX([1]ratio_ins!AF:AF,MATCH('001_population_health_zone_zs'!$B$2,[1]ratio_ins!$B:$B,0))*$G467*INDEX([1]ratio_ins!$D:$D,MATCH('001_population_health_zone_zs'!$B467,[1]ratio_ins!$B:$B,0))</f>
        <v>41318.742157000001</v>
      </c>
      <c r="AJ467" s="10">
        <f>INDEX([1]ratio_ins!AG:AG,MATCH('001_population_health_zone_zs'!$B$2,[1]ratio_ins!$B:$B,0))*$G467*INDEX([1]ratio_ins!$D:$D,MATCH('001_population_health_zone_zs'!$B467,[1]ratio_ins!$B:$B,0))</f>
        <v>2407.4802379999996</v>
      </c>
      <c r="AK467" s="10">
        <f>INDEX([1]ratio_ins!AH:AH,MATCH('001_population_health_zone_zs'!$B$2,[1]ratio_ins!$B:$B,0))*$G467*INDEX([1]ratio_ins!$D:$D,MATCH('001_population_health_zone_zs'!$B467,[1]ratio_ins!$B:$B,0))</f>
        <v>5366.0704100000012</v>
      </c>
      <c r="AL467" s="10">
        <f>INDEX([1]ratio_ins!AI:AI,MATCH('001_population_health_zone_zs'!$B$2,[1]ratio_ins!$B:$B,0))*$G467*INDEX([1]ratio_ins!$D:$D,MATCH('001_population_health_zone_zs'!$B467,[1]ratio_ins!$B:$B,0))</f>
        <v>5076.0125500000004</v>
      </c>
      <c r="AM467" s="10">
        <f>INDEX([1]ratio_ins!AJ:AJ,MATCH('001_population_health_zone_zs'!$B$2,[1]ratio_ins!$B:$B,0))*$G467*INDEX([1]ratio_ins!$D:$D,MATCH('001_population_health_zone_zs'!$B467,[1]ratio_ins!$B:$B,0))</f>
        <v>4640.9257600000001</v>
      </c>
      <c r="AN467" s="10">
        <f>INDEX([1]ratio_ins!AK:AK,MATCH('001_population_health_zone_zs'!$B$2,[1]ratio_ins!$B:$B,0))*$G467*INDEX([1]ratio_ins!$D:$D,MATCH('001_population_health_zone_zs'!$B467,[1]ratio_ins!$B:$B,0))</f>
        <v>4350.8679000000002</v>
      </c>
      <c r="AO467" s="10">
        <f>INDEX([1]ratio_ins!AL:AL,MATCH('001_population_health_zone_zs'!$B$2,[1]ratio_ins!$B:$B,0))*$G467*INDEX([1]ratio_ins!$D:$D,MATCH('001_population_health_zone_zs'!$B467,[1]ratio_ins!$B:$B,0))</f>
        <v>3263.1509249999999</v>
      </c>
      <c r="AP467" s="10">
        <f>INDEX([1]ratio_ins!AM:AM,MATCH('001_population_health_zone_zs'!$B$2,[1]ratio_ins!$B:$B,0))*$G467*INDEX([1]ratio_ins!$D:$D,MATCH('001_population_health_zone_zs'!$B467,[1]ratio_ins!$B:$B,0))</f>
        <v>2102.9194849999999</v>
      </c>
      <c r="AQ467" s="10">
        <f>INDEX([1]ratio_ins!AN:AN,MATCH('001_population_health_zone_zs'!$B$2,[1]ratio_ins!$B:$B,0))*$G467*INDEX([1]ratio_ins!$D:$D,MATCH('001_population_health_zone_zs'!$B467,[1]ratio_ins!$B:$B,0))</f>
        <v>1667.8326950000001</v>
      </c>
      <c r="AR467" s="10">
        <f>INDEX([1]ratio_ins!AO:AO,MATCH('001_population_health_zone_zs'!$B$2,[1]ratio_ins!$B:$B,0))*$G467*INDEX([1]ratio_ins!$D:$D,MATCH('001_population_health_zone_zs'!$B467,[1]ratio_ins!$B:$B,0))</f>
        <v>797.65911500000004</v>
      </c>
      <c r="AS467" s="13">
        <f>INDEX([1]ratio_ins!AP:AP,MATCH('001_population_health_zone_zs'!$B$2,[1]ratio_ins!$B:$B,0))*$G467*INDEX([1]ratio_ins!$D:$D,MATCH('001_population_health_zone_zs'!$B467,[1]ratio_ins!$B:$B,0))</f>
        <v>29672.919078000003</v>
      </c>
      <c r="AT467" s="10">
        <f>INDEX([1]ratio_ins!AQ:AQ,MATCH('001_population_health_zone_zs'!$B$2,[1]ratio_ins!$B:$B,0))*$G467*INDEX([1]ratio_ins!$D:$D,MATCH('001_population_health_zone_zs'!$B467,[1]ratio_ins!$B:$B,0))</f>
        <v>725.14465000000007</v>
      </c>
      <c r="AU467" s="10">
        <f>INDEX([1]ratio_ins!AR:AR,MATCH('001_population_health_zone_zs'!$B$2,[1]ratio_ins!$B:$B,0))*$G467*INDEX([1]ratio_ins!$D:$D,MATCH('001_population_health_zone_zs'!$B467,[1]ratio_ins!$B:$B,0))</f>
        <v>435.08679000000001</v>
      </c>
      <c r="AV467" s="10">
        <f>INDEX([1]ratio_ins!AS:AS,MATCH('001_population_health_zone_zs'!$B$2,[1]ratio_ins!$B:$B,0))*$G467*INDEX([1]ratio_ins!$D:$D,MATCH('001_population_health_zone_zs'!$B467,[1]ratio_ins!$B:$B,0))</f>
        <v>217.543395</v>
      </c>
      <c r="AW467" s="10">
        <f>INDEX([1]ratio_ins!AT:AT,MATCH('001_population_health_zone_zs'!$B$2,[1]ratio_ins!$B:$B,0))*$G467*INDEX([1]ratio_ins!$D:$D,MATCH('001_population_health_zone_zs'!$B467,[1]ratio_ins!$B:$B,0))</f>
        <v>145.02893</v>
      </c>
      <c r="AX467" s="13">
        <f>INDEX([1]ratio_ins!AU:AU,MATCH('001_population_health_zone_zs'!$B$2,[1]ratio_ins!$B:$B,0))*$G467*INDEX([1]ratio_ins!$D:$D,MATCH('001_population_health_zone_zs'!$B467,[1]ratio_ins!$B:$B,0))</f>
        <v>1522.8037649999997</v>
      </c>
      <c r="AY467" s="14">
        <f t="shared" si="43"/>
        <v>72514.465000000011</v>
      </c>
      <c r="AZ467" s="15">
        <f t="shared" si="44"/>
        <v>143593</v>
      </c>
      <c r="BA467" s="16">
        <v>137532.83914897885</v>
      </c>
      <c r="BB467" s="10">
        <f t="shared" si="45"/>
        <v>30818.647624999998</v>
      </c>
      <c r="BC467" s="17">
        <f t="shared" si="46"/>
        <v>0.21462499999999998</v>
      </c>
      <c r="BD467" s="10">
        <f t="shared" si="47"/>
        <v>29639.749095000003</v>
      </c>
    </row>
    <row r="468" spans="1:56" x14ac:dyDescent="0.25">
      <c r="A468" s="8" t="s">
        <v>1137</v>
      </c>
      <c r="B468" s="8" t="s">
        <v>1138</v>
      </c>
      <c r="C468" s="8" t="s">
        <v>1153</v>
      </c>
      <c r="D468" s="8" t="s">
        <v>1154</v>
      </c>
      <c r="E468" s="8" t="s">
        <v>1153</v>
      </c>
      <c r="F468" s="8" t="s">
        <v>1157</v>
      </c>
      <c r="G468" s="9">
        <v>146824</v>
      </c>
      <c r="H468" s="10">
        <f>INDEX([1]ratio_ins!F:F,MATCH('001_population_health_zone_zs'!$B$2,[1]ratio_ins!$B:$B,0))*$G468*INDEX([1]ratio_ins!$C:$C,MATCH('001_population_health_zone_zs'!$B468,[1]ratio_ins!$B:$B,0))</f>
        <v>15189.67692</v>
      </c>
      <c r="I468" s="10">
        <f>INDEX([1]ratio_ins!G:G,MATCH('001_population_health_zone_zs'!$B$2,[1]ratio_ins!$B:$B,0))*$G468*INDEX([1]ratio_ins!$C:$C,MATCH('001_population_health_zone_zs'!$B468,[1]ratio_ins!$B:$B,0))</f>
        <v>12427.917480000002</v>
      </c>
      <c r="J468" s="10">
        <f>INDEX([1]ratio_ins!H:H,MATCH('001_population_health_zone_zs'!$B$2,[1]ratio_ins!$B:$B,0))*$G468*INDEX([1]ratio_ins!$C:$C,MATCH('001_population_health_zone_zs'!$B468,[1]ratio_ins!$B:$B,0))</f>
        <v>9811.5138000000006</v>
      </c>
      <c r="K468" s="10">
        <f>INDEX([1]ratio_ins!I:I,MATCH('001_population_health_zone_zs'!$B$2,[1]ratio_ins!$B:$B,0))*$G468*INDEX([1]ratio_ins!$C:$C,MATCH('001_population_health_zone_zs'!$B468,[1]ratio_ins!$B:$B,0))</f>
        <v>6032.26404</v>
      </c>
      <c r="L468" s="10">
        <f>INDEX([1]ratio_ins!J:J,MATCH('001_population_health_zone_zs'!$B$2,[1]ratio_ins!$B:$B,0))*$G468*INDEX([1]ratio_ins!$C:$C,MATCH('001_population_health_zone_zs'!$B468,[1]ratio_ins!$B:$B,0))</f>
        <v>3619.3584239999996</v>
      </c>
      <c r="M468" s="11">
        <f>INDEX([1]ratio_ins!K:K,MATCH('001_population_health_zone_zs'!$B$2,[1]ratio_ins!$B:$B,0))*$G468*INDEX([1]ratio_ins!$C:$C,MATCH('001_population_health_zone_zs'!$B468,[1]ratio_ins!$B:$B,0))</f>
        <v>41048.466624000001</v>
      </c>
      <c r="N468" s="10">
        <f>INDEX([1]ratio_ins!L:L,MATCH('001_population_health_zone_zs'!$B$2,[1]ratio_ins!$B:$B,0))*$G468*INDEX([1]ratio_ins!$C:$C,MATCH('001_population_health_zone_zs'!$B468,[1]ratio_ins!$B:$B,0))</f>
        <v>2412.905616</v>
      </c>
      <c r="O468" s="10">
        <f>INDEX([1]ratio_ins!M:M,MATCH('001_population_health_zone_zs'!$B$2,[1]ratio_ins!$B:$B,0))*$G468*INDEX([1]ratio_ins!$C:$C,MATCH('001_population_health_zone_zs'!$B468,[1]ratio_ins!$B:$B,0))</f>
        <v>5232.8073600000007</v>
      </c>
      <c r="P468" s="10">
        <f>INDEX([1]ratio_ins!N:N,MATCH('001_population_health_zone_zs'!$B$2,[1]ratio_ins!$B:$B,0))*$G468*INDEX([1]ratio_ins!$C:$C,MATCH('001_population_health_zone_zs'!$B468,[1]ratio_ins!$B:$B,0))</f>
        <v>4724.0621999999994</v>
      </c>
      <c r="Q468" s="10">
        <f>INDEX([1]ratio_ins!O:O,MATCH('001_population_health_zone_zs'!$B$2,[1]ratio_ins!$B:$B,0))*$G468*INDEX([1]ratio_ins!$C:$C,MATCH('001_population_health_zone_zs'!$B468,[1]ratio_ins!$B:$B,0))</f>
        <v>4215.3170399999999</v>
      </c>
      <c r="R468" s="10">
        <f>INDEX([1]ratio_ins!P:P,MATCH('001_population_health_zone_zs'!$B$2,[1]ratio_ins!$B:$B,0))*$G468*INDEX([1]ratio_ins!$C:$C,MATCH('001_population_health_zone_zs'!$B468,[1]ratio_ins!$B:$B,0))</f>
        <v>4142.6391600000006</v>
      </c>
      <c r="S468" s="10">
        <f>INDEX([1]ratio_ins!Q:Q,MATCH('001_population_health_zone_zs'!$B$2,[1]ratio_ins!$B:$B,0))*$G468*INDEX([1]ratio_ins!$C:$C,MATCH('001_population_health_zone_zs'!$B468,[1]ratio_ins!$B:$B,0))</f>
        <v>3488.5382400000003</v>
      </c>
      <c r="T468" s="10">
        <f>INDEX([1]ratio_ins!R:R,MATCH('001_population_health_zone_zs'!$B$2,[1]ratio_ins!$B:$B,0))*$G468*INDEX([1]ratio_ins!$C:$C,MATCH('001_population_health_zone_zs'!$B468,[1]ratio_ins!$B:$B,0))</f>
        <v>2471.0479200000004</v>
      </c>
      <c r="U468" s="10">
        <f>INDEX([1]ratio_ins!S:S,MATCH('001_population_health_zone_zs'!$B$2,[1]ratio_ins!$B:$B,0))*$G468*INDEX([1]ratio_ins!$C:$C,MATCH('001_population_health_zone_zs'!$B468,[1]ratio_ins!$B:$B,0))</f>
        <v>1962.3027600000003</v>
      </c>
      <c r="V468" s="10">
        <f>INDEX([1]ratio_ins!T:T,MATCH('001_population_health_zone_zs'!$B$2,[1]ratio_ins!$B:$B,0))*$G468*INDEX([1]ratio_ins!$C:$C,MATCH('001_population_health_zone_zs'!$B468,[1]ratio_ins!$B:$B,0))</f>
        <v>1090.1682000000001</v>
      </c>
      <c r="W468" s="11">
        <f>INDEX([1]ratio_ins!U:U,MATCH('001_population_health_zone_zs'!$B$2,[1]ratio_ins!$B:$B,0))*$G468*INDEX([1]ratio_ins!$C:$C,MATCH('001_population_health_zone_zs'!$B468,[1]ratio_ins!$B:$B,0))</f>
        <v>29739.788496000001</v>
      </c>
      <c r="X468" s="10">
        <f>INDEX([1]ratio_ins!V:V,MATCH('001_population_health_zone_zs'!$B$2,[1]ratio_ins!$B:$B,0))*$G468*INDEX([1]ratio_ins!$C:$C,MATCH('001_population_health_zone_zs'!$B468,[1]ratio_ins!$B:$B,0))</f>
        <v>872.13456000000008</v>
      </c>
      <c r="Y468" s="10">
        <f>INDEX([1]ratio_ins!W:W,MATCH('001_population_health_zone_zs'!$B$2,[1]ratio_ins!$B:$B,0))*$G468*INDEX([1]ratio_ins!$C:$C,MATCH('001_population_health_zone_zs'!$B468,[1]ratio_ins!$B:$B,0))</f>
        <v>581.42304000000001</v>
      </c>
      <c r="Z468" s="10">
        <f>INDEX([1]ratio_ins!X:X,MATCH('001_population_health_zone_zs'!$B$2,[1]ratio_ins!$B:$B,0))*$G468*INDEX([1]ratio_ins!$C:$C,MATCH('001_population_health_zone_zs'!$B468,[1]ratio_ins!$B:$B,0))</f>
        <v>290.71152000000001</v>
      </c>
      <c r="AA468" s="10">
        <f>INDEX([1]ratio_ins!Y:Y,MATCH('001_population_health_zone_zs'!$B$2,[1]ratio_ins!$B:$B,0))*$G468*INDEX([1]ratio_ins!$C:$C,MATCH('001_population_health_zone_zs'!$B468,[1]ratio_ins!$B:$B,0))</f>
        <v>145.35576</v>
      </c>
      <c r="AB468" s="11">
        <f>INDEX([1]ratio_ins!Z:Z,MATCH('001_population_health_zone_zs'!$B$2,[1]ratio_ins!$B:$B,0))*$G468*INDEX([1]ratio_ins!$C:$C,MATCH('001_population_health_zone_zs'!$B468,[1]ratio_ins!$B:$B,0))</f>
        <v>1889.6248800000003</v>
      </c>
      <c r="AC468" s="12">
        <f t="shared" si="42"/>
        <v>72677.88</v>
      </c>
      <c r="AD468" s="10">
        <f>INDEX([1]ratio_ins!AA:AA,MATCH('001_population_health_zone_zs'!$B$2,[1]ratio_ins!$B:$B,0))*$G468*INDEX([1]ratio_ins!$D:$D,MATCH('001_population_health_zone_zs'!$B468,[1]ratio_ins!$B:$B,0))</f>
        <v>15570.685199999998</v>
      </c>
      <c r="AE468" s="10">
        <f>INDEX([1]ratio_ins!AB:AB,MATCH('001_population_health_zone_zs'!$B$2,[1]ratio_ins!$B:$B,0))*$G468*INDEX([1]ratio_ins!$D:$D,MATCH('001_population_health_zone_zs'!$B468,[1]ratio_ins!$B:$B,0))</f>
        <v>12827.278760000001</v>
      </c>
      <c r="AF468" s="10">
        <f>INDEX([1]ratio_ins!AC:AC,MATCH('001_population_health_zone_zs'!$B$2,[1]ratio_ins!$B:$B,0))*$G468*INDEX([1]ratio_ins!$D:$D,MATCH('001_population_health_zone_zs'!$B468,[1]ratio_ins!$B:$B,0))</f>
        <v>10158.01844</v>
      </c>
      <c r="AG468" s="10">
        <f>INDEX([1]ratio_ins!AD:AD,MATCH('001_population_health_zone_zs'!$B$2,[1]ratio_ins!$B:$B,0))*$G468*INDEX([1]ratio_ins!$D:$D,MATCH('001_population_health_zone_zs'!$B468,[1]ratio_ins!$B:$B,0))</f>
        <v>6154.1279599999998</v>
      </c>
      <c r="AH468" s="10">
        <f>INDEX([1]ratio_ins!AE:AE,MATCH('001_population_health_zone_zs'!$B$2,[1]ratio_ins!$B:$B,0))*$G468*INDEX([1]ratio_ins!$D:$D,MATCH('001_population_health_zone_zs'!$B468,[1]ratio_ins!$B:$B,0))</f>
        <v>3692.476776</v>
      </c>
      <c r="AI468" s="13">
        <f>INDEX([1]ratio_ins!AF:AF,MATCH('001_population_health_zone_zs'!$B$2,[1]ratio_ins!$B:$B,0))*$G468*INDEX([1]ratio_ins!$D:$D,MATCH('001_population_health_zone_zs'!$B468,[1]ratio_ins!$B:$B,0))</f>
        <v>42248.459175999997</v>
      </c>
      <c r="AJ468" s="10">
        <f>INDEX([1]ratio_ins!AG:AG,MATCH('001_population_health_zone_zs'!$B$2,[1]ratio_ins!$B:$B,0))*$G468*INDEX([1]ratio_ins!$D:$D,MATCH('001_population_health_zone_zs'!$B468,[1]ratio_ins!$B:$B,0))</f>
        <v>2461.6511840000003</v>
      </c>
      <c r="AK468" s="10">
        <f>INDEX([1]ratio_ins!AH:AH,MATCH('001_population_health_zone_zs'!$B$2,[1]ratio_ins!$B:$B,0))*$G468*INDEX([1]ratio_ins!$D:$D,MATCH('001_population_health_zone_zs'!$B468,[1]ratio_ins!$B:$B,0))</f>
        <v>5486.8128800000013</v>
      </c>
      <c r="AL468" s="10">
        <f>INDEX([1]ratio_ins!AI:AI,MATCH('001_population_health_zone_zs'!$B$2,[1]ratio_ins!$B:$B,0))*$G468*INDEX([1]ratio_ins!$D:$D,MATCH('001_population_health_zone_zs'!$B468,[1]ratio_ins!$B:$B,0))</f>
        <v>5190.2284</v>
      </c>
      <c r="AM468" s="10">
        <f>INDEX([1]ratio_ins!AJ:AJ,MATCH('001_population_health_zone_zs'!$B$2,[1]ratio_ins!$B:$B,0))*$G468*INDEX([1]ratio_ins!$D:$D,MATCH('001_population_health_zone_zs'!$B468,[1]ratio_ins!$B:$B,0))</f>
        <v>4745.3516800000007</v>
      </c>
      <c r="AN468" s="10">
        <f>INDEX([1]ratio_ins!AK:AK,MATCH('001_population_health_zone_zs'!$B$2,[1]ratio_ins!$B:$B,0))*$G468*INDEX([1]ratio_ins!$D:$D,MATCH('001_population_health_zone_zs'!$B468,[1]ratio_ins!$B:$B,0))</f>
        <v>4448.7672000000002</v>
      </c>
      <c r="AO468" s="10">
        <f>INDEX([1]ratio_ins!AL:AL,MATCH('001_population_health_zone_zs'!$B$2,[1]ratio_ins!$B:$B,0))*$G468*INDEX([1]ratio_ins!$D:$D,MATCH('001_population_health_zone_zs'!$B468,[1]ratio_ins!$B:$B,0))</f>
        <v>3336.5754000000002</v>
      </c>
      <c r="AP468" s="10">
        <f>INDEX([1]ratio_ins!AM:AM,MATCH('001_population_health_zone_zs'!$B$2,[1]ratio_ins!$B:$B,0))*$G468*INDEX([1]ratio_ins!$D:$D,MATCH('001_population_health_zone_zs'!$B468,[1]ratio_ins!$B:$B,0))</f>
        <v>2150.2374799999998</v>
      </c>
      <c r="AQ468" s="10">
        <f>INDEX([1]ratio_ins!AN:AN,MATCH('001_population_health_zone_zs'!$B$2,[1]ratio_ins!$B:$B,0))*$G468*INDEX([1]ratio_ins!$D:$D,MATCH('001_population_health_zone_zs'!$B468,[1]ratio_ins!$B:$B,0))</f>
        <v>1705.3607599999998</v>
      </c>
      <c r="AR468" s="10">
        <f>INDEX([1]ratio_ins!AO:AO,MATCH('001_population_health_zone_zs'!$B$2,[1]ratio_ins!$B:$B,0))*$G468*INDEX([1]ratio_ins!$D:$D,MATCH('001_population_health_zone_zs'!$B468,[1]ratio_ins!$B:$B,0))</f>
        <v>815.60732000000007</v>
      </c>
      <c r="AS468" s="13">
        <f>INDEX([1]ratio_ins!AP:AP,MATCH('001_population_health_zone_zs'!$B$2,[1]ratio_ins!$B:$B,0))*$G468*INDEX([1]ratio_ins!$D:$D,MATCH('001_population_health_zone_zs'!$B468,[1]ratio_ins!$B:$B,0))</f>
        <v>30340.592303999998</v>
      </c>
      <c r="AT468" s="10">
        <f>INDEX([1]ratio_ins!AQ:AQ,MATCH('001_population_health_zone_zs'!$B$2,[1]ratio_ins!$B:$B,0))*$G468*INDEX([1]ratio_ins!$D:$D,MATCH('001_population_health_zone_zs'!$B468,[1]ratio_ins!$B:$B,0))</f>
        <v>741.46119999999996</v>
      </c>
      <c r="AU468" s="10">
        <f>INDEX([1]ratio_ins!AR:AR,MATCH('001_population_health_zone_zs'!$B$2,[1]ratio_ins!$B:$B,0))*$G468*INDEX([1]ratio_ins!$D:$D,MATCH('001_population_health_zone_zs'!$B468,[1]ratio_ins!$B:$B,0))</f>
        <v>444.87672000000003</v>
      </c>
      <c r="AV468" s="10">
        <f>INDEX([1]ratio_ins!AS:AS,MATCH('001_population_health_zone_zs'!$B$2,[1]ratio_ins!$B:$B,0))*$G468*INDEX([1]ratio_ins!$D:$D,MATCH('001_population_health_zone_zs'!$B468,[1]ratio_ins!$B:$B,0))</f>
        <v>222.43836000000002</v>
      </c>
      <c r="AW468" s="10">
        <f>INDEX([1]ratio_ins!AT:AT,MATCH('001_population_health_zone_zs'!$B$2,[1]ratio_ins!$B:$B,0))*$G468*INDEX([1]ratio_ins!$D:$D,MATCH('001_population_health_zone_zs'!$B468,[1]ratio_ins!$B:$B,0))</f>
        <v>148.29224000000002</v>
      </c>
      <c r="AX468" s="13">
        <f>INDEX([1]ratio_ins!AU:AU,MATCH('001_population_health_zone_zs'!$B$2,[1]ratio_ins!$B:$B,0))*$G468*INDEX([1]ratio_ins!$D:$D,MATCH('001_population_health_zone_zs'!$B468,[1]ratio_ins!$B:$B,0))</f>
        <v>1557.0685199999998</v>
      </c>
      <c r="AY468" s="14">
        <f t="shared" si="43"/>
        <v>74146.12</v>
      </c>
      <c r="AZ468" s="15">
        <f t="shared" si="44"/>
        <v>146824</v>
      </c>
      <c r="BA468" s="16">
        <v>140628.23150729586</v>
      </c>
      <c r="BB468" s="10">
        <f t="shared" si="45"/>
        <v>31512.101000000006</v>
      </c>
      <c r="BC468" s="17">
        <f t="shared" si="46"/>
        <v>0.21462500000000004</v>
      </c>
      <c r="BD468" s="10">
        <f t="shared" si="47"/>
        <v>30306.675960000004</v>
      </c>
    </row>
    <row r="469" spans="1:56" x14ac:dyDescent="0.25">
      <c r="A469" s="8" t="s">
        <v>1137</v>
      </c>
      <c r="B469" s="8" t="s">
        <v>1138</v>
      </c>
      <c r="C469" s="8" t="s">
        <v>1158</v>
      </c>
      <c r="D469" s="8" t="s">
        <v>1159</v>
      </c>
      <c r="E469" s="8" t="s">
        <v>1158</v>
      </c>
      <c r="F469" s="8" t="s">
        <v>1160</v>
      </c>
      <c r="G469" s="9">
        <v>188451</v>
      </c>
      <c r="H469" s="10">
        <f>INDEX([1]ratio_ins!F:F,MATCH('001_population_health_zone_zs'!$B$2,[1]ratio_ins!$B:$B,0))*$G469*INDEX([1]ratio_ins!$C:$C,MATCH('001_population_health_zone_zs'!$B469,[1]ratio_ins!$B:$B,0))</f>
        <v>19496.198205000001</v>
      </c>
      <c r="I469" s="10">
        <f>INDEX([1]ratio_ins!G:G,MATCH('001_population_health_zone_zs'!$B$2,[1]ratio_ins!$B:$B,0))*$G469*INDEX([1]ratio_ins!$C:$C,MATCH('001_population_health_zone_zs'!$B469,[1]ratio_ins!$B:$B,0))</f>
        <v>15951.434895000002</v>
      </c>
      <c r="J469" s="10">
        <f>INDEX([1]ratio_ins!H:H,MATCH('001_population_health_zone_zs'!$B$2,[1]ratio_ins!$B:$B,0))*$G469*INDEX([1]ratio_ins!$C:$C,MATCH('001_population_health_zone_zs'!$B469,[1]ratio_ins!$B:$B,0))</f>
        <v>12593.238075000001</v>
      </c>
      <c r="K469" s="10">
        <f>INDEX([1]ratio_ins!I:I,MATCH('001_population_health_zone_zs'!$B$2,[1]ratio_ins!$B:$B,0))*$G469*INDEX([1]ratio_ins!$C:$C,MATCH('001_population_health_zone_zs'!$B469,[1]ratio_ins!$B:$B,0))</f>
        <v>7742.5093350000006</v>
      </c>
      <c r="L469" s="10">
        <f>INDEX([1]ratio_ins!J:J,MATCH('001_population_health_zone_zs'!$B$2,[1]ratio_ins!$B:$B,0))*$G469*INDEX([1]ratio_ins!$C:$C,MATCH('001_population_health_zone_zs'!$B469,[1]ratio_ins!$B:$B,0))</f>
        <v>4645.5056009999998</v>
      </c>
      <c r="M469" s="11">
        <f>INDEX([1]ratio_ins!K:K,MATCH('001_population_health_zone_zs'!$B$2,[1]ratio_ins!$B:$B,0))*$G469*INDEX([1]ratio_ins!$C:$C,MATCH('001_population_health_zone_zs'!$B469,[1]ratio_ins!$B:$B,0))</f>
        <v>52686.376775999997</v>
      </c>
      <c r="N469" s="10">
        <f>INDEX([1]ratio_ins!L:L,MATCH('001_population_health_zone_zs'!$B$2,[1]ratio_ins!$B:$B,0))*$G469*INDEX([1]ratio_ins!$C:$C,MATCH('001_population_health_zone_zs'!$B469,[1]ratio_ins!$B:$B,0))</f>
        <v>3097.0037339999999</v>
      </c>
      <c r="O469" s="10">
        <f>INDEX([1]ratio_ins!M:M,MATCH('001_population_health_zone_zs'!$B$2,[1]ratio_ins!$B:$B,0))*$G469*INDEX([1]ratio_ins!$C:$C,MATCH('001_population_health_zone_zs'!$B469,[1]ratio_ins!$B:$B,0))</f>
        <v>6716.3936400000011</v>
      </c>
      <c r="P469" s="10">
        <f>INDEX([1]ratio_ins!N:N,MATCH('001_population_health_zone_zs'!$B$2,[1]ratio_ins!$B:$B,0))*$G469*INDEX([1]ratio_ins!$C:$C,MATCH('001_population_health_zone_zs'!$B469,[1]ratio_ins!$B:$B,0))</f>
        <v>6063.4109250000001</v>
      </c>
      <c r="Q469" s="10">
        <f>INDEX([1]ratio_ins!O:O,MATCH('001_population_health_zone_zs'!$B$2,[1]ratio_ins!$B:$B,0))*$G469*INDEX([1]ratio_ins!$C:$C,MATCH('001_population_health_zone_zs'!$B469,[1]ratio_ins!$B:$B,0))</f>
        <v>5410.42821</v>
      </c>
      <c r="R469" s="10">
        <f>INDEX([1]ratio_ins!P:P,MATCH('001_population_health_zone_zs'!$B$2,[1]ratio_ins!$B:$B,0))*$G469*INDEX([1]ratio_ins!$C:$C,MATCH('001_population_health_zone_zs'!$B469,[1]ratio_ins!$B:$B,0))</f>
        <v>5317.1449650000004</v>
      </c>
      <c r="S469" s="10">
        <f>INDEX([1]ratio_ins!Q:Q,MATCH('001_population_health_zone_zs'!$B$2,[1]ratio_ins!$B:$B,0))*$G469*INDEX([1]ratio_ins!$C:$C,MATCH('001_population_health_zone_zs'!$B469,[1]ratio_ins!$B:$B,0))</f>
        <v>4477.5957600000002</v>
      </c>
      <c r="T469" s="10">
        <f>INDEX([1]ratio_ins!R:R,MATCH('001_population_health_zone_zs'!$B$2,[1]ratio_ins!$B:$B,0))*$G469*INDEX([1]ratio_ins!$C:$C,MATCH('001_population_health_zone_zs'!$B469,[1]ratio_ins!$B:$B,0))</f>
        <v>3171.6303300000004</v>
      </c>
      <c r="U469" s="10">
        <f>INDEX([1]ratio_ins!S:S,MATCH('001_population_health_zone_zs'!$B$2,[1]ratio_ins!$B:$B,0))*$G469*INDEX([1]ratio_ins!$C:$C,MATCH('001_population_health_zone_zs'!$B469,[1]ratio_ins!$B:$B,0))</f>
        <v>2518.6476150000003</v>
      </c>
      <c r="V469" s="10">
        <f>INDEX([1]ratio_ins!T:T,MATCH('001_population_health_zone_zs'!$B$2,[1]ratio_ins!$B:$B,0))*$G469*INDEX([1]ratio_ins!$C:$C,MATCH('001_population_health_zone_zs'!$B469,[1]ratio_ins!$B:$B,0))</f>
        <v>1399.2486749999998</v>
      </c>
      <c r="W469" s="11">
        <f>INDEX([1]ratio_ins!U:U,MATCH('001_population_health_zone_zs'!$B$2,[1]ratio_ins!$B:$B,0))*$G469*INDEX([1]ratio_ins!$C:$C,MATCH('001_population_health_zone_zs'!$B469,[1]ratio_ins!$B:$B,0))</f>
        <v>38171.503854000002</v>
      </c>
      <c r="X469" s="10">
        <f>INDEX([1]ratio_ins!V:V,MATCH('001_population_health_zone_zs'!$B$2,[1]ratio_ins!$B:$B,0))*$G469*INDEX([1]ratio_ins!$C:$C,MATCH('001_population_health_zone_zs'!$B469,[1]ratio_ins!$B:$B,0))</f>
        <v>1119.39894</v>
      </c>
      <c r="Y469" s="10">
        <f>INDEX([1]ratio_ins!W:W,MATCH('001_population_health_zone_zs'!$B$2,[1]ratio_ins!$B:$B,0))*$G469*INDEX([1]ratio_ins!$C:$C,MATCH('001_population_health_zone_zs'!$B469,[1]ratio_ins!$B:$B,0))</f>
        <v>746.26595999999995</v>
      </c>
      <c r="Z469" s="10">
        <f>INDEX([1]ratio_ins!X:X,MATCH('001_population_health_zone_zs'!$B$2,[1]ratio_ins!$B:$B,0))*$G469*INDEX([1]ratio_ins!$C:$C,MATCH('001_population_health_zone_zs'!$B469,[1]ratio_ins!$B:$B,0))</f>
        <v>373.13297999999998</v>
      </c>
      <c r="AA469" s="10">
        <f>INDEX([1]ratio_ins!Y:Y,MATCH('001_population_health_zone_zs'!$B$2,[1]ratio_ins!$B:$B,0))*$G469*INDEX([1]ratio_ins!$C:$C,MATCH('001_population_health_zone_zs'!$B469,[1]ratio_ins!$B:$B,0))</f>
        <v>186.56648999999999</v>
      </c>
      <c r="AB469" s="11">
        <f>INDEX([1]ratio_ins!Z:Z,MATCH('001_population_health_zone_zs'!$B$2,[1]ratio_ins!$B:$B,0))*$G469*INDEX([1]ratio_ins!$C:$C,MATCH('001_population_health_zone_zs'!$B469,[1]ratio_ins!$B:$B,0))</f>
        <v>2425.3643700000002</v>
      </c>
      <c r="AC469" s="12">
        <f t="shared" si="42"/>
        <v>93283.244999999995</v>
      </c>
      <c r="AD469" s="10">
        <f>INDEX([1]ratio_ins!AA:AA,MATCH('001_population_health_zone_zs'!$B$2,[1]ratio_ins!$B:$B,0))*$G469*INDEX([1]ratio_ins!$D:$D,MATCH('001_population_health_zone_zs'!$B469,[1]ratio_ins!$B:$B,0))</f>
        <v>19985.22855</v>
      </c>
      <c r="AE469" s="10">
        <f>INDEX([1]ratio_ins!AB:AB,MATCH('001_population_health_zone_zs'!$B$2,[1]ratio_ins!$B:$B,0))*$G469*INDEX([1]ratio_ins!$D:$D,MATCH('001_population_health_zone_zs'!$B469,[1]ratio_ins!$B:$B,0))</f>
        <v>16464.021615000001</v>
      </c>
      <c r="AF469" s="10">
        <f>INDEX([1]ratio_ins!AC:AC,MATCH('001_population_health_zone_zs'!$B$2,[1]ratio_ins!$B:$B,0))*$G469*INDEX([1]ratio_ins!$D:$D,MATCH('001_population_health_zone_zs'!$B469,[1]ratio_ins!$B:$B,0))</f>
        <v>13037.982434999998</v>
      </c>
      <c r="AG469" s="10">
        <f>INDEX([1]ratio_ins!AD:AD,MATCH('001_population_health_zone_zs'!$B$2,[1]ratio_ins!$B:$B,0))*$G469*INDEX([1]ratio_ins!$D:$D,MATCH('001_population_health_zone_zs'!$B469,[1]ratio_ins!$B:$B,0))</f>
        <v>7898.9236650000003</v>
      </c>
      <c r="AH469" s="10">
        <f>INDEX([1]ratio_ins!AE:AE,MATCH('001_population_health_zone_zs'!$B$2,[1]ratio_ins!$B:$B,0))*$G469*INDEX([1]ratio_ins!$D:$D,MATCH('001_population_health_zone_zs'!$B469,[1]ratio_ins!$B:$B,0))</f>
        <v>4739.3541990000003</v>
      </c>
      <c r="AI469" s="13">
        <f>INDEX([1]ratio_ins!AF:AF,MATCH('001_population_health_zone_zs'!$B$2,[1]ratio_ins!$B:$B,0))*$G469*INDEX([1]ratio_ins!$D:$D,MATCH('001_population_health_zone_zs'!$B469,[1]ratio_ins!$B:$B,0))</f>
        <v>54226.586798999997</v>
      </c>
      <c r="AJ469" s="10">
        <f>INDEX([1]ratio_ins!AG:AG,MATCH('001_population_health_zone_zs'!$B$2,[1]ratio_ins!$B:$B,0))*$G469*INDEX([1]ratio_ins!$D:$D,MATCH('001_population_health_zone_zs'!$B469,[1]ratio_ins!$B:$B,0))</f>
        <v>3159.5694659999999</v>
      </c>
      <c r="AK469" s="10">
        <f>INDEX([1]ratio_ins!AH:AH,MATCH('001_population_health_zone_zs'!$B$2,[1]ratio_ins!$B:$B,0))*$G469*INDEX([1]ratio_ins!$D:$D,MATCH('001_population_health_zone_zs'!$B469,[1]ratio_ins!$B:$B,0))</f>
        <v>7042.4138700000012</v>
      </c>
      <c r="AL469" s="10">
        <f>INDEX([1]ratio_ins!AI:AI,MATCH('001_population_health_zone_zs'!$B$2,[1]ratio_ins!$B:$B,0))*$G469*INDEX([1]ratio_ins!$D:$D,MATCH('001_population_health_zone_zs'!$B469,[1]ratio_ins!$B:$B,0))</f>
        <v>6661.7428500000005</v>
      </c>
      <c r="AM469" s="10">
        <f>INDEX([1]ratio_ins!AJ:AJ,MATCH('001_population_health_zone_zs'!$B$2,[1]ratio_ins!$B:$B,0))*$G469*INDEX([1]ratio_ins!$D:$D,MATCH('001_population_health_zone_zs'!$B469,[1]ratio_ins!$B:$B,0))</f>
        <v>6090.73632</v>
      </c>
      <c r="AN469" s="10">
        <f>INDEX([1]ratio_ins!AK:AK,MATCH('001_population_health_zone_zs'!$B$2,[1]ratio_ins!$B:$B,0))*$G469*INDEX([1]ratio_ins!$D:$D,MATCH('001_population_health_zone_zs'!$B469,[1]ratio_ins!$B:$B,0))</f>
        <v>5710.0653000000002</v>
      </c>
      <c r="AO469" s="10">
        <f>INDEX([1]ratio_ins!AL:AL,MATCH('001_population_health_zone_zs'!$B$2,[1]ratio_ins!$B:$B,0))*$G469*INDEX([1]ratio_ins!$D:$D,MATCH('001_population_health_zone_zs'!$B469,[1]ratio_ins!$B:$B,0))</f>
        <v>4282.5489749999997</v>
      </c>
      <c r="AP469" s="10">
        <f>INDEX([1]ratio_ins!AM:AM,MATCH('001_population_health_zone_zs'!$B$2,[1]ratio_ins!$B:$B,0))*$G469*INDEX([1]ratio_ins!$D:$D,MATCH('001_population_health_zone_zs'!$B469,[1]ratio_ins!$B:$B,0))</f>
        <v>2759.8648949999997</v>
      </c>
      <c r="AQ469" s="10">
        <f>INDEX([1]ratio_ins!AN:AN,MATCH('001_population_health_zone_zs'!$B$2,[1]ratio_ins!$B:$B,0))*$G469*INDEX([1]ratio_ins!$D:$D,MATCH('001_population_health_zone_zs'!$B469,[1]ratio_ins!$B:$B,0))</f>
        <v>2188.8583649999996</v>
      </c>
      <c r="AR469" s="10">
        <f>INDEX([1]ratio_ins!AO:AO,MATCH('001_population_health_zone_zs'!$B$2,[1]ratio_ins!$B:$B,0))*$G469*INDEX([1]ratio_ins!$D:$D,MATCH('001_population_health_zone_zs'!$B469,[1]ratio_ins!$B:$B,0))</f>
        <v>1046.8453050000001</v>
      </c>
      <c r="AS469" s="13">
        <f>INDEX([1]ratio_ins!AP:AP,MATCH('001_population_health_zone_zs'!$B$2,[1]ratio_ins!$B:$B,0))*$G469*INDEX([1]ratio_ins!$D:$D,MATCH('001_population_health_zone_zs'!$B469,[1]ratio_ins!$B:$B,0))</f>
        <v>38942.645345999998</v>
      </c>
      <c r="AT469" s="10">
        <f>INDEX([1]ratio_ins!AQ:AQ,MATCH('001_population_health_zone_zs'!$B$2,[1]ratio_ins!$B:$B,0))*$G469*INDEX([1]ratio_ins!$D:$D,MATCH('001_population_health_zone_zs'!$B469,[1]ratio_ins!$B:$B,0))</f>
        <v>951.67755</v>
      </c>
      <c r="AU469" s="10">
        <f>INDEX([1]ratio_ins!AR:AR,MATCH('001_population_health_zone_zs'!$B$2,[1]ratio_ins!$B:$B,0))*$G469*INDEX([1]ratio_ins!$D:$D,MATCH('001_population_health_zone_zs'!$B469,[1]ratio_ins!$B:$B,0))</f>
        <v>571.00653000000011</v>
      </c>
      <c r="AV469" s="10">
        <f>INDEX([1]ratio_ins!AS:AS,MATCH('001_population_health_zone_zs'!$B$2,[1]ratio_ins!$B:$B,0))*$G469*INDEX([1]ratio_ins!$D:$D,MATCH('001_population_health_zone_zs'!$B469,[1]ratio_ins!$B:$B,0))</f>
        <v>285.50326500000006</v>
      </c>
      <c r="AW469" s="10">
        <f>INDEX([1]ratio_ins!AT:AT,MATCH('001_population_health_zone_zs'!$B$2,[1]ratio_ins!$B:$B,0))*$G469*INDEX([1]ratio_ins!$D:$D,MATCH('001_population_health_zone_zs'!$B469,[1]ratio_ins!$B:$B,0))</f>
        <v>190.33551</v>
      </c>
      <c r="AX469" s="13">
        <f>INDEX([1]ratio_ins!AU:AU,MATCH('001_population_health_zone_zs'!$B$2,[1]ratio_ins!$B:$B,0))*$G469*INDEX([1]ratio_ins!$D:$D,MATCH('001_population_health_zone_zs'!$B469,[1]ratio_ins!$B:$B,0))</f>
        <v>1998.5228549999997</v>
      </c>
      <c r="AY469" s="14">
        <f t="shared" si="43"/>
        <v>95167.75499999999</v>
      </c>
      <c r="AZ469" s="15">
        <f t="shared" si="44"/>
        <v>188451</v>
      </c>
      <c r="BA469" s="16">
        <v>180497.7754660077</v>
      </c>
      <c r="BB469" s="10">
        <f t="shared" si="45"/>
        <v>40446.295874999996</v>
      </c>
      <c r="BC469" s="17">
        <f t="shared" si="46"/>
        <v>0.21462499999999998</v>
      </c>
      <c r="BD469" s="10">
        <f t="shared" si="47"/>
        <v>38899.113165000002</v>
      </c>
    </row>
    <row r="470" spans="1:56" x14ac:dyDescent="0.25">
      <c r="A470" s="8" t="s">
        <v>1137</v>
      </c>
      <c r="B470" s="8" t="s">
        <v>1138</v>
      </c>
      <c r="C470" s="8" t="s">
        <v>1158</v>
      </c>
      <c r="D470" s="8" t="s">
        <v>1159</v>
      </c>
      <c r="E470" s="8" t="s">
        <v>1161</v>
      </c>
      <c r="F470" s="8" t="s">
        <v>1162</v>
      </c>
      <c r="G470" s="9">
        <v>129952</v>
      </c>
      <c r="H470" s="10">
        <f>INDEX([1]ratio_ins!F:F,MATCH('001_population_health_zone_zs'!$B$2,[1]ratio_ins!$B:$B,0))*$G470*INDEX([1]ratio_ins!$C:$C,MATCH('001_population_health_zone_zs'!$B470,[1]ratio_ins!$B:$B,0))</f>
        <v>13444.184159999999</v>
      </c>
      <c r="I470" s="10">
        <f>INDEX([1]ratio_ins!G:G,MATCH('001_population_health_zone_zs'!$B$2,[1]ratio_ins!$B:$B,0))*$G470*INDEX([1]ratio_ins!$C:$C,MATCH('001_population_health_zone_zs'!$B470,[1]ratio_ins!$B:$B,0))</f>
        <v>10999.787040000001</v>
      </c>
      <c r="J470" s="10">
        <f>INDEX([1]ratio_ins!H:H,MATCH('001_population_health_zone_zs'!$B$2,[1]ratio_ins!$B:$B,0))*$G470*INDEX([1]ratio_ins!$C:$C,MATCH('001_population_health_zone_zs'!$B470,[1]ratio_ins!$B:$B,0))</f>
        <v>8684.0424000000003</v>
      </c>
      <c r="K470" s="10">
        <f>INDEX([1]ratio_ins!I:I,MATCH('001_population_health_zone_zs'!$B$2,[1]ratio_ins!$B:$B,0))*$G470*INDEX([1]ratio_ins!$C:$C,MATCH('001_population_health_zone_zs'!$B470,[1]ratio_ins!$B:$B,0))</f>
        <v>5339.0779200000006</v>
      </c>
      <c r="L470" s="10">
        <f>INDEX([1]ratio_ins!J:J,MATCH('001_population_health_zone_zs'!$B$2,[1]ratio_ins!$B:$B,0))*$G470*INDEX([1]ratio_ins!$C:$C,MATCH('001_population_health_zone_zs'!$B470,[1]ratio_ins!$B:$B,0))</f>
        <v>3203.4467519999998</v>
      </c>
      <c r="M470" s="11">
        <f>INDEX([1]ratio_ins!K:K,MATCH('001_population_health_zone_zs'!$B$2,[1]ratio_ins!$B:$B,0))*$G470*INDEX([1]ratio_ins!$C:$C,MATCH('001_population_health_zone_zs'!$B470,[1]ratio_ins!$B:$B,0))</f>
        <v>36331.460351999995</v>
      </c>
      <c r="N470" s="10">
        <f>INDEX([1]ratio_ins!L:L,MATCH('001_population_health_zone_zs'!$B$2,[1]ratio_ins!$B:$B,0))*$G470*INDEX([1]ratio_ins!$C:$C,MATCH('001_population_health_zone_zs'!$B470,[1]ratio_ins!$B:$B,0))</f>
        <v>2135.6311679999999</v>
      </c>
      <c r="O470" s="10">
        <f>INDEX([1]ratio_ins!M:M,MATCH('001_population_health_zone_zs'!$B$2,[1]ratio_ins!$B:$B,0))*$G470*INDEX([1]ratio_ins!$C:$C,MATCH('001_population_health_zone_zs'!$B470,[1]ratio_ins!$B:$B,0))</f>
        <v>4631.4892800000007</v>
      </c>
      <c r="P470" s="10">
        <f>INDEX([1]ratio_ins!N:N,MATCH('001_population_health_zone_zs'!$B$2,[1]ratio_ins!$B:$B,0))*$G470*INDEX([1]ratio_ins!$C:$C,MATCH('001_population_health_zone_zs'!$B470,[1]ratio_ins!$B:$B,0))</f>
        <v>4181.2056000000002</v>
      </c>
      <c r="Q470" s="10">
        <f>INDEX([1]ratio_ins!O:O,MATCH('001_population_health_zone_zs'!$B$2,[1]ratio_ins!$B:$B,0))*$G470*INDEX([1]ratio_ins!$C:$C,MATCH('001_population_health_zone_zs'!$B470,[1]ratio_ins!$B:$B,0))</f>
        <v>3730.9219199999998</v>
      </c>
      <c r="R470" s="10">
        <f>INDEX([1]ratio_ins!P:P,MATCH('001_population_health_zone_zs'!$B$2,[1]ratio_ins!$B:$B,0))*$G470*INDEX([1]ratio_ins!$C:$C,MATCH('001_population_health_zone_zs'!$B470,[1]ratio_ins!$B:$B,0))</f>
        <v>3666.5956799999999</v>
      </c>
      <c r="S470" s="10">
        <f>INDEX([1]ratio_ins!Q:Q,MATCH('001_population_health_zone_zs'!$B$2,[1]ratio_ins!$B:$B,0))*$G470*INDEX([1]ratio_ins!$C:$C,MATCH('001_population_health_zone_zs'!$B470,[1]ratio_ins!$B:$B,0))</f>
        <v>3087.6595199999997</v>
      </c>
      <c r="T470" s="10">
        <f>INDEX([1]ratio_ins!R:R,MATCH('001_population_health_zone_zs'!$B$2,[1]ratio_ins!$B:$B,0))*$G470*INDEX([1]ratio_ins!$C:$C,MATCH('001_population_health_zone_zs'!$B470,[1]ratio_ins!$B:$B,0))</f>
        <v>2187.0921600000001</v>
      </c>
      <c r="U470" s="10">
        <f>INDEX([1]ratio_ins!S:S,MATCH('001_population_health_zone_zs'!$B$2,[1]ratio_ins!$B:$B,0))*$G470*INDEX([1]ratio_ins!$C:$C,MATCH('001_population_health_zone_zs'!$B470,[1]ratio_ins!$B:$B,0))</f>
        <v>1736.8084800000004</v>
      </c>
      <c r="V470" s="10">
        <f>INDEX([1]ratio_ins!T:T,MATCH('001_population_health_zone_zs'!$B$2,[1]ratio_ins!$B:$B,0))*$G470*INDEX([1]ratio_ins!$C:$C,MATCH('001_population_health_zone_zs'!$B470,[1]ratio_ins!$B:$B,0))</f>
        <v>964.89359999999999</v>
      </c>
      <c r="W470" s="11">
        <f>INDEX([1]ratio_ins!U:U,MATCH('001_population_health_zone_zs'!$B$2,[1]ratio_ins!$B:$B,0))*$G470*INDEX([1]ratio_ins!$C:$C,MATCH('001_population_health_zone_zs'!$B470,[1]ratio_ins!$B:$B,0))</f>
        <v>26322.297408000002</v>
      </c>
      <c r="X470" s="10">
        <f>INDEX([1]ratio_ins!V:V,MATCH('001_population_health_zone_zs'!$B$2,[1]ratio_ins!$B:$B,0))*$G470*INDEX([1]ratio_ins!$C:$C,MATCH('001_population_health_zone_zs'!$B470,[1]ratio_ins!$B:$B,0))</f>
        <v>771.91487999999993</v>
      </c>
      <c r="Y470" s="10">
        <f>INDEX([1]ratio_ins!W:W,MATCH('001_population_health_zone_zs'!$B$2,[1]ratio_ins!$B:$B,0))*$G470*INDEX([1]ratio_ins!$C:$C,MATCH('001_population_health_zone_zs'!$B470,[1]ratio_ins!$B:$B,0))</f>
        <v>514.60991999999999</v>
      </c>
      <c r="Z470" s="10">
        <f>INDEX([1]ratio_ins!X:X,MATCH('001_population_health_zone_zs'!$B$2,[1]ratio_ins!$B:$B,0))*$G470*INDEX([1]ratio_ins!$C:$C,MATCH('001_population_health_zone_zs'!$B470,[1]ratio_ins!$B:$B,0))</f>
        <v>257.30495999999999</v>
      </c>
      <c r="AA470" s="10">
        <f>INDEX([1]ratio_ins!Y:Y,MATCH('001_population_health_zone_zs'!$B$2,[1]ratio_ins!$B:$B,0))*$G470*INDEX([1]ratio_ins!$C:$C,MATCH('001_population_health_zone_zs'!$B470,[1]ratio_ins!$B:$B,0))</f>
        <v>128.65248</v>
      </c>
      <c r="AB470" s="11">
        <f>INDEX([1]ratio_ins!Z:Z,MATCH('001_population_health_zone_zs'!$B$2,[1]ratio_ins!$B:$B,0))*$G470*INDEX([1]ratio_ins!$C:$C,MATCH('001_population_health_zone_zs'!$B470,[1]ratio_ins!$B:$B,0))</f>
        <v>1672.4822400000003</v>
      </c>
      <c r="AC470" s="12">
        <f t="shared" si="42"/>
        <v>64326.239999999991</v>
      </c>
      <c r="AD470" s="10">
        <f>INDEX([1]ratio_ins!AA:AA,MATCH('001_population_health_zone_zs'!$B$2,[1]ratio_ins!$B:$B,0))*$G470*INDEX([1]ratio_ins!$D:$D,MATCH('001_population_health_zone_zs'!$B470,[1]ratio_ins!$B:$B,0))</f>
        <v>13781.409599999999</v>
      </c>
      <c r="AE470" s="10">
        <f>INDEX([1]ratio_ins!AB:AB,MATCH('001_population_health_zone_zs'!$B$2,[1]ratio_ins!$B:$B,0))*$G470*INDEX([1]ratio_ins!$D:$D,MATCH('001_population_health_zone_zs'!$B470,[1]ratio_ins!$B:$B,0))</f>
        <v>11353.256480000002</v>
      </c>
      <c r="AF470" s="10">
        <f>INDEX([1]ratio_ins!AC:AC,MATCH('001_population_health_zone_zs'!$B$2,[1]ratio_ins!$B:$B,0))*$G470*INDEX([1]ratio_ins!$D:$D,MATCH('001_population_health_zone_zs'!$B470,[1]ratio_ins!$B:$B,0))</f>
        <v>8990.72912</v>
      </c>
      <c r="AG470" s="10">
        <f>INDEX([1]ratio_ins!AD:AD,MATCH('001_population_health_zone_zs'!$B$2,[1]ratio_ins!$B:$B,0))*$G470*INDEX([1]ratio_ins!$D:$D,MATCH('001_population_health_zone_zs'!$B470,[1]ratio_ins!$B:$B,0))</f>
        <v>5446.9380800000008</v>
      </c>
      <c r="AH470" s="10">
        <f>INDEX([1]ratio_ins!AE:AE,MATCH('001_population_health_zone_zs'!$B$2,[1]ratio_ins!$B:$B,0))*$G470*INDEX([1]ratio_ins!$D:$D,MATCH('001_population_health_zone_zs'!$B470,[1]ratio_ins!$B:$B,0))</f>
        <v>3268.1628479999999</v>
      </c>
      <c r="AI470" s="13">
        <f>INDEX([1]ratio_ins!AF:AF,MATCH('001_population_health_zone_zs'!$B$2,[1]ratio_ins!$B:$B,0))*$G470*INDEX([1]ratio_ins!$D:$D,MATCH('001_population_health_zone_zs'!$B470,[1]ratio_ins!$B:$B,0))</f>
        <v>37393.558047999992</v>
      </c>
      <c r="AJ470" s="10">
        <f>INDEX([1]ratio_ins!AG:AG,MATCH('001_population_health_zone_zs'!$B$2,[1]ratio_ins!$B:$B,0))*$G470*INDEX([1]ratio_ins!$D:$D,MATCH('001_population_health_zone_zs'!$B470,[1]ratio_ins!$B:$B,0))</f>
        <v>2178.775232</v>
      </c>
      <c r="AK470" s="10">
        <f>INDEX([1]ratio_ins!AH:AH,MATCH('001_population_health_zone_zs'!$B$2,[1]ratio_ins!$B:$B,0))*$G470*INDEX([1]ratio_ins!$D:$D,MATCH('001_population_health_zone_zs'!$B470,[1]ratio_ins!$B:$B,0))</f>
        <v>4856.3062400000008</v>
      </c>
      <c r="AL470" s="10">
        <f>INDEX([1]ratio_ins!AI:AI,MATCH('001_population_health_zone_zs'!$B$2,[1]ratio_ins!$B:$B,0))*$G470*INDEX([1]ratio_ins!$D:$D,MATCH('001_population_health_zone_zs'!$B470,[1]ratio_ins!$B:$B,0))</f>
        <v>4593.8032000000003</v>
      </c>
      <c r="AM470" s="10">
        <f>INDEX([1]ratio_ins!AJ:AJ,MATCH('001_population_health_zone_zs'!$B$2,[1]ratio_ins!$B:$B,0))*$G470*INDEX([1]ratio_ins!$D:$D,MATCH('001_population_health_zone_zs'!$B470,[1]ratio_ins!$B:$B,0))</f>
        <v>4200.04864</v>
      </c>
      <c r="AN470" s="10">
        <f>INDEX([1]ratio_ins!AK:AK,MATCH('001_population_health_zone_zs'!$B$2,[1]ratio_ins!$B:$B,0))*$G470*INDEX([1]ratio_ins!$D:$D,MATCH('001_population_health_zone_zs'!$B470,[1]ratio_ins!$B:$B,0))</f>
        <v>3937.5455999999999</v>
      </c>
      <c r="AO470" s="10">
        <f>INDEX([1]ratio_ins!AL:AL,MATCH('001_population_health_zone_zs'!$B$2,[1]ratio_ins!$B:$B,0))*$G470*INDEX([1]ratio_ins!$D:$D,MATCH('001_population_health_zone_zs'!$B470,[1]ratio_ins!$B:$B,0))</f>
        <v>2953.1592000000001</v>
      </c>
      <c r="AP470" s="10">
        <f>INDEX([1]ratio_ins!AM:AM,MATCH('001_population_health_zone_zs'!$B$2,[1]ratio_ins!$B:$B,0))*$G470*INDEX([1]ratio_ins!$D:$D,MATCH('001_population_health_zone_zs'!$B470,[1]ratio_ins!$B:$B,0))</f>
        <v>1903.1470399999998</v>
      </c>
      <c r="AQ470" s="10">
        <f>INDEX([1]ratio_ins!AN:AN,MATCH('001_population_health_zone_zs'!$B$2,[1]ratio_ins!$B:$B,0))*$G470*INDEX([1]ratio_ins!$D:$D,MATCH('001_population_health_zone_zs'!$B470,[1]ratio_ins!$B:$B,0))</f>
        <v>1509.39248</v>
      </c>
      <c r="AR470" s="10">
        <f>INDEX([1]ratio_ins!AO:AO,MATCH('001_population_health_zone_zs'!$B$2,[1]ratio_ins!$B:$B,0))*$G470*INDEX([1]ratio_ins!$D:$D,MATCH('001_population_health_zone_zs'!$B470,[1]ratio_ins!$B:$B,0))</f>
        <v>721.88336000000015</v>
      </c>
      <c r="AS470" s="13">
        <f>INDEX([1]ratio_ins!AP:AP,MATCH('001_population_health_zone_zs'!$B$2,[1]ratio_ins!$B:$B,0))*$G470*INDEX([1]ratio_ins!$D:$D,MATCH('001_population_health_zone_zs'!$B470,[1]ratio_ins!$B:$B,0))</f>
        <v>26854.060992000002</v>
      </c>
      <c r="AT470" s="10">
        <f>INDEX([1]ratio_ins!AQ:AQ,MATCH('001_population_health_zone_zs'!$B$2,[1]ratio_ins!$B:$B,0))*$G470*INDEX([1]ratio_ins!$D:$D,MATCH('001_population_health_zone_zs'!$B470,[1]ratio_ins!$B:$B,0))</f>
        <v>656.25760000000002</v>
      </c>
      <c r="AU470" s="10">
        <f>INDEX([1]ratio_ins!AR:AR,MATCH('001_population_health_zone_zs'!$B$2,[1]ratio_ins!$B:$B,0))*$G470*INDEX([1]ratio_ins!$D:$D,MATCH('001_population_health_zone_zs'!$B470,[1]ratio_ins!$B:$B,0))</f>
        <v>393.75456000000003</v>
      </c>
      <c r="AV470" s="10">
        <f>INDEX([1]ratio_ins!AS:AS,MATCH('001_population_health_zone_zs'!$B$2,[1]ratio_ins!$B:$B,0))*$G470*INDEX([1]ratio_ins!$D:$D,MATCH('001_population_health_zone_zs'!$B470,[1]ratio_ins!$B:$B,0))</f>
        <v>196.87728000000001</v>
      </c>
      <c r="AW470" s="10">
        <f>INDEX([1]ratio_ins!AT:AT,MATCH('001_population_health_zone_zs'!$B$2,[1]ratio_ins!$B:$B,0))*$G470*INDEX([1]ratio_ins!$D:$D,MATCH('001_population_health_zone_zs'!$B470,[1]ratio_ins!$B:$B,0))</f>
        <v>131.25152</v>
      </c>
      <c r="AX470" s="13">
        <f>INDEX([1]ratio_ins!AU:AU,MATCH('001_population_health_zone_zs'!$B$2,[1]ratio_ins!$B:$B,0))*$G470*INDEX([1]ratio_ins!$D:$D,MATCH('001_population_health_zone_zs'!$B470,[1]ratio_ins!$B:$B,0))</f>
        <v>1378.14096</v>
      </c>
      <c r="AY470" s="14">
        <f t="shared" si="43"/>
        <v>65625.759999999995</v>
      </c>
      <c r="AZ470" s="15">
        <f t="shared" si="44"/>
        <v>129951.99999999999</v>
      </c>
      <c r="BA470" s="16">
        <v>124467.76937263065</v>
      </c>
      <c r="BB470" s="10">
        <f t="shared" si="45"/>
        <v>27890.948</v>
      </c>
      <c r="BC470" s="17">
        <f t="shared" si="46"/>
        <v>0.21462500000000001</v>
      </c>
      <c r="BD470" s="10">
        <f t="shared" si="47"/>
        <v>26824.042080000003</v>
      </c>
    </row>
    <row r="471" spans="1:56" x14ac:dyDescent="0.25">
      <c r="A471" s="8" t="s">
        <v>1137</v>
      </c>
      <c r="B471" s="8" t="s">
        <v>1138</v>
      </c>
      <c r="C471" s="8" t="s">
        <v>1163</v>
      </c>
      <c r="D471" s="8" t="s">
        <v>1164</v>
      </c>
      <c r="E471" s="8" t="s">
        <v>1165</v>
      </c>
      <c r="F471" s="8" t="s">
        <v>1166</v>
      </c>
      <c r="G471" s="9">
        <v>134094</v>
      </c>
      <c r="H471" s="10">
        <f>INDEX([1]ratio_ins!F:F,MATCH('001_population_health_zone_zs'!$B$2,[1]ratio_ins!$B:$B,0))*$G471*INDEX([1]ratio_ins!$C:$C,MATCH('001_population_health_zone_zs'!$B471,[1]ratio_ins!$B:$B,0))</f>
        <v>13872.69477</v>
      </c>
      <c r="I471" s="10">
        <f>INDEX([1]ratio_ins!G:G,MATCH('001_population_health_zone_zs'!$B$2,[1]ratio_ins!$B:$B,0))*$G471*INDEX([1]ratio_ins!$C:$C,MATCH('001_population_health_zone_zs'!$B471,[1]ratio_ins!$B:$B,0))</f>
        <v>11350.386630000001</v>
      </c>
      <c r="J471" s="10">
        <f>INDEX([1]ratio_ins!H:H,MATCH('001_population_health_zone_zs'!$B$2,[1]ratio_ins!$B:$B,0))*$G471*INDEX([1]ratio_ins!$C:$C,MATCH('001_population_health_zone_zs'!$B471,[1]ratio_ins!$B:$B,0))</f>
        <v>8960.8315500000008</v>
      </c>
      <c r="K471" s="10">
        <f>INDEX([1]ratio_ins!I:I,MATCH('001_population_health_zone_zs'!$B$2,[1]ratio_ins!$B:$B,0))*$G471*INDEX([1]ratio_ins!$C:$C,MATCH('001_population_health_zone_zs'!$B471,[1]ratio_ins!$B:$B,0))</f>
        <v>5509.2519899999998</v>
      </c>
      <c r="L471" s="10">
        <f>INDEX([1]ratio_ins!J:J,MATCH('001_population_health_zone_zs'!$B$2,[1]ratio_ins!$B:$B,0))*$G471*INDEX([1]ratio_ins!$C:$C,MATCH('001_population_health_zone_zs'!$B471,[1]ratio_ins!$B:$B,0))</f>
        <v>3305.5511939999997</v>
      </c>
      <c r="M471" s="11">
        <f>INDEX([1]ratio_ins!K:K,MATCH('001_population_health_zone_zs'!$B$2,[1]ratio_ins!$B:$B,0))*$G471*INDEX([1]ratio_ins!$C:$C,MATCH('001_population_health_zone_zs'!$B471,[1]ratio_ins!$B:$B,0))</f>
        <v>37489.464143999998</v>
      </c>
      <c r="N471" s="10">
        <f>INDEX([1]ratio_ins!L:L,MATCH('001_population_health_zone_zs'!$B$2,[1]ratio_ins!$B:$B,0))*$G471*INDEX([1]ratio_ins!$C:$C,MATCH('001_population_health_zone_zs'!$B471,[1]ratio_ins!$B:$B,0))</f>
        <v>2203.7007960000001</v>
      </c>
      <c r="O471" s="10">
        <f>INDEX([1]ratio_ins!M:M,MATCH('001_population_health_zone_zs'!$B$2,[1]ratio_ins!$B:$B,0))*$G471*INDEX([1]ratio_ins!$C:$C,MATCH('001_population_health_zone_zs'!$B471,[1]ratio_ins!$B:$B,0))</f>
        <v>4779.1101600000011</v>
      </c>
      <c r="P471" s="10">
        <f>INDEX([1]ratio_ins!N:N,MATCH('001_population_health_zone_zs'!$B$2,[1]ratio_ins!$B:$B,0))*$G471*INDEX([1]ratio_ins!$C:$C,MATCH('001_population_health_zone_zs'!$B471,[1]ratio_ins!$B:$B,0))</f>
        <v>4314.4744500000006</v>
      </c>
      <c r="Q471" s="10">
        <f>INDEX([1]ratio_ins!O:O,MATCH('001_population_health_zone_zs'!$B$2,[1]ratio_ins!$B:$B,0))*$G471*INDEX([1]ratio_ins!$C:$C,MATCH('001_population_health_zone_zs'!$B471,[1]ratio_ins!$B:$B,0))</f>
        <v>3849.8387399999997</v>
      </c>
      <c r="R471" s="10">
        <f>INDEX([1]ratio_ins!P:P,MATCH('001_population_health_zone_zs'!$B$2,[1]ratio_ins!$B:$B,0))*$G471*INDEX([1]ratio_ins!$C:$C,MATCH('001_population_health_zone_zs'!$B471,[1]ratio_ins!$B:$B,0))</f>
        <v>3783.4622100000001</v>
      </c>
      <c r="S471" s="10">
        <f>INDEX([1]ratio_ins!Q:Q,MATCH('001_population_health_zone_zs'!$B$2,[1]ratio_ins!$B:$B,0))*$G471*INDEX([1]ratio_ins!$C:$C,MATCH('001_population_health_zone_zs'!$B471,[1]ratio_ins!$B:$B,0))</f>
        <v>3186.0734399999997</v>
      </c>
      <c r="T471" s="10">
        <f>INDEX([1]ratio_ins!R:R,MATCH('001_population_health_zone_zs'!$B$2,[1]ratio_ins!$B:$B,0))*$G471*INDEX([1]ratio_ins!$C:$C,MATCH('001_population_health_zone_zs'!$B471,[1]ratio_ins!$B:$B,0))</f>
        <v>2256.8020200000001</v>
      </c>
      <c r="U471" s="10">
        <f>INDEX([1]ratio_ins!S:S,MATCH('001_population_health_zone_zs'!$B$2,[1]ratio_ins!$B:$B,0))*$G471*INDEX([1]ratio_ins!$C:$C,MATCH('001_population_health_zone_zs'!$B471,[1]ratio_ins!$B:$B,0))</f>
        <v>1792.1663100000003</v>
      </c>
      <c r="V471" s="10">
        <f>INDEX([1]ratio_ins!T:T,MATCH('001_population_health_zone_zs'!$B$2,[1]ratio_ins!$B:$B,0))*$G471*INDEX([1]ratio_ins!$C:$C,MATCH('001_population_health_zone_zs'!$B471,[1]ratio_ins!$B:$B,0))</f>
        <v>995.64794999999992</v>
      </c>
      <c r="W471" s="11">
        <f>INDEX([1]ratio_ins!U:U,MATCH('001_population_health_zone_zs'!$B$2,[1]ratio_ins!$B:$B,0))*$G471*INDEX([1]ratio_ins!$C:$C,MATCH('001_population_health_zone_zs'!$B471,[1]ratio_ins!$B:$B,0))</f>
        <v>27161.276076000002</v>
      </c>
      <c r="X471" s="10">
        <f>INDEX([1]ratio_ins!V:V,MATCH('001_population_health_zone_zs'!$B$2,[1]ratio_ins!$B:$B,0))*$G471*INDEX([1]ratio_ins!$C:$C,MATCH('001_population_health_zone_zs'!$B471,[1]ratio_ins!$B:$B,0))</f>
        <v>796.51835999999992</v>
      </c>
      <c r="Y471" s="10">
        <f>INDEX([1]ratio_ins!W:W,MATCH('001_population_health_zone_zs'!$B$2,[1]ratio_ins!$B:$B,0))*$G471*INDEX([1]ratio_ins!$C:$C,MATCH('001_population_health_zone_zs'!$B471,[1]ratio_ins!$B:$B,0))</f>
        <v>531.01224000000002</v>
      </c>
      <c r="Z471" s="10">
        <f>INDEX([1]ratio_ins!X:X,MATCH('001_population_health_zone_zs'!$B$2,[1]ratio_ins!$B:$B,0))*$G471*INDEX([1]ratio_ins!$C:$C,MATCH('001_population_health_zone_zs'!$B471,[1]ratio_ins!$B:$B,0))</f>
        <v>265.50612000000001</v>
      </c>
      <c r="AA471" s="10">
        <f>INDEX([1]ratio_ins!Y:Y,MATCH('001_population_health_zone_zs'!$B$2,[1]ratio_ins!$B:$B,0))*$G471*INDEX([1]ratio_ins!$C:$C,MATCH('001_population_health_zone_zs'!$B471,[1]ratio_ins!$B:$B,0))</f>
        <v>132.75306</v>
      </c>
      <c r="AB471" s="11">
        <f>INDEX([1]ratio_ins!Z:Z,MATCH('001_population_health_zone_zs'!$B$2,[1]ratio_ins!$B:$B,0))*$G471*INDEX([1]ratio_ins!$C:$C,MATCH('001_population_health_zone_zs'!$B471,[1]ratio_ins!$B:$B,0))</f>
        <v>1725.7897800000003</v>
      </c>
      <c r="AC471" s="12">
        <f t="shared" si="42"/>
        <v>66376.53</v>
      </c>
      <c r="AD471" s="10">
        <f>INDEX([1]ratio_ins!AA:AA,MATCH('001_population_health_zone_zs'!$B$2,[1]ratio_ins!$B:$B,0))*$G471*INDEX([1]ratio_ins!$D:$D,MATCH('001_population_health_zone_zs'!$B471,[1]ratio_ins!$B:$B,0))</f>
        <v>14220.668699999998</v>
      </c>
      <c r="AE471" s="10">
        <f>INDEX([1]ratio_ins!AB:AB,MATCH('001_population_health_zone_zs'!$B$2,[1]ratio_ins!$B:$B,0))*$G471*INDEX([1]ratio_ins!$D:$D,MATCH('001_population_health_zone_zs'!$B471,[1]ratio_ins!$B:$B,0))</f>
        <v>11715.122310000001</v>
      </c>
      <c r="AF471" s="10">
        <f>INDEX([1]ratio_ins!AC:AC,MATCH('001_population_health_zone_zs'!$B$2,[1]ratio_ins!$B:$B,0))*$G471*INDEX([1]ratio_ins!$D:$D,MATCH('001_population_health_zone_zs'!$B471,[1]ratio_ins!$B:$B,0))</f>
        <v>9277.2933899999989</v>
      </c>
      <c r="AG471" s="10">
        <f>INDEX([1]ratio_ins!AD:AD,MATCH('001_population_health_zone_zs'!$B$2,[1]ratio_ins!$B:$B,0))*$G471*INDEX([1]ratio_ins!$D:$D,MATCH('001_population_health_zone_zs'!$B471,[1]ratio_ins!$B:$B,0))</f>
        <v>5620.5500099999999</v>
      </c>
      <c r="AH471" s="10">
        <f>INDEX([1]ratio_ins!AE:AE,MATCH('001_population_health_zone_zs'!$B$2,[1]ratio_ins!$B:$B,0))*$G471*INDEX([1]ratio_ins!$D:$D,MATCH('001_population_health_zone_zs'!$B471,[1]ratio_ins!$B:$B,0))</f>
        <v>3372.3300060000001</v>
      </c>
      <c r="AI471" s="13">
        <f>INDEX([1]ratio_ins!AF:AF,MATCH('001_population_health_zone_zs'!$B$2,[1]ratio_ins!$B:$B,0))*$G471*INDEX([1]ratio_ins!$D:$D,MATCH('001_population_health_zone_zs'!$B471,[1]ratio_ins!$B:$B,0))</f>
        <v>38585.414405999996</v>
      </c>
      <c r="AJ471" s="10">
        <f>INDEX([1]ratio_ins!AG:AG,MATCH('001_population_health_zone_zs'!$B$2,[1]ratio_ins!$B:$B,0))*$G471*INDEX([1]ratio_ins!$D:$D,MATCH('001_population_health_zone_zs'!$B471,[1]ratio_ins!$B:$B,0))</f>
        <v>2248.2200039999998</v>
      </c>
      <c r="AK471" s="10">
        <f>INDEX([1]ratio_ins!AH:AH,MATCH('001_population_health_zone_zs'!$B$2,[1]ratio_ins!$B:$B,0))*$G471*INDEX([1]ratio_ins!$D:$D,MATCH('001_population_health_zone_zs'!$B471,[1]ratio_ins!$B:$B,0))</f>
        <v>5011.0927800000009</v>
      </c>
      <c r="AL471" s="10">
        <f>INDEX([1]ratio_ins!AI:AI,MATCH('001_population_health_zone_zs'!$B$2,[1]ratio_ins!$B:$B,0))*$G471*INDEX([1]ratio_ins!$D:$D,MATCH('001_population_health_zone_zs'!$B471,[1]ratio_ins!$B:$B,0))</f>
        <v>4740.2229000000007</v>
      </c>
      <c r="AM471" s="10">
        <f>INDEX([1]ratio_ins!AJ:AJ,MATCH('001_population_health_zone_zs'!$B$2,[1]ratio_ins!$B:$B,0))*$G471*INDEX([1]ratio_ins!$D:$D,MATCH('001_population_health_zone_zs'!$B471,[1]ratio_ins!$B:$B,0))</f>
        <v>4333.9180799999995</v>
      </c>
      <c r="AN471" s="10">
        <f>INDEX([1]ratio_ins!AK:AK,MATCH('001_population_health_zone_zs'!$B$2,[1]ratio_ins!$B:$B,0))*$G471*INDEX([1]ratio_ins!$D:$D,MATCH('001_population_health_zone_zs'!$B471,[1]ratio_ins!$B:$B,0))</f>
        <v>4063.0481999999997</v>
      </c>
      <c r="AO471" s="10">
        <f>INDEX([1]ratio_ins!AL:AL,MATCH('001_population_health_zone_zs'!$B$2,[1]ratio_ins!$B:$B,0))*$G471*INDEX([1]ratio_ins!$D:$D,MATCH('001_population_health_zone_zs'!$B471,[1]ratio_ins!$B:$B,0))</f>
        <v>3047.2861499999999</v>
      </c>
      <c r="AP471" s="10">
        <f>INDEX([1]ratio_ins!AM:AM,MATCH('001_population_health_zone_zs'!$B$2,[1]ratio_ins!$B:$B,0))*$G471*INDEX([1]ratio_ins!$D:$D,MATCH('001_population_health_zone_zs'!$B471,[1]ratio_ins!$B:$B,0))</f>
        <v>1963.8066299999998</v>
      </c>
      <c r="AQ471" s="10">
        <f>INDEX([1]ratio_ins!AN:AN,MATCH('001_population_health_zone_zs'!$B$2,[1]ratio_ins!$B:$B,0))*$G471*INDEX([1]ratio_ins!$D:$D,MATCH('001_population_health_zone_zs'!$B471,[1]ratio_ins!$B:$B,0))</f>
        <v>1557.50181</v>
      </c>
      <c r="AR471" s="10">
        <f>INDEX([1]ratio_ins!AO:AO,MATCH('001_population_health_zone_zs'!$B$2,[1]ratio_ins!$B:$B,0))*$G471*INDEX([1]ratio_ins!$D:$D,MATCH('001_population_health_zone_zs'!$B471,[1]ratio_ins!$B:$B,0))</f>
        <v>744.89217000000008</v>
      </c>
      <c r="AS471" s="13">
        <f>INDEX([1]ratio_ins!AP:AP,MATCH('001_population_health_zone_zs'!$B$2,[1]ratio_ins!$B:$B,0))*$G471*INDEX([1]ratio_ins!$D:$D,MATCH('001_population_health_zone_zs'!$B471,[1]ratio_ins!$B:$B,0))</f>
        <v>27709.988724000003</v>
      </c>
      <c r="AT471" s="10">
        <f>INDEX([1]ratio_ins!AQ:AQ,MATCH('001_population_health_zone_zs'!$B$2,[1]ratio_ins!$B:$B,0))*$G471*INDEX([1]ratio_ins!$D:$D,MATCH('001_population_health_zone_zs'!$B471,[1]ratio_ins!$B:$B,0))</f>
        <v>677.17470000000003</v>
      </c>
      <c r="AU471" s="10">
        <f>INDEX([1]ratio_ins!AR:AR,MATCH('001_population_health_zone_zs'!$B$2,[1]ratio_ins!$B:$B,0))*$G471*INDEX([1]ratio_ins!$D:$D,MATCH('001_population_health_zone_zs'!$B471,[1]ratio_ins!$B:$B,0))</f>
        <v>406.30482000000001</v>
      </c>
      <c r="AV471" s="10">
        <f>INDEX([1]ratio_ins!AS:AS,MATCH('001_population_health_zone_zs'!$B$2,[1]ratio_ins!$B:$B,0))*$G471*INDEX([1]ratio_ins!$D:$D,MATCH('001_population_health_zone_zs'!$B471,[1]ratio_ins!$B:$B,0))</f>
        <v>203.15241</v>
      </c>
      <c r="AW471" s="10">
        <f>INDEX([1]ratio_ins!AT:AT,MATCH('001_population_health_zone_zs'!$B$2,[1]ratio_ins!$B:$B,0))*$G471*INDEX([1]ratio_ins!$D:$D,MATCH('001_population_health_zone_zs'!$B471,[1]ratio_ins!$B:$B,0))</f>
        <v>135.43493999999998</v>
      </c>
      <c r="AX471" s="13">
        <f>INDEX([1]ratio_ins!AU:AU,MATCH('001_population_health_zone_zs'!$B$2,[1]ratio_ins!$B:$B,0))*$G471*INDEX([1]ratio_ins!$D:$D,MATCH('001_population_health_zone_zs'!$B471,[1]ratio_ins!$B:$B,0))</f>
        <v>1422.0668699999999</v>
      </c>
      <c r="AY471" s="14">
        <f t="shared" si="43"/>
        <v>67717.469999999987</v>
      </c>
      <c r="AZ471" s="15">
        <f t="shared" si="44"/>
        <v>134094</v>
      </c>
      <c r="BA471" s="16">
        <v>128435.21389280853</v>
      </c>
      <c r="BB471" s="10">
        <f t="shared" si="45"/>
        <v>28779.924750000002</v>
      </c>
      <c r="BC471" s="17">
        <f t="shared" si="46"/>
        <v>0.21462500000000001</v>
      </c>
      <c r="BD471" s="10">
        <f t="shared" si="47"/>
        <v>27679.013010000002</v>
      </c>
    </row>
    <row r="472" spans="1:56" x14ac:dyDescent="0.25">
      <c r="A472" s="8" t="s">
        <v>1137</v>
      </c>
      <c r="B472" s="8" t="s">
        <v>1138</v>
      </c>
      <c r="C472" s="8" t="s">
        <v>1163</v>
      </c>
      <c r="D472" s="8" t="s">
        <v>1164</v>
      </c>
      <c r="E472" s="8" t="s">
        <v>1163</v>
      </c>
      <c r="F472" s="8" t="s">
        <v>1167</v>
      </c>
      <c r="G472" s="9">
        <v>224939</v>
      </c>
      <c r="H472" s="10">
        <f>INDEX([1]ratio_ins!F:F,MATCH('001_population_health_zone_zs'!$B$2,[1]ratio_ins!$B:$B,0))*$G472*INDEX([1]ratio_ins!$C:$C,MATCH('001_population_health_zone_zs'!$B472,[1]ratio_ins!$B:$B,0))</f>
        <v>23271.064244999998</v>
      </c>
      <c r="I472" s="10">
        <f>INDEX([1]ratio_ins!G:G,MATCH('001_population_health_zone_zs'!$B$2,[1]ratio_ins!$B:$B,0))*$G472*INDEX([1]ratio_ins!$C:$C,MATCH('001_population_health_zone_zs'!$B472,[1]ratio_ins!$B:$B,0))</f>
        <v>19039.961655000003</v>
      </c>
      <c r="J472" s="10">
        <f>INDEX([1]ratio_ins!H:H,MATCH('001_population_health_zone_zs'!$B$2,[1]ratio_ins!$B:$B,0))*$G472*INDEX([1]ratio_ins!$C:$C,MATCH('001_population_health_zone_zs'!$B472,[1]ratio_ins!$B:$B,0))</f>
        <v>15031.548675000002</v>
      </c>
      <c r="K472" s="10">
        <f>INDEX([1]ratio_ins!I:I,MATCH('001_population_health_zone_zs'!$B$2,[1]ratio_ins!$B:$B,0))*$G472*INDEX([1]ratio_ins!$C:$C,MATCH('001_population_health_zone_zs'!$B472,[1]ratio_ins!$B:$B,0))</f>
        <v>9241.6188150000016</v>
      </c>
      <c r="L472" s="10">
        <f>INDEX([1]ratio_ins!J:J,MATCH('001_population_health_zone_zs'!$B$2,[1]ratio_ins!$B:$B,0))*$G472*INDEX([1]ratio_ins!$C:$C,MATCH('001_population_health_zone_zs'!$B472,[1]ratio_ins!$B:$B,0))</f>
        <v>5544.9712890000001</v>
      </c>
      <c r="M472" s="11">
        <f>INDEX([1]ratio_ins!K:K,MATCH('001_population_health_zone_zs'!$B$2,[1]ratio_ins!$B:$B,0))*$G472*INDEX([1]ratio_ins!$C:$C,MATCH('001_population_health_zone_zs'!$B472,[1]ratio_ins!$B:$B,0))</f>
        <v>62887.545863999992</v>
      </c>
      <c r="N472" s="10">
        <f>INDEX([1]ratio_ins!L:L,MATCH('001_population_health_zone_zs'!$B$2,[1]ratio_ins!$B:$B,0))*$G472*INDEX([1]ratio_ins!$C:$C,MATCH('001_population_health_zone_zs'!$B472,[1]ratio_ins!$B:$B,0))</f>
        <v>3696.6475259999997</v>
      </c>
      <c r="O472" s="10">
        <f>INDEX([1]ratio_ins!M:M,MATCH('001_population_health_zone_zs'!$B$2,[1]ratio_ins!$B:$B,0))*$G472*INDEX([1]ratio_ins!$C:$C,MATCH('001_population_health_zone_zs'!$B472,[1]ratio_ins!$B:$B,0))</f>
        <v>8016.825960000001</v>
      </c>
      <c r="P472" s="10">
        <f>INDEX([1]ratio_ins!N:N,MATCH('001_population_health_zone_zs'!$B$2,[1]ratio_ins!$B:$B,0))*$G472*INDEX([1]ratio_ins!$C:$C,MATCH('001_population_health_zone_zs'!$B472,[1]ratio_ins!$B:$B,0))</f>
        <v>7237.4123250000002</v>
      </c>
      <c r="Q472" s="10">
        <f>INDEX([1]ratio_ins!O:O,MATCH('001_population_health_zone_zs'!$B$2,[1]ratio_ins!$B:$B,0))*$G472*INDEX([1]ratio_ins!$C:$C,MATCH('001_population_health_zone_zs'!$B472,[1]ratio_ins!$B:$B,0))</f>
        <v>6457.9986899999994</v>
      </c>
      <c r="R472" s="10">
        <f>INDEX([1]ratio_ins!P:P,MATCH('001_population_health_zone_zs'!$B$2,[1]ratio_ins!$B:$B,0))*$G472*INDEX([1]ratio_ins!$C:$C,MATCH('001_population_health_zone_zs'!$B472,[1]ratio_ins!$B:$B,0))</f>
        <v>6346.6538850000006</v>
      </c>
      <c r="S472" s="10">
        <f>INDEX([1]ratio_ins!Q:Q,MATCH('001_population_health_zone_zs'!$B$2,[1]ratio_ins!$B:$B,0))*$G472*INDEX([1]ratio_ins!$C:$C,MATCH('001_population_health_zone_zs'!$B472,[1]ratio_ins!$B:$B,0))</f>
        <v>5344.5506400000004</v>
      </c>
      <c r="T472" s="10">
        <f>INDEX([1]ratio_ins!R:R,MATCH('001_population_health_zone_zs'!$B$2,[1]ratio_ins!$B:$B,0))*$G472*INDEX([1]ratio_ins!$C:$C,MATCH('001_population_health_zone_zs'!$B472,[1]ratio_ins!$B:$B,0))</f>
        <v>3785.7233700000002</v>
      </c>
      <c r="U472" s="10">
        <f>INDEX([1]ratio_ins!S:S,MATCH('001_population_health_zone_zs'!$B$2,[1]ratio_ins!$B:$B,0))*$G472*INDEX([1]ratio_ins!$C:$C,MATCH('001_population_health_zone_zs'!$B472,[1]ratio_ins!$B:$B,0))</f>
        <v>3006.3097350000003</v>
      </c>
      <c r="V472" s="10">
        <f>INDEX([1]ratio_ins!T:T,MATCH('001_population_health_zone_zs'!$B$2,[1]ratio_ins!$B:$B,0))*$G472*INDEX([1]ratio_ins!$C:$C,MATCH('001_population_health_zone_zs'!$B472,[1]ratio_ins!$B:$B,0))</f>
        <v>1670.1720749999999</v>
      </c>
      <c r="W472" s="11">
        <f>INDEX([1]ratio_ins!U:U,MATCH('001_population_health_zone_zs'!$B$2,[1]ratio_ins!$B:$B,0))*$G472*INDEX([1]ratio_ins!$C:$C,MATCH('001_population_health_zone_zs'!$B472,[1]ratio_ins!$B:$B,0))</f>
        <v>45562.294205999999</v>
      </c>
      <c r="X472" s="10">
        <f>INDEX([1]ratio_ins!V:V,MATCH('001_population_health_zone_zs'!$B$2,[1]ratio_ins!$B:$B,0))*$G472*INDEX([1]ratio_ins!$C:$C,MATCH('001_population_health_zone_zs'!$B472,[1]ratio_ins!$B:$B,0))</f>
        <v>1336.1376600000001</v>
      </c>
      <c r="Y472" s="10">
        <f>INDEX([1]ratio_ins!W:W,MATCH('001_population_health_zone_zs'!$B$2,[1]ratio_ins!$B:$B,0))*$G472*INDEX([1]ratio_ins!$C:$C,MATCH('001_population_health_zone_zs'!$B472,[1]ratio_ins!$B:$B,0))</f>
        <v>890.75843999999995</v>
      </c>
      <c r="Z472" s="10">
        <f>INDEX([1]ratio_ins!X:X,MATCH('001_population_health_zone_zs'!$B$2,[1]ratio_ins!$B:$B,0))*$G472*INDEX([1]ratio_ins!$C:$C,MATCH('001_population_health_zone_zs'!$B472,[1]ratio_ins!$B:$B,0))</f>
        <v>445.37921999999998</v>
      </c>
      <c r="AA472" s="10">
        <f>INDEX([1]ratio_ins!Y:Y,MATCH('001_population_health_zone_zs'!$B$2,[1]ratio_ins!$B:$B,0))*$G472*INDEX([1]ratio_ins!$C:$C,MATCH('001_population_health_zone_zs'!$B472,[1]ratio_ins!$B:$B,0))</f>
        <v>222.68960999999999</v>
      </c>
      <c r="AB472" s="11">
        <f>INDEX([1]ratio_ins!Z:Z,MATCH('001_population_health_zone_zs'!$B$2,[1]ratio_ins!$B:$B,0))*$G472*INDEX([1]ratio_ins!$C:$C,MATCH('001_population_health_zone_zs'!$B472,[1]ratio_ins!$B:$B,0))</f>
        <v>2894.9649300000001</v>
      </c>
      <c r="AC472" s="12">
        <f t="shared" si="42"/>
        <v>111344.80499999999</v>
      </c>
      <c r="AD472" s="10">
        <f>INDEX([1]ratio_ins!AA:AA,MATCH('001_population_health_zone_zs'!$B$2,[1]ratio_ins!$B:$B,0))*$G472*INDEX([1]ratio_ins!$D:$D,MATCH('001_population_health_zone_zs'!$B472,[1]ratio_ins!$B:$B,0))</f>
        <v>23854.780949999997</v>
      </c>
      <c r="AE472" s="10">
        <f>INDEX([1]ratio_ins!AB:AB,MATCH('001_population_health_zone_zs'!$B$2,[1]ratio_ins!$B:$B,0))*$G472*INDEX([1]ratio_ins!$D:$D,MATCH('001_population_health_zone_zs'!$B472,[1]ratio_ins!$B:$B,0))</f>
        <v>19651.795735</v>
      </c>
      <c r="AF472" s="10">
        <f>INDEX([1]ratio_ins!AC:AC,MATCH('001_population_health_zone_zs'!$B$2,[1]ratio_ins!$B:$B,0))*$G472*INDEX([1]ratio_ins!$D:$D,MATCH('001_population_health_zone_zs'!$B472,[1]ratio_ins!$B:$B,0))</f>
        <v>15562.404714999999</v>
      </c>
      <c r="AG472" s="10">
        <f>INDEX([1]ratio_ins!AD:AD,MATCH('001_population_health_zone_zs'!$B$2,[1]ratio_ins!$B:$B,0))*$G472*INDEX([1]ratio_ins!$D:$D,MATCH('001_population_health_zone_zs'!$B472,[1]ratio_ins!$B:$B,0))</f>
        <v>9428.3181850000001</v>
      </c>
      <c r="AH472" s="10">
        <f>INDEX([1]ratio_ins!AE:AE,MATCH('001_population_health_zone_zs'!$B$2,[1]ratio_ins!$B:$B,0))*$G472*INDEX([1]ratio_ins!$D:$D,MATCH('001_population_health_zone_zs'!$B472,[1]ratio_ins!$B:$B,0))</f>
        <v>5656.9909109999999</v>
      </c>
      <c r="AI472" s="13">
        <f>INDEX([1]ratio_ins!AF:AF,MATCH('001_population_health_zone_zs'!$B$2,[1]ratio_ins!$B:$B,0))*$G472*INDEX([1]ratio_ins!$D:$D,MATCH('001_population_health_zone_zs'!$B472,[1]ratio_ins!$B:$B,0))</f>
        <v>64725.972310999998</v>
      </c>
      <c r="AJ472" s="10">
        <f>INDEX([1]ratio_ins!AG:AG,MATCH('001_population_health_zone_zs'!$B$2,[1]ratio_ins!$B:$B,0))*$G472*INDEX([1]ratio_ins!$D:$D,MATCH('001_population_health_zone_zs'!$B472,[1]ratio_ins!$B:$B,0))</f>
        <v>3771.3272740000002</v>
      </c>
      <c r="AK472" s="10">
        <f>INDEX([1]ratio_ins!AH:AH,MATCH('001_population_health_zone_zs'!$B$2,[1]ratio_ins!$B:$B,0))*$G472*INDEX([1]ratio_ins!$D:$D,MATCH('001_population_health_zone_zs'!$B472,[1]ratio_ins!$B:$B,0))</f>
        <v>8405.9704300000012</v>
      </c>
      <c r="AL472" s="10">
        <f>INDEX([1]ratio_ins!AI:AI,MATCH('001_population_health_zone_zs'!$B$2,[1]ratio_ins!$B:$B,0))*$G472*INDEX([1]ratio_ins!$D:$D,MATCH('001_population_health_zone_zs'!$B472,[1]ratio_ins!$B:$B,0))</f>
        <v>7951.5936500000007</v>
      </c>
      <c r="AM472" s="10">
        <f>INDEX([1]ratio_ins!AJ:AJ,MATCH('001_population_health_zone_zs'!$B$2,[1]ratio_ins!$B:$B,0))*$G472*INDEX([1]ratio_ins!$D:$D,MATCH('001_population_health_zone_zs'!$B472,[1]ratio_ins!$B:$B,0))</f>
        <v>7270.0284799999999</v>
      </c>
      <c r="AN472" s="10">
        <f>INDEX([1]ratio_ins!AK:AK,MATCH('001_population_health_zone_zs'!$B$2,[1]ratio_ins!$B:$B,0))*$G472*INDEX([1]ratio_ins!$D:$D,MATCH('001_population_health_zone_zs'!$B472,[1]ratio_ins!$B:$B,0))</f>
        <v>6815.6517000000003</v>
      </c>
      <c r="AO472" s="10">
        <f>INDEX([1]ratio_ins!AL:AL,MATCH('001_population_health_zone_zs'!$B$2,[1]ratio_ins!$B:$B,0))*$G472*INDEX([1]ratio_ins!$D:$D,MATCH('001_population_health_zone_zs'!$B472,[1]ratio_ins!$B:$B,0))</f>
        <v>5111.7387749999998</v>
      </c>
      <c r="AP472" s="10">
        <f>INDEX([1]ratio_ins!AM:AM,MATCH('001_population_health_zone_zs'!$B$2,[1]ratio_ins!$B:$B,0))*$G472*INDEX([1]ratio_ins!$D:$D,MATCH('001_population_health_zone_zs'!$B472,[1]ratio_ins!$B:$B,0))</f>
        <v>3294.231655</v>
      </c>
      <c r="AQ472" s="10">
        <f>INDEX([1]ratio_ins!AN:AN,MATCH('001_population_health_zone_zs'!$B$2,[1]ratio_ins!$B:$B,0))*$G472*INDEX([1]ratio_ins!$D:$D,MATCH('001_population_health_zone_zs'!$B472,[1]ratio_ins!$B:$B,0))</f>
        <v>2612.6664849999997</v>
      </c>
      <c r="AR472" s="10">
        <f>INDEX([1]ratio_ins!AO:AO,MATCH('001_population_health_zone_zs'!$B$2,[1]ratio_ins!$B:$B,0))*$G472*INDEX([1]ratio_ins!$D:$D,MATCH('001_population_health_zone_zs'!$B472,[1]ratio_ins!$B:$B,0))</f>
        <v>1249.536145</v>
      </c>
      <c r="AS472" s="13">
        <f>INDEX([1]ratio_ins!AP:AP,MATCH('001_population_health_zone_zs'!$B$2,[1]ratio_ins!$B:$B,0))*$G472*INDEX([1]ratio_ins!$D:$D,MATCH('001_population_health_zone_zs'!$B472,[1]ratio_ins!$B:$B,0))</f>
        <v>46482.744593999996</v>
      </c>
      <c r="AT472" s="10">
        <f>INDEX([1]ratio_ins!AQ:AQ,MATCH('001_population_health_zone_zs'!$B$2,[1]ratio_ins!$B:$B,0))*$G472*INDEX([1]ratio_ins!$D:$D,MATCH('001_population_health_zone_zs'!$B472,[1]ratio_ins!$B:$B,0))</f>
        <v>1135.9419499999999</v>
      </c>
      <c r="AU472" s="10">
        <f>INDEX([1]ratio_ins!AR:AR,MATCH('001_population_health_zone_zs'!$B$2,[1]ratio_ins!$B:$B,0))*$G472*INDEX([1]ratio_ins!$D:$D,MATCH('001_population_health_zone_zs'!$B472,[1]ratio_ins!$B:$B,0))</f>
        <v>681.56516999999997</v>
      </c>
      <c r="AV472" s="10">
        <f>INDEX([1]ratio_ins!AS:AS,MATCH('001_population_health_zone_zs'!$B$2,[1]ratio_ins!$B:$B,0))*$G472*INDEX([1]ratio_ins!$D:$D,MATCH('001_population_health_zone_zs'!$B472,[1]ratio_ins!$B:$B,0))</f>
        <v>340.78258499999998</v>
      </c>
      <c r="AW472" s="10">
        <f>INDEX([1]ratio_ins!AT:AT,MATCH('001_population_health_zone_zs'!$B$2,[1]ratio_ins!$B:$B,0))*$G472*INDEX([1]ratio_ins!$D:$D,MATCH('001_population_health_zone_zs'!$B472,[1]ratio_ins!$B:$B,0))</f>
        <v>227.18839</v>
      </c>
      <c r="AX472" s="13">
        <f>INDEX([1]ratio_ins!AU:AU,MATCH('001_population_health_zone_zs'!$B$2,[1]ratio_ins!$B:$B,0))*$G472*INDEX([1]ratio_ins!$D:$D,MATCH('001_population_health_zone_zs'!$B472,[1]ratio_ins!$B:$B,0))</f>
        <v>2385.4780949999995</v>
      </c>
      <c r="AY472" s="14">
        <f t="shared" si="43"/>
        <v>113594.19499999999</v>
      </c>
      <c r="AZ472" s="15">
        <f t="shared" si="44"/>
        <v>224939</v>
      </c>
      <c r="BA472" s="16">
        <v>215446.64070959462</v>
      </c>
      <c r="BB472" s="10">
        <f t="shared" si="45"/>
        <v>48277.532875000004</v>
      </c>
      <c r="BC472" s="17">
        <f t="shared" si="46"/>
        <v>0.21462500000000001</v>
      </c>
      <c r="BD472" s="10">
        <f t="shared" si="47"/>
        <v>46430.783685000002</v>
      </c>
    </row>
    <row r="473" spans="1:56" x14ac:dyDescent="0.25">
      <c r="A473" s="8" t="s">
        <v>1137</v>
      </c>
      <c r="B473" s="8" t="s">
        <v>1138</v>
      </c>
      <c r="C473" s="8" t="s">
        <v>1163</v>
      </c>
      <c r="D473" s="8" t="s">
        <v>1164</v>
      </c>
      <c r="E473" s="8" t="s">
        <v>1168</v>
      </c>
      <c r="F473" s="8" t="s">
        <v>1169</v>
      </c>
      <c r="G473" s="9">
        <v>141148</v>
      </c>
      <c r="H473" s="10">
        <f>INDEX([1]ratio_ins!F:F,MATCH('001_population_health_zone_zs'!$B$2,[1]ratio_ins!$B:$B,0))*$G473*INDEX([1]ratio_ins!$C:$C,MATCH('001_population_health_zone_zs'!$B473,[1]ratio_ins!$B:$B,0))</f>
        <v>14602.466339999999</v>
      </c>
      <c r="I473" s="10">
        <f>INDEX([1]ratio_ins!G:G,MATCH('001_population_health_zone_zs'!$B$2,[1]ratio_ins!$B:$B,0))*$G473*INDEX([1]ratio_ins!$C:$C,MATCH('001_population_health_zone_zs'!$B473,[1]ratio_ins!$B:$B,0))</f>
        <v>11947.472460000001</v>
      </c>
      <c r="J473" s="10">
        <f>INDEX([1]ratio_ins!H:H,MATCH('001_population_health_zone_zs'!$B$2,[1]ratio_ins!$B:$B,0))*$G473*INDEX([1]ratio_ins!$C:$C,MATCH('001_population_health_zone_zs'!$B473,[1]ratio_ins!$B:$B,0))</f>
        <v>9432.2150999999994</v>
      </c>
      <c r="K473" s="10">
        <f>INDEX([1]ratio_ins!I:I,MATCH('001_population_health_zone_zs'!$B$2,[1]ratio_ins!$B:$B,0))*$G473*INDEX([1]ratio_ins!$C:$C,MATCH('001_population_health_zone_zs'!$B473,[1]ratio_ins!$B:$B,0))</f>
        <v>5799.0655800000004</v>
      </c>
      <c r="L473" s="10">
        <f>INDEX([1]ratio_ins!J:J,MATCH('001_population_health_zone_zs'!$B$2,[1]ratio_ins!$B:$B,0))*$G473*INDEX([1]ratio_ins!$C:$C,MATCH('001_population_health_zone_zs'!$B473,[1]ratio_ins!$B:$B,0))</f>
        <v>3479.4393479999999</v>
      </c>
      <c r="M473" s="11">
        <f>INDEX([1]ratio_ins!K:K,MATCH('001_population_health_zone_zs'!$B$2,[1]ratio_ins!$B:$B,0))*$G473*INDEX([1]ratio_ins!$C:$C,MATCH('001_population_health_zone_zs'!$B473,[1]ratio_ins!$B:$B,0))</f>
        <v>39461.593247999997</v>
      </c>
      <c r="N473" s="10">
        <f>INDEX([1]ratio_ins!L:L,MATCH('001_population_health_zone_zs'!$B$2,[1]ratio_ins!$B:$B,0))*$G473*INDEX([1]ratio_ins!$C:$C,MATCH('001_population_health_zone_zs'!$B473,[1]ratio_ins!$B:$B,0))</f>
        <v>2319.6262319999996</v>
      </c>
      <c r="O473" s="10">
        <f>INDEX([1]ratio_ins!M:M,MATCH('001_population_health_zone_zs'!$B$2,[1]ratio_ins!$B:$B,0))*$G473*INDEX([1]ratio_ins!$C:$C,MATCH('001_population_health_zone_zs'!$B473,[1]ratio_ins!$B:$B,0))</f>
        <v>5030.5147200000001</v>
      </c>
      <c r="P473" s="10">
        <f>INDEX([1]ratio_ins!N:N,MATCH('001_population_health_zone_zs'!$B$2,[1]ratio_ins!$B:$B,0))*$G473*INDEX([1]ratio_ins!$C:$C,MATCH('001_population_health_zone_zs'!$B473,[1]ratio_ins!$B:$B,0))</f>
        <v>4541.4369000000006</v>
      </c>
      <c r="Q473" s="10">
        <f>INDEX([1]ratio_ins!O:O,MATCH('001_population_health_zone_zs'!$B$2,[1]ratio_ins!$B:$B,0))*$G473*INDEX([1]ratio_ins!$C:$C,MATCH('001_population_health_zone_zs'!$B473,[1]ratio_ins!$B:$B,0))</f>
        <v>4052.3590799999997</v>
      </c>
      <c r="R473" s="10">
        <f>INDEX([1]ratio_ins!P:P,MATCH('001_population_health_zone_zs'!$B$2,[1]ratio_ins!$B:$B,0))*$G473*INDEX([1]ratio_ins!$C:$C,MATCH('001_population_health_zone_zs'!$B473,[1]ratio_ins!$B:$B,0))</f>
        <v>3982.4908200000004</v>
      </c>
      <c r="S473" s="10">
        <f>INDEX([1]ratio_ins!Q:Q,MATCH('001_population_health_zone_zs'!$B$2,[1]ratio_ins!$B:$B,0))*$G473*INDEX([1]ratio_ins!$C:$C,MATCH('001_population_health_zone_zs'!$B473,[1]ratio_ins!$B:$B,0))</f>
        <v>3353.6764800000001</v>
      </c>
      <c r="T473" s="10">
        <f>INDEX([1]ratio_ins!R:R,MATCH('001_population_health_zone_zs'!$B$2,[1]ratio_ins!$B:$B,0))*$G473*INDEX([1]ratio_ins!$C:$C,MATCH('001_population_health_zone_zs'!$B473,[1]ratio_ins!$B:$B,0))</f>
        <v>2375.5208400000001</v>
      </c>
      <c r="U473" s="10">
        <f>INDEX([1]ratio_ins!S:S,MATCH('001_population_health_zone_zs'!$B$2,[1]ratio_ins!$B:$B,0))*$G473*INDEX([1]ratio_ins!$C:$C,MATCH('001_population_health_zone_zs'!$B473,[1]ratio_ins!$B:$B,0))</f>
        <v>1886.4430200000002</v>
      </c>
      <c r="V473" s="10">
        <f>INDEX([1]ratio_ins!T:T,MATCH('001_population_health_zone_zs'!$B$2,[1]ratio_ins!$B:$B,0))*$G473*INDEX([1]ratio_ins!$C:$C,MATCH('001_population_health_zone_zs'!$B473,[1]ratio_ins!$B:$B,0))</f>
        <v>1048.0238999999999</v>
      </c>
      <c r="W473" s="11">
        <f>INDEX([1]ratio_ins!U:U,MATCH('001_population_health_zone_zs'!$B$2,[1]ratio_ins!$B:$B,0))*$G473*INDEX([1]ratio_ins!$C:$C,MATCH('001_population_health_zone_zs'!$B473,[1]ratio_ins!$B:$B,0))</f>
        <v>28590.091991999998</v>
      </c>
      <c r="X473" s="10">
        <f>INDEX([1]ratio_ins!V:V,MATCH('001_population_health_zone_zs'!$B$2,[1]ratio_ins!$B:$B,0))*$G473*INDEX([1]ratio_ins!$C:$C,MATCH('001_population_health_zone_zs'!$B473,[1]ratio_ins!$B:$B,0))</f>
        <v>838.41912000000002</v>
      </c>
      <c r="Y473" s="10">
        <f>INDEX([1]ratio_ins!W:W,MATCH('001_population_health_zone_zs'!$B$2,[1]ratio_ins!$B:$B,0))*$G473*INDEX([1]ratio_ins!$C:$C,MATCH('001_population_health_zone_zs'!$B473,[1]ratio_ins!$B:$B,0))</f>
        <v>558.94607999999994</v>
      </c>
      <c r="Z473" s="10">
        <f>INDEX([1]ratio_ins!X:X,MATCH('001_population_health_zone_zs'!$B$2,[1]ratio_ins!$B:$B,0))*$G473*INDEX([1]ratio_ins!$C:$C,MATCH('001_population_health_zone_zs'!$B473,[1]ratio_ins!$B:$B,0))</f>
        <v>279.47303999999997</v>
      </c>
      <c r="AA473" s="10">
        <f>INDEX([1]ratio_ins!Y:Y,MATCH('001_population_health_zone_zs'!$B$2,[1]ratio_ins!$B:$B,0))*$G473*INDEX([1]ratio_ins!$C:$C,MATCH('001_population_health_zone_zs'!$B473,[1]ratio_ins!$B:$B,0))</f>
        <v>139.73651999999998</v>
      </c>
      <c r="AB473" s="11">
        <f>INDEX([1]ratio_ins!Z:Z,MATCH('001_population_health_zone_zs'!$B$2,[1]ratio_ins!$B:$B,0))*$G473*INDEX([1]ratio_ins!$C:$C,MATCH('001_population_health_zone_zs'!$B473,[1]ratio_ins!$B:$B,0))</f>
        <v>1816.5747600000002</v>
      </c>
      <c r="AC473" s="12">
        <f t="shared" si="42"/>
        <v>69868.259999999995</v>
      </c>
      <c r="AD473" s="10">
        <f>INDEX([1]ratio_ins!AA:AA,MATCH('001_population_health_zone_zs'!$B$2,[1]ratio_ins!$B:$B,0))*$G473*INDEX([1]ratio_ins!$D:$D,MATCH('001_population_health_zone_zs'!$B473,[1]ratio_ins!$B:$B,0))</f>
        <v>14968.7454</v>
      </c>
      <c r="AE473" s="10">
        <f>INDEX([1]ratio_ins!AB:AB,MATCH('001_population_health_zone_zs'!$B$2,[1]ratio_ins!$B:$B,0))*$G473*INDEX([1]ratio_ins!$D:$D,MATCH('001_population_health_zone_zs'!$B473,[1]ratio_ins!$B:$B,0))</f>
        <v>12331.395020000002</v>
      </c>
      <c r="AF473" s="10">
        <f>INDEX([1]ratio_ins!AC:AC,MATCH('001_population_health_zone_zs'!$B$2,[1]ratio_ins!$B:$B,0))*$G473*INDEX([1]ratio_ins!$D:$D,MATCH('001_population_health_zone_zs'!$B473,[1]ratio_ins!$B:$B,0))</f>
        <v>9765.3243799999982</v>
      </c>
      <c r="AG473" s="10">
        <f>INDEX([1]ratio_ins!AD:AD,MATCH('001_population_health_zone_zs'!$B$2,[1]ratio_ins!$B:$B,0))*$G473*INDEX([1]ratio_ins!$D:$D,MATCH('001_population_health_zone_zs'!$B473,[1]ratio_ins!$B:$B,0))</f>
        <v>5916.2184200000011</v>
      </c>
      <c r="AH473" s="10">
        <f>INDEX([1]ratio_ins!AE:AE,MATCH('001_population_health_zone_zs'!$B$2,[1]ratio_ins!$B:$B,0))*$G473*INDEX([1]ratio_ins!$D:$D,MATCH('001_population_health_zone_zs'!$B473,[1]ratio_ins!$B:$B,0))</f>
        <v>3549.7310520000001</v>
      </c>
      <c r="AI473" s="13">
        <f>INDEX([1]ratio_ins!AF:AF,MATCH('001_population_health_zone_zs'!$B$2,[1]ratio_ins!$B:$B,0))*$G473*INDEX([1]ratio_ins!$D:$D,MATCH('001_population_health_zone_zs'!$B473,[1]ratio_ins!$B:$B,0))</f>
        <v>40615.195851999997</v>
      </c>
      <c r="AJ473" s="10">
        <f>INDEX([1]ratio_ins!AG:AG,MATCH('001_population_health_zone_zs'!$B$2,[1]ratio_ins!$B:$B,0))*$G473*INDEX([1]ratio_ins!$D:$D,MATCH('001_population_health_zone_zs'!$B473,[1]ratio_ins!$B:$B,0))</f>
        <v>2366.4873680000001</v>
      </c>
      <c r="AK473" s="10">
        <f>INDEX([1]ratio_ins!AH:AH,MATCH('001_population_health_zone_zs'!$B$2,[1]ratio_ins!$B:$B,0))*$G473*INDEX([1]ratio_ins!$D:$D,MATCH('001_population_health_zone_zs'!$B473,[1]ratio_ins!$B:$B,0))</f>
        <v>5274.7007600000006</v>
      </c>
      <c r="AL473" s="10">
        <f>INDEX([1]ratio_ins!AI:AI,MATCH('001_population_health_zone_zs'!$B$2,[1]ratio_ins!$B:$B,0))*$G473*INDEX([1]ratio_ins!$D:$D,MATCH('001_population_health_zone_zs'!$B473,[1]ratio_ins!$B:$B,0))</f>
        <v>4989.5817999999999</v>
      </c>
      <c r="AM473" s="10">
        <f>INDEX([1]ratio_ins!AJ:AJ,MATCH('001_population_health_zone_zs'!$B$2,[1]ratio_ins!$B:$B,0))*$G473*INDEX([1]ratio_ins!$D:$D,MATCH('001_population_health_zone_zs'!$B473,[1]ratio_ins!$B:$B,0))</f>
        <v>4561.9033600000002</v>
      </c>
      <c r="AN473" s="10">
        <f>INDEX([1]ratio_ins!AK:AK,MATCH('001_population_health_zone_zs'!$B$2,[1]ratio_ins!$B:$B,0))*$G473*INDEX([1]ratio_ins!$D:$D,MATCH('001_population_health_zone_zs'!$B473,[1]ratio_ins!$B:$B,0))</f>
        <v>4276.7843999999996</v>
      </c>
      <c r="AO473" s="10">
        <f>INDEX([1]ratio_ins!AL:AL,MATCH('001_population_health_zone_zs'!$B$2,[1]ratio_ins!$B:$B,0))*$G473*INDEX([1]ratio_ins!$D:$D,MATCH('001_population_health_zone_zs'!$B473,[1]ratio_ins!$B:$B,0))</f>
        <v>3207.5882999999999</v>
      </c>
      <c r="AP473" s="10">
        <f>INDEX([1]ratio_ins!AM:AM,MATCH('001_population_health_zone_zs'!$B$2,[1]ratio_ins!$B:$B,0))*$G473*INDEX([1]ratio_ins!$D:$D,MATCH('001_population_health_zone_zs'!$B473,[1]ratio_ins!$B:$B,0))</f>
        <v>2067.1124599999998</v>
      </c>
      <c r="AQ473" s="10">
        <f>INDEX([1]ratio_ins!AN:AN,MATCH('001_population_health_zone_zs'!$B$2,[1]ratio_ins!$B:$B,0))*$G473*INDEX([1]ratio_ins!$D:$D,MATCH('001_population_health_zone_zs'!$B473,[1]ratio_ins!$B:$B,0))</f>
        <v>1639.4340199999999</v>
      </c>
      <c r="AR473" s="10">
        <f>INDEX([1]ratio_ins!AO:AO,MATCH('001_population_health_zone_zs'!$B$2,[1]ratio_ins!$B:$B,0))*$G473*INDEX([1]ratio_ins!$D:$D,MATCH('001_population_health_zone_zs'!$B473,[1]ratio_ins!$B:$B,0))</f>
        <v>784.0771400000001</v>
      </c>
      <c r="AS473" s="13">
        <f>INDEX([1]ratio_ins!AP:AP,MATCH('001_population_health_zone_zs'!$B$2,[1]ratio_ins!$B:$B,0))*$G473*INDEX([1]ratio_ins!$D:$D,MATCH('001_population_health_zone_zs'!$B473,[1]ratio_ins!$B:$B,0))</f>
        <v>29167.669608</v>
      </c>
      <c r="AT473" s="10">
        <f>INDEX([1]ratio_ins!AQ:AQ,MATCH('001_population_health_zone_zs'!$B$2,[1]ratio_ins!$B:$B,0))*$G473*INDEX([1]ratio_ins!$D:$D,MATCH('001_population_health_zone_zs'!$B473,[1]ratio_ins!$B:$B,0))</f>
        <v>712.79740000000004</v>
      </c>
      <c r="AU473" s="10">
        <f>INDEX([1]ratio_ins!AR:AR,MATCH('001_population_health_zone_zs'!$B$2,[1]ratio_ins!$B:$B,0))*$G473*INDEX([1]ratio_ins!$D:$D,MATCH('001_population_health_zone_zs'!$B473,[1]ratio_ins!$B:$B,0))</f>
        <v>427.67844000000002</v>
      </c>
      <c r="AV473" s="10">
        <f>INDEX([1]ratio_ins!AS:AS,MATCH('001_population_health_zone_zs'!$B$2,[1]ratio_ins!$B:$B,0))*$G473*INDEX([1]ratio_ins!$D:$D,MATCH('001_population_health_zone_zs'!$B473,[1]ratio_ins!$B:$B,0))</f>
        <v>213.83922000000001</v>
      </c>
      <c r="AW473" s="10">
        <f>INDEX([1]ratio_ins!AT:AT,MATCH('001_population_health_zone_zs'!$B$2,[1]ratio_ins!$B:$B,0))*$G473*INDEX([1]ratio_ins!$D:$D,MATCH('001_population_health_zone_zs'!$B473,[1]ratio_ins!$B:$B,0))</f>
        <v>142.55948000000001</v>
      </c>
      <c r="AX473" s="13">
        <f>INDEX([1]ratio_ins!AU:AU,MATCH('001_population_health_zone_zs'!$B$2,[1]ratio_ins!$B:$B,0))*$G473*INDEX([1]ratio_ins!$D:$D,MATCH('001_population_health_zone_zs'!$B473,[1]ratio_ins!$B:$B,0))</f>
        <v>1496.8745399999998</v>
      </c>
      <c r="AY473" s="14">
        <f t="shared" si="43"/>
        <v>71279.740000000005</v>
      </c>
      <c r="AZ473" s="15">
        <f t="shared" si="44"/>
        <v>141148</v>
      </c>
      <c r="BA473" s="16">
        <v>135191.65406578477</v>
      </c>
      <c r="BB473" s="10">
        <f t="shared" si="45"/>
        <v>30293.889500000001</v>
      </c>
      <c r="BC473" s="17">
        <f t="shared" si="46"/>
        <v>0.21462500000000001</v>
      </c>
      <c r="BD473" s="10">
        <f t="shared" si="47"/>
        <v>29135.064419999999</v>
      </c>
    </row>
    <row r="474" spans="1:56" x14ac:dyDescent="0.25">
      <c r="A474" s="8" t="s">
        <v>1137</v>
      </c>
      <c r="B474" s="8" t="s">
        <v>1138</v>
      </c>
      <c r="C474" s="8" t="s">
        <v>1170</v>
      </c>
      <c r="D474" s="8" t="s">
        <v>1171</v>
      </c>
      <c r="E474" s="8" t="s">
        <v>1172</v>
      </c>
      <c r="F474" s="8" t="s">
        <v>1173</v>
      </c>
      <c r="G474" s="9">
        <v>236160</v>
      </c>
      <c r="H474" s="10">
        <f>INDEX([1]ratio_ins!F:F,MATCH('001_population_health_zone_zs'!$B$2,[1]ratio_ins!$B:$B,0))*$G474*INDEX([1]ratio_ins!$C:$C,MATCH('001_population_health_zone_zs'!$B474,[1]ratio_ins!$B:$B,0))</f>
        <v>24431.932799999999</v>
      </c>
      <c r="I474" s="10">
        <f>INDEX([1]ratio_ins!G:G,MATCH('001_population_health_zone_zs'!$B$2,[1]ratio_ins!$B:$B,0))*$G474*INDEX([1]ratio_ins!$C:$C,MATCH('001_population_health_zone_zs'!$B474,[1]ratio_ins!$B:$B,0))</f>
        <v>19989.763200000001</v>
      </c>
      <c r="J474" s="10">
        <f>INDEX([1]ratio_ins!H:H,MATCH('001_population_health_zone_zs'!$B$2,[1]ratio_ins!$B:$B,0))*$G474*INDEX([1]ratio_ins!$C:$C,MATCH('001_population_health_zone_zs'!$B474,[1]ratio_ins!$B:$B,0))</f>
        <v>15781.392000000002</v>
      </c>
      <c r="K474" s="10">
        <f>INDEX([1]ratio_ins!I:I,MATCH('001_population_health_zone_zs'!$B$2,[1]ratio_ins!$B:$B,0))*$G474*INDEX([1]ratio_ins!$C:$C,MATCH('001_population_health_zone_zs'!$B474,[1]ratio_ins!$B:$B,0))</f>
        <v>9702.633600000001</v>
      </c>
      <c r="L474" s="10">
        <f>INDEX([1]ratio_ins!J:J,MATCH('001_population_health_zone_zs'!$B$2,[1]ratio_ins!$B:$B,0))*$G474*INDEX([1]ratio_ins!$C:$C,MATCH('001_population_health_zone_zs'!$B474,[1]ratio_ins!$B:$B,0))</f>
        <v>5821.5801599999995</v>
      </c>
      <c r="M474" s="11">
        <f>INDEX([1]ratio_ins!K:K,MATCH('001_population_health_zone_zs'!$B$2,[1]ratio_ins!$B:$B,0))*$G474*INDEX([1]ratio_ins!$C:$C,MATCH('001_population_health_zone_zs'!$B474,[1]ratio_ins!$B:$B,0))</f>
        <v>66024.668160000001</v>
      </c>
      <c r="N474" s="10">
        <f>INDEX([1]ratio_ins!L:L,MATCH('001_population_health_zone_zs'!$B$2,[1]ratio_ins!$B:$B,0))*$G474*INDEX([1]ratio_ins!$C:$C,MATCH('001_population_health_zone_zs'!$B474,[1]ratio_ins!$B:$B,0))</f>
        <v>3881.0534399999997</v>
      </c>
      <c r="O474" s="10">
        <f>INDEX([1]ratio_ins!M:M,MATCH('001_population_health_zone_zs'!$B$2,[1]ratio_ins!$B:$B,0))*$G474*INDEX([1]ratio_ins!$C:$C,MATCH('001_population_health_zone_zs'!$B474,[1]ratio_ins!$B:$B,0))</f>
        <v>8416.742400000001</v>
      </c>
      <c r="P474" s="10">
        <f>INDEX([1]ratio_ins!N:N,MATCH('001_population_health_zone_zs'!$B$2,[1]ratio_ins!$B:$B,0))*$G474*INDEX([1]ratio_ins!$C:$C,MATCH('001_population_health_zone_zs'!$B474,[1]ratio_ins!$B:$B,0))</f>
        <v>7598.4479999999994</v>
      </c>
      <c r="Q474" s="10">
        <f>INDEX([1]ratio_ins!O:O,MATCH('001_population_health_zone_zs'!$B$2,[1]ratio_ins!$B:$B,0))*$G474*INDEX([1]ratio_ins!$C:$C,MATCH('001_population_health_zone_zs'!$B474,[1]ratio_ins!$B:$B,0))</f>
        <v>6780.1535999999996</v>
      </c>
      <c r="R474" s="10">
        <f>INDEX([1]ratio_ins!P:P,MATCH('001_population_health_zone_zs'!$B$2,[1]ratio_ins!$B:$B,0))*$G474*INDEX([1]ratio_ins!$C:$C,MATCH('001_population_health_zone_zs'!$B474,[1]ratio_ins!$B:$B,0))</f>
        <v>6663.2544000000007</v>
      </c>
      <c r="S474" s="10">
        <f>INDEX([1]ratio_ins!Q:Q,MATCH('001_population_health_zone_zs'!$B$2,[1]ratio_ins!$B:$B,0))*$G474*INDEX([1]ratio_ins!$C:$C,MATCH('001_population_health_zone_zs'!$B474,[1]ratio_ins!$B:$B,0))</f>
        <v>5611.1616000000004</v>
      </c>
      <c r="T474" s="10">
        <f>INDEX([1]ratio_ins!R:R,MATCH('001_population_health_zone_zs'!$B$2,[1]ratio_ins!$B:$B,0))*$G474*INDEX([1]ratio_ins!$C:$C,MATCH('001_population_health_zone_zs'!$B474,[1]ratio_ins!$B:$B,0))</f>
        <v>3974.5728000000004</v>
      </c>
      <c r="U474" s="10">
        <f>INDEX([1]ratio_ins!S:S,MATCH('001_population_health_zone_zs'!$B$2,[1]ratio_ins!$B:$B,0))*$G474*INDEX([1]ratio_ins!$C:$C,MATCH('001_population_health_zone_zs'!$B474,[1]ratio_ins!$B:$B,0))</f>
        <v>3156.2784000000001</v>
      </c>
      <c r="V474" s="10">
        <f>INDEX([1]ratio_ins!T:T,MATCH('001_population_health_zone_zs'!$B$2,[1]ratio_ins!$B:$B,0))*$G474*INDEX([1]ratio_ins!$C:$C,MATCH('001_population_health_zone_zs'!$B474,[1]ratio_ins!$B:$B,0))</f>
        <v>1753.4880000000001</v>
      </c>
      <c r="W474" s="11">
        <f>INDEX([1]ratio_ins!U:U,MATCH('001_population_health_zone_zs'!$B$2,[1]ratio_ins!$B:$B,0))*$G474*INDEX([1]ratio_ins!$C:$C,MATCH('001_population_health_zone_zs'!$B474,[1]ratio_ins!$B:$B,0))</f>
        <v>47835.15264</v>
      </c>
      <c r="X474" s="10">
        <f>INDEX([1]ratio_ins!V:V,MATCH('001_population_health_zone_zs'!$B$2,[1]ratio_ins!$B:$B,0))*$G474*INDEX([1]ratio_ins!$C:$C,MATCH('001_population_health_zone_zs'!$B474,[1]ratio_ins!$B:$B,0))</f>
        <v>1402.7904000000001</v>
      </c>
      <c r="Y474" s="10">
        <f>INDEX([1]ratio_ins!W:W,MATCH('001_population_health_zone_zs'!$B$2,[1]ratio_ins!$B:$B,0))*$G474*INDEX([1]ratio_ins!$C:$C,MATCH('001_population_health_zone_zs'!$B474,[1]ratio_ins!$B:$B,0))</f>
        <v>935.19359999999995</v>
      </c>
      <c r="Z474" s="10">
        <f>INDEX([1]ratio_ins!X:X,MATCH('001_population_health_zone_zs'!$B$2,[1]ratio_ins!$B:$B,0))*$G474*INDEX([1]ratio_ins!$C:$C,MATCH('001_population_health_zone_zs'!$B474,[1]ratio_ins!$B:$B,0))</f>
        <v>467.59679999999997</v>
      </c>
      <c r="AA474" s="10">
        <f>INDEX([1]ratio_ins!Y:Y,MATCH('001_population_health_zone_zs'!$B$2,[1]ratio_ins!$B:$B,0))*$G474*INDEX([1]ratio_ins!$C:$C,MATCH('001_population_health_zone_zs'!$B474,[1]ratio_ins!$B:$B,0))</f>
        <v>233.79839999999999</v>
      </c>
      <c r="AB474" s="11">
        <f>INDEX([1]ratio_ins!Z:Z,MATCH('001_population_health_zone_zs'!$B$2,[1]ratio_ins!$B:$B,0))*$G474*INDEX([1]ratio_ins!$C:$C,MATCH('001_population_health_zone_zs'!$B474,[1]ratio_ins!$B:$B,0))</f>
        <v>3039.3792000000003</v>
      </c>
      <c r="AC474" s="12">
        <f t="shared" si="42"/>
        <v>116899.2</v>
      </c>
      <c r="AD474" s="10">
        <f>INDEX([1]ratio_ins!AA:AA,MATCH('001_population_health_zone_zs'!$B$2,[1]ratio_ins!$B:$B,0))*$G474*INDEX([1]ratio_ins!$D:$D,MATCH('001_population_health_zone_zs'!$B474,[1]ratio_ins!$B:$B,0))</f>
        <v>25044.768</v>
      </c>
      <c r="AE474" s="10">
        <f>INDEX([1]ratio_ins!AB:AB,MATCH('001_population_health_zone_zs'!$B$2,[1]ratio_ins!$B:$B,0))*$G474*INDEX([1]ratio_ins!$D:$D,MATCH('001_population_health_zone_zs'!$B474,[1]ratio_ins!$B:$B,0))</f>
        <v>20632.118399999999</v>
      </c>
      <c r="AF474" s="10">
        <f>INDEX([1]ratio_ins!AC:AC,MATCH('001_population_health_zone_zs'!$B$2,[1]ratio_ins!$B:$B,0))*$G474*INDEX([1]ratio_ins!$D:$D,MATCH('001_population_health_zone_zs'!$B474,[1]ratio_ins!$B:$B,0))</f>
        <v>16338.729599999997</v>
      </c>
      <c r="AG474" s="10">
        <f>INDEX([1]ratio_ins!AD:AD,MATCH('001_population_health_zone_zs'!$B$2,[1]ratio_ins!$B:$B,0))*$G474*INDEX([1]ratio_ins!$D:$D,MATCH('001_population_health_zone_zs'!$B474,[1]ratio_ins!$B:$B,0))</f>
        <v>9898.6464000000014</v>
      </c>
      <c r="AH474" s="10">
        <f>INDEX([1]ratio_ins!AE:AE,MATCH('001_population_health_zone_zs'!$B$2,[1]ratio_ins!$B:$B,0))*$G474*INDEX([1]ratio_ins!$D:$D,MATCH('001_population_health_zone_zs'!$B474,[1]ratio_ins!$B:$B,0))</f>
        <v>5939.1878400000005</v>
      </c>
      <c r="AI474" s="13">
        <f>INDEX([1]ratio_ins!AF:AF,MATCH('001_population_health_zone_zs'!$B$2,[1]ratio_ins!$B:$B,0))*$G474*INDEX([1]ratio_ins!$D:$D,MATCH('001_population_health_zone_zs'!$B474,[1]ratio_ins!$B:$B,0))</f>
        <v>67954.803839999993</v>
      </c>
      <c r="AJ474" s="10">
        <f>INDEX([1]ratio_ins!AG:AG,MATCH('001_population_health_zone_zs'!$B$2,[1]ratio_ins!$B:$B,0))*$G474*INDEX([1]ratio_ins!$D:$D,MATCH('001_population_health_zone_zs'!$B474,[1]ratio_ins!$B:$B,0))</f>
        <v>3959.45856</v>
      </c>
      <c r="AK474" s="10">
        <f>INDEX([1]ratio_ins!AH:AH,MATCH('001_population_health_zone_zs'!$B$2,[1]ratio_ins!$B:$B,0))*$G474*INDEX([1]ratio_ins!$D:$D,MATCH('001_population_health_zone_zs'!$B474,[1]ratio_ins!$B:$B,0))</f>
        <v>8825.2992000000013</v>
      </c>
      <c r="AL474" s="10">
        <f>INDEX([1]ratio_ins!AI:AI,MATCH('001_population_health_zone_zs'!$B$2,[1]ratio_ins!$B:$B,0))*$G474*INDEX([1]ratio_ins!$D:$D,MATCH('001_population_health_zone_zs'!$B474,[1]ratio_ins!$B:$B,0))</f>
        <v>8348.2560000000012</v>
      </c>
      <c r="AM474" s="10">
        <f>INDEX([1]ratio_ins!AJ:AJ,MATCH('001_population_health_zone_zs'!$B$2,[1]ratio_ins!$B:$B,0))*$G474*INDEX([1]ratio_ins!$D:$D,MATCH('001_population_health_zone_zs'!$B474,[1]ratio_ins!$B:$B,0))</f>
        <v>7632.6912000000002</v>
      </c>
      <c r="AN474" s="10">
        <f>INDEX([1]ratio_ins!AK:AK,MATCH('001_population_health_zone_zs'!$B$2,[1]ratio_ins!$B:$B,0))*$G474*INDEX([1]ratio_ins!$D:$D,MATCH('001_population_health_zone_zs'!$B474,[1]ratio_ins!$B:$B,0))</f>
        <v>7155.6480000000001</v>
      </c>
      <c r="AO474" s="10">
        <f>INDEX([1]ratio_ins!AL:AL,MATCH('001_population_health_zone_zs'!$B$2,[1]ratio_ins!$B:$B,0))*$G474*INDEX([1]ratio_ins!$D:$D,MATCH('001_population_health_zone_zs'!$B474,[1]ratio_ins!$B:$B,0))</f>
        <v>5366.7359999999999</v>
      </c>
      <c r="AP474" s="10">
        <f>INDEX([1]ratio_ins!AM:AM,MATCH('001_population_health_zone_zs'!$B$2,[1]ratio_ins!$B:$B,0))*$G474*INDEX([1]ratio_ins!$D:$D,MATCH('001_population_health_zone_zs'!$B474,[1]ratio_ins!$B:$B,0))</f>
        <v>3458.5631999999996</v>
      </c>
      <c r="AQ474" s="10">
        <f>INDEX([1]ratio_ins!AN:AN,MATCH('001_population_health_zone_zs'!$B$2,[1]ratio_ins!$B:$B,0))*$G474*INDEX([1]ratio_ins!$D:$D,MATCH('001_population_health_zone_zs'!$B474,[1]ratio_ins!$B:$B,0))</f>
        <v>2742.9983999999999</v>
      </c>
      <c r="AR474" s="10">
        <f>INDEX([1]ratio_ins!AO:AO,MATCH('001_population_health_zone_zs'!$B$2,[1]ratio_ins!$B:$B,0))*$G474*INDEX([1]ratio_ins!$D:$D,MATCH('001_population_health_zone_zs'!$B474,[1]ratio_ins!$B:$B,0))</f>
        <v>1311.8688000000002</v>
      </c>
      <c r="AS474" s="13">
        <f>INDEX([1]ratio_ins!AP:AP,MATCH('001_population_health_zone_zs'!$B$2,[1]ratio_ins!$B:$B,0))*$G474*INDEX([1]ratio_ins!$D:$D,MATCH('001_population_health_zone_zs'!$B474,[1]ratio_ins!$B:$B,0))</f>
        <v>48801.519360000006</v>
      </c>
      <c r="AT474" s="10">
        <f>INDEX([1]ratio_ins!AQ:AQ,MATCH('001_population_health_zone_zs'!$B$2,[1]ratio_ins!$B:$B,0))*$G474*INDEX([1]ratio_ins!$D:$D,MATCH('001_population_health_zone_zs'!$B474,[1]ratio_ins!$B:$B,0))</f>
        <v>1192.6079999999999</v>
      </c>
      <c r="AU474" s="10">
        <f>INDEX([1]ratio_ins!AR:AR,MATCH('001_population_health_zone_zs'!$B$2,[1]ratio_ins!$B:$B,0))*$G474*INDEX([1]ratio_ins!$D:$D,MATCH('001_population_health_zone_zs'!$B474,[1]ratio_ins!$B:$B,0))</f>
        <v>715.56479999999999</v>
      </c>
      <c r="AV474" s="10">
        <f>INDEX([1]ratio_ins!AS:AS,MATCH('001_population_health_zone_zs'!$B$2,[1]ratio_ins!$B:$B,0))*$G474*INDEX([1]ratio_ins!$D:$D,MATCH('001_population_health_zone_zs'!$B474,[1]ratio_ins!$B:$B,0))</f>
        <v>357.7824</v>
      </c>
      <c r="AW474" s="10">
        <f>INDEX([1]ratio_ins!AT:AT,MATCH('001_population_health_zone_zs'!$B$2,[1]ratio_ins!$B:$B,0))*$G474*INDEX([1]ratio_ins!$D:$D,MATCH('001_population_health_zone_zs'!$B474,[1]ratio_ins!$B:$B,0))</f>
        <v>238.52160000000001</v>
      </c>
      <c r="AX474" s="13">
        <f>INDEX([1]ratio_ins!AU:AU,MATCH('001_population_health_zone_zs'!$B$2,[1]ratio_ins!$B:$B,0))*$G474*INDEX([1]ratio_ins!$D:$D,MATCH('001_population_health_zone_zs'!$B474,[1]ratio_ins!$B:$B,0))</f>
        <v>2504.4767999999999</v>
      </c>
      <c r="AY474" s="14">
        <f t="shared" si="43"/>
        <v>119260.8</v>
      </c>
      <c r="AZ474" s="15">
        <f t="shared" si="44"/>
        <v>236160</v>
      </c>
      <c r="BA474" s="16">
        <v>226194.09438009633</v>
      </c>
      <c r="BB474" s="10">
        <f t="shared" si="45"/>
        <v>50685.84</v>
      </c>
      <c r="BC474" s="17">
        <f t="shared" si="46"/>
        <v>0.21462499999999998</v>
      </c>
      <c r="BD474" s="10">
        <f t="shared" si="47"/>
        <v>48746.966399999998</v>
      </c>
    </row>
    <row r="475" spans="1:56" x14ac:dyDescent="0.25">
      <c r="A475" s="8" t="s">
        <v>1137</v>
      </c>
      <c r="B475" s="8" t="s">
        <v>1138</v>
      </c>
      <c r="C475" s="8" t="s">
        <v>1170</v>
      </c>
      <c r="D475" s="8" t="s">
        <v>1171</v>
      </c>
      <c r="E475" s="8" t="s">
        <v>1174</v>
      </c>
      <c r="F475" s="8" t="s">
        <v>1175</v>
      </c>
      <c r="G475" s="9">
        <v>267248</v>
      </c>
      <c r="H475" s="10">
        <f>INDEX([1]ratio_ins!F:F,MATCH('001_population_health_zone_zs'!$B$2,[1]ratio_ins!$B:$B,0))*$G475*INDEX([1]ratio_ins!$C:$C,MATCH('001_population_health_zone_zs'!$B475,[1]ratio_ins!$B:$B,0))</f>
        <v>27648.141839999997</v>
      </c>
      <c r="I475" s="10">
        <f>INDEX([1]ratio_ins!G:G,MATCH('001_population_health_zone_zs'!$B$2,[1]ratio_ins!$B:$B,0))*$G475*INDEX([1]ratio_ins!$C:$C,MATCH('001_population_health_zone_zs'!$B475,[1]ratio_ins!$B:$B,0))</f>
        <v>22621.20696</v>
      </c>
      <c r="J475" s="10">
        <f>INDEX([1]ratio_ins!H:H,MATCH('001_population_health_zone_zs'!$B$2,[1]ratio_ins!$B:$B,0))*$G475*INDEX([1]ratio_ins!$C:$C,MATCH('001_population_health_zone_zs'!$B475,[1]ratio_ins!$B:$B,0))</f>
        <v>17858.847600000001</v>
      </c>
      <c r="K475" s="10">
        <f>INDEX([1]ratio_ins!I:I,MATCH('001_population_health_zone_zs'!$B$2,[1]ratio_ins!$B:$B,0))*$G475*INDEX([1]ratio_ins!$C:$C,MATCH('001_population_health_zone_zs'!$B475,[1]ratio_ins!$B:$B,0))</f>
        <v>10979.884080000002</v>
      </c>
      <c r="L475" s="10">
        <f>INDEX([1]ratio_ins!J:J,MATCH('001_population_health_zone_zs'!$B$2,[1]ratio_ins!$B:$B,0))*$G475*INDEX([1]ratio_ins!$C:$C,MATCH('001_population_health_zone_zs'!$B475,[1]ratio_ins!$B:$B,0))</f>
        <v>6587.9304480000001</v>
      </c>
      <c r="M475" s="11">
        <f>INDEX([1]ratio_ins!K:K,MATCH('001_population_health_zone_zs'!$B$2,[1]ratio_ins!$B:$B,0))*$G475*INDEX([1]ratio_ins!$C:$C,MATCH('001_population_health_zone_zs'!$B475,[1]ratio_ins!$B:$B,0))</f>
        <v>74716.126848</v>
      </c>
      <c r="N475" s="10">
        <f>INDEX([1]ratio_ins!L:L,MATCH('001_population_health_zone_zs'!$B$2,[1]ratio_ins!$B:$B,0))*$G475*INDEX([1]ratio_ins!$C:$C,MATCH('001_population_health_zone_zs'!$B475,[1]ratio_ins!$B:$B,0))</f>
        <v>4391.9536319999997</v>
      </c>
      <c r="O475" s="10">
        <f>INDEX([1]ratio_ins!M:M,MATCH('001_population_health_zone_zs'!$B$2,[1]ratio_ins!$B:$B,0))*$G475*INDEX([1]ratio_ins!$C:$C,MATCH('001_population_health_zone_zs'!$B475,[1]ratio_ins!$B:$B,0))</f>
        <v>9524.7187200000008</v>
      </c>
      <c r="P475" s="10">
        <f>INDEX([1]ratio_ins!N:N,MATCH('001_population_health_zone_zs'!$B$2,[1]ratio_ins!$B:$B,0))*$G475*INDEX([1]ratio_ins!$C:$C,MATCH('001_population_health_zone_zs'!$B475,[1]ratio_ins!$B:$B,0))</f>
        <v>8598.7043999999987</v>
      </c>
      <c r="Q475" s="10">
        <f>INDEX([1]ratio_ins!O:O,MATCH('001_population_health_zone_zs'!$B$2,[1]ratio_ins!$B:$B,0))*$G475*INDEX([1]ratio_ins!$C:$C,MATCH('001_population_health_zone_zs'!$B475,[1]ratio_ins!$B:$B,0))</f>
        <v>7672.6900799999994</v>
      </c>
      <c r="R475" s="10">
        <f>INDEX([1]ratio_ins!P:P,MATCH('001_population_health_zone_zs'!$B$2,[1]ratio_ins!$B:$B,0))*$G475*INDEX([1]ratio_ins!$C:$C,MATCH('001_population_health_zone_zs'!$B475,[1]ratio_ins!$B:$B,0))</f>
        <v>7540.4023200000001</v>
      </c>
      <c r="S475" s="10">
        <f>INDEX([1]ratio_ins!Q:Q,MATCH('001_population_health_zone_zs'!$B$2,[1]ratio_ins!$B:$B,0))*$G475*INDEX([1]ratio_ins!$C:$C,MATCH('001_population_health_zone_zs'!$B475,[1]ratio_ins!$B:$B,0))</f>
        <v>6349.8124800000005</v>
      </c>
      <c r="T475" s="10">
        <f>INDEX([1]ratio_ins!R:R,MATCH('001_population_health_zone_zs'!$B$2,[1]ratio_ins!$B:$B,0))*$G475*INDEX([1]ratio_ins!$C:$C,MATCH('001_population_health_zone_zs'!$B475,[1]ratio_ins!$B:$B,0))</f>
        <v>4497.7838400000001</v>
      </c>
      <c r="U475" s="10">
        <f>INDEX([1]ratio_ins!S:S,MATCH('001_population_health_zone_zs'!$B$2,[1]ratio_ins!$B:$B,0))*$G475*INDEX([1]ratio_ins!$C:$C,MATCH('001_population_health_zone_zs'!$B475,[1]ratio_ins!$B:$B,0))</f>
        <v>3571.7695200000003</v>
      </c>
      <c r="V475" s="10">
        <f>INDEX([1]ratio_ins!T:T,MATCH('001_population_health_zone_zs'!$B$2,[1]ratio_ins!$B:$B,0))*$G475*INDEX([1]ratio_ins!$C:$C,MATCH('001_population_health_zone_zs'!$B475,[1]ratio_ins!$B:$B,0))</f>
        <v>1984.3163999999999</v>
      </c>
      <c r="W475" s="11">
        <f>INDEX([1]ratio_ins!U:U,MATCH('001_population_health_zone_zs'!$B$2,[1]ratio_ins!$B:$B,0))*$G475*INDEX([1]ratio_ins!$C:$C,MATCH('001_population_health_zone_zs'!$B475,[1]ratio_ins!$B:$B,0))</f>
        <v>54132.151392000007</v>
      </c>
      <c r="X475" s="10">
        <f>INDEX([1]ratio_ins!V:V,MATCH('001_population_health_zone_zs'!$B$2,[1]ratio_ins!$B:$B,0))*$G475*INDEX([1]ratio_ins!$C:$C,MATCH('001_population_health_zone_zs'!$B475,[1]ratio_ins!$B:$B,0))</f>
        <v>1587.4531200000001</v>
      </c>
      <c r="Y475" s="10">
        <f>INDEX([1]ratio_ins!W:W,MATCH('001_population_health_zone_zs'!$B$2,[1]ratio_ins!$B:$B,0))*$G475*INDEX([1]ratio_ins!$C:$C,MATCH('001_population_health_zone_zs'!$B475,[1]ratio_ins!$B:$B,0))</f>
        <v>1058.3020799999999</v>
      </c>
      <c r="Z475" s="10">
        <f>INDEX([1]ratio_ins!X:X,MATCH('001_population_health_zone_zs'!$B$2,[1]ratio_ins!$B:$B,0))*$G475*INDEX([1]ratio_ins!$C:$C,MATCH('001_population_health_zone_zs'!$B475,[1]ratio_ins!$B:$B,0))</f>
        <v>529.15103999999997</v>
      </c>
      <c r="AA475" s="10">
        <f>INDEX([1]ratio_ins!Y:Y,MATCH('001_population_health_zone_zs'!$B$2,[1]ratio_ins!$B:$B,0))*$G475*INDEX([1]ratio_ins!$C:$C,MATCH('001_population_health_zone_zs'!$B475,[1]ratio_ins!$B:$B,0))</f>
        <v>264.57551999999998</v>
      </c>
      <c r="AB475" s="11">
        <f>INDEX([1]ratio_ins!Z:Z,MATCH('001_population_health_zone_zs'!$B$2,[1]ratio_ins!$B:$B,0))*$G475*INDEX([1]ratio_ins!$C:$C,MATCH('001_population_health_zone_zs'!$B475,[1]ratio_ins!$B:$B,0))</f>
        <v>3439.4817600000001</v>
      </c>
      <c r="AC475" s="12">
        <f t="shared" si="42"/>
        <v>132287.76</v>
      </c>
      <c r="AD475" s="10">
        <f>INDEX([1]ratio_ins!AA:AA,MATCH('001_population_health_zone_zs'!$B$2,[1]ratio_ins!$B:$B,0))*$G475*INDEX([1]ratio_ins!$D:$D,MATCH('001_population_health_zone_zs'!$B475,[1]ratio_ins!$B:$B,0))</f>
        <v>28341.650399999999</v>
      </c>
      <c r="AE475" s="10">
        <f>INDEX([1]ratio_ins!AB:AB,MATCH('001_population_health_zone_zs'!$B$2,[1]ratio_ins!$B:$B,0))*$G475*INDEX([1]ratio_ins!$D:$D,MATCH('001_population_health_zone_zs'!$B475,[1]ratio_ins!$B:$B,0))</f>
        <v>23348.121520000001</v>
      </c>
      <c r="AF475" s="10">
        <f>INDEX([1]ratio_ins!AC:AC,MATCH('001_population_health_zone_zs'!$B$2,[1]ratio_ins!$B:$B,0))*$G475*INDEX([1]ratio_ins!$D:$D,MATCH('001_population_health_zone_zs'!$B475,[1]ratio_ins!$B:$B,0))</f>
        <v>18489.552879999999</v>
      </c>
      <c r="AG475" s="10">
        <f>INDEX([1]ratio_ins!AD:AD,MATCH('001_population_health_zone_zs'!$B$2,[1]ratio_ins!$B:$B,0))*$G475*INDEX([1]ratio_ins!$D:$D,MATCH('001_population_health_zone_zs'!$B475,[1]ratio_ins!$B:$B,0))</f>
        <v>11201.699920000001</v>
      </c>
      <c r="AH475" s="10">
        <f>INDEX([1]ratio_ins!AE:AE,MATCH('001_population_health_zone_zs'!$B$2,[1]ratio_ins!$B:$B,0))*$G475*INDEX([1]ratio_ins!$D:$D,MATCH('001_population_health_zone_zs'!$B475,[1]ratio_ins!$B:$B,0))</f>
        <v>6721.0199519999996</v>
      </c>
      <c r="AI475" s="13">
        <f>INDEX([1]ratio_ins!AF:AF,MATCH('001_population_health_zone_zs'!$B$2,[1]ratio_ins!$B:$B,0))*$G475*INDEX([1]ratio_ins!$D:$D,MATCH('001_population_health_zone_zs'!$B475,[1]ratio_ins!$B:$B,0))</f>
        <v>76900.344752000005</v>
      </c>
      <c r="AJ475" s="10">
        <f>INDEX([1]ratio_ins!AG:AG,MATCH('001_population_health_zone_zs'!$B$2,[1]ratio_ins!$B:$B,0))*$G475*INDEX([1]ratio_ins!$D:$D,MATCH('001_population_health_zone_zs'!$B475,[1]ratio_ins!$B:$B,0))</f>
        <v>4480.6799679999995</v>
      </c>
      <c r="AK475" s="10">
        <f>INDEX([1]ratio_ins!AH:AH,MATCH('001_population_health_zone_zs'!$B$2,[1]ratio_ins!$B:$B,0))*$G475*INDEX([1]ratio_ins!$D:$D,MATCH('001_population_health_zone_zs'!$B475,[1]ratio_ins!$B:$B,0))</f>
        <v>9987.0577600000015</v>
      </c>
      <c r="AL475" s="10">
        <f>INDEX([1]ratio_ins!AI:AI,MATCH('001_population_health_zone_zs'!$B$2,[1]ratio_ins!$B:$B,0))*$G475*INDEX([1]ratio_ins!$D:$D,MATCH('001_population_health_zone_zs'!$B475,[1]ratio_ins!$B:$B,0))</f>
        <v>9447.2168000000001</v>
      </c>
      <c r="AM475" s="10">
        <f>INDEX([1]ratio_ins!AJ:AJ,MATCH('001_population_health_zone_zs'!$B$2,[1]ratio_ins!$B:$B,0))*$G475*INDEX([1]ratio_ins!$D:$D,MATCH('001_population_health_zone_zs'!$B475,[1]ratio_ins!$B:$B,0))</f>
        <v>8637.4553599999999</v>
      </c>
      <c r="AN475" s="10">
        <f>INDEX([1]ratio_ins!AK:AK,MATCH('001_population_health_zone_zs'!$B$2,[1]ratio_ins!$B:$B,0))*$G475*INDEX([1]ratio_ins!$D:$D,MATCH('001_population_health_zone_zs'!$B475,[1]ratio_ins!$B:$B,0))</f>
        <v>8097.6143999999995</v>
      </c>
      <c r="AO475" s="10">
        <f>INDEX([1]ratio_ins!AL:AL,MATCH('001_population_health_zone_zs'!$B$2,[1]ratio_ins!$B:$B,0))*$G475*INDEX([1]ratio_ins!$D:$D,MATCH('001_population_health_zone_zs'!$B475,[1]ratio_ins!$B:$B,0))</f>
        <v>6073.2107999999998</v>
      </c>
      <c r="AP475" s="10">
        <f>INDEX([1]ratio_ins!AM:AM,MATCH('001_population_health_zone_zs'!$B$2,[1]ratio_ins!$B:$B,0))*$G475*INDEX([1]ratio_ins!$D:$D,MATCH('001_population_health_zone_zs'!$B475,[1]ratio_ins!$B:$B,0))</f>
        <v>3913.8469599999994</v>
      </c>
      <c r="AQ475" s="10">
        <f>INDEX([1]ratio_ins!AN:AN,MATCH('001_population_health_zone_zs'!$B$2,[1]ratio_ins!$B:$B,0))*$G475*INDEX([1]ratio_ins!$D:$D,MATCH('001_population_health_zone_zs'!$B475,[1]ratio_ins!$B:$B,0))</f>
        <v>3104.0855200000001</v>
      </c>
      <c r="AR475" s="10">
        <f>INDEX([1]ratio_ins!AO:AO,MATCH('001_population_health_zone_zs'!$B$2,[1]ratio_ins!$B:$B,0))*$G475*INDEX([1]ratio_ins!$D:$D,MATCH('001_population_health_zone_zs'!$B475,[1]ratio_ins!$B:$B,0))</f>
        <v>1484.5626400000003</v>
      </c>
      <c r="AS475" s="13">
        <f>INDEX([1]ratio_ins!AP:AP,MATCH('001_population_health_zone_zs'!$B$2,[1]ratio_ins!$B:$B,0))*$G475*INDEX([1]ratio_ins!$D:$D,MATCH('001_population_health_zone_zs'!$B475,[1]ratio_ins!$B:$B,0))</f>
        <v>55225.730208000001</v>
      </c>
      <c r="AT475" s="10">
        <f>INDEX([1]ratio_ins!AQ:AQ,MATCH('001_population_health_zone_zs'!$B$2,[1]ratio_ins!$B:$B,0))*$G475*INDEX([1]ratio_ins!$D:$D,MATCH('001_population_health_zone_zs'!$B475,[1]ratio_ins!$B:$B,0))</f>
        <v>1349.6024</v>
      </c>
      <c r="AU475" s="10">
        <f>INDEX([1]ratio_ins!AR:AR,MATCH('001_population_health_zone_zs'!$B$2,[1]ratio_ins!$B:$B,0))*$G475*INDEX([1]ratio_ins!$D:$D,MATCH('001_population_health_zone_zs'!$B475,[1]ratio_ins!$B:$B,0))</f>
        <v>809.76143999999999</v>
      </c>
      <c r="AV475" s="10">
        <f>INDEX([1]ratio_ins!AS:AS,MATCH('001_population_health_zone_zs'!$B$2,[1]ratio_ins!$B:$B,0))*$G475*INDEX([1]ratio_ins!$D:$D,MATCH('001_population_health_zone_zs'!$B475,[1]ratio_ins!$B:$B,0))</f>
        <v>404.88072</v>
      </c>
      <c r="AW475" s="10">
        <f>INDEX([1]ratio_ins!AT:AT,MATCH('001_population_health_zone_zs'!$B$2,[1]ratio_ins!$B:$B,0))*$G475*INDEX([1]ratio_ins!$D:$D,MATCH('001_population_health_zone_zs'!$B475,[1]ratio_ins!$B:$B,0))</f>
        <v>269.92048</v>
      </c>
      <c r="AX475" s="13">
        <f>INDEX([1]ratio_ins!AU:AU,MATCH('001_population_health_zone_zs'!$B$2,[1]ratio_ins!$B:$B,0))*$G475*INDEX([1]ratio_ins!$D:$D,MATCH('001_population_health_zone_zs'!$B475,[1]ratio_ins!$B:$B,0))</f>
        <v>2834.1650399999999</v>
      </c>
      <c r="AY475" s="14">
        <f t="shared" si="43"/>
        <v>134960.24</v>
      </c>
      <c r="AZ475" s="15">
        <f t="shared" si="44"/>
        <v>267248</v>
      </c>
      <c r="BA475" s="16">
        <v>255969.56909588692</v>
      </c>
      <c r="BB475" s="10">
        <f t="shared" si="45"/>
        <v>57358.102000000006</v>
      </c>
      <c r="BC475" s="17">
        <f t="shared" si="46"/>
        <v>0.21462500000000001</v>
      </c>
      <c r="BD475" s="10">
        <f t="shared" si="47"/>
        <v>55163.995920000001</v>
      </c>
    </row>
    <row r="476" spans="1:56" x14ac:dyDescent="0.25">
      <c r="A476" s="8" t="s">
        <v>1137</v>
      </c>
      <c r="B476" s="8" t="s">
        <v>1138</v>
      </c>
      <c r="C476" s="8" t="s">
        <v>1170</v>
      </c>
      <c r="D476" s="8" t="s">
        <v>1171</v>
      </c>
      <c r="E476" s="8" t="s">
        <v>1176</v>
      </c>
      <c r="F476" s="8" t="s">
        <v>1177</v>
      </c>
      <c r="G476" s="9">
        <v>162450</v>
      </c>
      <c r="H476" s="10">
        <f>INDEX([1]ratio_ins!F:F,MATCH('001_population_health_zone_zs'!$B$2,[1]ratio_ins!$B:$B,0))*$G476*INDEX([1]ratio_ins!$C:$C,MATCH('001_population_health_zone_zs'!$B476,[1]ratio_ins!$B:$B,0))</f>
        <v>16806.264749999998</v>
      </c>
      <c r="I476" s="10">
        <f>INDEX([1]ratio_ins!G:G,MATCH('001_population_health_zone_zs'!$B$2,[1]ratio_ins!$B:$B,0))*$G476*INDEX([1]ratio_ins!$C:$C,MATCH('001_population_health_zone_zs'!$B476,[1]ratio_ins!$B:$B,0))</f>
        <v>13750.580250000001</v>
      </c>
      <c r="J476" s="10">
        <f>INDEX([1]ratio_ins!H:H,MATCH('001_population_health_zone_zs'!$B$2,[1]ratio_ins!$B:$B,0))*$G476*INDEX([1]ratio_ins!$C:$C,MATCH('001_population_health_zone_zs'!$B476,[1]ratio_ins!$B:$B,0))</f>
        <v>10855.721250000001</v>
      </c>
      <c r="K476" s="10">
        <f>INDEX([1]ratio_ins!I:I,MATCH('001_population_health_zone_zs'!$B$2,[1]ratio_ins!$B:$B,0))*$G476*INDEX([1]ratio_ins!$C:$C,MATCH('001_population_health_zone_zs'!$B476,[1]ratio_ins!$B:$B,0))</f>
        <v>6674.2582499999999</v>
      </c>
      <c r="L476" s="10">
        <f>INDEX([1]ratio_ins!J:J,MATCH('001_population_health_zone_zs'!$B$2,[1]ratio_ins!$B:$B,0))*$G476*INDEX([1]ratio_ins!$C:$C,MATCH('001_population_health_zone_zs'!$B476,[1]ratio_ins!$B:$B,0))</f>
        <v>4004.5549499999997</v>
      </c>
      <c r="M476" s="11">
        <f>INDEX([1]ratio_ins!K:K,MATCH('001_population_health_zone_zs'!$B$2,[1]ratio_ins!$B:$B,0))*$G476*INDEX([1]ratio_ins!$C:$C,MATCH('001_population_health_zone_zs'!$B476,[1]ratio_ins!$B:$B,0))</f>
        <v>45417.121199999994</v>
      </c>
      <c r="N476" s="10">
        <f>INDEX([1]ratio_ins!L:L,MATCH('001_population_health_zone_zs'!$B$2,[1]ratio_ins!$B:$B,0))*$G476*INDEX([1]ratio_ins!$C:$C,MATCH('001_population_health_zone_zs'!$B476,[1]ratio_ins!$B:$B,0))</f>
        <v>2669.7033000000001</v>
      </c>
      <c r="O476" s="10">
        <f>INDEX([1]ratio_ins!M:M,MATCH('001_population_health_zone_zs'!$B$2,[1]ratio_ins!$B:$B,0))*$G476*INDEX([1]ratio_ins!$C:$C,MATCH('001_population_health_zone_zs'!$B476,[1]ratio_ins!$B:$B,0))</f>
        <v>5789.7180000000008</v>
      </c>
      <c r="P476" s="10">
        <f>INDEX([1]ratio_ins!N:N,MATCH('001_population_health_zone_zs'!$B$2,[1]ratio_ins!$B:$B,0))*$G476*INDEX([1]ratio_ins!$C:$C,MATCH('001_population_health_zone_zs'!$B476,[1]ratio_ins!$B:$B,0))</f>
        <v>5226.8287499999997</v>
      </c>
      <c r="Q476" s="10">
        <f>INDEX([1]ratio_ins!O:O,MATCH('001_population_health_zone_zs'!$B$2,[1]ratio_ins!$B:$B,0))*$G476*INDEX([1]ratio_ins!$C:$C,MATCH('001_population_health_zone_zs'!$B476,[1]ratio_ins!$B:$B,0))</f>
        <v>4663.9394999999995</v>
      </c>
      <c r="R476" s="10">
        <f>INDEX([1]ratio_ins!P:P,MATCH('001_population_health_zone_zs'!$B$2,[1]ratio_ins!$B:$B,0))*$G476*INDEX([1]ratio_ins!$C:$C,MATCH('001_population_health_zone_zs'!$B476,[1]ratio_ins!$B:$B,0))</f>
        <v>4583.52675</v>
      </c>
      <c r="S476" s="10">
        <f>INDEX([1]ratio_ins!Q:Q,MATCH('001_population_health_zone_zs'!$B$2,[1]ratio_ins!$B:$B,0))*$G476*INDEX([1]ratio_ins!$C:$C,MATCH('001_population_health_zone_zs'!$B476,[1]ratio_ins!$B:$B,0))</f>
        <v>3859.8120000000004</v>
      </c>
      <c r="T476" s="10">
        <f>INDEX([1]ratio_ins!R:R,MATCH('001_population_health_zone_zs'!$B$2,[1]ratio_ins!$B:$B,0))*$G476*INDEX([1]ratio_ins!$C:$C,MATCH('001_population_health_zone_zs'!$B476,[1]ratio_ins!$B:$B,0))</f>
        <v>2734.0335</v>
      </c>
      <c r="U476" s="10">
        <f>INDEX([1]ratio_ins!S:S,MATCH('001_population_health_zone_zs'!$B$2,[1]ratio_ins!$B:$B,0))*$G476*INDEX([1]ratio_ins!$C:$C,MATCH('001_population_health_zone_zs'!$B476,[1]ratio_ins!$B:$B,0))</f>
        <v>2171.1442500000003</v>
      </c>
      <c r="V476" s="10">
        <f>INDEX([1]ratio_ins!T:T,MATCH('001_population_health_zone_zs'!$B$2,[1]ratio_ins!$B:$B,0))*$G476*INDEX([1]ratio_ins!$C:$C,MATCH('001_population_health_zone_zs'!$B476,[1]ratio_ins!$B:$B,0))</f>
        <v>1206.1912500000001</v>
      </c>
      <c r="W476" s="11">
        <f>INDEX([1]ratio_ins!U:U,MATCH('001_population_health_zone_zs'!$B$2,[1]ratio_ins!$B:$B,0))*$G476*INDEX([1]ratio_ins!$C:$C,MATCH('001_population_health_zone_zs'!$B476,[1]ratio_ins!$B:$B,0))</f>
        <v>32904.897300000004</v>
      </c>
      <c r="X476" s="10">
        <f>INDEX([1]ratio_ins!V:V,MATCH('001_population_health_zone_zs'!$B$2,[1]ratio_ins!$B:$B,0))*$G476*INDEX([1]ratio_ins!$C:$C,MATCH('001_population_health_zone_zs'!$B476,[1]ratio_ins!$B:$B,0))</f>
        <v>964.95300000000009</v>
      </c>
      <c r="Y476" s="10">
        <f>INDEX([1]ratio_ins!W:W,MATCH('001_population_health_zone_zs'!$B$2,[1]ratio_ins!$B:$B,0))*$G476*INDEX([1]ratio_ins!$C:$C,MATCH('001_population_health_zone_zs'!$B476,[1]ratio_ins!$B:$B,0))</f>
        <v>643.30200000000002</v>
      </c>
      <c r="Z476" s="10">
        <f>INDEX([1]ratio_ins!X:X,MATCH('001_population_health_zone_zs'!$B$2,[1]ratio_ins!$B:$B,0))*$G476*INDEX([1]ratio_ins!$C:$C,MATCH('001_population_health_zone_zs'!$B476,[1]ratio_ins!$B:$B,0))</f>
        <v>321.65100000000001</v>
      </c>
      <c r="AA476" s="10">
        <f>INDEX([1]ratio_ins!Y:Y,MATCH('001_population_health_zone_zs'!$B$2,[1]ratio_ins!$B:$B,0))*$G476*INDEX([1]ratio_ins!$C:$C,MATCH('001_population_health_zone_zs'!$B476,[1]ratio_ins!$B:$B,0))</f>
        <v>160.82550000000001</v>
      </c>
      <c r="AB476" s="11">
        <f>INDEX([1]ratio_ins!Z:Z,MATCH('001_population_health_zone_zs'!$B$2,[1]ratio_ins!$B:$B,0))*$G476*INDEX([1]ratio_ins!$C:$C,MATCH('001_population_health_zone_zs'!$B476,[1]ratio_ins!$B:$B,0))</f>
        <v>2090.7315000000003</v>
      </c>
      <c r="AC476" s="12">
        <f t="shared" si="42"/>
        <v>80412.75</v>
      </c>
      <c r="AD476" s="10">
        <f>INDEX([1]ratio_ins!AA:AA,MATCH('001_population_health_zone_zs'!$B$2,[1]ratio_ins!$B:$B,0))*$G476*INDEX([1]ratio_ins!$D:$D,MATCH('001_population_health_zone_zs'!$B476,[1]ratio_ins!$B:$B,0))</f>
        <v>17227.822499999998</v>
      </c>
      <c r="AE476" s="10">
        <f>INDEX([1]ratio_ins!AB:AB,MATCH('001_population_health_zone_zs'!$B$2,[1]ratio_ins!$B:$B,0))*$G476*INDEX([1]ratio_ins!$D:$D,MATCH('001_population_health_zone_zs'!$B476,[1]ratio_ins!$B:$B,0))</f>
        <v>14192.44425</v>
      </c>
      <c r="AF476" s="10">
        <f>INDEX([1]ratio_ins!AC:AC,MATCH('001_population_health_zone_zs'!$B$2,[1]ratio_ins!$B:$B,0))*$G476*INDEX([1]ratio_ins!$D:$D,MATCH('001_population_health_zone_zs'!$B476,[1]ratio_ins!$B:$B,0))</f>
        <v>11239.103249999998</v>
      </c>
      <c r="AG476" s="10">
        <f>INDEX([1]ratio_ins!AD:AD,MATCH('001_population_health_zone_zs'!$B$2,[1]ratio_ins!$B:$B,0))*$G476*INDEX([1]ratio_ins!$D:$D,MATCH('001_population_health_zone_zs'!$B476,[1]ratio_ins!$B:$B,0))</f>
        <v>6809.0917500000005</v>
      </c>
      <c r="AH476" s="10">
        <f>INDEX([1]ratio_ins!AE:AE,MATCH('001_population_health_zone_zs'!$B$2,[1]ratio_ins!$B:$B,0))*$G476*INDEX([1]ratio_ins!$D:$D,MATCH('001_population_health_zone_zs'!$B476,[1]ratio_ins!$B:$B,0))</f>
        <v>4085.4550499999996</v>
      </c>
      <c r="AI476" s="13">
        <f>INDEX([1]ratio_ins!AF:AF,MATCH('001_population_health_zone_zs'!$B$2,[1]ratio_ins!$B:$B,0))*$G476*INDEX([1]ratio_ins!$D:$D,MATCH('001_population_health_zone_zs'!$B476,[1]ratio_ins!$B:$B,0))</f>
        <v>46744.825049999999</v>
      </c>
      <c r="AJ476" s="10">
        <f>INDEX([1]ratio_ins!AG:AG,MATCH('001_population_health_zone_zs'!$B$2,[1]ratio_ins!$B:$B,0))*$G476*INDEX([1]ratio_ins!$D:$D,MATCH('001_population_health_zone_zs'!$B476,[1]ratio_ins!$B:$B,0))</f>
        <v>2723.6367</v>
      </c>
      <c r="AK476" s="10">
        <f>INDEX([1]ratio_ins!AH:AH,MATCH('001_population_health_zone_zs'!$B$2,[1]ratio_ins!$B:$B,0))*$G476*INDEX([1]ratio_ins!$D:$D,MATCH('001_population_health_zone_zs'!$B476,[1]ratio_ins!$B:$B,0))</f>
        <v>6070.7565000000004</v>
      </c>
      <c r="AL476" s="10">
        <f>INDEX([1]ratio_ins!AI:AI,MATCH('001_population_health_zone_zs'!$B$2,[1]ratio_ins!$B:$B,0))*$G476*INDEX([1]ratio_ins!$D:$D,MATCH('001_population_health_zone_zs'!$B476,[1]ratio_ins!$B:$B,0))</f>
        <v>5742.607500000001</v>
      </c>
      <c r="AM476" s="10">
        <f>INDEX([1]ratio_ins!AJ:AJ,MATCH('001_population_health_zone_zs'!$B$2,[1]ratio_ins!$B:$B,0))*$G476*INDEX([1]ratio_ins!$D:$D,MATCH('001_population_health_zone_zs'!$B476,[1]ratio_ins!$B:$B,0))</f>
        <v>5250.3840000000009</v>
      </c>
      <c r="AN476" s="10">
        <f>INDEX([1]ratio_ins!AK:AK,MATCH('001_population_health_zone_zs'!$B$2,[1]ratio_ins!$B:$B,0))*$G476*INDEX([1]ratio_ins!$D:$D,MATCH('001_population_health_zone_zs'!$B476,[1]ratio_ins!$B:$B,0))</f>
        <v>4922.2349999999997</v>
      </c>
      <c r="AO476" s="10">
        <f>INDEX([1]ratio_ins!AL:AL,MATCH('001_population_health_zone_zs'!$B$2,[1]ratio_ins!$B:$B,0))*$G476*INDEX([1]ratio_ins!$D:$D,MATCH('001_population_health_zone_zs'!$B476,[1]ratio_ins!$B:$B,0))</f>
        <v>3691.67625</v>
      </c>
      <c r="AP476" s="10">
        <f>INDEX([1]ratio_ins!AM:AM,MATCH('001_population_health_zone_zs'!$B$2,[1]ratio_ins!$B:$B,0))*$G476*INDEX([1]ratio_ins!$D:$D,MATCH('001_population_health_zone_zs'!$B476,[1]ratio_ins!$B:$B,0))</f>
        <v>2379.0802499999995</v>
      </c>
      <c r="AQ476" s="10">
        <f>INDEX([1]ratio_ins!AN:AN,MATCH('001_population_health_zone_zs'!$B$2,[1]ratio_ins!$B:$B,0))*$G476*INDEX([1]ratio_ins!$D:$D,MATCH('001_population_health_zone_zs'!$B476,[1]ratio_ins!$B:$B,0))</f>
        <v>1886.8567499999999</v>
      </c>
      <c r="AR476" s="10">
        <f>INDEX([1]ratio_ins!AO:AO,MATCH('001_population_health_zone_zs'!$B$2,[1]ratio_ins!$B:$B,0))*$G476*INDEX([1]ratio_ins!$D:$D,MATCH('001_population_health_zone_zs'!$B476,[1]ratio_ins!$B:$B,0))</f>
        <v>902.40975000000014</v>
      </c>
      <c r="AS476" s="13">
        <f>INDEX([1]ratio_ins!AP:AP,MATCH('001_population_health_zone_zs'!$B$2,[1]ratio_ins!$B:$B,0))*$G476*INDEX([1]ratio_ins!$D:$D,MATCH('001_population_health_zone_zs'!$B476,[1]ratio_ins!$B:$B,0))</f>
        <v>33569.642700000004</v>
      </c>
      <c r="AT476" s="10">
        <f>INDEX([1]ratio_ins!AQ:AQ,MATCH('001_population_health_zone_zs'!$B$2,[1]ratio_ins!$B:$B,0))*$G476*INDEX([1]ratio_ins!$D:$D,MATCH('001_population_health_zone_zs'!$B476,[1]ratio_ins!$B:$B,0))</f>
        <v>820.37250000000006</v>
      </c>
      <c r="AU476" s="10">
        <f>INDEX([1]ratio_ins!AR:AR,MATCH('001_population_health_zone_zs'!$B$2,[1]ratio_ins!$B:$B,0))*$G476*INDEX([1]ratio_ins!$D:$D,MATCH('001_population_health_zone_zs'!$B476,[1]ratio_ins!$B:$B,0))</f>
        <v>492.2235</v>
      </c>
      <c r="AV476" s="10">
        <f>INDEX([1]ratio_ins!AS:AS,MATCH('001_population_health_zone_zs'!$B$2,[1]ratio_ins!$B:$B,0))*$G476*INDEX([1]ratio_ins!$D:$D,MATCH('001_population_health_zone_zs'!$B476,[1]ratio_ins!$B:$B,0))</f>
        <v>246.11175</v>
      </c>
      <c r="AW476" s="10">
        <f>INDEX([1]ratio_ins!AT:AT,MATCH('001_population_health_zone_zs'!$B$2,[1]ratio_ins!$B:$B,0))*$G476*INDEX([1]ratio_ins!$D:$D,MATCH('001_population_health_zone_zs'!$B476,[1]ratio_ins!$B:$B,0))</f>
        <v>164.07450000000003</v>
      </c>
      <c r="AX476" s="13">
        <f>INDEX([1]ratio_ins!AU:AU,MATCH('001_population_health_zone_zs'!$B$2,[1]ratio_ins!$B:$B,0))*$G476*INDEX([1]ratio_ins!$D:$D,MATCH('001_population_health_zone_zs'!$B476,[1]ratio_ins!$B:$B,0))</f>
        <v>1722.78225</v>
      </c>
      <c r="AY476" s="14">
        <f t="shared" si="43"/>
        <v>82037.250000000015</v>
      </c>
      <c r="AZ476" s="15">
        <f t="shared" si="44"/>
        <v>162450</v>
      </c>
      <c r="BA476" s="16">
        <v>155594.53212301646</v>
      </c>
      <c r="BB476" s="10">
        <f t="shared" si="45"/>
        <v>34865.831250000003</v>
      </c>
      <c r="BC476" s="17">
        <f t="shared" si="46"/>
        <v>0.21462500000000001</v>
      </c>
      <c r="BD476" s="10">
        <f t="shared" si="47"/>
        <v>33532.116750000001</v>
      </c>
    </row>
    <row r="477" spans="1:56" x14ac:dyDescent="0.25">
      <c r="A477" s="8" t="s">
        <v>1178</v>
      </c>
      <c r="B477" s="8" t="s">
        <v>1179</v>
      </c>
      <c r="C477" s="8" t="s">
        <v>1180</v>
      </c>
      <c r="D477" s="8" t="s">
        <v>1181</v>
      </c>
      <c r="E477" s="8" t="s">
        <v>1182</v>
      </c>
      <c r="F477" s="8" t="s">
        <v>1183</v>
      </c>
      <c r="G477" s="9">
        <v>47144</v>
      </c>
      <c r="H477" s="10">
        <f>INDEX([1]ratio_ins!F:F,MATCH('001_population_health_zone_zs'!$B$2,[1]ratio_ins!$B:$B,0))*$G477*INDEX([1]ratio_ins!$C:$C,MATCH('001_population_health_zone_zs'!$B477,[1]ratio_ins!$B:$B,0))</f>
        <v>4847.7232320000003</v>
      </c>
      <c r="I477" s="10">
        <f>INDEX([1]ratio_ins!G:G,MATCH('001_population_health_zone_zs'!$B$2,[1]ratio_ins!$B:$B,0))*$G477*INDEX([1]ratio_ins!$C:$C,MATCH('001_population_health_zone_zs'!$B477,[1]ratio_ins!$B:$B,0))</f>
        <v>3966.3190080000008</v>
      </c>
      <c r="J477" s="10">
        <f>INDEX([1]ratio_ins!H:H,MATCH('001_population_health_zone_zs'!$B$2,[1]ratio_ins!$B:$B,0))*$G477*INDEX([1]ratio_ins!$C:$C,MATCH('001_population_health_zone_zs'!$B477,[1]ratio_ins!$B:$B,0))</f>
        <v>3131.3044800000007</v>
      </c>
      <c r="K477" s="10">
        <f>INDEX([1]ratio_ins!I:I,MATCH('001_population_health_zone_zs'!$B$2,[1]ratio_ins!$B:$B,0))*$G477*INDEX([1]ratio_ins!$C:$C,MATCH('001_population_health_zone_zs'!$B477,[1]ratio_ins!$B:$B,0))</f>
        <v>1925.1723840000002</v>
      </c>
      <c r="L477" s="10">
        <f>INDEX([1]ratio_ins!J:J,MATCH('001_population_health_zone_zs'!$B$2,[1]ratio_ins!$B:$B,0))*$G477*INDEX([1]ratio_ins!$C:$C,MATCH('001_population_health_zone_zs'!$B477,[1]ratio_ins!$B:$B,0))</f>
        <v>1155.1034304</v>
      </c>
      <c r="M477" s="11">
        <f>INDEX([1]ratio_ins!K:K,MATCH('001_population_health_zone_zs'!$B$2,[1]ratio_ins!$B:$B,0))*$G477*INDEX([1]ratio_ins!$C:$C,MATCH('001_population_health_zone_zs'!$B477,[1]ratio_ins!$B:$B,0))</f>
        <v>13100.4501504</v>
      </c>
      <c r="N477" s="10">
        <f>INDEX([1]ratio_ins!L:L,MATCH('001_population_health_zone_zs'!$B$2,[1]ratio_ins!$B:$B,0))*$G477*INDEX([1]ratio_ins!$C:$C,MATCH('001_population_health_zone_zs'!$B477,[1]ratio_ins!$B:$B,0))</f>
        <v>770.0689536000001</v>
      </c>
      <c r="O477" s="10">
        <f>INDEX([1]ratio_ins!M:M,MATCH('001_population_health_zone_zs'!$B$2,[1]ratio_ins!$B:$B,0))*$G477*INDEX([1]ratio_ins!$C:$C,MATCH('001_population_health_zone_zs'!$B477,[1]ratio_ins!$B:$B,0))</f>
        <v>1670.0290560000003</v>
      </c>
      <c r="P477" s="10">
        <f>INDEX([1]ratio_ins!N:N,MATCH('001_population_health_zone_zs'!$B$2,[1]ratio_ins!$B:$B,0))*$G477*INDEX([1]ratio_ins!$C:$C,MATCH('001_population_health_zone_zs'!$B477,[1]ratio_ins!$B:$B,0))</f>
        <v>1507.6651200000001</v>
      </c>
      <c r="Q477" s="10">
        <f>INDEX([1]ratio_ins!O:O,MATCH('001_population_health_zone_zs'!$B$2,[1]ratio_ins!$B:$B,0))*$G477*INDEX([1]ratio_ins!$C:$C,MATCH('001_population_health_zone_zs'!$B477,[1]ratio_ins!$B:$B,0))</f>
        <v>1345.3011840000001</v>
      </c>
      <c r="R477" s="10">
        <f>INDEX([1]ratio_ins!P:P,MATCH('001_population_health_zone_zs'!$B$2,[1]ratio_ins!$B:$B,0))*$G477*INDEX([1]ratio_ins!$C:$C,MATCH('001_population_health_zone_zs'!$B477,[1]ratio_ins!$B:$B,0))</f>
        <v>1322.1063360000003</v>
      </c>
      <c r="S477" s="10">
        <f>INDEX([1]ratio_ins!Q:Q,MATCH('001_population_health_zone_zs'!$B$2,[1]ratio_ins!$B:$B,0))*$G477*INDEX([1]ratio_ins!$C:$C,MATCH('001_population_health_zone_zs'!$B477,[1]ratio_ins!$B:$B,0))</f>
        <v>1113.3527040000001</v>
      </c>
      <c r="T477" s="10">
        <f>INDEX([1]ratio_ins!R:R,MATCH('001_population_health_zone_zs'!$B$2,[1]ratio_ins!$B:$B,0))*$G477*INDEX([1]ratio_ins!$C:$C,MATCH('001_population_health_zone_zs'!$B477,[1]ratio_ins!$B:$B,0))</f>
        <v>788.6248320000002</v>
      </c>
      <c r="U477" s="10">
        <f>INDEX([1]ratio_ins!S:S,MATCH('001_population_health_zone_zs'!$B$2,[1]ratio_ins!$B:$B,0))*$G477*INDEX([1]ratio_ins!$C:$C,MATCH('001_population_health_zone_zs'!$B477,[1]ratio_ins!$B:$B,0))</f>
        <v>626.26089600000012</v>
      </c>
      <c r="V477" s="10">
        <f>INDEX([1]ratio_ins!T:T,MATCH('001_population_health_zone_zs'!$B$2,[1]ratio_ins!$B:$B,0))*$G477*INDEX([1]ratio_ins!$C:$C,MATCH('001_population_health_zone_zs'!$B477,[1]ratio_ins!$B:$B,0))</f>
        <v>347.92272000000003</v>
      </c>
      <c r="W477" s="11">
        <f>INDEX([1]ratio_ins!U:U,MATCH('001_population_health_zone_zs'!$B$2,[1]ratio_ins!$B:$B,0))*$G477*INDEX([1]ratio_ins!$C:$C,MATCH('001_population_health_zone_zs'!$B477,[1]ratio_ins!$B:$B,0))</f>
        <v>9491.3318016000012</v>
      </c>
      <c r="X477" s="10">
        <f>INDEX([1]ratio_ins!V:V,MATCH('001_population_health_zone_zs'!$B$2,[1]ratio_ins!$B:$B,0))*$G477*INDEX([1]ratio_ins!$C:$C,MATCH('001_population_health_zone_zs'!$B477,[1]ratio_ins!$B:$B,0))</f>
        <v>278.33817600000003</v>
      </c>
      <c r="Y477" s="10">
        <f>INDEX([1]ratio_ins!W:W,MATCH('001_population_health_zone_zs'!$B$2,[1]ratio_ins!$B:$B,0))*$G477*INDEX([1]ratio_ins!$C:$C,MATCH('001_population_health_zone_zs'!$B477,[1]ratio_ins!$B:$B,0))</f>
        <v>185.558784</v>
      </c>
      <c r="Z477" s="10">
        <f>INDEX([1]ratio_ins!X:X,MATCH('001_population_health_zone_zs'!$B$2,[1]ratio_ins!$B:$B,0))*$G477*INDEX([1]ratio_ins!$C:$C,MATCH('001_population_health_zone_zs'!$B477,[1]ratio_ins!$B:$B,0))</f>
        <v>92.779392000000001</v>
      </c>
      <c r="AA477" s="10">
        <f>INDEX([1]ratio_ins!Y:Y,MATCH('001_population_health_zone_zs'!$B$2,[1]ratio_ins!$B:$B,0))*$G477*INDEX([1]ratio_ins!$C:$C,MATCH('001_population_health_zone_zs'!$B477,[1]ratio_ins!$B:$B,0))</f>
        <v>46.389696000000001</v>
      </c>
      <c r="AB477" s="11">
        <f>INDEX([1]ratio_ins!Z:Z,MATCH('001_population_health_zone_zs'!$B$2,[1]ratio_ins!$B:$B,0))*$G477*INDEX([1]ratio_ins!$C:$C,MATCH('001_population_health_zone_zs'!$B477,[1]ratio_ins!$B:$B,0))</f>
        <v>603.06604800000014</v>
      </c>
      <c r="AC477" s="12">
        <f t="shared" si="42"/>
        <v>23194.848000000002</v>
      </c>
      <c r="AD477" s="10">
        <f>INDEX([1]ratio_ins!AA:AA,MATCH('001_population_health_zone_zs'!$B$2,[1]ratio_ins!$B:$B,0))*$G477*INDEX([1]ratio_ins!$D:$D,MATCH('001_population_health_zone_zs'!$B477,[1]ratio_ins!$B:$B,0))</f>
        <v>5029.3219200000003</v>
      </c>
      <c r="AE477" s="10">
        <f>INDEX([1]ratio_ins!AB:AB,MATCH('001_population_health_zone_zs'!$B$2,[1]ratio_ins!$B:$B,0))*$G477*INDEX([1]ratio_ins!$D:$D,MATCH('001_population_health_zone_zs'!$B477,[1]ratio_ins!$B:$B,0))</f>
        <v>4143.2032960000006</v>
      </c>
      <c r="AF477" s="10">
        <f>INDEX([1]ratio_ins!AC:AC,MATCH('001_population_health_zone_zs'!$B$2,[1]ratio_ins!$B:$B,0))*$G477*INDEX([1]ratio_ins!$D:$D,MATCH('001_population_health_zone_zs'!$B477,[1]ratio_ins!$B:$B,0))</f>
        <v>3281.0338239999996</v>
      </c>
      <c r="AG477" s="10">
        <f>INDEX([1]ratio_ins!AD:AD,MATCH('001_population_health_zone_zs'!$B$2,[1]ratio_ins!$B:$B,0))*$G477*INDEX([1]ratio_ins!$D:$D,MATCH('001_population_health_zone_zs'!$B477,[1]ratio_ins!$B:$B,0))</f>
        <v>1987.779616</v>
      </c>
      <c r="AH477" s="10">
        <f>INDEX([1]ratio_ins!AE:AE,MATCH('001_population_health_zone_zs'!$B$2,[1]ratio_ins!$B:$B,0))*$G477*INDEX([1]ratio_ins!$D:$D,MATCH('001_population_health_zone_zs'!$B477,[1]ratio_ins!$B:$B,0))</f>
        <v>1192.6677695999999</v>
      </c>
      <c r="AI477" s="13">
        <f>INDEX([1]ratio_ins!AF:AF,MATCH('001_population_health_zone_zs'!$B$2,[1]ratio_ins!$B:$B,0))*$G477*INDEX([1]ratio_ins!$D:$D,MATCH('001_population_health_zone_zs'!$B477,[1]ratio_ins!$B:$B,0))</f>
        <v>13646.226809600001</v>
      </c>
      <c r="AJ477" s="10">
        <f>INDEX([1]ratio_ins!AG:AG,MATCH('001_population_health_zone_zs'!$B$2,[1]ratio_ins!$B:$B,0))*$G477*INDEX([1]ratio_ins!$D:$D,MATCH('001_population_health_zone_zs'!$B477,[1]ratio_ins!$B:$B,0))</f>
        <v>795.1118464000001</v>
      </c>
      <c r="AK477" s="10">
        <f>INDEX([1]ratio_ins!AH:AH,MATCH('001_population_health_zone_zs'!$B$2,[1]ratio_ins!$B:$B,0))*$G477*INDEX([1]ratio_ins!$D:$D,MATCH('001_population_health_zone_zs'!$B477,[1]ratio_ins!$B:$B,0))</f>
        <v>1772.2372480000001</v>
      </c>
      <c r="AL477" s="10">
        <f>INDEX([1]ratio_ins!AI:AI,MATCH('001_population_health_zone_zs'!$B$2,[1]ratio_ins!$B:$B,0))*$G477*INDEX([1]ratio_ins!$D:$D,MATCH('001_population_health_zone_zs'!$B477,[1]ratio_ins!$B:$B,0))</f>
        <v>1676.4406400000003</v>
      </c>
      <c r="AM477" s="10">
        <f>INDEX([1]ratio_ins!AJ:AJ,MATCH('001_population_health_zone_zs'!$B$2,[1]ratio_ins!$B:$B,0))*$G477*INDEX([1]ratio_ins!$D:$D,MATCH('001_population_health_zone_zs'!$B477,[1]ratio_ins!$B:$B,0))</f>
        <v>1532.7457279999999</v>
      </c>
      <c r="AN477" s="10">
        <f>INDEX([1]ratio_ins!AK:AK,MATCH('001_population_health_zone_zs'!$B$2,[1]ratio_ins!$B:$B,0))*$G477*INDEX([1]ratio_ins!$D:$D,MATCH('001_population_health_zone_zs'!$B477,[1]ratio_ins!$B:$B,0))</f>
        <v>1436.94912</v>
      </c>
      <c r="AO477" s="10">
        <f>INDEX([1]ratio_ins!AL:AL,MATCH('001_population_health_zone_zs'!$B$2,[1]ratio_ins!$B:$B,0))*$G477*INDEX([1]ratio_ins!$D:$D,MATCH('001_population_health_zone_zs'!$B477,[1]ratio_ins!$B:$B,0))</f>
        <v>1077.7118399999999</v>
      </c>
      <c r="AP477" s="10">
        <f>INDEX([1]ratio_ins!AM:AM,MATCH('001_population_health_zone_zs'!$B$2,[1]ratio_ins!$B:$B,0))*$G477*INDEX([1]ratio_ins!$D:$D,MATCH('001_population_health_zone_zs'!$B477,[1]ratio_ins!$B:$B,0))</f>
        <v>694.52540799999997</v>
      </c>
      <c r="AQ477" s="10">
        <f>INDEX([1]ratio_ins!AN:AN,MATCH('001_population_health_zone_zs'!$B$2,[1]ratio_ins!$B:$B,0))*$G477*INDEX([1]ratio_ins!$D:$D,MATCH('001_population_health_zone_zs'!$B477,[1]ratio_ins!$B:$B,0))</f>
        <v>550.83049599999993</v>
      </c>
      <c r="AR477" s="10">
        <f>INDEX([1]ratio_ins!AO:AO,MATCH('001_population_health_zone_zs'!$B$2,[1]ratio_ins!$B:$B,0))*$G477*INDEX([1]ratio_ins!$D:$D,MATCH('001_population_health_zone_zs'!$B477,[1]ratio_ins!$B:$B,0))</f>
        <v>263.44067200000001</v>
      </c>
      <c r="AS477" s="13">
        <f>INDEX([1]ratio_ins!AP:AP,MATCH('001_population_health_zone_zs'!$B$2,[1]ratio_ins!$B:$B,0))*$G477*INDEX([1]ratio_ins!$D:$D,MATCH('001_population_health_zone_zs'!$B477,[1]ratio_ins!$B:$B,0))</f>
        <v>9799.9929984000009</v>
      </c>
      <c r="AT477" s="10">
        <f>INDEX([1]ratio_ins!AQ:AQ,MATCH('001_population_health_zone_zs'!$B$2,[1]ratio_ins!$B:$B,0))*$G477*INDEX([1]ratio_ins!$D:$D,MATCH('001_population_health_zone_zs'!$B477,[1]ratio_ins!$B:$B,0))</f>
        <v>239.49152000000001</v>
      </c>
      <c r="AU477" s="10">
        <f>INDEX([1]ratio_ins!AR:AR,MATCH('001_population_health_zone_zs'!$B$2,[1]ratio_ins!$B:$B,0))*$G477*INDEX([1]ratio_ins!$D:$D,MATCH('001_population_health_zone_zs'!$B477,[1]ratio_ins!$B:$B,0))</f>
        <v>143.69491200000002</v>
      </c>
      <c r="AV477" s="10">
        <f>INDEX([1]ratio_ins!AS:AS,MATCH('001_population_health_zone_zs'!$B$2,[1]ratio_ins!$B:$B,0))*$G477*INDEX([1]ratio_ins!$D:$D,MATCH('001_population_health_zone_zs'!$B477,[1]ratio_ins!$B:$B,0))</f>
        <v>71.847456000000008</v>
      </c>
      <c r="AW477" s="10">
        <f>INDEX([1]ratio_ins!AT:AT,MATCH('001_population_health_zone_zs'!$B$2,[1]ratio_ins!$B:$B,0))*$G477*INDEX([1]ratio_ins!$D:$D,MATCH('001_population_health_zone_zs'!$B477,[1]ratio_ins!$B:$B,0))</f>
        <v>47.898303999999996</v>
      </c>
      <c r="AX477" s="13">
        <f>INDEX([1]ratio_ins!AU:AU,MATCH('001_population_health_zone_zs'!$B$2,[1]ratio_ins!$B:$B,0))*$G477*INDEX([1]ratio_ins!$D:$D,MATCH('001_population_health_zone_zs'!$B477,[1]ratio_ins!$B:$B,0))</f>
        <v>502.93219199999993</v>
      </c>
      <c r="AY477" s="14">
        <f t="shared" si="43"/>
        <v>23949.152000000002</v>
      </c>
      <c r="AZ477" s="15">
        <f t="shared" si="44"/>
        <v>47144</v>
      </c>
      <c r="BA477" s="16">
        <v>45393.265778821064</v>
      </c>
      <c r="BB477" s="10">
        <f t="shared" si="45"/>
        <v>10178.389599999999</v>
      </c>
      <c r="BC477" s="17">
        <f t="shared" si="46"/>
        <v>0.21589999999999998</v>
      </c>
      <c r="BD477" s="10">
        <f t="shared" si="47"/>
        <v>9672.2516160000014</v>
      </c>
    </row>
    <row r="478" spans="1:56" x14ac:dyDescent="0.25">
      <c r="A478" s="8" t="s">
        <v>1178</v>
      </c>
      <c r="B478" s="8" t="s">
        <v>1179</v>
      </c>
      <c r="C478" s="8" t="s">
        <v>1180</v>
      </c>
      <c r="D478" s="8" t="s">
        <v>1181</v>
      </c>
      <c r="E478" s="8" t="s">
        <v>1180</v>
      </c>
      <c r="F478" s="8" t="s">
        <v>1184</v>
      </c>
      <c r="G478" s="9">
        <v>285788</v>
      </c>
      <c r="H478" s="10">
        <f>INDEX([1]ratio_ins!F:F,MATCH('001_population_health_zone_zs'!$B$2,[1]ratio_ins!$B:$B,0))*$G478*INDEX([1]ratio_ins!$C:$C,MATCH('001_population_health_zone_zs'!$B478,[1]ratio_ins!$B:$B,0))</f>
        <v>29387.008464000002</v>
      </c>
      <c r="I478" s="10">
        <f>INDEX([1]ratio_ins!G:G,MATCH('001_population_health_zone_zs'!$B$2,[1]ratio_ins!$B:$B,0))*$G478*INDEX([1]ratio_ins!$C:$C,MATCH('001_population_health_zone_zs'!$B478,[1]ratio_ins!$B:$B,0))</f>
        <v>24043.916016000006</v>
      </c>
      <c r="J478" s="10">
        <f>INDEX([1]ratio_ins!H:H,MATCH('001_population_health_zone_zs'!$B$2,[1]ratio_ins!$B:$B,0))*$G478*INDEX([1]ratio_ins!$C:$C,MATCH('001_population_health_zone_zs'!$B478,[1]ratio_ins!$B:$B,0))</f>
        <v>18982.038960000005</v>
      </c>
      <c r="K478" s="10">
        <f>INDEX([1]ratio_ins!I:I,MATCH('001_population_health_zone_zs'!$B$2,[1]ratio_ins!$B:$B,0))*$G478*INDEX([1]ratio_ins!$C:$C,MATCH('001_population_health_zone_zs'!$B478,[1]ratio_ins!$B:$B,0))</f>
        <v>11670.438768000002</v>
      </c>
      <c r="L478" s="10">
        <f>INDEX([1]ratio_ins!J:J,MATCH('001_population_health_zone_zs'!$B$2,[1]ratio_ins!$B:$B,0))*$G478*INDEX([1]ratio_ins!$C:$C,MATCH('001_population_health_zone_zs'!$B478,[1]ratio_ins!$B:$B,0))</f>
        <v>7002.2632608000004</v>
      </c>
      <c r="M478" s="11">
        <f>INDEX([1]ratio_ins!K:K,MATCH('001_population_health_zone_zs'!$B$2,[1]ratio_ins!$B:$B,0))*$G478*INDEX([1]ratio_ins!$C:$C,MATCH('001_population_health_zone_zs'!$B478,[1]ratio_ins!$B:$B,0))</f>
        <v>79415.226700800005</v>
      </c>
      <c r="N478" s="10">
        <f>INDEX([1]ratio_ins!L:L,MATCH('001_population_health_zone_zs'!$B$2,[1]ratio_ins!$B:$B,0))*$G478*INDEX([1]ratio_ins!$C:$C,MATCH('001_population_health_zone_zs'!$B478,[1]ratio_ins!$B:$B,0))</f>
        <v>4668.1755072000005</v>
      </c>
      <c r="O478" s="10">
        <f>INDEX([1]ratio_ins!M:M,MATCH('001_population_health_zone_zs'!$B$2,[1]ratio_ins!$B:$B,0))*$G478*INDEX([1]ratio_ins!$C:$C,MATCH('001_population_health_zone_zs'!$B478,[1]ratio_ins!$B:$B,0))</f>
        <v>10123.754112000001</v>
      </c>
      <c r="P478" s="10">
        <f>INDEX([1]ratio_ins!N:N,MATCH('001_population_health_zone_zs'!$B$2,[1]ratio_ins!$B:$B,0))*$G478*INDEX([1]ratio_ins!$C:$C,MATCH('001_population_health_zone_zs'!$B478,[1]ratio_ins!$B:$B,0))</f>
        <v>9139.5002400000012</v>
      </c>
      <c r="Q478" s="10">
        <f>INDEX([1]ratio_ins!O:O,MATCH('001_population_health_zone_zs'!$B$2,[1]ratio_ins!$B:$B,0))*$G478*INDEX([1]ratio_ins!$C:$C,MATCH('001_population_health_zone_zs'!$B478,[1]ratio_ins!$B:$B,0))</f>
        <v>8155.2463680000001</v>
      </c>
      <c r="R478" s="10">
        <f>INDEX([1]ratio_ins!P:P,MATCH('001_population_health_zone_zs'!$B$2,[1]ratio_ins!$B:$B,0))*$G478*INDEX([1]ratio_ins!$C:$C,MATCH('001_population_health_zone_zs'!$B478,[1]ratio_ins!$B:$B,0))</f>
        <v>8014.638672000001</v>
      </c>
      <c r="S478" s="10">
        <f>INDEX([1]ratio_ins!Q:Q,MATCH('001_population_health_zone_zs'!$B$2,[1]ratio_ins!$B:$B,0))*$G478*INDEX([1]ratio_ins!$C:$C,MATCH('001_population_health_zone_zs'!$B478,[1]ratio_ins!$B:$B,0))</f>
        <v>6749.1694080000007</v>
      </c>
      <c r="T478" s="10">
        <f>INDEX([1]ratio_ins!R:R,MATCH('001_population_health_zone_zs'!$B$2,[1]ratio_ins!$B:$B,0))*$G478*INDEX([1]ratio_ins!$C:$C,MATCH('001_population_health_zone_zs'!$B478,[1]ratio_ins!$B:$B,0))</f>
        <v>4780.6616640000011</v>
      </c>
      <c r="U478" s="10">
        <f>INDEX([1]ratio_ins!S:S,MATCH('001_population_health_zone_zs'!$B$2,[1]ratio_ins!$B:$B,0))*$G478*INDEX([1]ratio_ins!$C:$C,MATCH('001_population_health_zone_zs'!$B478,[1]ratio_ins!$B:$B,0))</f>
        <v>3796.4077920000009</v>
      </c>
      <c r="V478" s="10">
        <f>INDEX([1]ratio_ins!T:T,MATCH('001_population_health_zone_zs'!$B$2,[1]ratio_ins!$B:$B,0))*$G478*INDEX([1]ratio_ins!$C:$C,MATCH('001_population_health_zone_zs'!$B478,[1]ratio_ins!$B:$B,0))</f>
        <v>2109.11544</v>
      </c>
      <c r="W478" s="11">
        <f>INDEX([1]ratio_ins!U:U,MATCH('001_population_health_zone_zs'!$B$2,[1]ratio_ins!$B:$B,0))*$G478*INDEX([1]ratio_ins!$C:$C,MATCH('001_population_health_zone_zs'!$B478,[1]ratio_ins!$B:$B,0))</f>
        <v>57536.669203200006</v>
      </c>
      <c r="X478" s="10">
        <f>INDEX([1]ratio_ins!V:V,MATCH('001_population_health_zone_zs'!$B$2,[1]ratio_ins!$B:$B,0))*$G478*INDEX([1]ratio_ins!$C:$C,MATCH('001_population_health_zone_zs'!$B478,[1]ratio_ins!$B:$B,0))</f>
        <v>1687.2923520000002</v>
      </c>
      <c r="Y478" s="10">
        <f>INDEX([1]ratio_ins!W:W,MATCH('001_population_health_zone_zs'!$B$2,[1]ratio_ins!$B:$B,0))*$G478*INDEX([1]ratio_ins!$C:$C,MATCH('001_population_health_zone_zs'!$B478,[1]ratio_ins!$B:$B,0))</f>
        <v>1124.8615680000003</v>
      </c>
      <c r="Z478" s="10">
        <f>INDEX([1]ratio_ins!X:X,MATCH('001_population_health_zone_zs'!$B$2,[1]ratio_ins!$B:$B,0))*$G478*INDEX([1]ratio_ins!$C:$C,MATCH('001_population_health_zone_zs'!$B478,[1]ratio_ins!$B:$B,0))</f>
        <v>562.43078400000013</v>
      </c>
      <c r="AA478" s="10">
        <f>INDEX([1]ratio_ins!Y:Y,MATCH('001_population_health_zone_zs'!$B$2,[1]ratio_ins!$B:$B,0))*$G478*INDEX([1]ratio_ins!$C:$C,MATCH('001_population_health_zone_zs'!$B478,[1]ratio_ins!$B:$B,0))</f>
        <v>281.21539200000007</v>
      </c>
      <c r="AB478" s="11">
        <f>INDEX([1]ratio_ins!Z:Z,MATCH('001_population_health_zone_zs'!$B$2,[1]ratio_ins!$B:$B,0))*$G478*INDEX([1]ratio_ins!$C:$C,MATCH('001_population_health_zone_zs'!$B478,[1]ratio_ins!$B:$B,0))</f>
        <v>3655.8000960000004</v>
      </c>
      <c r="AC478" s="12">
        <f t="shared" si="42"/>
        <v>140607.696</v>
      </c>
      <c r="AD478" s="10">
        <f>INDEX([1]ratio_ins!AA:AA,MATCH('001_population_health_zone_zs'!$B$2,[1]ratio_ins!$B:$B,0))*$G478*INDEX([1]ratio_ins!$D:$D,MATCH('001_population_health_zone_zs'!$B478,[1]ratio_ins!$B:$B,0))</f>
        <v>30487.863839999998</v>
      </c>
      <c r="AE478" s="10">
        <f>INDEX([1]ratio_ins!AB:AB,MATCH('001_population_health_zone_zs'!$B$2,[1]ratio_ins!$B:$B,0))*$G478*INDEX([1]ratio_ins!$D:$D,MATCH('001_population_health_zone_zs'!$B478,[1]ratio_ins!$B:$B,0))</f>
        <v>25116.192592000003</v>
      </c>
      <c r="AF478" s="10">
        <f>INDEX([1]ratio_ins!AC:AC,MATCH('001_population_health_zone_zs'!$B$2,[1]ratio_ins!$B:$B,0))*$G478*INDEX([1]ratio_ins!$D:$D,MATCH('001_population_health_zone_zs'!$B478,[1]ratio_ins!$B:$B,0))</f>
        <v>19889.701647999998</v>
      </c>
      <c r="AG478" s="10">
        <f>INDEX([1]ratio_ins!AD:AD,MATCH('001_population_health_zone_zs'!$B$2,[1]ratio_ins!$B:$B,0))*$G478*INDEX([1]ratio_ins!$D:$D,MATCH('001_population_health_zone_zs'!$B478,[1]ratio_ins!$B:$B,0))</f>
        <v>12049.965232</v>
      </c>
      <c r="AH478" s="10">
        <f>INDEX([1]ratio_ins!AE:AE,MATCH('001_population_health_zone_zs'!$B$2,[1]ratio_ins!$B:$B,0))*$G478*INDEX([1]ratio_ins!$D:$D,MATCH('001_population_health_zone_zs'!$B478,[1]ratio_ins!$B:$B,0))</f>
        <v>7229.9791391999997</v>
      </c>
      <c r="AI478" s="13">
        <f>INDEX([1]ratio_ins!AF:AF,MATCH('001_population_health_zone_zs'!$B$2,[1]ratio_ins!$B:$B,0))*$G478*INDEX([1]ratio_ins!$D:$D,MATCH('001_population_health_zone_zs'!$B478,[1]ratio_ins!$B:$B,0))</f>
        <v>82723.737219200004</v>
      </c>
      <c r="AJ478" s="10">
        <f>INDEX([1]ratio_ins!AG:AG,MATCH('001_population_health_zone_zs'!$B$2,[1]ratio_ins!$B:$B,0))*$G478*INDEX([1]ratio_ins!$D:$D,MATCH('001_population_health_zone_zs'!$B478,[1]ratio_ins!$B:$B,0))</f>
        <v>4819.9860927999998</v>
      </c>
      <c r="AK478" s="10">
        <f>INDEX([1]ratio_ins!AH:AH,MATCH('001_population_health_zone_zs'!$B$2,[1]ratio_ins!$B:$B,0))*$G478*INDEX([1]ratio_ins!$D:$D,MATCH('001_population_health_zone_zs'!$B478,[1]ratio_ins!$B:$B,0))</f>
        <v>10743.342496000001</v>
      </c>
      <c r="AL478" s="10">
        <f>INDEX([1]ratio_ins!AI:AI,MATCH('001_population_health_zone_zs'!$B$2,[1]ratio_ins!$B:$B,0))*$G478*INDEX([1]ratio_ins!$D:$D,MATCH('001_population_health_zone_zs'!$B478,[1]ratio_ins!$B:$B,0))</f>
        <v>10162.621280000001</v>
      </c>
      <c r="AM478" s="10">
        <f>INDEX([1]ratio_ins!AJ:AJ,MATCH('001_population_health_zone_zs'!$B$2,[1]ratio_ins!$B:$B,0))*$G478*INDEX([1]ratio_ins!$D:$D,MATCH('001_population_health_zone_zs'!$B478,[1]ratio_ins!$B:$B,0))</f>
        <v>9291.5394560000004</v>
      </c>
      <c r="AN478" s="10">
        <f>INDEX([1]ratio_ins!AK:AK,MATCH('001_population_health_zone_zs'!$B$2,[1]ratio_ins!$B:$B,0))*$G478*INDEX([1]ratio_ins!$D:$D,MATCH('001_population_health_zone_zs'!$B478,[1]ratio_ins!$B:$B,0))</f>
        <v>8710.8182399999987</v>
      </c>
      <c r="AO478" s="10">
        <f>INDEX([1]ratio_ins!AL:AL,MATCH('001_population_health_zone_zs'!$B$2,[1]ratio_ins!$B:$B,0))*$G478*INDEX([1]ratio_ins!$D:$D,MATCH('001_population_health_zone_zs'!$B478,[1]ratio_ins!$B:$B,0))</f>
        <v>6533.1136799999995</v>
      </c>
      <c r="AP478" s="10">
        <f>INDEX([1]ratio_ins!AM:AM,MATCH('001_population_health_zone_zs'!$B$2,[1]ratio_ins!$B:$B,0))*$G478*INDEX([1]ratio_ins!$D:$D,MATCH('001_population_health_zone_zs'!$B478,[1]ratio_ins!$B:$B,0))</f>
        <v>4210.2288159999998</v>
      </c>
      <c r="AQ478" s="10">
        <f>INDEX([1]ratio_ins!AN:AN,MATCH('001_population_health_zone_zs'!$B$2,[1]ratio_ins!$B:$B,0))*$G478*INDEX([1]ratio_ins!$D:$D,MATCH('001_population_health_zone_zs'!$B478,[1]ratio_ins!$B:$B,0))</f>
        <v>3339.146992</v>
      </c>
      <c r="AR478" s="10">
        <f>INDEX([1]ratio_ins!AO:AO,MATCH('001_population_health_zone_zs'!$B$2,[1]ratio_ins!$B:$B,0))*$G478*INDEX([1]ratio_ins!$D:$D,MATCH('001_population_health_zone_zs'!$B478,[1]ratio_ins!$B:$B,0))</f>
        <v>1596.983344</v>
      </c>
      <c r="AS478" s="13">
        <f>INDEX([1]ratio_ins!AP:AP,MATCH('001_population_health_zone_zs'!$B$2,[1]ratio_ins!$B:$B,0))*$G478*INDEX([1]ratio_ins!$D:$D,MATCH('001_population_health_zone_zs'!$B478,[1]ratio_ins!$B:$B,0))</f>
        <v>59407.780396800008</v>
      </c>
      <c r="AT478" s="10">
        <f>INDEX([1]ratio_ins!AQ:AQ,MATCH('001_population_health_zone_zs'!$B$2,[1]ratio_ins!$B:$B,0))*$G478*INDEX([1]ratio_ins!$D:$D,MATCH('001_population_health_zone_zs'!$B478,[1]ratio_ins!$B:$B,0))</f>
        <v>1451.80304</v>
      </c>
      <c r="AU478" s="10">
        <f>INDEX([1]ratio_ins!AR:AR,MATCH('001_population_health_zone_zs'!$B$2,[1]ratio_ins!$B:$B,0))*$G478*INDEX([1]ratio_ins!$D:$D,MATCH('001_population_health_zone_zs'!$B478,[1]ratio_ins!$B:$B,0))</f>
        <v>871.0818240000001</v>
      </c>
      <c r="AV478" s="10">
        <f>INDEX([1]ratio_ins!AS:AS,MATCH('001_population_health_zone_zs'!$B$2,[1]ratio_ins!$B:$B,0))*$G478*INDEX([1]ratio_ins!$D:$D,MATCH('001_population_health_zone_zs'!$B478,[1]ratio_ins!$B:$B,0))</f>
        <v>435.54091200000005</v>
      </c>
      <c r="AW478" s="10">
        <f>INDEX([1]ratio_ins!AT:AT,MATCH('001_population_health_zone_zs'!$B$2,[1]ratio_ins!$B:$B,0))*$G478*INDEX([1]ratio_ins!$D:$D,MATCH('001_population_health_zone_zs'!$B478,[1]ratio_ins!$B:$B,0))</f>
        <v>290.36060800000001</v>
      </c>
      <c r="AX478" s="13">
        <f>INDEX([1]ratio_ins!AU:AU,MATCH('001_population_health_zone_zs'!$B$2,[1]ratio_ins!$B:$B,0))*$G478*INDEX([1]ratio_ins!$D:$D,MATCH('001_population_health_zone_zs'!$B478,[1]ratio_ins!$B:$B,0))</f>
        <v>3048.786384</v>
      </c>
      <c r="AY478" s="14">
        <f t="shared" si="43"/>
        <v>145180.30400000003</v>
      </c>
      <c r="AZ478" s="15">
        <f t="shared" si="44"/>
        <v>285788</v>
      </c>
      <c r="BA478" s="16">
        <v>275175.23139716819</v>
      </c>
      <c r="BB478" s="10">
        <f t="shared" si="45"/>
        <v>61701.629200000003</v>
      </c>
      <c r="BC478" s="17">
        <f t="shared" si="46"/>
        <v>0.21590000000000001</v>
      </c>
      <c r="BD478" s="10">
        <f t="shared" si="47"/>
        <v>58633.409232000005</v>
      </c>
    </row>
    <row r="479" spans="1:56" x14ac:dyDescent="0.25">
      <c r="A479" s="8" t="s">
        <v>1178</v>
      </c>
      <c r="B479" s="8" t="s">
        <v>1179</v>
      </c>
      <c r="C479" s="8" t="s">
        <v>1180</v>
      </c>
      <c r="D479" s="8" t="s">
        <v>1181</v>
      </c>
      <c r="E479" s="8" t="s">
        <v>1185</v>
      </c>
      <c r="F479" s="8" t="s">
        <v>1186</v>
      </c>
      <c r="G479" s="9">
        <v>148165</v>
      </c>
      <c r="H479" s="10">
        <f>INDEX([1]ratio_ins!F:F,MATCH('001_population_health_zone_zs'!$B$2,[1]ratio_ins!$B:$B,0))*$G479*INDEX([1]ratio_ins!$C:$C,MATCH('001_population_health_zone_zs'!$B479,[1]ratio_ins!$B:$B,0))</f>
        <v>15235.510619999999</v>
      </c>
      <c r="I479" s="10">
        <f>INDEX([1]ratio_ins!G:G,MATCH('001_population_health_zone_zs'!$B$2,[1]ratio_ins!$B:$B,0))*$G479*INDEX([1]ratio_ins!$C:$C,MATCH('001_population_health_zone_zs'!$B479,[1]ratio_ins!$B:$B,0))</f>
        <v>12465.417780000002</v>
      </c>
      <c r="J479" s="10">
        <f>INDEX([1]ratio_ins!H:H,MATCH('001_population_health_zone_zs'!$B$2,[1]ratio_ins!$B:$B,0))*$G479*INDEX([1]ratio_ins!$C:$C,MATCH('001_population_health_zone_zs'!$B479,[1]ratio_ins!$B:$B,0))</f>
        <v>9841.1193000000021</v>
      </c>
      <c r="K479" s="10">
        <f>INDEX([1]ratio_ins!I:I,MATCH('001_population_health_zone_zs'!$B$2,[1]ratio_ins!$B:$B,0))*$G479*INDEX([1]ratio_ins!$C:$C,MATCH('001_population_health_zone_zs'!$B479,[1]ratio_ins!$B:$B,0))</f>
        <v>6050.465940000001</v>
      </c>
      <c r="L479" s="10">
        <f>INDEX([1]ratio_ins!J:J,MATCH('001_population_health_zone_zs'!$B$2,[1]ratio_ins!$B:$B,0))*$G479*INDEX([1]ratio_ins!$C:$C,MATCH('001_population_health_zone_zs'!$B479,[1]ratio_ins!$B:$B,0))</f>
        <v>3630.2795639999999</v>
      </c>
      <c r="M479" s="11">
        <f>INDEX([1]ratio_ins!K:K,MATCH('001_population_health_zone_zs'!$B$2,[1]ratio_ins!$B:$B,0))*$G479*INDEX([1]ratio_ins!$C:$C,MATCH('001_population_health_zone_zs'!$B479,[1]ratio_ins!$B:$B,0))</f>
        <v>41172.327264</v>
      </c>
      <c r="N479" s="10">
        <f>INDEX([1]ratio_ins!L:L,MATCH('001_population_health_zone_zs'!$B$2,[1]ratio_ins!$B:$B,0))*$G479*INDEX([1]ratio_ins!$C:$C,MATCH('001_population_health_zone_zs'!$B479,[1]ratio_ins!$B:$B,0))</f>
        <v>2420.1863760000006</v>
      </c>
      <c r="O479" s="10">
        <f>INDEX([1]ratio_ins!M:M,MATCH('001_population_health_zone_zs'!$B$2,[1]ratio_ins!$B:$B,0))*$G479*INDEX([1]ratio_ins!$C:$C,MATCH('001_population_health_zone_zs'!$B479,[1]ratio_ins!$B:$B,0))</f>
        <v>5248.5969600000008</v>
      </c>
      <c r="P479" s="10">
        <f>INDEX([1]ratio_ins!N:N,MATCH('001_population_health_zone_zs'!$B$2,[1]ratio_ins!$B:$B,0))*$G479*INDEX([1]ratio_ins!$C:$C,MATCH('001_population_health_zone_zs'!$B479,[1]ratio_ins!$B:$B,0))</f>
        <v>4738.3167000000003</v>
      </c>
      <c r="Q479" s="10">
        <f>INDEX([1]ratio_ins!O:O,MATCH('001_population_health_zone_zs'!$B$2,[1]ratio_ins!$B:$B,0))*$G479*INDEX([1]ratio_ins!$C:$C,MATCH('001_population_health_zone_zs'!$B479,[1]ratio_ins!$B:$B,0))</f>
        <v>4228.0364399999999</v>
      </c>
      <c r="R479" s="10">
        <f>INDEX([1]ratio_ins!P:P,MATCH('001_population_health_zone_zs'!$B$2,[1]ratio_ins!$B:$B,0))*$G479*INDEX([1]ratio_ins!$C:$C,MATCH('001_population_health_zone_zs'!$B479,[1]ratio_ins!$B:$B,0))</f>
        <v>4155.1392600000008</v>
      </c>
      <c r="S479" s="10">
        <f>INDEX([1]ratio_ins!Q:Q,MATCH('001_population_health_zone_zs'!$B$2,[1]ratio_ins!$B:$B,0))*$G479*INDEX([1]ratio_ins!$C:$C,MATCH('001_population_health_zone_zs'!$B479,[1]ratio_ins!$B:$B,0))</f>
        <v>3499.0646400000005</v>
      </c>
      <c r="T479" s="10">
        <f>INDEX([1]ratio_ins!R:R,MATCH('001_population_health_zone_zs'!$B$2,[1]ratio_ins!$B:$B,0))*$G479*INDEX([1]ratio_ins!$C:$C,MATCH('001_population_health_zone_zs'!$B479,[1]ratio_ins!$B:$B,0))</f>
        <v>2478.5041200000005</v>
      </c>
      <c r="U479" s="10">
        <f>INDEX([1]ratio_ins!S:S,MATCH('001_population_health_zone_zs'!$B$2,[1]ratio_ins!$B:$B,0))*$G479*INDEX([1]ratio_ins!$C:$C,MATCH('001_population_health_zone_zs'!$B479,[1]ratio_ins!$B:$B,0))</f>
        <v>1968.2238600000003</v>
      </c>
      <c r="V479" s="10">
        <f>INDEX([1]ratio_ins!T:T,MATCH('001_population_health_zone_zs'!$B$2,[1]ratio_ins!$B:$B,0))*$G479*INDEX([1]ratio_ins!$C:$C,MATCH('001_population_health_zone_zs'!$B479,[1]ratio_ins!$B:$B,0))</f>
        <v>1093.4577000000002</v>
      </c>
      <c r="W479" s="11">
        <f>INDEX([1]ratio_ins!U:U,MATCH('001_population_health_zone_zs'!$B$2,[1]ratio_ins!$B:$B,0))*$G479*INDEX([1]ratio_ins!$C:$C,MATCH('001_population_health_zone_zs'!$B479,[1]ratio_ins!$B:$B,0))</f>
        <v>29829.526056000002</v>
      </c>
      <c r="X479" s="10">
        <f>INDEX([1]ratio_ins!V:V,MATCH('001_population_health_zone_zs'!$B$2,[1]ratio_ins!$B:$B,0))*$G479*INDEX([1]ratio_ins!$C:$C,MATCH('001_population_health_zone_zs'!$B479,[1]ratio_ins!$B:$B,0))</f>
        <v>874.76616000000013</v>
      </c>
      <c r="Y479" s="10">
        <f>INDEX([1]ratio_ins!W:W,MATCH('001_population_health_zone_zs'!$B$2,[1]ratio_ins!$B:$B,0))*$G479*INDEX([1]ratio_ins!$C:$C,MATCH('001_population_health_zone_zs'!$B479,[1]ratio_ins!$B:$B,0))</f>
        <v>583.17744000000005</v>
      </c>
      <c r="Z479" s="10">
        <f>INDEX([1]ratio_ins!X:X,MATCH('001_population_health_zone_zs'!$B$2,[1]ratio_ins!$B:$B,0))*$G479*INDEX([1]ratio_ins!$C:$C,MATCH('001_population_health_zone_zs'!$B479,[1]ratio_ins!$B:$B,0))</f>
        <v>291.58872000000002</v>
      </c>
      <c r="AA479" s="10">
        <f>INDEX([1]ratio_ins!Y:Y,MATCH('001_population_health_zone_zs'!$B$2,[1]ratio_ins!$B:$B,0))*$G479*INDEX([1]ratio_ins!$C:$C,MATCH('001_population_health_zone_zs'!$B479,[1]ratio_ins!$B:$B,0))</f>
        <v>145.79436000000001</v>
      </c>
      <c r="AB479" s="11">
        <f>INDEX([1]ratio_ins!Z:Z,MATCH('001_population_health_zone_zs'!$B$2,[1]ratio_ins!$B:$B,0))*$G479*INDEX([1]ratio_ins!$C:$C,MATCH('001_population_health_zone_zs'!$B479,[1]ratio_ins!$B:$B,0))</f>
        <v>1895.3266800000004</v>
      </c>
      <c r="AC479" s="12">
        <f t="shared" si="42"/>
        <v>72897.179999999993</v>
      </c>
      <c r="AD479" s="10">
        <f>INDEX([1]ratio_ins!AA:AA,MATCH('001_population_health_zone_zs'!$B$2,[1]ratio_ins!$B:$B,0))*$G479*INDEX([1]ratio_ins!$D:$D,MATCH('001_population_health_zone_zs'!$B479,[1]ratio_ins!$B:$B,0))</f>
        <v>15806.242199999999</v>
      </c>
      <c r="AE479" s="10">
        <f>INDEX([1]ratio_ins!AB:AB,MATCH('001_population_health_zone_zs'!$B$2,[1]ratio_ins!$B:$B,0))*$G479*INDEX([1]ratio_ins!$D:$D,MATCH('001_population_health_zone_zs'!$B479,[1]ratio_ins!$B:$B,0))</f>
        <v>13021.33286</v>
      </c>
      <c r="AF479" s="10">
        <f>INDEX([1]ratio_ins!AC:AC,MATCH('001_population_health_zone_zs'!$B$2,[1]ratio_ins!$B:$B,0))*$G479*INDEX([1]ratio_ins!$D:$D,MATCH('001_population_health_zone_zs'!$B479,[1]ratio_ins!$B:$B,0))</f>
        <v>10311.691339999998</v>
      </c>
      <c r="AG479" s="10">
        <f>INDEX([1]ratio_ins!AD:AD,MATCH('001_population_health_zone_zs'!$B$2,[1]ratio_ins!$B:$B,0))*$G479*INDEX([1]ratio_ins!$D:$D,MATCH('001_population_health_zone_zs'!$B479,[1]ratio_ins!$B:$B,0))</f>
        <v>6247.2290600000006</v>
      </c>
      <c r="AH479" s="10">
        <f>INDEX([1]ratio_ins!AE:AE,MATCH('001_population_health_zone_zs'!$B$2,[1]ratio_ins!$B:$B,0))*$G479*INDEX([1]ratio_ins!$D:$D,MATCH('001_population_health_zone_zs'!$B479,[1]ratio_ins!$B:$B,0))</f>
        <v>3748.3374359999998</v>
      </c>
      <c r="AI479" s="13">
        <f>INDEX([1]ratio_ins!AF:AF,MATCH('001_population_health_zone_zs'!$B$2,[1]ratio_ins!$B:$B,0))*$G479*INDEX([1]ratio_ins!$D:$D,MATCH('001_population_health_zone_zs'!$B479,[1]ratio_ins!$B:$B,0))</f>
        <v>42887.603836000002</v>
      </c>
      <c r="AJ479" s="10">
        <f>INDEX([1]ratio_ins!AG:AG,MATCH('001_population_health_zone_zs'!$B$2,[1]ratio_ins!$B:$B,0))*$G479*INDEX([1]ratio_ins!$D:$D,MATCH('001_population_health_zone_zs'!$B479,[1]ratio_ins!$B:$B,0))</f>
        <v>2498.8916240000003</v>
      </c>
      <c r="AK479" s="10">
        <f>INDEX([1]ratio_ins!AH:AH,MATCH('001_population_health_zone_zs'!$B$2,[1]ratio_ins!$B:$B,0))*$G479*INDEX([1]ratio_ins!$D:$D,MATCH('001_population_health_zone_zs'!$B479,[1]ratio_ins!$B:$B,0))</f>
        <v>5569.8186800000003</v>
      </c>
      <c r="AL479" s="10">
        <f>INDEX([1]ratio_ins!AI:AI,MATCH('001_population_health_zone_zs'!$B$2,[1]ratio_ins!$B:$B,0))*$G479*INDEX([1]ratio_ins!$D:$D,MATCH('001_population_health_zone_zs'!$B479,[1]ratio_ins!$B:$B,0))</f>
        <v>5268.7474000000002</v>
      </c>
      <c r="AM479" s="10">
        <f>INDEX([1]ratio_ins!AJ:AJ,MATCH('001_population_health_zone_zs'!$B$2,[1]ratio_ins!$B:$B,0))*$G479*INDEX([1]ratio_ins!$D:$D,MATCH('001_population_health_zone_zs'!$B479,[1]ratio_ins!$B:$B,0))</f>
        <v>4817.14048</v>
      </c>
      <c r="AN479" s="10">
        <f>INDEX([1]ratio_ins!AK:AK,MATCH('001_population_health_zone_zs'!$B$2,[1]ratio_ins!$B:$B,0))*$G479*INDEX([1]ratio_ins!$D:$D,MATCH('001_population_health_zone_zs'!$B479,[1]ratio_ins!$B:$B,0))</f>
        <v>4516.0691999999999</v>
      </c>
      <c r="AO479" s="10">
        <f>INDEX([1]ratio_ins!AL:AL,MATCH('001_population_health_zone_zs'!$B$2,[1]ratio_ins!$B:$B,0))*$G479*INDEX([1]ratio_ins!$D:$D,MATCH('001_population_health_zone_zs'!$B479,[1]ratio_ins!$B:$B,0))</f>
        <v>3387.0518999999999</v>
      </c>
      <c r="AP479" s="10">
        <f>INDEX([1]ratio_ins!AM:AM,MATCH('001_population_health_zone_zs'!$B$2,[1]ratio_ins!$B:$B,0))*$G479*INDEX([1]ratio_ins!$D:$D,MATCH('001_population_health_zone_zs'!$B479,[1]ratio_ins!$B:$B,0))</f>
        <v>2182.7667799999999</v>
      </c>
      <c r="AQ479" s="10">
        <f>INDEX([1]ratio_ins!AN:AN,MATCH('001_population_health_zone_zs'!$B$2,[1]ratio_ins!$B:$B,0))*$G479*INDEX([1]ratio_ins!$D:$D,MATCH('001_population_health_zone_zs'!$B479,[1]ratio_ins!$B:$B,0))</f>
        <v>1731.15986</v>
      </c>
      <c r="AR479" s="10">
        <f>INDEX([1]ratio_ins!AO:AO,MATCH('001_population_health_zone_zs'!$B$2,[1]ratio_ins!$B:$B,0))*$G479*INDEX([1]ratio_ins!$D:$D,MATCH('001_population_health_zone_zs'!$B479,[1]ratio_ins!$B:$B,0))</f>
        <v>827.94602000000009</v>
      </c>
      <c r="AS479" s="13">
        <f>INDEX([1]ratio_ins!AP:AP,MATCH('001_population_health_zone_zs'!$B$2,[1]ratio_ins!$B:$B,0))*$G479*INDEX([1]ratio_ins!$D:$D,MATCH('001_population_health_zone_zs'!$B479,[1]ratio_ins!$B:$B,0))</f>
        <v>30799.591944</v>
      </c>
      <c r="AT479" s="10">
        <f>INDEX([1]ratio_ins!AQ:AQ,MATCH('001_population_health_zone_zs'!$B$2,[1]ratio_ins!$B:$B,0))*$G479*INDEX([1]ratio_ins!$D:$D,MATCH('001_population_health_zone_zs'!$B479,[1]ratio_ins!$B:$B,0))</f>
        <v>752.67820000000006</v>
      </c>
      <c r="AU479" s="10">
        <f>INDEX([1]ratio_ins!AR:AR,MATCH('001_population_health_zone_zs'!$B$2,[1]ratio_ins!$B:$B,0))*$G479*INDEX([1]ratio_ins!$D:$D,MATCH('001_population_health_zone_zs'!$B479,[1]ratio_ins!$B:$B,0))</f>
        <v>451.60692</v>
      </c>
      <c r="AV479" s="10">
        <f>INDEX([1]ratio_ins!AS:AS,MATCH('001_population_health_zone_zs'!$B$2,[1]ratio_ins!$B:$B,0))*$G479*INDEX([1]ratio_ins!$D:$D,MATCH('001_population_health_zone_zs'!$B479,[1]ratio_ins!$B:$B,0))</f>
        <v>225.80346</v>
      </c>
      <c r="AW479" s="10">
        <f>INDEX([1]ratio_ins!AT:AT,MATCH('001_population_health_zone_zs'!$B$2,[1]ratio_ins!$B:$B,0))*$G479*INDEX([1]ratio_ins!$D:$D,MATCH('001_population_health_zone_zs'!$B479,[1]ratio_ins!$B:$B,0))</f>
        <v>150.53564</v>
      </c>
      <c r="AX479" s="13">
        <f>INDEX([1]ratio_ins!AU:AU,MATCH('001_population_health_zone_zs'!$B$2,[1]ratio_ins!$B:$B,0))*$G479*INDEX([1]ratio_ins!$D:$D,MATCH('001_population_health_zone_zs'!$B479,[1]ratio_ins!$B:$B,0))</f>
        <v>1580.6242199999999</v>
      </c>
      <c r="AY479" s="14">
        <f t="shared" si="43"/>
        <v>75267.820000000007</v>
      </c>
      <c r="AZ479" s="15">
        <f t="shared" si="44"/>
        <v>148165</v>
      </c>
      <c r="BA479" s="16">
        <v>142663.20514451689</v>
      </c>
      <c r="BB479" s="10">
        <f t="shared" si="45"/>
        <v>31988.823499999999</v>
      </c>
      <c r="BC479" s="17">
        <f t="shared" si="46"/>
        <v>0.21589999999999998</v>
      </c>
      <c r="BD479" s="10">
        <f t="shared" si="47"/>
        <v>30398.124060000002</v>
      </c>
    </row>
    <row r="480" spans="1:56" x14ac:dyDescent="0.25">
      <c r="A480" s="8" t="s">
        <v>1178</v>
      </c>
      <c r="B480" s="8" t="s">
        <v>1179</v>
      </c>
      <c r="C480" s="8" t="s">
        <v>1180</v>
      </c>
      <c r="D480" s="8" t="s">
        <v>1181</v>
      </c>
      <c r="E480" s="8" t="s">
        <v>1187</v>
      </c>
      <c r="F480" s="8" t="s">
        <v>1188</v>
      </c>
      <c r="G480" s="9">
        <v>285386</v>
      </c>
      <c r="H480" s="10">
        <f>INDEX([1]ratio_ins!F:F,MATCH('001_population_health_zone_zs'!$B$2,[1]ratio_ins!$B:$B,0))*$G480*INDEX([1]ratio_ins!$C:$C,MATCH('001_population_health_zone_zs'!$B480,[1]ratio_ins!$B:$B,0))</f>
        <v>29345.671608000004</v>
      </c>
      <c r="I480" s="10">
        <f>INDEX([1]ratio_ins!G:G,MATCH('001_population_health_zone_zs'!$B$2,[1]ratio_ins!$B:$B,0))*$G480*INDEX([1]ratio_ins!$C:$C,MATCH('001_population_health_zone_zs'!$B480,[1]ratio_ins!$B:$B,0))</f>
        <v>24010.094952000003</v>
      </c>
      <c r="J480" s="10">
        <f>INDEX([1]ratio_ins!H:H,MATCH('001_population_health_zone_zs'!$B$2,[1]ratio_ins!$B:$B,0))*$G480*INDEX([1]ratio_ins!$C:$C,MATCH('001_population_health_zone_zs'!$B480,[1]ratio_ins!$B:$B,0))</f>
        <v>18955.33812</v>
      </c>
      <c r="K480" s="10">
        <f>INDEX([1]ratio_ins!I:I,MATCH('001_population_health_zone_zs'!$B$2,[1]ratio_ins!$B:$B,0))*$G480*INDEX([1]ratio_ins!$C:$C,MATCH('001_population_health_zone_zs'!$B480,[1]ratio_ins!$B:$B,0))</f>
        <v>11654.022696000002</v>
      </c>
      <c r="L480" s="10">
        <f>INDEX([1]ratio_ins!J:J,MATCH('001_population_health_zone_zs'!$B$2,[1]ratio_ins!$B:$B,0))*$G480*INDEX([1]ratio_ins!$C:$C,MATCH('001_population_health_zone_zs'!$B480,[1]ratio_ins!$B:$B,0))</f>
        <v>6992.4136176000002</v>
      </c>
      <c r="M480" s="11">
        <f>INDEX([1]ratio_ins!K:K,MATCH('001_population_health_zone_zs'!$B$2,[1]ratio_ins!$B:$B,0))*$G480*INDEX([1]ratio_ins!$C:$C,MATCH('001_population_health_zone_zs'!$B480,[1]ratio_ins!$B:$B,0))</f>
        <v>79303.518297600007</v>
      </c>
      <c r="N480" s="10">
        <f>INDEX([1]ratio_ins!L:L,MATCH('001_population_health_zone_zs'!$B$2,[1]ratio_ins!$B:$B,0))*$G480*INDEX([1]ratio_ins!$C:$C,MATCH('001_population_health_zone_zs'!$B480,[1]ratio_ins!$B:$B,0))</f>
        <v>4661.6090784000007</v>
      </c>
      <c r="O480" s="10">
        <f>INDEX([1]ratio_ins!M:M,MATCH('001_population_health_zone_zs'!$B$2,[1]ratio_ins!$B:$B,0))*$G480*INDEX([1]ratio_ins!$C:$C,MATCH('001_population_health_zone_zs'!$B480,[1]ratio_ins!$B:$B,0))</f>
        <v>10109.513664000002</v>
      </c>
      <c r="P480" s="10">
        <f>INDEX([1]ratio_ins!N:N,MATCH('001_population_health_zone_zs'!$B$2,[1]ratio_ins!$B:$B,0))*$G480*INDEX([1]ratio_ins!$C:$C,MATCH('001_population_health_zone_zs'!$B480,[1]ratio_ins!$B:$B,0))</f>
        <v>9126.6442800000004</v>
      </c>
      <c r="Q480" s="10">
        <f>INDEX([1]ratio_ins!O:O,MATCH('001_population_health_zone_zs'!$B$2,[1]ratio_ins!$B:$B,0))*$G480*INDEX([1]ratio_ins!$C:$C,MATCH('001_population_health_zone_zs'!$B480,[1]ratio_ins!$B:$B,0))</f>
        <v>8143.7748959999999</v>
      </c>
      <c r="R480" s="10">
        <f>INDEX([1]ratio_ins!P:P,MATCH('001_population_health_zone_zs'!$B$2,[1]ratio_ins!$B:$B,0))*$G480*INDEX([1]ratio_ins!$C:$C,MATCH('001_population_health_zone_zs'!$B480,[1]ratio_ins!$B:$B,0))</f>
        <v>8003.3649840000007</v>
      </c>
      <c r="S480" s="10">
        <f>INDEX([1]ratio_ins!Q:Q,MATCH('001_population_health_zone_zs'!$B$2,[1]ratio_ins!$B:$B,0))*$G480*INDEX([1]ratio_ins!$C:$C,MATCH('001_population_health_zone_zs'!$B480,[1]ratio_ins!$B:$B,0))</f>
        <v>6739.675776000001</v>
      </c>
      <c r="T480" s="10">
        <f>INDEX([1]ratio_ins!R:R,MATCH('001_population_health_zone_zs'!$B$2,[1]ratio_ins!$B:$B,0))*$G480*INDEX([1]ratio_ins!$C:$C,MATCH('001_population_health_zone_zs'!$B480,[1]ratio_ins!$B:$B,0))</f>
        <v>4773.9370080000008</v>
      </c>
      <c r="U480" s="10">
        <f>INDEX([1]ratio_ins!S:S,MATCH('001_population_health_zone_zs'!$B$2,[1]ratio_ins!$B:$B,0))*$G480*INDEX([1]ratio_ins!$C:$C,MATCH('001_population_health_zone_zs'!$B480,[1]ratio_ins!$B:$B,0))</f>
        <v>3791.0676240000007</v>
      </c>
      <c r="V480" s="10">
        <f>INDEX([1]ratio_ins!T:T,MATCH('001_population_health_zone_zs'!$B$2,[1]ratio_ins!$B:$B,0))*$G480*INDEX([1]ratio_ins!$C:$C,MATCH('001_population_health_zone_zs'!$B480,[1]ratio_ins!$B:$B,0))</f>
        <v>2106.1486800000002</v>
      </c>
      <c r="W480" s="11">
        <f>INDEX([1]ratio_ins!U:U,MATCH('001_population_health_zone_zs'!$B$2,[1]ratio_ins!$B:$B,0))*$G480*INDEX([1]ratio_ins!$C:$C,MATCH('001_population_health_zone_zs'!$B480,[1]ratio_ins!$B:$B,0))</f>
        <v>57455.735990400004</v>
      </c>
      <c r="X480" s="10">
        <f>INDEX([1]ratio_ins!V:V,MATCH('001_population_health_zone_zs'!$B$2,[1]ratio_ins!$B:$B,0))*$G480*INDEX([1]ratio_ins!$C:$C,MATCH('001_population_health_zone_zs'!$B480,[1]ratio_ins!$B:$B,0))</f>
        <v>1684.9189440000002</v>
      </c>
      <c r="Y480" s="10">
        <f>INDEX([1]ratio_ins!W:W,MATCH('001_population_health_zone_zs'!$B$2,[1]ratio_ins!$B:$B,0))*$G480*INDEX([1]ratio_ins!$C:$C,MATCH('001_population_health_zone_zs'!$B480,[1]ratio_ins!$B:$B,0))</f>
        <v>1123.2792960000002</v>
      </c>
      <c r="Z480" s="10">
        <f>INDEX([1]ratio_ins!X:X,MATCH('001_population_health_zone_zs'!$B$2,[1]ratio_ins!$B:$B,0))*$G480*INDEX([1]ratio_ins!$C:$C,MATCH('001_population_health_zone_zs'!$B480,[1]ratio_ins!$B:$B,0))</f>
        <v>561.63964800000008</v>
      </c>
      <c r="AA480" s="10">
        <f>INDEX([1]ratio_ins!Y:Y,MATCH('001_population_health_zone_zs'!$B$2,[1]ratio_ins!$B:$B,0))*$G480*INDEX([1]ratio_ins!$C:$C,MATCH('001_population_health_zone_zs'!$B480,[1]ratio_ins!$B:$B,0))</f>
        <v>280.81982400000004</v>
      </c>
      <c r="AB480" s="11">
        <f>INDEX([1]ratio_ins!Z:Z,MATCH('001_population_health_zone_zs'!$B$2,[1]ratio_ins!$B:$B,0))*$G480*INDEX([1]ratio_ins!$C:$C,MATCH('001_population_health_zone_zs'!$B480,[1]ratio_ins!$B:$B,0))</f>
        <v>3650.6577120000006</v>
      </c>
      <c r="AC480" s="12">
        <f t="shared" si="42"/>
        <v>140409.91200000001</v>
      </c>
      <c r="AD480" s="10">
        <f>INDEX([1]ratio_ins!AA:AA,MATCH('001_population_health_zone_zs'!$B$2,[1]ratio_ins!$B:$B,0))*$G480*INDEX([1]ratio_ins!$D:$D,MATCH('001_population_health_zone_zs'!$B480,[1]ratio_ins!$B:$B,0))</f>
        <v>30444.978479999998</v>
      </c>
      <c r="AE480" s="10">
        <f>INDEX([1]ratio_ins!AB:AB,MATCH('001_population_health_zone_zs'!$B$2,[1]ratio_ins!$B:$B,0))*$G480*INDEX([1]ratio_ins!$D:$D,MATCH('001_population_health_zone_zs'!$B480,[1]ratio_ins!$B:$B,0))</f>
        <v>25080.863224000004</v>
      </c>
      <c r="AF480" s="10">
        <f>INDEX([1]ratio_ins!AC:AC,MATCH('001_population_health_zone_zs'!$B$2,[1]ratio_ins!$B:$B,0))*$G480*INDEX([1]ratio_ins!$D:$D,MATCH('001_population_health_zone_zs'!$B480,[1]ratio_ins!$B:$B,0))</f>
        <v>19861.724055999999</v>
      </c>
      <c r="AG480" s="10">
        <f>INDEX([1]ratio_ins!AD:AD,MATCH('001_population_health_zone_zs'!$B$2,[1]ratio_ins!$B:$B,0))*$G480*INDEX([1]ratio_ins!$D:$D,MATCH('001_population_health_zone_zs'!$B480,[1]ratio_ins!$B:$B,0))</f>
        <v>12033.015304</v>
      </c>
      <c r="AH480" s="10">
        <f>INDEX([1]ratio_ins!AE:AE,MATCH('001_population_health_zone_zs'!$B$2,[1]ratio_ins!$B:$B,0))*$G480*INDEX([1]ratio_ins!$D:$D,MATCH('001_population_health_zone_zs'!$B480,[1]ratio_ins!$B:$B,0))</f>
        <v>7219.8091824000003</v>
      </c>
      <c r="AI480" s="13">
        <f>INDEX([1]ratio_ins!AF:AF,MATCH('001_population_health_zone_zs'!$B$2,[1]ratio_ins!$B:$B,0))*$G480*INDEX([1]ratio_ins!$D:$D,MATCH('001_population_health_zone_zs'!$B480,[1]ratio_ins!$B:$B,0))</f>
        <v>82607.374942399998</v>
      </c>
      <c r="AJ480" s="10">
        <f>INDEX([1]ratio_ins!AG:AG,MATCH('001_population_health_zone_zs'!$B$2,[1]ratio_ins!$B:$B,0))*$G480*INDEX([1]ratio_ins!$D:$D,MATCH('001_population_health_zone_zs'!$B480,[1]ratio_ins!$B:$B,0))</f>
        <v>4813.2061216000002</v>
      </c>
      <c r="AK480" s="10">
        <f>INDEX([1]ratio_ins!AH:AH,MATCH('001_population_health_zone_zs'!$B$2,[1]ratio_ins!$B:$B,0))*$G480*INDEX([1]ratio_ins!$D:$D,MATCH('001_population_health_zone_zs'!$B480,[1]ratio_ins!$B:$B,0))</f>
        <v>10728.230512000002</v>
      </c>
      <c r="AL480" s="10">
        <f>INDEX([1]ratio_ins!AI:AI,MATCH('001_population_health_zone_zs'!$B$2,[1]ratio_ins!$B:$B,0))*$G480*INDEX([1]ratio_ins!$D:$D,MATCH('001_population_health_zone_zs'!$B480,[1]ratio_ins!$B:$B,0))</f>
        <v>10148.326160000001</v>
      </c>
      <c r="AM480" s="10">
        <f>INDEX([1]ratio_ins!AJ:AJ,MATCH('001_population_health_zone_zs'!$B$2,[1]ratio_ins!$B:$B,0))*$G480*INDEX([1]ratio_ins!$D:$D,MATCH('001_population_health_zone_zs'!$B480,[1]ratio_ins!$B:$B,0))</f>
        <v>9278.4696320000003</v>
      </c>
      <c r="AN480" s="10">
        <f>INDEX([1]ratio_ins!AK:AK,MATCH('001_population_health_zone_zs'!$B$2,[1]ratio_ins!$B:$B,0))*$G480*INDEX([1]ratio_ins!$D:$D,MATCH('001_population_health_zone_zs'!$B480,[1]ratio_ins!$B:$B,0))</f>
        <v>8698.5652800000007</v>
      </c>
      <c r="AO480" s="10">
        <f>INDEX([1]ratio_ins!AL:AL,MATCH('001_population_health_zone_zs'!$B$2,[1]ratio_ins!$B:$B,0))*$G480*INDEX([1]ratio_ins!$D:$D,MATCH('001_population_health_zone_zs'!$B480,[1]ratio_ins!$B:$B,0))</f>
        <v>6523.9239599999992</v>
      </c>
      <c r="AP480" s="10">
        <f>INDEX([1]ratio_ins!AM:AM,MATCH('001_population_health_zone_zs'!$B$2,[1]ratio_ins!$B:$B,0))*$G480*INDEX([1]ratio_ins!$D:$D,MATCH('001_population_health_zone_zs'!$B480,[1]ratio_ins!$B:$B,0))</f>
        <v>4204.306552</v>
      </c>
      <c r="AQ480" s="10">
        <f>INDEX([1]ratio_ins!AN:AN,MATCH('001_population_health_zone_zs'!$B$2,[1]ratio_ins!$B:$B,0))*$G480*INDEX([1]ratio_ins!$D:$D,MATCH('001_population_health_zone_zs'!$B480,[1]ratio_ins!$B:$B,0))</f>
        <v>3334.4500239999998</v>
      </c>
      <c r="AR480" s="10">
        <f>INDEX([1]ratio_ins!AO:AO,MATCH('001_population_health_zone_zs'!$B$2,[1]ratio_ins!$B:$B,0))*$G480*INDEX([1]ratio_ins!$D:$D,MATCH('001_population_health_zone_zs'!$B480,[1]ratio_ins!$B:$B,0))</f>
        <v>1594.7369680000002</v>
      </c>
      <c r="AS480" s="13">
        <f>INDEX([1]ratio_ins!AP:AP,MATCH('001_population_health_zone_zs'!$B$2,[1]ratio_ins!$B:$B,0))*$G480*INDEX([1]ratio_ins!$D:$D,MATCH('001_population_health_zone_zs'!$B480,[1]ratio_ins!$B:$B,0))</f>
        <v>59324.215209599999</v>
      </c>
      <c r="AT480" s="10">
        <f>INDEX([1]ratio_ins!AQ:AQ,MATCH('001_population_health_zone_zs'!$B$2,[1]ratio_ins!$B:$B,0))*$G480*INDEX([1]ratio_ins!$D:$D,MATCH('001_population_health_zone_zs'!$B480,[1]ratio_ins!$B:$B,0))</f>
        <v>1449.76088</v>
      </c>
      <c r="AU480" s="10">
        <f>INDEX([1]ratio_ins!AR:AR,MATCH('001_population_health_zone_zs'!$B$2,[1]ratio_ins!$B:$B,0))*$G480*INDEX([1]ratio_ins!$D:$D,MATCH('001_population_health_zone_zs'!$B480,[1]ratio_ins!$B:$B,0))</f>
        <v>869.85652800000003</v>
      </c>
      <c r="AV480" s="10">
        <f>INDEX([1]ratio_ins!AS:AS,MATCH('001_population_health_zone_zs'!$B$2,[1]ratio_ins!$B:$B,0))*$G480*INDEX([1]ratio_ins!$D:$D,MATCH('001_population_health_zone_zs'!$B480,[1]ratio_ins!$B:$B,0))</f>
        <v>434.92826400000001</v>
      </c>
      <c r="AW480" s="10">
        <f>INDEX([1]ratio_ins!AT:AT,MATCH('001_population_health_zone_zs'!$B$2,[1]ratio_ins!$B:$B,0))*$G480*INDEX([1]ratio_ins!$D:$D,MATCH('001_population_health_zone_zs'!$B480,[1]ratio_ins!$B:$B,0))</f>
        <v>289.95217600000001</v>
      </c>
      <c r="AX480" s="13">
        <f>INDEX([1]ratio_ins!AU:AU,MATCH('001_population_health_zone_zs'!$B$2,[1]ratio_ins!$B:$B,0))*$G480*INDEX([1]ratio_ins!$D:$D,MATCH('001_population_health_zone_zs'!$B480,[1]ratio_ins!$B:$B,0))</f>
        <v>3044.497848</v>
      </c>
      <c r="AY480" s="14">
        <f t="shared" si="43"/>
        <v>144976.08799999999</v>
      </c>
      <c r="AZ480" s="15">
        <f t="shared" si="44"/>
        <v>285386</v>
      </c>
      <c r="BA480" s="16">
        <v>274787.66426374932</v>
      </c>
      <c r="BB480" s="10">
        <f t="shared" si="45"/>
        <v>61614.837400000011</v>
      </c>
      <c r="BC480" s="17">
        <f t="shared" si="46"/>
        <v>0.21590000000000004</v>
      </c>
      <c r="BD480" s="10">
        <f t="shared" si="47"/>
        <v>58550.933304000006</v>
      </c>
    </row>
    <row r="481" spans="1:56" x14ac:dyDescent="0.25">
      <c r="A481" s="8" t="s">
        <v>1178</v>
      </c>
      <c r="B481" s="8" t="s">
        <v>1179</v>
      </c>
      <c r="C481" s="8" t="s">
        <v>1180</v>
      </c>
      <c r="D481" s="8" t="s">
        <v>1181</v>
      </c>
      <c r="E481" s="8" t="s">
        <v>1189</v>
      </c>
      <c r="F481" s="8" t="s">
        <v>1190</v>
      </c>
      <c r="G481" s="9">
        <v>108454</v>
      </c>
      <c r="H481" s="10">
        <f>INDEX([1]ratio_ins!F:F,MATCH('001_population_health_zone_zs'!$B$2,[1]ratio_ins!$B:$B,0))*$G481*INDEX([1]ratio_ins!$C:$C,MATCH('001_population_health_zone_zs'!$B481,[1]ratio_ins!$B:$B,0))</f>
        <v>11152.107912000001</v>
      </c>
      <c r="I481" s="10">
        <f>INDEX([1]ratio_ins!G:G,MATCH('001_population_health_zone_zs'!$B$2,[1]ratio_ins!$B:$B,0))*$G481*INDEX([1]ratio_ins!$C:$C,MATCH('001_population_health_zone_zs'!$B481,[1]ratio_ins!$B:$B,0))</f>
        <v>9124.4519280000022</v>
      </c>
      <c r="J481" s="10">
        <f>INDEX([1]ratio_ins!H:H,MATCH('001_population_health_zone_zs'!$B$2,[1]ratio_ins!$B:$B,0))*$G481*INDEX([1]ratio_ins!$C:$C,MATCH('001_population_health_zone_zs'!$B481,[1]ratio_ins!$B:$B,0))</f>
        <v>7203.5146800000011</v>
      </c>
      <c r="K481" s="10">
        <f>INDEX([1]ratio_ins!I:I,MATCH('001_population_health_zone_zs'!$B$2,[1]ratio_ins!$B:$B,0))*$G481*INDEX([1]ratio_ins!$C:$C,MATCH('001_population_health_zone_zs'!$B481,[1]ratio_ins!$B:$B,0))</f>
        <v>4428.8275440000007</v>
      </c>
      <c r="L481" s="10">
        <f>INDEX([1]ratio_ins!J:J,MATCH('001_population_health_zone_zs'!$B$2,[1]ratio_ins!$B:$B,0))*$G481*INDEX([1]ratio_ins!$C:$C,MATCH('001_population_health_zone_zs'!$B481,[1]ratio_ins!$B:$B,0))</f>
        <v>2657.2965263999999</v>
      </c>
      <c r="M481" s="11">
        <f>INDEX([1]ratio_ins!K:K,MATCH('001_population_health_zone_zs'!$B$2,[1]ratio_ins!$B:$B,0))*$G481*INDEX([1]ratio_ins!$C:$C,MATCH('001_population_health_zone_zs'!$B481,[1]ratio_ins!$B:$B,0))</f>
        <v>30137.371046400003</v>
      </c>
      <c r="N481" s="10">
        <f>INDEX([1]ratio_ins!L:L,MATCH('001_population_health_zone_zs'!$B$2,[1]ratio_ins!$B:$B,0))*$G481*INDEX([1]ratio_ins!$C:$C,MATCH('001_population_health_zone_zs'!$B481,[1]ratio_ins!$B:$B,0))</f>
        <v>1771.5310176</v>
      </c>
      <c r="O481" s="10">
        <f>INDEX([1]ratio_ins!M:M,MATCH('001_population_health_zone_zs'!$B$2,[1]ratio_ins!$B:$B,0))*$G481*INDEX([1]ratio_ins!$C:$C,MATCH('001_population_health_zone_zs'!$B481,[1]ratio_ins!$B:$B,0))</f>
        <v>3841.8744960000008</v>
      </c>
      <c r="P481" s="10">
        <f>INDEX([1]ratio_ins!N:N,MATCH('001_population_health_zone_zs'!$B$2,[1]ratio_ins!$B:$B,0))*$G481*INDEX([1]ratio_ins!$C:$C,MATCH('001_population_health_zone_zs'!$B481,[1]ratio_ins!$B:$B,0))</f>
        <v>3468.3589200000006</v>
      </c>
      <c r="Q481" s="10">
        <f>INDEX([1]ratio_ins!O:O,MATCH('001_population_health_zone_zs'!$B$2,[1]ratio_ins!$B:$B,0))*$G481*INDEX([1]ratio_ins!$C:$C,MATCH('001_population_health_zone_zs'!$B481,[1]ratio_ins!$B:$B,0))</f>
        <v>3094.8433439999999</v>
      </c>
      <c r="R481" s="10">
        <f>INDEX([1]ratio_ins!P:P,MATCH('001_population_health_zone_zs'!$B$2,[1]ratio_ins!$B:$B,0))*$G481*INDEX([1]ratio_ins!$C:$C,MATCH('001_population_health_zone_zs'!$B481,[1]ratio_ins!$B:$B,0))</f>
        <v>3041.4839760000004</v>
      </c>
      <c r="S481" s="10">
        <f>INDEX([1]ratio_ins!Q:Q,MATCH('001_population_health_zone_zs'!$B$2,[1]ratio_ins!$B:$B,0))*$G481*INDEX([1]ratio_ins!$C:$C,MATCH('001_population_health_zone_zs'!$B481,[1]ratio_ins!$B:$B,0))</f>
        <v>2561.2496640000004</v>
      </c>
      <c r="T481" s="10">
        <f>INDEX([1]ratio_ins!R:R,MATCH('001_population_health_zone_zs'!$B$2,[1]ratio_ins!$B:$B,0))*$G481*INDEX([1]ratio_ins!$C:$C,MATCH('001_population_health_zone_zs'!$B481,[1]ratio_ins!$B:$B,0))</f>
        <v>1814.2185120000001</v>
      </c>
      <c r="U481" s="10">
        <f>INDEX([1]ratio_ins!S:S,MATCH('001_population_health_zone_zs'!$B$2,[1]ratio_ins!$B:$B,0))*$G481*INDEX([1]ratio_ins!$C:$C,MATCH('001_population_health_zone_zs'!$B481,[1]ratio_ins!$B:$B,0))</f>
        <v>1440.7029360000004</v>
      </c>
      <c r="V481" s="10">
        <f>INDEX([1]ratio_ins!T:T,MATCH('001_population_health_zone_zs'!$B$2,[1]ratio_ins!$B:$B,0))*$G481*INDEX([1]ratio_ins!$C:$C,MATCH('001_population_health_zone_zs'!$B481,[1]ratio_ins!$B:$B,0))</f>
        <v>800.39052000000004</v>
      </c>
      <c r="W481" s="11">
        <f>INDEX([1]ratio_ins!U:U,MATCH('001_population_health_zone_zs'!$B$2,[1]ratio_ins!$B:$B,0))*$G481*INDEX([1]ratio_ins!$C:$C,MATCH('001_population_health_zone_zs'!$B481,[1]ratio_ins!$B:$B,0))</f>
        <v>21834.653385600002</v>
      </c>
      <c r="X481" s="10">
        <f>INDEX([1]ratio_ins!V:V,MATCH('001_population_health_zone_zs'!$B$2,[1]ratio_ins!$B:$B,0))*$G481*INDEX([1]ratio_ins!$C:$C,MATCH('001_population_health_zone_zs'!$B481,[1]ratio_ins!$B:$B,0))</f>
        <v>640.3124160000001</v>
      </c>
      <c r="Y481" s="10">
        <f>INDEX([1]ratio_ins!W:W,MATCH('001_population_health_zone_zs'!$B$2,[1]ratio_ins!$B:$B,0))*$G481*INDEX([1]ratio_ins!$C:$C,MATCH('001_population_health_zone_zs'!$B481,[1]ratio_ins!$B:$B,0))</f>
        <v>426.87494400000008</v>
      </c>
      <c r="Z481" s="10">
        <f>INDEX([1]ratio_ins!X:X,MATCH('001_population_health_zone_zs'!$B$2,[1]ratio_ins!$B:$B,0))*$G481*INDEX([1]ratio_ins!$C:$C,MATCH('001_population_health_zone_zs'!$B481,[1]ratio_ins!$B:$B,0))</f>
        <v>213.43747200000004</v>
      </c>
      <c r="AA481" s="10">
        <f>INDEX([1]ratio_ins!Y:Y,MATCH('001_population_health_zone_zs'!$B$2,[1]ratio_ins!$B:$B,0))*$G481*INDEX([1]ratio_ins!$C:$C,MATCH('001_population_health_zone_zs'!$B481,[1]ratio_ins!$B:$B,0))</f>
        <v>106.71873600000002</v>
      </c>
      <c r="AB481" s="11">
        <f>INDEX([1]ratio_ins!Z:Z,MATCH('001_population_health_zone_zs'!$B$2,[1]ratio_ins!$B:$B,0))*$G481*INDEX([1]ratio_ins!$C:$C,MATCH('001_population_health_zone_zs'!$B481,[1]ratio_ins!$B:$B,0))</f>
        <v>1387.3435680000002</v>
      </c>
      <c r="AC481" s="12">
        <f t="shared" si="42"/>
        <v>53359.368000000002</v>
      </c>
      <c r="AD481" s="10">
        <f>INDEX([1]ratio_ins!AA:AA,MATCH('001_population_health_zone_zs'!$B$2,[1]ratio_ins!$B:$B,0))*$G481*INDEX([1]ratio_ins!$D:$D,MATCH('001_population_health_zone_zs'!$B481,[1]ratio_ins!$B:$B,0))</f>
        <v>11569.872719999999</v>
      </c>
      <c r="AE481" s="10">
        <f>INDEX([1]ratio_ins!AB:AB,MATCH('001_population_health_zone_zs'!$B$2,[1]ratio_ins!$B:$B,0))*$G481*INDEX([1]ratio_ins!$D:$D,MATCH('001_population_health_zone_zs'!$B481,[1]ratio_ins!$B:$B,0))</f>
        <v>9531.3713360000002</v>
      </c>
      <c r="AF481" s="10">
        <f>INDEX([1]ratio_ins!AC:AC,MATCH('001_population_health_zone_zs'!$B$2,[1]ratio_ins!$B:$B,0))*$G481*INDEX([1]ratio_ins!$D:$D,MATCH('001_population_health_zone_zs'!$B481,[1]ratio_ins!$B:$B,0))</f>
        <v>7547.9645839999994</v>
      </c>
      <c r="AG481" s="10">
        <f>INDEX([1]ratio_ins!AD:AD,MATCH('001_population_health_zone_zs'!$B$2,[1]ratio_ins!$B:$B,0))*$G481*INDEX([1]ratio_ins!$D:$D,MATCH('001_population_health_zone_zs'!$B481,[1]ratio_ins!$B:$B,0))</f>
        <v>4572.854456</v>
      </c>
      <c r="AH481" s="10">
        <f>INDEX([1]ratio_ins!AE:AE,MATCH('001_population_health_zone_zs'!$B$2,[1]ratio_ins!$B:$B,0))*$G481*INDEX([1]ratio_ins!$D:$D,MATCH('001_population_health_zone_zs'!$B481,[1]ratio_ins!$B:$B,0))</f>
        <v>2743.7126736</v>
      </c>
      <c r="AI481" s="13">
        <f>INDEX([1]ratio_ins!AF:AF,MATCH('001_population_health_zone_zs'!$B$2,[1]ratio_ins!$B:$B,0))*$G481*INDEX([1]ratio_ins!$D:$D,MATCH('001_population_health_zone_zs'!$B481,[1]ratio_ins!$B:$B,0))</f>
        <v>31392.921313599996</v>
      </c>
      <c r="AJ481" s="10">
        <f>INDEX([1]ratio_ins!AG:AG,MATCH('001_population_health_zone_zs'!$B$2,[1]ratio_ins!$B:$B,0))*$G481*INDEX([1]ratio_ins!$D:$D,MATCH('001_population_health_zone_zs'!$B481,[1]ratio_ins!$B:$B,0))</f>
        <v>1829.1417824</v>
      </c>
      <c r="AK481" s="10">
        <f>INDEX([1]ratio_ins!AH:AH,MATCH('001_population_health_zone_zs'!$B$2,[1]ratio_ins!$B:$B,0))*$G481*INDEX([1]ratio_ins!$D:$D,MATCH('001_population_health_zone_zs'!$B481,[1]ratio_ins!$B:$B,0))</f>
        <v>4077.0027680000007</v>
      </c>
      <c r="AL481" s="10">
        <f>INDEX([1]ratio_ins!AI:AI,MATCH('001_population_health_zone_zs'!$B$2,[1]ratio_ins!$B:$B,0))*$G481*INDEX([1]ratio_ins!$D:$D,MATCH('001_population_health_zone_zs'!$B481,[1]ratio_ins!$B:$B,0))</f>
        <v>3856.6242400000006</v>
      </c>
      <c r="AM481" s="10">
        <f>INDEX([1]ratio_ins!AJ:AJ,MATCH('001_population_health_zone_zs'!$B$2,[1]ratio_ins!$B:$B,0))*$G481*INDEX([1]ratio_ins!$D:$D,MATCH('001_population_health_zone_zs'!$B481,[1]ratio_ins!$B:$B,0))</f>
        <v>3526.0564480000003</v>
      </c>
      <c r="AN481" s="10">
        <f>INDEX([1]ratio_ins!AK:AK,MATCH('001_population_health_zone_zs'!$B$2,[1]ratio_ins!$B:$B,0))*$G481*INDEX([1]ratio_ins!$D:$D,MATCH('001_population_health_zone_zs'!$B481,[1]ratio_ins!$B:$B,0))</f>
        <v>3305.6779200000001</v>
      </c>
      <c r="AO481" s="10">
        <f>INDEX([1]ratio_ins!AL:AL,MATCH('001_population_health_zone_zs'!$B$2,[1]ratio_ins!$B:$B,0))*$G481*INDEX([1]ratio_ins!$D:$D,MATCH('001_population_health_zone_zs'!$B481,[1]ratio_ins!$B:$B,0))</f>
        <v>2479.2584399999996</v>
      </c>
      <c r="AP481" s="10">
        <f>INDEX([1]ratio_ins!AM:AM,MATCH('001_population_health_zone_zs'!$B$2,[1]ratio_ins!$B:$B,0))*$G481*INDEX([1]ratio_ins!$D:$D,MATCH('001_population_health_zone_zs'!$B481,[1]ratio_ins!$B:$B,0))</f>
        <v>1597.7443279999998</v>
      </c>
      <c r="AQ481" s="10">
        <f>INDEX([1]ratio_ins!AN:AN,MATCH('001_population_health_zone_zs'!$B$2,[1]ratio_ins!$B:$B,0))*$G481*INDEX([1]ratio_ins!$D:$D,MATCH('001_population_health_zone_zs'!$B481,[1]ratio_ins!$B:$B,0))</f>
        <v>1267.1765359999999</v>
      </c>
      <c r="AR481" s="10">
        <f>INDEX([1]ratio_ins!AO:AO,MATCH('001_population_health_zone_zs'!$B$2,[1]ratio_ins!$B:$B,0))*$G481*INDEX([1]ratio_ins!$D:$D,MATCH('001_population_health_zone_zs'!$B481,[1]ratio_ins!$B:$B,0))</f>
        <v>606.04095200000006</v>
      </c>
      <c r="AS481" s="13">
        <f>INDEX([1]ratio_ins!AP:AP,MATCH('001_population_health_zone_zs'!$B$2,[1]ratio_ins!$B:$B,0))*$G481*INDEX([1]ratio_ins!$D:$D,MATCH('001_population_health_zone_zs'!$B481,[1]ratio_ins!$B:$B,0))</f>
        <v>22544.723414399999</v>
      </c>
      <c r="AT481" s="10">
        <f>INDEX([1]ratio_ins!AQ:AQ,MATCH('001_population_health_zone_zs'!$B$2,[1]ratio_ins!$B:$B,0))*$G481*INDEX([1]ratio_ins!$D:$D,MATCH('001_population_health_zone_zs'!$B481,[1]ratio_ins!$B:$B,0))</f>
        <v>550.94632000000001</v>
      </c>
      <c r="AU481" s="10">
        <f>INDEX([1]ratio_ins!AR:AR,MATCH('001_population_health_zone_zs'!$B$2,[1]ratio_ins!$B:$B,0))*$G481*INDEX([1]ratio_ins!$D:$D,MATCH('001_population_health_zone_zs'!$B481,[1]ratio_ins!$B:$B,0))</f>
        <v>330.56779200000005</v>
      </c>
      <c r="AV481" s="10">
        <f>INDEX([1]ratio_ins!AS:AS,MATCH('001_population_health_zone_zs'!$B$2,[1]ratio_ins!$B:$B,0))*$G481*INDEX([1]ratio_ins!$D:$D,MATCH('001_population_health_zone_zs'!$B481,[1]ratio_ins!$B:$B,0))</f>
        <v>165.28389600000003</v>
      </c>
      <c r="AW481" s="10">
        <f>INDEX([1]ratio_ins!AT:AT,MATCH('001_population_health_zone_zs'!$B$2,[1]ratio_ins!$B:$B,0))*$G481*INDEX([1]ratio_ins!$D:$D,MATCH('001_population_health_zone_zs'!$B481,[1]ratio_ins!$B:$B,0))</f>
        <v>110.18926400000001</v>
      </c>
      <c r="AX481" s="13">
        <f>INDEX([1]ratio_ins!AU:AU,MATCH('001_population_health_zone_zs'!$B$2,[1]ratio_ins!$B:$B,0))*$G481*INDEX([1]ratio_ins!$D:$D,MATCH('001_population_health_zone_zs'!$B481,[1]ratio_ins!$B:$B,0))</f>
        <v>1156.9872719999998</v>
      </c>
      <c r="AY481" s="14">
        <f t="shared" si="43"/>
        <v>55094.631999999998</v>
      </c>
      <c r="AZ481" s="15">
        <f t="shared" si="44"/>
        <v>108454</v>
      </c>
      <c r="BA481" s="16">
        <v>104426.67020686359</v>
      </c>
      <c r="BB481" s="10">
        <f t="shared" si="45"/>
        <v>23415.2186</v>
      </c>
      <c r="BC481" s="17">
        <f t="shared" si="46"/>
        <v>0.21590000000000001</v>
      </c>
      <c r="BD481" s="10">
        <f t="shared" si="47"/>
        <v>22250.856455999998</v>
      </c>
    </row>
    <row r="482" spans="1:56" x14ac:dyDescent="0.25">
      <c r="A482" s="8" t="s">
        <v>1178</v>
      </c>
      <c r="B482" s="8" t="s">
        <v>1179</v>
      </c>
      <c r="C482" s="8" t="s">
        <v>1180</v>
      </c>
      <c r="D482" s="8" t="s">
        <v>1181</v>
      </c>
      <c r="E482" s="8" t="s">
        <v>1191</v>
      </c>
      <c r="F482" s="8" t="s">
        <v>1192</v>
      </c>
      <c r="G482" s="9">
        <v>125738</v>
      </c>
      <c r="H482" s="10">
        <f>INDEX([1]ratio_ins!F:F,MATCH('001_population_health_zone_zs'!$B$2,[1]ratio_ins!$B:$B,0))*$G482*INDEX([1]ratio_ins!$C:$C,MATCH('001_population_health_zone_zs'!$B482,[1]ratio_ins!$B:$B,0))</f>
        <v>12929.387064</v>
      </c>
      <c r="I482" s="10">
        <f>INDEX([1]ratio_ins!G:G,MATCH('001_population_health_zone_zs'!$B$2,[1]ratio_ins!$B:$B,0))*$G482*INDEX([1]ratio_ins!$C:$C,MATCH('001_population_health_zone_zs'!$B482,[1]ratio_ins!$B:$B,0))</f>
        <v>10578.589416000001</v>
      </c>
      <c r="J482" s="10">
        <f>INDEX([1]ratio_ins!H:H,MATCH('001_population_health_zone_zs'!$B$2,[1]ratio_ins!$B:$B,0))*$G482*INDEX([1]ratio_ins!$C:$C,MATCH('001_population_health_zone_zs'!$B482,[1]ratio_ins!$B:$B,0))</f>
        <v>8351.517960000001</v>
      </c>
      <c r="K482" s="10">
        <f>INDEX([1]ratio_ins!I:I,MATCH('001_population_health_zone_zs'!$B$2,[1]ratio_ins!$B:$B,0))*$G482*INDEX([1]ratio_ins!$C:$C,MATCH('001_population_health_zone_zs'!$B482,[1]ratio_ins!$B:$B,0))</f>
        <v>5134.6369680000007</v>
      </c>
      <c r="L482" s="10">
        <f>INDEX([1]ratio_ins!J:J,MATCH('001_population_health_zone_zs'!$B$2,[1]ratio_ins!$B:$B,0))*$G482*INDEX([1]ratio_ins!$C:$C,MATCH('001_population_health_zone_zs'!$B482,[1]ratio_ins!$B:$B,0))</f>
        <v>3080.7821807999999</v>
      </c>
      <c r="M482" s="11">
        <f>INDEX([1]ratio_ins!K:K,MATCH('001_population_health_zone_zs'!$B$2,[1]ratio_ins!$B:$B,0))*$G482*INDEX([1]ratio_ins!$C:$C,MATCH('001_population_health_zone_zs'!$B482,[1]ratio_ins!$B:$B,0))</f>
        <v>34940.276620799996</v>
      </c>
      <c r="N482" s="10">
        <f>INDEX([1]ratio_ins!L:L,MATCH('001_population_health_zone_zs'!$B$2,[1]ratio_ins!$B:$B,0))*$G482*INDEX([1]ratio_ins!$C:$C,MATCH('001_population_health_zone_zs'!$B482,[1]ratio_ins!$B:$B,0))</f>
        <v>2053.8547871999999</v>
      </c>
      <c r="O482" s="10">
        <f>INDEX([1]ratio_ins!M:M,MATCH('001_population_health_zone_zs'!$B$2,[1]ratio_ins!$B:$B,0))*$G482*INDEX([1]ratio_ins!$C:$C,MATCH('001_population_health_zone_zs'!$B482,[1]ratio_ins!$B:$B,0))</f>
        <v>4454.1429120000003</v>
      </c>
      <c r="P482" s="10">
        <f>INDEX([1]ratio_ins!N:N,MATCH('001_population_health_zone_zs'!$B$2,[1]ratio_ins!$B:$B,0))*$G482*INDEX([1]ratio_ins!$C:$C,MATCH('001_population_health_zone_zs'!$B482,[1]ratio_ins!$B:$B,0))</f>
        <v>4021.1012400000004</v>
      </c>
      <c r="Q482" s="10">
        <f>INDEX([1]ratio_ins!O:O,MATCH('001_population_health_zone_zs'!$B$2,[1]ratio_ins!$B:$B,0))*$G482*INDEX([1]ratio_ins!$C:$C,MATCH('001_population_health_zone_zs'!$B482,[1]ratio_ins!$B:$B,0))</f>
        <v>3588.0595680000001</v>
      </c>
      <c r="R482" s="10">
        <f>INDEX([1]ratio_ins!P:P,MATCH('001_population_health_zone_zs'!$B$2,[1]ratio_ins!$B:$B,0))*$G482*INDEX([1]ratio_ins!$C:$C,MATCH('001_population_health_zone_zs'!$B482,[1]ratio_ins!$B:$B,0))</f>
        <v>3526.1964720000001</v>
      </c>
      <c r="S482" s="10">
        <f>INDEX([1]ratio_ins!Q:Q,MATCH('001_population_health_zone_zs'!$B$2,[1]ratio_ins!$B:$B,0))*$G482*INDEX([1]ratio_ins!$C:$C,MATCH('001_population_health_zone_zs'!$B482,[1]ratio_ins!$B:$B,0))</f>
        <v>2969.4286080000002</v>
      </c>
      <c r="T482" s="10">
        <f>INDEX([1]ratio_ins!R:R,MATCH('001_population_health_zone_zs'!$B$2,[1]ratio_ins!$B:$B,0))*$G482*INDEX([1]ratio_ins!$C:$C,MATCH('001_population_health_zone_zs'!$B482,[1]ratio_ins!$B:$B,0))</f>
        <v>2103.3452640000005</v>
      </c>
      <c r="U482" s="10">
        <f>INDEX([1]ratio_ins!S:S,MATCH('001_population_health_zone_zs'!$B$2,[1]ratio_ins!$B:$B,0))*$G482*INDEX([1]ratio_ins!$C:$C,MATCH('001_population_health_zone_zs'!$B482,[1]ratio_ins!$B:$B,0))</f>
        <v>1670.3035920000004</v>
      </c>
      <c r="V482" s="10">
        <f>INDEX([1]ratio_ins!T:T,MATCH('001_population_health_zone_zs'!$B$2,[1]ratio_ins!$B:$B,0))*$G482*INDEX([1]ratio_ins!$C:$C,MATCH('001_population_health_zone_zs'!$B482,[1]ratio_ins!$B:$B,0))</f>
        <v>927.94644000000005</v>
      </c>
      <c r="W482" s="11">
        <f>INDEX([1]ratio_ins!U:U,MATCH('001_population_health_zone_zs'!$B$2,[1]ratio_ins!$B:$B,0))*$G482*INDEX([1]ratio_ins!$C:$C,MATCH('001_population_health_zone_zs'!$B482,[1]ratio_ins!$B:$B,0))</f>
        <v>25314.378883200003</v>
      </c>
      <c r="X482" s="10">
        <f>INDEX([1]ratio_ins!V:V,MATCH('001_population_health_zone_zs'!$B$2,[1]ratio_ins!$B:$B,0))*$G482*INDEX([1]ratio_ins!$C:$C,MATCH('001_population_health_zone_zs'!$B482,[1]ratio_ins!$B:$B,0))</f>
        <v>742.35715200000004</v>
      </c>
      <c r="Y482" s="10">
        <f>INDEX([1]ratio_ins!W:W,MATCH('001_population_health_zone_zs'!$B$2,[1]ratio_ins!$B:$B,0))*$G482*INDEX([1]ratio_ins!$C:$C,MATCH('001_population_health_zone_zs'!$B482,[1]ratio_ins!$B:$B,0))</f>
        <v>494.90476800000005</v>
      </c>
      <c r="Z482" s="10">
        <f>INDEX([1]ratio_ins!X:X,MATCH('001_population_health_zone_zs'!$B$2,[1]ratio_ins!$B:$B,0))*$G482*INDEX([1]ratio_ins!$C:$C,MATCH('001_population_health_zone_zs'!$B482,[1]ratio_ins!$B:$B,0))</f>
        <v>247.45238400000002</v>
      </c>
      <c r="AA482" s="10">
        <f>INDEX([1]ratio_ins!Y:Y,MATCH('001_population_health_zone_zs'!$B$2,[1]ratio_ins!$B:$B,0))*$G482*INDEX([1]ratio_ins!$C:$C,MATCH('001_population_health_zone_zs'!$B482,[1]ratio_ins!$B:$B,0))</f>
        <v>123.72619200000001</v>
      </c>
      <c r="AB482" s="11">
        <f>INDEX([1]ratio_ins!Z:Z,MATCH('001_population_health_zone_zs'!$B$2,[1]ratio_ins!$B:$B,0))*$G482*INDEX([1]ratio_ins!$C:$C,MATCH('001_population_health_zone_zs'!$B482,[1]ratio_ins!$B:$B,0))</f>
        <v>1608.4404960000002</v>
      </c>
      <c r="AC482" s="12">
        <f t="shared" si="42"/>
        <v>61863.095999999998</v>
      </c>
      <c r="AD482" s="10">
        <f>INDEX([1]ratio_ins!AA:AA,MATCH('001_population_health_zone_zs'!$B$2,[1]ratio_ins!$B:$B,0))*$G482*INDEX([1]ratio_ins!$D:$D,MATCH('001_population_health_zone_zs'!$B482,[1]ratio_ins!$B:$B,0))</f>
        <v>13413.72984</v>
      </c>
      <c r="AE482" s="10">
        <f>INDEX([1]ratio_ins!AB:AB,MATCH('001_population_health_zone_zs'!$B$2,[1]ratio_ins!$B:$B,0))*$G482*INDEX([1]ratio_ins!$D:$D,MATCH('001_population_health_zone_zs'!$B482,[1]ratio_ins!$B:$B,0))</f>
        <v>11050.358392000002</v>
      </c>
      <c r="AF482" s="10">
        <f>INDEX([1]ratio_ins!AC:AC,MATCH('001_population_health_zone_zs'!$B$2,[1]ratio_ins!$B:$B,0))*$G482*INDEX([1]ratio_ins!$D:$D,MATCH('001_population_health_zone_zs'!$B482,[1]ratio_ins!$B:$B,0))</f>
        <v>8750.8618479999986</v>
      </c>
      <c r="AG482" s="10">
        <f>INDEX([1]ratio_ins!AD:AD,MATCH('001_population_health_zone_zs'!$B$2,[1]ratio_ins!$B:$B,0))*$G482*INDEX([1]ratio_ins!$D:$D,MATCH('001_population_health_zone_zs'!$B482,[1]ratio_ins!$B:$B,0))</f>
        <v>5301.6170320000001</v>
      </c>
      <c r="AH482" s="10">
        <f>INDEX([1]ratio_ins!AE:AE,MATCH('001_population_health_zone_zs'!$B$2,[1]ratio_ins!$B:$B,0))*$G482*INDEX([1]ratio_ins!$D:$D,MATCH('001_population_health_zone_zs'!$B482,[1]ratio_ins!$B:$B,0))</f>
        <v>3180.9702191999995</v>
      </c>
      <c r="AI482" s="13">
        <f>INDEX([1]ratio_ins!AF:AF,MATCH('001_population_health_zone_zs'!$B$2,[1]ratio_ins!$B:$B,0))*$G482*INDEX([1]ratio_ins!$D:$D,MATCH('001_population_health_zone_zs'!$B482,[1]ratio_ins!$B:$B,0))</f>
        <v>36395.920299199999</v>
      </c>
      <c r="AJ482" s="10">
        <f>INDEX([1]ratio_ins!AG:AG,MATCH('001_population_health_zone_zs'!$B$2,[1]ratio_ins!$B:$B,0))*$G482*INDEX([1]ratio_ins!$D:$D,MATCH('001_population_health_zone_zs'!$B482,[1]ratio_ins!$B:$B,0))</f>
        <v>2120.6468127999997</v>
      </c>
      <c r="AK482" s="10">
        <f>INDEX([1]ratio_ins!AH:AH,MATCH('001_population_health_zone_zs'!$B$2,[1]ratio_ins!$B:$B,0))*$G482*INDEX([1]ratio_ins!$D:$D,MATCH('001_population_health_zone_zs'!$B482,[1]ratio_ins!$B:$B,0))</f>
        <v>4726.7428960000007</v>
      </c>
      <c r="AL482" s="10">
        <f>INDEX([1]ratio_ins!AI:AI,MATCH('001_population_health_zone_zs'!$B$2,[1]ratio_ins!$B:$B,0))*$G482*INDEX([1]ratio_ins!$D:$D,MATCH('001_population_health_zone_zs'!$B482,[1]ratio_ins!$B:$B,0))</f>
        <v>4471.2432800000006</v>
      </c>
      <c r="AM482" s="10">
        <f>INDEX([1]ratio_ins!AJ:AJ,MATCH('001_population_health_zone_zs'!$B$2,[1]ratio_ins!$B:$B,0))*$G482*INDEX([1]ratio_ins!$D:$D,MATCH('001_population_health_zone_zs'!$B482,[1]ratio_ins!$B:$B,0))</f>
        <v>4087.9938560000001</v>
      </c>
      <c r="AN482" s="10">
        <f>INDEX([1]ratio_ins!AK:AK,MATCH('001_population_health_zone_zs'!$B$2,[1]ratio_ins!$B:$B,0))*$G482*INDEX([1]ratio_ins!$D:$D,MATCH('001_population_health_zone_zs'!$B482,[1]ratio_ins!$B:$B,0))</f>
        <v>3832.49424</v>
      </c>
      <c r="AO482" s="10">
        <f>INDEX([1]ratio_ins!AL:AL,MATCH('001_population_health_zone_zs'!$B$2,[1]ratio_ins!$B:$B,0))*$G482*INDEX([1]ratio_ins!$D:$D,MATCH('001_population_health_zone_zs'!$B482,[1]ratio_ins!$B:$B,0))</f>
        <v>2874.37068</v>
      </c>
      <c r="AP482" s="10">
        <f>INDEX([1]ratio_ins!AM:AM,MATCH('001_population_health_zone_zs'!$B$2,[1]ratio_ins!$B:$B,0))*$G482*INDEX([1]ratio_ins!$D:$D,MATCH('001_population_health_zone_zs'!$B482,[1]ratio_ins!$B:$B,0))</f>
        <v>1852.3722159999998</v>
      </c>
      <c r="AQ482" s="10">
        <f>INDEX([1]ratio_ins!AN:AN,MATCH('001_population_health_zone_zs'!$B$2,[1]ratio_ins!$B:$B,0))*$G482*INDEX([1]ratio_ins!$D:$D,MATCH('001_population_health_zone_zs'!$B482,[1]ratio_ins!$B:$B,0))</f>
        <v>1469.1227920000001</v>
      </c>
      <c r="AR482" s="10">
        <f>INDEX([1]ratio_ins!AO:AO,MATCH('001_population_health_zone_zs'!$B$2,[1]ratio_ins!$B:$B,0))*$G482*INDEX([1]ratio_ins!$D:$D,MATCH('001_population_health_zone_zs'!$B482,[1]ratio_ins!$B:$B,0))</f>
        <v>702.62394400000005</v>
      </c>
      <c r="AS482" s="13">
        <f>INDEX([1]ratio_ins!AP:AP,MATCH('001_population_health_zone_zs'!$B$2,[1]ratio_ins!$B:$B,0))*$G482*INDEX([1]ratio_ins!$D:$D,MATCH('001_population_health_zone_zs'!$B482,[1]ratio_ins!$B:$B,0))</f>
        <v>26137.610716800002</v>
      </c>
      <c r="AT482" s="10">
        <f>INDEX([1]ratio_ins!AQ:AQ,MATCH('001_population_health_zone_zs'!$B$2,[1]ratio_ins!$B:$B,0))*$G482*INDEX([1]ratio_ins!$D:$D,MATCH('001_population_health_zone_zs'!$B482,[1]ratio_ins!$B:$B,0))</f>
        <v>638.74904000000004</v>
      </c>
      <c r="AU482" s="10">
        <f>INDEX([1]ratio_ins!AR:AR,MATCH('001_population_health_zone_zs'!$B$2,[1]ratio_ins!$B:$B,0))*$G482*INDEX([1]ratio_ins!$D:$D,MATCH('001_population_health_zone_zs'!$B482,[1]ratio_ins!$B:$B,0))</f>
        <v>383.24942399999998</v>
      </c>
      <c r="AV482" s="10">
        <f>INDEX([1]ratio_ins!AS:AS,MATCH('001_population_health_zone_zs'!$B$2,[1]ratio_ins!$B:$B,0))*$G482*INDEX([1]ratio_ins!$D:$D,MATCH('001_population_health_zone_zs'!$B482,[1]ratio_ins!$B:$B,0))</f>
        <v>191.62471199999999</v>
      </c>
      <c r="AW482" s="10">
        <f>INDEX([1]ratio_ins!AT:AT,MATCH('001_population_health_zone_zs'!$B$2,[1]ratio_ins!$B:$B,0))*$G482*INDEX([1]ratio_ins!$D:$D,MATCH('001_population_health_zone_zs'!$B482,[1]ratio_ins!$B:$B,0))</f>
        <v>127.749808</v>
      </c>
      <c r="AX482" s="13">
        <f>INDEX([1]ratio_ins!AU:AU,MATCH('001_population_health_zone_zs'!$B$2,[1]ratio_ins!$B:$B,0))*$G482*INDEX([1]ratio_ins!$D:$D,MATCH('001_population_health_zone_zs'!$B482,[1]ratio_ins!$B:$B,0))</f>
        <v>1341.3729839999999</v>
      </c>
      <c r="AY482" s="14">
        <f t="shared" si="43"/>
        <v>63874.904000000002</v>
      </c>
      <c r="AZ482" s="15">
        <f t="shared" si="44"/>
        <v>125738</v>
      </c>
      <c r="BA482" s="16">
        <v>121068.95691605611</v>
      </c>
      <c r="BB482" s="10">
        <f t="shared" si="45"/>
        <v>27146.834200000001</v>
      </c>
      <c r="BC482" s="17">
        <f t="shared" si="46"/>
        <v>0.21590000000000001</v>
      </c>
      <c r="BD482" s="10">
        <f t="shared" si="47"/>
        <v>25796.911032</v>
      </c>
    </row>
    <row r="483" spans="1:56" x14ac:dyDescent="0.25">
      <c r="A483" s="8" t="s">
        <v>1178</v>
      </c>
      <c r="B483" s="8" t="s">
        <v>1179</v>
      </c>
      <c r="C483" s="8" t="s">
        <v>1193</v>
      </c>
      <c r="D483" s="8" t="s">
        <v>1194</v>
      </c>
      <c r="E483" s="8" t="s">
        <v>1195</v>
      </c>
      <c r="F483" s="8" t="s">
        <v>1196</v>
      </c>
      <c r="G483" s="9">
        <v>119277</v>
      </c>
      <c r="H483" s="10">
        <f>INDEX([1]ratio_ins!F:F,MATCH('001_population_health_zone_zs'!$B$2,[1]ratio_ins!$B:$B,0))*$G483*INDEX([1]ratio_ins!$C:$C,MATCH('001_population_health_zone_zs'!$B483,[1]ratio_ins!$B:$B,0))</f>
        <v>12265.015356000002</v>
      </c>
      <c r="I483" s="10">
        <f>INDEX([1]ratio_ins!G:G,MATCH('001_population_health_zone_zs'!$B$2,[1]ratio_ins!$B:$B,0))*$G483*INDEX([1]ratio_ins!$C:$C,MATCH('001_population_health_zone_zs'!$B483,[1]ratio_ins!$B:$B,0))</f>
        <v>10035.012564000002</v>
      </c>
      <c r="J483" s="10">
        <f>INDEX([1]ratio_ins!H:H,MATCH('001_population_health_zone_zs'!$B$2,[1]ratio_ins!$B:$B,0))*$G483*INDEX([1]ratio_ins!$C:$C,MATCH('001_population_health_zone_zs'!$B483,[1]ratio_ins!$B:$B,0))</f>
        <v>7922.3783400000011</v>
      </c>
      <c r="K483" s="10">
        <f>INDEX([1]ratio_ins!I:I,MATCH('001_population_health_zone_zs'!$B$2,[1]ratio_ins!$B:$B,0))*$G483*INDEX([1]ratio_ins!$C:$C,MATCH('001_population_health_zone_zs'!$B483,[1]ratio_ins!$B:$B,0))</f>
        <v>4870.7955720000009</v>
      </c>
      <c r="L483" s="10">
        <f>INDEX([1]ratio_ins!J:J,MATCH('001_population_health_zone_zs'!$B$2,[1]ratio_ins!$B:$B,0))*$G483*INDEX([1]ratio_ins!$C:$C,MATCH('001_population_health_zone_zs'!$B483,[1]ratio_ins!$B:$B,0))</f>
        <v>2922.4773432000002</v>
      </c>
      <c r="M483" s="11">
        <f>INDEX([1]ratio_ins!K:K,MATCH('001_population_health_zone_zs'!$B$2,[1]ratio_ins!$B:$B,0))*$G483*INDEX([1]ratio_ins!$C:$C,MATCH('001_population_health_zone_zs'!$B483,[1]ratio_ins!$B:$B,0))</f>
        <v>33144.883603199996</v>
      </c>
      <c r="N483" s="10">
        <f>INDEX([1]ratio_ins!L:L,MATCH('001_population_health_zone_zs'!$B$2,[1]ratio_ins!$B:$B,0))*$G483*INDEX([1]ratio_ins!$C:$C,MATCH('001_population_health_zone_zs'!$B483,[1]ratio_ins!$B:$B,0))</f>
        <v>1948.3182288000003</v>
      </c>
      <c r="O483" s="10">
        <f>INDEX([1]ratio_ins!M:M,MATCH('001_population_health_zone_zs'!$B$2,[1]ratio_ins!$B:$B,0))*$G483*INDEX([1]ratio_ins!$C:$C,MATCH('001_population_health_zone_zs'!$B483,[1]ratio_ins!$B:$B,0))</f>
        <v>4225.2684480000007</v>
      </c>
      <c r="P483" s="10">
        <f>INDEX([1]ratio_ins!N:N,MATCH('001_population_health_zone_zs'!$B$2,[1]ratio_ins!$B:$B,0))*$G483*INDEX([1]ratio_ins!$C:$C,MATCH('001_population_health_zone_zs'!$B483,[1]ratio_ins!$B:$B,0))</f>
        <v>3814.4784600000003</v>
      </c>
      <c r="Q483" s="10">
        <f>INDEX([1]ratio_ins!O:O,MATCH('001_population_health_zone_zs'!$B$2,[1]ratio_ins!$B:$B,0))*$G483*INDEX([1]ratio_ins!$C:$C,MATCH('001_population_health_zone_zs'!$B483,[1]ratio_ins!$B:$B,0))</f>
        <v>3403.6884720000003</v>
      </c>
      <c r="R483" s="10">
        <f>INDEX([1]ratio_ins!P:P,MATCH('001_population_health_zone_zs'!$B$2,[1]ratio_ins!$B:$B,0))*$G483*INDEX([1]ratio_ins!$C:$C,MATCH('001_population_health_zone_zs'!$B483,[1]ratio_ins!$B:$B,0))</f>
        <v>3345.0041880000008</v>
      </c>
      <c r="S483" s="10">
        <f>INDEX([1]ratio_ins!Q:Q,MATCH('001_population_health_zone_zs'!$B$2,[1]ratio_ins!$B:$B,0))*$G483*INDEX([1]ratio_ins!$C:$C,MATCH('001_population_health_zone_zs'!$B483,[1]ratio_ins!$B:$B,0))</f>
        <v>2816.8456320000005</v>
      </c>
      <c r="T483" s="10">
        <f>INDEX([1]ratio_ins!R:R,MATCH('001_population_health_zone_zs'!$B$2,[1]ratio_ins!$B:$B,0))*$G483*INDEX([1]ratio_ins!$C:$C,MATCH('001_population_health_zone_zs'!$B483,[1]ratio_ins!$B:$B,0))</f>
        <v>1995.2656560000003</v>
      </c>
      <c r="U483" s="10">
        <f>INDEX([1]ratio_ins!S:S,MATCH('001_population_health_zone_zs'!$B$2,[1]ratio_ins!$B:$B,0))*$G483*INDEX([1]ratio_ins!$C:$C,MATCH('001_population_health_zone_zs'!$B483,[1]ratio_ins!$B:$B,0))</f>
        <v>1584.4756680000003</v>
      </c>
      <c r="V483" s="10">
        <f>INDEX([1]ratio_ins!T:T,MATCH('001_population_health_zone_zs'!$B$2,[1]ratio_ins!$B:$B,0))*$G483*INDEX([1]ratio_ins!$C:$C,MATCH('001_population_health_zone_zs'!$B483,[1]ratio_ins!$B:$B,0))</f>
        <v>880.26426000000004</v>
      </c>
      <c r="W483" s="11">
        <f>INDEX([1]ratio_ins!U:U,MATCH('001_population_health_zone_zs'!$B$2,[1]ratio_ins!$B:$B,0))*$G483*INDEX([1]ratio_ins!$C:$C,MATCH('001_population_health_zone_zs'!$B483,[1]ratio_ins!$B:$B,0))</f>
        <v>24013.609012800003</v>
      </c>
      <c r="X483" s="10">
        <f>INDEX([1]ratio_ins!V:V,MATCH('001_population_health_zone_zs'!$B$2,[1]ratio_ins!$B:$B,0))*$G483*INDEX([1]ratio_ins!$C:$C,MATCH('001_population_health_zone_zs'!$B483,[1]ratio_ins!$B:$B,0))</f>
        <v>704.21140800000012</v>
      </c>
      <c r="Y483" s="10">
        <f>INDEX([1]ratio_ins!W:W,MATCH('001_population_health_zone_zs'!$B$2,[1]ratio_ins!$B:$B,0))*$G483*INDEX([1]ratio_ins!$C:$C,MATCH('001_population_health_zone_zs'!$B483,[1]ratio_ins!$B:$B,0))</f>
        <v>469.47427200000004</v>
      </c>
      <c r="Z483" s="10">
        <f>INDEX([1]ratio_ins!X:X,MATCH('001_population_health_zone_zs'!$B$2,[1]ratio_ins!$B:$B,0))*$G483*INDEX([1]ratio_ins!$C:$C,MATCH('001_population_health_zone_zs'!$B483,[1]ratio_ins!$B:$B,0))</f>
        <v>234.73713600000002</v>
      </c>
      <c r="AA483" s="10">
        <f>INDEX([1]ratio_ins!Y:Y,MATCH('001_population_health_zone_zs'!$B$2,[1]ratio_ins!$B:$B,0))*$G483*INDEX([1]ratio_ins!$C:$C,MATCH('001_population_health_zone_zs'!$B483,[1]ratio_ins!$B:$B,0))</f>
        <v>117.36856800000001</v>
      </c>
      <c r="AB483" s="11">
        <f>INDEX([1]ratio_ins!Z:Z,MATCH('001_population_health_zone_zs'!$B$2,[1]ratio_ins!$B:$B,0))*$G483*INDEX([1]ratio_ins!$C:$C,MATCH('001_population_health_zone_zs'!$B483,[1]ratio_ins!$B:$B,0))</f>
        <v>1525.7913840000003</v>
      </c>
      <c r="AC483" s="12">
        <f t="shared" si="42"/>
        <v>58684.284000000007</v>
      </c>
      <c r="AD483" s="10">
        <f>INDEX([1]ratio_ins!AA:AA,MATCH('001_population_health_zone_zs'!$B$2,[1]ratio_ins!$B:$B,0))*$G483*INDEX([1]ratio_ins!$D:$D,MATCH('001_population_health_zone_zs'!$B483,[1]ratio_ins!$B:$B,0))</f>
        <v>12724.470359999999</v>
      </c>
      <c r="AE483" s="10">
        <f>INDEX([1]ratio_ins!AB:AB,MATCH('001_population_health_zone_zs'!$B$2,[1]ratio_ins!$B:$B,0))*$G483*INDEX([1]ratio_ins!$D:$D,MATCH('001_population_health_zone_zs'!$B483,[1]ratio_ins!$B:$B,0))</f>
        <v>10482.539868000002</v>
      </c>
      <c r="AF483" s="10">
        <f>INDEX([1]ratio_ins!AC:AC,MATCH('001_population_health_zone_zs'!$B$2,[1]ratio_ins!$B:$B,0))*$G483*INDEX([1]ratio_ins!$D:$D,MATCH('001_population_health_zone_zs'!$B483,[1]ratio_ins!$B:$B,0))</f>
        <v>8301.2020919999995</v>
      </c>
      <c r="AG483" s="10">
        <f>INDEX([1]ratio_ins!AD:AD,MATCH('001_population_health_zone_zs'!$B$2,[1]ratio_ins!$B:$B,0))*$G483*INDEX([1]ratio_ins!$D:$D,MATCH('001_population_health_zone_zs'!$B483,[1]ratio_ins!$B:$B,0))</f>
        <v>5029.195428</v>
      </c>
      <c r="AH483" s="10">
        <f>INDEX([1]ratio_ins!AE:AE,MATCH('001_population_health_zone_zs'!$B$2,[1]ratio_ins!$B:$B,0))*$G483*INDEX([1]ratio_ins!$D:$D,MATCH('001_population_health_zone_zs'!$B483,[1]ratio_ins!$B:$B,0))</f>
        <v>3017.5172567999998</v>
      </c>
      <c r="AI483" s="13">
        <f>INDEX([1]ratio_ins!AF:AF,MATCH('001_population_health_zone_zs'!$B$2,[1]ratio_ins!$B:$B,0))*$G483*INDEX([1]ratio_ins!$D:$D,MATCH('001_population_health_zone_zs'!$B483,[1]ratio_ins!$B:$B,0))</f>
        <v>34525.729576799997</v>
      </c>
      <c r="AJ483" s="10">
        <f>INDEX([1]ratio_ins!AG:AG,MATCH('001_population_health_zone_zs'!$B$2,[1]ratio_ins!$B:$B,0))*$G483*INDEX([1]ratio_ins!$D:$D,MATCH('001_population_health_zone_zs'!$B483,[1]ratio_ins!$B:$B,0))</f>
        <v>2011.6781712</v>
      </c>
      <c r="AK483" s="10">
        <f>INDEX([1]ratio_ins!AH:AH,MATCH('001_population_health_zone_zs'!$B$2,[1]ratio_ins!$B:$B,0))*$G483*INDEX([1]ratio_ins!$D:$D,MATCH('001_population_health_zone_zs'!$B483,[1]ratio_ins!$B:$B,0))</f>
        <v>4483.8609840000008</v>
      </c>
      <c r="AL483" s="10">
        <f>INDEX([1]ratio_ins!AI:AI,MATCH('001_population_health_zone_zs'!$B$2,[1]ratio_ins!$B:$B,0))*$G483*INDEX([1]ratio_ins!$D:$D,MATCH('001_population_health_zone_zs'!$B483,[1]ratio_ins!$B:$B,0))</f>
        <v>4241.4901200000004</v>
      </c>
      <c r="AM483" s="10">
        <f>INDEX([1]ratio_ins!AJ:AJ,MATCH('001_population_health_zone_zs'!$B$2,[1]ratio_ins!$B:$B,0))*$G483*INDEX([1]ratio_ins!$D:$D,MATCH('001_population_health_zone_zs'!$B483,[1]ratio_ins!$B:$B,0))</f>
        <v>3877.9338240000002</v>
      </c>
      <c r="AN483" s="10">
        <f>INDEX([1]ratio_ins!AK:AK,MATCH('001_population_health_zone_zs'!$B$2,[1]ratio_ins!$B:$B,0))*$G483*INDEX([1]ratio_ins!$D:$D,MATCH('001_population_health_zone_zs'!$B483,[1]ratio_ins!$B:$B,0))</f>
        <v>3635.5629600000002</v>
      </c>
      <c r="AO483" s="10">
        <f>INDEX([1]ratio_ins!AL:AL,MATCH('001_population_health_zone_zs'!$B$2,[1]ratio_ins!$B:$B,0))*$G483*INDEX([1]ratio_ins!$D:$D,MATCH('001_population_health_zone_zs'!$B483,[1]ratio_ins!$B:$B,0))</f>
        <v>2726.6722199999999</v>
      </c>
      <c r="AP483" s="10">
        <f>INDEX([1]ratio_ins!AM:AM,MATCH('001_population_health_zone_zs'!$B$2,[1]ratio_ins!$B:$B,0))*$G483*INDEX([1]ratio_ins!$D:$D,MATCH('001_population_health_zone_zs'!$B483,[1]ratio_ins!$B:$B,0))</f>
        <v>1757.188764</v>
      </c>
      <c r="AQ483" s="10">
        <f>INDEX([1]ratio_ins!AN:AN,MATCH('001_population_health_zone_zs'!$B$2,[1]ratio_ins!$B:$B,0))*$G483*INDEX([1]ratio_ins!$D:$D,MATCH('001_population_health_zone_zs'!$B483,[1]ratio_ins!$B:$B,0))</f>
        <v>1393.632468</v>
      </c>
      <c r="AR483" s="10">
        <f>INDEX([1]ratio_ins!AO:AO,MATCH('001_population_health_zone_zs'!$B$2,[1]ratio_ins!$B:$B,0))*$G483*INDEX([1]ratio_ins!$D:$D,MATCH('001_population_health_zone_zs'!$B483,[1]ratio_ins!$B:$B,0))</f>
        <v>666.51987600000007</v>
      </c>
      <c r="AS483" s="13">
        <f>INDEX([1]ratio_ins!AP:AP,MATCH('001_population_health_zone_zs'!$B$2,[1]ratio_ins!$B:$B,0))*$G483*INDEX([1]ratio_ins!$D:$D,MATCH('001_population_health_zone_zs'!$B483,[1]ratio_ins!$B:$B,0))</f>
        <v>24794.539387199999</v>
      </c>
      <c r="AT483" s="10">
        <f>INDEX([1]ratio_ins!AQ:AQ,MATCH('001_population_health_zone_zs'!$B$2,[1]ratio_ins!$B:$B,0))*$G483*INDEX([1]ratio_ins!$D:$D,MATCH('001_population_health_zone_zs'!$B483,[1]ratio_ins!$B:$B,0))</f>
        <v>605.92715999999996</v>
      </c>
      <c r="AU483" s="10">
        <f>INDEX([1]ratio_ins!AR:AR,MATCH('001_population_health_zone_zs'!$B$2,[1]ratio_ins!$B:$B,0))*$G483*INDEX([1]ratio_ins!$D:$D,MATCH('001_population_health_zone_zs'!$B483,[1]ratio_ins!$B:$B,0))</f>
        <v>363.55629600000003</v>
      </c>
      <c r="AV483" s="10">
        <f>INDEX([1]ratio_ins!AS:AS,MATCH('001_population_health_zone_zs'!$B$2,[1]ratio_ins!$B:$B,0))*$G483*INDEX([1]ratio_ins!$D:$D,MATCH('001_population_health_zone_zs'!$B483,[1]ratio_ins!$B:$B,0))</f>
        <v>181.77814800000002</v>
      </c>
      <c r="AW483" s="10">
        <f>INDEX([1]ratio_ins!AT:AT,MATCH('001_population_health_zone_zs'!$B$2,[1]ratio_ins!$B:$B,0))*$G483*INDEX([1]ratio_ins!$D:$D,MATCH('001_population_health_zone_zs'!$B483,[1]ratio_ins!$B:$B,0))</f>
        <v>121.18543200000001</v>
      </c>
      <c r="AX483" s="13">
        <f>INDEX([1]ratio_ins!AU:AU,MATCH('001_population_health_zone_zs'!$B$2,[1]ratio_ins!$B:$B,0))*$G483*INDEX([1]ratio_ins!$D:$D,MATCH('001_population_health_zone_zs'!$B483,[1]ratio_ins!$B:$B,0))</f>
        <v>1272.4470359999998</v>
      </c>
      <c r="AY483" s="14">
        <f t="shared" si="43"/>
        <v>60592.715999999993</v>
      </c>
      <c r="AZ483" s="15">
        <f t="shared" si="44"/>
        <v>119277</v>
      </c>
      <c r="BA483" s="16">
        <v>114847.34942329198</v>
      </c>
      <c r="BB483" s="10">
        <f t="shared" si="45"/>
        <v>25751.904300000002</v>
      </c>
      <c r="BC483" s="17">
        <f t="shared" si="46"/>
        <v>0.21590000000000001</v>
      </c>
      <c r="BD483" s="10">
        <f t="shared" si="47"/>
        <v>24471.346428000004</v>
      </c>
    </row>
    <row r="484" spans="1:56" x14ac:dyDescent="0.25">
      <c r="A484" s="8" t="s">
        <v>1178</v>
      </c>
      <c r="B484" s="8" t="s">
        <v>1179</v>
      </c>
      <c r="C484" s="8" t="s">
        <v>1193</v>
      </c>
      <c r="D484" s="8" t="s">
        <v>1194</v>
      </c>
      <c r="E484" s="8" t="s">
        <v>1193</v>
      </c>
      <c r="F484" s="8" t="s">
        <v>1197</v>
      </c>
      <c r="G484" s="9">
        <v>157435</v>
      </c>
      <c r="H484" s="10">
        <f>INDEX([1]ratio_ins!F:F,MATCH('001_population_health_zone_zs'!$B$2,[1]ratio_ins!$B:$B,0))*$G484*INDEX([1]ratio_ins!$C:$C,MATCH('001_population_health_zone_zs'!$B484,[1]ratio_ins!$B:$B,0))</f>
        <v>16188.726180000001</v>
      </c>
      <c r="I484" s="10">
        <f>INDEX([1]ratio_ins!G:G,MATCH('001_population_health_zone_zs'!$B$2,[1]ratio_ins!$B:$B,0))*$G484*INDEX([1]ratio_ins!$C:$C,MATCH('001_population_health_zone_zs'!$B484,[1]ratio_ins!$B:$B,0))</f>
        <v>13245.321420000002</v>
      </c>
      <c r="J484" s="10">
        <f>INDEX([1]ratio_ins!H:H,MATCH('001_population_health_zone_zs'!$B$2,[1]ratio_ins!$B:$B,0))*$G484*INDEX([1]ratio_ins!$C:$C,MATCH('001_population_health_zone_zs'!$B484,[1]ratio_ins!$B:$B,0))</f>
        <v>10456.832700000003</v>
      </c>
      <c r="K484" s="10">
        <f>INDEX([1]ratio_ins!I:I,MATCH('001_population_health_zone_zs'!$B$2,[1]ratio_ins!$B:$B,0))*$G484*INDEX([1]ratio_ins!$C:$C,MATCH('001_population_health_zone_zs'!$B484,[1]ratio_ins!$B:$B,0))</f>
        <v>6429.0156600000009</v>
      </c>
      <c r="L484" s="10">
        <f>INDEX([1]ratio_ins!J:J,MATCH('001_population_health_zone_zs'!$B$2,[1]ratio_ins!$B:$B,0))*$G484*INDEX([1]ratio_ins!$C:$C,MATCH('001_population_health_zone_zs'!$B484,[1]ratio_ins!$B:$B,0))</f>
        <v>3857.4093960000005</v>
      </c>
      <c r="M484" s="11">
        <f>INDEX([1]ratio_ins!K:K,MATCH('001_population_health_zone_zs'!$B$2,[1]ratio_ins!$B:$B,0))*$G484*INDEX([1]ratio_ins!$C:$C,MATCH('001_population_health_zone_zs'!$B484,[1]ratio_ins!$B:$B,0))</f>
        <v>43748.289696000007</v>
      </c>
      <c r="N484" s="10">
        <f>INDEX([1]ratio_ins!L:L,MATCH('001_population_health_zone_zs'!$B$2,[1]ratio_ins!$B:$B,0))*$G484*INDEX([1]ratio_ins!$C:$C,MATCH('001_population_health_zone_zs'!$B484,[1]ratio_ins!$B:$B,0))</f>
        <v>2571.606264</v>
      </c>
      <c r="O484" s="10">
        <f>INDEX([1]ratio_ins!M:M,MATCH('001_population_health_zone_zs'!$B$2,[1]ratio_ins!$B:$B,0))*$G484*INDEX([1]ratio_ins!$C:$C,MATCH('001_population_health_zone_zs'!$B484,[1]ratio_ins!$B:$B,0))</f>
        <v>5576.9774400000015</v>
      </c>
      <c r="P484" s="10">
        <f>INDEX([1]ratio_ins!N:N,MATCH('001_population_health_zone_zs'!$B$2,[1]ratio_ins!$B:$B,0))*$G484*INDEX([1]ratio_ins!$C:$C,MATCH('001_population_health_zone_zs'!$B484,[1]ratio_ins!$B:$B,0))</f>
        <v>5034.7713000000003</v>
      </c>
      <c r="Q484" s="10">
        <f>INDEX([1]ratio_ins!O:O,MATCH('001_population_health_zone_zs'!$B$2,[1]ratio_ins!$B:$B,0))*$G484*INDEX([1]ratio_ins!$C:$C,MATCH('001_population_health_zone_zs'!$B484,[1]ratio_ins!$B:$B,0))</f>
        <v>4492.5651600000001</v>
      </c>
      <c r="R484" s="10">
        <f>INDEX([1]ratio_ins!P:P,MATCH('001_population_health_zone_zs'!$B$2,[1]ratio_ins!$B:$B,0))*$G484*INDEX([1]ratio_ins!$C:$C,MATCH('001_population_health_zone_zs'!$B484,[1]ratio_ins!$B:$B,0))</f>
        <v>4415.1071400000001</v>
      </c>
      <c r="S484" s="10">
        <f>INDEX([1]ratio_ins!Q:Q,MATCH('001_population_health_zone_zs'!$B$2,[1]ratio_ins!$B:$B,0))*$G484*INDEX([1]ratio_ins!$C:$C,MATCH('001_population_health_zone_zs'!$B484,[1]ratio_ins!$B:$B,0))</f>
        <v>3717.9849600000002</v>
      </c>
      <c r="T484" s="10">
        <f>INDEX([1]ratio_ins!R:R,MATCH('001_population_health_zone_zs'!$B$2,[1]ratio_ins!$B:$B,0))*$G484*INDEX([1]ratio_ins!$C:$C,MATCH('001_population_health_zone_zs'!$B484,[1]ratio_ins!$B:$B,0))</f>
        <v>2633.5726800000002</v>
      </c>
      <c r="U484" s="10">
        <f>INDEX([1]ratio_ins!S:S,MATCH('001_population_health_zone_zs'!$B$2,[1]ratio_ins!$B:$B,0))*$G484*INDEX([1]ratio_ins!$C:$C,MATCH('001_population_health_zone_zs'!$B484,[1]ratio_ins!$B:$B,0))</f>
        <v>2091.3665400000004</v>
      </c>
      <c r="V484" s="10">
        <f>INDEX([1]ratio_ins!T:T,MATCH('001_population_health_zone_zs'!$B$2,[1]ratio_ins!$B:$B,0))*$G484*INDEX([1]ratio_ins!$C:$C,MATCH('001_population_health_zone_zs'!$B484,[1]ratio_ins!$B:$B,0))</f>
        <v>1161.8703000000003</v>
      </c>
      <c r="W484" s="11">
        <f>INDEX([1]ratio_ins!U:U,MATCH('001_population_health_zone_zs'!$B$2,[1]ratio_ins!$B:$B,0))*$G484*INDEX([1]ratio_ins!$C:$C,MATCH('001_population_health_zone_zs'!$B484,[1]ratio_ins!$B:$B,0))</f>
        <v>31695.821784000003</v>
      </c>
      <c r="X484" s="10">
        <f>INDEX([1]ratio_ins!V:V,MATCH('001_population_health_zone_zs'!$B$2,[1]ratio_ins!$B:$B,0))*$G484*INDEX([1]ratio_ins!$C:$C,MATCH('001_population_health_zone_zs'!$B484,[1]ratio_ins!$B:$B,0))</f>
        <v>929.49624000000006</v>
      </c>
      <c r="Y484" s="10">
        <f>INDEX([1]ratio_ins!W:W,MATCH('001_population_health_zone_zs'!$B$2,[1]ratio_ins!$B:$B,0))*$G484*INDEX([1]ratio_ins!$C:$C,MATCH('001_population_health_zone_zs'!$B484,[1]ratio_ins!$B:$B,0))</f>
        <v>619.66416000000004</v>
      </c>
      <c r="Z484" s="10">
        <f>INDEX([1]ratio_ins!X:X,MATCH('001_population_health_zone_zs'!$B$2,[1]ratio_ins!$B:$B,0))*$G484*INDEX([1]ratio_ins!$C:$C,MATCH('001_population_health_zone_zs'!$B484,[1]ratio_ins!$B:$B,0))</f>
        <v>309.83208000000002</v>
      </c>
      <c r="AA484" s="10">
        <f>INDEX([1]ratio_ins!Y:Y,MATCH('001_population_health_zone_zs'!$B$2,[1]ratio_ins!$B:$B,0))*$G484*INDEX([1]ratio_ins!$C:$C,MATCH('001_population_health_zone_zs'!$B484,[1]ratio_ins!$B:$B,0))</f>
        <v>154.91604000000001</v>
      </c>
      <c r="AB484" s="11">
        <f>INDEX([1]ratio_ins!Z:Z,MATCH('001_population_health_zone_zs'!$B$2,[1]ratio_ins!$B:$B,0))*$G484*INDEX([1]ratio_ins!$C:$C,MATCH('001_population_health_zone_zs'!$B484,[1]ratio_ins!$B:$B,0))</f>
        <v>2013.9085200000004</v>
      </c>
      <c r="AC484" s="12">
        <f t="shared" si="42"/>
        <v>77458.02</v>
      </c>
      <c r="AD484" s="10">
        <f>INDEX([1]ratio_ins!AA:AA,MATCH('001_population_health_zone_zs'!$B$2,[1]ratio_ins!$B:$B,0))*$G484*INDEX([1]ratio_ins!$D:$D,MATCH('001_population_health_zone_zs'!$B484,[1]ratio_ins!$B:$B,0))</f>
        <v>16795.165799999999</v>
      </c>
      <c r="AE484" s="10">
        <f>INDEX([1]ratio_ins!AB:AB,MATCH('001_population_health_zone_zs'!$B$2,[1]ratio_ins!$B:$B,0))*$G484*INDEX([1]ratio_ins!$D:$D,MATCH('001_population_health_zone_zs'!$B484,[1]ratio_ins!$B:$B,0))</f>
        <v>13836.017540000001</v>
      </c>
      <c r="AF484" s="10">
        <f>INDEX([1]ratio_ins!AC:AC,MATCH('001_population_health_zone_zs'!$B$2,[1]ratio_ins!$B:$B,0))*$G484*INDEX([1]ratio_ins!$D:$D,MATCH('001_population_health_zone_zs'!$B484,[1]ratio_ins!$B:$B,0))</f>
        <v>10956.846259999998</v>
      </c>
      <c r="AG484" s="10">
        <f>INDEX([1]ratio_ins!AD:AD,MATCH('001_population_health_zone_zs'!$B$2,[1]ratio_ins!$B:$B,0))*$G484*INDEX([1]ratio_ins!$D:$D,MATCH('001_population_health_zone_zs'!$B484,[1]ratio_ins!$B:$B,0))</f>
        <v>6638.0893400000004</v>
      </c>
      <c r="AH484" s="10">
        <f>INDEX([1]ratio_ins!AE:AE,MATCH('001_population_health_zone_zs'!$B$2,[1]ratio_ins!$B:$B,0))*$G484*INDEX([1]ratio_ins!$D:$D,MATCH('001_population_health_zone_zs'!$B484,[1]ratio_ins!$B:$B,0))</f>
        <v>3982.8536039999999</v>
      </c>
      <c r="AI484" s="13">
        <f>INDEX([1]ratio_ins!AF:AF,MATCH('001_population_health_zone_zs'!$B$2,[1]ratio_ins!$B:$B,0))*$G484*INDEX([1]ratio_ins!$D:$D,MATCH('001_population_health_zone_zs'!$B484,[1]ratio_ins!$B:$B,0))</f>
        <v>45570.883203999998</v>
      </c>
      <c r="AJ484" s="10">
        <f>INDEX([1]ratio_ins!AG:AG,MATCH('001_population_health_zone_zs'!$B$2,[1]ratio_ins!$B:$B,0))*$G484*INDEX([1]ratio_ins!$D:$D,MATCH('001_population_health_zone_zs'!$B484,[1]ratio_ins!$B:$B,0))</f>
        <v>2655.2357359999996</v>
      </c>
      <c r="AK484" s="10">
        <f>INDEX([1]ratio_ins!AH:AH,MATCH('001_population_health_zone_zs'!$B$2,[1]ratio_ins!$B:$B,0))*$G484*INDEX([1]ratio_ins!$D:$D,MATCH('001_population_health_zone_zs'!$B484,[1]ratio_ins!$B:$B,0))</f>
        <v>5918.2965200000017</v>
      </c>
      <c r="AL484" s="10">
        <f>INDEX([1]ratio_ins!AI:AI,MATCH('001_population_health_zone_zs'!$B$2,[1]ratio_ins!$B:$B,0))*$G484*INDEX([1]ratio_ins!$D:$D,MATCH('001_population_health_zone_zs'!$B484,[1]ratio_ins!$B:$B,0))</f>
        <v>5598.3886000000002</v>
      </c>
      <c r="AM484" s="10">
        <f>INDEX([1]ratio_ins!AJ:AJ,MATCH('001_population_health_zone_zs'!$B$2,[1]ratio_ins!$B:$B,0))*$G484*INDEX([1]ratio_ins!$D:$D,MATCH('001_population_health_zone_zs'!$B484,[1]ratio_ins!$B:$B,0))</f>
        <v>5118.5267199999998</v>
      </c>
      <c r="AN484" s="10">
        <f>INDEX([1]ratio_ins!AK:AK,MATCH('001_population_health_zone_zs'!$B$2,[1]ratio_ins!$B:$B,0))*$G484*INDEX([1]ratio_ins!$D:$D,MATCH('001_population_health_zone_zs'!$B484,[1]ratio_ins!$B:$B,0))</f>
        <v>4798.6188000000002</v>
      </c>
      <c r="AO484" s="10">
        <f>INDEX([1]ratio_ins!AL:AL,MATCH('001_population_health_zone_zs'!$B$2,[1]ratio_ins!$B:$B,0))*$G484*INDEX([1]ratio_ins!$D:$D,MATCH('001_population_health_zone_zs'!$B484,[1]ratio_ins!$B:$B,0))</f>
        <v>3598.9641000000001</v>
      </c>
      <c r="AP484" s="10">
        <f>INDEX([1]ratio_ins!AM:AM,MATCH('001_population_health_zone_zs'!$B$2,[1]ratio_ins!$B:$B,0))*$G484*INDEX([1]ratio_ins!$D:$D,MATCH('001_population_health_zone_zs'!$B484,[1]ratio_ins!$B:$B,0))</f>
        <v>2319.3324199999997</v>
      </c>
      <c r="AQ484" s="10">
        <f>INDEX([1]ratio_ins!AN:AN,MATCH('001_population_health_zone_zs'!$B$2,[1]ratio_ins!$B:$B,0))*$G484*INDEX([1]ratio_ins!$D:$D,MATCH('001_population_health_zone_zs'!$B484,[1]ratio_ins!$B:$B,0))</f>
        <v>1839.47054</v>
      </c>
      <c r="AR484" s="10">
        <f>INDEX([1]ratio_ins!AO:AO,MATCH('001_population_health_zone_zs'!$B$2,[1]ratio_ins!$B:$B,0))*$G484*INDEX([1]ratio_ins!$D:$D,MATCH('001_population_health_zone_zs'!$B484,[1]ratio_ins!$B:$B,0))</f>
        <v>879.74678000000006</v>
      </c>
      <c r="AS484" s="13">
        <f>INDEX([1]ratio_ins!AP:AP,MATCH('001_population_health_zone_zs'!$B$2,[1]ratio_ins!$B:$B,0))*$G484*INDEX([1]ratio_ins!$D:$D,MATCH('001_population_health_zone_zs'!$B484,[1]ratio_ins!$B:$B,0))</f>
        <v>32726.580216000002</v>
      </c>
      <c r="AT484" s="10">
        <f>INDEX([1]ratio_ins!AQ:AQ,MATCH('001_population_health_zone_zs'!$B$2,[1]ratio_ins!$B:$B,0))*$G484*INDEX([1]ratio_ins!$D:$D,MATCH('001_population_health_zone_zs'!$B484,[1]ratio_ins!$B:$B,0))</f>
        <v>799.76980000000003</v>
      </c>
      <c r="AU484" s="10">
        <f>INDEX([1]ratio_ins!AR:AR,MATCH('001_population_health_zone_zs'!$B$2,[1]ratio_ins!$B:$B,0))*$G484*INDEX([1]ratio_ins!$D:$D,MATCH('001_population_health_zone_zs'!$B484,[1]ratio_ins!$B:$B,0))</f>
        <v>479.86188000000004</v>
      </c>
      <c r="AV484" s="10">
        <f>INDEX([1]ratio_ins!AS:AS,MATCH('001_population_health_zone_zs'!$B$2,[1]ratio_ins!$B:$B,0))*$G484*INDEX([1]ratio_ins!$D:$D,MATCH('001_population_health_zone_zs'!$B484,[1]ratio_ins!$B:$B,0))</f>
        <v>239.93094000000002</v>
      </c>
      <c r="AW484" s="10">
        <f>INDEX([1]ratio_ins!AT:AT,MATCH('001_population_health_zone_zs'!$B$2,[1]ratio_ins!$B:$B,0))*$G484*INDEX([1]ratio_ins!$D:$D,MATCH('001_population_health_zone_zs'!$B484,[1]ratio_ins!$B:$B,0))</f>
        <v>159.95396</v>
      </c>
      <c r="AX484" s="13">
        <f>INDEX([1]ratio_ins!AU:AU,MATCH('001_population_health_zone_zs'!$B$2,[1]ratio_ins!$B:$B,0))*$G484*INDEX([1]ratio_ins!$D:$D,MATCH('001_population_health_zone_zs'!$B484,[1]ratio_ins!$B:$B,0))</f>
        <v>1679.51658</v>
      </c>
      <c r="AY484" s="14">
        <f t="shared" si="43"/>
        <v>79976.98</v>
      </c>
      <c r="AZ484" s="15">
        <f t="shared" si="44"/>
        <v>157435</v>
      </c>
      <c r="BA484" s="16">
        <v>151588.37144876822</v>
      </c>
      <c r="BB484" s="10">
        <f t="shared" si="45"/>
        <v>33990.216500000002</v>
      </c>
      <c r="BC484" s="17">
        <f t="shared" si="46"/>
        <v>0.21590000000000001</v>
      </c>
      <c r="BD484" s="10">
        <f t="shared" si="47"/>
        <v>32299.994340000008</v>
      </c>
    </row>
    <row r="485" spans="1:56" x14ac:dyDescent="0.25">
      <c r="A485" s="8" t="s">
        <v>1178</v>
      </c>
      <c r="B485" s="8" t="s">
        <v>1179</v>
      </c>
      <c r="C485" s="8" t="s">
        <v>1193</v>
      </c>
      <c r="D485" s="8" t="s">
        <v>1194</v>
      </c>
      <c r="E485" s="8" t="s">
        <v>1198</v>
      </c>
      <c r="F485" s="8" t="s">
        <v>1199</v>
      </c>
      <c r="G485" s="9">
        <v>157746</v>
      </c>
      <c r="H485" s="10">
        <f>INDEX([1]ratio_ins!F:F,MATCH('001_population_health_zone_zs'!$B$2,[1]ratio_ins!$B:$B,0))*$G485*INDEX([1]ratio_ins!$C:$C,MATCH('001_population_health_zone_zs'!$B485,[1]ratio_ins!$B:$B,0))</f>
        <v>16220.705688</v>
      </c>
      <c r="I485" s="10">
        <f>INDEX([1]ratio_ins!G:G,MATCH('001_population_health_zone_zs'!$B$2,[1]ratio_ins!$B:$B,0))*$G485*INDEX([1]ratio_ins!$C:$C,MATCH('001_population_health_zone_zs'!$B485,[1]ratio_ins!$B:$B,0))</f>
        <v>13271.486472000002</v>
      </c>
      <c r="J485" s="10">
        <f>INDEX([1]ratio_ins!H:H,MATCH('001_population_health_zone_zs'!$B$2,[1]ratio_ins!$B:$B,0))*$G485*INDEX([1]ratio_ins!$C:$C,MATCH('001_population_health_zone_zs'!$B485,[1]ratio_ins!$B:$B,0))</f>
        <v>10477.489320000002</v>
      </c>
      <c r="K485" s="10">
        <f>INDEX([1]ratio_ins!I:I,MATCH('001_population_health_zone_zs'!$B$2,[1]ratio_ins!$B:$B,0))*$G485*INDEX([1]ratio_ins!$C:$C,MATCH('001_population_health_zone_zs'!$B485,[1]ratio_ins!$B:$B,0))</f>
        <v>6441.7156560000012</v>
      </c>
      <c r="L485" s="10">
        <f>INDEX([1]ratio_ins!J:J,MATCH('001_population_health_zone_zs'!$B$2,[1]ratio_ins!$B:$B,0))*$G485*INDEX([1]ratio_ins!$C:$C,MATCH('001_population_health_zone_zs'!$B485,[1]ratio_ins!$B:$B,0))</f>
        <v>3865.0293936000003</v>
      </c>
      <c r="M485" s="11">
        <f>INDEX([1]ratio_ins!K:K,MATCH('001_population_health_zone_zs'!$B$2,[1]ratio_ins!$B:$B,0))*$G485*INDEX([1]ratio_ins!$C:$C,MATCH('001_population_health_zone_zs'!$B485,[1]ratio_ins!$B:$B,0))</f>
        <v>43834.710873600001</v>
      </c>
      <c r="N485" s="10">
        <f>INDEX([1]ratio_ins!L:L,MATCH('001_population_health_zone_zs'!$B$2,[1]ratio_ins!$B:$B,0))*$G485*INDEX([1]ratio_ins!$C:$C,MATCH('001_population_health_zone_zs'!$B485,[1]ratio_ins!$B:$B,0))</f>
        <v>2576.6862624</v>
      </c>
      <c r="O485" s="10">
        <f>INDEX([1]ratio_ins!M:M,MATCH('001_population_health_zone_zs'!$B$2,[1]ratio_ins!$B:$B,0))*$G485*INDEX([1]ratio_ins!$C:$C,MATCH('001_population_health_zone_zs'!$B485,[1]ratio_ins!$B:$B,0))</f>
        <v>5587.9943040000016</v>
      </c>
      <c r="P485" s="10">
        <f>INDEX([1]ratio_ins!N:N,MATCH('001_population_health_zone_zs'!$B$2,[1]ratio_ins!$B:$B,0))*$G485*INDEX([1]ratio_ins!$C:$C,MATCH('001_population_health_zone_zs'!$B485,[1]ratio_ins!$B:$B,0))</f>
        <v>5044.7170800000004</v>
      </c>
      <c r="Q485" s="10">
        <f>INDEX([1]ratio_ins!O:O,MATCH('001_population_health_zone_zs'!$B$2,[1]ratio_ins!$B:$B,0))*$G485*INDEX([1]ratio_ins!$C:$C,MATCH('001_population_health_zone_zs'!$B485,[1]ratio_ins!$B:$B,0))</f>
        <v>4501.4398560000009</v>
      </c>
      <c r="R485" s="10">
        <f>INDEX([1]ratio_ins!P:P,MATCH('001_population_health_zone_zs'!$B$2,[1]ratio_ins!$B:$B,0))*$G485*INDEX([1]ratio_ins!$C:$C,MATCH('001_population_health_zone_zs'!$B485,[1]ratio_ins!$B:$B,0))</f>
        <v>4423.8288240000011</v>
      </c>
      <c r="S485" s="10">
        <f>INDEX([1]ratio_ins!Q:Q,MATCH('001_population_health_zone_zs'!$B$2,[1]ratio_ins!$B:$B,0))*$G485*INDEX([1]ratio_ins!$C:$C,MATCH('001_population_health_zone_zs'!$B485,[1]ratio_ins!$B:$B,0))</f>
        <v>3725.3295360000002</v>
      </c>
      <c r="T485" s="10">
        <f>INDEX([1]ratio_ins!R:R,MATCH('001_population_health_zone_zs'!$B$2,[1]ratio_ins!$B:$B,0))*$G485*INDEX([1]ratio_ins!$C:$C,MATCH('001_population_health_zone_zs'!$B485,[1]ratio_ins!$B:$B,0))</f>
        <v>2638.7750880000003</v>
      </c>
      <c r="U485" s="10">
        <f>INDEX([1]ratio_ins!S:S,MATCH('001_population_health_zone_zs'!$B$2,[1]ratio_ins!$B:$B,0))*$G485*INDEX([1]ratio_ins!$C:$C,MATCH('001_population_health_zone_zs'!$B485,[1]ratio_ins!$B:$B,0))</f>
        <v>2095.4978640000004</v>
      </c>
      <c r="V485" s="10">
        <f>INDEX([1]ratio_ins!T:T,MATCH('001_population_health_zone_zs'!$B$2,[1]ratio_ins!$B:$B,0))*$G485*INDEX([1]ratio_ins!$C:$C,MATCH('001_population_health_zone_zs'!$B485,[1]ratio_ins!$B:$B,0))</f>
        <v>1164.1654800000001</v>
      </c>
      <c r="W485" s="11">
        <f>INDEX([1]ratio_ins!U:U,MATCH('001_population_health_zone_zs'!$B$2,[1]ratio_ins!$B:$B,0))*$G485*INDEX([1]ratio_ins!$C:$C,MATCH('001_population_health_zone_zs'!$B485,[1]ratio_ins!$B:$B,0))</f>
        <v>31758.434294400005</v>
      </c>
      <c r="X485" s="10">
        <f>INDEX([1]ratio_ins!V:V,MATCH('001_population_health_zone_zs'!$B$2,[1]ratio_ins!$B:$B,0))*$G485*INDEX([1]ratio_ins!$C:$C,MATCH('001_population_health_zone_zs'!$B485,[1]ratio_ins!$B:$B,0))</f>
        <v>931.33238400000005</v>
      </c>
      <c r="Y485" s="10">
        <f>INDEX([1]ratio_ins!W:W,MATCH('001_population_health_zone_zs'!$B$2,[1]ratio_ins!$B:$B,0))*$G485*INDEX([1]ratio_ins!$C:$C,MATCH('001_population_health_zone_zs'!$B485,[1]ratio_ins!$B:$B,0))</f>
        <v>620.88825600000007</v>
      </c>
      <c r="Z485" s="10">
        <f>INDEX([1]ratio_ins!X:X,MATCH('001_population_health_zone_zs'!$B$2,[1]ratio_ins!$B:$B,0))*$G485*INDEX([1]ratio_ins!$C:$C,MATCH('001_population_health_zone_zs'!$B485,[1]ratio_ins!$B:$B,0))</f>
        <v>310.44412800000003</v>
      </c>
      <c r="AA485" s="10">
        <f>INDEX([1]ratio_ins!Y:Y,MATCH('001_population_health_zone_zs'!$B$2,[1]ratio_ins!$B:$B,0))*$G485*INDEX([1]ratio_ins!$C:$C,MATCH('001_population_health_zone_zs'!$B485,[1]ratio_ins!$B:$B,0))</f>
        <v>155.22206400000002</v>
      </c>
      <c r="AB485" s="11">
        <f>INDEX([1]ratio_ins!Z:Z,MATCH('001_population_health_zone_zs'!$B$2,[1]ratio_ins!$B:$B,0))*$G485*INDEX([1]ratio_ins!$C:$C,MATCH('001_population_health_zone_zs'!$B485,[1]ratio_ins!$B:$B,0))</f>
        <v>2017.8868320000006</v>
      </c>
      <c r="AC485" s="12">
        <f t="shared" si="42"/>
        <v>77611.032000000007</v>
      </c>
      <c r="AD485" s="10">
        <f>INDEX([1]ratio_ins!AA:AA,MATCH('001_population_health_zone_zs'!$B$2,[1]ratio_ins!$B:$B,0))*$G485*INDEX([1]ratio_ins!$D:$D,MATCH('001_population_health_zone_zs'!$B485,[1]ratio_ins!$B:$B,0))</f>
        <v>16828.343279999997</v>
      </c>
      <c r="AE485" s="10">
        <f>INDEX([1]ratio_ins!AB:AB,MATCH('001_population_health_zone_zs'!$B$2,[1]ratio_ins!$B:$B,0))*$G485*INDEX([1]ratio_ins!$D:$D,MATCH('001_population_health_zone_zs'!$B485,[1]ratio_ins!$B:$B,0))</f>
        <v>13863.349464000001</v>
      </c>
      <c r="AF485" s="10">
        <f>INDEX([1]ratio_ins!AC:AC,MATCH('001_population_health_zone_zs'!$B$2,[1]ratio_ins!$B:$B,0))*$G485*INDEX([1]ratio_ins!$D:$D,MATCH('001_population_health_zone_zs'!$B485,[1]ratio_ins!$B:$B,0))</f>
        <v>10978.490615999999</v>
      </c>
      <c r="AG485" s="10">
        <f>INDEX([1]ratio_ins!AD:AD,MATCH('001_population_health_zone_zs'!$B$2,[1]ratio_ins!$B:$B,0))*$G485*INDEX([1]ratio_ins!$D:$D,MATCH('001_population_health_zone_zs'!$B485,[1]ratio_ins!$B:$B,0))</f>
        <v>6651.2023440000012</v>
      </c>
      <c r="AH485" s="10">
        <f>INDEX([1]ratio_ins!AE:AE,MATCH('001_population_health_zone_zs'!$B$2,[1]ratio_ins!$B:$B,0))*$G485*INDEX([1]ratio_ins!$D:$D,MATCH('001_population_health_zone_zs'!$B485,[1]ratio_ins!$B:$B,0))</f>
        <v>3990.7214064</v>
      </c>
      <c r="AI485" s="13">
        <f>INDEX([1]ratio_ins!AF:AF,MATCH('001_population_health_zone_zs'!$B$2,[1]ratio_ins!$B:$B,0))*$G485*INDEX([1]ratio_ins!$D:$D,MATCH('001_population_health_zone_zs'!$B485,[1]ratio_ins!$B:$B,0))</f>
        <v>45660.904766399995</v>
      </c>
      <c r="AJ485" s="10">
        <f>INDEX([1]ratio_ins!AG:AG,MATCH('001_population_health_zone_zs'!$B$2,[1]ratio_ins!$B:$B,0))*$G485*INDEX([1]ratio_ins!$D:$D,MATCH('001_population_health_zone_zs'!$B485,[1]ratio_ins!$B:$B,0))</f>
        <v>2660.4809375999998</v>
      </c>
      <c r="AK485" s="10">
        <f>INDEX([1]ratio_ins!AH:AH,MATCH('001_population_health_zone_zs'!$B$2,[1]ratio_ins!$B:$B,0))*$G485*INDEX([1]ratio_ins!$D:$D,MATCH('001_population_health_zone_zs'!$B485,[1]ratio_ins!$B:$B,0))</f>
        <v>5929.9876320000012</v>
      </c>
      <c r="AL485" s="10">
        <f>INDEX([1]ratio_ins!AI:AI,MATCH('001_population_health_zone_zs'!$B$2,[1]ratio_ins!$B:$B,0))*$G485*INDEX([1]ratio_ins!$D:$D,MATCH('001_population_health_zone_zs'!$B485,[1]ratio_ins!$B:$B,0))</f>
        <v>5609.4477600000009</v>
      </c>
      <c r="AM485" s="10">
        <f>INDEX([1]ratio_ins!AJ:AJ,MATCH('001_population_health_zone_zs'!$B$2,[1]ratio_ins!$B:$B,0))*$G485*INDEX([1]ratio_ins!$D:$D,MATCH('001_population_health_zone_zs'!$B485,[1]ratio_ins!$B:$B,0))</f>
        <v>5128.637952</v>
      </c>
      <c r="AN485" s="10">
        <f>INDEX([1]ratio_ins!AK:AK,MATCH('001_population_health_zone_zs'!$B$2,[1]ratio_ins!$B:$B,0))*$G485*INDEX([1]ratio_ins!$D:$D,MATCH('001_population_health_zone_zs'!$B485,[1]ratio_ins!$B:$B,0))</f>
        <v>4808.0980799999998</v>
      </c>
      <c r="AO485" s="10">
        <f>INDEX([1]ratio_ins!AL:AL,MATCH('001_population_health_zone_zs'!$B$2,[1]ratio_ins!$B:$B,0))*$G485*INDEX([1]ratio_ins!$D:$D,MATCH('001_population_health_zone_zs'!$B485,[1]ratio_ins!$B:$B,0))</f>
        <v>3606.0735599999998</v>
      </c>
      <c r="AP485" s="10">
        <f>INDEX([1]ratio_ins!AM:AM,MATCH('001_population_health_zone_zs'!$B$2,[1]ratio_ins!$B:$B,0))*$G485*INDEX([1]ratio_ins!$D:$D,MATCH('001_population_health_zone_zs'!$B485,[1]ratio_ins!$B:$B,0))</f>
        <v>2323.914072</v>
      </c>
      <c r="AQ485" s="10">
        <f>INDEX([1]ratio_ins!AN:AN,MATCH('001_population_health_zone_zs'!$B$2,[1]ratio_ins!$B:$B,0))*$G485*INDEX([1]ratio_ins!$D:$D,MATCH('001_population_health_zone_zs'!$B485,[1]ratio_ins!$B:$B,0))</f>
        <v>1843.1042640000001</v>
      </c>
      <c r="AR485" s="10">
        <f>INDEX([1]ratio_ins!AO:AO,MATCH('001_population_health_zone_zs'!$B$2,[1]ratio_ins!$B:$B,0))*$G485*INDEX([1]ratio_ins!$D:$D,MATCH('001_population_health_zone_zs'!$B485,[1]ratio_ins!$B:$B,0))</f>
        <v>881.48464800000011</v>
      </c>
      <c r="AS485" s="13">
        <f>INDEX([1]ratio_ins!AP:AP,MATCH('001_population_health_zone_zs'!$B$2,[1]ratio_ins!$B:$B,0))*$G485*INDEX([1]ratio_ins!$D:$D,MATCH('001_population_health_zone_zs'!$B485,[1]ratio_ins!$B:$B,0))</f>
        <v>32791.228905600001</v>
      </c>
      <c r="AT485" s="10">
        <f>INDEX([1]ratio_ins!AQ:AQ,MATCH('001_population_health_zone_zs'!$B$2,[1]ratio_ins!$B:$B,0))*$G485*INDEX([1]ratio_ins!$D:$D,MATCH('001_population_health_zone_zs'!$B485,[1]ratio_ins!$B:$B,0))</f>
        <v>801.34968000000003</v>
      </c>
      <c r="AU485" s="10">
        <f>INDEX([1]ratio_ins!AR:AR,MATCH('001_population_health_zone_zs'!$B$2,[1]ratio_ins!$B:$B,0))*$G485*INDEX([1]ratio_ins!$D:$D,MATCH('001_population_health_zone_zs'!$B485,[1]ratio_ins!$B:$B,0))</f>
        <v>480.80980800000003</v>
      </c>
      <c r="AV485" s="10">
        <f>INDEX([1]ratio_ins!AS:AS,MATCH('001_population_health_zone_zs'!$B$2,[1]ratio_ins!$B:$B,0))*$G485*INDEX([1]ratio_ins!$D:$D,MATCH('001_population_health_zone_zs'!$B485,[1]ratio_ins!$B:$B,0))</f>
        <v>240.40490400000002</v>
      </c>
      <c r="AW485" s="10">
        <f>INDEX([1]ratio_ins!AT:AT,MATCH('001_population_health_zone_zs'!$B$2,[1]ratio_ins!$B:$B,0))*$G485*INDEX([1]ratio_ins!$D:$D,MATCH('001_population_health_zone_zs'!$B485,[1]ratio_ins!$B:$B,0))</f>
        <v>160.269936</v>
      </c>
      <c r="AX485" s="13">
        <f>INDEX([1]ratio_ins!AU:AU,MATCH('001_population_health_zone_zs'!$B$2,[1]ratio_ins!$B:$B,0))*$G485*INDEX([1]ratio_ins!$D:$D,MATCH('001_population_health_zone_zs'!$B485,[1]ratio_ins!$B:$B,0))</f>
        <v>1682.8343279999999</v>
      </c>
      <c r="AY485" s="14">
        <f t="shared" si="43"/>
        <v>80134.967999999993</v>
      </c>
      <c r="AZ485" s="15">
        <f t="shared" si="44"/>
        <v>157746</v>
      </c>
      <c r="BA485" s="16">
        <v>151887.81625383798</v>
      </c>
      <c r="BB485" s="10">
        <f t="shared" si="45"/>
        <v>34057.361400000009</v>
      </c>
      <c r="BC485" s="17">
        <f t="shared" si="46"/>
        <v>0.21590000000000006</v>
      </c>
      <c r="BD485" s="10">
        <f t="shared" si="47"/>
        <v>32363.800344000003</v>
      </c>
    </row>
    <row r="486" spans="1:56" x14ac:dyDescent="0.25">
      <c r="A486" s="8" t="s">
        <v>1178</v>
      </c>
      <c r="B486" s="8" t="s">
        <v>1179</v>
      </c>
      <c r="C486" s="8" t="s">
        <v>1193</v>
      </c>
      <c r="D486" s="8" t="s">
        <v>1194</v>
      </c>
      <c r="E486" s="8" t="s">
        <v>1200</v>
      </c>
      <c r="F486" s="8" t="s">
        <v>1201</v>
      </c>
      <c r="G486" s="9">
        <v>142945</v>
      </c>
      <c r="H486" s="10">
        <f>INDEX([1]ratio_ins!F:F,MATCH('001_population_health_zone_zs'!$B$2,[1]ratio_ins!$B:$B,0))*$G486*INDEX([1]ratio_ins!$C:$C,MATCH('001_population_health_zone_zs'!$B486,[1]ratio_ins!$B:$B,0))</f>
        <v>14698.748460000001</v>
      </c>
      <c r="I486" s="10">
        <f>INDEX([1]ratio_ins!G:G,MATCH('001_population_health_zone_zs'!$B$2,[1]ratio_ins!$B:$B,0))*$G486*INDEX([1]ratio_ins!$C:$C,MATCH('001_population_health_zone_zs'!$B486,[1]ratio_ins!$B:$B,0))</f>
        <v>12026.248740000001</v>
      </c>
      <c r="J486" s="10">
        <f>INDEX([1]ratio_ins!H:H,MATCH('001_population_health_zone_zs'!$B$2,[1]ratio_ins!$B:$B,0))*$G486*INDEX([1]ratio_ins!$C:$C,MATCH('001_population_health_zone_zs'!$B486,[1]ratio_ins!$B:$B,0))</f>
        <v>9494.4069000000018</v>
      </c>
      <c r="K486" s="10">
        <f>INDEX([1]ratio_ins!I:I,MATCH('001_population_health_zone_zs'!$B$2,[1]ratio_ins!$B:$B,0))*$G486*INDEX([1]ratio_ins!$C:$C,MATCH('001_population_health_zone_zs'!$B486,[1]ratio_ins!$B:$B,0))</f>
        <v>5837.302020000001</v>
      </c>
      <c r="L486" s="10">
        <f>INDEX([1]ratio_ins!J:J,MATCH('001_population_health_zone_zs'!$B$2,[1]ratio_ins!$B:$B,0))*$G486*INDEX([1]ratio_ins!$C:$C,MATCH('001_population_health_zone_zs'!$B486,[1]ratio_ins!$B:$B,0))</f>
        <v>3502.3812119999998</v>
      </c>
      <c r="M486" s="11">
        <f>INDEX([1]ratio_ins!K:K,MATCH('001_population_health_zone_zs'!$B$2,[1]ratio_ins!$B:$B,0))*$G486*INDEX([1]ratio_ins!$C:$C,MATCH('001_population_health_zone_zs'!$B486,[1]ratio_ins!$B:$B,0))</f>
        <v>39721.785312</v>
      </c>
      <c r="N486" s="10">
        <f>INDEX([1]ratio_ins!L:L,MATCH('001_population_health_zone_zs'!$B$2,[1]ratio_ins!$B:$B,0))*$G486*INDEX([1]ratio_ins!$C:$C,MATCH('001_population_health_zone_zs'!$B486,[1]ratio_ins!$B:$B,0))</f>
        <v>2334.9208080000003</v>
      </c>
      <c r="O486" s="10">
        <f>INDEX([1]ratio_ins!M:M,MATCH('001_population_health_zone_zs'!$B$2,[1]ratio_ins!$B:$B,0))*$G486*INDEX([1]ratio_ins!$C:$C,MATCH('001_population_health_zone_zs'!$B486,[1]ratio_ins!$B:$B,0))</f>
        <v>5063.683680000001</v>
      </c>
      <c r="P486" s="10">
        <f>INDEX([1]ratio_ins!N:N,MATCH('001_population_health_zone_zs'!$B$2,[1]ratio_ins!$B:$B,0))*$G486*INDEX([1]ratio_ins!$C:$C,MATCH('001_population_health_zone_zs'!$B486,[1]ratio_ins!$B:$B,0))</f>
        <v>4571.3811000000014</v>
      </c>
      <c r="Q486" s="10">
        <f>INDEX([1]ratio_ins!O:O,MATCH('001_population_health_zone_zs'!$B$2,[1]ratio_ins!$B:$B,0))*$G486*INDEX([1]ratio_ins!$C:$C,MATCH('001_population_health_zone_zs'!$B486,[1]ratio_ins!$B:$B,0))</f>
        <v>4079.07852</v>
      </c>
      <c r="R486" s="10">
        <f>INDEX([1]ratio_ins!P:P,MATCH('001_population_health_zone_zs'!$B$2,[1]ratio_ins!$B:$B,0))*$G486*INDEX([1]ratio_ins!$C:$C,MATCH('001_population_health_zone_zs'!$B486,[1]ratio_ins!$B:$B,0))</f>
        <v>4008.7495800000006</v>
      </c>
      <c r="S486" s="10">
        <f>INDEX([1]ratio_ins!Q:Q,MATCH('001_population_health_zone_zs'!$B$2,[1]ratio_ins!$B:$B,0))*$G486*INDEX([1]ratio_ins!$C:$C,MATCH('001_population_health_zone_zs'!$B486,[1]ratio_ins!$B:$B,0))</f>
        <v>3375.7891200000008</v>
      </c>
      <c r="T486" s="10">
        <f>INDEX([1]ratio_ins!R:R,MATCH('001_population_health_zone_zs'!$B$2,[1]ratio_ins!$B:$B,0))*$G486*INDEX([1]ratio_ins!$C:$C,MATCH('001_population_health_zone_zs'!$B486,[1]ratio_ins!$B:$B,0))</f>
        <v>2391.1839600000003</v>
      </c>
      <c r="U486" s="10">
        <f>INDEX([1]ratio_ins!S:S,MATCH('001_population_health_zone_zs'!$B$2,[1]ratio_ins!$B:$B,0))*$G486*INDEX([1]ratio_ins!$C:$C,MATCH('001_population_health_zone_zs'!$B486,[1]ratio_ins!$B:$B,0))</f>
        <v>1898.8813800000003</v>
      </c>
      <c r="V486" s="10">
        <f>INDEX([1]ratio_ins!T:T,MATCH('001_population_health_zone_zs'!$B$2,[1]ratio_ins!$B:$B,0))*$G486*INDEX([1]ratio_ins!$C:$C,MATCH('001_population_health_zone_zs'!$B486,[1]ratio_ins!$B:$B,0))</f>
        <v>1054.9340999999999</v>
      </c>
      <c r="W486" s="11">
        <f>INDEX([1]ratio_ins!U:U,MATCH('001_population_health_zone_zs'!$B$2,[1]ratio_ins!$B:$B,0))*$G486*INDEX([1]ratio_ins!$C:$C,MATCH('001_population_health_zone_zs'!$B486,[1]ratio_ins!$B:$B,0))</f>
        <v>28778.602248000007</v>
      </c>
      <c r="X486" s="10">
        <f>INDEX([1]ratio_ins!V:V,MATCH('001_population_health_zone_zs'!$B$2,[1]ratio_ins!$B:$B,0))*$G486*INDEX([1]ratio_ins!$C:$C,MATCH('001_population_health_zone_zs'!$B486,[1]ratio_ins!$B:$B,0))</f>
        <v>843.94728000000021</v>
      </c>
      <c r="Y486" s="10">
        <f>INDEX([1]ratio_ins!W:W,MATCH('001_population_health_zone_zs'!$B$2,[1]ratio_ins!$B:$B,0))*$G486*INDEX([1]ratio_ins!$C:$C,MATCH('001_population_health_zone_zs'!$B486,[1]ratio_ins!$B:$B,0))</f>
        <v>562.63152000000002</v>
      </c>
      <c r="Z486" s="10">
        <f>INDEX([1]ratio_ins!X:X,MATCH('001_population_health_zone_zs'!$B$2,[1]ratio_ins!$B:$B,0))*$G486*INDEX([1]ratio_ins!$C:$C,MATCH('001_population_health_zone_zs'!$B486,[1]ratio_ins!$B:$B,0))</f>
        <v>281.31576000000001</v>
      </c>
      <c r="AA486" s="10">
        <f>INDEX([1]ratio_ins!Y:Y,MATCH('001_population_health_zone_zs'!$B$2,[1]ratio_ins!$B:$B,0))*$G486*INDEX([1]ratio_ins!$C:$C,MATCH('001_population_health_zone_zs'!$B486,[1]ratio_ins!$B:$B,0))</f>
        <v>140.65788000000001</v>
      </c>
      <c r="AB486" s="11">
        <f>INDEX([1]ratio_ins!Z:Z,MATCH('001_population_health_zone_zs'!$B$2,[1]ratio_ins!$B:$B,0))*$G486*INDEX([1]ratio_ins!$C:$C,MATCH('001_population_health_zone_zs'!$B486,[1]ratio_ins!$B:$B,0))</f>
        <v>1828.5524400000002</v>
      </c>
      <c r="AC486" s="12">
        <f t="shared" si="42"/>
        <v>70328.94</v>
      </c>
      <c r="AD486" s="10">
        <f>INDEX([1]ratio_ins!AA:AA,MATCH('001_population_health_zone_zs'!$B$2,[1]ratio_ins!$B:$B,0))*$G486*INDEX([1]ratio_ins!$D:$D,MATCH('001_population_health_zone_zs'!$B486,[1]ratio_ins!$B:$B,0))</f>
        <v>15249.372599999999</v>
      </c>
      <c r="AE486" s="10">
        <f>INDEX([1]ratio_ins!AB:AB,MATCH('001_population_health_zone_zs'!$B$2,[1]ratio_ins!$B:$B,0))*$G486*INDEX([1]ratio_ins!$D:$D,MATCH('001_population_health_zone_zs'!$B486,[1]ratio_ins!$B:$B,0))</f>
        <v>12562.578380000001</v>
      </c>
      <c r="AF486" s="10">
        <f>INDEX([1]ratio_ins!AC:AC,MATCH('001_population_health_zone_zs'!$B$2,[1]ratio_ins!$B:$B,0))*$G486*INDEX([1]ratio_ins!$D:$D,MATCH('001_population_health_zone_zs'!$B486,[1]ratio_ins!$B:$B,0))</f>
        <v>9948.4002199999977</v>
      </c>
      <c r="AG486" s="10">
        <f>INDEX([1]ratio_ins!AD:AD,MATCH('001_population_health_zone_zs'!$B$2,[1]ratio_ins!$B:$B,0))*$G486*INDEX([1]ratio_ins!$D:$D,MATCH('001_population_health_zone_zs'!$B486,[1]ratio_ins!$B:$B,0))</f>
        <v>6027.1329800000003</v>
      </c>
      <c r="AH486" s="10">
        <f>INDEX([1]ratio_ins!AE:AE,MATCH('001_population_health_zone_zs'!$B$2,[1]ratio_ins!$B:$B,0))*$G486*INDEX([1]ratio_ins!$D:$D,MATCH('001_population_health_zone_zs'!$B486,[1]ratio_ins!$B:$B,0))</f>
        <v>3616.2797879999998</v>
      </c>
      <c r="AI486" s="13">
        <f>INDEX([1]ratio_ins!AF:AF,MATCH('001_population_health_zone_zs'!$B$2,[1]ratio_ins!$B:$B,0))*$G486*INDEX([1]ratio_ins!$D:$D,MATCH('001_population_health_zone_zs'!$B486,[1]ratio_ins!$B:$B,0))</f>
        <v>41376.630988000004</v>
      </c>
      <c r="AJ486" s="10">
        <f>INDEX([1]ratio_ins!AG:AG,MATCH('001_population_health_zone_zs'!$B$2,[1]ratio_ins!$B:$B,0))*$G486*INDEX([1]ratio_ins!$D:$D,MATCH('001_population_health_zone_zs'!$B486,[1]ratio_ins!$B:$B,0))</f>
        <v>2410.853192</v>
      </c>
      <c r="AK486" s="10">
        <f>INDEX([1]ratio_ins!AH:AH,MATCH('001_population_health_zone_zs'!$B$2,[1]ratio_ins!$B:$B,0))*$G486*INDEX([1]ratio_ins!$D:$D,MATCH('001_population_health_zone_zs'!$B486,[1]ratio_ins!$B:$B,0))</f>
        <v>5373.5884400000014</v>
      </c>
      <c r="AL486" s="10">
        <f>INDEX([1]ratio_ins!AI:AI,MATCH('001_population_health_zone_zs'!$B$2,[1]ratio_ins!$B:$B,0))*$G486*INDEX([1]ratio_ins!$D:$D,MATCH('001_population_health_zone_zs'!$B486,[1]ratio_ins!$B:$B,0))</f>
        <v>5083.1242000000011</v>
      </c>
      <c r="AM486" s="10">
        <f>INDEX([1]ratio_ins!AJ:AJ,MATCH('001_population_health_zone_zs'!$B$2,[1]ratio_ins!$B:$B,0))*$G486*INDEX([1]ratio_ins!$D:$D,MATCH('001_population_health_zone_zs'!$B486,[1]ratio_ins!$B:$B,0))</f>
        <v>4647.4278400000003</v>
      </c>
      <c r="AN486" s="10">
        <f>INDEX([1]ratio_ins!AK:AK,MATCH('001_population_health_zone_zs'!$B$2,[1]ratio_ins!$B:$B,0))*$G486*INDEX([1]ratio_ins!$D:$D,MATCH('001_population_health_zone_zs'!$B486,[1]ratio_ins!$B:$B,0))</f>
        <v>4356.9635999999991</v>
      </c>
      <c r="AO486" s="10">
        <f>INDEX([1]ratio_ins!AL:AL,MATCH('001_population_health_zone_zs'!$B$2,[1]ratio_ins!$B:$B,0))*$G486*INDEX([1]ratio_ins!$D:$D,MATCH('001_population_health_zone_zs'!$B486,[1]ratio_ins!$B:$B,0))</f>
        <v>3267.7226999999998</v>
      </c>
      <c r="AP486" s="10">
        <f>INDEX([1]ratio_ins!AM:AM,MATCH('001_population_health_zone_zs'!$B$2,[1]ratio_ins!$B:$B,0))*$G486*INDEX([1]ratio_ins!$D:$D,MATCH('001_population_health_zone_zs'!$B486,[1]ratio_ins!$B:$B,0))</f>
        <v>2105.8657399999997</v>
      </c>
      <c r="AQ486" s="10">
        <f>INDEX([1]ratio_ins!AN:AN,MATCH('001_population_health_zone_zs'!$B$2,[1]ratio_ins!$B:$B,0))*$G486*INDEX([1]ratio_ins!$D:$D,MATCH('001_population_health_zone_zs'!$B486,[1]ratio_ins!$B:$B,0))</f>
        <v>1670.16938</v>
      </c>
      <c r="AR486" s="10">
        <f>INDEX([1]ratio_ins!AO:AO,MATCH('001_population_health_zone_zs'!$B$2,[1]ratio_ins!$B:$B,0))*$G486*INDEX([1]ratio_ins!$D:$D,MATCH('001_population_health_zone_zs'!$B486,[1]ratio_ins!$B:$B,0))</f>
        <v>798.77666000000011</v>
      </c>
      <c r="AS486" s="13">
        <f>INDEX([1]ratio_ins!AP:AP,MATCH('001_population_health_zone_zs'!$B$2,[1]ratio_ins!$B:$B,0))*$G486*INDEX([1]ratio_ins!$D:$D,MATCH('001_population_health_zone_zs'!$B486,[1]ratio_ins!$B:$B,0))</f>
        <v>29714.491752000002</v>
      </c>
      <c r="AT486" s="10">
        <f>INDEX([1]ratio_ins!AQ:AQ,MATCH('001_population_health_zone_zs'!$B$2,[1]ratio_ins!$B:$B,0))*$G486*INDEX([1]ratio_ins!$D:$D,MATCH('001_population_health_zone_zs'!$B486,[1]ratio_ins!$B:$B,0))</f>
        <v>726.16060000000004</v>
      </c>
      <c r="AU486" s="10">
        <f>INDEX([1]ratio_ins!AR:AR,MATCH('001_population_health_zone_zs'!$B$2,[1]ratio_ins!$B:$B,0))*$G486*INDEX([1]ratio_ins!$D:$D,MATCH('001_population_health_zone_zs'!$B486,[1]ratio_ins!$B:$B,0))</f>
        <v>435.69636000000003</v>
      </c>
      <c r="AV486" s="10">
        <f>INDEX([1]ratio_ins!AS:AS,MATCH('001_population_health_zone_zs'!$B$2,[1]ratio_ins!$B:$B,0))*$G486*INDEX([1]ratio_ins!$D:$D,MATCH('001_population_health_zone_zs'!$B486,[1]ratio_ins!$B:$B,0))</f>
        <v>217.84818000000001</v>
      </c>
      <c r="AW486" s="10">
        <f>INDEX([1]ratio_ins!AT:AT,MATCH('001_population_health_zone_zs'!$B$2,[1]ratio_ins!$B:$B,0))*$G486*INDEX([1]ratio_ins!$D:$D,MATCH('001_population_health_zone_zs'!$B486,[1]ratio_ins!$B:$B,0))</f>
        <v>145.23212000000001</v>
      </c>
      <c r="AX486" s="13">
        <f>INDEX([1]ratio_ins!AU:AU,MATCH('001_population_health_zone_zs'!$B$2,[1]ratio_ins!$B:$B,0))*$G486*INDEX([1]ratio_ins!$D:$D,MATCH('001_population_health_zone_zs'!$B486,[1]ratio_ins!$B:$B,0))</f>
        <v>1524.9372599999999</v>
      </c>
      <c r="AY486" s="14">
        <f t="shared" si="43"/>
        <v>72616.060000000012</v>
      </c>
      <c r="AZ486" s="15">
        <f t="shared" si="44"/>
        <v>142945</v>
      </c>
      <c r="BA486" s="16">
        <v>137636.81020227412</v>
      </c>
      <c r="BB486" s="10">
        <f t="shared" si="45"/>
        <v>30861.825500000003</v>
      </c>
      <c r="BC486" s="17">
        <f t="shared" si="46"/>
        <v>0.21590000000000001</v>
      </c>
      <c r="BD486" s="10">
        <f t="shared" si="47"/>
        <v>29327.167980000006</v>
      </c>
    </row>
    <row r="487" spans="1:56" x14ac:dyDescent="0.25">
      <c r="A487" s="8" t="s">
        <v>1178</v>
      </c>
      <c r="B487" s="8" t="s">
        <v>1179</v>
      </c>
      <c r="C487" s="8" t="s">
        <v>1202</v>
      </c>
      <c r="D487" s="8" t="s">
        <v>1203</v>
      </c>
      <c r="E487" s="8" t="s">
        <v>1204</v>
      </c>
      <c r="F487" s="8" t="s">
        <v>1205</v>
      </c>
      <c r="G487" s="9">
        <v>286094</v>
      </c>
      <c r="H487" s="10">
        <f>INDEX([1]ratio_ins!F:F,MATCH('001_population_health_zone_zs'!$B$2,[1]ratio_ins!$B:$B,0))*$G487*INDEX([1]ratio_ins!$C:$C,MATCH('001_population_health_zone_zs'!$B487,[1]ratio_ins!$B:$B,0))</f>
        <v>29418.473832000003</v>
      </c>
      <c r="I487" s="10">
        <f>INDEX([1]ratio_ins!G:G,MATCH('001_population_health_zone_zs'!$B$2,[1]ratio_ins!$B:$B,0))*$G487*INDEX([1]ratio_ins!$C:$C,MATCH('001_population_health_zone_zs'!$B487,[1]ratio_ins!$B:$B,0))</f>
        <v>24069.660408000003</v>
      </c>
      <c r="J487" s="10">
        <f>INDEX([1]ratio_ins!H:H,MATCH('001_population_health_zone_zs'!$B$2,[1]ratio_ins!$B:$B,0))*$G487*INDEX([1]ratio_ins!$C:$C,MATCH('001_population_health_zone_zs'!$B487,[1]ratio_ins!$B:$B,0))</f>
        <v>19002.363480000004</v>
      </c>
      <c r="K487" s="10">
        <f>INDEX([1]ratio_ins!I:I,MATCH('001_population_health_zone_zs'!$B$2,[1]ratio_ins!$B:$B,0))*$G487*INDEX([1]ratio_ins!$C:$C,MATCH('001_population_health_zone_zs'!$B487,[1]ratio_ins!$B:$B,0))</f>
        <v>11682.934584000001</v>
      </c>
      <c r="L487" s="10">
        <f>INDEX([1]ratio_ins!J:J,MATCH('001_population_health_zone_zs'!$B$2,[1]ratio_ins!$B:$B,0))*$G487*INDEX([1]ratio_ins!$C:$C,MATCH('001_population_health_zone_zs'!$B487,[1]ratio_ins!$B:$B,0))</f>
        <v>7009.7607503999998</v>
      </c>
      <c r="M487" s="11">
        <f>INDEX([1]ratio_ins!K:K,MATCH('001_population_health_zone_zs'!$B$2,[1]ratio_ins!$B:$B,0))*$G487*INDEX([1]ratio_ins!$C:$C,MATCH('001_population_health_zone_zs'!$B487,[1]ratio_ins!$B:$B,0))</f>
        <v>79500.258470400004</v>
      </c>
      <c r="N487" s="10">
        <f>INDEX([1]ratio_ins!L:L,MATCH('001_population_health_zone_zs'!$B$2,[1]ratio_ins!$B:$B,0))*$G487*INDEX([1]ratio_ins!$C:$C,MATCH('001_population_health_zone_zs'!$B487,[1]ratio_ins!$B:$B,0))</f>
        <v>4673.1738335999999</v>
      </c>
      <c r="O487" s="10">
        <f>INDEX([1]ratio_ins!M:M,MATCH('001_population_health_zone_zs'!$B$2,[1]ratio_ins!$B:$B,0))*$G487*INDEX([1]ratio_ins!$C:$C,MATCH('001_population_health_zone_zs'!$B487,[1]ratio_ins!$B:$B,0))</f>
        <v>10134.593856000003</v>
      </c>
      <c r="P487" s="10">
        <f>INDEX([1]ratio_ins!N:N,MATCH('001_population_health_zone_zs'!$B$2,[1]ratio_ins!$B:$B,0))*$G487*INDEX([1]ratio_ins!$C:$C,MATCH('001_population_health_zone_zs'!$B487,[1]ratio_ins!$B:$B,0))</f>
        <v>9149.2861200000007</v>
      </c>
      <c r="Q487" s="10">
        <f>INDEX([1]ratio_ins!O:O,MATCH('001_population_health_zone_zs'!$B$2,[1]ratio_ins!$B:$B,0))*$G487*INDEX([1]ratio_ins!$C:$C,MATCH('001_population_health_zone_zs'!$B487,[1]ratio_ins!$B:$B,0))</f>
        <v>8163.978384</v>
      </c>
      <c r="R487" s="10">
        <f>INDEX([1]ratio_ins!P:P,MATCH('001_population_health_zone_zs'!$B$2,[1]ratio_ins!$B:$B,0))*$G487*INDEX([1]ratio_ins!$C:$C,MATCH('001_population_health_zone_zs'!$B487,[1]ratio_ins!$B:$B,0))</f>
        <v>8023.2201360000008</v>
      </c>
      <c r="S487" s="10">
        <f>INDEX([1]ratio_ins!Q:Q,MATCH('001_population_health_zone_zs'!$B$2,[1]ratio_ins!$B:$B,0))*$G487*INDEX([1]ratio_ins!$C:$C,MATCH('001_population_health_zone_zs'!$B487,[1]ratio_ins!$B:$B,0))</f>
        <v>6756.3959040000009</v>
      </c>
      <c r="T487" s="10">
        <f>INDEX([1]ratio_ins!R:R,MATCH('001_population_health_zone_zs'!$B$2,[1]ratio_ins!$B:$B,0))*$G487*INDEX([1]ratio_ins!$C:$C,MATCH('001_population_health_zone_zs'!$B487,[1]ratio_ins!$B:$B,0))</f>
        <v>4785.7804320000005</v>
      </c>
      <c r="U487" s="10">
        <f>INDEX([1]ratio_ins!S:S,MATCH('001_population_health_zone_zs'!$B$2,[1]ratio_ins!$B:$B,0))*$G487*INDEX([1]ratio_ins!$C:$C,MATCH('001_population_health_zone_zs'!$B487,[1]ratio_ins!$B:$B,0))</f>
        <v>3800.4726960000007</v>
      </c>
      <c r="V487" s="10">
        <f>INDEX([1]ratio_ins!T:T,MATCH('001_population_health_zone_zs'!$B$2,[1]ratio_ins!$B:$B,0))*$G487*INDEX([1]ratio_ins!$C:$C,MATCH('001_population_health_zone_zs'!$B487,[1]ratio_ins!$B:$B,0))</f>
        <v>2111.37372</v>
      </c>
      <c r="W487" s="11">
        <f>INDEX([1]ratio_ins!U:U,MATCH('001_population_health_zone_zs'!$B$2,[1]ratio_ins!$B:$B,0))*$G487*INDEX([1]ratio_ins!$C:$C,MATCH('001_population_health_zone_zs'!$B487,[1]ratio_ins!$B:$B,0))</f>
        <v>57598.275081600004</v>
      </c>
      <c r="X487" s="10">
        <f>INDEX([1]ratio_ins!V:V,MATCH('001_population_health_zone_zs'!$B$2,[1]ratio_ins!$B:$B,0))*$G487*INDEX([1]ratio_ins!$C:$C,MATCH('001_population_health_zone_zs'!$B487,[1]ratio_ins!$B:$B,0))</f>
        <v>1689.0989760000002</v>
      </c>
      <c r="Y487" s="10">
        <f>INDEX([1]ratio_ins!W:W,MATCH('001_population_health_zone_zs'!$B$2,[1]ratio_ins!$B:$B,0))*$G487*INDEX([1]ratio_ins!$C:$C,MATCH('001_population_health_zone_zs'!$B487,[1]ratio_ins!$B:$B,0))</f>
        <v>1126.0659840000001</v>
      </c>
      <c r="Z487" s="10">
        <f>INDEX([1]ratio_ins!X:X,MATCH('001_population_health_zone_zs'!$B$2,[1]ratio_ins!$B:$B,0))*$G487*INDEX([1]ratio_ins!$C:$C,MATCH('001_population_health_zone_zs'!$B487,[1]ratio_ins!$B:$B,0))</f>
        <v>563.03299200000004</v>
      </c>
      <c r="AA487" s="10">
        <f>INDEX([1]ratio_ins!Y:Y,MATCH('001_population_health_zone_zs'!$B$2,[1]ratio_ins!$B:$B,0))*$G487*INDEX([1]ratio_ins!$C:$C,MATCH('001_population_health_zone_zs'!$B487,[1]ratio_ins!$B:$B,0))</f>
        <v>281.51649600000002</v>
      </c>
      <c r="AB487" s="11">
        <f>INDEX([1]ratio_ins!Z:Z,MATCH('001_population_health_zone_zs'!$B$2,[1]ratio_ins!$B:$B,0))*$G487*INDEX([1]ratio_ins!$C:$C,MATCH('001_population_health_zone_zs'!$B487,[1]ratio_ins!$B:$B,0))</f>
        <v>3659.7144480000006</v>
      </c>
      <c r="AC487" s="12">
        <f t="shared" si="42"/>
        <v>140758.24800000002</v>
      </c>
      <c r="AD487" s="10">
        <f>INDEX([1]ratio_ins!AA:AA,MATCH('001_population_health_zone_zs'!$B$2,[1]ratio_ins!$B:$B,0))*$G487*INDEX([1]ratio_ins!$D:$D,MATCH('001_population_health_zone_zs'!$B487,[1]ratio_ins!$B:$B,0))</f>
        <v>30520.50792</v>
      </c>
      <c r="AE487" s="10">
        <f>INDEX([1]ratio_ins!AB:AB,MATCH('001_population_health_zone_zs'!$B$2,[1]ratio_ins!$B:$B,0))*$G487*INDEX([1]ratio_ins!$D:$D,MATCH('001_population_health_zone_zs'!$B487,[1]ratio_ins!$B:$B,0))</f>
        <v>25143.085096000003</v>
      </c>
      <c r="AF487" s="10">
        <f>INDEX([1]ratio_ins!AC:AC,MATCH('001_population_health_zone_zs'!$B$2,[1]ratio_ins!$B:$B,0))*$G487*INDEX([1]ratio_ins!$D:$D,MATCH('001_population_health_zone_zs'!$B487,[1]ratio_ins!$B:$B,0))</f>
        <v>19910.998024</v>
      </c>
      <c r="AG487" s="10">
        <f>INDEX([1]ratio_ins!AD:AD,MATCH('001_population_health_zone_zs'!$B$2,[1]ratio_ins!$B:$B,0))*$G487*INDEX([1]ratio_ins!$D:$D,MATCH('001_population_health_zone_zs'!$B487,[1]ratio_ins!$B:$B,0))</f>
        <v>12062.867415999999</v>
      </c>
      <c r="AH487" s="10">
        <f>INDEX([1]ratio_ins!AE:AE,MATCH('001_population_health_zone_zs'!$B$2,[1]ratio_ins!$B:$B,0))*$G487*INDEX([1]ratio_ins!$D:$D,MATCH('001_population_health_zone_zs'!$B487,[1]ratio_ins!$B:$B,0))</f>
        <v>7237.7204495999995</v>
      </c>
      <c r="AI487" s="13">
        <f>INDEX([1]ratio_ins!AF:AF,MATCH('001_population_health_zone_zs'!$B$2,[1]ratio_ins!$B:$B,0))*$G487*INDEX([1]ratio_ins!$D:$D,MATCH('001_population_health_zone_zs'!$B487,[1]ratio_ins!$B:$B,0))</f>
        <v>82812.31148959999</v>
      </c>
      <c r="AJ487" s="10">
        <f>INDEX([1]ratio_ins!AG:AG,MATCH('001_population_health_zone_zs'!$B$2,[1]ratio_ins!$B:$B,0))*$G487*INDEX([1]ratio_ins!$D:$D,MATCH('001_population_health_zone_zs'!$B487,[1]ratio_ins!$B:$B,0))</f>
        <v>4825.1469663999997</v>
      </c>
      <c r="AK487" s="10">
        <f>INDEX([1]ratio_ins!AH:AH,MATCH('001_population_health_zone_zs'!$B$2,[1]ratio_ins!$B:$B,0))*$G487*INDEX([1]ratio_ins!$D:$D,MATCH('001_population_health_zone_zs'!$B487,[1]ratio_ins!$B:$B,0))</f>
        <v>10754.845648</v>
      </c>
      <c r="AL487" s="10">
        <f>INDEX([1]ratio_ins!AI:AI,MATCH('001_population_health_zone_zs'!$B$2,[1]ratio_ins!$B:$B,0))*$G487*INDEX([1]ratio_ins!$D:$D,MATCH('001_population_health_zone_zs'!$B487,[1]ratio_ins!$B:$B,0))</f>
        <v>10173.502640000001</v>
      </c>
      <c r="AM487" s="10">
        <f>INDEX([1]ratio_ins!AJ:AJ,MATCH('001_population_health_zone_zs'!$B$2,[1]ratio_ins!$B:$B,0))*$G487*INDEX([1]ratio_ins!$D:$D,MATCH('001_population_health_zone_zs'!$B487,[1]ratio_ins!$B:$B,0))</f>
        <v>9301.4881279999991</v>
      </c>
      <c r="AN487" s="10">
        <f>INDEX([1]ratio_ins!AK:AK,MATCH('001_population_health_zone_zs'!$B$2,[1]ratio_ins!$B:$B,0))*$G487*INDEX([1]ratio_ins!$D:$D,MATCH('001_population_health_zone_zs'!$B487,[1]ratio_ins!$B:$B,0))</f>
        <v>8720.1451199999992</v>
      </c>
      <c r="AO487" s="10">
        <f>INDEX([1]ratio_ins!AL:AL,MATCH('001_population_health_zone_zs'!$B$2,[1]ratio_ins!$B:$B,0))*$G487*INDEX([1]ratio_ins!$D:$D,MATCH('001_population_health_zone_zs'!$B487,[1]ratio_ins!$B:$B,0))</f>
        <v>6540.1088399999999</v>
      </c>
      <c r="AP487" s="10">
        <f>INDEX([1]ratio_ins!AM:AM,MATCH('001_population_health_zone_zs'!$B$2,[1]ratio_ins!$B:$B,0))*$G487*INDEX([1]ratio_ins!$D:$D,MATCH('001_population_health_zone_zs'!$B487,[1]ratio_ins!$B:$B,0))</f>
        <v>4214.7368079999997</v>
      </c>
      <c r="AQ487" s="10">
        <f>INDEX([1]ratio_ins!AN:AN,MATCH('001_population_health_zone_zs'!$B$2,[1]ratio_ins!$B:$B,0))*$G487*INDEX([1]ratio_ins!$D:$D,MATCH('001_population_health_zone_zs'!$B487,[1]ratio_ins!$B:$B,0))</f>
        <v>3342.7222960000004</v>
      </c>
      <c r="AR487" s="10">
        <f>INDEX([1]ratio_ins!AO:AO,MATCH('001_population_health_zone_zs'!$B$2,[1]ratio_ins!$B:$B,0))*$G487*INDEX([1]ratio_ins!$D:$D,MATCH('001_population_health_zone_zs'!$B487,[1]ratio_ins!$B:$B,0))</f>
        <v>1598.693272</v>
      </c>
      <c r="AS487" s="13">
        <f>INDEX([1]ratio_ins!AP:AP,MATCH('001_population_health_zone_zs'!$B$2,[1]ratio_ins!$B:$B,0))*$G487*INDEX([1]ratio_ins!$D:$D,MATCH('001_population_health_zone_zs'!$B487,[1]ratio_ins!$B:$B,0))</f>
        <v>59471.389718400002</v>
      </c>
      <c r="AT487" s="10">
        <f>INDEX([1]ratio_ins!AQ:AQ,MATCH('001_population_health_zone_zs'!$B$2,[1]ratio_ins!$B:$B,0))*$G487*INDEX([1]ratio_ins!$D:$D,MATCH('001_population_health_zone_zs'!$B487,[1]ratio_ins!$B:$B,0))</f>
        <v>1453.35752</v>
      </c>
      <c r="AU487" s="10">
        <f>INDEX([1]ratio_ins!AR:AR,MATCH('001_population_health_zone_zs'!$B$2,[1]ratio_ins!$B:$B,0))*$G487*INDEX([1]ratio_ins!$D:$D,MATCH('001_population_health_zone_zs'!$B487,[1]ratio_ins!$B:$B,0))</f>
        <v>872.01451200000008</v>
      </c>
      <c r="AV487" s="10">
        <f>INDEX([1]ratio_ins!AS:AS,MATCH('001_population_health_zone_zs'!$B$2,[1]ratio_ins!$B:$B,0))*$G487*INDEX([1]ratio_ins!$D:$D,MATCH('001_population_health_zone_zs'!$B487,[1]ratio_ins!$B:$B,0))</f>
        <v>436.00725600000004</v>
      </c>
      <c r="AW487" s="10">
        <f>INDEX([1]ratio_ins!AT:AT,MATCH('001_population_health_zone_zs'!$B$2,[1]ratio_ins!$B:$B,0))*$G487*INDEX([1]ratio_ins!$D:$D,MATCH('001_population_health_zone_zs'!$B487,[1]ratio_ins!$B:$B,0))</f>
        <v>290.67150399999997</v>
      </c>
      <c r="AX487" s="13">
        <f>INDEX([1]ratio_ins!AU:AU,MATCH('001_population_health_zone_zs'!$B$2,[1]ratio_ins!$B:$B,0))*$G487*INDEX([1]ratio_ins!$D:$D,MATCH('001_population_health_zone_zs'!$B487,[1]ratio_ins!$B:$B,0))</f>
        <v>3052.0507919999995</v>
      </c>
      <c r="AY487" s="14">
        <f t="shared" si="43"/>
        <v>145335.75199999998</v>
      </c>
      <c r="AZ487" s="15">
        <f t="shared" si="44"/>
        <v>286094</v>
      </c>
      <c r="BA487" s="16">
        <v>275469.54286272248</v>
      </c>
      <c r="BB487" s="10">
        <f t="shared" si="45"/>
        <v>61767.694600000003</v>
      </c>
      <c r="BC487" s="17">
        <f t="shared" si="46"/>
        <v>0.21590000000000001</v>
      </c>
      <c r="BD487" s="10">
        <f t="shared" si="47"/>
        <v>58696.189416000008</v>
      </c>
    </row>
    <row r="488" spans="1:56" x14ac:dyDescent="0.25">
      <c r="A488" s="8" t="s">
        <v>1178</v>
      </c>
      <c r="B488" s="8" t="s">
        <v>1179</v>
      </c>
      <c r="C488" s="8" t="s">
        <v>1202</v>
      </c>
      <c r="D488" s="8" t="s">
        <v>1203</v>
      </c>
      <c r="E488" s="8" t="s">
        <v>1202</v>
      </c>
      <c r="F488" s="8" t="s">
        <v>1206</v>
      </c>
      <c r="G488" s="9">
        <v>180409</v>
      </c>
      <c r="H488" s="10">
        <f>INDEX([1]ratio_ins!F:F,MATCH('001_population_health_zone_zs'!$B$2,[1]ratio_ins!$B:$B,0))*$G488*INDEX([1]ratio_ins!$C:$C,MATCH('001_population_health_zone_zs'!$B488,[1]ratio_ins!$B:$B,0))</f>
        <v>18551.096652</v>
      </c>
      <c r="I488" s="10">
        <f>INDEX([1]ratio_ins!G:G,MATCH('001_population_health_zone_zs'!$B$2,[1]ratio_ins!$B:$B,0))*$G488*INDEX([1]ratio_ins!$C:$C,MATCH('001_population_health_zone_zs'!$B488,[1]ratio_ins!$B:$B,0))</f>
        <v>15178.169988000003</v>
      </c>
      <c r="J488" s="10">
        <f>INDEX([1]ratio_ins!H:H,MATCH('001_population_health_zone_zs'!$B$2,[1]ratio_ins!$B:$B,0))*$G488*INDEX([1]ratio_ins!$C:$C,MATCH('001_population_health_zone_zs'!$B488,[1]ratio_ins!$B:$B,0))</f>
        <v>11982.765780000002</v>
      </c>
      <c r="K488" s="10">
        <f>INDEX([1]ratio_ins!I:I,MATCH('001_population_health_zone_zs'!$B$2,[1]ratio_ins!$B:$B,0))*$G488*INDEX([1]ratio_ins!$C:$C,MATCH('001_population_health_zone_zs'!$B488,[1]ratio_ins!$B:$B,0))</f>
        <v>7367.1819240000004</v>
      </c>
      <c r="L488" s="10">
        <f>INDEX([1]ratio_ins!J:J,MATCH('001_population_health_zone_zs'!$B$2,[1]ratio_ins!$B:$B,0))*$G488*INDEX([1]ratio_ins!$C:$C,MATCH('001_population_health_zone_zs'!$B488,[1]ratio_ins!$B:$B,0))</f>
        <v>4420.3091543999999</v>
      </c>
      <c r="M488" s="11">
        <f>INDEX([1]ratio_ins!K:K,MATCH('001_population_health_zone_zs'!$B$2,[1]ratio_ins!$B:$B,0))*$G488*INDEX([1]ratio_ins!$C:$C,MATCH('001_population_health_zone_zs'!$B488,[1]ratio_ins!$B:$B,0))</f>
        <v>50132.341574400001</v>
      </c>
      <c r="N488" s="10">
        <f>INDEX([1]ratio_ins!L:L,MATCH('001_population_health_zone_zs'!$B$2,[1]ratio_ins!$B:$B,0))*$G488*INDEX([1]ratio_ins!$C:$C,MATCH('001_population_health_zone_zs'!$B488,[1]ratio_ins!$B:$B,0))</f>
        <v>2946.8727696000005</v>
      </c>
      <c r="O488" s="10">
        <f>INDEX([1]ratio_ins!M:M,MATCH('001_population_health_zone_zs'!$B$2,[1]ratio_ins!$B:$B,0))*$G488*INDEX([1]ratio_ins!$C:$C,MATCH('001_population_health_zone_zs'!$B488,[1]ratio_ins!$B:$B,0))</f>
        <v>6390.8084160000017</v>
      </c>
      <c r="P488" s="10">
        <f>INDEX([1]ratio_ins!N:N,MATCH('001_population_health_zone_zs'!$B$2,[1]ratio_ins!$B:$B,0))*$G488*INDEX([1]ratio_ins!$C:$C,MATCH('001_population_health_zone_zs'!$B488,[1]ratio_ins!$B:$B,0))</f>
        <v>5769.4798200000014</v>
      </c>
      <c r="Q488" s="10">
        <f>INDEX([1]ratio_ins!O:O,MATCH('001_population_health_zone_zs'!$B$2,[1]ratio_ins!$B:$B,0))*$G488*INDEX([1]ratio_ins!$C:$C,MATCH('001_population_health_zone_zs'!$B488,[1]ratio_ins!$B:$B,0))</f>
        <v>5148.1512240000002</v>
      </c>
      <c r="R488" s="10">
        <f>INDEX([1]ratio_ins!P:P,MATCH('001_population_health_zone_zs'!$B$2,[1]ratio_ins!$B:$B,0))*$G488*INDEX([1]ratio_ins!$C:$C,MATCH('001_population_health_zone_zs'!$B488,[1]ratio_ins!$B:$B,0))</f>
        <v>5059.3899960000008</v>
      </c>
      <c r="S488" s="10">
        <f>INDEX([1]ratio_ins!Q:Q,MATCH('001_population_health_zone_zs'!$B$2,[1]ratio_ins!$B:$B,0))*$G488*INDEX([1]ratio_ins!$C:$C,MATCH('001_population_health_zone_zs'!$B488,[1]ratio_ins!$B:$B,0))</f>
        <v>4260.5389439999999</v>
      </c>
      <c r="T488" s="10">
        <f>INDEX([1]ratio_ins!R:R,MATCH('001_population_health_zone_zs'!$B$2,[1]ratio_ins!$B:$B,0))*$G488*INDEX([1]ratio_ins!$C:$C,MATCH('001_population_health_zone_zs'!$B488,[1]ratio_ins!$B:$B,0))</f>
        <v>3017.8817520000007</v>
      </c>
      <c r="U488" s="10">
        <f>INDEX([1]ratio_ins!S:S,MATCH('001_population_health_zone_zs'!$B$2,[1]ratio_ins!$B:$B,0))*$G488*INDEX([1]ratio_ins!$C:$C,MATCH('001_population_health_zone_zs'!$B488,[1]ratio_ins!$B:$B,0))</f>
        <v>2396.5531560000004</v>
      </c>
      <c r="V488" s="10">
        <f>INDEX([1]ratio_ins!T:T,MATCH('001_population_health_zone_zs'!$B$2,[1]ratio_ins!$B:$B,0))*$G488*INDEX([1]ratio_ins!$C:$C,MATCH('001_population_health_zone_zs'!$B488,[1]ratio_ins!$B:$B,0))</f>
        <v>1331.41842</v>
      </c>
      <c r="W488" s="11">
        <f>INDEX([1]ratio_ins!U:U,MATCH('001_population_health_zone_zs'!$B$2,[1]ratio_ins!$B:$B,0))*$G488*INDEX([1]ratio_ins!$C:$C,MATCH('001_population_health_zone_zs'!$B488,[1]ratio_ins!$B:$B,0))</f>
        <v>36321.094497600003</v>
      </c>
      <c r="X488" s="10">
        <f>INDEX([1]ratio_ins!V:V,MATCH('001_population_health_zone_zs'!$B$2,[1]ratio_ins!$B:$B,0))*$G488*INDEX([1]ratio_ins!$C:$C,MATCH('001_population_health_zone_zs'!$B488,[1]ratio_ins!$B:$B,0))</f>
        <v>1065.134736</v>
      </c>
      <c r="Y488" s="10">
        <f>INDEX([1]ratio_ins!W:W,MATCH('001_population_health_zone_zs'!$B$2,[1]ratio_ins!$B:$B,0))*$G488*INDEX([1]ratio_ins!$C:$C,MATCH('001_population_health_zone_zs'!$B488,[1]ratio_ins!$B:$B,0))</f>
        <v>710.08982400000002</v>
      </c>
      <c r="Z488" s="10">
        <f>INDEX([1]ratio_ins!X:X,MATCH('001_population_health_zone_zs'!$B$2,[1]ratio_ins!$B:$B,0))*$G488*INDEX([1]ratio_ins!$C:$C,MATCH('001_population_health_zone_zs'!$B488,[1]ratio_ins!$B:$B,0))</f>
        <v>355.04491200000001</v>
      </c>
      <c r="AA488" s="10">
        <f>INDEX([1]ratio_ins!Y:Y,MATCH('001_population_health_zone_zs'!$B$2,[1]ratio_ins!$B:$B,0))*$G488*INDEX([1]ratio_ins!$C:$C,MATCH('001_population_health_zone_zs'!$B488,[1]ratio_ins!$B:$B,0))</f>
        <v>177.52245600000001</v>
      </c>
      <c r="AB488" s="11">
        <f>INDEX([1]ratio_ins!Z:Z,MATCH('001_population_health_zone_zs'!$B$2,[1]ratio_ins!$B:$B,0))*$G488*INDEX([1]ratio_ins!$C:$C,MATCH('001_population_health_zone_zs'!$B488,[1]ratio_ins!$B:$B,0))</f>
        <v>2307.7919280000001</v>
      </c>
      <c r="AC488" s="12">
        <f t="shared" si="42"/>
        <v>88761.228000000017</v>
      </c>
      <c r="AD488" s="10">
        <f>INDEX([1]ratio_ins!AA:AA,MATCH('001_population_health_zone_zs'!$B$2,[1]ratio_ins!$B:$B,0))*$G488*INDEX([1]ratio_ins!$D:$D,MATCH('001_population_health_zone_zs'!$B488,[1]ratio_ins!$B:$B,0))</f>
        <v>19246.03212</v>
      </c>
      <c r="AE488" s="10">
        <f>INDEX([1]ratio_ins!AB:AB,MATCH('001_population_health_zone_zs'!$B$2,[1]ratio_ins!$B:$B,0))*$G488*INDEX([1]ratio_ins!$D:$D,MATCH('001_population_health_zone_zs'!$B488,[1]ratio_ins!$B:$B,0))</f>
        <v>15855.064556000001</v>
      </c>
      <c r="AF488" s="10">
        <f>INDEX([1]ratio_ins!AC:AC,MATCH('001_population_health_zone_zs'!$B$2,[1]ratio_ins!$B:$B,0))*$G488*INDEX([1]ratio_ins!$D:$D,MATCH('001_population_health_zone_zs'!$B488,[1]ratio_ins!$B:$B,0))</f>
        <v>12555.744763999997</v>
      </c>
      <c r="AG488" s="10">
        <f>INDEX([1]ratio_ins!AD:AD,MATCH('001_population_health_zone_zs'!$B$2,[1]ratio_ins!$B:$B,0))*$G488*INDEX([1]ratio_ins!$D:$D,MATCH('001_population_health_zone_zs'!$B488,[1]ratio_ins!$B:$B,0))</f>
        <v>7606.7650760000006</v>
      </c>
      <c r="AH488" s="10">
        <f>INDEX([1]ratio_ins!AE:AE,MATCH('001_population_health_zone_zs'!$B$2,[1]ratio_ins!$B:$B,0))*$G488*INDEX([1]ratio_ins!$D:$D,MATCH('001_population_health_zone_zs'!$B488,[1]ratio_ins!$B:$B,0))</f>
        <v>4564.0590456</v>
      </c>
      <c r="AI488" s="13">
        <f>INDEX([1]ratio_ins!AF:AF,MATCH('001_population_health_zone_zs'!$B$2,[1]ratio_ins!$B:$B,0))*$G488*INDEX([1]ratio_ins!$D:$D,MATCH('001_population_health_zone_zs'!$B488,[1]ratio_ins!$B:$B,0))</f>
        <v>52220.900485599996</v>
      </c>
      <c r="AJ488" s="10">
        <f>INDEX([1]ratio_ins!AG:AG,MATCH('001_population_health_zone_zs'!$B$2,[1]ratio_ins!$B:$B,0))*$G488*INDEX([1]ratio_ins!$D:$D,MATCH('001_population_health_zone_zs'!$B488,[1]ratio_ins!$B:$B,0))</f>
        <v>3042.7060304000001</v>
      </c>
      <c r="AK488" s="10">
        <f>INDEX([1]ratio_ins!AH:AH,MATCH('001_population_health_zone_zs'!$B$2,[1]ratio_ins!$B:$B,0))*$G488*INDEX([1]ratio_ins!$D:$D,MATCH('001_population_health_zone_zs'!$B488,[1]ratio_ins!$B:$B,0))</f>
        <v>6781.935128000001</v>
      </c>
      <c r="AL488" s="10">
        <f>INDEX([1]ratio_ins!AI:AI,MATCH('001_population_health_zone_zs'!$B$2,[1]ratio_ins!$B:$B,0))*$G488*INDEX([1]ratio_ins!$D:$D,MATCH('001_population_health_zone_zs'!$B488,[1]ratio_ins!$B:$B,0))</f>
        <v>6415.3440400000009</v>
      </c>
      <c r="AM488" s="10">
        <f>INDEX([1]ratio_ins!AJ:AJ,MATCH('001_population_health_zone_zs'!$B$2,[1]ratio_ins!$B:$B,0))*$G488*INDEX([1]ratio_ins!$D:$D,MATCH('001_population_health_zone_zs'!$B488,[1]ratio_ins!$B:$B,0))</f>
        <v>5865.4574080000002</v>
      </c>
      <c r="AN488" s="10">
        <f>INDEX([1]ratio_ins!AK:AK,MATCH('001_population_health_zone_zs'!$B$2,[1]ratio_ins!$B:$B,0))*$G488*INDEX([1]ratio_ins!$D:$D,MATCH('001_population_health_zone_zs'!$B488,[1]ratio_ins!$B:$B,0))</f>
        <v>5498.8663199999992</v>
      </c>
      <c r="AO488" s="10">
        <f>INDEX([1]ratio_ins!AL:AL,MATCH('001_population_health_zone_zs'!$B$2,[1]ratio_ins!$B:$B,0))*$G488*INDEX([1]ratio_ins!$D:$D,MATCH('001_population_health_zone_zs'!$B488,[1]ratio_ins!$B:$B,0))</f>
        <v>4124.1497399999998</v>
      </c>
      <c r="AP488" s="10">
        <f>INDEX([1]ratio_ins!AM:AM,MATCH('001_population_health_zone_zs'!$B$2,[1]ratio_ins!$B:$B,0))*$G488*INDEX([1]ratio_ins!$D:$D,MATCH('001_population_health_zone_zs'!$B488,[1]ratio_ins!$B:$B,0))</f>
        <v>2657.7853879999998</v>
      </c>
      <c r="AQ488" s="10">
        <f>INDEX([1]ratio_ins!AN:AN,MATCH('001_population_health_zone_zs'!$B$2,[1]ratio_ins!$B:$B,0))*$G488*INDEX([1]ratio_ins!$D:$D,MATCH('001_population_health_zone_zs'!$B488,[1]ratio_ins!$B:$B,0))</f>
        <v>2107.898756</v>
      </c>
      <c r="AR488" s="10">
        <f>INDEX([1]ratio_ins!AO:AO,MATCH('001_population_health_zone_zs'!$B$2,[1]ratio_ins!$B:$B,0))*$G488*INDEX([1]ratio_ins!$D:$D,MATCH('001_population_health_zone_zs'!$B488,[1]ratio_ins!$B:$B,0))</f>
        <v>1008.1254920000001</v>
      </c>
      <c r="AS488" s="13">
        <f>INDEX([1]ratio_ins!AP:AP,MATCH('001_population_health_zone_zs'!$B$2,[1]ratio_ins!$B:$B,0))*$G488*INDEX([1]ratio_ins!$D:$D,MATCH('001_population_health_zone_zs'!$B488,[1]ratio_ins!$B:$B,0))</f>
        <v>37502.2683024</v>
      </c>
      <c r="AT488" s="10">
        <f>INDEX([1]ratio_ins!AQ:AQ,MATCH('001_population_health_zone_zs'!$B$2,[1]ratio_ins!$B:$B,0))*$G488*INDEX([1]ratio_ins!$D:$D,MATCH('001_population_health_zone_zs'!$B488,[1]ratio_ins!$B:$B,0))</f>
        <v>916.47772000000009</v>
      </c>
      <c r="AU488" s="10">
        <f>INDEX([1]ratio_ins!AR:AR,MATCH('001_population_health_zone_zs'!$B$2,[1]ratio_ins!$B:$B,0))*$G488*INDEX([1]ratio_ins!$D:$D,MATCH('001_population_health_zone_zs'!$B488,[1]ratio_ins!$B:$B,0))</f>
        <v>549.88663199999996</v>
      </c>
      <c r="AV488" s="10">
        <f>INDEX([1]ratio_ins!AS:AS,MATCH('001_population_health_zone_zs'!$B$2,[1]ratio_ins!$B:$B,0))*$G488*INDEX([1]ratio_ins!$D:$D,MATCH('001_population_health_zone_zs'!$B488,[1]ratio_ins!$B:$B,0))</f>
        <v>274.94331599999998</v>
      </c>
      <c r="AW488" s="10">
        <f>INDEX([1]ratio_ins!AT:AT,MATCH('001_population_health_zone_zs'!$B$2,[1]ratio_ins!$B:$B,0))*$G488*INDEX([1]ratio_ins!$D:$D,MATCH('001_population_health_zone_zs'!$B488,[1]ratio_ins!$B:$B,0))</f>
        <v>183.29554400000001</v>
      </c>
      <c r="AX488" s="13">
        <f>INDEX([1]ratio_ins!AU:AU,MATCH('001_population_health_zone_zs'!$B$2,[1]ratio_ins!$B:$B,0))*$G488*INDEX([1]ratio_ins!$D:$D,MATCH('001_population_health_zone_zs'!$B488,[1]ratio_ins!$B:$B,0))</f>
        <v>1924.6032119999998</v>
      </c>
      <c r="AY488" s="14">
        <f t="shared" si="43"/>
        <v>91647.771999999997</v>
      </c>
      <c r="AZ488" s="15">
        <f t="shared" si="44"/>
        <v>180409</v>
      </c>
      <c r="BA488" s="16">
        <v>173709.64253415179</v>
      </c>
      <c r="BB488" s="10">
        <f t="shared" si="45"/>
        <v>38950.303099999997</v>
      </c>
      <c r="BC488" s="17">
        <f t="shared" si="46"/>
        <v>0.21589999999999998</v>
      </c>
      <c r="BD488" s="10">
        <f t="shared" si="47"/>
        <v>37013.432076000012</v>
      </c>
    </row>
    <row r="489" spans="1:56" x14ac:dyDescent="0.25">
      <c r="A489" s="8" t="s">
        <v>1178</v>
      </c>
      <c r="B489" s="8" t="s">
        <v>1179</v>
      </c>
      <c r="C489" s="8" t="s">
        <v>1202</v>
      </c>
      <c r="D489" s="8" t="s">
        <v>1203</v>
      </c>
      <c r="E489" s="8" t="s">
        <v>1207</v>
      </c>
      <c r="F489" s="8" t="s">
        <v>1208</v>
      </c>
      <c r="G489" s="9">
        <v>214979</v>
      </c>
      <c r="H489" s="10">
        <f>INDEX([1]ratio_ins!F:F,MATCH('001_population_health_zone_zs'!$B$2,[1]ratio_ins!$B:$B,0))*$G489*INDEX([1]ratio_ins!$C:$C,MATCH('001_population_health_zone_zs'!$B489,[1]ratio_ins!$B:$B,0))</f>
        <v>22105.860612</v>
      </c>
      <c r="I489" s="10">
        <f>INDEX([1]ratio_ins!G:G,MATCH('001_population_health_zone_zs'!$B$2,[1]ratio_ins!$B:$B,0))*$G489*INDEX([1]ratio_ins!$C:$C,MATCH('001_population_health_zone_zs'!$B489,[1]ratio_ins!$B:$B,0))</f>
        <v>18086.613228000002</v>
      </c>
      <c r="J489" s="10">
        <f>INDEX([1]ratio_ins!H:H,MATCH('001_population_health_zone_zs'!$B$2,[1]ratio_ins!$B:$B,0))*$G489*INDEX([1]ratio_ins!$C:$C,MATCH('001_population_health_zone_zs'!$B489,[1]ratio_ins!$B:$B,0))</f>
        <v>14278.905180000002</v>
      </c>
      <c r="K489" s="10">
        <f>INDEX([1]ratio_ins!I:I,MATCH('001_population_health_zone_zs'!$B$2,[1]ratio_ins!$B:$B,0))*$G489*INDEX([1]ratio_ins!$C:$C,MATCH('001_population_health_zone_zs'!$B489,[1]ratio_ins!$B:$B,0))</f>
        <v>8778.8824440000008</v>
      </c>
      <c r="L489" s="10">
        <f>INDEX([1]ratio_ins!J:J,MATCH('001_population_health_zone_zs'!$B$2,[1]ratio_ins!$B:$B,0))*$G489*INDEX([1]ratio_ins!$C:$C,MATCH('001_population_health_zone_zs'!$B489,[1]ratio_ins!$B:$B,0))</f>
        <v>5267.3294664000005</v>
      </c>
      <c r="M489" s="11">
        <f>INDEX([1]ratio_ins!K:K,MATCH('001_population_health_zone_zs'!$B$2,[1]ratio_ins!$B:$B,0))*$G489*INDEX([1]ratio_ins!$C:$C,MATCH('001_population_health_zone_zs'!$B489,[1]ratio_ins!$B:$B,0))</f>
        <v>59738.708486399999</v>
      </c>
      <c r="N489" s="10">
        <f>INDEX([1]ratio_ins!L:L,MATCH('001_population_health_zone_zs'!$B$2,[1]ratio_ins!$B:$B,0))*$G489*INDEX([1]ratio_ins!$C:$C,MATCH('001_population_health_zone_zs'!$B489,[1]ratio_ins!$B:$B,0))</f>
        <v>3511.5529776000008</v>
      </c>
      <c r="O489" s="10">
        <f>INDEX([1]ratio_ins!M:M,MATCH('001_population_health_zone_zs'!$B$2,[1]ratio_ins!$B:$B,0))*$G489*INDEX([1]ratio_ins!$C:$C,MATCH('001_population_health_zone_zs'!$B489,[1]ratio_ins!$B:$B,0))</f>
        <v>7615.4160960000017</v>
      </c>
      <c r="P489" s="10">
        <f>INDEX([1]ratio_ins!N:N,MATCH('001_population_health_zone_zs'!$B$2,[1]ratio_ins!$B:$B,0))*$G489*INDEX([1]ratio_ins!$C:$C,MATCH('001_population_health_zone_zs'!$B489,[1]ratio_ins!$B:$B,0))</f>
        <v>6875.0284200000006</v>
      </c>
      <c r="Q489" s="10">
        <f>INDEX([1]ratio_ins!O:O,MATCH('001_population_health_zone_zs'!$B$2,[1]ratio_ins!$B:$B,0))*$G489*INDEX([1]ratio_ins!$C:$C,MATCH('001_population_health_zone_zs'!$B489,[1]ratio_ins!$B:$B,0))</f>
        <v>6134.6407440000003</v>
      </c>
      <c r="R489" s="10">
        <f>INDEX([1]ratio_ins!P:P,MATCH('001_population_health_zone_zs'!$B$2,[1]ratio_ins!$B:$B,0))*$G489*INDEX([1]ratio_ins!$C:$C,MATCH('001_population_health_zone_zs'!$B489,[1]ratio_ins!$B:$B,0))</f>
        <v>6028.8710760000004</v>
      </c>
      <c r="S489" s="10">
        <f>INDEX([1]ratio_ins!Q:Q,MATCH('001_population_health_zone_zs'!$B$2,[1]ratio_ins!$B:$B,0))*$G489*INDEX([1]ratio_ins!$C:$C,MATCH('001_population_health_zone_zs'!$B489,[1]ratio_ins!$B:$B,0))</f>
        <v>5076.9440640000003</v>
      </c>
      <c r="T489" s="10">
        <f>INDEX([1]ratio_ins!R:R,MATCH('001_population_health_zone_zs'!$B$2,[1]ratio_ins!$B:$B,0))*$G489*INDEX([1]ratio_ins!$C:$C,MATCH('001_population_health_zone_zs'!$B489,[1]ratio_ins!$B:$B,0))</f>
        <v>3596.1687120000011</v>
      </c>
      <c r="U489" s="10">
        <f>INDEX([1]ratio_ins!S:S,MATCH('001_population_health_zone_zs'!$B$2,[1]ratio_ins!$B:$B,0))*$G489*INDEX([1]ratio_ins!$C:$C,MATCH('001_population_health_zone_zs'!$B489,[1]ratio_ins!$B:$B,0))</f>
        <v>2855.7810360000008</v>
      </c>
      <c r="V489" s="10">
        <f>INDEX([1]ratio_ins!T:T,MATCH('001_population_health_zone_zs'!$B$2,[1]ratio_ins!$B:$B,0))*$G489*INDEX([1]ratio_ins!$C:$C,MATCH('001_population_health_zone_zs'!$B489,[1]ratio_ins!$B:$B,0))</f>
        <v>1586.54502</v>
      </c>
      <c r="W489" s="11">
        <f>INDEX([1]ratio_ins!U:U,MATCH('001_population_health_zone_zs'!$B$2,[1]ratio_ins!$B:$B,0))*$G489*INDEX([1]ratio_ins!$C:$C,MATCH('001_population_health_zone_zs'!$B489,[1]ratio_ins!$B:$B,0))</f>
        <v>43280.948145599999</v>
      </c>
      <c r="X489" s="10">
        <f>INDEX([1]ratio_ins!V:V,MATCH('001_population_health_zone_zs'!$B$2,[1]ratio_ins!$B:$B,0))*$G489*INDEX([1]ratio_ins!$C:$C,MATCH('001_population_health_zone_zs'!$B489,[1]ratio_ins!$B:$B,0))</f>
        <v>1269.2360160000001</v>
      </c>
      <c r="Y489" s="10">
        <f>INDEX([1]ratio_ins!W:W,MATCH('001_population_health_zone_zs'!$B$2,[1]ratio_ins!$B:$B,0))*$G489*INDEX([1]ratio_ins!$C:$C,MATCH('001_population_health_zone_zs'!$B489,[1]ratio_ins!$B:$B,0))</f>
        <v>846.15734400000008</v>
      </c>
      <c r="Z489" s="10">
        <f>INDEX([1]ratio_ins!X:X,MATCH('001_population_health_zone_zs'!$B$2,[1]ratio_ins!$B:$B,0))*$G489*INDEX([1]ratio_ins!$C:$C,MATCH('001_population_health_zone_zs'!$B489,[1]ratio_ins!$B:$B,0))</f>
        <v>423.07867200000004</v>
      </c>
      <c r="AA489" s="10">
        <f>INDEX([1]ratio_ins!Y:Y,MATCH('001_population_health_zone_zs'!$B$2,[1]ratio_ins!$B:$B,0))*$G489*INDEX([1]ratio_ins!$C:$C,MATCH('001_population_health_zone_zs'!$B489,[1]ratio_ins!$B:$B,0))</f>
        <v>211.53933600000002</v>
      </c>
      <c r="AB489" s="11">
        <f>INDEX([1]ratio_ins!Z:Z,MATCH('001_population_health_zone_zs'!$B$2,[1]ratio_ins!$B:$B,0))*$G489*INDEX([1]ratio_ins!$C:$C,MATCH('001_population_health_zone_zs'!$B489,[1]ratio_ins!$B:$B,0))</f>
        <v>2750.0113680000004</v>
      </c>
      <c r="AC489" s="12">
        <f t="shared" si="42"/>
        <v>105769.66800000001</v>
      </c>
      <c r="AD489" s="10">
        <f>INDEX([1]ratio_ins!AA:AA,MATCH('001_population_health_zone_zs'!$B$2,[1]ratio_ins!$B:$B,0))*$G489*INDEX([1]ratio_ins!$D:$D,MATCH('001_population_health_zone_zs'!$B489,[1]ratio_ins!$B:$B,0))</f>
        <v>22933.959719999999</v>
      </c>
      <c r="AE489" s="10">
        <f>INDEX([1]ratio_ins!AB:AB,MATCH('001_population_health_zone_zs'!$B$2,[1]ratio_ins!$B:$B,0))*$G489*INDEX([1]ratio_ins!$D:$D,MATCH('001_population_health_zone_zs'!$B489,[1]ratio_ins!$B:$B,0))</f>
        <v>18893.214436000002</v>
      </c>
      <c r="AF489" s="10">
        <f>INDEX([1]ratio_ins!AC:AC,MATCH('001_population_health_zone_zs'!$B$2,[1]ratio_ins!$B:$B,0))*$G489*INDEX([1]ratio_ins!$D:$D,MATCH('001_population_health_zone_zs'!$B489,[1]ratio_ins!$B:$B,0))</f>
        <v>14961.678483999998</v>
      </c>
      <c r="AG489" s="10">
        <f>INDEX([1]ratio_ins!AD:AD,MATCH('001_population_health_zone_zs'!$B$2,[1]ratio_ins!$B:$B,0))*$G489*INDEX([1]ratio_ins!$D:$D,MATCH('001_population_health_zone_zs'!$B489,[1]ratio_ins!$B:$B,0))</f>
        <v>9064.3745560000007</v>
      </c>
      <c r="AH489" s="10">
        <f>INDEX([1]ratio_ins!AE:AE,MATCH('001_population_health_zone_zs'!$B$2,[1]ratio_ins!$B:$B,0))*$G489*INDEX([1]ratio_ins!$D:$D,MATCH('001_population_health_zone_zs'!$B489,[1]ratio_ins!$B:$B,0))</f>
        <v>5438.6247336000006</v>
      </c>
      <c r="AI489" s="13">
        <f>INDEX([1]ratio_ins!AF:AF,MATCH('001_population_health_zone_zs'!$B$2,[1]ratio_ins!$B:$B,0))*$G489*INDEX([1]ratio_ins!$D:$D,MATCH('001_population_health_zone_zs'!$B489,[1]ratio_ins!$B:$B,0))</f>
        <v>62227.477373599999</v>
      </c>
      <c r="AJ489" s="10">
        <f>INDEX([1]ratio_ins!AG:AG,MATCH('001_population_health_zone_zs'!$B$2,[1]ratio_ins!$B:$B,0))*$G489*INDEX([1]ratio_ins!$D:$D,MATCH('001_population_health_zone_zs'!$B489,[1]ratio_ins!$B:$B,0))</f>
        <v>3625.7498224000001</v>
      </c>
      <c r="AK489" s="10">
        <f>INDEX([1]ratio_ins!AH:AH,MATCH('001_population_health_zone_zs'!$B$2,[1]ratio_ins!$B:$B,0))*$G489*INDEX([1]ratio_ins!$D:$D,MATCH('001_population_health_zone_zs'!$B489,[1]ratio_ins!$B:$B,0))</f>
        <v>8081.4905680000011</v>
      </c>
      <c r="AL489" s="10">
        <f>INDEX([1]ratio_ins!AI:AI,MATCH('001_population_health_zone_zs'!$B$2,[1]ratio_ins!$B:$B,0))*$G489*INDEX([1]ratio_ins!$D:$D,MATCH('001_population_health_zone_zs'!$B489,[1]ratio_ins!$B:$B,0))</f>
        <v>7644.6532400000006</v>
      </c>
      <c r="AM489" s="10">
        <f>INDEX([1]ratio_ins!AJ:AJ,MATCH('001_population_health_zone_zs'!$B$2,[1]ratio_ins!$B:$B,0))*$G489*INDEX([1]ratio_ins!$D:$D,MATCH('001_population_health_zone_zs'!$B489,[1]ratio_ins!$B:$B,0))</f>
        <v>6989.3972480000002</v>
      </c>
      <c r="AN489" s="10">
        <f>INDEX([1]ratio_ins!AK:AK,MATCH('001_population_health_zone_zs'!$B$2,[1]ratio_ins!$B:$B,0))*$G489*INDEX([1]ratio_ins!$D:$D,MATCH('001_population_health_zone_zs'!$B489,[1]ratio_ins!$B:$B,0))</f>
        <v>6552.5599199999997</v>
      </c>
      <c r="AO489" s="10">
        <f>INDEX([1]ratio_ins!AL:AL,MATCH('001_population_health_zone_zs'!$B$2,[1]ratio_ins!$B:$B,0))*$G489*INDEX([1]ratio_ins!$D:$D,MATCH('001_population_health_zone_zs'!$B489,[1]ratio_ins!$B:$B,0))</f>
        <v>4914.4199399999998</v>
      </c>
      <c r="AP489" s="10">
        <f>INDEX([1]ratio_ins!AM:AM,MATCH('001_population_health_zone_zs'!$B$2,[1]ratio_ins!$B:$B,0))*$G489*INDEX([1]ratio_ins!$D:$D,MATCH('001_population_health_zone_zs'!$B489,[1]ratio_ins!$B:$B,0))</f>
        <v>3167.0706279999999</v>
      </c>
      <c r="AQ489" s="10">
        <f>INDEX([1]ratio_ins!AN:AN,MATCH('001_population_health_zone_zs'!$B$2,[1]ratio_ins!$B:$B,0))*$G489*INDEX([1]ratio_ins!$D:$D,MATCH('001_population_health_zone_zs'!$B489,[1]ratio_ins!$B:$B,0))</f>
        <v>2511.8146360000001</v>
      </c>
      <c r="AR489" s="10">
        <f>INDEX([1]ratio_ins!AO:AO,MATCH('001_population_health_zone_zs'!$B$2,[1]ratio_ins!$B:$B,0))*$G489*INDEX([1]ratio_ins!$D:$D,MATCH('001_population_health_zone_zs'!$B489,[1]ratio_ins!$B:$B,0))</f>
        <v>1201.3026520000001</v>
      </c>
      <c r="AS489" s="13">
        <f>INDEX([1]ratio_ins!AP:AP,MATCH('001_population_health_zone_zs'!$B$2,[1]ratio_ins!$B:$B,0))*$G489*INDEX([1]ratio_ins!$D:$D,MATCH('001_population_health_zone_zs'!$B489,[1]ratio_ins!$B:$B,0))</f>
        <v>44688.458654399998</v>
      </c>
      <c r="AT489" s="10">
        <f>INDEX([1]ratio_ins!AQ:AQ,MATCH('001_population_health_zone_zs'!$B$2,[1]ratio_ins!$B:$B,0))*$G489*INDEX([1]ratio_ins!$D:$D,MATCH('001_population_health_zone_zs'!$B489,[1]ratio_ins!$B:$B,0))</f>
        <v>1092.0933199999999</v>
      </c>
      <c r="AU489" s="10">
        <f>INDEX([1]ratio_ins!AR:AR,MATCH('001_population_health_zone_zs'!$B$2,[1]ratio_ins!$B:$B,0))*$G489*INDEX([1]ratio_ins!$D:$D,MATCH('001_population_health_zone_zs'!$B489,[1]ratio_ins!$B:$B,0))</f>
        <v>655.25599199999999</v>
      </c>
      <c r="AV489" s="10">
        <f>INDEX([1]ratio_ins!AS:AS,MATCH('001_population_health_zone_zs'!$B$2,[1]ratio_ins!$B:$B,0))*$G489*INDEX([1]ratio_ins!$D:$D,MATCH('001_population_health_zone_zs'!$B489,[1]ratio_ins!$B:$B,0))</f>
        <v>327.627996</v>
      </c>
      <c r="AW489" s="10">
        <f>INDEX([1]ratio_ins!AT:AT,MATCH('001_population_health_zone_zs'!$B$2,[1]ratio_ins!$B:$B,0))*$G489*INDEX([1]ratio_ins!$D:$D,MATCH('001_population_health_zone_zs'!$B489,[1]ratio_ins!$B:$B,0))</f>
        <v>218.41866400000001</v>
      </c>
      <c r="AX489" s="13">
        <f>INDEX([1]ratio_ins!AU:AU,MATCH('001_population_health_zone_zs'!$B$2,[1]ratio_ins!$B:$B,0))*$G489*INDEX([1]ratio_ins!$D:$D,MATCH('001_population_health_zone_zs'!$B489,[1]ratio_ins!$B:$B,0))</f>
        <v>2293.3959719999998</v>
      </c>
      <c r="AY489" s="14">
        <f t="shared" si="43"/>
        <v>109209.33199999999</v>
      </c>
      <c r="AZ489" s="15">
        <f t="shared" si="44"/>
        <v>214979</v>
      </c>
      <c r="BA489" s="16">
        <v>206995.07150912273</v>
      </c>
      <c r="BB489" s="10">
        <f t="shared" si="45"/>
        <v>46413.966100000005</v>
      </c>
      <c r="BC489" s="17">
        <f t="shared" si="46"/>
        <v>0.21590000000000004</v>
      </c>
      <c r="BD489" s="10">
        <f t="shared" si="47"/>
        <v>44105.951556000007</v>
      </c>
    </row>
    <row r="490" spans="1:56" x14ac:dyDescent="0.25">
      <c r="A490" s="8" t="s">
        <v>1178</v>
      </c>
      <c r="B490" s="8" t="s">
        <v>1179</v>
      </c>
      <c r="C490" s="8" t="s">
        <v>1202</v>
      </c>
      <c r="D490" s="8" t="s">
        <v>1203</v>
      </c>
      <c r="E490" s="8" t="s">
        <v>1209</v>
      </c>
      <c r="F490" s="8" t="s">
        <v>1210</v>
      </c>
      <c r="G490" s="9">
        <v>160737</v>
      </c>
      <c r="H490" s="10">
        <f>INDEX([1]ratio_ins!F:F,MATCH('001_population_health_zone_zs'!$B$2,[1]ratio_ins!$B:$B,0))*$G490*INDEX([1]ratio_ins!$C:$C,MATCH('001_population_health_zone_zs'!$B490,[1]ratio_ins!$B:$B,0))</f>
        <v>16528.264235999999</v>
      </c>
      <c r="I490" s="10">
        <f>INDEX([1]ratio_ins!G:G,MATCH('001_population_health_zone_zs'!$B$2,[1]ratio_ins!$B:$B,0))*$G490*INDEX([1]ratio_ins!$C:$C,MATCH('001_population_health_zone_zs'!$B490,[1]ratio_ins!$B:$B,0))</f>
        <v>13523.125284000002</v>
      </c>
      <c r="J490" s="10">
        <f>INDEX([1]ratio_ins!H:H,MATCH('001_population_health_zone_zs'!$B$2,[1]ratio_ins!$B:$B,0))*$G490*INDEX([1]ratio_ins!$C:$C,MATCH('001_population_health_zone_zs'!$B490,[1]ratio_ins!$B:$B,0))</f>
        <v>10676.151540000003</v>
      </c>
      <c r="K490" s="10">
        <f>INDEX([1]ratio_ins!I:I,MATCH('001_population_health_zone_zs'!$B$2,[1]ratio_ins!$B:$B,0))*$G490*INDEX([1]ratio_ins!$C:$C,MATCH('001_population_health_zone_zs'!$B490,[1]ratio_ins!$B:$B,0))</f>
        <v>6563.8561320000008</v>
      </c>
      <c r="L490" s="10">
        <f>INDEX([1]ratio_ins!J:J,MATCH('001_population_health_zone_zs'!$B$2,[1]ratio_ins!$B:$B,0))*$G490*INDEX([1]ratio_ins!$C:$C,MATCH('001_population_health_zone_zs'!$B490,[1]ratio_ins!$B:$B,0))</f>
        <v>3938.3136792</v>
      </c>
      <c r="M490" s="11">
        <f>INDEX([1]ratio_ins!K:K,MATCH('001_population_health_zone_zs'!$B$2,[1]ratio_ins!$B:$B,0))*$G490*INDEX([1]ratio_ins!$C:$C,MATCH('001_population_health_zone_zs'!$B490,[1]ratio_ins!$B:$B,0))</f>
        <v>44665.854739200004</v>
      </c>
      <c r="N490" s="10">
        <f>INDEX([1]ratio_ins!L:L,MATCH('001_population_health_zone_zs'!$B$2,[1]ratio_ins!$B:$B,0))*$G490*INDEX([1]ratio_ins!$C:$C,MATCH('001_population_health_zone_zs'!$B490,[1]ratio_ins!$B:$B,0))</f>
        <v>2625.5424528000003</v>
      </c>
      <c r="O490" s="10">
        <f>INDEX([1]ratio_ins!M:M,MATCH('001_population_health_zone_zs'!$B$2,[1]ratio_ins!$B:$B,0))*$G490*INDEX([1]ratio_ins!$C:$C,MATCH('001_population_health_zone_zs'!$B490,[1]ratio_ins!$B:$B,0))</f>
        <v>5693.9474880000016</v>
      </c>
      <c r="P490" s="10">
        <f>INDEX([1]ratio_ins!N:N,MATCH('001_population_health_zone_zs'!$B$2,[1]ratio_ins!$B:$B,0))*$G490*INDEX([1]ratio_ins!$C:$C,MATCH('001_population_health_zone_zs'!$B490,[1]ratio_ins!$B:$B,0))</f>
        <v>5140.3692600000004</v>
      </c>
      <c r="Q490" s="10">
        <f>INDEX([1]ratio_ins!O:O,MATCH('001_population_health_zone_zs'!$B$2,[1]ratio_ins!$B:$B,0))*$G490*INDEX([1]ratio_ins!$C:$C,MATCH('001_population_health_zone_zs'!$B490,[1]ratio_ins!$B:$B,0))</f>
        <v>4586.7910320000001</v>
      </c>
      <c r="R490" s="10">
        <f>INDEX([1]ratio_ins!P:P,MATCH('001_population_health_zone_zs'!$B$2,[1]ratio_ins!$B:$B,0))*$G490*INDEX([1]ratio_ins!$C:$C,MATCH('001_population_health_zone_zs'!$B490,[1]ratio_ins!$B:$B,0))</f>
        <v>4507.7084280000008</v>
      </c>
      <c r="S490" s="10">
        <f>INDEX([1]ratio_ins!Q:Q,MATCH('001_population_health_zone_zs'!$B$2,[1]ratio_ins!$B:$B,0))*$G490*INDEX([1]ratio_ins!$C:$C,MATCH('001_population_health_zone_zs'!$B490,[1]ratio_ins!$B:$B,0))</f>
        <v>3795.9649920000006</v>
      </c>
      <c r="T490" s="10">
        <f>INDEX([1]ratio_ins!R:R,MATCH('001_population_health_zone_zs'!$B$2,[1]ratio_ins!$B:$B,0))*$G490*INDEX([1]ratio_ins!$C:$C,MATCH('001_population_health_zone_zs'!$B490,[1]ratio_ins!$B:$B,0))</f>
        <v>2688.8085360000005</v>
      </c>
      <c r="U490" s="10">
        <f>INDEX([1]ratio_ins!S:S,MATCH('001_population_health_zone_zs'!$B$2,[1]ratio_ins!$B:$B,0))*$G490*INDEX([1]ratio_ins!$C:$C,MATCH('001_population_health_zone_zs'!$B490,[1]ratio_ins!$B:$B,0))</f>
        <v>2135.2303080000006</v>
      </c>
      <c r="V490" s="10">
        <f>INDEX([1]ratio_ins!T:T,MATCH('001_population_health_zone_zs'!$B$2,[1]ratio_ins!$B:$B,0))*$G490*INDEX([1]ratio_ins!$C:$C,MATCH('001_population_health_zone_zs'!$B490,[1]ratio_ins!$B:$B,0))</f>
        <v>1186.2390600000001</v>
      </c>
      <c r="W490" s="11">
        <f>INDEX([1]ratio_ins!U:U,MATCH('001_population_health_zone_zs'!$B$2,[1]ratio_ins!$B:$B,0))*$G490*INDEX([1]ratio_ins!$C:$C,MATCH('001_population_health_zone_zs'!$B490,[1]ratio_ins!$B:$B,0))</f>
        <v>32360.601556800008</v>
      </c>
      <c r="X490" s="10">
        <f>INDEX([1]ratio_ins!V:V,MATCH('001_population_health_zone_zs'!$B$2,[1]ratio_ins!$B:$B,0))*$G490*INDEX([1]ratio_ins!$C:$C,MATCH('001_population_health_zone_zs'!$B490,[1]ratio_ins!$B:$B,0))</f>
        <v>948.99124800000016</v>
      </c>
      <c r="Y490" s="10">
        <f>INDEX([1]ratio_ins!W:W,MATCH('001_population_health_zone_zs'!$B$2,[1]ratio_ins!$B:$B,0))*$G490*INDEX([1]ratio_ins!$C:$C,MATCH('001_population_health_zone_zs'!$B490,[1]ratio_ins!$B:$B,0))</f>
        <v>632.66083200000003</v>
      </c>
      <c r="Z490" s="10">
        <f>INDEX([1]ratio_ins!X:X,MATCH('001_population_health_zone_zs'!$B$2,[1]ratio_ins!$B:$B,0))*$G490*INDEX([1]ratio_ins!$C:$C,MATCH('001_population_health_zone_zs'!$B490,[1]ratio_ins!$B:$B,0))</f>
        <v>316.33041600000001</v>
      </c>
      <c r="AA490" s="10">
        <f>INDEX([1]ratio_ins!Y:Y,MATCH('001_population_health_zone_zs'!$B$2,[1]ratio_ins!$B:$B,0))*$G490*INDEX([1]ratio_ins!$C:$C,MATCH('001_population_health_zone_zs'!$B490,[1]ratio_ins!$B:$B,0))</f>
        <v>158.16520800000001</v>
      </c>
      <c r="AB490" s="11">
        <f>INDEX([1]ratio_ins!Z:Z,MATCH('001_population_health_zone_zs'!$B$2,[1]ratio_ins!$B:$B,0))*$G490*INDEX([1]ratio_ins!$C:$C,MATCH('001_population_health_zone_zs'!$B490,[1]ratio_ins!$B:$B,0))</f>
        <v>2056.1477040000004</v>
      </c>
      <c r="AC490" s="12">
        <f t="shared" si="42"/>
        <v>79082.604000000021</v>
      </c>
      <c r="AD490" s="10">
        <f>INDEX([1]ratio_ins!AA:AA,MATCH('001_population_health_zone_zs'!$B$2,[1]ratio_ins!$B:$B,0))*$G490*INDEX([1]ratio_ins!$D:$D,MATCH('001_population_health_zone_zs'!$B490,[1]ratio_ins!$B:$B,0))</f>
        <v>17147.423159999998</v>
      </c>
      <c r="AE490" s="10">
        <f>INDEX([1]ratio_ins!AB:AB,MATCH('001_population_health_zone_zs'!$B$2,[1]ratio_ins!$B:$B,0))*$G490*INDEX([1]ratio_ins!$D:$D,MATCH('001_population_health_zone_zs'!$B490,[1]ratio_ins!$B:$B,0))</f>
        <v>14126.210508000002</v>
      </c>
      <c r="AF490" s="10">
        <f>INDEX([1]ratio_ins!AC:AC,MATCH('001_population_health_zone_zs'!$B$2,[1]ratio_ins!$B:$B,0))*$G490*INDEX([1]ratio_ins!$D:$D,MATCH('001_population_health_zone_zs'!$B490,[1]ratio_ins!$B:$B,0))</f>
        <v>11186.652251999998</v>
      </c>
      <c r="AG490" s="10">
        <f>INDEX([1]ratio_ins!AD:AD,MATCH('001_population_health_zone_zs'!$B$2,[1]ratio_ins!$B:$B,0))*$G490*INDEX([1]ratio_ins!$D:$D,MATCH('001_population_health_zone_zs'!$B490,[1]ratio_ins!$B:$B,0))</f>
        <v>6777.3148680000004</v>
      </c>
      <c r="AH490" s="10">
        <f>INDEX([1]ratio_ins!AE:AE,MATCH('001_population_health_zone_zs'!$B$2,[1]ratio_ins!$B:$B,0))*$G490*INDEX([1]ratio_ins!$D:$D,MATCH('001_population_health_zone_zs'!$B490,[1]ratio_ins!$B:$B,0))</f>
        <v>4066.3889208000001</v>
      </c>
      <c r="AI490" s="13">
        <f>INDEX([1]ratio_ins!AF:AF,MATCH('001_population_health_zone_zs'!$B$2,[1]ratio_ins!$B:$B,0))*$G490*INDEX([1]ratio_ins!$D:$D,MATCH('001_population_health_zone_zs'!$B490,[1]ratio_ins!$B:$B,0))</f>
        <v>46526.674840799998</v>
      </c>
      <c r="AJ490" s="10">
        <f>INDEX([1]ratio_ins!AG:AG,MATCH('001_population_health_zone_zs'!$B$2,[1]ratio_ins!$B:$B,0))*$G490*INDEX([1]ratio_ins!$D:$D,MATCH('001_population_health_zone_zs'!$B490,[1]ratio_ins!$B:$B,0))</f>
        <v>2710.9259471999999</v>
      </c>
      <c r="AK490" s="10">
        <f>INDEX([1]ratio_ins!AH:AH,MATCH('001_population_health_zone_zs'!$B$2,[1]ratio_ins!$B:$B,0))*$G490*INDEX([1]ratio_ins!$D:$D,MATCH('001_population_health_zone_zs'!$B490,[1]ratio_ins!$B:$B,0))</f>
        <v>6042.4253040000012</v>
      </c>
      <c r="AL490" s="10">
        <f>INDEX([1]ratio_ins!AI:AI,MATCH('001_population_health_zone_zs'!$B$2,[1]ratio_ins!$B:$B,0))*$G490*INDEX([1]ratio_ins!$D:$D,MATCH('001_population_health_zone_zs'!$B490,[1]ratio_ins!$B:$B,0))</f>
        <v>5715.8077200000007</v>
      </c>
      <c r="AM490" s="10">
        <f>INDEX([1]ratio_ins!AJ:AJ,MATCH('001_population_health_zone_zs'!$B$2,[1]ratio_ins!$B:$B,0))*$G490*INDEX([1]ratio_ins!$D:$D,MATCH('001_population_health_zone_zs'!$B490,[1]ratio_ins!$B:$B,0))</f>
        <v>5225.8813440000004</v>
      </c>
      <c r="AN490" s="10">
        <f>INDEX([1]ratio_ins!AK:AK,MATCH('001_population_health_zone_zs'!$B$2,[1]ratio_ins!$B:$B,0))*$G490*INDEX([1]ratio_ins!$D:$D,MATCH('001_population_health_zone_zs'!$B490,[1]ratio_ins!$B:$B,0))</f>
        <v>4899.2637599999998</v>
      </c>
      <c r="AO490" s="10">
        <f>INDEX([1]ratio_ins!AL:AL,MATCH('001_population_health_zone_zs'!$B$2,[1]ratio_ins!$B:$B,0))*$G490*INDEX([1]ratio_ins!$D:$D,MATCH('001_population_health_zone_zs'!$B490,[1]ratio_ins!$B:$B,0))</f>
        <v>3674.4478199999999</v>
      </c>
      <c r="AP490" s="10">
        <f>INDEX([1]ratio_ins!AM:AM,MATCH('001_population_health_zone_zs'!$B$2,[1]ratio_ins!$B:$B,0))*$G490*INDEX([1]ratio_ins!$D:$D,MATCH('001_population_health_zone_zs'!$B490,[1]ratio_ins!$B:$B,0))</f>
        <v>2367.977484</v>
      </c>
      <c r="AQ490" s="10">
        <f>INDEX([1]ratio_ins!AN:AN,MATCH('001_population_health_zone_zs'!$B$2,[1]ratio_ins!$B:$B,0))*$G490*INDEX([1]ratio_ins!$D:$D,MATCH('001_population_health_zone_zs'!$B490,[1]ratio_ins!$B:$B,0))</f>
        <v>1878.0511080000001</v>
      </c>
      <c r="AR490" s="10">
        <f>INDEX([1]ratio_ins!AO:AO,MATCH('001_population_health_zone_zs'!$B$2,[1]ratio_ins!$B:$B,0))*$G490*INDEX([1]ratio_ins!$D:$D,MATCH('001_population_health_zone_zs'!$B490,[1]ratio_ins!$B:$B,0))</f>
        <v>898.1983560000001</v>
      </c>
      <c r="AS490" s="13">
        <f>INDEX([1]ratio_ins!AP:AP,MATCH('001_population_health_zone_zs'!$B$2,[1]ratio_ins!$B:$B,0))*$G490*INDEX([1]ratio_ins!$D:$D,MATCH('001_population_health_zone_zs'!$B490,[1]ratio_ins!$B:$B,0))</f>
        <v>33412.978843200006</v>
      </c>
      <c r="AT490" s="10">
        <f>INDEX([1]ratio_ins!AQ:AQ,MATCH('001_population_health_zone_zs'!$B$2,[1]ratio_ins!$B:$B,0))*$G490*INDEX([1]ratio_ins!$D:$D,MATCH('001_population_health_zone_zs'!$B490,[1]ratio_ins!$B:$B,0))</f>
        <v>816.54396000000008</v>
      </c>
      <c r="AU490" s="10">
        <f>INDEX([1]ratio_ins!AR:AR,MATCH('001_population_health_zone_zs'!$B$2,[1]ratio_ins!$B:$B,0))*$G490*INDEX([1]ratio_ins!$D:$D,MATCH('001_population_health_zone_zs'!$B490,[1]ratio_ins!$B:$B,0))</f>
        <v>489.926376</v>
      </c>
      <c r="AV490" s="10">
        <f>INDEX([1]ratio_ins!AS:AS,MATCH('001_population_health_zone_zs'!$B$2,[1]ratio_ins!$B:$B,0))*$G490*INDEX([1]ratio_ins!$D:$D,MATCH('001_population_health_zone_zs'!$B490,[1]ratio_ins!$B:$B,0))</f>
        <v>244.963188</v>
      </c>
      <c r="AW490" s="10">
        <f>INDEX([1]ratio_ins!AT:AT,MATCH('001_population_health_zone_zs'!$B$2,[1]ratio_ins!$B:$B,0))*$G490*INDEX([1]ratio_ins!$D:$D,MATCH('001_population_health_zone_zs'!$B490,[1]ratio_ins!$B:$B,0))</f>
        <v>163.30879200000001</v>
      </c>
      <c r="AX490" s="13">
        <f>INDEX([1]ratio_ins!AU:AU,MATCH('001_population_health_zone_zs'!$B$2,[1]ratio_ins!$B:$B,0))*$G490*INDEX([1]ratio_ins!$D:$D,MATCH('001_population_health_zone_zs'!$B490,[1]ratio_ins!$B:$B,0))</f>
        <v>1714.7423159999998</v>
      </c>
      <c r="AY490" s="14">
        <f t="shared" si="43"/>
        <v>81654.396000000008</v>
      </c>
      <c r="AZ490" s="15">
        <f t="shared" si="44"/>
        <v>160737.00000000003</v>
      </c>
      <c r="BA490" s="16">
        <v>154767.61972202337</v>
      </c>
      <c r="BB490" s="10">
        <f t="shared" si="45"/>
        <v>34703.118300000009</v>
      </c>
      <c r="BC490" s="17">
        <f t="shared" si="46"/>
        <v>0.21590000000000006</v>
      </c>
      <c r="BD490" s="10">
        <f t="shared" si="47"/>
        <v>32977.44586800001</v>
      </c>
    </row>
    <row r="491" spans="1:56" x14ac:dyDescent="0.25">
      <c r="A491" s="8" t="s">
        <v>1178</v>
      </c>
      <c r="B491" s="8" t="s">
        <v>1179</v>
      </c>
      <c r="C491" s="8" t="s">
        <v>1211</v>
      </c>
      <c r="D491" s="8" t="s">
        <v>1212</v>
      </c>
      <c r="E491" s="8" t="s">
        <v>1213</v>
      </c>
      <c r="F491" s="8" t="s">
        <v>1214</v>
      </c>
      <c r="G491" s="9">
        <v>94796</v>
      </c>
      <c r="H491" s="10">
        <f>INDEX([1]ratio_ins!F:F,MATCH('001_population_health_zone_zs'!$B$2,[1]ratio_ins!$B:$B,0))*$G491*INDEX([1]ratio_ins!$C:$C,MATCH('001_population_health_zone_zs'!$B491,[1]ratio_ins!$B:$B,0))</f>
        <v>9747.6830879999998</v>
      </c>
      <c r="I491" s="10">
        <f>INDEX([1]ratio_ins!G:G,MATCH('001_population_health_zone_zs'!$B$2,[1]ratio_ins!$B:$B,0))*$G491*INDEX([1]ratio_ins!$C:$C,MATCH('001_population_health_zone_zs'!$B491,[1]ratio_ins!$B:$B,0))</f>
        <v>7975.377072000002</v>
      </c>
      <c r="J491" s="10">
        <f>INDEX([1]ratio_ins!H:H,MATCH('001_population_health_zone_zs'!$B$2,[1]ratio_ins!$B:$B,0))*$G491*INDEX([1]ratio_ins!$C:$C,MATCH('001_population_health_zone_zs'!$B491,[1]ratio_ins!$B:$B,0))</f>
        <v>6296.3503200000014</v>
      </c>
      <c r="K491" s="10">
        <f>INDEX([1]ratio_ins!I:I,MATCH('001_population_health_zone_zs'!$B$2,[1]ratio_ins!$B:$B,0))*$G491*INDEX([1]ratio_ins!$C:$C,MATCH('001_population_health_zone_zs'!$B491,[1]ratio_ins!$B:$B,0))</f>
        <v>3871.0894560000006</v>
      </c>
      <c r="L491" s="10">
        <f>INDEX([1]ratio_ins!J:J,MATCH('001_population_health_zone_zs'!$B$2,[1]ratio_ins!$B:$B,0))*$G491*INDEX([1]ratio_ins!$C:$C,MATCH('001_population_health_zone_zs'!$B491,[1]ratio_ins!$B:$B,0))</f>
        <v>2322.6536736000003</v>
      </c>
      <c r="M491" s="11">
        <f>INDEX([1]ratio_ins!K:K,MATCH('001_population_health_zone_zs'!$B$2,[1]ratio_ins!$B:$B,0))*$G491*INDEX([1]ratio_ins!$C:$C,MATCH('001_population_health_zone_zs'!$B491,[1]ratio_ins!$B:$B,0))</f>
        <v>26342.064153600004</v>
      </c>
      <c r="N491" s="10">
        <f>INDEX([1]ratio_ins!L:L,MATCH('001_population_health_zone_zs'!$B$2,[1]ratio_ins!$B:$B,0))*$G491*INDEX([1]ratio_ins!$C:$C,MATCH('001_population_health_zone_zs'!$B491,[1]ratio_ins!$B:$B,0))</f>
        <v>1548.4357824000001</v>
      </c>
      <c r="O491" s="10">
        <f>INDEX([1]ratio_ins!M:M,MATCH('001_population_health_zone_zs'!$B$2,[1]ratio_ins!$B:$B,0))*$G491*INDEX([1]ratio_ins!$C:$C,MATCH('001_population_health_zone_zs'!$B491,[1]ratio_ins!$B:$B,0))</f>
        <v>3358.0535040000009</v>
      </c>
      <c r="P491" s="10">
        <f>INDEX([1]ratio_ins!N:N,MATCH('001_population_health_zone_zs'!$B$2,[1]ratio_ins!$B:$B,0))*$G491*INDEX([1]ratio_ins!$C:$C,MATCH('001_population_health_zone_zs'!$B491,[1]ratio_ins!$B:$B,0))</f>
        <v>3031.5760800000003</v>
      </c>
      <c r="Q491" s="10">
        <f>INDEX([1]ratio_ins!O:O,MATCH('001_population_health_zone_zs'!$B$2,[1]ratio_ins!$B:$B,0))*$G491*INDEX([1]ratio_ins!$C:$C,MATCH('001_population_health_zone_zs'!$B491,[1]ratio_ins!$B:$B,0))</f>
        <v>2705.0986560000001</v>
      </c>
      <c r="R491" s="10">
        <f>INDEX([1]ratio_ins!P:P,MATCH('001_population_health_zone_zs'!$B$2,[1]ratio_ins!$B:$B,0))*$G491*INDEX([1]ratio_ins!$C:$C,MATCH('001_population_health_zone_zs'!$B491,[1]ratio_ins!$B:$B,0))</f>
        <v>2658.4590240000002</v>
      </c>
      <c r="S491" s="10">
        <f>INDEX([1]ratio_ins!Q:Q,MATCH('001_population_health_zone_zs'!$B$2,[1]ratio_ins!$B:$B,0))*$G491*INDEX([1]ratio_ins!$C:$C,MATCH('001_population_health_zone_zs'!$B491,[1]ratio_ins!$B:$B,0))</f>
        <v>2238.7023360000003</v>
      </c>
      <c r="T491" s="10">
        <f>INDEX([1]ratio_ins!R:R,MATCH('001_population_health_zone_zs'!$B$2,[1]ratio_ins!$B:$B,0))*$G491*INDEX([1]ratio_ins!$C:$C,MATCH('001_population_health_zone_zs'!$B491,[1]ratio_ins!$B:$B,0))</f>
        <v>1585.7474880000002</v>
      </c>
      <c r="U491" s="10">
        <f>INDEX([1]ratio_ins!S:S,MATCH('001_population_health_zone_zs'!$B$2,[1]ratio_ins!$B:$B,0))*$G491*INDEX([1]ratio_ins!$C:$C,MATCH('001_population_health_zone_zs'!$B491,[1]ratio_ins!$B:$B,0))</f>
        <v>1259.2700640000003</v>
      </c>
      <c r="V491" s="10">
        <f>INDEX([1]ratio_ins!T:T,MATCH('001_population_health_zone_zs'!$B$2,[1]ratio_ins!$B:$B,0))*$G491*INDEX([1]ratio_ins!$C:$C,MATCH('001_population_health_zone_zs'!$B491,[1]ratio_ins!$B:$B,0))</f>
        <v>699.59448000000009</v>
      </c>
      <c r="W491" s="11">
        <f>INDEX([1]ratio_ins!U:U,MATCH('001_population_health_zone_zs'!$B$2,[1]ratio_ins!$B:$B,0))*$G491*INDEX([1]ratio_ins!$C:$C,MATCH('001_population_health_zone_zs'!$B491,[1]ratio_ins!$B:$B,0))</f>
        <v>19084.937414400003</v>
      </c>
      <c r="X491" s="10">
        <f>INDEX([1]ratio_ins!V:V,MATCH('001_population_health_zone_zs'!$B$2,[1]ratio_ins!$B:$B,0))*$G491*INDEX([1]ratio_ins!$C:$C,MATCH('001_population_health_zone_zs'!$B491,[1]ratio_ins!$B:$B,0))</f>
        <v>559.67558400000007</v>
      </c>
      <c r="Y491" s="10">
        <f>INDEX([1]ratio_ins!W:W,MATCH('001_population_health_zone_zs'!$B$2,[1]ratio_ins!$B:$B,0))*$G491*INDEX([1]ratio_ins!$C:$C,MATCH('001_population_health_zone_zs'!$B491,[1]ratio_ins!$B:$B,0))</f>
        <v>373.11705600000005</v>
      </c>
      <c r="Z491" s="10">
        <f>INDEX([1]ratio_ins!X:X,MATCH('001_population_health_zone_zs'!$B$2,[1]ratio_ins!$B:$B,0))*$G491*INDEX([1]ratio_ins!$C:$C,MATCH('001_population_health_zone_zs'!$B491,[1]ratio_ins!$B:$B,0))</f>
        <v>186.55852800000002</v>
      </c>
      <c r="AA491" s="10">
        <f>INDEX([1]ratio_ins!Y:Y,MATCH('001_population_health_zone_zs'!$B$2,[1]ratio_ins!$B:$B,0))*$G491*INDEX([1]ratio_ins!$C:$C,MATCH('001_population_health_zone_zs'!$B491,[1]ratio_ins!$B:$B,0))</f>
        <v>93.279264000000012</v>
      </c>
      <c r="AB491" s="11">
        <f>INDEX([1]ratio_ins!Z:Z,MATCH('001_population_health_zone_zs'!$B$2,[1]ratio_ins!$B:$B,0))*$G491*INDEX([1]ratio_ins!$C:$C,MATCH('001_population_health_zone_zs'!$B491,[1]ratio_ins!$B:$B,0))</f>
        <v>1212.6304320000004</v>
      </c>
      <c r="AC491" s="12">
        <f t="shared" si="42"/>
        <v>46639.632000000005</v>
      </c>
      <c r="AD491" s="10">
        <f>INDEX([1]ratio_ins!AA:AA,MATCH('001_population_health_zone_zs'!$B$2,[1]ratio_ins!$B:$B,0))*$G491*INDEX([1]ratio_ins!$D:$D,MATCH('001_population_health_zone_zs'!$B491,[1]ratio_ins!$B:$B,0))</f>
        <v>10112.83728</v>
      </c>
      <c r="AE491" s="10">
        <f>INDEX([1]ratio_ins!AB:AB,MATCH('001_population_health_zone_zs'!$B$2,[1]ratio_ins!$B:$B,0))*$G491*INDEX([1]ratio_ins!$D:$D,MATCH('001_population_health_zone_zs'!$B491,[1]ratio_ins!$B:$B,0))</f>
        <v>8331.0516640000005</v>
      </c>
      <c r="AF491" s="10">
        <f>INDEX([1]ratio_ins!AC:AC,MATCH('001_population_health_zone_zs'!$B$2,[1]ratio_ins!$B:$B,0))*$G491*INDEX([1]ratio_ins!$D:$D,MATCH('001_population_health_zone_zs'!$B491,[1]ratio_ins!$B:$B,0))</f>
        <v>6597.4224159999994</v>
      </c>
      <c r="AG491" s="10">
        <f>INDEX([1]ratio_ins!AD:AD,MATCH('001_population_health_zone_zs'!$B$2,[1]ratio_ins!$B:$B,0))*$G491*INDEX([1]ratio_ins!$D:$D,MATCH('001_population_health_zone_zs'!$B491,[1]ratio_ins!$B:$B,0))</f>
        <v>3996.9785440000001</v>
      </c>
      <c r="AH491" s="10">
        <f>INDEX([1]ratio_ins!AE:AE,MATCH('001_population_health_zone_zs'!$B$2,[1]ratio_ins!$B:$B,0))*$G491*INDEX([1]ratio_ins!$D:$D,MATCH('001_population_health_zone_zs'!$B491,[1]ratio_ins!$B:$B,0))</f>
        <v>2398.1871264000001</v>
      </c>
      <c r="AI491" s="13">
        <f>INDEX([1]ratio_ins!AF:AF,MATCH('001_population_health_zone_zs'!$B$2,[1]ratio_ins!$B:$B,0))*$G491*INDEX([1]ratio_ins!$D:$D,MATCH('001_population_health_zone_zs'!$B491,[1]ratio_ins!$B:$B,0))</f>
        <v>27439.4984864</v>
      </c>
      <c r="AJ491" s="10">
        <f>INDEX([1]ratio_ins!AG:AG,MATCH('001_population_health_zone_zs'!$B$2,[1]ratio_ins!$B:$B,0))*$G491*INDEX([1]ratio_ins!$D:$D,MATCH('001_population_health_zone_zs'!$B491,[1]ratio_ins!$B:$B,0))</f>
        <v>1598.7914175999999</v>
      </c>
      <c r="AK491" s="10">
        <f>INDEX([1]ratio_ins!AH:AH,MATCH('001_population_health_zone_zs'!$B$2,[1]ratio_ins!$B:$B,0))*$G491*INDEX([1]ratio_ins!$D:$D,MATCH('001_population_health_zone_zs'!$B491,[1]ratio_ins!$B:$B,0))</f>
        <v>3563.5712320000007</v>
      </c>
      <c r="AL491" s="10">
        <f>INDEX([1]ratio_ins!AI:AI,MATCH('001_population_health_zone_zs'!$B$2,[1]ratio_ins!$B:$B,0))*$G491*INDEX([1]ratio_ins!$D:$D,MATCH('001_population_health_zone_zs'!$B491,[1]ratio_ins!$B:$B,0))</f>
        <v>3370.9457600000001</v>
      </c>
      <c r="AM491" s="10">
        <f>INDEX([1]ratio_ins!AJ:AJ,MATCH('001_population_health_zone_zs'!$B$2,[1]ratio_ins!$B:$B,0))*$G491*INDEX([1]ratio_ins!$D:$D,MATCH('001_population_health_zone_zs'!$B491,[1]ratio_ins!$B:$B,0))</f>
        <v>3082.007552</v>
      </c>
      <c r="AN491" s="10">
        <f>INDEX([1]ratio_ins!AK:AK,MATCH('001_population_health_zone_zs'!$B$2,[1]ratio_ins!$B:$B,0))*$G491*INDEX([1]ratio_ins!$D:$D,MATCH('001_population_health_zone_zs'!$B491,[1]ratio_ins!$B:$B,0))</f>
        <v>2889.3820800000003</v>
      </c>
      <c r="AO491" s="10">
        <f>INDEX([1]ratio_ins!AL:AL,MATCH('001_population_health_zone_zs'!$B$2,[1]ratio_ins!$B:$B,0))*$G491*INDEX([1]ratio_ins!$D:$D,MATCH('001_population_health_zone_zs'!$B491,[1]ratio_ins!$B:$B,0))</f>
        <v>2167.03656</v>
      </c>
      <c r="AP491" s="10">
        <f>INDEX([1]ratio_ins!AM:AM,MATCH('001_population_health_zone_zs'!$B$2,[1]ratio_ins!$B:$B,0))*$G491*INDEX([1]ratio_ins!$D:$D,MATCH('001_population_health_zone_zs'!$B491,[1]ratio_ins!$B:$B,0))</f>
        <v>1396.534672</v>
      </c>
      <c r="AQ491" s="10">
        <f>INDEX([1]ratio_ins!AN:AN,MATCH('001_population_health_zone_zs'!$B$2,[1]ratio_ins!$B:$B,0))*$G491*INDEX([1]ratio_ins!$D:$D,MATCH('001_population_health_zone_zs'!$B491,[1]ratio_ins!$B:$B,0))</f>
        <v>1107.596464</v>
      </c>
      <c r="AR491" s="10">
        <f>INDEX([1]ratio_ins!AO:AO,MATCH('001_population_health_zone_zs'!$B$2,[1]ratio_ins!$B:$B,0))*$G491*INDEX([1]ratio_ins!$D:$D,MATCH('001_population_health_zone_zs'!$B491,[1]ratio_ins!$B:$B,0))</f>
        <v>529.72004800000002</v>
      </c>
      <c r="AS491" s="13">
        <f>INDEX([1]ratio_ins!AP:AP,MATCH('001_population_health_zone_zs'!$B$2,[1]ratio_ins!$B:$B,0))*$G491*INDEX([1]ratio_ins!$D:$D,MATCH('001_population_health_zone_zs'!$B491,[1]ratio_ins!$B:$B,0))</f>
        <v>19705.5857856</v>
      </c>
      <c r="AT491" s="10">
        <f>INDEX([1]ratio_ins!AQ:AQ,MATCH('001_population_health_zone_zs'!$B$2,[1]ratio_ins!$B:$B,0))*$G491*INDEX([1]ratio_ins!$D:$D,MATCH('001_population_health_zone_zs'!$B491,[1]ratio_ins!$B:$B,0))</f>
        <v>481.56368000000003</v>
      </c>
      <c r="AU491" s="10">
        <f>INDEX([1]ratio_ins!AR:AR,MATCH('001_population_health_zone_zs'!$B$2,[1]ratio_ins!$B:$B,0))*$G491*INDEX([1]ratio_ins!$D:$D,MATCH('001_population_health_zone_zs'!$B491,[1]ratio_ins!$B:$B,0))</f>
        <v>288.93820800000003</v>
      </c>
      <c r="AV491" s="10">
        <f>INDEX([1]ratio_ins!AS:AS,MATCH('001_population_health_zone_zs'!$B$2,[1]ratio_ins!$B:$B,0))*$G491*INDEX([1]ratio_ins!$D:$D,MATCH('001_population_health_zone_zs'!$B491,[1]ratio_ins!$B:$B,0))</f>
        <v>144.46910400000002</v>
      </c>
      <c r="AW491" s="10">
        <f>INDEX([1]ratio_ins!AT:AT,MATCH('001_population_health_zone_zs'!$B$2,[1]ratio_ins!$B:$B,0))*$G491*INDEX([1]ratio_ins!$D:$D,MATCH('001_population_health_zone_zs'!$B491,[1]ratio_ins!$B:$B,0))</f>
        <v>96.312736000000001</v>
      </c>
      <c r="AX491" s="13">
        <f>INDEX([1]ratio_ins!AU:AU,MATCH('001_population_health_zone_zs'!$B$2,[1]ratio_ins!$B:$B,0))*$G491*INDEX([1]ratio_ins!$D:$D,MATCH('001_population_health_zone_zs'!$B491,[1]ratio_ins!$B:$B,0))</f>
        <v>1011.283728</v>
      </c>
      <c r="AY491" s="14">
        <f t="shared" si="43"/>
        <v>48156.368000000002</v>
      </c>
      <c r="AZ491" s="15">
        <f t="shared" si="44"/>
        <v>94796</v>
      </c>
      <c r="BA491" s="16">
        <v>91275.909924784733</v>
      </c>
      <c r="BB491" s="10">
        <f t="shared" si="45"/>
        <v>20466.456400000003</v>
      </c>
      <c r="BC491" s="17">
        <f t="shared" si="46"/>
        <v>0.21590000000000004</v>
      </c>
      <c r="BD491" s="10">
        <f t="shared" si="47"/>
        <v>19448.726544000005</v>
      </c>
    </row>
    <row r="492" spans="1:56" x14ac:dyDescent="0.25">
      <c r="A492" s="8" t="s">
        <v>1178</v>
      </c>
      <c r="B492" s="8" t="s">
        <v>1179</v>
      </c>
      <c r="C492" s="8" t="s">
        <v>1211</v>
      </c>
      <c r="D492" s="8" t="s">
        <v>1212</v>
      </c>
      <c r="E492" s="8" t="s">
        <v>1215</v>
      </c>
      <c r="F492" s="8" t="s">
        <v>1216</v>
      </c>
      <c r="G492" s="9">
        <v>158245</v>
      </c>
      <c r="H492" s="10">
        <f>INDEX([1]ratio_ins!F:F,MATCH('001_population_health_zone_zs'!$B$2,[1]ratio_ins!$B:$B,0))*$G492*INDEX([1]ratio_ins!$C:$C,MATCH('001_population_health_zone_zs'!$B492,[1]ratio_ins!$B:$B,0))</f>
        <v>16272.016860000003</v>
      </c>
      <c r="I492" s="10">
        <f>INDEX([1]ratio_ins!G:G,MATCH('001_population_health_zone_zs'!$B$2,[1]ratio_ins!$B:$B,0))*$G492*INDEX([1]ratio_ins!$C:$C,MATCH('001_population_health_zone_zs'!$B492,[1]ratio_ins!$B:$B,0))</f>
        <v>13313.468340000001</v>
      </c>
      <c r="J492" s="10">
        <f>INDEX([1]ratio_ins!H:H,MATCH('001_population_health_zone_zs'!$B$2,[1]ratio_ins!$B:$B,0))*$G492*INDEX([1]ratio_ins!$C:$C,MATCH('001_population_health_zone_zs'!$B492,[1]ratio_ins!$B:$B,0))</f>
        <v>10510.632900000001</v>
      </c>
      <c r="K492" s="10">
        <f>INDEX([1]ratio_ins!I:I,MATCH('001_population_health_zone_zs'!$B$2,[1]ratio_ins!$B:$B,0))*$G492*INDEX([1]ratio_ins!$C:$C,MATCH('001_population_health_zone_zs'!$B492,[1]ratio_ins!$B:$B,0))</f>
        <v>6462.0928200000008</v>
      </c>
      <c r="L492" s="10">
        <f>INDEX([1]ratio_ins!J:J,MATCH('001_population_health_zone_zs'!$B$2,[1]ratio_ins!$B:$B,0))*$G492*INDEX([1]ratio_ins!$C:$C,MATCH('001_population_health_zone_zs'!$B492,[1]ratio_ins!$B:$B,0))</f>
        <v>3877.2556920000002</v>
      </c>
      <c r="M492" s="11">
        <f>INDEX([1]ratio_ins!K:K,MATCH('001_population_health_zone_zs'!$B$2,[1]ratio_ins!$B:$B,0))*$G492*INDEX([1]ratio_ins!$C:$C,MATCH('001_population_health_zone_zs'!$B492,[1]ratio_ins!$B:$B,0))</f>
        <v>43973.373792000006</v>
      </c>
      <c r="N492" s="10">
        <f>INDEX([1]ratio_ins!L:L,MATCH('001_population_health_zone_zs'!$B$2,[1]ratio_ins!$B:$B,0))*$G492*INDEX([1]ratio_ins!$C:$C,MATCH('001_population_health_zone_zs'!$B492,[1]ratio_ins!$B:$B,0))</f>
        <v>2584.8371280000006</v>
      </c>
      <c r="O492" s="10">
        <f>INDEX([1]ratio_ins!M:M,MATCH('001_population_health_zone_zs'!$B$2,[1]ratio_ins!$B:$B,0))*$G492*INDEX([1]ratio_ins!$C:$C,MATCH('001_population_health_zone_zs'!$B492,[1]ratio_ins!$B:$B,0))</f>
        <v>5605.6708800000015</v>
      </c>
      <c r="P492" s="10">
        <f>INDEX([1]ratio_ins!N:N,MATCH('001_population_health_zone_zs'!$B$2,[1]ratio_ins!$B:$B,0))*$G492*INDEX([1]ratio_ins!$C:$C,MATCH('001_population_health_zone_zs'!$B492,[1]ratio_ins!$B:$B,0))</f>
        <v>5060.6751000000013</v>
      </c>
      <c r="Q492" s="10">
        <f>INDEX([1]ratio_ins!O:O,MATCH('001_population_health_zone_zs'!$B$2,[1]ratio_ins!$B:$B,0))*$G492*INDEX([1]ratio_ins!$C:$C,MATCH('001_population_health_zone_zs'!$B492,[1]ratio_ins!$B:$B,0))</f>
        <v>4515.6793200000002</v>
      </c>
      <c r="R492" s="10">
        <f>INDEX([1]ratio_ins!P:P,MATCH('001_population_health_zone_zs'!$B$2,[1]ratio_ins!$B:$B,0))*$G492*INDEX([1]ratio_ins!$C:$C,MATCH('001_population_health_zone_zs'!$B492,[1]ratio_ins!$B:$B,0))</f>
        <v>4437.8227800000004</v>
      </c>
      <c r="S492" s="10">
        <f>INDEX([1]ratio_ins!Q:Q,MATCH('001_population_health_zone_zs'!$B$2,[1]ratio_ins!$B:$B,0))*$G492*INDEX([1]ratio_ins!$C:$C,MATCH('001_population_health_zone_zs'!$B492,[1]ratio_ins!$B:$B,0))</f>
        <v>3737.1139200000007</v>
      </c>
      <c r="T492" s="10">
        <f>INDEX([1]ratio_ins!R:R,MATCH('001_population_health_zone_zs'!$B$2,[1]ratio_ins!$B:$B,0))*$G492*INDEX([1]ratio_ins!$C:$C,MATCH('001_population_health_zone_zs'!$B492,[1]ratio_ins!$B:$B,0))</f>
        <v>2647.1223600000008</v>
      </c>
      <c r="U492" s="10">
        <f>INDEX([1]ratio_ins!S:S,MATCH('001_population_health_zone_zs'!$B$2,[1]ratio_ins!$B:$B,0))*$G492*INDEX([1]ratio_ins!$C:$C,MATCH('001_population_health_zone_zs'!$B492,[1]ratio_ins!$B:$B,0))</f>
        <v>2102.1265800000006</v>
      </c>
      <c r="V492" s="10">
        <f>INDEX([1]ratio_ins!T:T,MATCH('001_population_health_zone_zs'!$B$2,[1]ratio_ins!$B:$B,0))*$G492*INDEX([1]ratio_ins!$C:$C,MATCH('001_population_health_zone_zs'!$B492,[1]ratio_ins!$B:$B,0))</f>
        <v>1167.8480999999999</v>
      </c>
      <c r="W492" s="11">
        <f>INDEX([1]ratio_ins!U:U,MATCH('001_population_health_zone_zs'!$B$2,[1]ratio_ins!$B:$B,0))*$G492*INDEX([1]ratio_ins!$C:$C,MATCH('001_population_health_zone_zs'!$B492,[1]ratio_ins!$B:$B,0))</f>
        <v>31858.896168000003</v>
      </c>
      <c r="X492" s="10">
        <f>INDEX([1]ratio_ins!V:V,MATCH('001_population_health_zone_zs'!$B$2,[1]ratio_ins!$B:$B,0))*$G492*INDEX([1]ratio_ins!$C:$C,MATCH('001_population_health_zone_zs'!$B492,[1]ratio_ins!$B:$B,0))</f>
        <v>934.27848000000017</v>
      </c>
      <c r="Y492" s="10">
        <f>INDEX([1]ratio_ins!W:W,MATCH('001_population_health_zone_zs'!$B$2,[1]ratio_ins!$B:$B,0))*$G492*INDEX([1]ratio_ins!$C:$C,MATCH('001_population_health_zone_zs'!$B492,[1]ratio_ins!$B:$B,0))</f>
        <v>622.85232000000008</v>
      </c>
      <c r="Z492" s="10">
        <f>INDEX([1]ratio_ins!X:X,MATCH('001_population_health_zone_zs'!$B$2,[1]ratio_ins!$B:$B,0))*$G492*INDEX([1]ratio_ins!$C:$C,MATCH('001_population_health_zone_zs'!$B492,[1]ratio_ins!$B:$B,0))</f>
        <v>311.42616000000004</v>
      </c>
      <c r="AA492" s="10">
        <f>INDEX([1]ratio_ins!Y:Y,MATCH('001_population_health_zone_zs'!$B$2,[1]ratio_ins!$B:$B,0))*$G492*INDEX([1]ratio_ins!$C:$C,MATCH('001_population_health_zone_zs'!$B492,[1]ratio_ins!$B:$B,0))</f>
        <v>155.71308000000002</v>
      </c>
      <c r="AB492" s="11">
        <f>INDEX([1]ratio_ins!Z:Z,MATCH('001_population_health_zone_zs'!$B$2,[1]ratio_ins!$B:$B,0))*$G492*INDEX([1]ratio_ins!$C:$C,MATCH('001_population_health_zone_zs'!$B492,[1]ratio_ins!$B:$B,0))</f>
        <v>2024.2700400000006</v>
      </c>
      <c r="AC492" s="12">
        <f t="shared" si="42"/>
        <v>77856.540000000008</v>
      </c>
      <c r="AD492" s="10">
        <f>INDEX([1]ratio_ins!AA:AA,MATCH('001_population_health_zone_zs'!$B$2,[1]ratio_ins!$B:$B,0))*$G492*INDEX([1]ratio_ins!$D:$D,MATCH('001_population_health_zone_zs'!$B492,[1]ratio_ins!$B:$B,0))</f>
        <v>16881.5766</v>
      </c>
      <c r="AE492" s="10">
        <f>INDEX([1]ratio_ins!AB:AB,MATCH('001_population_health_zone_zs'!$B$2,[1]ratio_ins!$B:$B,0))*$G492*INDEX([1]ratio_ins!$D:$D,MATCH('001_population_health_zone_zs'!$B492,[1]ratio_ins!$B:$B,0))</f>
        <v>13907.203580000001</v>
      </c>
      <c r="AF492" s="10">
        <f>INDEX([1]ratio_ins!AC:AC,MATCH('001_population_health_zone_zs'!$B$2,[1]ratio_ins!$B:$B,0))*$G492*INDEX([1]ratio_ins!$D:$D,MATCH('001_population_health_zone_zs'!$B492,[1]ratio_ins!$B:$B,0))</f>
        <v>11013.219019999999</v>
      </c>
      <c r="AG492" s="10">
        <f>INDEX([1]ratio_ins!AD:AD,MATCH('001_population_health_zone_zs'!$B$2,[1]ratio_ins!$B:$B,0))*$G492*INDEX([1]ratio_ins!$D:$D,MATCH('001_population_health_zone_zs'!$B492,[1]ratio_ins!$B:$B,0))</f>
        <v>6672.2421800000002</v>
      </c>
      <c r="AH492" s="10">
        <f>INDEX([1]ratio_ins!AE:AE,MATCH('001_population_health_zone_zs'!$B$2,[1]ratio_ins!$B:$B,0))*$G492*INDEX([1]ratio_ins!$D:$D,MATCH('001_population_health_zone_zs'!$B492,[1]ratio_ins!$B:$B,0))</f>
        <v>4003.3453079999999</v>
      </c>
      <c r="AI492" s="13">
        <f>INDEX([1]ratio_ins!AF:AF,MATCH('001_population_health_zone_zs'!$B$2,[1]ratio_ins!$B:$B,0))*$G492*INDEX([1]ratio_ins!$D:$D,MATCH('001_population_health_zone_zs'!$B492,[1]ratio_ins!$B:$B,0))</f>
        <v>45805.344507999995</v>
      </c>
      <c r="AJ492" s="10">
        <f>INDEX([1]ratio_ins!AG:AG,MATCH('001_population_health_zone_zs'!$B$2,[1]ratio_ins!$B:$B,0))*$G492*INDEX([1]ratio_ins!$D:$D,MATCH('001_population_health_zone_zs'!$B492,[1]ratio_ins!$B:$B,0))</f>
        <v>2668.8968720000003</v>
      </c>
      <c r="AK492" s="10">
        <f>INDEX([1]ratio_ins!AH:AH,MATCH('001_population_health_zone_zs'!$B$2,[1]ratio_ins!$B:$B,0))*$G492*INDEX([1]ratio_ins!$D:$D,MATCH('001_population_health_zone_zs'!$B492,[1]ratio_ins!$B:$B,0))</f>
        <v>5948.7460400000009</v>
      </c>
      <c r="AL492" s="10">
        <f>INDEX([1]ratio_ins!AI:AI,MATCH('001_population_health_zone_zs'!$B$2,[1]ratio_ins!$B:$B,0))*$G492*INDEX([1]ratio_ins!$D:$D,MATCH('001_population_health_zone_zs'!$B492,[1]ratio_ins!$B:$B,0))</f>
        <v>5627.1922000000004</v>
      </c>
      <c r="AM492" s="10">
        <f>INDEX([1]ratio_ins!AJ:AJ,MATCH('001_population_health_zone_zs'!$B$2,[1]ratio_ins!$B:$B,0))*$G492*INDEX([1]ratio_ins!$D:$D,MATCH('001_population_health_zone_zs'!$B492,[1]ratio_ins!$B:$B,0))</f>
        <v>5144.8614400000006</v>
      </c>
      <c r="AN492" s="10">
        <f>INDEX([1]ratio_ins!AK:AK,MATCH('001_population_health_zone_zs'!$B$2,[1]ratio_ins!$B:$B,0))*$G492*INDEX([1]ratio_ins!$D:$D,MATCH('001_population_health_zone_zs'!$B492,[1]ratio_ins!$B:$B,0))</f>
        <v>4823.3075999999992</v>
      </c>
      <c r="AO492" s="10">
        <f>INDEX([1]ratio_ins!AL:AL,MATCH('001_population_health_zone_zs'!$B$2,[1]ratio_ins!$B:$B,0))*$G492*INDEX([1]ratio_ins!$D:$D,MATCH('001_population_health_zone_zs'!$B492,[1]ratio_ins!$B:$B,0))</f>
        <v>3617.4807000000001</v>
      </c>
      <c r="AP492" s="10">
        <f>INDEX([1]ratio_ins!AM:AM,MATCH('001_population_health_zone_zs'!$B$2,[1]ratio_ins!$B:$B,0))*$G492*INDEX([1]ratio_ins!$D:$D,MATCH('001_population_health_zone_zs'!$B492,[1]ratio_ins!$B:$B,0))</f>
        <v>2331.2653399999999</v>
      </c>
      <c r="AQ492" s="10">
        <f>INDEX([1]ratio_ins!AN:AN,MATCH('001_population_health_zone_zs'!$B$2,[1]ratio_ins!$B:$B,0))*$G492*INDEX([1]ratio_ins!$D:$D,MATCH('001_population_health_zone_zs'!$B492,[1]ratio_ins!$B:$B,0))</f>
        <v>1848.9345799999999</v>
      </c>
      <c r="AR492" s="10">
        <f>INDEX([1]ratio_ins!AO:AO,MATCH('001_population_health_zone_zs'!$B$2,[1]ratio_ins!$B:$B,0))*$G492*INDEX([1]ratio_ins!$D:$D,MATCH('001_population_health_zone_zs'!$B492,[1]ratio_ins!$B:$B,0))</f>
        <v>884.2730600000001</v>
      </c>
      <c r="AS492" s="13">
        <f>INDEX([1]ratio_ins!AP:AP,MATCH('001_population_health_zone_zs'!$B$2,[1]ratio_ins!$B:$B,0))*$G492*INDEX([1]ratio_ins!$D:$D,MATCH('001_population_health_zone_zs'!$B492,[1]ratio_ins!$B:$B,0))</f>
        <v>32894.957832</v>
      </c>
      <c r="AT492" s="10">
        <f>INDEX([1]ratio_ins!AQ:AQ,MATCH('001_population_health_zone_zs'!$B$2,[1]ratio_ins!$B:$B,0))*$G492*INDEX([1]ratio_ins!$D:$D,MATCH('001_population_health_zone_zs'!$B492,[1]ratio_ins!$B:$B,0))</f>
        <v>803.88459999999998</v>
      </c>
      <c r="AU492" s="10">
        <f>INDEX([1]ratio_ins!AR:AR,MATCH('001_population_health_zone_zs'!$B$2,[1]ratio_ins!$B:$B,0))*$G492*INDEX([1]ratio_ins!$D:$D,MATCH('001_population_health_zone_zs'!$B492,[1]ratio_ins!$B:$B,0))</f>
        <v>482.33076</v>
      </c>
      <c r="AV492" s="10">
        <f>INDEX([1]ratio_ins!AS:AS,MATCH('001_population_health_zone_zs'!$B$2,[1]ratio_ins!$B:$B,0))*$G492*INDEX([1]ratio_ins!$D:$D,MATCH('001_population_health_zone_zs'!$B492,[1]ratio_ins!$B:$B,0))</f>
        <v>241.16538</v>
      </c>
      <c r="AW492" s="10">
        <f>INDEX([1]ratio_ins!AT:AT,MATCH('001_population_health_zone_zs'!$B$2,[1]ratio_ins!$B:$B,0))*$G492*INDEX([1]ratio_ins!$D:$D,MATCH('001_population_health_zone_zs'!$B492,[1]ratio_ins!$B:$B,0))</f>
        <v>160.77692000000002</v>
      </c>
      <c r="AX492" s="13">
        <f>INDEX([1]ratio_ins!AU:AU,MATCH('001_population_health_zone_zs'!$B$2,[1]ratio_ins!$B:$B,0))*$G492*INDEX([1]ratio_ins!$D:$D,MATCH('001_population_health_zone_zs'!$B492,[1]ratio_ins!$B:$B,0))</f>
        <v>1688.1576599999999</v>
      </c>
      <c r="AY492" s="14">
        <f t="shared" si="43"/>
        <v>80388.459999999992</v>
      </c>
      <c r="AZ492" s="15">
        <f t="shared" si="44"/>
        <v>158245</v>
      </c>
      <c r="BA492" s="16">
        <v>152368.63905512143</v>
      </c>
      <c r="BB492" s="10">
        <f t="shared" si="45"/>
        <v>34165.095500000003</v>
      </c>
      <c r="BC492" s="17">
        <f t="shared" si="46"/>
        <v>0.21590000000000001</v>
      </c>
      <c r="BD492" s="10">
        <f t="shared" si="47"/>
        <v>32466.177180000002</v>
      </c>
    </row>
    <row r="493" spans="1:56" x14ac:dyDescent="0.25">
      <c r="A493" s="8" t="s">
        <v>1178</v>
      </c>
      <c r="B493" s="8" t="s">
        <v>1179</v>
      </c>
      <c r="C493" s="8" t="s">
        <v>1211</v>
      </c>
      <c r="D493" s="8" t="s">
        <v>1212</v>
      </c>
      <c r="E493" s="8" t="s">
        <v>1217</v>
      </c>
      <c r="F493" s="8" t="s">
        <v>1218</v>
      </c>
      <c r="G493" s="9">
        <v>230316</v>
      </c>
      <c r="H493" s="10">
        <f>INDEX([1]ratio_ins!F:F,MATCH('001_population_health_zone_zs'!$B$2,[1]ratio_ins!$B:$B,0))*$G493*INDEX([1]ratio_ins!$C:$C,MATCH('001_population_health_zone_zs'!$B493,[1]ratio_ins!$B:$B,0))</f>
        <v>23682.933647999998</v>
      </c>
      <c r="I493" s="10">
        <f>INDEX([1]ratio_ins!G:G,MATCH('001_population_health_zone_zs'!$B$2,[1]ratio_ins!$B:$B,0))*$G493*INDEX([1]ratio_ins!$C:$C,MATCH('001_population_health_zone_zs'!$B493,[1]ratio_ins!$B:$B,0))</f>
        <v>19376.945712000001</v>
      </c>
      <c r="J493" s="10">
        <f>INDEX([1]ratio_ins!H:H,MATCH('001_population_health_zone_zs'!$B$2,[1]ratio_ins!$B:$B,0))*$G493*INDEX([1]ratio_ins!$C:$C,MATCH('001_population_health_zone_zs'!$B493,[1]ratio_ins!$B:$B,0))</f>
        <v>15297.588720000003</v>
      </c>
      <c r="K493" s="10">
        <f>INDEX([1]ratio_ins!I:I,MATCH('001_population_health_zone_zs'!$B$2,[1]ratio_ins!$B:$B,0))*$G493*INDEX([1]ratio_ins!$C:$C,MATCH('001_population_health_zone_zs'!$B493,[1]ratio_ins!$B:$B,0))</f>
        <v>9405.1841760000025</v>
      </c>
      <c r="L493" s="10">
        <f>INDEX([1]ratio_ins!J:J,MATCH('001_population_health_zone_zs'!$B$2,[1]ratio_ins!$B:$B,0))*$G493*INDEX([1]ratio_ins!$C:$C,MATCH('001_population_health_zone_zs'!$B493,[1]ratio_ins!$B:$B,0))</f>
        <v>5643.1105055999997</v>
      </c>
      <c r="M493" s="11">
        <f>INDEX([1]ratio_ins!K:K,MATCH('001_population_health_zone_zs'!$B$2,[1]ratio_ins!$B:$B,0))*$G493*INDEX([1]ratio_ins!$C:$C,MATCH('001_population_health_zone_zs'!$B493,[1]ratio_ins!$B:$B,0))</f>
        <v>64000.5785856</v>
      </c>
      <c r="N493" s="10">
        <f>INDEX([1]ratio_ins!L:L,MATCH('001_population_health_zone_zs'!$B$2,[1]ratio_ins!$B:$B,0))*$G493*INDEX([1]ratio_ins!$C:$C,MATCH('001_population_health_zone_zs'!$B493,[1]ratio_ins!$B:$B,0))</f>
        <v>3762.0736704000005</v>
      </c>
      <c r="O493" s="10">
        <f>INDEX([1]ratio_ins!M:M,MATCH('001_population_health_zone_zs'!$B$2,[1]ratio_ins!$B:$B,0))*$G493*INDEX([1]ratio_ins!$C:$C,MATCH('001_population_health_zone_zs'!$B493,[1]ratio_ins!$B:$B,0))</f>
        <v>8158.7139840000009</v>
      </c>
      <c r="P493" s="10">
        <f>INDEX([1]ratio_ins!N:N,MATCH('001_population_health_zone_zs'!$B$2,[1]ratio_ins!$B:$B,0))*$G493*INDEX([1]ratio_ins!$C:$C,MATCH('001_population_health_zone_zs'!$B493,[1]ratio_ins!$B:$B,0))</f>
        <v>7365.5056800000011</v>
      </c>
      <c r="Q493" s="10">
        <f>INDEX([1]ratio_ins!O:O,MATCH('001_population_health_zone_zs'!$B$2,[1]ratio_ins!$B:$B,0))*$G493*INDEX([1]ratio_ins!$C:$C,MATCH('001_population_health_zone_zs'!$B493,[1]ratio_ins!$B:$B,0))</f>
        <v>6572.2973760000004</v>
      </c>
      <c r="R493" s="10">
        <f>INDEX([1]ratio_ins!P:P,MATCH('001_population_health_zone_zs'!$B$2,[1]ratio_ins!$B:$B,0))*$G493*INDEX([1]ratio_ins!$C:$C,MATCH('001_population_health_zone_zs'!$B493,[1]ratio_ins!$B:$B,0))</f>
        <v>6458.9819040000011</v>
      </c>
      <c r="S493" s="10">
        <f>INDEX([1]ratio_ins!Q:Q,MATCH('001_population_health_zone_zs'!$B$2,[1]ratio_ins!$B:$B,0))*$G493*INDEX([1]ratio_ins!$C:$C,MATCH('001_population_health_zone_zs'!$B493,[1]ratio_ins!$B:$B,0))</f>
        <v>5439.142656</v>
      </c>
      <c r="T493" s="10">
        <f>INDEX([1]ratio_ins!R:R,MATCH('001_population_health_zone_zs'!$B$2,[1]ratio_ins!$B:$B,0))*$G493*INDEX([1]ratio_ins!$C:$C,MATCH('001_population_health_zone_zs'!$B493,[1]ratio_ins!$B:$B,0))</f>
        <v>3852.7260480000004</v>
      </c>
      <c r="U493" s="10">
        <f>INDEX([1]ratio_ins!S:S,MATCH('001_population_health_zone_zs'!$B$2,[1]ratio_ins!$B:$B,0))*$G493*INDEX([1]ratio_ins!$C:$C,MATCH('001_population_health_zone_zs'!$B493,[1]ratio_ins!$B:$B,0))</f>
        <v>3059.5177440000007</v>
      </c>
      <c r="V493" s="10">
        <f>INDEX([1]ratio_ins!T:T,MATCH('001_population_health_zone_zs'!$B$2,[1]ratio_ins!$B:$B,0))*$G493*INDEX([1]ratio_ins!$C:$C,MATCH('001_population_health_zone_zs'!$B493,[1]ratio_ins!$B:$B,0))</f>
        <v>1699.73208</v>
      </c>
      <c r="W493" s="11">
        <f>INDEX([1]ratio_ins!U:U,MATCH('001_population_health_zone_zs'!$B$2,[1]ratio_ins!$B:$B,0))*$G493*INDEX([1]ratio_ins!$C:$C,MATCH('001_population_health_zone_zs'!$B493,[1]ratio_ins!$B:$B,0))</f>
        <v>46368.691142399999</v>
      </c>
      <c r="X493" s="10">
        <f>INDEX([1]ratio_ins!V:V,MATCH('001_population_health_zone_zs'!$B$2,[1]ratio_ins!$B:$B,0))*$G493*INDEX([1]ratio_ins!$C:$C,MATCH('001_population_health_zone_zs'!$B493,[1]ratio_ins!$B:$B,0))</f>
        <v>1359.785664</v>
      </c>
      <c r="Y493" s="10">
        <f>INDEX([1]ratio_ins!W:W,MATCH('001_population_health_zone_zs'!$B$2,[1]ratio_ins!$B:$B,0))*$G493*INDEX([1]ratio_ins!$C:$C,MATCH('001_population_health_zone_zs'!$B493,[1]ratio_ins!$B:$B,0))</f>
        <v>906.52377600000011</v>
      </c>
      <c r="Z493" s="10">
        <f>INDEX([1]ratio_ins!X:X,MATCH('001_population_health_zone_zs'!$B$2,[1]ratio_ins!$B:$B,0))*$G493*INDEX([1]ratio_ins!$C:$C,MATCH('001_population_health_zone_zs'!$B493,[1]ratio_ins!$B:$B,0))</f>
        <v>453.26188800000006</v>
      </c>
      <c r="AA493" s="10">
        <f>INDEX([1]ratio_ins!Y:Y,MATCH('001_population_health_zone_zs'!$B$2,[1]ratio_ins!$B:$B,0))*$G493*INDEX([1]ratio_ins!$C:$C,MATCH('001_population_health_zone_zs'!$B493,[1]ratio_ins!$B:$B,0))</f>
        <v>226.63094400000003</v>
      </c>
      <c r="AB493" s="11">
        <f>INDEX([1]ratio_ins!Z:Z,MATCH('001_population_health_zone_zs'!$B$2,[1]ratio_ins!$B:$B,0))*$G493*INDEX([1]ratio_ins!$C:$C,MATCH('001_population_health_zone_zs'!$B493,[1]ratio_ins!$B:$B,0))</f>
        <v>2946.2022720000004</v>
      </c>
      <c r="AC493" s="12">
        <f t="shared" si="42"/>
        <v>113315.47199999999</v>
      </c>
      <c r="AD493" s="10">
        <f>INDEX([1]ratio_ins!AA:AA,MATCH('001_population_health_zone_zs'!$B$2,[1]ratio_ins!$B:$B,0))*$G493*INDEX([1]ratio_ins!$D:$D,MATCH('001_population_health_zone_zs'!$B493,[1]ratio_ins!$B:$B,0))</f>
        <v>24570.11088</v>
      </c>
      <c r="AE493" s="10">
        <f>INDEX([1]ratio_ins!AB:AB,MATCH('001_population_health_zone_zs'!$B$2,[1]ratio_ins!$B:$B,0))*$G493*INDEX([1]ratio_ins!$D:$D,MATCH('001_population_health_zone_zs'!$B493,[1]ratio_ins!$B:$B,0))</f>
        <v>20241.091344000004</v>
      </c>
      <c r="AF493" s="10">
        <f>INDEX([1]ratio_ins!AC:AC,MATCH('001_population_health_zone_zs'!$B$2,[1]ratio_ins!$B:$B,0))*$G493*INDEX([1]ratio_ins!$D:$D,MATCH('001_population_health_zone_zs'!$B493,[1]ratio_ins!$B:$B,0))</f>
        <v>16029.072335999999</v>
      </c>
      <c r="AG493" s="10">
        <f>INDEX([1]ratio_ins!AD:AD,MATCH('001_population_health_zone_zs'!$B$2,[1]ratio_ins!$B:$B,0))*$G493*INDEX([1]ratio_ins!$D:$D,MATCH('001_population_health_zone_zs'!$B493,[1]ratio_ins!$B:$B,0))</f>
        <v>9711.0438240000021</v>
      </c>
      <c r="AH493" s="10">
        <f>INDEX([1]ratio_ins!AE:AE,MATCH('001_population_health_zone_zs'!$B$2,[1]ratio_ins!$B:$B,0))*$G493*INDEX([1]ratio_ins!$D:$D,MATCH('001_population_health_zone_zs'!$B493,[1]ratio_ins!$B:$B,0))</f>
        <v>5826.6262943999991</v>
      </c>
      <c r="AI493" s="13">
        <f>INDEX([1]ratio_ins!AF:AF,MATCH('001_population_health_zone_zs'!$B$2,[1]ratio_ins!$B:$B,0))*$G493*INDEX([1]ratio_ins!$D:$D,MATCH('001_population_health_zone_zs'!$B493,[1]ratio_ins!$B:$B,0))</f>
        <v>66666.900854399995</v>
      </c>
      <c r="AJ493" s="10">
        <f>INDEX([1]ratio_ins!AG:AG,MATCH('001_population_health_zone_zs'!$B$2,[1]ratio_ins!$B:$B,0))*$G493*INDEX([1]ratio_ins!$D:$D,MATCH('001_population_health_zone_zs'!$B493,[1]ratio_ins!$B:$B,0))</f>
        <v>3884.4175296000003</v>
      </c>
      <c r="AK493" s="10">
        <f>INDEX([1]ratio_ins!AH:AH,MATCH('001_population_health_zone_zs'!$B$2,[1]ratio_ins!$B:$B,0))*$G493*INDEX([1]ratio_ins!$D:$D,MATCH('001_population_health_zone_zs'!$B493,[1]ratio_ins!$B:$B,0))</f>
        <v>8658.0390720000014</v>
      </c>
      <c r="AL493" s="10">
        <f>INDEX([1]ratio_ins!AI:AI,MATCH('001_population_health_zone_zs'!$B$2,[1]ratio_ins!$B:$B,0))*$G493*INDEX([1]ratio_ins!$D:$D,MATCH('001_population_health_zone_zs'!$B493,[1]ratio_ins!$B:$B,0))</f>
        <v>8190.0369600000004</v>
      </c>
      <c r="AM493" s="10">
        <f>INDEX([1]ratio_ins!AJ:AJ,MATCH('001_population_health_zone_zs'!$B$2,[1]ratio_ins!$B:$B,0))*$G493*INDEX([1]ratio_ins!$D:$D,MATCH('001_population_health_zone_zs'!$B493,[1]ratio_ins!$B:$B,0))</f>
        <v>7488.0337920000002</v>
      </c>
      <c r="AN493" s="10">
        <f>INDEX([1]ratio_ins!AK:AK,MATCH('001_population_health_zone_zs'!$B$2,[1]ratio_ins!$B:$B,0))*$G493*INDEX([1]ratio_ins!$D:$D,MATCH('001_population_health_zone_zs'!$B493,[1]ratio_ins!$B:$B,0))</f>
        <v>7020.0316800000001</v>
      </c>
      <c r="AO493" s="10">
        <f>INDEX([1]ratio_ins!AL:AL,MATCH('001_population_health_zone_zs'!$B$2,[1]ratio_ins!$B:$B,0))*$G493*INDEX([1]ratio_ins!$D:$D,MATCH('001_population_health_zone_zs'!$B493,[1]ratio_ins!$B:$B,0))</f>
        <v>5265.02376</v>
      </c>
      <c r="AP493" s="10">
        <f>INDEX([1]ratio_ins!AM:AM,MATCH('001_population_health_zone_zs'!$B$2,[1]ratio_ins!$B:$B,0))*$G493*INDEX([1]ratio_ins!$D:$D,MATCH('001_population_health_zone_zs'!$B493,[1]ratio_ins!$B:$B,0))</f>
        <v>3393.015312</v>
      </c>
      <c r="AQ493" s="10">
        <f>INDEX([1]ratio_ins!AN:AN,MATCH('001_population_health_zone_zs'!$B$2,[1]ratio_ins!$B:$B,0))*$G493*INDEX([1]ratio_ins!$D:$D,MATCH('001_population_health_zone_zs'!$B493,[1]ratio_ins!$B:$B,0))</f>
        <v>2691.0121440000003</v>
      </c>
      <c r="AR493" s="10">
        <f>INDEX([1]ratio_ins!AO:AO,MATCH('001_population_health_zone_zs'!$B$2,[1]ratio_ins!$B:$B,0))*$G493*INDEX([1]ratio_ins!$D:$D,MATCH('001_population_health_zone_zs'!$B493,[1]ratio_ins!$B:$B,0))</f>
        <v>1287.0058080000001</v>
      </c>
      <c r="AS493" s="13">
        <f>INDEX([1]ratio_ins!AP:AP,MATCH('001_population_health_zone_zs'!$B$2,[1]ratio_ins!$B:$B,0))*$G493*INDEX([1]ratio_ins!$D:$D,MATCH('001_population_health_zone_zs'!$B493,[1]ratio_ins!$B:$B,0))</f>
        <v>47876.616057599997</v>
      </c>
      <c r="AT493" s="10">
        <f>INDEX([1]ratio_ins!AQ:AQ,MATCH('001_population_health_zone_zs'!$B$2,[1]ratio_ins!$B:$B,0))*$G493*INDEX([1]ratio_ins!$D:$D,MATCH('001_population_health_zone_zs'!$B493,[1]ratio_ins!$B:$B,0))</f>
        <v>1170.0052799999999</v>
      </c>
      <c r="AU493" s="10">
        <f>INDEX([1]ratio_ins!AR:AR,MATCH('001_population_health_zone_zs'!$B$2,[1]ratio_ins!$B:$B,0))*$G493*INDEX([1]ratio_ins!$D:$D,MATCH('001_population_health_zone_zs'!$B493,[1]ratio_ins!$B:$B,0))</f>
        <v>702.00316799999996</v>
      </c>
      <c r="AV493" s="10">
        <f>INDEX([1]ratio_ins!AS:AS,MATCH('001_population_health_zone_zs'!$B$2,[1]ratio_ins!$B:$B,0))*$G493*INDEX([1]ratio_ins!$D:$D,MATCH('001_population_health_zone_zs'!$B493,[1]ratio_ins!$B:$B,0))</f>
        <v>351.00158399999998</v>
      </c>
      <c r="AW493" s="10">
        <f>INDEX([1]ratio_ins!AT:AT,MATCH('001_population_health_zone_zs'!$B$2,[1]ratio_ins!$B:$B,0))*$G493*INDEX([1]ratio_ins!$D:$D,MATCH('001_population_health_zone_zs'!$B493,[1]ratio_ins!$B:$B,0))</f>
        <v>234.00105600000001</v>
      </c>
      <c r="AX493" s="13">
        <f>INDEX([1]ratio_ins!AU:AU,MATCH('001_population_health_zone_zs'!$B$2,[1]ratio_ins!$B:$B,0))*$G493*INDEX([1]ratio_ins!$D:$D,MATCH('001_population_health_zone_zs'!$B493,[1]ratio_ins!$B:$B,0))</f>
        <v>2457.0110879999997</v>
      </c>
      <c r="AY493" s="14">
        <f t="shared" si="43"/>
        <v>117000.52799999999</v>
      </c>
      <c r="AZ493" s="15">
        <f t="shared" si="44"/>
        <v>230316</v>
      </c>
      <c r="BA493" s="16">
        <v>221762.8337385784</v>
      </c>
      <c r="BB493" s="10">
        <f t="shared" si="45"/>
        <v>49725.224400000006</v>
      </c>
      <c r="BC493" s="17">
        <f t="shared" si="46"/>
        <v>0.21590000000000004</v>
      </c>
      <c r="BD493" s="10">
        <f t="shared" si="47"/>
        <v>47252.551823999995</v>
      </c>
    </row>
    <row r="494" spans="1:56" x14ac:dyDescent="0.25">
      <c r="A494" s="8" t="s">
        <v>1178</v>
      </c>
      <c r="B494" s="8" t="s">
        <v>1179</v>
      </c>
      <c r="C494" s="8" t="s">
        <v>1211</v>
      </c>
      <c r="D494" s="8" t="s">
        <v>1212</v>
      </c>
      <c r="E494" s="8" t="s">
        <v>1219</v>
      </c>
      <c r="F494" s="8" t="s">
        <v>1220</v>
      </c>
      <c r="G494" s="9">
        <v>167134</v>
      </c>
      <c r="H494" s="10">
        <f>INDEX([1]ratio_ins!F:F,MATCH('001_population_health_zone_zs'!$B$2,[1]ratio_ins!$B:$B,0))*$G494*INDEX([1]ratio_ins!$C:$C,MATCH('001_population_health_zone_zs'!$B494,[1]ratio_ins!$B:$B,0))</f>
        <v>17186.054952000002</v>
      </c>
      <c r="I494" s="10">
        <f>INDEX([1]ratio_ins!G:G,MATCH('001_population_health_zone_zs'!$B$2,[1]ratio_ins!$B:$B,0))*$G494*INDEX([1]ratio_ins!$C:$C,MATCH('001_population_health_zone_zs'!$B494,[1]ratio_ins!$B:$B,0))</f>
        <v>14061.317688000001</v>
      </c>
      <c r="J494" s="10">
        <f>INDEX([1]ratio_ins!H:H,MATCH('001_population_health_zone_zs'!$B$2,[1]ratio_ins!$B:$B,0))*$G494*INDEX([1]ratio_ins!$C:$C,MATCH('001_population_health_zone_zs'!$B494,[1]ratio_ins!$B:$B,0))</f>
        <v>11101.040280000001</v>
      </c>
      <c r="K494" s="10">
        <f>INDEX([1]ratio_ins!I:I,MATCH('001_population_health_zone_zs'!$B$2,[1]ratio_ins!$B:$B,0))*$G494*INDEX([1]ratio_ins!$C:$C,MATCH('001_population_health_zone_zs'!$B494,[1]ratio_ins!$B:$B,0))</f>
        <v>6825.0840240000016</v>
      </c>
      <c r="L494" s="10">
        <f>INDEX([1]ratio_ins!J:J,MATCH('001_population_health_zone_zs'!$B$2,[1]ratio_ins!$B:$B,0))*$G494*INDEX([1]ratio_ins!$C:$C,MATCH('001_population_health_zone_zs'!$B494,[1]ratio_ins!$B:$B,0))</f>
        <v>4095.0504144000001</v>
      </c>
      <c r="M494" s="11">
        <f>INDEX([1]ratio_ins!K:K,MATCH('001_population_health_zone_zs'!$B$2,[1]ratio_ins!$B:$B,0))*$G494*INDEX([1]ratio_ins!$C:$C,MATCH('001_population_health_zone_zs'!$B494,[1]ratio_ins!$B:$B,0))</f>
        <v>46443.463334400003</v>
      </c>
      <c r="N494" s="10">
        <f>INDEX([1]ratio_ins!L:L,MATCH('001_population_health_zone_zs'!$B$2,[1]ratio_ins!$B:$B,0))*$G494*INDEX([1]ratio_ins!$C:$C,MATCH('001_population_health_zone_zs'!$B494,[1]ratio_ins!$B:$B,0))</f>
        <v>2730.0336096000001</v>
      </c>
      <c r="O494" s="10">
        <f>INDEX([1]ratio_ins!M:M,MATCH('001_population_health_zone_zs'!$B$2,[1]ratio_ins!$B:$B,0))*$G494*INDEX([1]ratio_ins!$C:$C,MATCH('001_population_health_zone_zs'!$B494,[1]ratio_ins!$B:$B,0))</f>
        <v>5920.5548160000008</v>
      </c>
      <c r="P494" s="10">
        <f>INDEX([1]ratio_ins!N:N,MATCH('001_population_health_zone_zs'!$B$2,[1]ratio_ins!$B:$B,0))*$G494*INDEX([1]ratio_ins!$C:$C,MATCH('001_population_health_zone_zs'!$B494,[1]ratio_ins!$B:$B,0))</f>
        <v>5344.9453200000007</v>
      </c>
      <c r="Q494" s="10">
        <f>INDEX([1]ratio_ins!O:O,MATCH('001_population_health_zone_zs'!$B$2,[1]ratio_ins!$B:$B,0))*$G494*INDEX([1]ratio_ins!$C:$C,MATCH('001_population_health_zone_zs'!$B494,[1]ratio_ins!$B:$B,0))</f>
        <v>4769.3358239999998</v>
      </c>
      <c r="R494" s="10">
        <f>INDEX([1]ratio_ins!P:P,MATCH('001_population_health_zone_zs'!$B$2,[1]ratio_ins!$B:$B,0))*$G494*INDEX([1]ratio_ins!$C:$C,MATCH('001_population_health_zone_zs'!$B494,[1]ratio_ins!$B:$B,0))</f>
        <v>4687.1058960000009</v>
      </c>
      <c r="S494" s="10">
        <f>INDEX([1]ratio_ins!Q:Q,MATCH('001_population_health_zone_zs'!$B$2,[1]ratio_ins!$B:$B,0))*$G494*INDEX([1]ratio_ins!$C:$C,MATCH('001_population_health_zone_zs'!$B494,[1]ratio_ins!$B:$B,0))</f>
        <v>3947.0365440000005</v>
      </c>
      <c r="T494" s="10">
        <f>INDEX([1]ratio_ins!R:R,MATCH('001_population_health_zone_zs'!$B$2,[1]ratio_ins!$B:$B,0))*$G494*INDEX([1]ratio_ins!$C:$C,MATCH('001_population_health_zone_zs'!$B494,[1]ratio_ins!$B:$B,0))</f>
        <v>2795.8175520000004</v>
      </c>
      <c r="U494" s="10">
        <f>INDEX([1]ratio_ins!S:S,MATCH('001_population_health_zone_zs'!$B$2,[1]ratio_ins!$B:$B,0))*$G494*INDEX([1]ratio_ins!$C:$C,MATCH('001_population_health_zone_zs'!$B494,[1]ratio_ins!$B:$B,0))</f>
        <v>2220.2080560000004</v>
      </c>
      <c r="V494" s="10">
        <f>INDEX([1]ratio_ins!T:T,MATCH('001_population_health_zone_zs'!$B$2,[1]ratio_ins!$B:$B,0))*$G494*INDEX([1]ratio_ins!$C:$C,MATCH('001_population_health_zone_zs'!$B494,[1]ratio_ins!$B:$B,0))</f>
        <v>1233.44892</v>
      </c>
      <c r="W494" s="11">
        <f>INDEX([1]ratio_ins!U:U,MATCH('001_population_health_zone_zs'!$B$2,[1]ratio_ins!$B:$B,0))*$G494*INDEX([1]ratio_ins!$C:$C,MATCH('001_population_health_zone_zs'!$B494,[1]ratio_ins!$B:$B,0))</f>
        <v>33648.486537600002</v>
      </c>
      <c r="X494" s="10">
        <f>INDEX([1]ratio_ins!V:V,MATCH('001_population_health_zone_zs'!$B$2,[1]ratio_ins!$B:$B,0))*$G494*INDEX([1]ratio_ins!$C:$C,MATCH('001_population_health_zone_zs'!$B494,[1]ratio_ins!$B:$B,0))</f>
        <v>986.75913600000013</v>
      </c>
      <c r="Y494" s="10">
        <f>INDEX([1]ratio_ins!W:W,MATCH('001_population_health_zone_zs'!$B$2,[1]ratio_ins!$B:$B,0))*$G494*INDEX([1]ratio_ins!$C:$C,MATCH('001_population_health_zone_zs'!$B494,[1]ratio_ins!$B:$B,0))</f>
        <v>657.83942400000012</v>
      </c>
      <c r="Z494" s="10">
        <f>INDEX([1]ratio_ins!X:X,MATCH('001_population_health_zone_zs'!$B$2,[1]ratio_ins!$B:$B,0))*$G494*INDEX([1]ratio_ins!$C:$C,MATCH('001_population_health_zone_zs'!$B494,[1]ratio_ins!$B:$B,0))</f>
        <v>328.91971200000006</v>
      </c>
      <c r="AA494" s="10">
        <f>INDEX([1]ratio_ins!Y:Y,MATCH('001_population_health_zone_zs'!$B$2,[1]ratio_ins!$B:$B,0))*$G494*INDEX([1]ratio_ins!$C:$C,MATCH('001_population_health_zone_zs'!$B494,[1]ratio_ins!$B:$B,0))</f>
        <v>164.45985600000003</v>
      </c>
      <c r="AB494" s="11">
        <f>INDEX([1]ratio_ins!Z:Z,MATCH('001_population_health_zone_zs'!$B$2,[1]ratio_ins!$B:$B,0))*$G494*INDEX([1]ratio_ins!$C:$C,MATCH('001_population_health_zone_zs'!$B494,[1]ratio_ins!$B:$B,0))</f>
        <v>2137.9781280000002</v>
      </c>
      <c r="AC494" s="12">
        <f t="shared" si="42"/>
        <v>82229.928</v>
      </c>
      <c r="AD494" s="10">
        <f>INDEX([1]ratio_ins!AA:AA,MATCH('001_population_health_zone_zs'!$B$2,[1]ratio_ins!$B:$B,0))*$G494*INDEX([1]ratio_ins!$D:$D,MATCH('001_population_health_zone_zs'!$B494,[1]ratio_ins!$B:$B,0))</f>
        <v>17829.85512</v>
      </c>
      <c r="AE494" s="10">
        <f>INDEX([1]ratio_ins!AB:AB,MATCH('001_population_health_zone_zs'!$B$2,[1]ratio_ins!$B:$B,0))*$G494*INDEX([1]ratio_ins!$D:$D,MATCH('001_population_health_zone_zs'!$B494,[1]ratio_ins!$B:$B,0))</f>
        <v>14688.404456</v>
      </c>
      <c r="AF494" s="10">
        <f>INDEX([1]ratio_ins!AC:AC,MATCH('001_population_health_zone_zs'!$B$2,[1]ratio_ins!$B:$B,0))*$G494*INDEX([1]ratio_ins!$D:$D,MATCH('001_population_health_zone_zs'!$B494,[1]ratio_ins!$B:$B,0))</f>
        <v>11631.857863999998</v>
      </c>
      <c r="AG494" s="10">
        <f>INDEX([1]ratio_ins!AD:AD,MATCH('001_population_health_zone_zs'!$B$2,[1]ratio_ins!$B:$B,0))*$G494*INDEX([1]ratio_ins!$D:$D,MATCH('001_population_health_zone_zs'!$B494,[1]ratio_ins!$B:$B,0))</f>
        <v>7047.0379760000005</v>
      </c>
      <c r="AH494" s="10">
        <f>INDEX([1]ratio_ins!AE:AE,MATCH('001_population_health_zone_zs'!$B$2,[1]ratio_ins!$B:$B,0))*$G494*INDEX([1]ratio_ins!$D:$D,MATCH('001_population_health_zone_zs'!$B494,[1]ratio_ins!$B:$B,0))</f>
        <v>4228.2227856</v>
      </c>
      <c r="AI494" s="13">
        <f>INDEX([1]ratio_ins!AF:AF,MATCH('001_population_health_zone_zs'!$B$2,[1]ratio_ins!$B:$B,0))*$G494*INDEX([1]ratio_ins!$D:$D,MATCH('001_population_health_zone_zs'!$B494,[1]ratio_ins!$B:$B,0))</f>
        <v>48378.340225599997</v>
      </c>
      <c r="AJ494" s="10">
        <f>INDEX([1]ratio_ins!AG:AG,MATCH('001_population_health_zone_zs'!$B$2,[1]ratio_ins!$B:$B,0))*$G494*INDEX([1]ratio_ins!$D:$D,MATCH('001_population_health_zone_zs'!$B494,[1]ratio_ins!$B:$B,0))</f>
        <v>2818.8151904000001</v>
      </c>
      <c r="AK494" s="10">
        <f>INDEX([1]ratio_ins!AH:AH,MATCH('001_population_health_zone_zs'!$B$2,[1]ratio_ins!$B:$B,0))*$G494*INDEX([1]ratio_ins!$D:$D,MATCH('001_population_health_zone_zs'!$B494,[1]ratio_ins!$B:$B,0))</f>
        <v>6282.9013280000008</v>
      </c>
      <c r="AL494" s="10">
        <f>INDEX([1]ratio_ins!AI:AI,MATCH('001_population_health_zone_zs'!$B$2,[1]ratio_ins!$B:$B,0))*$G494*INDEX([1]ratio_ins!$D:$D,MATCH('001_population_health_zone_zs'!$B494,[1]ratio_ins!$B:$B,0))</f>
        <v>5943.2850400000007</v>
      </c>
      <c r="AM494" s="10">
        <f>INDEX([1]ratio_ins!AJ:AJ,MATCH('001_population_health_zone_zs'!$B$2,[1]ratio_ins!$B:$B,0))*$G494*INDEX([1]ratio_ins!$D:$D,MATCH('001_population_health_zone_zs'!$B494,[1]ratio_ins!$B:$B,0))</f>
        <v>5433.8606080000009</v>
      </c>
      <c r="AN494" s="10">
        <f>INDEX([1]ratio_ins!AK:AK,MATCH('001_population_health_zone_zs'!$B$2,[1]ratio_ins!$B:$B,0))*$G494*INDEX([1]ratio_ins!$D:$D,MATCH('001_population_health_zone_zs'!$B494,[1]ratio_ins!$B:$B,0))</f>
        <v>5094.2443199999998</v>
      </c>
      <c r="AO494" s="10">
        <f>INDEX([1]ratio_ins!AL:AL,MATCH('001_population_health_zone_zs'!$B$2,[1]ratio_ins!$B:$B,0))*$G494*INDEX([1]ratio_ins!$D:$D,MATCH('001_population_health_zone_zs'!$B494,[1]ratio_ins!$B:$B,0))</f>
        <v>3820.6832399999998</v>
      </c>
      <c r="AP494" s="10">
        <f>INDEX([1]ratio_ins!AM:AM,MATCH('001_population_health_zone_zs'!$B$2,[1]ratio_ins!$B:$B,0))*$G494*INDEX([1]ratio_ins!$D:$D,MATCH('001_population_health_zone_zs'!$B494,[1]ratio_ins!$B:$B,0))</f>
        <v>2462.2180879999996</v>
      </c>
      <c r="AQ494" s="10">
        <f>INDEX([1]ratio_ins!AN:AN,MATCH('001_population_health_zone_zs'!$B$2,[1]ratio_ins!$B:$B,0))*$G494*INDEX([1]ratio_ins!$D:$D,MATCH('001_population_health_zone_zs'!$B494,[1]ratio_ins!$B:$B,0))</f>
        <v>1952.7936560000001</v>
      </c>
      <c r="AR494" s="10">
        <f>INDEX([1]ratio_ins!AO:AO,MATCH('001_population_health_zone_zs'!$B$2,[1]ratio_ins!$B:$B,0))*$G494*INDEX([1]ratio_ins!$D:$D,MATCH('001_population_health_zone_zs'!$B494,[1]ratio_ins!$B:$B,0))</f>
        <v>933.94479200000012</v>
      </c>
      <c r="AS494" s="13">
        <f>INDEX([1]ratio_ins!AP:AP,MATCH('001_population_health_zone_zs'!$B$2,[1]ratio_ins!$B:$B,0))*$G494*INDEX([1]ratio_ins!$D:$D,MATCH('001_population_health_zone_zs'!$B494,[1]ratio_ins!$B:$B,0))</f>
        <v>34742.746262399996</v>
      </c>
      <c r="AT494" s="10">
        <f>INDEX([1]ratio_ins!AQ:AQ,MATCH('001_population_health_zone_zs'!$B$2,[1]ratio_ins!$B:$B,0))*$G494*INDEX([1]ratio_ins!$D:$D,MATCH('001_population_health_zone_zs'!$B494,[1]ratio_ins!$B:$B,0))</f>
        <v>849.04072000000008</v>
      </c>
      <c r="AU494" s="10">
        <f>INDEX([1]ratio_ins!AR:AR,MATCH('001_population_health_zone_zs'!$B$2,[1]ratio_ins!$B:$B,0))*$G494*INDEX([1]ratio_ins!$D:$D,MATCH('001_population_health_zone_zs'!$B494,[1]ratio_ins!$B:$B,0))</f>
        <v>509.42443199999997</v>
      </c>
      <c r="AV494" s="10">
        <f>INDEX([1]ratio_ins!AS:AS,MATCH('001_population_health_zone_zs'!$B$2,[1]ratio_ins!$B:$B,0))*$G494*INDEX([1]ratio_ins!$D:$D,MATCH('001_population_health_zone_zs'!$B494,[1]ratio_ins!$B:$B,0))</f>
        <v>254.71221599999998</v>
      </c>
      <c r="AW494" s="10">
        <f>INDEX([1]ratio_ins!AT:AT,MATCH('001_population_health_zone_zs'!$B$2,[1]ratio_ins!$B:$B,0))*$G494*INDEX([1]ratio_ins!$D:$D,MATCH('001_population_health_zone_zs'!$B494,[1]ratio_ins!$B:$B,0))</f>
        <v>169.80814400000003</v>
      </c>
      <c r="AX494" s="13">
        <f>INDEX([1]ratio_ins!AU:AU,MATCH('001_population_health_zone_zs'!$B$2,[1]ratio_ins!$B:$B,0))*$G494*INDEX([1]ratio_ins!$D:$D,MATCH('001_population_health_zone_zs'!$B494,[1]ratio_ins!$B:$B,0))</f>
        <v>1782.985512</v>
      </c>
      <c r="AY494" s="14">
        <f t="shared" si="43"/>
        <v>84904.072</v>
      </c>
      <c r="AZ494" s="15">
        <f t="shared" si="44"/>
        <v>167134</v>
      </c>
      <c r="BA494" s="16">
        <v>160927.62714060172</v>
      </c>
      <c r="BB494" s="10">
        <f t="shared" si="45"/>
        <v>36084.230600000003</v>
      </c>
      <c r="BC494" s="17">
        <f t="shared" si="46"/>
        <v>0.21590000000000001</v>
      </c>
      <c r="BD494" s="10">
        <f t="shared" si="47"/>
        <v>34289.879976000004</v>
      </c>
    </row>
    <row r="495" spans="1:56" x14ac:dyDescent="0.25">
      <c r="A495" s="8" t="s">
        <v>1178</v>
      </c>
      <c r="B495" s="8" t="s">
        <v>1179</v>
      </c>
      <c r="C495" s="8" t="s">
        <v>1211</v>
      </c>
      <c r="D495" s="8" t="s">
        <v>1212</v>
      </c>
      <c r="E495" s="8" t="s">
        <v>1221</v>
      </c>
      <c r="F495" s="8" t="s">
        <v>1222</v>
      </c>
      <c r="G495" s="9">
        <v>255896</v>
      </c>
      <c r="H495" s="10">
        <f>INDEX([1]ratio_ins!F:F,MATCH('001_population_health_zone_zs'!$B$2,[1]ratio_ins!$B:$B,0))*$G495*INDEX([1]ratio_ins!$C:$C,MATCH('001_population_health_zone_zs'!$B495,[1]ratio_ins!$B:$B,0))</f>
        <v>26313.273888</v>
      </c>
      <c r="I495" s="10">
        <f>INDEX([1]ratio_ins!G:G,MATCH('001_population_health_zone_zs'!$B$2,[1]ratio_ins!$B:$B,0))*$G495*INDEX([1]ratio_ins!$C:$C,MATCH('001_population_health_zone_zs'!$B495,[1]ratio_ins!$B:$B,0))</f>
        <v>21529.042272000002</v>
      </c>
      <c r="J495" s="10">
        <f>INDEX([1]ratio_ins!H:H,MATCH('001_population_health_zone_zs'!$B$2,[1]ratio_ins!$B:$B,0))*$G495*INDEX([1]ratio_ins!$C:$C,MATCH('001_population_health_zone_zs'!$B495,[1]ratio_ins!$B:$B,0))</f>
        <v>16996.61232</v>
      </c>
      <c r="K495" s="10">
        <f>INDEX([1]ratio_ins!I:I,MATCH('001_population_health_zone_zs'!$B$2,[1]ratio_ins!$B:$B,0))*$G495*INDEX([1]ratio_ins!$C:$C,MATCH('001_population_health_zone_zs'!$B495,[1]ratio_ins!$B:$B,0))</f>
        <v>10449.769056000003</v>
      </c>
      <c r="L495" s="10">
        <f>INDEX([1]ratio_ins!J:J,MATCH('001_population_health_zone_zs'!$B$2,[1]ratio_ins!$B:$B,0))*$G495*INDEX([1]ratio_ins!$C:$C,MATCH('001_population_health_zone_zs'!$B495,[1]ratio_ins!$B:$B,0))</f>
        <v>6269.8614336000001</v>
      </c>
      <c r="M495" s="11">
        <f>INDEX([1]ratio_ins!K:K,MATCH('001_population_health_zone_zs'!$B$2,[1]ratio_ins!$B:$B,0))*$G495*INDEX([1]ratio_ins!$C:$C,MATCH('001_population_health_zone_zs'!$B495,[1]ratio_ins!$B:$B,0))</f>
        <v>71108.789913599991</v>
      </c>
      <c r="N495" s="10">
        <f>INDEX([1]ratio_ins!L:L,MATCH('001_population_health_zone_zs'!$B$2,[1]ratio_ins!$B:$B,0))*$G495*INDEX([1]ratio_ins!$C:$C,MATCH('001_population_health_zone_zs'!$B495,[1]ratio_ins!$B:$B,0))</f>
        <v>4179.9076224</v>
      </c>
      <c r="O495" s="10">
        <f>INDEX([1]ratio_ins!M:M,MATCH('001_population_health_zone_zs'!$B$2,[1]ratio_ins!$B:$B,0))*$G495*INDEX([1]ratio_ins!$C:$C,MATCH('001_population_health_zone_zs'!$B495,[1]ratio_ins!$B:$B,0))</f>
        <v>9064.8599040000026</v>
      </c>
      <c r="P495" s="10">
        <f>INDEX([1]ratio_ins!N:N,MATCH('001_population_health_zone_zs'!$B$2,[1]ratio_ins!$B:$B,0))*$G495*INDEX([1]ratio_ins!$C:$C,MATCH('001_population_health_zone_zs'!$B495,[1]ratio_ins!$B:$B,0))</f>
        <v>8183.5540800000017</v>
      </c>
      <c r="Q495" s="10">
        <f>INDEX([1]ratio_ins!O:O,MATCH('001_population_health_zone_zs'!$B$2,[1]ratio_ins!$B:$B,0))*$G495*INDEX([1]ratio_ins!$C:$C,MATCH('001_population_health_zone_zs'!$B495,[1]ratio_ins!$B:$B,0))</f>
        <v>7302.2482559999999</v>
      </c>
      <c r="R495" s="10">
        <f>INDEX([1]ratio_ins!P:P,MATCH('001_population_health_zone_zs'!$B$2,[1]ratio_ins!$B:$B,0))*$G495*INDEX([1]ratio_ins!$C:$C,MATCH('001_population_health_zone_zs'!$B495,[1]ratio_ins!$B:$B,0))</f>
        <v>7176.3474240000005</v>
      </c>
      <c r="S495" s="10">
        <f>INDEX([1]ratio_ins!Q:Q,MATCH('001_population_health_zone_zs'!$B$2,[1]ratio_ins!$B:$B,0))*$G495*INDEX([1]ratio_ins!$C:$C,MATCH('001_population_health_zone_zs'!$B495,[1]ratio_ins!$B:$B,0))</f>
        <v>6043.2399360000009</v>
      </c>
      <c r="T495" s="10">
        <f>INDEX([1]ratio_ins!R:R,MATCH('001_population_health_zone_zs'!$B$2,[1]ratio_ins!$B:$B,0))*$G495*INDEX([1]ratio_ins!$C:$C,MATCH('001_population_health_zone_zs'!$B495,[1]ratio_ins!$B:$B,0))</f>
        <v>4280.6282880000008</v>
      </c>
      <c r="U495" s="10">
        <f>INDEX([1]ratio_ins!S:S,MATCH('001_population_health_zone_zs'!$B$2,[1]ratio_ins!$B:$B,0))*$G495*INDEX([1]ratio_ins!$C:$C,MATCH('001_population_health_zone_zs'!$B495,[1]ratio_ins!$B:$B,0))</f>
        <v>3399.3224640000008</v>
      </c>
      <c r="V495" s="10">
        <f>INDEX([1]ratio_ins!T:T,MATCH('001_population_health_zone_zs'!$B$2,[1]ratio_ins!$B:$B,0))*$G495*INDEX([1]ratio_ins!$C:$C,MATCH('001_population_health_zone_zs'!$B495,[1]ratio_ins!$B:$B,0))</f>
        <v>1888.5124800000003</v>
      </c>
      <c r="W495" s="11">
        <f>INDEX([1]ratio_ins!U:U,MATCH('001_population_health_zone_zs'!$B$2,[1]ratio_ins!$B:$B,0))*$G495*INDEX([1]ratio_ins!$C:$C,MATCH('001_population_health_zone_zs'!$B495,[1]ratio_ins!$B:$B,0))</f>
        <v>51518.620454400007</v>
      </c>
      <c r="X495" s="10">
        <f>INDEX([1]ratio_ins!V:V,MATCH('001_population_health_zone_zs'!$B$2,[1]ratio_ins!$B:$B,0))*$G495*INDEX([1]ratio_ins!$C:$C,MATCH('001_population_health_zone_zs'!$B495,[1]ratio_ins!$B:$B,0))</f>
        <v>1510.8099840000002</v>
      </c>
      <c r="Y495" s="10">
        <f>INDEX([1]ratio_ins!W:W,MATCH('001_population_health_zone_zs'!$B$2,[1]ratio_ins!$B:$B,0))*$G495*INDEX([1]ratio_ins!$C:$C,MATCH('001_population_health_zone_zs'!$B495,[1]ratio_ins!$B:$B,0))</f>
        <v>1007.2066560000002</v>
      </c>
      <c r="Z495" s="10">
        <f>INDEX([1]ratio_ins!X:X,MATCH('001_population_health_zone_zs'!$B$2,[1]ratio_ins!$B:$B,0))*$G495*INDEX([1]ratio_ins!$C:$C,MATCH('001_population_health_zone_zs'!$B495,[1]ratio_ins!$B:$B,0))</f>
        <v>503.60332800000009</v>
      </c>
      <c r="AA495" s="10">
        <f>INDEX([1]ratio_ins!Y:Y,MATCH('001_population_health_zone_zs'!$B$2,[1]ratio_ins!$B:$B,0))*$G495*INDEX([1]ratio_ins!$C:$C,MATCH('001_population_health_zone_zs'!$B495,[1]ratio_ins!$B:$B,0))</f>
        <v>251.80166400000005</v>
      </c>
      <c r="AB495" s="11">
        <f>INDEX([1]ratio_ins!Z:Z,MATCH('001_population_health_zone_zs'!$B$2,[1]ratio_ins!$B:$B,0))*$G495*INDEX([1]ratio_ins!$C:$C,MATCH('001_population_health_zone_zs'!$B495,[1]ratio_ins!$B:$B,0))</f>
        <v>3273.4216320000005</v>
      </c>
      <c r="AC495" s="12">
        <f t="shared" si="42"/>
        <v>125900.83199999999</v>
      </c>
      <c r="AD495" s="10">
        <f>INDEX([1]ratio_ins!AA:AA,MATCH('001_population_health_zone_zs'!$B$2,[1]ratio_ins!$B:$B,0))*$G495*INDEX([1]ratio_ins!$D:$D,MATCH('001_population_health_zone_zs'!$B495,[1]ratio_ins!$B:$B,0))</f>
        <v>27298.985279999997</v>
      </c>
      <c r="AE495" s="10">
        <f>INDEX([1]ratio_ins!AB:AB,MATCH('001_population_health_zone_zs'!$B$2,[1]ratio_ins!$B:$B,0))*$G495*INDEX([1]ratio_ins!$D:$D,MATCH('001_population_health_zone_zs'!$B495,[1]ratio_ins!$B:$B,0))</f>
        <v>22489.164064000001</v>
      </c>
      <c r="AF495" s="10">
        <f>INDEX([1]ratio_ins!AC:AC,MATCH('001_population_health_zone_zs'!$B$2,[1]ratio_ins!$B:$B,0))*$G495*INDEX([1]ratio_ins!$D:$D,MATCH('001_population_health_zone_zs'!$B495,[1]ratio_ins!$B:$B,0))</f>
        <v>17809.338015999998</v>
      </c>
      <c r="AG495" s="10">
        <f>INDEX([1]ratio_ins!AD:AD,MATCH('001_population_health_zone_zs'!$B$2,[1]ratio_ins!$B:$B,0))*$G495*INDEX([1]ratio_ins!$D:$D,MATCH('001_population_health_zone_zs'!$B495,[1]ratio_ins!$B:$B,0))</f>
        <v>10789.598944000001</v>
      </c>
      <c r="AH495" s="10">
        <f>INDEX([1]ratio_ins!AE:AE,MATCH('001_population_health_zone_zs'!$B$2,[1]ratio_ins!$B:$B,0))*$G495*INDEX([1]ratio_ins!$D:$D,MATCH('001_population_health_zone_zs'!$B495,[1]ratio_ins!$B:$B,0))</f>
        <v>6473.7593663999996</v>
      </c>
      <c r="AI495" s="13">
        <f>INDEX([1]ratio_ins!AF:AF,MATCH('001_population_health_zone_zs'!$B$2,[1]ratio_ins!$B:$B,0))*$G495*INDEX([1]ratio_ins!$D:$D,MATCH('001_population_health_zone_zs'!$B495,[1]ratio_ins!$B:$B,0))</f>
        <v>74071.246726400001</v>
      </c>
      <c r="AJ495" s="10">
        <f>INDEX([1]ratio_ins!AG:AG,MATCH('001_population_health_zone_zs'!$B$2,[1]ratio_ins!$B:$B,0))*$G495*INDEX([1]ratio_ins!$D:$D,MATCH('001_population_health_zone_zs'!$B495,[1]ratio_ins!$B:$B,0))</f>
        <v>4315.8395775999998</v>
      </c>
      <c r="AK495" s="10">
        <f>INDEX([1]ratio_ins!AH:AH,MATCH('001_population_health_zone_zs'!$B$2,[1]ratio_ins!$B:$B,0))*$G495*INDEX([1]ratio_ins!$D:$D,MATCH('001_population_health_zone_zs'!$B495,[1]ratio_ins!$B:$B,0))</f>
        <v>9619.6424320000024</v>
      </c>
      <c r="AL495" s="10">
        <f>INDEX([1]ratio_ins!AI:AI,MATCH('001_population_health_zone_zs'!$B$2,[1]ratio_ins!$B:$B,0))*$G495*INDEX([1]ratio_ins!$D:$D,MATCH('001_population_health_zone_zs'!$B495,[1]ratio_ins!$B:$B,0))</f>
        <v>9099.6617600000009</v>
      </c>
      <c r="AM495" s="10">
        <f>INDEX([1]ratio_ins!AJ:AJ,MATCH('001_population_health_zone_zs'!$B$2,[1]ratio_ins!$B:$B,0))*$G495*INDEX([1]ratio_ins!$D:$D,MATCH('001_population_health_zone_zs'!$B495,[1]ratio_ins!$B:$B,0))</f>
        <v>8319.6907520000004</v>
      </c>
      <c r="AN495" s="10">
        <f>INDEX([1]ratio_ins!AK:AK,MATCH('001_population_health_zone_zs'!$B$2,[1]ratio_ins!$B:$B,0))*$G495*INDEX([1]ratio_ins!$D:$D,MATCH('001_population_health_zone_zs'!$B495,[1]ratio_ins!$B:$B,0))</f>
        <v>7799.7100799999998</v>
      </c>
      <c r="AO495" s="10">
        <f>INDEX([1]ratio_ins!AL:AL,MATCH('001_population_health_zone_zs'!$B$2,[1]ratio_ins!$B:$B,0))*$G495*INDEX([1]ratio_ins!$D:$D,MATCH('001_population_health_zone_zs'!$B495,[1]ratio_ins!$B:$B,0))</f>
        <v>5849.7825599999996</v>
      </c>
      <c r="AP495" s="10">
        <f>INDEX([1]ratio_ins!AM:AM,MATCH('001_population_health_zone_zs'!$B$2,[1]ratio_ins!$B:$B,0))*$G495*INDEX([1]ratio_ins!$D:$D,MATCH('001_population_health_zone_zs'!$B495,[1]ratio_ins!$B:$B,0))</f>
        <v>3769.859872</v>
      </c>
      <c r="AQ495" s="10">
        <f>INDEX([1]ratio_ins!AN:AN,MATCH('001_population_health_zone_zs'!$B$2,[1]ratio_ins!$B:$B,0))*$G495*INDEX([1]ratio_ins!$D:$D,MATCH('001_population_health_zone_zs'!$B495,[1]ratio_ins!$B:$B,0))</f>
        <v>2989.888864</v>
      </c>
      <c r="AR495" s="10">
        <f>INDEX([1]ratio_ins!AO:AO,MATCH('001_population_health_zone_zs'!$B$2,[1]ratio_ins!$B:$B,0))*$G495*INDEX([1]ratio_ins!$D:$D,MATCH('001_population_health_zone_zs'!$B495,[1]ratio_ins!$B:$B,0))</f>
        <v>1429.946848</v>
      </c>
      <c r="AS495" s="13">
        <f>INDEX([1]ratio_ins!AP:AP,MATCH('001_population_health_zone_zs'!$B$2,[1]ratio_ins!$B:$B,0))*$G495*INDEX([1]ratio_ins!$D:$D,MATCH('001_population_health_zone_zs'!$B495,[1]ratio_ins!$B:$B,0))</f>
        <v>53194.022745600007</v>
      </c>
      <c r="AT495" s="10">
        <f>INDEX([1]ratio_ins!AQ:AQ,MATCH('001_population_health_zone_zs'!$B$2,[1]ratio_ins!$B:$B,0))*$G495*INDEX([1]ratio_ins!$D:$D,MATCH('001_population_health_zone_zs'!$B495,[1]ratio_ins!$B:$B,0))</f>
        <v>1299.9516800000001</v>
      </c>
      <c r="AU495" s="10">
        <f>INDEX([1]ratio_ins!AR:AR,MATCH('001_population_health_zone_zs'!$B$2,[1]ratio_ins!$B:$B,0))*$G495*INDEX([1]ratio_ins!$D:$D,MATCH('001_population_health_zone_zs'!$B495,[1]ratio_ins!$B:$B,0))</f>
        <v>779.97100799999998</v>
      </c>
      <c r="AV495" s="10">
        <f>INDEX([1]ratio_ins!AS:AS,MATCH('001_population_health_zone_zs'!$B$2,[1]ratio_ins!$B:$B,0))*$G495*INDEX([1]ratio_ins!$D:$D,MATCH('001_population_health_zone_zs'!$B495,[1]ratio_ins!$B:$B,0))</f>
        <v>389.98550399999999</v>
      </c>
      <c r="AW495" s="10">
        <f>INDEX([1]ratio_ins!AT:AT,MATCH('001_population_health_zone_zs'!$B$2,[1]ratio_ins!$B:$B,0))*$G495*INDEX([1]ratio_ins!$D:$D,MATCH('001_population_health_zone_zs'!$B495,[1]ratio_ins!$B:$B,0))</f>
        <v>259.99033600000001</v>
      </c>
      <c r="AX495" s="13">
        <f>INDEX([1]ratio_ins!AU:AU,MATCH('001_population_health_zone_zs'!$B$2,[1]ratio_ins!$B:$B,0))*$G495*INDEX([1]ratio_ins!$D:$D,MATCH('001_population_health_zone_zs'!$B495,[1]ratio_ins!$B:$B,0))</f>
        <v>2729.8985279999997</v>
      </c>
      <c r="AY495" s="14">
        <f t="shared" si="43"/>
        <v>129995.16800000002</v>
      </c>
      <c r="AZ495" s="15">
        <f t="shared" si="44"/>
        <v>255896</v>
      </c>
      <c r="BA495" s="16">
        <v>246392.59673386085</v>
      </c>
      <c r="BB495" s="10">
        <f t="shared" si="45"/>
        <v>55247.946400000001</v>
      </c>
      <c r="BC495" s="17">
        <f t="shared" si="46"/>
        <v>0.21590000000000001</v>
      </c>
      <c r="BD495" s="10">
        <f t="shared" si="47"/>
        <v>52500.646944</v>
      </c>
    </row>
    <row r="496" spans="1:56" x14ac:dyDescent="0.25">
      <c r="A496" s="8" t="s">
        <v>1178</v>
      </c>
      <c r="B496" s="8" t="s">
        <v>1179</v>
      </c>
      <c r="C496" s="8" t="s">
        <v>1223</v>
      </c>
      <c r="D496" s="8" t="s">
        <v>1224</v>
      </c>
      <c r="E496" s="8" t="s">
        <v>1225</v>
      </c>
      <c r="F496" s="8" t="s">
        <v>1226</v>
      </c>
      <c r="G496" s="9">
        <v>292222</v>
      </c>
      <c r="H496" s="10">
        <f>INDEX([1]ratio_ins!F:F,MATCH('001_population_health_zone_zs'!$B$2,[1]ratio_ins!$B:$B,0))*$G496*INDEX([1]ratio_ins!$C:$C,MATCH('001_population_health_zone_zs'!$B496,[1]ratio_ins!$B:$B,0))</f>
        <v>30048.603816000003</v>
      </c>
      <c r="I496" s="10">
        <f>INDEX([1]ratio_ins!G:G,MATCH('001_population_health_zone_zs'!$B$2,[1]ratio_ins!$B:$B,0))*$G496*INDEX([1]ratio_ins!$C:$C,MATCH('001_population_health_zone_zs'!$B496,[1]ratio_ins!$B:$B,0))</f>
        <v>24585.221304000006</v>
      </c>
      <c r="J496" s="10">
        <f>INDEX([1]ratio_ins!H:H,MATCH('001_population_health_zone_zs'!$B$2,[1]ratio_ins!$B:$B,0))*$G496*INDEX([1]ratio_ins!$C:$C,MATCH('001_population_health_zone_zs'!$B496,[1]ratio_ins!$B:$B,0))</f>
        <v>19409.385240000003</v>
      </c>
      <c r="K496" s="10">
        <f>INDEX([1]ratio_ins!I:I,MATCH('001_population_health_zone_zs'!$B$2,[1]ratio_ins!$B:$B,0))*$G496*INDEX([1]ratio_ins!$C:$C,MATCH('001_population_health_zone_zs'!$B496,[1]ratio_ins!$B:$B,0))</f>
        <v>11933.177592000002</v>
      </c>
      <c r="L496" s="10">
        <f>INDEX([1]ratio_ins!J:J,MATCH('001_population_health_zone_zs'!$B$2,[1]ratio_ins!$B:$B,0))*$G496*INDEX([1]ratio_ins!$C:$C,MATCH('001_population_health_zone_zs'!$B496,[1]ratio_ins!$B:$B,0))</f>
        <v>7159.9065552000002</v>
      </c>
      <c r="M496" s="11">
        <f>INDEX([1]ratio_ins!K:K,MATCH('001_population_health_zone_zs'!$B$2,[1]ratio_ins!$B:$B,0))*$G496*INDEX([1]ratio_ins!$C:$C,MATCH('001_population_health_zone_zs'!$B496,[1]ratio_ins!$B:$B,0))</f>
        <v>81203.116915200007</v>
      </c>
      <c r="N496" s="10">
        <f>INDEX([1]ratio_ins!L:L,MATCH('001_population_health_zone_zs'!$B$2,[1]ratio_ins!$B:$B,0))*$G496*INDEX([1]ratio_ins!$C:$C,MATCH('001_population_health_zone_zs'!$B496,[1]ratio_ins!$B:$B,0))</f>
        <v>4773.2710367999998</v>
      </c>
      <c r="O496" s="10">
        <f>INDEX([1]ratio_ins!M:M,MATCH('001_population_health_zone_zs'!$B$2,[1]ratio_ins!$B:$B,0))*$G496*INDEX([1]ratio_ins!$C:$C,MATCH('001_population_health_zone_zs'!$B496,[1]ratio_ins!$B:$B,0))</f>
        <v>10351.672128000004</v>
      </c>
      <c r="P496" s="10">
        <f>INDEX([1]ratio_ins!N:N,MATCH('001_population_health_zone_zs'!$B$2,[1]ratio_ins!$B:$B,0))*$G496*INDEX([1]ratio_ins!$C:$C,MATCH('001_population_health_zone_zs'!$B496,[1]ratio_ins!$B:$B,0))</f>
        <v>9345.2595600000004</v>
      </c>
      <c r="Q496" s="10">
        <f>INDEX([1]ratio_ins!O:O,MATCH('001_population_health_zone_zs'!$B$2,[1]ratio_ins!$B:$B,0))*$G496*INDEX([1]ratio_ins!$C:$C,MATCH('001_population_health_zone_zs'!$B496,[1]ratio_ins!$B:$B,0))</f>
        <v>8338.8469920000007</v>
      </c>
      <c r="R496" s="10">
        <f>INDEX([1]ratio_ins!P:P,MATCH('001_population_health_zone_zs'!$B$2,[1]ratio_ins!$B:$B,0))*$G496*INDEX([1]ratio_ins!$C:$C,MATCH('001_population_health_zone_zs'!$B496,[1]ratio_ins!$B:$B,0))</f>
        <v>8195.073768000002</v>
      </c>
      <c r="S496" s="10">
        <f>INDEX([1]ratio_ins!Q:Q,MATCH('001_population_health_zone_zs'!$B$2,[1]ratio_ins!$B:$B,0))*$G496*INDEX([1]ratio_ins!$C:$C,MATCH('001_population_health_zone_zs'!$B496,[1]ratio_ins!$B:$B,0))</f>
        <v>6901.1147520000013</v>
      </c>
      <c r="T496" s="10">
        <f>INDEX([1]ratio_ins!R:R,MATCH('001_population_health_zone_zs'!$B$2,[1]ratio_ins!$B:$B,0))*$G496*INDEX([1]ratio_ins!$C:$C,MATCH('001_population_health_zone_zs'!$B496,[1]ratio_ins!$B:$B,0))</f>
        <v>4888.2896160000009</v>
      </c>
      <c r="U496" s="10">
        <f>INDEX([1]ratio_ins!S:S,MATCH('001_population_health_zone_zs'!$B$2,[1]ratio_ins!$B:$B,0))*$G496*INDEX([1]ratio_ins!$C:$C,MATCH('001_population_health_zone_zs'!$B496,[1]ratio_ins!$B:$B,0))</f>
        <v>3881.8770480000007</v>
      </c>
      <c r="V496" s="10">
        <f>INDEX([1]ratio_ins!T:T,MATCH('001_population_health_zone_zs'!$B$2,[1]ratio_ins!$B:$B,0))*$G496*INDEX([1]ratio_ins!$C:$C,MATCH('001_population_health_zone_zs'!$B496,[1]ratio_ins!$B:$B,0))</f>
        <v>2156.59836</v>
      </c>
      <c r="W496" s="11">
        <f>INDEX([1]ratio_ins!U:U,MATCH('001_population_health_zone_zs'!$B$2,[1]ratio_ins!$B:$B,0))*$G496*INDEX([1]ratio_ins!$C:$C,MATCH('001_population_health_zone_zs'!$B496,[1]ratio_ins!$B:$B,0))</f>
        <v>58832.003260800004</v>
      </c>
      <c r="X496" s="10">
        <f>INDEX([1]ratio_ins!V:V,MATCH('001_population_health_zone_zs'!$B$2,[1]ratio_ins!$B:$B,0))*$G496*INDEX([1]ratio_ins!$C:$C,MATCH('001_population_health_zone_zs'!$B496,[1]ratio_ins!$B:$B,0))</f>
        <v>1725.2786880000003</v>
      </c>
      <c r="Y496" s="10">
        <f>INDEX([1]ratio_ins!W:W,MATCH('001_population_health_zone_zs'!$B$2,[1]ratio_ins!$B:$B,0))*$G496*INDEX([1]ratio_ins!$C:$C,MATCH('001_population_health_zone_zs'!$B496,[1]ratio_ins!$B:$B,0))</f>
        <v>1150.185792</v>
      </c>
      <c r="Z496" s="10">
        <f>INDEX([1]ratio_ins!X:X,MATCH('001_population_health_zone_zs'!$B$2,[1]ratio_ins!$B:$B,0))*$G496*INDEX([1]ratio_ins!$C:$C,MATCH('001_population_health_zone_zs'!$B496,[1]ratio_ins!$B:$B,0))</f>
        <v>575.092896</v>
      </c>
      <c r="AA496" s="10">
        <f>INDEX([1]ratio_ins!Y:Y,MATCH('001_population_health_zone_zs'!$B$2,[1]ratio_ins!$B:$B,0))*$G496*INDEX([1]ratio_ins!$C:$C,MATCH('001_population_health_zone_zs'!$B496,[1]ratio_ins!$B:$B,0))</f>
        <v>287.546448</v>
      </c>
      <c r="AB496" s="11">
        <f>INDEX([1]ratio_ins!Z:Z,MATCH('001_population_health_zone_zs'!$B$2,[1]ratio_ins!$B:$B,0))*$G496*INDEX([1]ratio_ins!$C:$C,MATCH('001_population_health_zone_zs'!$B496,[1]ratio_ins!$B:$B,0))</f>
        <v>3738.1038240000007</v>
      </c>
      <c r="AC496" s="12">
        <f t="shared" si="42"/>
        <v>143773.22399999999</v>
      </c>
      <c r="AD496" s="10">
        <f>INDEX([1]ratio_ins!AA:AA,MATCH('001_population_health_zone_zs'!$B$2,[1]ratio_ins!$B:$B,0))*$G496*INDEX([1]ratio_ins!$D:$D,MATCH('001_population_health_zone_zs'!$B496,[1]ratio_ins!$B:$B,0))</f>
        <v>31174.24296</v>
      </c>
      <c r="AE496" s="10">
        <f>INDEX([1]ratio_ins!AB:AB,MATCH('001_population_health_zone_zs'!$B$2,[1]ratio_ins!$B:$B,0))*$G496*INDEX([1]ratio_ins!$D:$D,MATCH('001_population_health_zone_zs'!$B496,[1]ratio_ins!$B:$B,0))</f>
        <v>25681.638248000003</v>
      </c>
      <c r="AF496" s="10">
        <f>INDEX([1]ratio_ins!AC:AC,MATCH('001_population_health_zone_zs'!$B$2,[1]ratio_ins!$B:$B,0))*$G496*INDEX([1]ratio_ins!$D:$D,MATCH('001_population_health_zone_zs'!$B496,[1]ratio_ins!$B:$B,0))</f>
        <v>20337.482312</v>
      </c>
      <c r="AG496" s="10">
        <f>INDEX([1]ratio_ins!AD:AD,MATCH('001_population_health_zone_zs'!$B$2,[1]ratio_ins!$B:$B,0))*$G496*INDEX([1]ratio_ins!$D:$D,MATCH('001_population_health_zone_zs'!$B496,[1]ratio_ins!$B:$B,0))</f>
        <v>12321.248407999999</v>
      </c>
      <c r="AH496" s="10">
        <f>INDEX([1]ratio_ins!AE:AE,MATCH('001_population_health_zone_zs'!$B$2,[1]ratio_ins!$B:$B,0))*$G496*INDEX([1]ratio_ins!$D:$D,MATCH('001_population_health_zone_zs'!$B496,[1]ratio_ins!$B:$B,0))</f>
        <v>7392.749044799999</v>
      </c>
      <c r="AI496" s="13">
        <f>INDEX([1]ratio_ins!AF:AF,MATCH('001_population_health_zone_zs'!$B$2,[1]ratio_ins!$B:$B,0))*$G496*INDEX([1]ratio_ins!$D:$D,MATCH('001_population_health_zone_zs'!$B496,[1]ratio_ins!$B:$B,0))</f>
        <v>84586.112564800002</v>
      </c>
      <c r="AJ496" s="10">
        <f>INDEX([1]ratio_ins!AG:AG,MATCH('001_population_health_zone_zs'!$B$2,[1]ratio_ins!$B:$B,0))*$G496*INDEX([1]ratio_ins!$D:$D,MATCH('001_population_health_zone_zs'!$B496,[1]ratio_ins!$B:$B,0))</f>
        <v>4928.4993631999996</v>
      </c>
      <c r="AK496" s="10">
        <f>INDEX([1]ratio_ins!AH:AH,MATCH('001_population_health_zone_zs'!$B$2,[1]ratio_ins!$B:$B,0))*$G496*INDEX([1]ratio_ins!$D:$D,MATCH('001_population_health_zone_zs'!$B496,[1]ratio_ins!$B:$B,0))</f>
        <v>10985.209424000002</v>
      </c>
      <c r="AL496" s="10">
        <f>INDEX([1]ratio_ins!AI:AI,MATCH('001_population_health_zone_zs'!$B$2,[1]ratio_ins!$B:$B,0))*$G496*INDEX([1]ratio_ins!$D:$D,MATCH('001_population_health_zone_zs'!$B496,[1]ratio_ins!$B:$B,0))</f>
        <v>10391.41432</v>
      </c>
      <c r="AM496" s="10">
        <f>INDEX([1]ratio_ins!AJ:AJ,MATCH('001_population_health_zone_zs'!$B$2,[1]ratio_ins!$B:$B,0))*$G496*INDEX([1]ratio_ins!$D:$D,MATCH('001_population_health_zone_zs'!$B496,[1]ratio_ins!$B:$B,0))</f>
        <v>9500.7216639999988</v>
      </c>
      <c r="AN496" s="10">
        <f>INDEX([1]ratio_ins!AK:AK,MATCH('001_population_health_zone_zs'!$B$2,[1]ratio_ins!$B:$B,0))*$G496*INDEX([1]ratio_ins!$D:$D,MATCH('001_population_health_zone_zs'!$B496,[1]ratio_ins!$B:$B,0))</f>
        <v>8906.9265599999999</v>
      </c>
      <c r="AO496" s="10">
        <f>INDEX([1]ratio_ins!AL:AL,MATCH('001_population_health_zone_zs'!$B$2,[1]ratio_ins!$B:$B,0))*$G496*INDEX([1]ratio_ins!$D:$D,MATCH('001_population_health_zone_zs'!$B496,[1]ratio_ins!$B:$B,0))</f>
        <v>6680.1949199999999</v>
      </c>
      <c r="AP496" s="10">
        <f>INDEX([1]ratio_ins!AM:AM,MATCH('001_population_health_zone_zs'!$B$2,[1]ratio_ins!$B:$B,0))*$G496*INDEX([1]ratio_ins!$D:$D,MATCH('001_population_health_zone_zs'!$B496,[1]ratio_ins!$B:$B,0))</f>
        <v>4305.0145039999998</v>
      </c>
      <c r="AQ496" s="10">
        <f>INDEX([1]ratio_ins!AN:AN,MATCH('001_population_health_zone_zs'!$B$2,[1]ratio_ins!$B:$B,0))*$G496*INDEX([1]ratio_ins!$D:$D,MATCH('001_population_health_zone_zs'!$B496,[1]ratio_ins!$B:$B,0))</f>
        <v>3414.321848</v>
      </c>
      <c r="AR496" s="10">
        <f>INDEX([1]ratio_ins!AO:AO,MATCH('001_population_health_zone_zs'!$B$2,[1]ratio_ins!$B:$B,0))*$G496*INDEX([1]ratio_ins!$D:$D,MATCH('001_population_health_zone_zs'!$B496,[1]ratio_ins!$B:$B,0))</f>
        <v>1632.9365360000002</v>
      </c>
      <c r="AS496" s="13">
        <f>INDEX([1]ratio_ins!AP:AP,MATCH('001_population_health_zone_zs'!$B$2,[1]ratio_ins!$B:$B,0))*$G496*INDEX([1]ratio_ins!$D:$D,MATCH('001_population_health_zone_zs'!$B496,[1]ratio_ins!$B:$B,0))</f>
        <v>60745.239139199999</v>
      </c>
      <c r="AT496" s="10">
        <f>INDEX([1]ratio_ins!AQ:AQ,MATCH('001_population_health_zone_zs'!$B$2,[1]ratio_ins!$B:$B,0))*$G496*INDEX([1]ratio_ins!$D:$D,MATCH('001_population_health_zone_zs'!$B496,[1]ratio_ins!$B:$B,0))</f>
        <v>1484.4877600000002</v>
      </c>
      <c r="AU496" s="10">
        <f>INDEX([1]ratio_ins!AR:AR,MATCH('001_population_health_zone_zs'!$B$2,[1]ratio_ins!$B:$B,0))*$G496*INDEX([1]ratio_ins!$D:$D,MATCH('001_population_health_zone_zs'!$B496,[1]ratio_ins!$B:$B,0))</f>
        <v>890.69265600000006</v>
      </c>
      <c r="AV496" s="10">
        <f>INDEX([1]ratio_ins!AS:AS,MATCH('001_population_health_zone_zs'!$B$2,[1]ratio_ins!$B:$B,0))*$G496*INDEX([1]ratio_ins!$D:$D,MATCH('001_population_health_zone_zs'!$B496,[1]ratio_ins!$B:$B,0))</f>
        <v>445.34632800000003</v>
      </c>
      <c r="AW496" s="10">
        <f>INDEX([1]ratio_ins!AT:AT,MATCH('001_population_health_zone_zs'!$B$2,[1]ratio_ins!$B:$B,0))*$G496*INDEX([1]ratio_ins!$D:$D,MATCH('001_population_health_zone_zs'!$B496,[1]ratio_ins!$B:$B,0))</f>
        <v>296.89755199999996</v>
      </c>
      <c r="AX496" s="13">
        <f>INDEX([1]ratio_ins!AU:AU,MATCH('001_population_health_zone_zs'!$B$2,[1]ratio_ins!$B:$B,0))*$G496*INDEX([1]ratio_ins!$D:$D,MATCH('001_population_health_zone_zs'!$B496,[1]ratio_ins!$B:$B,0))</f>
        <v>3117.4242959999997</v>
      </c>
      <c r="AY496" s="14">
        <f t="shared" si="43"/>
        <v>148448.77600000001</v>
      </c>
      <c r="AZ496" s="15">
        <f t="shared" si="44"/>
        <v>292222</v>
      </c>
      <c r="BA496" s="16">
        <v>281370.31663576904</v>
      </c>
      <c r="BB496" s="10">
        <f t="shared" si="45"/>
        <v>63090.729799999994</v>
      </c>
      <c r="BC496" s="17">
        <f t="shared" si="46"/>
        <v>0.21589999999999998</v>
      </c>
      <c r="BD496" s="10">
        <f t="shared" si="47"/>
        <v>59953.434408000008</v>
      </c>
    </row>
    <row r="497" spans="1:56" x14ac:dyDescent="0.25">
      <c r="A497" s="8" t="s">
        <v>1178</v>
      </c>
      <c r="B497" s="8" t="s">
        <v>1179</v>
      </c>
      <c r="C497" s="8" t="s">
        <v>1223</v>
      </c>
      <c r="D497" s="8" t="s">
        <v>1224</v>
      </c>
      <c r="E497" s="8" t="s">
        <v>1223</v>
      </c>
      <c r="F497" s="8" t="s">
        <v>1227</v>
      </c>
      <c r="G497" s="9">
        <v>331977</v>
      </c>
      <c r="H497" s="10">
        <f>INDEX([1]ratio_ins!F:F,MATCH('001_population_health_zone_zs'!$B$2,[1]ratio_ins!$B:$B,0))*$G497*INDEX([1]ratio_ins!$C:$C,MATCH('001_population_health_zone_zs'!$B497,[1]ratio_ins!$B:$B,0))</f>
        <v>34136.530956000002</v>
      </c>
      <c r="I497" s="10">
        <f>INDEX([1]ratio_ins!G:G,MATCH('001_population_health_zone_zs'!$B$2,[1]ratio_ins!$B:$B,0))*$G497*INDEX([1]ratio_ins!$C:$C,MATCH('001_population_health_zone_zs'!$B497,[1]ratio_ins!$B:$B,0))</f>
        <v>27929.888964000005</v>
      </c>
      <c r="J497" s="10">
        <f>INDEX([1]ratio_ins!H:H,MATCH('001_population_health_zone_zs'!$B$2,[1]ratio_ins!$B:$B,0))*$G497*INDEX([1]ratio_ins!$C:$C,MATCH('001_population_health_zone_zs'!$B497,[1]ratio_ins!$B:$B,0))</f>
        <v>22049.912340000003</v>
      </c>
      <c r="K497" s="10">
        <f>INDEX([1]ratio_ins!I:I,MATCH('001_population_health_zone_zs'!$B$2,[1]ratio_ins!$B:$B,0))*$G497*INDEX([1]ratio_ins!$C:$C,MATCH('001_population_health_zone_zs'!$B497,[1]ratio_ins!$B:$B,0))</f>
        <v>13556.612772000002</v>
      </c>
      <c r="L497" s="10">
        <f>INDEX([1]ratio_ins!J:J,MATCH('001_population_health_zone_zs'!$B$2,[1]ratio_ins!$B:$B,0))*$G497*INDEX([1]ratio_ins!$C:$C,MATCH('001_population_health_zone_zs'!$B497,[1]ratio_ins!$B:$B,0))</f>
        <v>8133.9676631999992</v>
      </c>
      <c r="M497" s="11">
        <f>INDEX([1]ratio_ins!K:K,MATCH('001_population_health_zone_zs'!$B$2,[1]ratio_ins!$B:$B,0))*$G497*INDEX([1]ratio_ins!$C:$C,MATCH('001_population_health_zone_zs'!$B497,[1]ratio_ins!$B:$B,0))</f>
        <v>92250.2999232</v>
      </c>
      <c r="N497" s="10">
        <f>INDEX([1]ratio_ins!L:L,MATCH('001_population_health_zone_zs'!$B$2,[1]ratio_ins!$B:$B,0))*$G497*INDEX([1]ratio_ins!$C:$C,MATCH('001_population_health_zone_zs'!$B497,[1]ratio_ins!$B:$B,0))</f>
        <v>5422.6451088000003</v>
      </c>
      <c r="O497" s="10">
        <f>INDEX([1]ratio_ins!M:M,MATCH('001_population_health_zone_zs'!$B$2,[1]ratio_ins!$B:$B,0))*$G497*INDEX([1]ratio_ins!$C:$C,MATCH('001_population_health_zone_zs'!$B497,[1]ratio_ins!$B:$B,0))</f>
        <v>11759.953248000003</v>
      </c>
      <c r="P497" s="10">
        <f>INDEX([1]ratio_ins!N:N,MATCH('001_population_health_zone_zs'!$B$2,[1]ratio_ins!$B:$B,0))*$G497*INDEX([1]ratio_ins!$C:$C,MATCH('001_population_health_zone_zs'!$B497,[1]ratio_ins!$B:$B,0))</f>
        <v>10616.624460000001</v>
      </c>
      <c r="Q497" s="10">
        <f>INDEX([1]ratio_ins!O:O,MATCH('001_population_health_zone_zs'!$B$2,[1]ratio_ins!$B:$B,0))*$G497*INDEX([1]ratio_ins!$C:$C,MATCH('001_population_health_zone_zs'!$B497,[1]ratio_ins!$B:$B,0))</f>
        <v>9473.2956720000002</v>
      </c>
      <c r="R497" s="10">
        <f>INDEX([1]ratio_ins!P:P,MATCH('001_population_health_zone_zs'!$B$2,[1]ratio_ins!$B:$B,0))*$G497*INDEX([1]ratio_ins!$C:$C,MATCH('001_population_health_zone_zs'!$B497,[1]ratio_ins!$B:$B,0))</f>
        <v>9309.9629880000011</v>
      </c>
      <c r="S497" s="10">
        <f>INDEX([1]ratio_ins!Q:Q,MATCH('001_population_health_zone_zs'!$B$2,[1]ratio_ins!$B:$B,0))*$G497*INDEX([1]ratio_ins!$C:$C,MATCH('001_population_health_zone_zs'!$B497,[1]ratio_ins!$B:$B,0))</f>
        <v>7839.9688320000014</v>
      </c>
      <c r="T497" s="10">
        <f>INDEX([1]ratio_ins!R:R,MATCH('001_population_health_zone_zs'!$B$2,[1]ratio_ins!$B:$B,0))*$G497*INDEX([1]ratio_ins!$C:$C,MATCH('001_population_health_zone_zs'!$B497,[1]ratio_ins!$B:$B,0))</f>
        <v>5553.3112560000009</v>
      </c>
      <c r="U497" s="10">
        <f>INDEX([1]ratio_ins!S:S,MATCH('001_population_health_zone_zs'!$B$2,[1]ratio_ins!$B:$B,0))*$G497*INDEX([1]ratio_ins!$C:$C,MATCH('001_population_health_zone_zs'!$B497,[1]ratio_ins!$B:$B,0))</f>
        <v>4409.9824680000011</v>
      </c>
      <c r="V497" s="10">
        <f>INDEX([1]ratio_ins!T:T,MATCH('001_population_health_zone_zs'!$B$2,[1]ratio_ins!$B:$B,0))*$G497*INDEX([1]ratio_ins!$C:$C,MATCH('001_population_health_zone_zs'!$B497,[1]ratio_ins!$B:$B,0))</f>
        <v>2449.99026</v>
      </c>
      <c r="W497" s="11">
        <f>INDEX([1]ratio_ins!U:U,MATCH('001_population_health_zone_zs'!$B$2,[1]ratio_ins!$B:$B,0))*$G497*INDEX([1]ratio_ins!$C:$C,MATCH('001_population_health_zone_zs'!$B497,[1]ratio_ins!$B:$B,0))</f>
        <v>66835.734292800014</v>
      </c>
      <c r="X497" s="10">
        <f>INDEX([1]ratio_ins!V:V,MATCH('001_population_health_zone_zs'!$B$2,[1]ratio_ins!$B:$B,0))*$G497*INDEX([1]ratio_ins!$C:$C,MATCH('001_population_health_zone_zs'!$B497,[1]ratio_ins!$B:$B,0))</f>
        <v>1959.9922080000003</v>
      </c>
      <c r="Y497" s="10">
        <f>INDEX([1]ratio_ins!W:W,MATCH('001_population_health_zone_zs'!$B$2,[1]ratio_ins!$B:$B,0))*$G497*INDEX([1]ratio_ins!$C:$C,MATCH('001_population_health_zone_zs'!$B497,[1]ratio_ins!$B:$B,0))</f>
        <v>1306.6614720000002</v>
      </c>
      <c r="Z497" s="10">
        <f>INDEX([1]ratio_ins!X:X,MATCH('001_population_health_zone_zs'!$B$2,[1]ratio_ins!$B:$B,0))*$G497*INDEX([1]ratio_ins!$C:$C,MATCH('001_population_health_zone_zs'!$B497,[1]ratio_ins!$B:$B,0))</f>
        <v>653.33073600000012</v>
      </c>
      <c r="AA497" s="10">
        <f>INDEX([1]ratio_ins!Y:Y,MATCH('001_population_health_zone_zs'!$B$2,[1]ratio_ins!$B:$B,0))*$G497*INDEX([1]ratio_ins!$C:$C,MATCH('001_population_health_zone_zs'!$B497,[1]ratio_ins!$B:$B,0))</f>
        <v>326.66536800000006</v>
      </c>
      <c r="AB497" s="11">
        <f>INDEX([1]ratio_ins!Z:Z,MATCH('001_population_health_zone_zs'!$B$2,[1]ratio_ins!$B:$B,0))*$G497*INDEX([1]ratio_ins!$C:$C,MATCH('001_population_health_zone_zs'!$B497,[1]ratio_ins!$B:$B,0))</f>
        <v>4246.6497840000002</v>
      </c>
      <c r="AC497" s="12">
        <f t="shared" si="42"/>
        <v>163332.68400000001</v>
      </c>
      <c r="AD497" s="10">
        <f>INDEX([1]ratio_ins!AA:AA,MATCH('001_population_health_zone_zs'!$B$2,[1]ratio_ins!$B:$B,0))*$G497*INDEX([1]ratio_ins!$D:$D,MATCH('001_population_health_zone_zs'!$B497,[1]ratio_ins!$B:$B,0))</f>
        <v>35415.306360000002</v>
      </c>
      <c r="AE497" s="10">
        <f>INDEX([1]ratio_ins!AB:AB,MATCH('001_population_health_zone_zs'!$B$2,[1]ratio_ins!$B:$B,0))*$G497*INDEX([1]ratio_ins!$D:$D,MATCH('001_population_health_zone_zs'!$B497,[1]ratio_ins!$B:$B,0))</f>
        <v>29175.466668000005</v>
      </c>
      <c r="AF497" s="10">
        <f>INDEX([1]ratio_ins!AC:AC,MATCH('001_population_health_zone_zs'!$B$2,[1]ratio_ins!$B:$B,0))*$G497*INDEX([1]ratio_ins!$D:$D,MATCH('001_population_health_zone_zs'!$B497,[1]ratio_ins!$B:$B,0))</f>
        <v>23104.271291999998</v>
      </c>
      <c r="AG497" s="10">
        <f>INDEX([1]ratio_ins!AD:AD,MATCH('001_population_health_zone_zs'!$B$2,[1]ratio_ins!$B:$B,0))*$G497*INDEX([1]ratio_ins!$D:$D,MATCH('001_population_health_zone_zs'!$B497,[1]ratio_ins!$B:$B,0))</f>
        <v>13997.478228</v>
      </c>
      <c r="AH497" s="10">
        <f>INDEX([1]ratio_ins!AE:AE,MATCH('001_population_health_zone_zs'!$B$2,[1]ratio_ins!$B:$B,0))*$G497*INDEX([1]ratio_ins!$D:$D,MATCH('001_population_health_zone_zs'!$B497,[1]ratio_ins!$B:$B,0))</f>
        <v>8398.4869367999981</v>
      </c>
      <c r="AI497" s="13">
        <f>INDEX([1]ratio_ins!AF:AF,MATCH('001_population_health_zone_zs'!$B$2,[1]ratio_ins!$B:$B,0))*$G497*INDEX([1]ratio_ins!$D:$D,MATCH('001_population_health_zone_zs'!$B497,[1]ratio_ins!$B:$B,0))</f>
        <v>96093.531256800008</v>
      </c>
      <c r="AJ497" s="10">
        <f>INDEX([1]ratio_ins!AG:AG,MATCH('001_population_health_zone_zs'!$B$2,[1]ratio_ins!$B:$B,0))*$G497*INDEX([1]ratio_ins!$D:$D,MATCH('001_population_health_zone_zs'!$B497,[1]ratio_ins!$B:$B,0))</f>
        <v>5598.9912912</v>
      </c>
      <c r="AK497" s="10">
        <f>INDEX([1]ratio_ins!AH:AH,MATCH('001_population_health_zone_zs'!$B$2,[1]ratio_ins!$B:$B,0))*$G497*INDEX([1]ratio_ins!$D:$D,MATCH('001_population_health_zone_zs'!$B497,[1]ratio_ins!$B:$B,0))</f>
        <v>12479.679384000001</v>
      </c>
      <c r="AL497" s="10">
        <f>INDEX([1]ratio_ins!AI:AI,MATCH('001_population_health_zone_zs'!$B$2,[1]ratio_ins!$B:$B,0))*$G497*INDEX([1]ratio_ins!$D:$D,MATCH('001_population_health_zone_zs'!$B497,[1]ratio_ins!$B:$B,0))</f>
        <v>11805.102120000001</v>
      </c>
      <c r="AM497" s="10">
        <f>INDEX([1]ratio_ins!AJ:AJ,MATCH('001_population_health_zone_zs'!$B$2,[1]ratio_ins!$B:$B,0))*$G497*INDEX([1]ratio_ins!$D:$D,MATCH('001_population_health_zone_zs'!$B497,[1]ratio_ins!$B:$B,0))</f>
        <v>10793.236224000002</v>
      </c>
      <c r="AN497" s="10">
        <f>INDEX([1]ratio_ins!AK:AK,MATCH('001_population_health_zone_zs'!$B$2,[1]ratio_ins!$B:$B,0))*$G497*INDEX([1]ratio_ins!$D:$D,MATCH('001_population_health_zone_zs'!$B497,[1]ratio_ins!$B:$B,0))</f>
        <v>10118.658959999999</v>
      </c>
      <c r="AO497" s="10">
        <f>INDEX([1]ratio_ins!AL:AL,MATCH('001_population_health_zone_zs'!$B$2,[1]ratio_ins!$B:$B,0))*$G497*INDEX([1]ratio_ins!$D:$D,MATCH('001_population_health_zone_zs'!$B497,[1]ratio_ins!$B:$B,0))</f>
        <v>7588.9942200000005</v>
      </c>
      <c r="AP497" s="10">
        <f>INDEX([1]ratio_ins!AM:AM,MATCH('001_population_health_zone_zs'!$B$2,[1]ratio_ins!$B:$B,0))*$G497*INDEX([1]ratio_ins!$D:$D,MATCH('001_population_health_zone_zs'!$B497,[1]ratio_ins!$B:$B,0))</f>
        <v>4890.6851639999995</v>
      </c>
      <c r="AQ497" s="10">
        <f>INDEX([1]ratio_ins!AN:AN,MATCH('001_population_health_zone_zs'!$B$2,[1]ratio_ins!$B:$B,0))*$G497*INDEX([1]ratio_ins!$D:$D,MATCH('001_population_health_zone_zs'!$B497,[1]ratio_ins!$B:$B,0))</f>
        <v>3878.8192679999997</v>
      </c>
      <c r="AR497" s="10">
        <f>INDEX([1]ratio_ins!AO:AO,MATCH('001_population_health_zone_zs'!$B$2,[1]ratio_ins!$B:$B,0))*$G497*INDEX([1]ratio_ins!$D:$D,MATCH('001_population_health_zone_zs'!$B497,[1]ratio_ins!$B:$B,0))</f>
        <v>1855.0874760000002</v>
      </c>
      <c r="AS497" s="13">
        <f>INDEX([1]ratio_ins!AP:AP,MATCH('001_population_health_zone_zs'!$B$2,[1]ratio_ins!$B:$B,0))*$G497*INDEX([1]ratio_ins!$D:$D,MATCH('001_population_health_zone_zs'!$B497,[1]ratio_ins!$B:$B,0))</f>
        <v>69009.254107200002</v>
      </c>
      <c r="AT497" s="10">
        <f>INDEX([1]ratio_ins!AQ:AQ,MATCH('001_population_health_zone_zs'!$B$2,[1]ratio_ins!$B:$B,0))*$G497*INDEX([1]ratio_ins!$D:$D,MATCH('001_population_health_zone_zs'!$B497,[1]ratio_ins!$B:$B,0))</f>
        <v>1686.44316</v>
      </c>
      <c r="AU497" s="10">
        <f>INDEX([1]ratio_ins!AR:AR,MATCH('001_population_health_zone_zs'!$B$2,[1]ratio_ins!$B:$B,0))*$G497*INDEX([1]ratio_ins!$D:$D,MATCH('001_population_health_zone_zs'!$B497,[1]ratio_ins!$B:$B,0))</f>
        <v>1011.865896</v>
      </c>
      <c r="AV497" s="10">
        <f>INDEX([1]ratio_ins!AS:AS,MATCH('001_population_health_zone_zs'!$B$2,[1]ratio_ins!$B:$B,0))*$G497*INDEX([1]ratio_ins!$D:$D,MATCH('001_population_health_zone_zs'!$B497,[1]ratio_ins!$B:$B,0))</f>
        <v>505.93294800000001</v>
      </c>
      <c r="AW497" s="10">
        <f>INDEX([1]ratio_ins!AT:AT,MATCH('001_population_health_zone_zs'!$B$2,[1]ratio_ins!$B:$B,0))*$G497*INDEX([1]ratio_ins!$D:$D,MATCH('001_population_health_zone_zs'!$B497,[1]ratio_ins!$B:$B,0))</f>
        <v>337.28863200000006</v>
      </c>
      <c r="AX497" s="13">
        <f>INDEX([1]ratio_ins!AU:AU,MATCH('001_population_health_zone_zs'!$B$2,[1]ratio_ins!$B:$B,0))*$G497*INDEX([1]ratio_ins!$D:$D,MATCH('001_population_health_zone_zs'!$B497,[1]ratio_ins!$B:$B,0))</f>
        <v>3541.5306359999995</v>
      </c>
      <c r="AY497" s="14">
        <f t="shared" si="43"/>
        <v>168644.31600000002</v>
      </c>
      <c r="AZ497" s="15">
        <f t="shared" si="44"/>
        <v>331977</v>
      </c>
      <c r="BA497" s="16">
        <v>319648.7738461321</v>
      </c>
      <c r="BB497" s="10">
        <f t="shared" si="45"/>
        <v>71673.834299999988</v>
      </c>
      <c r="BC497" s="17">
        <f t="shared" si="46"/>
        <v>0.21589999999999995</v>
      </c>
      <c r="BD497" s="10">
        <f t="shared" si="47"/>
        <v>68109.729228000011</v>
      </c>
    </row>
    <row r="498" spans="1:56" x14ac:dyDescent="0.25">
      <c r="A498" s="8" t="s">
        <v>1178</v>
      </c>
      <c r="B498" s="8" t="s">
        <v>1179</v>
      </c>
      <c r="C498" s="8" t="s">
        <v>1223</v>
      </c>
      <c r="D498" s="8" t="s">
        <v>1224</v>
      </c>
      <c r="E498" s="8" t="s">
        <v>1228</v>
      </c>
      <c r="F498" s="8" t="s">
        <v>1229</v>
      </c>
      <c r="G498" s="9">
        <v>135294</v>
      </c>
      <c r="H498" s="10">
        <f>INDEX([1]ratio_ins!F:F,MATCH('001_population_health_zone_zs'!$B$2,[1]ratio_ins!$B:$B,0))*$G498*INDEX([1]ratio_ins!$C:$C,MATCH('001_population_health_zone_zs'!$B498,[1]ratio_ins!$B:$B,0))</f>
        <v>13912.011432000001</v>
      </c>
      <c r="I498" s="10">
        <f>INDEX([1]ratio_ins!G:G,MATCH('001_population_health_zone_zs'!$B$2,[1]ratio_ins!$B:$B,0))*$G498*INDEX([1]ratio_ins!$C:$C,MATCH('001_population_health_zone_zs'!$B498,[1]ratio_ins!$B:$B,0))</f>
        <v>11382.554808000003</v>
      </c>
      <c r="J498" s="10">
        <f>INDEX([1]ratio_ins!H:H,MATCH('001_population_health_zone_zs'!$B$2,[1]ratio_ins!$B:$B,0))*$G498*INDEX([1]ratio_ins!$C:$C,MATCH('001_population_health_zone_zs'!$B498,[1]ratio_ins!$B:$B,0))</f>
        <v>8986.2274800000014</v>
      </c>
      <c r="K498" s="10">
        <f>INDEX([1]ratio_ins!I:I,MATCH('001_population_health_zone_zs'!$B$2,[1]ratio_ins!$B:$B,0))*$G498*INDEX([1]ratio_ins!$C:$C,MATCH('001_population_health_zone_zs'!$B498,[1]ratio_ins!$B:$B,0))</f>
        <v>5524.8657840000005</v>
      </c>
      <c r="L498" s="10">
        <f>INDEX([1]ratio_ins!J:J,MATCH('001_population_health_zone_zs'!$B$2,[1]ratio_ins!$B:$B,0))*$G498*INDEX([1]ratio_ins!$C:$C,MATCH('001_population_health_zone_zs'!$B498,[1]ratio_ins!$B:$B,0))</f>
        <v>3314.9194704000001</v>
      </c>
      <c r="M498" s="11">
        <f>INDEX([1]ratio_ins!K:K,MATCH('001_population_health_zone_zs'!$B$2,[1]ratio_ins!$B:$B,0))*$G498*INDEX([1]ratio_ins!$C:$C,MATCH('001_population_health_zone_zs'!$B498,[1]ratio_ins!$B:$B,0))</f>
        <v>37595.713190400005</v>
      </c>
      <c r="N498" s="10">
        <f>INDEX([1]ratio_ins!L:L,MATCH('001_population_health_zone_zs'!$B$2,[1]ratio_ins!$B:$B,0))*$G498*INDEX([1]ratio_ins!$C:$C,MATCH('001_population_health_zone_zs'!$B498,[1]ratio_ins!$B:$B,0))</f>
        <v>2209.9463136000004</v>
      </c>
      <c r="O498" s="10">
        <f>INDEX([1]ratio_ins!M:M,MATCH('001_population_health_zone_zs'!$B$2,[1]ratio_ins!$B:$B,0))*$G498*INDEX([1]ratio_ins!$C:$C,MATCH('001_population_health_zone_zs'!$B498,[1]ratio_ins!$B:$B,0))</f>
        <v>4792.6546560000015</v>
      </c>
      <c r="P498" s="10">
        <f>INDEX([1]ratio_ins!N:N,MATCH('001_population_health_zone_zs'!$B$2,[1]ratio_ins!$B:$B,0))*$G498*INDEX([1]ratio_ins!$C:$C,MATCH('001_population_health_zone_zs'!$B498,[1]ratio_ins!$B:$B,0))</f>
        <v>4326.7021200000008</v>
      </c>
      <c r="Q498" s="10">
        <f>INDEX([1]ratio_ins!O:O,MATCH('001_population_health_zone_zs'!$B$2,[1]ratio_ins!$B:$B,0))*$G498*INDEX([1]ratio_ins!$C:$C,MATCH('001_population_health_zone_zs'!$B498,[1]ratio_ins!$B:$B,0))</f>
        <v>3860.7495840000001</v>
      </c>
      <c r="R498" s="10">
        <f>INDEX([1]ratio_ins!P:P,MATCH('001_population_health_zone_zs'!$B$2,[1]ratio_ins!$B:$B,0))*$G498*INDEX([1]ratio_ins!$C:$C,MATCH('001_population_health_zone_zs'!$B498,[1]ratio_ins!$B:$B,0))</f>
        <v>3794.1849360000006</v>
      </c>
      <c r="S498" s="10">
        <f>INDEX([1]ratio_ins!Q:Q,MATCH('001_population_health_zone_zs'!$B$2,[1]ratio_ins!$B:$B,0))*$G498*INDEX([1]ratio_ins!$C:$C,MATCH('001_population_health_zone_zs'!$B498,[1]ratio_ins!$B:$B,0))</f>
        <v>3195.1031040000003</v>
      </c>
      <c r="T498" s="10">
        <f>INDEX([1]ratio_ins!R:R,MATCH('001_population_health_zone_zs'!$B$2,[1]ratio_ins!$B:$B,0))*$G498*INDEX([1]ratio_ins!$C:$C,MATCH('001_population_health_zone_zs'!$B498,[1]ratio_ins!$B:$B,0))</f>
        <v>2263.1980320000002</v>
      </c>
      <c r="U498" s="10">
        <f>INDEX([1]ratio_ins!S:S,MATCH('001_population_health_zone_zs'!$B$2,[1]ratio_ins!$B:$B,0))*$G498*INDEX([1]ratio_ins!$C:$C,MATCH('001_population_health_zone_zs'!$B498,[1]ratio_ins!$B:$B,0))</f>
        <v>1797.2454960000005</v>
      </c>
      <c r="V498" s="10">
        <f>INDEX([1]ratio_ins!T:T,MATCH('001_population_health_zone_zs'!$B$2,[1]ratio_ins!$B:$B,0))*$G498*INDEX([1]ratio_ins!$C:$C,MATCH('001_population_health_zone_zs'!$B498,[1]ratio_ins!$B:$B,0))</f>
        <v>998.46972000000005</v>
      </c>
      <c r="W498" s="11">
        <f>INDEX([1]ratio_ins!U:U,MATCH('001_population_health_zone_zs'!$B$2,[1]ratio_ins!$B:$B,0))*$G498*INDEX([1]ratio_ins!$C:$C,MATCH('001_population_health_zone_zs'!$B498,[1]ratio_ins!$B:$B,0))</f>
        <v>27238.253961600003</v>
      </c>
      <c r="X498" s="10">
        <f>INDEX([1]ratio_ins!V:V,MATCH('001_population_health_zone_zs'!$B$2,[1]ratio_ins!$B:$B,0))*$G498*INDEX([1]ratio_ins!$C:$C,MATCH('001_population_health_zone_zs'!$B498,[1]ratio_ins!$B:$B,0))</f>
        <v>798.77577600000006</v>
      </c>
      <c r="Y498" s="10">
        <f>INDEX([1]ratio_ins!W:W,MATCH('001_population_health_zone_zs'!$B$2,[1]ratio_ins!$B:$B,0))*$G498*INDEX([1]ratio_ins!$C:$C,MATCH('001_population_health_zone_zs'!$B498,[1]ratio_ins!$B:$B,0))</f>
        <v>532.51718400000004</v>
      </c>
      <c r="Z498" s="10">
        <f>INDEX([1]ratio_ins!X:X,MATCH('001_population_health_zone_zs'!$B$2,[1]ratio_ins!$B:$B,0))*$G498*INDEX([1]ratio_ins!$C:$C,MATCH('001_population_health_zone_zs'!$B498,[1]ratio_ins!$B:$B,0))</f>
        <v>266.25859200000002</v>
      </c>
      <c r="AA498" s="10">
        <f>INDEX([1]ratio_ins!Y:Y,MATCH('001_population_health_zone_zs'!$B$2,[1]ratio_ins!$B:$B,0))*$G498*INDEX([1]ratio_ins!$C:$C,MATCH('001_population_health_zone_zs'!$B498,[1]ratio_ins!$B:$B,0))</f>
        <v>133.12929600000001</v>
      </c>
      <c r="AB498" s="11">
        <f>INDEX([1]ratio_ins!Z:Z,MATCH('001_population_health_zone_zs'!$B$2,[1]ratio_ins!$B:$B,0))*$G498*INDEX([1]ratio_ins!$C:$C,MATCH('001_population_health_zone_zs'!$B498,[1]ratio_ins!$B:$B,0))</f>
        <v>1730.6808480000002</v>
      </c>
      <c r="AC498" s="12">
        <f t="shared" si="42"/>
        <v>66564.648000000016</v>
      </c>
      <c r="AD498" s="10">
        <f>INDEX([1]ratio_ins!AA:AA,MATCH('001_population_health_zone_zs'!$B$2,[1]ratio_ins!$B:$B,0))*$G498*INDEX([1]ratio_ins!$D:$D,MATCH('001_population_health_zone_zs'!$B498,[1]ratio_ins!$B:$B,0))</f>
        <v>14433.163919999999</v>
      </c>
      <c r="AE498" s="10">
        <f>INDEX([1]ratio_ins!AB:AB,MATCH('001_population_health_zone_zs'!$B$2,[1]ratio_ins!$B:$B,0))*$G498*INDEX([1]ratio_ins!$D:$D,MATCH('001_population_health_zone_zs'!$B498,[1]ratio_ins!$B:$B,0))</f>
        <v>11890.177896000001</v>
      </c>
      <c r="AF498" s="10">
        <f>INDEX([1]ratio_ins!AC:AC,MATCH('001_population_health_zone_zs'!$B$2,[1]ratio_ins!$B:$B,0))*$G498*INDEX([1]ratio_ins!$D:$D,MATCH('001_population_health_zone_zs'!$B498,[1]ratio_ins!$B:$B,0))</f>
        <v>9415.9212239999997</v>
      </c>
      <c r="AG498" s="10">
        <f>INDEX([1]ratio_ins!AD:AD,MATCH('001_population_health_zone_zs'!$B$2,[1]ratio_ins!$B:$B,0))*$G498*INDEX([1]ratio_ins!$D:$D,MATCH('001_population_health_zone_zs'!$B498,[1]ratio_ins!$B:$B,0))</f>
        <v>5704.5362160000004</v>
      </c>
      <c r="AH498" s="10">
        <f>INDEX([1]ratio_ins!AE:AE,MATCH('001_population_health_zone_zs'!$B$2,[1]ratio_ins!$B:$B,0))*$G498*INDEX([1]ratio_ins!$D:$D,MATCH('001_population_health_zone_zs'!$B498,[1]ratio_ins!$B:$B,0))</f>
        <v>3422.7217295999999</v>
      </c>
      <c r="AI498" s="13">
        <f>INDEX([1]ratio_ins!AF:AF,MATCH('001_population_health_zone_zs'!$B$2,[1]ratio_ins!$B:$B,0))*$G498*INDEX([1]ratio_ins!$D:$D,MATCH('001_population_health_zone_zs'!$B498,[1]ratio_ins!$B:$B,0))</f>
        <v>39161.9847696</v>
      </c>
      <c r="AJ498" s="10">
        <f>INDEX([1]ratio_ins!AG:AG,MATCH('001_population_health_zone_zs'!$B$2,[1]ratio_ins!$B:$B,0))*$G498*INDEX([1]ratio_ins!$D:$D,MATCH('001_population_health_zone_zs'!$B498,[1]ratio_ins!$B:$B,0))</f>
        <v>2281.8144864000001</v>
      </c>
      <c r="AK498" s="10">
        <f>INDEX([1]ratio_ins!AH:AH,MATCH('001_population_health_zone_zs'!$B$2,[1]ratio_ins!$B:$B,0))*$G498*INDEX([1]ratio_ins!$D:$D,MATCH('001_population_health_zone_zs'!$B498,[1]ratio_ins!$B:$B,0))</f>
        <v>5085.9720480000005</v>
      </c>
      <c r="AL498" s="10">
        <f>INDEX([1]ratio_ins!AI:AI,MATCH('001_population_health_zone_zs'!$B$2,[1]ratio_ins!$B:$B,0))*$G498*INDEX([1]ratio_ins!$D:$D,MATCH('001_population_health_zone_zs'!$B498,[1]ratio_ins!$B:$B,0))</f>
        <v>4811.0546400000012</v>
      </c>
      <c r="AM498" s="10">
        <f>INDEX([1]ratio_ins!AJ:AJ,MATCH('001_population_health_zone_zs'!$B$2,[1]ratio_ins!$B:$B,0))*$G498*INDEX([1]ratio_ins!$D:$D,MATCH('001_population_health_zone_zs'!$B498,[1]ratio_ins!$B:$B,0))</f>
        <v>4398.6785280000004</v>
      </c>
      <c r="AN498" s="10">
        <f>INDEX([1]ratio_ins!AK:AK,MATCH('001_population_health_zone_zs'!$B$2,[1]ratio_ins!$B:$B,0))*$G498*INDEX([1]ratio_ins!$D:$D,MATCH('001_population_health_zone_zs'!$B498,[1]ratio_ins!$B:$B,0))</f>
        <v>4123.7611200000001</v>
      </c>
      <c r="AO498" s="10">
        <f>INDEX([1]ratio_ins!AL:AL,MATCH('001_population_health_zone_zs'!$B$2,[1]ratio_ins!$B:$B,0))*$G498*INDEX([1]ratio_ins!$D:$D,MATCH('001_population_health_zone_zs'!$B498,[1]ratio_ins!$B:$B,0))</f>
        <v>3092.8208399999999</v>
      </c>
      <c r="AP498" s="10">
        <f>INDEX([1]ratio_ins!AM:AM,MATCH('001_population_health_zone_zs'!$B$2,[1]ratio_ins!$B:$B,0))*$G498*INDEX([1]ratio_ins!$D:$D,MATCH('001_population_health_zone_zs'!$B498,[1]ratio_ins!$B:$B,0))</f>
        <v>1993.151208</v>
      </c>
      <c r="AQ498" s="10">
        <f>INDEX([1]ratio_ins!AN:AN,MATCH('001_population_health_zone_zs'!$B$2,[1]ratio_ins!$B:$B,0))*$G498*INDEX([1]ratio_ins!$D:$D,MATCH('001_population_health_zone_zs'!$B498,[1]ratio_ins!$B:$B,0))</f>
        <v>1580.7750960000001</v>
      </c>
      <c r="AR498" s="10">
        <f>INDEX([1]ratio_ins!AO:AO,MATCH('001_population_health_zone_zs'!$B$2,[1]ratio_ins!$B:$B,0))*$G498*INDEX([1]ratio_ins!$D:$D,MATCH('001_population_health_zone_zs'!$B498,[1]ratio_ins!$B:$B,0))</f>
        <v>756.02287200000012</v>
      </c>
      <c r="AS498" s="13">
        <f>INDEX([1]ratio_ins!AP:AP,MATCH('001_population_health_zone_zs'!$B$2,[1]ratio_ins!$B:$B,0))*$G498*INDEX([1]ratio_ins!$D:$D,MATCH('001_population_health_zone_zs'!$B498,[1]ratio_ins!$B:$B,0))</f>
        <v>28124.050838399999</v>
      </c>
      <c r="AT498" s="10">
        <f>INDEX([1]ratio_ins!AQ:AQ,MATCH('001_population_health_zone_zs'!$B$2,[1]ratio_ins!$B:$B,0))*$G498*INDEX([1]ratio_ins!$D:$D,MATCH('001_population_health_zone_zs'!$B498,[1]ratio_ins!$B:$B,0))</f>
        <v>687.29352000000006</v>
      </c>
      <c r="AU498" s="10">
        <f>INDEX([1]ratio_ins!AR:AR,MATCH('001_population_health_zone_zs'!$B$2,[1]ratio_ins!$B:$B,0))*$G498*INDEX([1]ratio_ins!$D:$D,MATCH('001_population_health_zone_zs'!$B498,[1]ratio_ins!$B:$B,0))</f>
        <v>412.37611200000003</v>
      </c>
      <c r="AV498" s="10">
        <f>INDEX([1]ratio_ins!AS:AS,MATCH('001_population_health_zone_zs'!$B$2,[1]ratio_ins!$B:$B,0))*$G498*INDEX([1]ratio_ins!$D:$D,MATCH('001_population_health_zone_zs'!$B498,[1]ratio_ins!$B:$B,0))</f>
        <v>206.18805600000002</v>
      </c>
      <c r="AW498" s="10">
        <f>INDEX([1]ratio_ins!AT:AT,MATCH('001_population_health_zone_zs'!$B$2,[1]ratio_ins!$B:$B,0))*$G498*INDEX([1]ratio_ins!$D:$D,MATCH('001_population_health_zone_zs'!$B498,[1]ratio_ins!$B:$B,0))</f>
        <v>137.45870400000001</v>
      </c>
      <c r="AX498" s="13">
        <f>INDEX([1]ratio_ins!AU:AU,MATCH('001_population_health_zone_zs'!$B$2,[1]ratio_ins!$B:$B,0))*$G498*INDEX([1]ratio_ins!$D:$D,MATCH('001_population_health_zone_zs'!$B498,[1]ratio_ins!$B:$B,0))</f>
        <v>1443.3163919999997</v>
      </c>
      <c r="AY498" s="14">
        <f t="shared" si="43"/>
        <v>68729.351999999999</v>
      </c>
      <c r="AZ498" s="15">
        <f t="shared" si="44"/>
        <v>135294</v>
      </c>
      <c r="BA498" s="16">
        <v>130269.61244097161</v>
      </c>
      <c r="BB498" s="10">
        <f t="shared" si="45"/>
        <v>29209.974600000001</v>
      </c>
      <c r="BC498" s="17">
        <f t="shared" si="46"/>
        <v>0.21590000000000001</v>
      </c>
      <c r="BD498" s="10">
        <f t="shared" si="47"/>
        <v>27757.458216000006</v>
      </c>
    </row>
    <row r="499" spans="1:56" x14ac:dyDescent="0.25">
      <c r="A499" s="8" t="s">
        <v>1178</v>
      </c>
      <c r="B499" s="8" t="s">
        <v>1179</v>
      </c>
      <c r="C499" s="8" t="s">
        <v>1230</v>
      </c>
      <c r="D499" s="8" t="s">
        <v>1231</v>
      </c>
      <c r="E499" s="8" t="s">
        <v>1232</v>
      </c>
      <c r="F499" s="8" t="s">
        <v>1233</v>
      </c>
      <c r="G499" s="9">
        <v>119834</v>
      </c>
      <c r="H499" s="10">
        <f>INDEX([1]ratio_ins!F:F,MATCH('001_population_health_zone_zs'!$B$2,[1]ratio_ins!$B:$B,0))*$G499*INDEX([1]ratio_ins!$C:$C,MATCH('001_population_health_zone_zs'!$B499,[1]ratio_ins!$B:$B,0))</f>
        <v>12322.290552000002</v>
      </c>
      <c r="I499" s="10">
        <f>INDEX([1]ratio_ins!G:G,MATCH('001_population_health_zone_zs'!$B$2,[1]ratio_ins!$B:$B,0))*$G499*INDEX([1]ratio_ins!$C:$C,MATCH('001_population_health_zone_zs'!$B499,[1]ratio_ins!$B:$B,0))</f>
        <v>10081.874088000002</v>
      </c>
      <c r="J499" s="10">
        <f>INDEX([1]ratio_ins!H:H,MATCH('001_population_health_zone_zs'!$B$2,[1]ratio_ins!$B:$B,0))*$G499*INDEX([1]ratio_ins!$C:$C,MATCH('001_population_health_zone_zs'!$B499,[1]ratio_ins!$B:$B,0))</f>
        <v>7959.3742800000018</v>
      </c>
      <c r="K499" s="10">
        <f>INDEX([1]ratio_ins!I:I,MATCH('001_population_health_zone_zs'!$B$2,[1]ratio_ins!$B:$B,0))*$G499*INDEX([1]ratio_ins!$C:$C,MATCH('001_population_health_zone_zs'!$B499,[1]ratio_ins!$B:$B,0))</f>
        <v>4893.5412240000005</v>
      </c>
      <c r="L499" s="10">
        <f>INDEX([1]ratio_ins!J:J,MATCH('001_population_health_zone_zs'!$B$2,[1]ratio_ins!$B:$B,0))*$G499*INDEX([1]ratio_ins!$C:$C,MATCH('001_population_health_zone_zs'!$B499,[1]ratio_ins!$B:$B,0))</f>
        <v>2936.1247344000003</v>
      </c>
      <c r="M499" s="11">
        <f>INDEX([1]ratio_ins!K:K,MATCH('001_population_health_zone_zs'!$B$2,[1]ratio_ins!$B:$B,0))*$G499*INDEX([1]ratio_ins!$C:$C,MATCH('001_population_health_zone_zs'!$B499,[1]ratio_ins!$B:$B,0))</f>
        <v>33299.663654399999</v>
      </c>
      <c r="N499" s="10">
        <f>INDEX([1]ratio_ins!L:L,MATCH('001_population_health_zone_zs'!$B$2,[1]ratio_ins!$B:$B,0))*$G499*INDEX([1]ratio_ins!$C:$C,MATCH('001_population_health_zone_zs'!$B499,[1]ratio_ins!$B:$B,0))</f>
        <v>1957.4164896000002</v>
      </c>
      <c r="O499" s="10">
        <f>INDEX([1]ratio_ins!M:M,MATCH('001_population_health_zone_zs'!$B$2,[1]ratio_ins!$B:$B,0))*$G499*INDEX([1]ratio_ins!$C:$C,MATCH('001_population_health_zone_zs'!$B499,[1]ratio_ins!$B:$B,0))</f>
        <v>4244.999616000001</v>
      </c>
      <c r="P499" s="10">
        <f>INDEX([1]ratio_ins!N:N,MATCH('001_population_health_zone_zs'!$B$2,[1]ratio_ins!$B:$B,0))*$G499*INDEX([1]ratio_ins!$C:$C,MATCH('001_population_health_zone_zs'!$B499,[1]ratio_ins!$B:$B,0))</f>
        <v>3832.2913200000003</v>
      </c>
      <c r="Q499" s="10">
        <f>INDEX([1]ratio_ins!O:O,MATCH('001_population_health_zone_zs'!$B$2,[1]ratio_ins!$B:$B,0))*$G499*INDEX([1]ratio_ins!$C:$C,MATCH('001_population_health_zone_zs'!$B499,[1]ratio_ins!$B:$B,0))</f>
        <v>3419.583024</v>
      </c>
      <c r="R499" s="10">
        <f>INDEX([1]ratio_ins!P:P,MATCH('001_population_health_zone_zs'!$B$2,[1]ratio_ins!$B:$B,0))*$G499*INDEX([1]ratio_ins!$C:$C,MATCH('001_population_health_zone_zs'!$B499,[1]ratio_ins!$B:$B,0))</f>
        <v>3360.6246960000008</v>
      </c>
      <c r="S499" s="10">
        <f>INDEX([1]ratio_ins!Q:Q,MATCH('001_population_health_zone_zs'!$B$2,[1]ratio_ins!$B:$B,0))*$G499*INDEX([1]ratio_ins!$C:$C,MATCH('001_population_health_zone_zs'!$B499,[1]ratio_ins!$B:$B,0))</f>
        <v>2829.9997440000002</v>
      </c>
      <c r="T499" s="10">
        <f>INDEX([1]ratio_ins!R:R,MATCH('001_population_health_zone_zs'!$B$2,[1]ratio_ins!$B:$B,0))*$G499*INDEX([1]ratio_ins!$C:$C,MATCH('001_population_health_zone_zs'!$B499,[1]ratio_ins!$B:$B,0))</f>
        <v>2004.5831520000004</v>
      </c>
      <c r="U499" s="10">
        <f>INDEX([1]ratio_ins!S:S,MATCH('001_population_health_zone_zs'!$B$2,[1]ratio_ins!$B:$B,0))*$G499*INDEX([1]ratio_ins!$C:$C,MATCH('001_population_health_zone_zs'!$B499,[1]ratio_ins!$B:$B,0))</f>
        <v>1591.8748560000004</v>
      </c>
      <c r="V499" s="10">
        <f>INDEX([1]ratio_ins!T:T,MATCH('001_population_health_zone_zs'!$B$2,[1]ratio_ins!$B:$B,0))*$G499*INDEX([1]ratio_ins!$C:$C,MATCH('001_population_health_zone_zs'!$B499,[1]ratio_ins!$B:$B,0))</f>
        <v>884.37492000000009</v>
      </c>
      <c r="W499" s="11">
        <f>INDEX([1]ratio_ins!U:U,MATCH('001_population_health_zone_zs'!$B$2,[1]ratio_ins!$B:$B,0))*$G499*INDEX([1]ratio_ins!$C:$C,MATCH('001_population_health_zone_zs'!$B499,[1]ratio_ins!$B:$B,0))</f>
        <v>24125.747817600004</v>
      </c>
      <c r="X499" s="10">
        <f>INDEX([1]ratio_ins!V:V,MATCH('001_population_health_zone_zs'!$B$2,[1]ratio_ins!$B:$B,0))*$G499*INDEX([1]ratio_ins!$C:$C,MATCH('001_population_health_zone_zs'!$B499,[1]ratio_ins!$B:$B,0))</f>
        <v>707.49993600000005</v>
      </c>
      <c r="Y499" s="10">
        <f>INDEX([1]ratio_ins!W:W,MATCH('001_population_health_zone_zs'!$B$2,[1]ratio_ins!$B:$B,0))*$G499*INDEX([1]ratio_ins!$C:$C,MATCH('001_population_health_zone_zs'!$B499,[1]ratio_ins!$B:$B,0))</f>
        <v>471.66662400000007</v>
      </c>
      <c r="Z499" s="10">
        <f>INDEX([1]ratio_ins!X:X,MATCH('001_population_health_zone_zs'!$B$2,[1]ratio_ins!$B:$B,0))*$G499*INDEX([1]ratio_ins!$C:$C,MATCH('001_population_health_zone_zs'!$B499,[1]ratio_ins!$B:$B,0))</f>
        <v>235.83331200000003</v>
      </c>
      <c r="AA499" s="10">
        <f>INDEX([1]ratio_ins!Y:Y,MATCH('001_population_health_zone_zs'!$B$2,[1]ratio_ins!$B:$B,0))*$G499*INDEX([1]ratio_ins!$C:$C,MATCH('001_population_health_zone_zs'!$B499,[1]ratio_ins!$B:$B,0))</f>
        <v>117.91665600000002</v>
      </c>
      <c r="AB499" s="11">
        <f>INDEX([1]ratio_ins!Z:Z,MATCH('001_population_health_zone_zs'!$B$2,[1]ratio_ins!$B:$B,0))*$G499*INDEX([1]ratio_ins!$C:$C,MATCH('001_population_health_zone_zs'!$B499,[1]ratio_ins!$B:$B,0))</f>
        <v>1532.9165280000002</v>
      </c>
      <c r="AC499" s="12">
        <f t="shared" si="42"/>
        <v>58958.328000000009</v>
      </c>
      <c r="AD499" s="10">
        <f>INDEX([1]ratio_ins!AA:AA,MATCH('001_population_health_zone_zs'!$B$2,[1]ratio_ins!$B:$B,0))*$G499*INDEX([1]ratio_ins!$D:$D,MATCH('001_population_health_zone_zs'!$B499,[1]ratio_ins!$B:$B,0))</f>
        <v>12783.89112</v>
      </c>
      <c r="AE499" s="10">
        <f>INDEX([1]ratio_ins!AB:AB,MATCH('001_population_health_zone_zs'!$B$2,[1]ratio_ins!$B:$B,0))*$G499*INDEX([1]ratio_ins!$D:$D,MATCH('001_population_health_zone_zs'!$B499,[1]ratio_ins!$B:$B,0))</f>
        <v>10531.491256000001</v>
      </c>
      <c r="AF499" s="10">
        <f>INDEX([1]ratio_ins!AC:AC,MATCH('001_population_health_zone_zs'!$B$2,[1]ratio_ins!$B:$B,0))*$G499*INDEX([1]ratio_ins!$D:$D,MATCH('001_population_health_zone_zs'!$B499,[1]ratio_ins!$B:$B,0))</f>
        <v>8339.9670639999986</v>
      </c>
      <c r="AG499" s="10">
        <f>INDEX([1]ratio_ins!AD:AD,MATCH('001_population_health_zone_zs'!$B$2,[1]ratio_ins!$B:$B,0))*$G499*INDEX([1]ratio_ins!$D:$D,MATCH('001_population_health_zone_zs'!$B499,[1]ratio_ins!$B:$B,0))</f>
        <v>5052.6807760000002</v>
      </c>
      <c r="AH499" s="10">
        <f>INDEX([1]ratio_ins!AE:AE,MATCH('001_population_health_zone_zs'!$B$2,[1]ratio_ins!$B:$B,0))*$G499*INDEX([1]ratio_ins!$D:$D,MATCH('001_population_health_zone_zs'!$B499,[1]ratio_ins!$B:$B,0))</f>
        <v>3031.6084655999998</v>
      </c>
      <c r="AI499" s="13">
        <f>INDEX([1]ratio_ins!AF:AF,MATCH('001_population_health_zone_zs'!$B$2,[1]ratio_ins!$B:$B,0))*$G499*INDEX([1]ratio_ins!$D:$D,MATCH('001_population_health_zone_zs'!$B499,[1]ratio_ins!$B:$B,0))</f>
        <v>34686.9579056</v>
      </c>
      <c r="AJ499" s="10">
        <f>INDEX([1]ratio_ins!AG:AG,MATCH('001_population_health_zone_zs'!$B$2,[1]ratio_ins!$B:$B,0))*$G499*INDEX([1]ratio_ins!$D:$D,MATCH('001_population_health_zone_zs'!$B499,[1]ratio_ins!$B:$B,0))</f>
        <v>2021.0723104000001</v>
      </c>
      <c r="AK499" s="10">
        <f>INDEX([1]ratio_ins!AH:AH,MATCH('001_population_health_zone_zs'!$B$2,[1]ratio_ins!$B:$B,0))*$G499*INDEX([1]ratio_ins!$D:$D,MATCH('001_population_health_zone_zs'!$B499,[1]ratio_ins!$B:$B,0))</f>
        <v>4504.799728</v>
      </c>
      <c r="AL499" s="10">
        <f>INDEX([1]ratio_ins!AI:AI,MATCH('001_population_health_zone_zs'!$B$2,[1]ratio_ins!$B:$B,0))*$G499*INDEX([1]ratio_ins!$D:$D,MATCH('001_population_health_zone_zs'!$B499,[1]ratio_ins!$B:$B,0))</f>
        <v>4261.2970400000004</v>
      </c>
      <c r="AM499" s="10">
        <f>INDEX([1]ratio_ins!AJ:AJ,MATCH('001_population_health_zone_zs'!$B$2,[1]ratio_ins!$B:$B,0))*$G499*INDEX([1]ratio_ins!$D:$D,MATCH('001_population_health_zone_zs'!$B499,[1]ratio_ins!$B:$B,0))</f>
        <v>3896.0430080000001</v>
      </c>
      <c r="AN499" s="10">
        <f>INDEX([1]ratio_ins!AK:AK,MATCH('001_population_health_zone_zs'!$B$2,[1]ratio_ins!$B:$B,0))*$G499*INDEX([1]ratio_ins!$D:$D,MATCH('001_population_health_zone_zs'!$B499,[1]ratio_ins!$B:$B,0))</f>
        <v>3652.5403200000001</v>
      </c>
      <c r="AO499" s="10">
        <f>INDEX([1]ratio_ins!AL:AL,MATCH('001_population_health_zone_zs'!$B$2,[1]ratio_ins!$B:$B,0))*$G499*INDEX([1]ratio_ins!$D:$D,MATCH('001_population_health_zone_zs'!$B499,[1]ratio_ins!$B:$B,0))</f>
        <v>2739.40524</v>
      </c>
      <c r="AP499" s="10">
        <f>INDEX([1]ratio_ins!AM:AM,MATCH('001_population_health_zone_zs'!$B$2,[1]ratio_ins!$B:$B,0))*$G499*INDEX([1]ratio_ins!$D:$D,MATCH('001_population_health_zone_zs'!$B499,[1]ratio_ins!$B:$B,0))</f>
        <v>1765.3944879999999</v>
      </c>
      <c r="AQ499" s="10">
        <f>INDEX([1]ratio_ins!AN:AN,MATCH('001_population_health_zone_zs'!$B$2,[1]ratio_ins!$B:$B,0))*$G499*INDEX([1]ratio_ins!$D:$D,MATCH('001_population_health_zone_zs'!$B499,[1]ratio_ins!$B:$B,0))</f>
        <v>1400.1404559999999</v>
      </c>
      <c r="AR499" s="10">
        <f>INDEX([1]ratio_ins!AO:AO,MATCH('001_population_health_zone_zs'!$B$2,[1]ratio_ins!$B:$B,0))*$G499*INDEX([1]ratio_ins!$D:$D,MATCH('001_population_health_zone_zs'!$B499,[1]ratio_ins!$B:$B,0))</f>
        <v>669.6323920000001</v>
      </c>
      <c r="AS499" s="13">
        <f>INDEX([1]ratio_ins!AP:AP,MATCH('001_population_health_zone_zs'!$B$2,[1]ratio_ins!$B:$B,0))*$G499*INDEX([1]ratio_ins!$D:$D,MATCH('001_population_health_zone_zs'!$B499,[1]ratio_ins!$B:$B,0))</f>
        <v>24910.324982400001</v>
      </c>
      <c r="AT499" s="10">
        <f>INDEX([1]ratio_ins!AQ:AQ,MATCH('001_population_health_zone_zs'!$B$2,[1]ratio_ins!$B:$B,0))*$G499*INDEX([1]ratio_ins!$D:$D,MATCH('001_population_health_zone_zs'!$B499,[1]ratio_ins!$B:$B,0))</f>
        <v>608.75671999999997</v>
      </c>
      <c r="AU499" s="10">
        <f>INDEX([1]ratio_ins!AR:AR,MATCH('001_population_health_zone_zs'!$B$2,[1]ratio_ins!$B:$B,0))*$G499*INDEX([1]ratio_ins!$D:$D,MATCH('001_population_health_zone_zs'!$B499,[1]ratio_ins!$B:$B,0))</f>
        <v>365.254032</v>
      </c>
      <c r="AV499" s="10">
        <f>INDEX([1]ratio_ins!AS:AS,MATCH('001_population_health_zone_zs'!$B$2,[1]ratio_ins!$B:$B,0))*$G499*INDEX([1]ratio_ins!$D:$D,MATCH('001_population_health_zone_zs'!$B499,[1]ratio_ins!$B:$B,0))</f>
        <v>182.627016</v>
      </c>
      <c r="AW499" s="10">
        <f>INDEX([1]ratio_ins!AT:AT,MATCH('001_population_health_zone_zs'!$B$2,[1]ratio_ins!$B:$B,0))*$G499*INDEX([1]ratio_ins!$D:$D,MATCH('001_population_health_zone_zs'!$B499,[1]ratio_ins!$B:$B,0))</f>
        <v>121.751344</v>
      </c>
      <c r="AX499" s="13">
        <f>INDEX([1]ratio_ins!AU:AU,MATCH('001_population_health_zone_zs'!$B$2,[1]ratio_ins!$B:$B,0))*$G499*INDEX([1]ratio_ins!$D:$D,MATCH('001_population_health_zone_zs'!$B499,[1]ratio_ins!$B:$B,0))</f>
        <v>1278.3891119999998</v>
      </c>
      <c r="AY499" s="14">
        <f t="shared" si="43"/>
        <v>60875.671999999999</v>
      </c>
      <c r="AZ499" s="15">
        <f t="shared" si="44"/>
        <v>119834</v>
      </c>
      <c r="BA499" s="16">
        <v>115383.78340265984</v>
      </c>
      <c r="BB499" s="10">
        <f t="shared" si="45"/>
        <v>25872.160600000003</v>
      </c>
      <c r="BC499" s="17">
        <f t="shared" si="46"/>
        <v>0.21590000000000004</v>
      </c>
      <c r="BD499" s="10">
        <f t="shared" si="47"/>
        <v>24585.622776000004</v>
      </c>
    </row>
    <row r="500" spans="1:56" x14ac:dyDescent="0.25">
      <c r="A500" s="8" t="s">
        <v>1178</v>
      </c>
      <c r="B500" s="8" t="s">
        <v>1179</v>
      </c>
      <c r="C500" s="8" t="s">
        <v>1230</v>
      </c>
      <c r="D500" s="8" t="s">
        <v>1231</v>
      </c>
      <c r="E500" s="8" t="s">
        <v>1234</v>
      </c>
      <c r="F500" s="8" t="s">
        <v>1235</v>
      </c>
      <c r="G500" s="9">
        <v>95409</v>
      </c>
      <c r="H500" s="10">
        <f>INDEX([1]ratio_ins!F:F,MATCH('001_population_health_zone_zs'!$B$2,[1]ratio_ins!$B:$B,0))*$G500*INDEX([1]ratio_ins!$C:$C,MATCH('001_population_health_zone_zs'!$B500,[1]ratio_ins!$B:$B,0))</f>
        <v>9810.716652000001</v>
      </c>
      <c r="I500" s="10">
        <f>INDEX([1]ratio_ins!G:G,MATCH('001_population_health_zone_zs'!$B$2,[1]ratio_ins!$B:$B,0))*$G500*INDEX([1]ratio_ins!$C:$C,MATCH('001_population_health_zone_zs'!$B500,[1]ratio_ins!$B:$B,0))</f>
        <v>8026.9499880000021</v>
      </c>
      <c r="J500" s="10">
        <f>INDEX([1]ratio_ins!H:H,MATCH('001_population_health_zone_zs'!$B$2,[1]ratio_ins!$B:$B,0))*$G500*INDEX([1]ratio_ins!$C:$C,MATCH('001_population_health_zone_zs'!$B500,[1]ratio_ins!$B:$B,0))</f>
        <v>6337.0657800000008</v>
      </c>
      <c r="K500" s="10">
        <f>INDEX([1]ratio_ins!I:I,MATCH('001_population_health_zone_zs'!$B$2,[1]ratio_ins!$B:$B,0))*$G500*INDEX([1]ratio_ins!$C:$C,MATCH('001_population_health_zone_zs'!$B500,[1]ratio_ins!$B:$B,0))</f>
        <v>3896.1219240000005</v>
      </c>
      <c r="L500" s="10">
        <f>INDEX([1]ratio_ins!J:J,MATCH('001_population_health_zone_zs'!$B$2,[1]ratio_ins!$B:$B,0))*$G500*INDEX([1]ratio_ins!$C:$C,MATCH('001_population_health_zone_zs'!$B500,[1]ratio_ins!$B:$B,0))</f>
        <v>2337.6731544000004</v>
      </c>
      <c r="M500" s="11">
        <f>INDEX([1]ratio_ins!K:K,MATCH('001_population_health_zone_zs'!$B$2,[1]ratio_ins!$B:$B,0))*$G500*INDEX([1]ratio_ins!$C:$C,MATCH('001_population_health_zone_zs'!$B500,[1]ratio_ins!$B:$B,0))</f>
        <v>26512.405574400003</v>
      </c>
      <c r="N500" s="10">
        <f>INDEX([1]ratio_ins!L:L,MATCH('001_population_health_zone_zs'!$B$2,[1]ratio_ins!$B:$B,0))*$G500*INDEX([1]ratio_ins!$C:$C,MATCH('001_population_health_zone_zs'!$B500,[1]ratio_ins!$B:$B,0))</f>
        <v>1558.4487696000003</v>
      </c>
      <c r="O500" s="10">
        <f>INDEX([1]ratio_ins!M:M,MATCH('001_population_health_zone_zs'!$B$2,[1]ratio_ins!$B:$B,0))*$G500*INDEX([1]ratio_ins!$C:$C,MATCH('001_population_health_zone_zs'!$B500,[1]ratio_ins!$B:$B,0))</f>
        <v>3379.7684160000008</v>
      </c>
      <c r="P500" s="10">
        <f>INDEX([1]ratio_ins!N:N,MATCH('001_population_health_zone_zs'!$B$2,[1]ratio_ins!$B:$B,0))*$G500*INDEX([1]ratio_ins!$C:$C,MATCH('001_population_health_zone_zs'!$B500,[1]ratio_ins!$B:$B,0))</f>
        <v>3051.1798200000003</v>
      </c>
      <c r="Q500" s="10">
        <f>INDEX([1]ratio_ins!O:O,MATCH('001_population_health_zone_zs'!$B$2,[1]ratio_ins!$B:$B,0))*$G500*INDEX([1]ratio_ins!$C:$C,MATCH('001_population_health_zone_zs'!$B500,[1]ratio_ins!$B:$B,0))</f>
        <v>2722.5912240000002</v>
      </c>
      <c r="R500" s="10">
        <f>INDEX([1]ratio_ins!P:P,MATCH('001_population_health_zone_zs'!$B$2,[1]ratio_ins!$B:$B,0))*$G500*INDEX([1]ratio_ins!$C:$C,MATCH('001_population_health_zone_zs'!$B500,[1]ratio_ins!$B:$B,0))</f>
        <v>2675.6499960000001</v>
      </c>
      <c r="S500" s="10">
        <f>INDEX([1]ratio_ins!Q:Q,MATCH('001_population_health_zone_zs'!$B$2,[1]ratio_ins!$B:$B,0))*$G500*INDEX([1]ratio_ins!$C:$C,MATCH('001_population_health_zone_zs'!$B500,[1]ratio_ins!$B:$B,0))</f>
        <v>2253.1789440000007</v>
      </c>
      <c r="T500" s="10">
        <f>INDEX([1]ratio_ins!R:R,MATCH('001_population_health_zone_zs'!$B$2,[1]ratio_ins!$B:$B,0))*$G500*INDEX([1]ratio_ins!$C:$C,MATCH('001_population_health_zone_zs'!$B500,[1]ratio_ins!$B:$B,0))</f>
        <v>1596.0017520000004</v>
      </c>
      <c r="U500" s="10">
        <f>INDEX([1]ratio_ins!S:S,MATCH('001_population_health_zone_zs'!$B$2,[1]ratio_ins!$B:$B,0))*$G500*INDEX([1]ratio_ins!$C:$C,MATCH('001_population_health_zone_zs'!$B500,[1]ratio_ins!$B:$B,0))</f>
        <v>1267.4131560000001</v>
      </c>
      <c r="V500" s="10">
        <f>INDEX([1]ratio_ins!T:T,MATCH('001_population_health_zone_zs'!$B$2,[1]ratio_ins!$B:$B,0))*$G500*INDEX([1]ratio_ins!$C:$C,MATCH('001_population_health_zone_zs'!$B500,[1]ratio_ins!$B:$B,0))</f>
        <v>704.11842000000001</v>
      </c>
      <c r="W500" s="11">
        <f>INDEX([1]ratio_ins!U:U,MATCH('001_population_health_zone_zs'!$B$2,[1]ratio_ins!$B:$B,0))*$G500*INDEX([1]ratio_ins!$C:$C,MATCH('001_population_health_zone_zs'!$B500,[1]ratio_ins!$B:$B,0))</f>
        <v>19208.350497600004</v>
      </c>
      <c r="X500" s="10">
        <f>INDEX([1]ratio_ins!V:V,MATCH('001_population_health_zone_zs'!$B$2,[1]ratio_ins!$B:$B,0))*$G500*INDEX([1]ratio_ins!$C:$C,MATCH('001_population_health_zone_zs'!$B500,[1]ratio_ins!$B:$B,0))</f>
        <v>563.29473600000017</v>
      </c>
      <c r="Y500" s="10">
        <f>INDEX([1]ratio_ins!W:W,MATCH('001_population_health_zone_zs'!$B$2,[1]ratio_ins!$B:$B,0))*$G500*INDEX([1]ratio_ins!$C:$C,MATCH('001_population_health_zone_zs'!$B500,[1]ratio_ins!$B:$B,0))</f>
        <v>375.52982400000008</v>
      </c>
      <c r="Z500" s="10">
        <f>INDEX([1]ratio_ins!X:X,MATCH('001_population_health_zone_zs'!$B$2,[1]ratio_ins!$B:$B,0))*$G500*INDEX([1]ratio_ins!$C:$C,MATCH('001_population_health_zone_zs'!$B500,[1]ratio_ins!$B:$B,0))</f>
        <v>187.76491200000004</v>
      </c>
      <c r="AA500" s="10">
        <f>INDEX([1]ratio_ins!Y:Y,MATCH('001_population_health_zone_zs'!$B$2,[1]ratio_ins!$B:$B,0))*$G500*INDEX([1]ratio_ins!$C:$C,MATCH('001_population_health_zone_zs'!$B500,[1]ratio_ins!$B:$B,0))</f>
        <v>93.882456000000019</v>
      </c>
      <c r="AB500" s="11">
        <f>INDEX([1]ratio_ins!Z:Z,MATCH('001_population_health_zone_zs'!$B$2,[1]ratio_ins!$B:$B,0))*$G500*INDEX([1]ratio_ins!$C:$C,MATCH('001_population_health_zone_zs'!$B500,[1]ratio_ins!$B:$B,0))</f>
        <v>1220.4719280000002</v>
      </c>
      <c r="AC500" s="12">
        <f t="shared" si="42"/>
        <v>46941.228000000003</v>
      </c>
      <c r="AD500" s="10">
        <f>INDEX([1]ratio_ins!AA:AA,MATCH('001_population_health_zone_zs'!$B$2,[1]ratio_ins!$B:$B,0))*$G500*INDEX([1]ratio_ins!$D:$D,MATCH('001_population_health_zone_zs'!$B500,[1]ratio_ins!$B:$B,0))</f>
        <v>10178.232120000001</v>
      </c>
      <c r="AE500" s="10">
        <f>INDEX([1]ratio_ins!AB:AB,MATCH('001_population_health_zone_zs'!$B$2,[1]ratio_ins!$B:$B,0))*$G500*INDEX([1]ratio_ins!$D:$D,MATCH('001_population_health_zone_zs'!$B500,[1]ratio_ins!$B:$B,0))</f>
        <v>8384.9245559999999</v>
      </c>
      <c r="AF500" s="10">
        <f>INDEX([1]ratio_ins!AC:AC,MATCH('001_population_health_zone_zs'!$B$2,[1]ratio_ins!$B:$B,0))*$G500*INDEX([1]ratio_ins!$D:$D,MATCH('001_population_health_zone_zs'!$B500,[1]ratio_ins!$B:$B,0))</f>
        <v>6640.0847639999993</v>
      </c>
      <c r="AG500" s="10">
        <f>INDEX([1]ratio_ins!AD:AD,MATCH('001_population_health_zone_zs'!$B$2,[1]ratio_ins!$B:$B,0))*$G500*INDEX([1]ratio_ins!$D:$D,MATCH('001_population_health_zone_zs'!$B500,[1]ratio_ins!$B:$B,0))</f>
        <v>4022.8250760000001</v>
      </c>
      <c r="AH500" s="10">
        <f>INDEX([1]ratio_ins!AE:AE,MATCH('001_population_health_zone_zs'!$B$2,[1]ratio_ins!$B:$B,0))*$G500*INDEX([1]ratio_ins!$D:$D,MATCH('001_population_health_zone_zs'!$B500,[1]ratio_ins!$B:$B,0))</f>
        <v>2413.6950456</v>
      </c>
      <c r="AI500" s="13">
        <f>INDEX([1]ratio_ins!AF:AF,MATCH('001_population_health_zone_zs'!$B$2,[1]ratio_ins!$B:$B,0))*$G500*INDEX([1]ratio_ins!$D:$D,MATCH('001_population_health_zone_zs'!$B500,[1]ratio_ins!$B:$B,0))</f>
        <v>27616.936485599999</v>
      </c>
      <c r="AJ500" s="10">
        <f>INDEX([1]ratio_ins!AG:AG,MATCH('001_population_health_zone_zs'!$B$2,[1]ratio_ins!$B:$B,0))*$G500*INDEX([1]ratio_ins!$D:$D,MATCH('001_population_health_zone_zs'!$B500,[1]ratio_ins!$B:$B,0))</f>
        <v>1609.1300304000001</v>
      </c>
      <c r="AK500" s="10">
        <f>INDEX([1]ratio_ins!AH:AH,MATCH('001_population_health_zone_zs'!$B$2,[1]ratio_ins!$B:$B,0))*$G500*INDEX([1]ratio_ins!$D:$D,MATCH('001_population_health_zone_zs'!$B500,[1]ratio_ins!$B:$B,0))</f>
        <v>3586.6151280000004</v>
      </c>
      <c r="AL500" s="10">
        <f>INDEX([1]ratio_ins!AI:AI,MATCH('001_population_health_zone_zs'!$B$2,[1]ratio_ins!$B:$B,0))*$G500*INDEX([1]ratio_ins!$D:$D,MATCH('001_population_health_zone_zs'!$B500,[1]ratio_ins!$B:$B,0))</f>
        <v>3392.7440400000005</v>
      </c>
      <c r="AM500" s="10">
        <f>INDEX([1]ratio_ins!AJ:AJ,MATCH('001_population_health_zone_zs'!$B$2,[1]ratio_ins!$B:$B,0))*$G500*INDEX([1]ratio_ins!$D:$D,MATCH('001_population_health_zone_zs'!$B500,[1]ratio_ins!$B:$B,0))</f>
        <v>3101.9374080000002</v>
      </c>
      <c r="AN500" s="10">
        <f>INDEX([1]ratio_ins!AK:AK,MATCH('001_population_health_zone_zs'!$B$2,[1]ratio_ins!$B:$B,0))*$G500*INDEX([1]ratio_ins!$D:$D,MATCH('001_population_health_zone_zs'!$B500,[1]ratio_ins!$B:$B,0))</f>
        <v>2908.0663199999999</v>
      </c>
      <c r="AO500" s="10">
        <f>INDEX([1]ratio_ins!AL:AL,MATCH('001_population_health_zone_zs'!$B$2,[1]ratio_ins!$B:$B,0))*$G500*INDEX([1]ratio_ins!$D:$D,MATCH('001_population_health_zone_zs'!$B500,[1]ratio_ins!$B:$B,0))</f>
        <v>2181.0497399999999</v>
      </c>
      <c r="AP500" s="10">
        <f>INDEX([1]ratio_ins!AM:AM,MATCH('001_population_health_zone_zs'!$B$2,[1]ratio_ins!$B:$B,0))*$G500*INDEX([1]ratio_ins!$D:$D,MATCH('001_population_health_zone_zs'!$B500,[1]ratio_ins!$B:$B,0))</f>
        <v>1405.565388</v>
      </c>
      <c r="AQ500" s="10">
        <f>INDEX([1]ratio_ins!AN:AN,MATCH('001_population_health_zone_zs'!$B$2,[1]ratio_ins!$B:$B,0))*$G500*INDEX([1]ratio_ins!$D:$D,MATCH('001_population_health_zone_zs'!$B500,[1]ratio_ins!$B:$B,0))</f>
        <v>1114.7587560000002</v>
      </c>
      <c r="AR500" s="10">
        <f>INDEX([1]ratio_ins!AO:AO,MATCH('001_population_health_zone_zs'!$B$2,[1]ratio_ins!$B:$B,0))*$G500*INDEX([1]ratio_ins!$D:$D,MATCH('001_population_health_zone_zs'!$B500,[1]ratio_ins!$B:$B,0))</f>
        <v>533.14549199999999</v>
      </c>
      <c r="AS500" s="13">
        <f>INDEX([1]ratio_ins!AP:AP,MATCH('001_population_health_zone_zs'!$B$2,[1]ratio_ins!$B:$B,0))*$G500*INDEX([1]ratio_ins!$D:$D,MATCH('001_population_health_zone_zs'!$B500,[1]ratio_ins!$B:$B,0))</f>
        <v>19833.012302400002</v>
      </c>
      <c r="AT500" s="10">
        <f>INDEX([1]ratio_ins!AQ:AQ,MATCH('001_population_health_zone_zs'!$B$2,[1]ratio_ins!$B:$B,0))*$G500*INDEX([1]ratio_ins!$D:$D,MATCH('001_population_health_zone_zs'!$B500,[1]ratio_ins!$B:$B,0))</f>
        <v>484.67772000000002</v>
      </c>
      <c r="AU500" s="10">
        <f>INDEX([1]ratio_ins!AR:AR,MATCH('001_population_health_zone_zs'!$B$2,[1]ratio_ins!$B:$B,0))*$G500*INDEX([1]ratio_ins!$D:$D,MATCH('001_population_health_zone_zs'!$B500,[1]ratio_ins!$B:$B,0))</f>
        <v>290.80663200000004</v>
      </c>
      <c r="AV500" s="10">
        <f>INDEX([1]ratio_ins!AS:AS,MATCH('001_population_health_zone_zs'!$B$2,[1]ratio_ins!$B:$B,0))*$G500*INDEX([1]ratio_ins!$D:$D,MATCH('001_population_health_zone_zs'!$B500,[1]ratio_ins!$B:$B,0))</f>
        <v>145.40331600000002</v>
      </c>
      <c r="AW500" s="10">
        <f>INDEX([1]ratio_ins!AT:AT,MATCH('001_population_health_zone_zs'!$B$2,[1]ratio_ins!$B:$B,0))*$G500*INDEX([1]ratio_ins!$D:$D,MATCH('001_population_health_zone_zs'!$B500,[1]ratio_ins!$B:$B,0))</f>
        <v>96.935544000000007</v>
      </c>
      <c r="AX500" s="13">
        <f>INDEX([1]ratio_ins!AU:AU,MATCH('001_population_health_zone_zs'!$B$2,[1]ratio_ins!$B:$B,0))*$G500*INDEX([1]ratio_ins!$D:$D,MATCH('001_population_health_zone_zs'!$B500,[1]ratio_ins!$B:$B,0))</f>
        <v>1017.8232119999999</v>
      </c>
      <c r="AY500" s="14">
        <f t="shared" si="43"/>
        <v>48467.772000000004</v>
      </c>
      <c r="AZ500" s="15">
        <f t="shared" si="44"/>
        <v>95409</v>
      </c>
      <c r="BA500" s="16">
        <v>91866.243969065152</v>
      </c>
      <c r="BB500" s="10">
        <f t="shared" si="45"/>
        <v>20598.803099999997</v>
      </c>
      <c r="BC500" s="17">
        <f t="shared" si="46"/>
        <v>0.21589999999999998</v>
      </c>
      <c r="BD500" s="10">
        <f t="shared" si="47"/>
        <v>19574.492076000002</v>
      </c>
    </row>
    <row r="501" spans="1:56" x14ac:dyDescent="0.25">
      <c r="A501" s="8" t="s">
        <v>1178</v>
      </c>
      <c r="B501" s="8" t="s">
        <v>1179</v>
      </c>
      <c r="C501" s="8" t="s">
        <v>1230</v>
      </c>
      <c r="D501" s="8" t="s">
        <v>1231</v>
      </c>
      <c r="E501" s="8" t="s">
        <v>476</v>
      </c>
      <c r="F501" s="8" t="s">
        <v>1236</v>
      </c>
      <c r="G501" s="9">
        <v>103034</v>
      </c>
      <c r="H501" s="10">
        <f>INDEX([1]ratio_ins!F:F,MATCH('001_population_health_zone_zs'!$B$2,[1]ratio_ins!$B:$B,0))*$G501*INDEX([1]ratio_ins!$C:$C,MATCH('001_population_health_zone_zs'!$B501,[1]ratio_ins!$B:$B,0))</f>
        <v>10594.780152000001</v>
      </c>
      <c r="I501" s="10">
        <f>INDEX([1]ratio_ins!G:G,MATCH('001_population_health_zone_zs'!$B$2,[1]ratio_ins!$B:$B,0))*$G501*INDEX([1]ratio_ins!$C:$C,MATCH('001_population_health_zone_zs'!$B501,[1]ratio_ins!$B:$B,0))</f>
        <v>8668.4564880000016</v>
      </c>
      <c r="J501" s="10">
        <f>INDEX([1]ratio_ins!H:H,MATCH('001_population_health_zone_zs'!$B$2,[1]ratio_ins!$B:$B,0))*$G501*INDEX([1]ratio_ins!$C:$C,MATCH('001_population_health_zone_zs'!$B501,[1]ratio_ins!$B:$B,0))</f>
        <v>6843.5182800000011</v>
      </c>
      <c r="K501" s="10">
        <f>INDEX([1]ratio_ins!I:I,MATCH('001_population_health_zone_zs'!$B$2,[1]ratio_ins!$B:$B,0))*$G501*INDEX([1]ratio_ins!$C:$C,MATCH('001_population_health_zone_zs'!$B501,[1]ratio_ins!$B:$B,0))</f>
        <v>4207.4964240000008</v>
      </c>
      <c r="L501" s="10">
        <f>INDEX([1]ratio_ins!J:J,MATCH('001_population_health_zone_zs'!$B$2,[1]ratio_ins!$B:$B,0))*$G501*INDEX([1]ratio_ins!$C:$C,MATCH('001_population_health_zone_zs'!$B501,[1]ratio_ins!$B:$B,0))</f>
        <v>2524.4978544000001</v>
      </c>
      <c r="M501" s="11">
        <f>INDEX([1]ratio_ins!K:K,MATCH('001_population_health_zone_zs'!$B$2,[1]ratio_ins!$B:$B,0))*$G501*INDEX([1]ratio_ins!$C:$C,MATCH('001_population_health_zone_zs'!$B501,[1]ratio_ins!$B:$B,0))</f>
        <v>28631.2527744</v>
      </c>
      <c r="N501" s="10">
        <f>INDEX([1]ratio_ins!L:L,MATCH('001_population_health_zone_zs'!$B$2,[1]ratio_ins!$B:$B,0))*$G501*INDEX([1]ratio_ins!$C:$C,MATCH('001_population_health_zone_zs'!$B501,[1]ratio_ins!$B:$B,0))</f>
        <v>1682.9985696000001</v>
      </c>
      <c r="O501" s="10">
        <f>INDEX([1]ratio_ins!M:M,MATCH('001_population_health_zone_zs'!$B$2,[1]ratio_ins!$B:$B,0))*$G501*INDEX([1]ratio_ins!$C:$C,MATCH('001_population_health_zone_zs'!$B501,[1]ratio_ins!$B:$B,0))</f>
        <v>3649.876416000001</v>
      </c>
      <c r="P501" s="10">
        <f>INDEX([1]ratio_ins!N:N,MATCH('001_population_health_zone_zs'!$B$2,[1]ratio_ins!$B:$B,0))*$G501*INDEX([1]ratio_ins!$C:$C,MATCH('001_population_health_zone_zs'!$B501,[1]ratio_ins!$B:$B,0))</f>
        <v>3295.0273200000001</v>
      </c>
      <c r="Q501" s="10">
        <f>INDEX([1]ratio_ins!O:O,MATCH('001_population_health_zone_zs'!$B$2,[1]ratio_ins!$B:$B,0))*$G501*INDEX([1]ratio_ins!$C:$C,MATCH('001_population_health_zone_zs'!$B501,[1]ratio_ins!$B:$B,0))</f>
        <v>2940.1782240000002</v>
      </c>
      <c r="R501" s="10">
        <f>INDEX([1]ratio_ins!P:P,MATCH('001_population_health_zone_zs'!$B$2,[1]ratio_ins!$B:$B,0))*$G501*INDEX([1]ratio_ins!$C:$C,MATCH('001_population_health_zone_zs'!$B501,[1]ratio_ins!$B:$B,0))</f>
        <v>2889.4854960000002</v>
      </c>
      <c r="S501" s="10">
        <f>INDEX([1]ratio_ins!Q:Q,MATCH('001_population_health_zone_zs'!$B$2,[1]ratio_ins!$B:$B,0))*$G501*INDEX([1]ratio_ins!$C:$C,MATCH('001_population_health_zone_zs'!$B501,[1]ratio_ins!$B:$B,0))</f>
        <v>2433.2509440000003</v>
      </c>
      <c r="T501" s="10">
        <f>INDEX([1]ratio_ins!R:R,MATCH('001_population_health_zone_zs'!$B$2,[1]ratio_ins!$B:$B,0))*$G501*INDEX([1]ratio_ins!$C:$C,MATCH('001_population_health_zone_zs'!$B501,[1]ratio_ins!$B:$B,0))</f>
        <v>1723.5527520000003</v>
      </c>
      <c r="U501" s="10">
        <f>INDEX([1]ratio_ins!S:S,MATCH('001_population_health_zone_zs'!$B$2,[1]ratio_ins!$B:$B,0))*$G501*INDEX([1]ratio_ins!$C:$C,MATCH('001_population_health_zone_zs'!$B501,[1]ratio_ins!$B:$B,0))</f>
        <v>1368.7036560000001</v>
      </c>
      <c r="V501" s="10">
        <f>INDEX([1]ratio_ins!T:T,MATCH('001_population_health_zone_zs'!$B$2,[1]ratio_ins!$B:$B,0))*$G501*INDEX([1]ratio_ins!$C:$C,MATCH('001_population_health_zone_zs'!$B501,[1]ratio_ins!$B:$B,0))</f>
        <v>760.39092000000005</v>
      </c>
      <c r="W501" s="11">
        <f>INDEX([1]ratio_ins!U:U,MATCH('001_population_health_zone_zs'!$B$2,[1]ratio_ins!$B:$B,0))*$G501*INDEX([1]ratio_ins!$C:$C,MATCH('001_population_health_zone_zs'!$B501,[1]ratio_ins!$B:$B,0))</f>
        <v>20743.464297600003</v>
      </c>
      <c r="X501" s="10">
        <f>INDEX([1]ratio_ins!V:V,MATCH('001_population_health_zone_zs'!$B$2,[1]ratio_ins!$B:$B,0))*$G501*INDEX([1]ratio_ins!$C:$C,MATCH('001_population_health_zone_zs'!$B501,[1]ratio_ins!$B:$B,0))</f>
        <v>608.31273600000009</v>
      </c>
      <c r="Y501" s="10">
        <f>INDEX([1]ratio_ins!W:W,MATCH('001_population_health_zone_zs'!$B$2,[1]ratio_ins!$B:$B,0))*$G501*INDEX([1]ratio_ins!$C:$C,MATCH('001_population_health_zone_zs'!$B501,[1]ratio_ins!$B:$B,0))</f>
        <v>405.54182400000008</v>
      </c>
      <c r="Z501" s="10">
        <f>INDEX([1]ratio_ins!X:X,MATCH('001_population_health_zone_zs'!$B$2,[1]ratio_ins!$B:$B,0))*$G501*INDEX([1]ratio_ins!$C:$C,MATCH('001_population_health_zone_zs'!$B501,[1]ratio_ins!$B:$B,0))</f>
        <v>202.77091200000004</v>
      </c>
      <c r="AA501" s="10">
        <f>INDEX([1]ratio_ins!Y:Y,MATCH('001_population_health_zone_zs'!$B$2,[1]ratio_ins!$B:$B,0))*$G501*INDEX([1]ratio_ins!$C:$C,MATCH('001_population_health_zone_zs'!$B501,[1]ratio_ins!$B:$B,0))</f>
        <v>101.38545600000002</v>
      </c>
      <c r="AB501" s="11">
        <f>INDEX([1]ratio_ins!Z:Z,MATCH('001_population_health_zone_zs'!$B$2,[1]ratio_ins!$B:$B,0))*$G501*INDEX([1]ratio_ins!$C:$C,MATCH('001_population_health_zone_zs'!$B501,[1]ratio_ins!$B:$B,0))</f>
        <v>1318.0109280000001</v>
      </c>
      <c r="AC501" s="12">
        <f t="shared" si="42"/>
        <v>50692.728000000003</v>
      </c>
      <c r="AD501" s="10">
        <f>INDEX([1]ratio_ins!AA:AA,MATCH('001_population_health_zone_zs'!$B$2,[1]ratio_ins!$B:$B,0))*$G501*INDEX([1]ratio_ins!$D:$D,MATCH('001_population_health_zone_zs'!$B501,[1]ratio_ins!$B:$B,0))</f>
        <v>10991.66712</v>
      </c>
      <c r="AE501" s="10">
        <f>INDEX([1]ratio_ins!AB:AB,MATCH('001_population_health_zone_zs'!$B$2,[1]ratio_ins!$B:$B,0))*$G501*INDEX([1]ratio_ins!$D:$D,MATCH('001_population_health_zone_zs'!$B501,[1]ratio_ins!$B:$B,0))</f>
        <v>9055.0400560000016</v>
      </c>
      <c r="AF501" s="10">
        <f>INDEX([1]ratio_ins!AC:AC,MATCH('001_population_health_zone_zs'!$B$2,[1]ratio_ins!$B:$B,0))*$G501*INDEX([1]ratio_ins!$D:$D,MATCH('001_population_health_zone_zs'!$B501,[1]ratio_ins!$B:$B,0))</f>
        <v>7170.7542639999992</v>
      </c>
      <c r="AG501" s="10">
        <f>INDEX([1]ratio_ins!AD:AD,MATCH('001_population_health_zone_zs'!$B$2,[1]ratio_ins!$B:$B,0))*$G501*INDEX([1]ratio_ins!$D:$D,MATCH('001_population_health_zone_zs'!$B501,[1]ratio_ins!$B:$B,0))</f>
        <v>4344.3255760000002</v>
      </c>
      <c r="AH501" s="10">
        <f>INDEX([1]ratio_ins!AE:AE,MATCH('001_population_health_zone_zs'!$B$2,[1]ratio_ins!$B:$B,0))*$G501*INDEX([1]ratio_ins!$D:$D,MATCH('001_population_health_zone_zs'!$B501,[1]ratio_ins!$B:$B,0))</f>
        <v>2606.5953455999997</v>
      </c>
      <c r="AI501" s="13">
        <f>INDEX([1]ratio_ins!AF:AF,MATCH('001_population_health_zone_zs'!$B$2,[1]ratio_ins!$B:$B,0))*$G501*INDEX([1]ratio_ins!$D:$D,MATCH('001_population_health_zone_zs'!$B501,[1]ratio_ins!$B:$B,0))</f>
        <v>29824.056785599998</v>
      </c>
      <c r="AJ501" s="10">
        <f>INDEX([1]ratio_ins!AG:AG,MATCH('001_population_health_zone_zs'!$B$2,[1]ratio_ins!$B:$B,0))*$G501*INDEX([1]ratio_ins!$D:$D,MATCH('001_population_health_zone_zs'!$B501,[1]ratio_ins!$B:$B,0))</f>
        <v>1737.7302304</v>
      </c>
      <c r="AK501" s="10">
        <f>INDEX([1]ratio_ins!AH:AH,MATCH('001_population_health_zone_zs'!$B$2,[1]ratio_ins!$B:$B,0))*$G501*INDEX([1]ratio_ins!$D:$D,MATCH('001_population_health_zone_zs'!$B501,[1]ratio_ins!$B:$B,0))</f>
        <v>3873.2541280000009</v>
      </c>
      <c r="AL501" s="10">
        <f>INDEX([1]ratio_ins!AI:AI,MATCH('001_population_health_zone_zs'!$B$2,[1]ratio_ins!$B:$B,0))*$G501*INDEX([1]ratio_ins!$D:$D,MATCH('001_population_health_zone_zs'!$B501,[1]ratio_ins!$B:$B,0))</f>
        <v>3663.8890400000005</v>
      </c>
      <c r="AM501" s="10">
        <f>INDEX([1]ratio_ins!AJ:AJ,MATCH('001_population_health_zone_zs'!$B$2,[1]ratio_ins!$B:$B,0))*$G501*INDEX([1]ratio_ins!$D:$D,MATCH('001_population_health_zone_zs'!$B501,[1]ratio_ins!$B:$B,0))</f>
        <v>3349.8414080000002</v>
      </c>
      <c r="AN501" s="10">
        <f>INDEX([1]ratio_ins!AK:AK,MATCH('001_population_health_zone_zs'!$B$2,[1]ratio_ins!$B:$B,0))*$G501*INDEX([1]ratio_ins!$D:$D,MATCH('001_population_health_zone_zs'!$B501,[1]ratio_ins!$B:$B,0))</f>
        <v>3140.4763200000002</v>
      </c>
      <c r="AO501" s="10">
        <f>INDEX([1]ratio_ins!AL:AL,MATCH('001_population_health_zone_zs'!$B$2,[1]ratio_ins!$B:$B,0))*$G501*INDEX([1]ratio_ins!$D:$D,MATCH('001_population_health_zone_zs'!$B501,[1]ratio_ins!$B:$B,0))</f>
        <v>2355.3572399999998</v>
      </c>
      <c r="AP501" s="10">
        <f>INDEX([1]ratio_ins!AM:AM,MATCH('001_population_health_zone_zs'!$B$2,[1]ratio_ins!$B:$B,0))*$G501*INDEX([1]ratio_ins!$D:$D,MATCH('001_population_health_zone_zs'!$B501,[1]ratio_ins!$B:$B,0))</f>
        <v>1517.896888</v>
      </c>
      <c r="AQ501" s="10">
        <f>INDEX([1]ratio_ins!AN:AN,MATCH('001_population_health_zone_zs'!$B$2,[1]ratio_ins!$B:$B,0))*$G501*INDEX([1]ratio_ins!$D:$D,MATCH('001_population_health_zone_zs'!$B501,[1]ratio_ins!$B:$B,0))</f>
        <v>1203.8492560000002</v>
      </c>
      <c r="AR501" s="10">
        <f>INDEX([1]ratio_ins!AO:AO,MATCH('001_population_health_zone_zs'!$B$2,[1]ratio_ins!$B:$B,0))*$G501*INDEX([1]ratio_ins!$D:$D,MATCH('001_population_health_zone_zs'!$B501,[1]ratio_ins!$B:$B,0))</f>
        <v>575.75399200000004</v>
      </c>
      <c r="AS501" s="13">
        <f>INDEX([1]ratio_ins!AP:AP,MATCH('001_population_health_zone_zs'!$B$2,[1]ratio_ins!$B:$B,0))*$G501*INDEX([1]ratio_ins!$D:$D,MATCH('001_population_health_zone_zs'!$B501,[1]ratio_ins!$B:$B,0))</f>
        <v>21418.048502400001</v>
      </c>
      <c r="AT501" s="10">
        <f>INDEX([1]ratio_ins!AQ:AQ,MATCH('001_population_health_zone_zs'!$B$2,[1]ratio_ins!$B:$B,0))*$G501*INDEX([1]ratio_ins!$D:$D,MATCH('001_population_health_zone_zs'!$B501,[1]ratio_ins!$B:$B,0))</f>
        <v>523.41271999999992</v>
      </c>
      <c r="AU501" s="10">
        <f>INDEX([1]ratio_ins!AR:AR,MATCH('001_population_health_zone_zs'!$B$2,[1]ratio_ins!$B:$B,0))*$G501*INDEX([1]ratio_ins!$D:$D,MATCH('001_population_health_zone_zs'!$B501,[1]ratio_ins!$B:$B,0))</f>
        <v>314.04763200000002</v>
      </c>
      <c r="AV501" s="10">
        <f>INDEX([1]ratio_ins!AS:AS,MATCH('001_population_health_zone_zs'!$B$2,[1]ratio_ins!$B:$B,0))*$G501*INDEX([1]ratio_ins!$D:$D,MATCH('001_population_health_zone_zs'!$B501,[1]ratio_ins!$B:$B,0))</f>
        <v>157.02381600000001</v>
      </c>
      <c r="AW501" s="10">
        <f>INDEX([1]ratio_ins!AT:AT,MATCH('001_population_health_zone_zs'!$B$2,[1]ratio_ins!$B:$B,0))*$G501*INDEX([1]ratio_ins!$D:$D,MATCH('001_population_health_zone_zs'!$B501,[1]ratio_ins!$B:$B,0))</f>
        <v>104.68254400000001</v>
      </c>
      <c r="AX501" s="13">
        <f>INDEX([1]ratio_ins!AU:AU,MATCH('001_population_health_zone_zs'!$B$2,[1]ratio_ins!$B:$B,0))*$G501*INDEX([1]ratio_ins!$D:$D,MATCH('001_population_health_zone_zs'!$B501,[1]ratio_ins!$B:$B,0))</f>
        <v>1099.166712</v>
      </c>
      <c r="AY501" s="14">
        <f t="shared" si="43"/>
        <v>52341.271999999997</v>
      </c>
      <c r="AZ501" s="15">
        <f t="shared" si="44"/>
        <v>103034</v>
      </c>
      <c r="BA501" s="16">
        <v>99207.775032790276</v>
      </c>
      <c r="BB501" s="10">
        <f t="shared" si="45"/>
        <v>22245.0406</v>
      </c>
      <c r="BC501" s="17">
        <f t="shared" si="46"/>
        <v>0.21590000000000001</v>
      </c>
      <c r="BD501" s="10">
        <f t="shared" si="47"/>
        <v>21138.867576000001</v>
      </c>
    </row>
    <row r="502" spans="1:56" x14ac:dyDescent="0.25">
      <c r="A502" s="8" t="s">
        <v>1178</v>
      </c>
      <c r="B502" s="8" t="s">
        <v>1179</v>
      </c>
      <c r="C502" s="8" t="s">
        <v>1230</v>
      </c>
      <c r="D502" s="8" t="s">
        <v>1231</v>
      </c>
      <c r="E502" s="8" t="s">
        <v>1237</v>
      </c>
      <c r="F502" s="8" t="s">
        <v>1238</v>
      </c>
      <c r="G502" s="9">
        <v>118217</v>
      </c>
      <c r="H502" s="10">
        <f>INDEX([1]ratio_ins!F:F,MATCH('001_population_health_zone_zs'!$B$2,[1]ratio_ins!$B:$B,0))*$G502*INDEX([1]ratio_ins!$C:$C,MATCH('001_population_health_zone_zs'!$B502,[1]ratio_ins!$B:$B,0))</f>
        <v>12156.017676000001</v>
      </c>
      <c r="I502" s="10">
        <f>INDEX([1]ratio_ins!G:G,MATCH('001_population_health_zone_zs'!$B$2,[1]ratio_ins!$B:$B,0))*$G502*INDEX([1]ratio_ins!$C:$C,MATCH('001_population_health_zone_zs'!$B502,[1]ratio_ins!$B:$B,0))</f>
        <v>9945.8326440000001</v>
      </c>
      <c r="J502" s="10">
        <f>INDEX([1]ratio_ins!H:H,MATCH('001_population_health_zone_zs'!$B$2,[1]ratio_ins!$B:$B,0))*$G502*INDEX([1]ratio_ins!$C:$C,MATCH('001_population_health_zone_zs'!$B502,[1]ratio_ins!$B:$B,0))</f>
        <v>7851.9731400000019</v>
      </c>
      <c r="K502" s="10">
        <f>INDEX([1]ratio_ins!I:I,MATCH('001_population_health_zone_zs'!$B$2,[1]ratio_ins!$B:$B,0))*$G502*INDEX([1]ratio_ins!$C:$C,MATCH('001_population_health_zone_zs'!$B502,[1]ratio_ins!$B:$B,0))</f>
        <v>4827.5094120000003</v>
      </c>
      <c r="L502" s="10">
        <f>INDEX([1]ratio_ins!J:J,MATCH('001_population_health_zone_zs'!$B$2,[1]ratio_ins!$B:$B,0))*$G502*INDEX([1]ratio_ins!$C:$C,MATCH('001_population_health_zone_zs'!$B502,[1]ratio_ins!$B:$B,0))</f>
        <v>2896.5056472000001</v>
      </c>
      <c r="M502" s="11">
        <f>INDEX([1]ratio_ins!K:K,MATCH('001_population_health_zone_zs'!$B$2,[1]ratio_ins!$B:$B,0))*$G502*INDEX([1]ratio_ins!$C:$C,MATCH('001_population_health_zone_zs'!$B502,[1]ratio_ins!$B:$B,0))</f>
        <v>32850.329107199999</v>
      </c>
      <c r="N502" s="10">
        <f>INDEX([1]ratio_ins!L:L,MATCH('001_population_health_zone_zs'!$B$2,[1]ratio_ins!$B:$B,0))*$G502*INDEX([1]ratio_ins!$C:$C,MATCH('001_population_health_zone_zs'!$B502,[1]ratio_ins!$B:$B,0))</f>
        <v>1931.0037648000002</v>
      </c>
      <c r="O502" s="10">
        <f>INDEX([1]ratio_ins!M:M,MATCH('001_population_health_zone_zs'!$B$2,[1]ratio_ins!$B:$B,0))*$G502*INDEX([1]ratio_ins!$C:$C,MATCH('001_population_health_zone_zs'!$B502,[1]ratio_ins!$B:$B,0))</f>
        <v>4187.7190080000009</v>
      </c>
      <c r="P502" s="10">
        <f>INDEX([1]ratio_ins!N:N,MATCH('001_population_health_zone_zs'!$B$2,[1]ratio_ins!$B:$B,0))*$G502*INDEX([1]ratio_ins!$C:$C,MATCH('001_population_health_zone_zs'!$B502,[1]ratio_ins!$B:$B,0))</f>
        <v>3780.5796600000008</v>
      </c>
      <c r="Q502" s="10">
        <f>INDEX([1]ratio_ins!O:O,MATCH('001_population_health_zone_zs'!$B$2,[1]ratio_ins!$B:$B,0))*$G502*INDEX([1]ratio_ins!$C:$C,MATCH('001_population_health_zone_zs'!$B502,[1]ratio_ins!$B:$B,0))</f>
        <v>3373.4403120000002</v>
      </c>
      <c r="R502" s="10">
        <f>INDEX([1]ratio_ins!P:P,MATCH('001_population_health_zone_zs'!$B$2,[1]ratio_ins!$B:$B,0))*$G502*INDEX([1]ratio_ins!$C:$C,MATCH('001_population_health_zone_zs'!$B502,[1]ratio_ins!$B:$B,0))</f>
        <v>3315.2775480000005</v>
      </c>
      <c r="S502" s="10">
        <f>INDEX([1]ratio_ins!Q:Q,MATCH('001_population_health_zone_zs'!$B$2,[1]ratio_ins!$B:$B,0))*$G502*INDEX([1]ratio_ins!$C:$C,MATCH('001_population_health_zone_zs'!$B502,[1]ratio_ins!$B:$B,0))</f>
        <v>2791.8126720000005</v>
      </c>
      <c r="T502" s="10">
        <f>INDEX([1]ratio_ins!R:R,MATCH('001_population_health_zone_zs'!$B$2,[1]ratio_ins!$B:$B,0))*$G502*INDEX([1]ratio_ins!$C:$C,MATCH('001_population_health_zone_zs'!$B502,[1]ratio_ins!$B:$B,0))</f>
        <v>1977.5339760000002</v>
      </c>
      <c r="U502" s="10">
        <f>INDEX([1]ratio_ins!S:S,MATCH('001_population_health_zone_zs'!$B$2,[1]ratio_ins!$B:$B,0))*$G502*INDEX([1]ratio_ins!$C:$C,MATCH('001_population_health_zone_zs'!$B502,[1]ratio_ins!$B:$B,0))</f>
        <v>1570.3946280000002</v>
      </c>
      <c r="V502" s="10">
        <f>INDEX([1]ratio_ins!T:T,MATCH('001_population_health_zone_zs'!$B$2,[1]ratio_ins!$B:$B,0))*$G502*INDEX([1]ratio_ins!$C:$C,MATCH('001_population_health_zone_zs'!$B502,[1]ratio_ins!$B:$B,0))</f>
        <v>872.44146000000001</v>
      </c>
      <c r="W502" s="11">
        <f>INDEX([1]ratio_ins!U:U,MATCH('001_population_health_zone_zs'!$B$2,[1]ratio_ins!$B:$B,0))*$G502*INDEX([1]ratio_ins!$C:$C,MATCH('001_population_health_zone_zs'!$B502,[1]ratio_ins!$B:$B,0))</f>
        <v>23800.203028800002</v>
      </c>
      <c r="X502" s="10">
        <f>INDEX([1]ratio_ins!V:V,MATCH('001_population_health_zone_zs'!$B$2,[1]ratio_ins!$B:$B,0))*$G502*INDEX([1]ratio_ins!$C:$C,MATCH('001_population_health_zone_zs'!$B502,[1]ratio_ins!$B:$B,0))</f>
        <v>697.95316800000012</v>
      </c>
      <c r="Y502" s="10">
        <f>INDEX([1]ratio_ins!W:W,MATCH('001_population_health_zone_zs'!$B$2,[1]ratio_ins!$B:$B,0))*$G502*INDEX([1]ratio_ins!$C:$C,MATCH('001_population_health_zone_zs'!$B502,[1]ratio_ins!$B:$B,0))</f>
        <v>465.30211200000002</v>
      </c>
      <c r="Z502" s="10">
        <f>INDEX([1]ratio_ins!X:X,MATCH('001_population_health_zone_zs'!$B$2,[1]ratio_ins!$B:$B,0))*$G502*INDEX([1]ratio_ins!$C:$C,MATCH('001_population_health_zone_zs'!$B502,[1]ratio_ins!$B:$B,0))</f>
        <v>232.65105600000001</v>
      </c>
      <c r="AA502" s="10">
        <f>INDEX([1]ratio_ins!Y:Y,MATCH('001_population_health_zone_zs'!$B$2,[1]ratio_ins!$B:$B,0))*$G502*INDEX([1]ratio_ins!$C:$C,MATCH('001_population_health_zone_zs'!$B502,[1]ratio_ins!$B:$B,0))</f>
        <v>116.32552800000001</v>
      </c>
      <c r="AB502" s="11">
        <f>INDEX([1]ratio_ins!Z:Z,MATCH('001_population_health_zone_zs'!$B$2,[1]ratio_ins!$B:$B,0))*$G502*INDEX([1]ratio_ins!$C:$C,MATCH('001_population_health_zone_zs'!$B502,[1]ratio_ins!$B:$B,0))</f>
        <v>1512.2318640000003</v>
      </c>
      <c r="AC502" s="12">
        <f t="shared" si="42"/>
        <v>58162.764000000003</v>
      </c>
      <c r="AD502" s="10">
        <f>INDEX([1]ratio_ins!AA:AA,MATCH('001_population_health_zone_zs'!$B$2,[1]ratio_ins!$B:$B,0))*$G502*INDEX([1]ratio_ins!$D:$D,MATCH('001_population_health_zone_zs'!$B502,[1]ratio_ins!$B:$B,0))</f>
        <v>12611.38956</v>
      </c>
      <c r="AE502" s="10">
        <f>INDEX([1]ratio_ins!AB:AB,MATCH('001_population_health_zone_zs'!$B$2,[1]ratio_ins!$B:$B,0))*$G502*INDEX([1]ratio_ins!$D:$D,MATCH('001_population_health_zone_zs'!$B502,[1]ratio_ins!$B:$B,0))</f>
        <v>10389.382828</v>
      </c>
      <c r="AF502" s="10">
        <f>INDEX([1]ratio_ins!AC:AC,MATCH('001_population_health_zone_zs'!$B$2,[1]ratio_ins!$B:$B,0))*$G502*INDEX([1]ratio_ins!$D:$D,MATCH('001_population_health_zone_zs'!$B502,[1]ratio_ins!$B:$B,0))</f>
        <v>8227.4303319999981</v>
      </c>
      <c r="AG502" s="10">
        <f>INDEX([1]ratio_ins!AD:AD,MATCH('001_population_health_zone_zs'!$B$2,[1]ratio_ins!$B:$B,0))*$G502*INDEX([1]ratio_ins!$D:$D,MATCH('001_population_health_zone_zs'!$B502,[1]ratio_ins!$B:$B,0))</f>
        <v>4984.5015880000001</v>
      </c>
      <c r="AH502" s="10">
        <f>INDEX([1]ratio_ins!AE:AE,MATCH('001_population_health_zone_zs'!$B$2,[1]ratio_ins!$B:$B,0))*$G502*INDEX([1]ratio_ins!$D:$D,MATCH('001_population_health_zone_zs'!$B502,[1]ratio_ins!$B:$B,0))</f>
        <v>2990.7009527999999</v>
      </c>
      <c r="AI502" s="13">
        <f>INDEX([1]ratio_ins!AF:AF,MATCH('001_population_health_zone_zs'!$B$2,[1]ratio_ins!$B:$B,0))*$G502*INDEX([1]ratio_ins!$D:$D,MATCH('001_population_health_zone_zs'!$B502,[1]ratio_ins!$B:$B,0))</f>
        <v>34218.903672799999</v>
      </c>
      <c r="AJ502" s="10">
        <f>INDEX([1]ratio_ins!AG:AG,MATCH('001_population_health_zone_zs'!$B$2,[1]ratio_ins!$B:$B,0))*$G502*INDEX([1]ratio_ins!$D:$D,MATCH('001_population_health_zone_zs'!$B502,[1]ratio_ins!$B:$B,0))</f>
        <v>1993.8006352</v>
      </c>
      <c r="AK502" s="10">
        <f>INDEX([1]ratio_ins!AH:AH,MATCH('001_population_health_zone_zs'!$B$2,[1]ratio_ins!$B:$B,0))*$G502*INDEX([1]ratio_ins!$D:$D,MATCH('001_population_health_zone_zs'!$B502,[1]ratio_ins!$B:$B,0))</f>
        <v>4444.0134640000006</v>
      </c>
      <c r="AL502" s="10">
        <f>INDEX([1]ratio_ins!AI:AI,MATCH('001_population_health_zone_zs'!$B$2,[1]ratio_ins!$B:$B,0))*$G502*INDEX([1]ratio_ins!$D:$D,MATCH('001_population_health_zone_zs'!$B502,[1]ratio_ins!$B:$B,0))</f>
        <v>4203.7965199999999</v>
      </c>
      <c r="AM502" s="10">
        <f>INDEX([1]ratio_ins!AJ:AJ,MATCH('001_population_health_zone_zs'!$B$2,[1]ratio_ins!$B:$B,0))*$G502*INDEX([1]ratio_ins!$D:$D,MATCH('001_population_health_zone_zs'!$B502,[1]ratio_ins!$B:$B,0))</f>
        <v>3843.4711040000002</v>
      </c>
      <c r="AN502" s="10">
        <f>INDEX([1]ratio_ins!AK:AK,MATCH('001_population_health_zone_zs'!$B$2,[1]ratio_ins!$B:$B,0))*$G502*INDEX([1]ratio_ins!$D:$D,MATCH('001_population_health_zone_zs'!$B502,[1]ratio_ins!$B:$B,0))</f>
        <v>3603.25416</v>
      </c>
      <c r="AO502" s="10">
        <f>INDEX([1]ratio_ins!AL:AL,MATCH('001_population_health_zone_zs'!$B$2,[1]ratio_ins!$B:$B,0))*$G502*INDEX([1]ratio_ins!$D:$D,MATCH('001_population_health_zone_zs'!$B502,[1]ratio_ins!$B:$B,0))</f>
        <v>2702.4406199999999</v>
      </c>
      <c r="AP502" s="10">
        <f>INDEX([1]ratio_ins!AM:AM,MATCH('001_population_health_zone_zs'!$B$2,[1]ratio_ins!$B:$B,0))*$G502*INDEX([1]ratio_ins!$D:$D,MATCH('001_population_health_zone_zs'!$B502,[1]ratio_ins!$B:$B,0))</f>
        <v>1741.5728439999998</v>
      </c>
      <c r="AQ502" s="10">
        <f>INDEX([1]ratio_ins!AN:AN,MATCH('001_population_health_zone_zs'!$B$2,[1]ratio_ins!$B:$B,0))*$G502*INDEX([1]ratio_ins!$D:$D,MATCH('001_population_health_zone_zs'!$B502,[1]ratio_ins!$B:$B,0))</f>
        <v>1381.2474279999999</v>
      </c>
      <c r="AR502" s="10">
        <f>INDEX([1]ratio_ins!AO:AO,MATCH('001_population_health_zone_zs'!$B$2,[1]ratio_ins!$B:$B,0))*$G502*INDEX([1]ratio_ins!$D:$D,MATCH('001_population_health_zone_zs'!$B502,[1]ratio_ins!$B:$B,0))</f>
        <v>660.59659600000009</v>
      </c>
      <c r="AS502" s="13">
        <f>INDEX([1]ratio_ins!AP:AP,MATCH('001_population_health_zone_zs'!$B$2,[1]ratio_ins!$B:$B,0))*$G502*INDEX([1]ratio_ins!$D:$D,MATCH('001_population_health_zone_zs'!$B502,[1]ratio_ins!$B:$B,0))</f>
        <v>24574.193371199999</v>
      </c>
      <c r="AT502" s="10">
        <f>INDEX([1]ratio_ins!AQ:AQ,MATCH('001_population_health_zone_zs'!$B$2,[1]ratio_ins!$B:$B,0))*$G502*INDEX([1]ratio_ins!$D:$D,MATCH('001_population_health_zone_zs'!$B502,[1]ratio_ins!$B:$B,0))</f>
        <v>600.54236000000003</v>
      </c>
      <c r="AU502" s="10">
        <f>INDEX([1]ratio_ins!AR:AR,MATCH('001_population_health_zone_zs'!$B$2,[1]ratio_ins!$B:$B,0))*$G502*INDEX([1]ratio_ins!$D:$D,MATCH('001_population_health_zone_zs'!$B502,[1]ratio_ins!$B:$B,0))</f>
        <v>360.32541600000002</v>
      </c>
      <c r="AV502" s="10">
        <f>INDEX([1]ratio_ins!AS:AS,MATCH('001_population_health_zone_zs'!$B$2,[1]ratio_ins!$B:$B,0))*$G502*INDEX([1]ratio_ins!$D:$D,MATCH('001_population_health_zone_zs'!$B502,[1]ratio_ins!$B:$B,0))</f>
        <v>180.16270800000001</v>
      </c>
      <c r="AW502" s="10">
        <f>INDEX([1]ratio_ins!AT:AT,MATCH('001_population_health_zone_zs'!$B$2,[1]ratio_ins!$B:$B,0))*$G502*INDEX([1]ratio_ins!$D:$D,MATCH('001_population_health_zone_zs'!$B502,[1]ratio_ins!$B:$B,0))</f>
        <v>120.10847200000001</v>
      </c>
      <c r="AX502" s="13">
        <f>INDEX([1]ratio_ins!AU:AU,MATCH('001_population_health_zone_zs'!$B$2,[1]ratio_ins!$B:$B,0))*$G502*INDEX([1]ratio_ins!$D:$D,MATCH('001_population_health_zone_zs'!$B502,[1]ratio_ins!$B:$B,0))</f>
        <v>1261.138956</v>
      </c>
      <c r="AY502" s="14">
        <f t="shared" si="43"/>
        <v>60054.235999999997</v>
      </c>
      <c r="AZ502" s="15">
        <f t="shared" si="44"/>
        <v>118217</v>
      </c>
      <c r="BA502" s="16">
        <v>113826.67041629698</v>
      </c>
      <c r="BB502" s="10">
        <f t="shared" si="45"/>
        <v>25523.050300000003</v>
      </c>
      <c r="BC502" s="17">
        <f t="shared" si="46"/>
        <v>0.21590000000000001</v>
      </c>
      <c r="BD502" s="10">
        <f t="shared" si="47"/>
        <v>24253.872588000002</v>
      </c>
    </row>
    <row r="503" spans="1:56" x14ac:dyDescent="0.25">
      <c r="A503" s="8" t="s">
        <v>1239</v>
      </c>
      <c r="B503" s="8" t="s">
        <v>1240</v>
      </c>
      <c r="C503" s="8" t="s">
        <v>1241</v>
      </c>
      <c r="D503" s="8" t="s">
        <v>1242</v>
      </c>
      <c r="E503" s="8" t="s">
        <v>1243</v>
      </c>
      <c r="F503" s="8" t="s">
        <v>1244</v>
      </c>
      <c r="G503" s="9">
        <v>388237</v>
      </c>
      <c r="H503" s="10">
        <f>INDEX([1]ratio_ins!F:F,MATCH('001_population_health_zone_zs'!$B$2,[1]ratio_ins!$B:$B,0))*$G503*INDEX([1]ratio_ins!$C:$C,MATCH('001_population_health_zone_zs'!$B503,[1]ratio_ins!$B:$B,0))</f>
        <v>39921.634236000005</v>
      </c>
      <c r="I503" s="10">
        <f>INDEX([1]ratio_ins!G:G,MATCH('001_population_health_zone_zs'!$B$2,[1]ratio_ins!$B:$B,0))*$G503*INDEX([1]ratio_ins!$C:$C,MATCH('001_population_health_zone_zs'!$B503,[1]ratio_ins!$B:$B,0))</f>
        <v>32663.155284000004</v>
      </c>
      <c r="J503" s="10">
        <f>INDEX([1]ratio_ins!H:H,MATCH('001_population_health_zone_zs'!$B$2,[1]ratio_ins!$B:$B,0))*$G503*INDEX([1]ratio_ins!$C:$C,MATCH('001_population_health_zone_zs'!$B503,[1]ratio_ins!$B:$B,0))</f>
        <v>25786.701540000005</v>
      </c>
      <c r="K503" s="10">
        <f>INDEX([1]ratio_ins!I:I,MATCH('001_population_health_zone_zs'!$B$2,[1]ratio_ins!$B:$B,0))*$G503*INDEX([1]ratio_ins!$C:$C,MATCH('001_population_health_zone_zs'!$B503,[1]ratio_ins!$B:$B,0))</f>
        <v>15854.046132000003</v>
      </c>
      <c r="L503" s="10">
        <f>INDEX([1]ratio_ins!J:J,MATCH('001_population_health_zone_zs'!$B$2,[1]ratio_ins!$B:$B,0))*$G503*INDEX([1]ratio_ins!$C:$C,MATCH('001_population_health_zone_zs'!$B503,[1]ratio_ins!$B:$B,0))</f>
        <v>9512.4276792000019</v>
      </c>
      <c r="M503" s="11">
        <f>INDEX([1]ratio_ins!K:K,MATCH('001_population_health_zone_zs'!$B$2,[1]ratio_ins!$B:$B,0))*$G503*INDEX([1]ratio_ins!$C:$C,MATCH('001_population_health_zone_zs'!$B503,[1]ratio_ins!$B:$B,0))</f>
        <v>107883.9187392</v>
      </c>
      <c r="N503" s="10">
        <f>INDEX([1]ratio_ins!L:L,MATCH('001_population_health_zone_zs'!$B$2,[1]ratio_ins!$B:$B,0))*$G503*INDEX([1]ratio_ins!$C:$C,MATCH('001_population_health_zone_zs'!$B503,[1]ratio_ins!$B:$B,0))</f>
        <v>6341.6184528000003</v>
      </c>
      <c r="O503" s="10">
        <f>INDEX([1]ratio_ins!M:M,MATCH('001_population_health_zone_zs'!$B$2,[1]ratio_ins!$B:$B,0))*$G503*INDEX([1]ratio_ins!$C:$C,MATCH('001_population_health_zone_zs'!$B503,[1]ratio_ins!$B:$B,0))</f>
        <v>13752.907488000003</v>
      </c>
      <c r="P503" s="10">
        <f>INDEX([1]ratio_ins!N:N,MATCH('001_population_health_zone_zs'!$B$2,[1]ratio_ins!$B:$B,0))*$G503*INDEX([1]ratio_ins!$C:$C,MATCH('001_population_health_zone_zs'!$B503,[1]ratio_ins!$B:$B,0))</f>
        <v>12415.819260000002</v>
      </c>
      <c r="Q503" s="10">
        <f>INDEX([1]ratio_ins!O:O,MATCH('001_population_health_zone_zs'!$B$2,[1]ratio_ins!$B:$B,0))*$G503*INDEX([1]ratio_ins!$C:$C,MATCH('001_population_health_zone_zs'!$B503,[1]ratio_ins!$B:$B,0))</f>
        <v>11078.731032000002</v>
      </c>
      <c r="R503" s="10">
        <f>INDEX([1]ratio_ins!P:P,MATCH('001_population_health_zone_zs'!$B$2,[1]ratio_ins!$B:$B,0))*$G503*INDEX([1]ratio_ins!$C:$C,MATCH('001_population_health_zone_zs'!$B503,[1]ratio_ins!$B:$B,0))</f>
        <v>10887.718428000002</v>
      </c>
      <c r="S503" s="10">
        <f>INDEX([1]ratio_ins!Q:Q,MATCH('001_population_health_zone_zs'!$B$2,[1]ratio_ins!$B:$B,0))*$G503*INDEX([1]ratio_ins!$C:$C,MATCH('001_population_health_zone_zs'!$B503,[1]ratio_ins!$B:$B,0))</f>
        <v>9168.6049920000005</v>
      </c>
      <c r="T503" s="10">
        <f>INDEX([1]ratio_ins!R:R,MATCH('001_population_health_zone_zs'!$B$2,[1]ratio_ins!$B:$B,0))*$G503*INDEX([1]ratio_ins!$C:$C,MATCH('001_population_health_zone_zs'!$B503,[1]ratio_ins!$B:$B,0))</f>
        <v>6494.4285360000013</v>
      </c>
      <c r="U503" s="10">
        <f>INDEX([1]ratio_ins!S:S,MATCH('001_population_health_zone_zs'!$B$2,[1]ratio_ins!$B:$B,0))*$G503*INDEX([1]ratio_ins!$C:$C,MATCH('001_population_health_zone_zs'!$B503,[1]ratio_ins!$B:$B,0))</f>
        <v>5157.3403080000007</v>
      </c>
      <c r="V503" s="10">
        <f>INDEX([1]ratio_ins!T:T,MATCH('001_population_health_zone_zs'!$B$2,[1]ratio_ins!$B:$B,0))*$G503*INDEX([1]ratio_ins!$C:$C,MATCH('001_population_health_zone_zs'!$B503,[1]ratio_ins!$B:$B,0))</f>
        <v>2865.1890600000002</v>
      </c>
      <c r="W503" s="11">
        <f>INDEX([1]ratio_ins!U:U,MATCH('001_population_health_zone_zs'!$B$2,[1]ratio_ins!$B:$B,0))*$G503*INDEX([1]ratio_ins!$C:$C,MATCH('001_population_health_zone_zs'!$B503,[1]ratio_ins!$B:$B,0))</f>
        <v>78162.357556800009</v>
      </c>
      <c r="X503" s="10">
        <f>INDEX([1]ratio_ins!V:V,MATCH('001_population_health_zone_zs'!$B$2,[1]ratio_ins!$B:$B,0))*$G503*INDEX([1]ratio_ins!$C:$C,MATCH('001_population_health_zone_zs'!$B503,[1]ratio_ins!$B:$B,0))</f>
        <v>2292.1512480000001</v>
      </c>
      <c r="Y503" s="10">
        <f>INDEX([1]ratio_ins!W:W,MATCH('001_population_health_zone_zs'!$B$2,[1]ratio_ins!$B:$B,0))*$G503*INDEX([1]ratio_ins!$C:$C,MATCH('001_population_health_zone_zs'!$B503,[1]ratio_ins!$B:$B,0))</f>
        <v>1528.1008320000003</v>
      </c>
      <c r="Z503" s="10">
        <f>INDEX([1]ratio_ins!X:X,MATCH('001_population_health_zone_zs'!$B$2,[1]ratio_ins!$B:$B,0))*$G503*INDEX([1]ratio_ins!$C:$C,MATCH('001_population_health_zone_zs'!$B503,[1]ratio_ins!$B:$B,0))</f>
        <v>764.05041600000015</v>
      </c>
      <c r="AA503" s="10">
        <f>INDEX([1]ratio_ins!Y:Y,MATCH('001_population_health_zone_zs'!$B$2,[1]ratio_ins!$B:$B,0))*$G503*INDEX([1]ratio_ins!$C:$C,MATCH('001_population_health_zone_zs'!$B503,[1]ratio_ins!$B:$B,0))</f>
        <v>382.02520800000008</v>
      </c>
      <c r="AB503" s="11">
        <f>INDEX([1]ratio_ins!Z:Z,MATCH('001_population_health_zone_zs'!$B$2,[1]ratio_ins!$B:$B,0))*$G503*INDEX([1]ratio_ins!$C:$C,MATCH('001_population_health_zone_zs'!$B503,[1]ratio_ins!$B:$B,0))</f>
        <v>4966.3277040000003</v>
      </c>
      <c r="AC503" s="12">
        <f t="shared" si="42"/>
        <v>191012.60399999999</v>
      </c>
      <c r="AD503" s="10">
        <f>INDEX([1]ratio_ins!AA:AA,MATCH('001_population_health_zone_zs'!$B$2,[1]ratio_ins!$B:$B,0))*$G503*INDEX([1]ratio_ins!$D:$D,MATCH('001_population_health_zone_zs'!$B503,[1]ratio_ins!$B:$B,0))</f>
        <v>41417.123160000003</v>
      </c>
      <c r="AE503" s="10">
        <f>INDEX([1]ratio_ins!AB:AB,MATCH('001_population_health_zone_zs'!$B$2,[1]ratio_ins!$B:$B,0))*$G503*INDEX([1]ratio_ins!$D:$D,MATCH('001_population_health_zone_zs'!$B503,[1]ratio_ins!$B:$B,0))</f>
        <v>34119.820508000004</v>
      </c>
      <c r="AF503" s="10">
        <f>INDEX([1]ratio_ins!AC:AC,MATCH('001_population_health_zone_zs'!$B$2,[1]ratio_ins!$B:$B,0))*$G503*INDEX([1]ratio_ins!$D:$D,MATCH('001_population_health_zone_zs'!$B503,[1]ratio_ins!$B:$B,0))</f>
        <v>27019.742251999996</v>
      </c>
      <c r="AG503" s="10">
        <f>INDEX([1]ratio_ins!AD:AD,MATCH('001_population_health_zone_zs'!$B$2,[1]ratio_ins!$B:$B,0))*$G503*INDEX([1]ratio_ins!$D:$D,MATCH('001_population_health_zone_zs'!$B503,[1]ratio_ins!$B:$B,0))</f>
        <v>16369.624868000001</v>
      </c>
      <c r="AH503" s="10">
        <f>INDEX([1]ratio_ins!AE:AE,MATCH('001_population_health_zone_zs'!$B$2,[1]ratio_ins!$B:$B,0))*$G503*INDEX([1]ratio_ins!$D:$D,MATCH('001_population_health_zone_zs'!$B503,[1]ratio_ins!$B:$B,0))</f>
        <v>9821.7749208000005</v>
      </c>
      <c r="AI503" s="13">
        <f>INDEX([1]ratio_ins!AF:AF,MATCH('001_population_health_zone_zs'!$B$2,[1]ratio_ins!$B:$B,0))*$G503*INDEX([1]ratio_ins!$D:$D,MATCH('001_population_health_zone_zs'!$B503,[1]ratio_ins!$B:$B,0))</f>
        <v>112378.46084079999</v>
      </c>
      <c r="AJ503" s="10">
        <f>INDEX([1]ratio_ins!AG:AG,MATCH('001_population_health_zone_zs'!$B$2,[1]ratio_ins!$B:$B,0))*$G503*INDEX([1]ratio_ins!$D:$D,MATCH('001_population_health_zone_zs'!$B503,[1]ratio_ins!$B:$B,0))</f>
        <v>6547.8499472000003</v>
      </c>
      <c r="AK503" s="10">
        <f>INDEX([1]ratio_ins!AH:AH,MATCH('001_population_health_zone_zs'!$B$2,[1]ratio_ins!$B:$B,0))*$G503*INDEX([1]ratio_ins!$D:$D,MATCH('001_population_health_zone_zs'!$B503,[1]ratio_ins!$B:$B,0))</f>
        <v>14594.605304000002</v>
      </c>
      <c r="AL503" s="10">
        <f>INDEX([1]ratio_ins!AI:AI,MATCH('001_population_health_zone_zs'!$B$2,[1]ratio_ins!$B:$B,0))*$G503*INDEX([1]ratio_ins!$D:$D,MATCH('001_population_health_zone_zs'!$B503,[1]ratio_ins!$B:$B,0))</f>
        <v>13805.707720000002</v>
      </c>
      <c r="AM503" s="10">
        <f>INDEX([1]ratio_ins!AJ:AJ,MATCH('001_population_health_zone_zs'!$B$2,[1]ratio_ins!$B:$B,0))*$G503*INDEX([1]ratio_ins!$D:$D,MATCH('001_population_health_zone_zs'!$B503,[1]ratio_ins!$B:$B,0))</f>
        <v>12622.361344000001</v>
      </c>
      <c r="AN503" s="10">
        <f>INDEX([1]ratio_ins!AK:AK,MATCH('001_population_health_zone_zs'!$B$2,[1]ratio_ins!$B:$B,0))*$G503*INDEX([1]ratio_ins!$D:$D,MATCH('001_population_health_zone_zs'!$B503,[1]ratio_ins!$B:$B,0))</f>
        <v>11833.463759999999</v>
      </c>
      <c r="AO503" s="10">
        <f>INDEX([1]ratio_ins!AL:AL,MATCH('001_population_health_zone_zs'!$B$2,[1]ratio_ins!$B:$B,0))*$G503*INDEX([1]ratio_ins!$D:$D,MATCH('001_population_health_zone_zs'!$B503,[1]ratio_ins!$B:$B,0))</f>
        <v>8875.0978200000009</v>
      </c>
      <c r="AP503" s="10">
        <f>INDEX([1]ratio_ins!AM:AM,MATCH('001_population_health_zone_zs'!$B$2,[1]ratio_ins!$B:$B,0))*$G503*INDEX([1]ratio_ins!$D:$D,MATCH('001_population_health_zone_zs'!$B503,[1]ratio_ins!$B:$B,0))</f>
        <v>5719.5074839999997</v>
      </c>
      <c r="AQ503" s="10">
        <f>INDEX([1]ratio_ins!AN:AN,MATCH('001_population_health_zone_zs'!$B$2,[1]ratio_ins!$B:$B,0))*$G503*INDEX([1]ratio_ins!$D:$D,MATCH('001_population_health_zone_zs'!$B503,[1]ratio_ins!$B:$B,0))</f>
        <v>4536.1611079999993</v>
      </c>
      <c r="AR503" s="10">
        <f>INDEX([1]ratio_ins!AO:AO,MATCH('001_population_health_zone_zs'!$B$2,[1]ratio_ins!$B:$B,0))*$G503*INDEX([1]ratio_ins!$D:$D,MATCH('001_population_health_zone_zs'!$B503,[1]ratio_ins!$B:$B,0))</f>
        <v>2169.4683559999999</v>
      </c>
      <c r="AS503" s="13">
        <f>INDEX([1]ratio_ins!AP:AP,MATCH('001_population_health_zone_zs'!$B$2,[1]ratio_ins!$B:$B,0))*$G503*INDEX([1]ratio_ins!$D:$D,MATCH('001_population_health_zone_zs'!$B503,[1]ratio_ins!$B:$B,0))</f>
        <v>80704.222843199997</v>
      </c>
      <c r="AT503" s="10">
        <f>INDEX([1]ratio_ins!AQ:AQ,MATCH('001_population_health_zone_zs'!$B$2,[1]ratio_ins!$B:$B,0))*$G503*INDEX([1]ratio_ins!$D:$D,MATCH('001_population_health_zone_zs'!$B503,[1]ratio_ins!$B:$B,0))</f>
        <v>1972.24396</v>
      </c>
      <c r="AU503" s="10">
        <f>INDEX([1]ratio_ins!AR:AR,MATCH('001_population_health_zone_zs'!$B$2,[1]ratio_ins!$B:$B,0))*$G503*INDEX([1]ratio_ins!$D:$D,MATCH('001_population_health_zone_zs'!$B503,[1]ratio_ins!$B:$B,0))</f>
        <v>1183.346376</v>
      </c>
      <c r="AV503" s="10">
        <f>INDEX([1]ratio_ins!AS:AS,MATCH('001_population_health_zone_zs'!$B$2,[1]ratio_ins!$B:$B,0))*$G503*INDEX([1]ratio_ins!$D:$D,MATCH('001_population_health_zone_zs'!$B503,[1]ratio_ins!$B:$B,0))</f>
        <v>591.67318799999998</v>
      </c>
      <c r="AW503" s="10">
        <f>INDEX([1]ratio_ins!AT:AT,MATCH('001_population_health_zone_zs'!$B$2,[1]ratio_ins!$B:$B,0))*$G503*INDEX([1]ratio_ins!$D:$D,MATCH('001_population_health_zone_zs'!$B503,[1]ratio_ins!$B:$B,0))</f>
        <v>394.44879200000003</v>
      </c>
      <c r="AX503" s="13">
        <f>INDEX([1]ratio_ins!AU:AU,MATCH('001_population_health_zone_zs'!$B$2,[1]ratio_ins!$B:$B,0))*$G503*INDEX([1]ratio_ins!$D:$D,MATCH('001_population_health_zone_zs'!$B503,[1]ratio_ins!$B:$B,0))</f>
        <v>4141.7123159999992</v>
      </c>
      <c r="AY503" s="14">
        <f t="shared" si="43"/>
        <v>197224.39599999998</v>
      </c>
      <c r="AZ503" s="15">
        <f t="shared" si="44"/>
        <v>388237</v>
      </c>
      <c r="BA503" s="16">
        <v>373516.87753243197</v>
      </c>
      <c r="BB503" s="10">
        <f t="shared" si="45"/>
        <v>83820.368300000002</v>
      </c>
      <c r="BC503" s="17">
        <f t="shared" si="46"/>
        <v>0.21590000000000001</v>
      </c>
      <c r="BD503" s="10">
        <f t="shared" si="47"/>
        <v>79652.255868000022</v>
      </c>
    </row>
    <row r="504" spans="1:56" x14ac:dyDescent="0.25">
      <c r="A504" s="8" t="s">
        <v>1239</v>
      </c>
      <c r="B504" s="8" t="s">
        <v>1240</v>
      </c>
      <c r="C504" s="8" t="s">
        <v>1241</v>
      </c>
      <c r="D504" s="8" t="s">
        <v>1242</v>
      </c>
      <c r="E504" s="8" t="s">
        <v>1241</v>
      </c>
      <c r="F504" s="8" t="s">
        <v>1245</v>
      </c>
      <c r="G504" s="9">
        <v>306411</v>
      </c>
      <c r="H504" s="10">
        <f>INDEX([1]ratio_ins!F:F,MATCH('001_population_health_zone_zs'!$B$2,[1]ratio_ins!$B:$B,0))*$G504*INDEX([1]ratio_ins!$C:$C,MATCH('001_population_health_zone_zs'!$B504,[1]ratio_ins!$B:$B,0))</f>
        <v>31507.630308000003</v>
      </c>
      <c r="I504" s="10">
        <f>INDEX([1]ratio_ins!G:G,MATCH('001_population_health_zone_zs'!$B$2,[1]ratio_ins!$B:$B,0))*$G504*INDEX([1]ratio_ins!$C:$C,MATCH('001_population_health_zone_zs'!$B504,[1]ratio_ins!$B:$B,0))</f>
        <v>25778.970252000003</v>
      </c>
      <c r="J504" s="10">
        <f>INDEX([1]ratio_ins!H:H,MATCH('001_population_health_zone_zs'!$B$2,[1]ratio_ins!$B:$B,0))*$G504*INDEX([1]ratio_ins!$C:$C,MATCH('001_population_health_zone_zs'!$B504,[1]ratio_ins!$B:$B,0))</f>
        <v>20351.818620000002</v>
      </c>
      <c r="K504" s="10">
        <f>INDEX([1]ratio_ins!I:I,MATCH('001_population_health_zone_zs'!$B$2,[1]ratio_ins!$B:$B,0))*$G504*INDEX([1]ratio_ins!$C:$C,MATCH('001_population_health_zone_zs'!$B504,[1]ratio_ins!$B:$B,0))</f>
        <v>12512.599596000002</v>
      </c>
      <c r="L504" s="10">
        <f>INDEX([1]ratio_ins!J:J,MATCH('001_population_health_zone_zs'!$B$2,[1]ratio_ins!$B:$B,0))*$G504*INDEX([1]ratio_ins!$C:$C,MATCH('001_population_health_zone_zs'!$B504,[1]ratio_ins!$B:$B,0))</f>
        <v>7507.5597576000009</v>
      </c>
      <c r="M504" s="11">
        <f>INDEX([1]ratio_ins!K:K,MATCH('001_population_health_zone_zs'!$B$2,[1]ratio_ins!$B:$B,0))*$G504*INDEX([1]ratio_ins!$C:$C,MATCH('001_population_health_zone_zs'!$B504,[1]ratio_ins!$B:$B,0))</f>
        <v>85145.978937599997</v>
      </c>
      <c r="N504" s="10">
        <f>INDEX([1]ratio_ins!L:L,MATCH('001_population_health_zone_zs'!$B$2,[1]ratio_ins!$B:$B,0))*$G504*INDEX([1]ratio_ins!$C:$C,MATCH('001_population_health_zone_zs'!$B504,[1]ratio_ins!$B:$B,0))</f>
        <v>5005.0398384</v>
      </c>
      <c r="O504" s="10">
        <f>INDEX([1]ratio_ins!M:M,MATCH('001_population_health_zone_zs'!$B$2,[1]ratio_ins!$B:$B,0))*$G504*INDEX([1]ratio_ins!$C:$C,MATCH('001_population_health_zone_zs'!$B504,[1]ratio_ins!$B:$B,0))</f>
        <v>10854.303264000004</v>
      </c>
      <c r="P504" s="10">
        <f>INDEX([1]ratio_ins!N:N,MATCH('001_population_health_zone_zs'!$B$2,[1]ratio_ins!$B:$B,0))*$G504*INDEX([1]ratio_ins!$C:$C,MATCH('001_population_health_zone_zs'!$B504,[1]ratio_ins!$B:$B,0))</f>
        <v>9799.0237800000014</v>
      </c>
      <c r="Q504" s="10">
        <f>INDEX([1]ratio_ins!O:O,MATCH('001_population_health_zone_zs'!$B$2,[1]ratio_ins!$B:$B,0))*$G504*INDEX([1]ratio_ins!$C:$C,MATCH('001_population_health_zone_zs'!$B504,[1]ratio_ins!$B:$B,0))</f>
        <v>8743.7442960000008</v>
      </c>
      <c r="R504" s="10">
        <f>INDEX([1]ratio_ins!P:P,MATCH('001_population_health_zone_zs'!$B$2,[1]ratio_ins!$B:$B,0))*$G504*INDEX([1]ratio_ins!$C:$C,MATCH('001_population_health_zone_zs'!$B504,[1]ratio_ins!$B:$B,0))</f>
        <v>8592.9900840000009</v>
      </c>
      <c r="S504" s="10">
        <f>INDEX([1]ratio_ins!Q:Q,MATCH('001_population_health_zone_zs'!$B$2,[1]ratio_ins!$B:$B,0))*$G504*INDEX([1]ratio_ins!$C:$C,MATCH('001_population_health_zone_zs'!$B504,[1]ratio_ins!$B:$B,0))</f>
        <v>7236.2021760000016</v>
      </c>
      <c r="T504" s="10">
        <f>INDEX([1]ratio_ins!R:R,MATCH('001_population_health_zone_zs'!$B$2,[1]ratio_ins!$B:$B,0))*$G504*INDEX([1]ratio_ins!$C:$C,MATCH('001_population_health_zone_zs'!$B504,[1]ratio_ins!$B:$B,0))</f>
        <v>5125.6432080000004</v>
      </c>
      <c r="U504" s="10">
        <f>INDEX([1]ratio_ins!S:S,MATCH('001_population_health_zone_zs'!$B$2,[1]ratio_ins!$B:$B,0))*$G504*INDEX([1]ratio_ins!$C:$C,MATCH('001_population_health_zone_zs'!$B504,[1]ratio_ins!$B:$B,0))</f>
        <v>4070.3637240000012</v>
      </c>
      <c r="V504" s="10">
        <f>INDEX([1]ratio_ins!T:T,MATCH('001_population_health_zone_zs'!$B$2,[1]ratio_ins!$B:$B,0))*$G504*INDEX([1]ratio_ins!$C:$C,MATCH('001_population_health_zone_zs'!$B504,[1]ratio_ins!$B:$B,0))</f>
        <v>2261.3131800000001</v>
      </c>
      <c r="W504" s="11">
        <f>INDEX([1]ratio_ins!U:U,MATCH('001_population_health_zone_zs'!$B$2,[1]ratio_ins!$B:$B,0))*$G504*INDEX([1]ratio_ins!$C:$C,MATCH('001_population_health_zone_zs'!$B504,[1]ratio_ins!$B:$B,0))</f>
        <v>61688.623550400007</v>
      </c>
      <c r="X504" s="10">
        <f>INDEX([1]ratio_ins!V:V,MATCH('001_population_health_zone_zs'!$B$2,[1]ratio_ins!$B:$B,0))*$G504*INDEX([1]ratio_ins!$C:$C,MATCH('001_population_health_zone_zs'!$B504,[1]ratio_ins!$B:$B,0))</f>
        <v>1809.0505440000004</v>
      </c>
      <c r="Y504" s="10">
        <f>INDEX([1]ratio_ins!W:W,MATCH('001_population_health_zone_zs'!$B$2,[1]ratio_ins!$B:$B,0))*$G504*INDEX([1]ratio_ins!$C:$C,MATCH('001_population_health_zone_zs'!$B504,[1]ratio_ins!$B:$B,0))</f>
        <v>1206.0336960000002</v>
      </c>
      <c r="Z504" s="10">
        <f>INDEX([1]ratio_ins!X:X,MATCH('001_population_health_zone_zs'!$B$2,[1]ratio_ins!$B:$B,0))*$G504*INDEX([1]ratio_ins!$C:$C,MATCH('001_population_health_zone_zs'!$B504,[1]ratio_ins!$B:$B,0))</f>
        <v>603.0168480000001</v>
      </c>
      <c r="AA504" s="10">
        <f>INDEX([1]ratio_ins!Y:Y,MATCH('001_population_health_zone_zs'!$B$2,[1]ratio_ins!$B:$B,0))*$G504*INDEX([1]ratio_ins!$C:$C,MATCH('001_population_health_zone_zs'!$B504,[1]ratio_ins!$B:$B,0))</f>
        <v>301.50842400000005</v>
      </c>
      <c r="AB504" s="11">
        <f>INDEX([1]ratio_ins!Z:Z,MATCH('001_population_health_zone_zs'!$B$2,[1]ratio_ins!$B:$B,0))*$G504*INDEX([1]ratio_ins!$C:$C,MATCH('001_population_health_zone_zs'!$B504,[1]ratio_ins!$B:$B,0))</f>
        <v>3919.6095120000009</v>
      </c>
      <c r="AC504" s="12">
        <f t="shared" si="42"/>
        <v>150754.212</v>
      </c>
      <c r="AD504" s="10">
        <f>INDEX([1]ratio_ins!AA:AA,MATCH('001_population_health_zone_zs'!$B$2,[1]ratio_ins!$B:$B,0))*$G504*INDEX([1]ratio_ins!$D:$D,MATCH('001_population_health_zone_zs'!$B504,[1]ratio_ins!$B:$B,0))</f>
        <v>32687.925479999998</v>
      </c>
      <c r="AE504" s="10">
        <f>INDEX([1]ratio_ins!AB:AB,MATCH('001_population_health_zone_zs'!$B$2,[1]ratio_ins!$B:$B,0))*$G504*INDEX([1]ratio_ins!$D:$D,MATCH('001_population_health_zone_zs'!$B504,[1]ratio_ins!$B:$B,0))</f>
        <v>26928.624324</v>
      </c>
      <c r="AF504" s="10">
        <f>INDEX([1]ratio_ins!AC:AC,MATCH('001_population_health_zone_zs'!$B$2,[1]ratio_ins!$B:$B,0))*$G504*INDEX([1]ratio_ins!$D:$D,MATCH('001_population_health_zone_zs'!$B504,[1]ratio_ins!$B:$B,0))</f>
        <v>21324.979955999996</v>
      </c>
      <c r="AG504" s="10">
        <f>INDEX([1]ratio_ins!AD:AD,MATCH('001_population_health_zone_zs'!$B$2,[1]ratio_ins!$B:$B,0))*$G504*INDEX([1]ratio_ins!$D:$D,MATCH('001_population_health_zone_zs'!$B504,[1]ratio_ins!$B:$B,0))</f>
        <v>12919.513404000001</v>
      </c>
      <c r="AH504" s="10">
        <f>INDEX([1]ratio_ins!AE:AE,MATCH('001_population_health_zone_zs'!$B$2,[1]ratio_ins!$B:$B,0))*$G504*INDEX([1]ratio_ins!$D:$D,MATCH('001_population_health_zone_zs'!$B504,[1]ratio_ins!$B:$B,0))</f>
        <v>7751.7080423999996</v>
      </c>
      <c r="AI504" s="13">
        <f>INDEX([1]ratio_ins!AF:AF,MATCH('001_population_health_zone_zs'!$B$2,[1]ratio_ins!$B:$B,0))*$G504*INDEX([1]ratio_ins!$D:$D,MATCH('001_population_health_zone_zs'!$B504,[1]ratio_ins!$B:$B,0))</f>
        <v>88693.237802400006</v>
      </c>
      <c r="AJ504" s="10">
        <f>INDEX([1]ratio_ins!AG:AG,MATCH('001_population_health_zone_zs'!$B$2,[1]ratio_ins!$B:$B,0))*$G504*INDEX([1]ratio_ins!$D:$D,MATCH('001_population_health_zone_zs'!$B504,[1]ratio_ins!$B:$B,0))</f>
        <v>5167.8053615999997</v>
      </c>
      <c r="AK504" s="10">
        <f>INDEX([1]ratio_ins!AH:AH,MATCH('001_population_health_zone_zs'!$B$2,[1]ratio_ins!$B:$B,0))*$G504*INDEX([1]ratio_ins!$D:$D,MATCH('001_population_health_zone_zs'!$B504,[1]ratio_ins!$B:$B,0))</f>
        <v>11518.602312000003</v>
      </c>
      <c r="AL504" s="10">
        <f>INDEX([1]ratio_ins!AI:AI,MATCH('001_population_health_zone_zs'!$B$2,[1]ratio_ins!$B:$B,0))*$G504*INDEX([1]ratio_ins!$D:$D,MATCH('001_population_health_zone_zs'!$B504,[1]ratio_ins!$B:$B,0))</f>
        <v>10895.97516</v>
      </c>
      <c r="AM504" s="10">
        <f>INDEX([1]ratio_ins!AJ:AJ,MATCH('001_population_health_zone_zs'!$B$2,[1]ratio_ins!$B:$B,0))*$G504*INDEX([1]ratio_ins!$D:$D,MATCH('001_population_health_zone_zs'!$B504,[1]ratio_ins!$B:$B,0))</f>
        <v>9962.0344320000004</v>
      </c>
      <c r="AN504" s="10">
        <f>INDEX([1]ratio_ins!AK:AK,MATCH('001_population_health_zone_zs'!$B$2,[1]ratio_ins!$B:$B,0))*$G504*INDEX([1]ratio_ins!$D:$D,MATCH('001_population_health_zone_zs'!$B504,[1]ratio_ins!$B:$B,0))</f>
        <v>9339.4072799999994</v>
      </c>
      <c r="AO504" s="10">
        <f>INDEX([1]ratio_ins!AL:AL,MATCH('001_population_health_zone_zs'!$B$2,[1]ratio_ins!$B:$B,0))*$G504*INDEX([1]ratio_ins!$D:$D,MATCH('001_population_health_zone_zs'!$B504,[1]ratio_ins!$B:$B,0))</f>
        <v>7004.5554599999996</v>
      </c>
      <c r="AP504" s="10">
        <f>INDEX([1]ratio_ins!AM:AM,MATCH('001_population_health_zone_zs'!$B$2,[1]ratio_ins!$B:$B,0))*$G504*INDEX([1]ratio_ins!$D:$D,MATCH('001_population_health_zone_zs'!$B504,[1]ratio_ins!$B:$B,0))</f>
        <v>4514.0468520000004</v>
      </c>
      <c r="AQ504" s="10">
        <f>INDEX([1]ratio_ins!AN:AN,MATCH('001_population_health_zone_zs'!$B$2,[1]ratio_ins!$B:$B,0))*$G504*INDEX([1]ratio_ins!$D:$D,MATCH('001_population_health_zone_zs'!$B504,[1]ratio_ins!$B:$B,0))</f>
        <v>3580.1061239999999</v>
      </c>
      <c r="AR504" s="10">
        <f>INDEX([1]ratio_ins!AO:AO,MATCH('001_population_health_zone_zs'!$B$2,[1]ratio_ins!$B:$B,0))*$G504*INDEX([1]ratio_ins!$D:$D,MATCH('001_population_health_zone_zs'!$B504,[1]ratio_ins!$B:$B,0))</f>
        <v>1712.2246680000001</v>
      </c>
      <c r="AS504" s="13">
        <f>INDEX([1]ratio_ins!AP:AP,MATCH('001_population_health_zone_zs'!$B$2,[1]ratio_ins!$B:$B,0))*$G504*INDEX([1]ratio_ins!$D:$D,MATCH('001_population_health_zone_zs'!$B504,[1]ratio_ins!$B:$B,0))</f>
        <v>63694.757649600004</v>
      </c>
      <c r="AT504" s="10">
        <f>INDEX([1]ratio_ins!AQ:AQ,MATCH('001_population_health_zone_zs'!$B$2,[1]ratio_ins!$B:$B,0))*$G504*INDEX([1]ratio_ins!$D:$D,MATCH('001_population_health_zone_zs'!$B504,[1]ratio_ins!$B:$B,0))</f>
        <v>1556.5678800000001</v>
      </c>
      <c r="AU504" s="10">
        <f>INDEX([1]ratio_ins!AR:AR,MATCH('001_population_health_zone_zs'!$B$2,[1]ratio_ins!$B:$B,0))*$G504*INDEX([1]ratio_ins!$D:$D,MATCH('001_population_health_zone_zs'!$B504,[1]ratio_ins!$B:$B,0))</f>
        <v>933.94072800000004</v>
      </c>
      <c r="AV504" s="10">
        <f>INDEX([1]ratio_ins!AS:AS,MATCH('001_population_health_zone_zs'!$B$2,[1]ratio_ins!$B:$B,0))*$G504*INDEX([1]ratio_ins!$D:$D,MATCH('001_population_health_zone_zs'!$B504,[1]ratio_ins!$B:$B,0))</f>
        <v>466.97036400000002</v>
      </c>
      <c r="AW504" s="10">
        <f>INDEX([1]ratio_ins!AT:AT,MATCH('001_population_health_zone_zs'!$B$2,[1]ratio_ins!$B:$B,0))*$G504*INDEX([1]ratio_ins!$D:$D,MATCH('001_population_health_zone_zs'!$B504,[1]ratio_ins!$B:$B,0))</f>
        <v>311.31357600000001</v>
      </c>
      <c r="AX504" s="13">
        <f>INDEX([1]ratio_ins!AU:AU,MATCH('001_population_health_zone_zs'!$B$2,[1]ratio_ins!$B:$B,0))*$G504*INDEX([1]ratio_ins!$D:$D,MATCH('001_population_health_zone_zs'!$B504,[1]ratio_ins!$B:$B,0))</f>
        <v>3268.7925479999999</v>
      </c>
      <c r="AY504" s="14">
        <f t="shared" si="43"/>
        <v>155656.788</v>
      </c>
      <c r="AZ504" s="15">
        <f t="shared" si="44"/>
        <v>306411</v>
      </c>
      <c r="BA504" s="16">
        <v>294793.07607786183</v>
      </c>
      <c r="BB504" s="10">
        <f t="shared" si="45"/>
        <v>66154.134900000005</v>
      </c>
      <c r="BC504" s="17">
        <f t="shared" si="46"/>
        <v>0.21590000000000001</v>
      </c>
      <c r="BD504" s="10">
        <f t="shared" si="47"/>
        <v>62864.506404000014</v>
      </c>
    </row>
    <row r="505" spans="1:56" x14ac:dyDescent="0.25">
      <c r="A505" s="8" t="s">
        <v>1239</v>
      </c>
      <c r="B505" s="8" t="s">
        <v>1240</v>
      </c>
      <c r="C505" s="8" t="s">
        <v>1241</v>
      </c>
      <c r="D505" s="8" t="s">
        <v>1242</v>
      </c>
      <c r="E505" s="8" t="s">
        <v>1246</v>
      </c>
      <c r="F505" s="8" t="s">
        <v>1247</v>
      </c>
      <c r="G505" s="9">
        <v>360734</v>
      </c>
      <c r="H505" s="10">
        <f>INDEX([1]ratio_ins!F:F,MATCH('001_population_health_zone_zs'!$B$2,[1]ratio_ins!$B:$B,0))*$G505*INDEX([1]ratio_ins!$C:$C,MATCH('001_population_health_zone_zs'!$B505,[1]ratio_ins!$B:$B,0))</f>
        <v>37093.555752000007</v>
      </c>
      <c r="I505" s="10">
        <f>INDEX([1]ratio_ins!G:G,MATCH('001_population_health_zone_zs'!$B$2,[1]ratio_ins!$B:$B,0))*$G505*INDEX([1]ratio_ins!$C:$C,MATCH('001_population_health_zone_zs'!$B505,[1]ratio_ins!$B:$B,0))</f>
        <v>30349.272888000003</v>
      </c>
      <c r="J505" s="10">
        <f>INDEX([1]ratio_ins!H:H,MATCH('001_population_health_zone_zs'!$B$2,[1]ratio_ins!$B:$B,0))*$G505*INDEX([1]ratio_ins!$C:$C,MATCH('001_population_health_zone_zs'!$B505,[1]ratio_ins!$B:$B,0))</f>
        <v>23959.952280000005</v>
      </c>
      <c r="K505" s="10">
        <f>INDEX([1]ratio_ins!I:I,MATCH('001_population_health_zone_zs'!$B$2,[1]ratio_ins!$B:$B,0))*$G505*INDEX([1]ratio_ins!$C:$C,MATCH('001_population_health_zone_zs'!$B505,[1]ratio_ins!$B:$B,0))</f>
        <v>14730.933624000003</v>
      </c>
      <c r="L505" s="10">
        <f>INDEX([1]ratio_ins!J:J,MATCH('001_population_health_zone_zs'!$B$2,[1]ratio_ins!$B:$B,0))*$G505*INDEX([1]ratio_ins!$C:$C,MATCH('001_population_health_zone_zs'!$B505,[1]ratio_ins!$B:$B,0))</f>
        <v>8838.5601743999996</v>
      </c>
      <c r="M505" s="11">
        <f>INDEX([1]ratio_ins!K:K,MATCH('001_population_health_zone_zs'!$B$2,[1]ratio_ins!$B:$B,0))*$G505*INDEX([1]ratio_ins!$C:$C,MATCH('001_population_health_zone_zs'!$B505,[1]ratio_ins!$B:$B,0))</f>
        <v>100241.34109439999</v>
      </c>
      <c r="N505" s="10">
        <f>INDEX([1]ratio_ins!L:L,MATCH('001_population_health_zone_zs'!$B$2,[1]ratio_ins!$B:$B,0))*$G505*INDEX([1]ratio_ins!$C:$C,MATCH('001_population_health_zone_zs'!$B505,[1]ratio_ins!$B:$B,0))</f>
        <v>5892.3734496000006</v>
      </c>
      <c r="O505" s="10">
        <f>INDEX([1]ratio_ins!M:M,MATCH('001_population_health_zone_zs'!$B$2,[1]ratio_ins!$B:$B,0))*$G505*INDEX([1]ratio_ins!$C:$C,MATCH('001_population_health_zone_zs'!$B505,[1]ratio_ins!$B:$B,0))</f>
        <v>12778.641216000002</v>
      </c>
      <c r="P505" s="10">
        <f>INDEX([1]ratio_ins!N:N,MATCH('001_population_health_zone_zs'!$B$2,[1]ratio_ins!$B:$B,0))*$G505*INDEX([1]ratio_ins!$C:$C,MATCH('001_population_health_zone_zs'!$B505,[1]ratio_ins!$B:$B,0))</f>
        <v>11536.27332</v>
      </c>
      <c r="Q505" s="10">
        <f>INDEX([1]ratio_ins!O:O,MATCH('001_population_health_zone_zs'!$B$2,[1]ratio_ins!$B:$B,0))*$G505*INDEX([1]ratio_ins!$C:$C,MATCH('001_population_health_zone_zs'!$B505,[1]ratio_ins!$B:$B,0))</f>
        <v>10293.905424</v>
      </c>
      <c r="R505" s="10">
        <f>INDEX([1]ratio_ins!P:P,MATCH('001_population_health_zone_zs'!$B$2,[1]ratio_ins!$B:$B,0))*$G505*INDEX([1]ratio_ins!$C:$C,MATCH('001_population_health_zone_zs'!$B505,[1]ratio_ins!$B:$B,0))</f>
        <v>10116.424296000001</v>
      </c>
      <c r="S505" s="10">
        <f>INDEX([1]ratio_ins!Q:Q,MATCH('001_population_health_zone_zs'!$B$2,[1]ratio_ins!$B:$B,0))*$G505*INDEX([1]ratio_ins!$C:$C,MATCH('001_population_health_zone_zs'!$B505,[1]ratio_ins!$B:$B,0))</f>
        <v>8519.0941440000006</v>
      </c>
      <c r="T505" s="10">
        <f>INDEX([1]ratio_ins!R:R,MATCH('001_population_health_zone_zs'!$B$2,[1]ratio_ins!$B:$B,0))*$G505*INDEX([1]ratio_ins!$C:$C,MATCH('001_population_health_zone_zs'!$B505,[1]ratio_ins!$B:$B,0))</f>
        <v>6034.3583520000011</v>
      </c>
      <c r="U505" s="10">
        <f>INDEX([1]ratio_ins!S:S,MATCH('001_population_health_zone_zs'!$B$2,[1]ratio_ins!$B:$B,0))*$G505*INDEX([1]ratio_ins!$C:$C,MATCH('001_population_health_zone_zs'!$B505,[1]ratio_ins!$B:$B,0))</f>
        <v>4791.9904560000014</v>
      </c>
      <c r="V505" s="10">
        <f>INDEX([1]ratio_ins!T:T,MATCH('001_population_health_zone_zs'!$B$2,[1]ratio_ins!$B:$B,0))*$G505*INDEX([1]ratio_ins!$C:$C,MATCH('001_population_health_zone_zs'!$B505,[1]ratio_ins!$B:$B,0))</f>
        <v>2662.2169200000003</v>
      </c>
      <c r="W505" s="11">
        <f>INDEX([1]ratio_ins!U:U,MATCH('001_population_health_zone_zs'!$B$2,[1]ratio_ins!$B:$B,0))*$G505*INDEX([1]ratio_ins!$C:$C,MATCH('001_population_health_zone_zs'!$B505,[1]ratio_ins!$B:$B,0))</f>
        <v>72625.277577600005</v>
      </c>
      <c r="X505" s="10">
        <f>INDEX([1]ratio_ins!V:V,MATCH('001_population_health_zone_zs'!$B$2,[1]ratio_ins!$B:$B,0))*$G505*INDEX([1]ratio_ins!$C:$C,MATCH('001_population_health_zone_zs'!$B505,[1]ratio_ins!$B:$B,0))</f>
        <v>2129.7735360000001</v>
      </c>
      <c r="Y505" s="10">
        <f>INDEX([1]ratio_ins!W:W,MATCH('001_population_health_zone_zs'!$B$2,[1]ratio_ins!$B:$B,0))*$G505*INDEX([1]ratio_ins!$C:$C,MATCH('001_population_health_zone_zs'!$B505,[1]ratio_ins!$B:$B,0))</f>
        <v>1419.8490240000001</v>
      </c>
      <c r="Z505" s="10">
        <f>INDEX([1]ratio_ins!X:X,MATCH('001_population_health_zone_zs'!$B$2,[1]ratio_ins!$B:$B,0))*$G505*INDEX([1]ratio_ins!$C:$C,MATCH('001_population_health_zone_zs'!$B505,[1]ratio_ins!$B:$B,0))</f>
        <v>709.92451200000005</v>
      </c>
      <c r="AA505" s="10">
        <f>INDEX([1]ratio_ins!Y:Y,MATCH('001_population_health_zone_zs'!$B$2,[1]ratio_ins!$B:$B,0))*$G505*INDEX([1]ratio_ins!$C:$C,MATCH('001_population_health_zone_zs'!$B505,[1]ratio_ins!$B:$B,0))</f>
        <v>354.96225600000002</v>
      </c>
      <c r="AB505" s="11">
        <f>INDEX([1]ratio_ins!Z:Z,MATCH('001_population_health_zone_zs'!$B$2,[1]ratio_ins!$B:$B,0))*$G505*INDEX([1]ratio_ins!$C:$C,MATCH('001_population_health_zone_zs'!$B505,[1]ratio_ins!$B:$B,0))</f>
        <v>4614.509328000001</v>
      </c>
      <c r="AC505" s="12">
        <f t="shared" si="42"/>
        <v>177481.12800000003</v>
      </c>
      <c r="AD505" s="10">
        <f>INDEX([1]ratio_ins!AA:AA,MATCH('001_population_health_zone_zs'!$B$2,[1]ratio_ins!$B:$B,0))*$G505*INDEX([1]ratio_ins!$D:$D,MATCH('001_population_health_zone_zs'!$B505,[1]ratio_ins!$B:$B,0))</f>
        <v>38483.10312</v>
      </c>
      <c r="AE505" s="10">
        <f>INDEX([1]ratio_ins!AB:AB,MATCH('001_population_health_zone_zs'!$B$2,[1]ratio_ins!$B:$B,0))*$G505*INDEX([1]ratio_ins!$D:$D,MATCH('001_population_health_zone_zs'!$B505,[1]ratio_ins!$B:$B,0))</f>
        <v>31702.746856000002</v>
      </c>
      <c r="AF505" s="10">
        <f>INDEX([1]ratio_ins!AC:AC,MATCH('001_population_health_zone_zs'!$B$2,[1]ratio_ins!$B:$B,0))*$G505*INDEX([1]ratio_ins!$D:$D,MATCH('001_population_health_zone_zs'!$B505,[1]ratio_ins!$B:$B,0))</f>
        <v>25105.643464000001</v>
      </c>
      <c r="AG505" s="10">
        <f>INDEX([1]ratio_ins!AD:AD,MATCH('001_population_health_zone_zs'!$B$2,[1]ratio_ins!$B:$B,0))*$G505*INDEX([1]ratio_ins!$D:$D,MATCH('001_population_health_zone_zs'!$B505,[1]ratio_ins!$B:$B,0))</f>
        <v>15209.988376000001</v>
      </c>
      <c r="AH505" s="10">
        <f>INDEX([1]ratio_ins!AE:AE,MATCH('001_population_health_zone_zs'!$B$2,[1]ratio_ins!$B:$B,0))*$G505*INDEX([1]ratio_ins!$D:$D,MATCH('001_population_health_zone_zs'!$B505,[1]ratio_ins!$B:$B,0))</f>
        <v>9125.9930255999989</v>
      </c>
      <c r="AI505" s="13">
        <f>INDEX([1]ratio_ins!AF:AF,MATCH('001_population_health_zone_zs'!$B$2,[1]ratio_ins!$B:$B,0))*$G505*INDEX([1]ratio_ins!$D:$D,MATCH('001_population_health_zone_zs'!$B505,[1]ratio_ins!$B:$B,0))</f>
        <v>104417.4864656</v>
      </c>
      <c r="AJ505" s="10">
        <f>INDEX([1]ratio_ins!AG:AG,MATCH('001_population_health_zone_zs'!$B$2,[1]ratio_ins!$B:$B,0))*$G505*INDEX([1]ratio_ins!$D:$D,MATCH('001_population_health_zone_zs'!$B505,[1]ratio_ins!$B:$B,0))</f>
        <v>6083.9953504000005</v>
      </c>
      <c r="AK505" s="10">
        <f>INDEX([1]ratio_ins!AH:AH,MATCH('001_population_health_zone_zs'!$B$2,[1]ratio_ins!$B:$B,0))*$G505*INDEX([1]ratio_ins!$D:$D,MATCH('001_population_health_zone_zs'!$B505,[1]ratio_ins!$B:$B,0))</f>
        <v>13560.712528000002</v>
      </c>
      <c r="AL505" s="10">
        <f>INDEX([1]ratio_ins!AI:AI,MATCH('001_population_health_zone_zs'!$B$2,[1]ratio_ins!$B:$B,0))*$G505*INDEX([1]ratio_ins!$D:$D,MATCH('001_population_health_zone_zs'!$B505,[1]ratio_ins!$B:$B,0))</f>
        <v>12827.70104</v>
      </c>
      <c r="AM505" s="10">
        <f>INDEX([1]ratio_ins!AJ:AJ,MATCH('001_population_health_zone_zs'!$B$2,[1]ratio_ins!$B:$B,0))*$G505*INDEX([1]ratio_ins!$D:$D,MATCH('001_population_health_zone_zs'!$B505,[1]ratio_ins!$B:$B,0))</f>
        <v>11728.183808</v>
      </c>
      <c r="AN505" s="10">
        <f>INDEX([1]ratio_ins!AK:AK,MATCH('001_population_health_zone_zs'!$B$2,[1]ratio_ins!$B:$B,0))*$G505*INDEX([1]ratio_ins!$D:$D,MATCH('001_population_health_zone_zs'!$B505,[1]ratio_ins!$B:$B,0))</f>
        <v>10995.172320000001</v>
      </c>
      <c r="AO505" s="10">
        <f>INDEX([1]ratio_ins!AL:AL,MATCH('001_population_health_zone_zs'!$B$2,[1]ratio_ins!$B:$B,0))*$G505*INDEX([1]ratio_ins!$D:$D,MATCH('001_population_health_zone_zs'!$B505,[1]ratio_ins!$B:$B,0))</f>
        <v>8246.3792400000002</v>
      </c>
      <c r="AP505" s="10">
        <f>INDEX([1]ratio_ins!AM:AM,MATCH('001_population_health_zone_zs'!$B$2,[1]ratio_ins!$B:$B,0))*$G505*INDEX([1]ratio_ins!$D:$D,MATCH('001_population_health_zone_zs'!$B505,[1]ratio_ins!$B:$B,0))</f>
        <v>5314.3332879999998</v>
      </c>
      <c r="AQ505" s="10">
        <f>INDEX([1]ratio_ins!AN:AN,MATCH('001_population_health_zone_zs'!$B$2,[1]ratio_ins!$B:$B,0))*$G505*INDEX([1]ratio_ins!$D:$D,MATCH('001_population_health_zone_zs'!$B505,[1]ratio_ins!$B:$B,0))</f>
        <v>4214.8160559999997</v>
      </c>
      <c r="AR505" s="10">
        <f>INDEX([1]ratio_ins!AO:AO,MATCH('001_population_health_zone_zs'!$B$2,[1]ratio_ins!$B:$B,0))*$G505*INDEX([1]ratio_ins!$D:$D,MATCH('001_population_health_zone_zs'!$B505,[1]ratio_ins!$B:$B,0))</f>
        <v>2015.7815920000003</v>
      </c>
      <c r="AS505" s="13">
        <f>INDEX([1]ratio_ins!AP:AP,MATCH('001_population_health_zone_zs'!$B$2,[1]ratio_ins!$B:$B,0))*$G505*INDEX([1]ratio_ins!$D:$D,MATCH('001_population_health_zone_zs'!$B505,[1]ratio_ins!$B:$B,0))</f>
        <v>74987.075222400003</v>
      </c>
      <c r="AT505" s="10">
        <f>INDEX([1]ratio_ins!AQ:AQ,MATCH('001_population_health_zone_zs'!$B$2,[1]ratio_ins!$B:$B,0))*$G505*INDEX([1]ratio_ins!$D:$D,MATCH('001_population_health_zone_zs'!$B505,[1]ratio_ins!$B:$B,0))</f>
        <v>1832.52872</v>
      </c>
      <c r="AU505" s="10">
        <f>INDEX([1]ratio_ins!AR:AR,MATCH('001_population_health_zone_zs'!$B$2,[1]ratio_ins!$B:$B,0))*$G505*INDEX([1]ratio_ins!$D:$D,MATCH('001_population_health_zone_zs'!$B505,[1]ratio_ins!$B:$B,0))</f>
        <v>1099.5172319999999</v>
      </c>
      <c r="AV505" s="10">
        <f>INDEX([1]ratio_ins!AS:AS,MATCH('001_population_health_zone_zs'!$B$2,[1]ratio_ins!$B:$B,0))*$G505*INDEX([1]ratio_ins!$D:$D,MATCH('001_population_health_zone_zs'!$B505,[1]ratio_ins!$B:$B,0))</f>
        <v>549.75861599999996</v>
      </c>
      <c r="AW505" s="10">
        <f>INDEX([1]ratio_ins!AT:AT,MATCH('001_population_health_zone_zs'!$B$2,[1]ratio_ins!$B:$B,0))*$G505*INDEX([1]ratio_ins!$D:$D,MATCH('001_population_health_zone_zs'!$B505,[1]ratio_ins!$B:$B,0))</f>
        <v>366.50574399999999</v>
      </c>
      <c r="AX505" s="13">
        <f>INDEX([1]ratio_ins!AU:AU,MATCH('001_population_health_zone_zs'!$B$2,[1]ratio_ins!$B:$B,0))*$G505*INDEX([1]ratio_ins!$D:$D,MATCH('001_population_health_zone_zs'!$B505,[1]ratio_ins!$B:$B,0))</f>
        <v>3848.3103119999996</v>
      </c>
      <c r="AY505" s="14">
        <f t="shared" si="43"/>
        <v>183252.87199999997</v>
      </c>
      <c r="AZ505" s="15">
        <f t="shared" si="44"/>
        <v>360734</v>
      </c>
      <c r="BA505" s="16">
        <v>347057.22107443208</v>
      </c>
      <c r="BB505" s="10">
        <f t="shared" si="45"/>
        <v>77882.470599999986</v>
      </c>
      <c r="BC505" s="17">
        <f t="shared" si="46"/>
        <v>0.21589999999999995</v>
      </c>
      <c r="BD505" s="10">
        <f t="shared" si="47"/>
        <v>74009.630376000001</v>
      </c>
    </row>
    <row r="506" spans="1:56" x14ac:dyDescent="0.25">
      <c r="A506" s="8" t="s">
        <v>1239</v>
      </c>
      <c r="B506" s="8" t="s">
        <v>1240</v>
      </c>
      <c r="C506" s="8" t="s">
        <v>1241</v>
      </c>
      <c r="D506" s="8" t="s">
        <v>1242</v>
      </c>
      <c r="E506" s="8" t="s">
        <v>1248</v>
      </c>
      <c r="F506" s="8" t="s">
        <v>1249</v>
      </c>
      <c r="G506" s="9">
        <v>229387</v>
      </c>
      <c r="H506" s="10">
        <f>INDEX([1]ratio_ins!F:F,MATCH('001_population_health_zone_zs'!$B$2,[1]ratio_ins!$B:$B,0))*$G506*INDEX([1]ratio_ins!$C:$C,MATCH('001_population_health_zone_zs'!$B506,[1]ratio_ins!$B:$B,0))</f>
        <v>23587.406436000005</v>
      </c>
      <c r="I506" s="10">
        <f>INDEX([1]ratio_ins!G:G,MATCH('001_population_health_zone_zs'!$B$2,[1]ratio_ins!$B:$B,0))*$G506*INDEX([1]ratio_ins!$C:$C,MATCH('001_population_health_zone_zs'!$B506,[1]ratio_ins!$B:$B,0))</f>
        <v>19298.787084000003</v>
      </c>
      <c r="J506" s="10">
        <f>INDEX([1]ratio_ins!H:H,MATCH('001_population_health_zone_zs'!$B$2,[1]ratio_ins!$B:$B,0))*$G506*INDEX([1]ratio_ins!$C:$C,MATCH('001_population_health_zone_zs'!$B506,[1]ratio_ins!$B:$B,0))</f>
        <v>15235.884540000003</v>
      </c>
      <c r="K506" s="10">
        <f>INDEX([1]ratio_ins!I:I,MATCH('001_population_health_zone_zs'!$B$2,[1]ratio_ins!$B:$B,0))*$G506*INDEX([1]ratio_ins!$C:$C,MATCH('001_population_health_zone_zs'!$B506,[1]ratio_ins!$B:$B,0))</f>
        <v>9367.2475320000012</v>
      </c>
      <c r="L506" s="10">
        <f>INDEX([1]ratio_ins!J:J,MATCH('001_population_health_zone_zs'!$B$2,[1]ratio_ins!$B:$B,0))*$G506*INDEX([1]ratio_ins!$C:$C,MATCH('001_population_health_zone_zs'!$B506,[1]ratio_ins!$B:$B,0))</f>
        <v>5620.3485191999998</v>
      </c>
      <c r="M506" s="11">
        <f>INDEX([1]ratio_ins!K:K,MATCH('001_population_health_zone_zs'!$B$2,[1]ratio_ins!$B:$B,0))*$G506*INDEX([1]ratio_ins!$C:$C,MATCH('001_population_health_zone_zs'!$B506,[1]ratio_ins!$B:$B,0))</f>
        <v>63742.426579200001</v>
      </c>
      <c r="N506" s="10">
        <f>INDEX([1]ratio_ins!L:L,MATCH('001_population_health_zone_zs'!$B$2,[1]ratio_ins!$B:$B,0))*$G506*INDEX([1]ratio_ins!$C:$C,MATCH('001_population_health_zone_zs'!$B506,[1]ratio_ins!$B:$B,0))</f>
        <v>3746.8990128000005</v>
      </c>
      <c r="O506" s="10">
        <f>INDEX([1]ratio_ins!M:M,MATCH('001_population_health_zone_zs'!$B$2,[1]ratio_ins!$B:$B,0))*$G506*INDEX([1]ratio_ins!$C:$C,MATCH('001_population_health_zone_zs'!$B506,[1]ratio_ins!$B:$B,0))</f>
        <v>8125.8050880000019</v>
      </c>
      <c r="P506" s="10">
        <f>INDEX([1]ratio_ins!N:N,MATCH('001_population_health_zone_zs'!$B$2,[1]ratio_ins!$B:$B,0))*$G506*INDEX([1]ratio_ins!$C:$C,MATCH('001_population_health_zone_zs'!$B506,[1]ratio_ins!$B:$B,0))</f>
        <v>7335.796260000001</v>
      </c>
      <c r="Q506" s="10">
        <f>INDEX([1]ratio_ins!O:O,MATCH('001_population_health_zone_zs'!$B$2,[1]ratio_ins!$B:$B,0))*$G506*INDEX([1]ratio_ins!$C:$C,MATCH('001_population_health_zone_zs'!$B506,[1]ratio_ins!$B:$B,0))</f>
        <v>6545.787432000001</v>
      </c>
      <c r="R506" s="10">
        <f>INDEX([1]ratio_ins!P:P,MATCH('001_population_health_zone_zs'!$B$2,[1]ratio_ins!$B:$B,0))*$G506*INDEX([1]ratio_ins!$C:$C,MATCH('001_population_health_zone_zs'!$B506,[1]ratio_ins!$B:$B,0))</f>
        <v>6432.9290280000014</v>
      </c>
      <c r="S506" s="10">
        <f>INDEX([1]ratio_ins!Q:Q,MATCH('001_population_health_zone_zs'!$B$2,[1]ratio_ins!$B:$B,0))*$G506*INDEX([1]ratio_ins!$C:$C,MATCH('001_population_health_zone_zs'!$B506,[1]ratio_ins!$B:$B,0))</f>
        <v>5417.2033920000013</v>
      </c>
      <c r="T506" s="10">
        <f>INDEX([1]ratio_ins!R:R,MATCH('001_population_health_zone_zs'!$B$2,[1]ratio_ins!$B:$B,0))*$G506*INDEX([1]ratio_ins!$C:$C,MATCH('001_population_health_zone_zs'!$B506,[1]ratio_ins!$B:$B,0))</f>
        <v>3837.1857360000004</v>
      </c>
      <c r="U506" s="10">
        <f>INDEX([1]ratio_ins!S:S,MATCH('001_population_health_zone_zs'!$B$2,[1]ratio_ins!$B:$B,0))*$G506*INDEX([1]ratio_ins!$C:$C,MATCH('001_population_health_zone_zs'!$B506,[1]ratio_ins!$B:$B,0))</f>
        <v>3047.1769080000004</v>
      </c>
      <c r="V506" s="10">
        <f>INDEX([1]ratio_ins!T:T,MATCH('001_population_health_zone_zs'!$B$2,[1]ratio_ins!$B:$B,0))*$G506*INDEX([1]ratio_ins!$C:$C,MATCH('001_population_health_zone_zs'!$B506,[1]ratio_ins!$B:$B,0))</f>
        <v>1692.8760600000001</v>
      </c>
      <c r="W506" s="11">
        <f>INDEX([1]ratio_ins!U:U,MATCH('001_population_health_zone_zs'!$B$2,[1]ratio_ins!$B:$B,0))*$G506*INDEX([1]ratio_ins!$C:$C,MATCH('001_population_health_zone_zs'!$B506,[1]ratio_ins!$B:$B,0))</f>
        <v>46181.658916800006</v>
      </c>
      <c r="X506" s="10">
        <f>INDEX([1]ratio_ins!V:V,MATCH('001_population_health_zone_zs'!$B$2,[1]ratio_ins!$B:$B,0))*$G506*INDEX([1]ratio_ins!$C:$C,MATCH('001_population_health_zone_zs'!$B506,[1]ratio_ins!$B:$B,0))</f>
        <v>1354.3008480000003</v>
      </c>
      <c r="Y506" s="10">
        <f>INDEX([1]ratio_ins!W:W,MATCH('001_population_health_zone_zs'!$B$2,[1]ratio_ins!$B:$B,0))*$G506*INDEX([1]ratio_ins!$C:$C,MATCH('001_population_health_zone_zs'!$B506,[1]ratio_ins!$B:$B,0))</f>
        <v>902.86723200000006</v>
      </c>
      <c r="Z506" s="10">
        <f>INDEX([1]ratio_ins!X:X,MATCH('001_population_health_zone_zs'!$B$2,[1]ratio_ins!$B:$B,0))*$G506*INDEX([1]ratio_ins!$C:$C,MATCH('001_population_health_zone_zs'!$B506,[1]ratio_ins!$B:$B,0))</f>
        <v>451.43361600000003</v>
      </c>
      <c r="AA506" s="10">
        <f>INDEX([1]ratio_ins!Y:Y,MATCH('001_population_health_zone_zs'!$B$2,[1]ratio_ins!$B:$B,0))*$G506*INDEX([1]ratio_ins!$C:$C,MATCH('001_population_health_zone_zs'!$B506,[1]ratio_ins!$B:$B,0))</f>
        <v>225.71680800000001</v>
      </c>
      <c r="AB506" s="11">
        <f>INDEX([1]ratio_ins!Z:Z,MATCH('001_population_health_zone_zs'!$B$2,[1]ratio_ins!$B:$B,0))*$G506*INDEX([1]ratio_ins!$C:$C,MATCH('001_population_health_zone_zs'!$B506,[1]ratio_ins!$B:$B,0))</f>
        <v>2934.3185040000008</v>
      </c>
      <c r="AC506" s="12">
        <f t="shared" si="42"/>
        <v>112858.40400000001</v>
      </c>
      <c r="AD506" s="10">
        <f>INDEX([1]ratio_ins!AA:AA,MATCH('001_population_health_zone_zs'!$B$2,[1]ratio_ins!$B:$B,0))*$G506*INDEX([1]ratio_ins!$D:$D,MATCH('001_population_health_zone_zs'!$B506,[1]ratio_ins!$B:$B,0))</f>
        <v>24471.005159999997</v>
      </c>
      <c r="AE506" s="10">
        <f>INDEX([1]ratio_ins!AB:AB,MATCH('001_population_health_zone_zs'!$B$2,[1]ratio_ins!$B:$B,0))*$G506*INDEX([1]ratio_ins!$D:$D,MATCH('001_population_health_zone_zs'!$B506,[1]ratio_ins!$B:$B,0))</f>
        <v>20159.447108</v>
      </c>
      <c r="AF506" s="10">
        <f>INDEX([1]ratio_ins!AC:AC,MATCH('001_population_health_zone_zs'!$B$2,[1]ratio_ins!$B:$B,0))*$G506*INDEX([1]ratio_ins!$D:$D,MATCH('001_population_health_zone_zs'!$B506,[1]ratio_ins!$B:$B,0))</f>
        <v>15964.417651999998</v>
      </c>
      <c r="AG506" s="10">
        <f>INDEX([1]ratio_ins!AD:AD,MATCH('001_population_health_zone_zs'!$B$2,[1]ratio_ins!$B:$B,0))*$G506*INDEX([1]ratio_ins!$D:$D,MATCH('001_population_health_zone_zs'!$B506,[1]ratio_ins!$B:$B,0))</f>
        <v>9671.8734679999998</v>
      </c>
      <c r="AH506" s="10">
        <f>INDEX([1]ratio_ins!AE:AE,MATCH('001_population_health_zone_zs'!$B$2,[1]ratio_ins!$B:$B,0))*$G506*INDEX([1]ratio_ins!$D:$D,MATCH('001_population_health_zone_zs'!$B506,[1]ratio_ins!$B:$B,0))</f>
        <v>5803.1240807999993</v>
      </c>
      <c r="AI506" s="13">
        <f>INDEX([1]ratio_ins!AF:AF,MATCH('001_population_health_zone_zs'!$B$2,[1]ratio_ins!$B:$B,0))*$G506*INDEX([1]ratio_ins!$D:$D,MATCH('001_population_health_zone_zs'!$B506,[1]ratio_ins!$B:$B,0))</f>
        <v>66397.994000799998</v>
      </c>
      <c r="AJ506" s="10">
        <f>INDEX([1]ratio_ins!AG:AG,MATCH('001_population_health_zone_zs'!$B$2,[1]ratio_ins!$B:$B,0))*$G506*INDEX([1]ratio_ins!$D:$D,MATCH('001_population_health_zone_zs'!$B506,[1]ratio_ins!$B:$B,0))</f>
        <v>3868.7493872</v>
      </c>
      <c r="AK506" s="10">
        <f>INDEX([1]ratio_ins!AH:AH,MATCH('001_population_health_zone_zs'!$B$2,[1]ratio_ins!$B:$B,0))*$G506*INDEX([1]ratio_ins!$D:$D,MATCH('001_population_health_zone_zs'!$B506,[1]ratio_ins!$B:$B,0))</f>
        <v>8623.1161040000006</v>
      </c>
      <c r="AL506" s="10">
        <f>INDEX([1]ratio_ins!AI:AI,MATCH('001_population_health_zone_zs'!$B$2,[1]ratio_ins!$B:$B,0))*$G506*INDEX([1]ratio_ins!$D:$D,MATCH('001_population_health_zone_zs'!$B506,[1]ratio_ins!$B:$B,0))</f>
        <v>8157.0017200000011</v>
      </c>
      <c r="AM506" s="10">
        <f>INDEX([1]ratio_ins!AJ:AJ,MATCH('001_population_health_zone_zs'!$B$2,[1]ratio_ins!$B:$B,0))*$G506*INDEX([1]ratio_ins!$D:$D,MATCH('001_population_health_zone_zs'!$B506,[1]ratio_ins!$B:$B,0))</f>
        <v>7457.8301440000005</v>
      </c>
      <c r="AN506" s="10">
        <f>INDEX([1]ratio_ins!AK:AK,MATCH('001_population_health_zone_zs'!$B$2,[1]ratio_ins!$B:$B,0))*$G506*INDEX([1]ratio_ins!$D:$D,MATCH('001_population_health_zone_zs'!$B506,[1]ratio_ins!$B:$B,0))</f>
        <v>6991.71576</v>
      </c>
      <c r="AO506" s="10">
        <f>INDEX([1]ratio_ins!AL:AL,MATCH('001_population_health_zone_zs'!$B$2,[1]ratio_ins!$B:$B,0))*$G506*INDEX([1]ratio_ins!$D:$D,MATCH('001_population_health_zone_zs'!$B506,[1]ratio_ins!$B:$B,0))</f>
        <v>5243.7868199999994</v>
      </c>
      <c r="AP506" s="10">
        <f>INDEX([1]ratio_ins!AM:AM,MATCH('001_population_health_zone_zs'!$B$2,[1]ratio_ins!$B:$B,0))*$G506*INDEX([1]ratio_ins!$D:$D,MATCH('001_population_health_zone_zs'!$B506,[1]ratio_ins!$B:$B,0))</f>
        <v>3379.3292839999999</v>
      </c>
      <c r="AQ506" s="10">
        <f>INDEX([1]ratio_ins!AN:AN,MATCH('001_population_health_zone_zs'!$B$2,[1]ratio_ins!$B:$B,0))*$G506*INDEX([1]ratio_ins!$D:$D,MATCH('001_population_health_zone_zs'!$B506,[1]ratio_ins!$B:$B,0))</f>
        <v>2680.1577079999997</v>
      </c>
      <c r="AR506" s="10">
        <f>INDEX([1]ratio_ins!AO:AO,MATCH('001_population_health_zone_zs'!$B$2,[1]ratio_ins!$B:$B,0))*$G506*INDEX([1]ratio_ins!$D:$D,MATCH('001_population_health_zone_zs'!$B506,[1]ratio_ins!$B:$B,0))</f>
        <v>1281.814556</v>
      </c>
      <c r="AS506" s="13">
        <f>INDEX([1]ratio_ins!AP:AP,MATCH('001_population_health_zone_zs'!$B$2,[1]ratio_ins!$B:$B,0))*$G506*INDEX([1]ratio_ins!$D:$D,MATCH('001_population_health_zone_zs'!$B506,[1]ratio_ins!$B:$B,0))</f>
        <v>47683.501483200002</v>
      </c>
      <c r="AT506" s="10">
        <f>INDEX([1]ratio_ins!AQ:AQ,MATCH('001_population_health_zone_zs'!$B$2,[1]ratio_ins!$B:$B,0))*$G506*INDEX([1]ratio_ins!$D:$D,MATCH('001_population_health_zone_zs'!$B506,[1]ratio_ins!$B:$B,0))</f>
        <v>1165.2859599999999</v>
      </c>
      <c r="AU506" s="10">
        <f>INDEX([1]ratio_ins!AR:AR,MATCH('001_population_health_zone_zs'!$B$2,[1]ratio_ins!$B:$B,0))*$G506*INDEX([1]ratio_ins!$D:$D,MATCH('001_population_health_zone_zs'!$B506,[1]ratio_ins!$B:$B,0))</f>
        <v>699.17157600000007</v>
      </c>
      <c r="AV506" s="10">
        <f>INDEX([1]ratio_ins!AS:AS,MATCH('001_population_health_zone_zs'!$B$2,[1]ratio_ins!$B:$B,0))*$G506*INDEX([1]ratio_ins!$D:$D,MATCH('001_population_health_zone_zs'!$B506,[1]ratio_ins!$B:$B,0))</f>
        <v>349.58578800000004</v>
      </c>
      <c r="AW506" s="10">
        <f>INDEX([1]ratio_ins!AT:AT,MATCH('001_population_health_zone_zs'!$B$2,[1]ratio_ins!$B:$B,0))*$G506*INDEX([1]ratio_ins!$D:$D,MATCH('001_population_health_zone_zs'!$B506,[1]ratio_ins!$B:$B,0))</f>
        <v>233.05719200000001</v>
      </c>
      <c r="AX506" s="13">
        <f>INDEX([1]ratio_ins!AU:AU,MATCH('001_population_health_zone_zs'!$B$2,[1]ratio_ins!$B:$B,0))*$G506*INDEX([1]ratio_ins!$D:$D,MATCH('001_population_health_zone_zs'!$B506,[1]ratio_ins!$B:$B,0))</f>
        <v>2447.100516</v>
      </c>
      <c r="AY506" s="14">
        <f t="shared" si="43"/>
        <v>116528.59600000001</v>
      </c>
      <c r="AZ506" s="15">
        <f t="shared" si="44"/>
        <v>229387</v>
      </c>
      <c r="BA506" s="16">
        <v>220689.48475641166</v>
      </c>
      <c r="BB506" s="10">
        <f t="shared" si="45"/>
        <v>49524.653299999998</v>
      </c>
      <c r="BC506" s="17">
        <f t="shared" si="46"/>
        <v>0.21589999999999998</v>
      </c>
      <c r="BD506" s="10">
        <f t="shared" si="47"/>
        <v>47061.954468000011</v>
      </c>
    </row>
    <row r="507" spans="1:56" x14ac:dyDescent="0.25">
      <c r="A507" s="8" t="s">
        <v>1239</v>
      </c>
      <c r="B507" s="8" t="s">
        <v>1240</v>
      </c>
      <c r="C507" s="8" t="s">
        <v>1241</v>
      </c>
      <c r="D507" s="8" t="s">
        <v>1242</v>
      </c>
      <c r="E507" s="8" t="s">
        <v>1250</v>
      </c>
      <c r="F507" s="8" t="s">
        <v>1251</v>
      </c>
      <c r="G507" s="9">
        <v>231318</v>
      </c>
      <c r="H507" s="10">
        <f>INDEX([1]ratio_ins!F:F,MATCH('001_population_health_zone_zs'!$B$2,[1]ratio_ins!$B:$B,0))*$G507*INDEX([1]ratio_ins!$C:$C,MATCH('001_population_health_zone_zs'!$B507,[1]ratio_ins!$B:$B,0))</f>
        <v>23785.967304000002</v>
      </c>
      <c r="I507" s="10">
        <f>INDEX([1]ratio_ins!G:G,MATCH('001_population_health_zone_zs'!$B$2,[1]ratio_ins!$B:$B,0))*$G507*INDEX([1]ratio_ins!$C:$C,MATCH('001_population_health_zone_zs'!$B507,[1]ratio_ins!$B:$B,0))</f>
        <v>19461.245976000006</v>
      </c>
      <c r="J507" s="10">
        <f>INDEX([1]ratio_ins!H:H,MATCH('001_population_health_zone_zs'!$B$2,[1]ratio_ins!$B:$B,0))*$G507*INDEX([1]ratio_ins!$C:$C,MATCH('001_population_health_zone_zs'!$B507,[1]ratio_ins!$B:$B,0))</f>
        <v>15364.141560000002</v>
      </c>
      <c r="K507" s="10">
        <f>INDEX([1]ratio_ins!I:I,MATCH('001_population_health_zone_zs'!$B$2,[1]ratio_ins!$B:$B,0))*$G507*INDEX([1]ratio_ins!$C:$C,MATCH('001_population_health_zone_zs'!$B507,[1]ratio_ins!$B:$B,0))</f>
        <v>9446.1018480000002</v>
      </c>
      <c r="L507" s="10">
        <f>INDEX([1]ratio_ins!J:J,MATCH('001_population_health_zone_zs'!$B$2,[1]ratio_ins!$B:$B,0))*$G507*INDEX([1]ratio_ins!$C:$C,MATCH('001_population_health_zone_zs'!$B507,[1]ratio_ins!$B:$B,0))</f>
        <v>5667.6611088</v>
      </c>
      <c r="M507" s="11">
        <f>INDEX([1]ratio_ins!K:K,MATCH('001_population_health_zone_zs'!$B$2,[1]ratio_ins!$B:$B,0))*$G507*INDEX([1]ratio_ins!$C:$C,MATCH('001_population_health_zone_zs'!$B507,[1]ratio_ins!$B:$B,0))</f>
        <v>64279.015948800006</v>
      </c>
      <c r="N507" s="10">
        <f>INDEX([1]ratio_ins!L:L,MATCH('001_population_health_zone_zs'!$B$2,[1]ratio_ins!$B:$B,0))*$G507*INDEX([1]ratio_ins!$C:$C,MATCH('001_population_health_zone_zs'!$B507,[1]ratio_ins!$B:$B,0))</f>
        <v>3778.4407392000003</v>
      </c>
      <c r="O507" s="10">
        <f>INDEX([1]ratio_ins!M:M,MATCH('001_population_health_zone_zs'!$B$2,[1]ratio_ins!$B:$B,0))*$G507*INDEX([1]ratio_ins!$C:$C,MATCH('001_population_health_zone_zs'!$B507,[1]ratio_ins!$B:$B,0))</f>
        <v>8194.2088320000003</v>
      </c>
      <c r="P507" s="10">
        <f>INDEX([1]ratio_ins!N:N,MATCH('001_population_health_zone_zs'!$B$2,[1]ratio_ins!$B:$B,0))*$G507*INDEX([1]ratio_ins!$C:$C,MATCH('001_population_health_zone_zs'!$B507,[1]ratio_ins!$B:$B,0))</f>
        <v>7397.5496400000011</v>
      </c>
      <c r="Q507" s="10">
        <f>INDEX([1]ratio_ins!O:O,MATCH('001_population_health_zone_zs'!$B$2,[1]ratio_ins!$B:$B,0))*$G507*INDEX([1]ratio_ins!$C:$C,MATCH('001_population_health_zone_zs'!$B507,[1]ratio_ins!$B:$B,0))</f>
        <v>6600.8904480000001</v>
      </c>
      <c r="R507" s="10">
        <f>INDEX([1]ratio_ins!P:P,MATCH('001_population_health_zone_zs'!$B$2,[1]ratio_ins!$B:$B,0))*$G507*INDEX([1]ratio_ins!$C:$C,MATCH('001_population_health_zone_zs'!$B507,[1]ratio_ins!$B:$B,0))</f>
        <v>6487.0819920000004</v>
      </c>
      <c r="S507" s="10">
        <f>INDEX([1]ratio_ins!Q:Q,MATCH('001_population_health_zone_zs'!$B$2,[1]ratio_ins!$B:$B,0))*$G507*INDEX([1]ratio_ins!$C:$C,MATCH('001_population_health_zone_zs'!$B507,[1]ratio_ins!$B:$B,0))</f>
        <v>5462.8058880000008</v>
      </c>
      <c r="T507" s="10">
        <f>INDEX([1]ratio_ins!R:R,MATCH('001_population_health_zone_zs'!$B$2,[1]ratio_ins!$B:$B,0))*$G507*INDEX([1]ratio_ins!$C:$C,MATCH('001_population_health_zone_zs'!$B507,[1]ratio_ins!$B:$B,0))</f>
        <v>3869.4875040000006</v>
      </c>
      <c r="U507" s="10">
        <f>INDEX([1]ratio_ins!S:S,MATCH('001_population_health_zone_zs'!$B$2,[1]ratio_ins!$B:$B,0))*$G507*INDEX([1]ratio_ins!$C:$C,MATCH('001_population_health_zone_zs'!$B507,[1]ratio_ins!$B:$B,0))</f>
        <v>3072.828312000001</v>
      </c>
      <c r="V507" s="10">
        <f>INDEX([1]ratio_ins!T:T,MATCH('001_population_health_zone_zs'!$B$2,[1]ratio_ins!$B:$B,0))*$G507*INDEX([1]ratio_ins!$C:$C,MATCH('001_population_health_zone_zs'!$B507,[1]ratio_ins!$B:$B,0))</f>
        <v>1707.1268400000001</v>
      </c>
      <c r="W507" s="11">
        <f>INDEX([1]ratio_ins!U:U,MATCH('001_population_health_zone_zs'!$B$2,[1]ratio_ins!$B:$B,0))*$G507*INDEX([1]ratio_ins!$C:$C,MATCH('001_population_health_zone_zs'!$B507,[1]ratio_ins!$B:$B,0))</f>
        <v>46570.4201952</v>
      </c>
      <c r="X507" s="10">
        <f>INDEX([1]ratio_ins!V:V,MATCH('001_population_health_zone_zs'!$B$2,[1]ratio_ins!$B:$B,0))*$G507*INDEX([1]ratio_ins!$C:$C,MATCH('001_population_health_zone_zs'!$B507,[1]ratio_ins!$B:$B,0))</f>
        <v>1365.7014720000002</v>
      </c>
      <c r="Y507" s="10">
        <f>INDEX([1]ratio_ins!W:W,MATCH('001_population_health_zone_zs'!$B$2,[1]ratio_ins!$B:$B,0))*$G507*INDEX([1]ratio_ins!$C:$C,MATCH('001_population_health_zone_zs'!$B507,[1]ratio_ins!$B:$B,0))</f>
        <v>910.46764800000017</v>
      </c>
      <c r="Z507" s="10">
        <f>INDEX([1]ratio_ins!X:X,MATCH('001_population_health_zone_zs'!$B$2,[1]ratio_ins!$B:$B,0))*$G507*INDEX([1]ratio_ins!$C:$C,MATCH('001_population_health_zone_zs'!$B507,[1]ratio_ins!$B:$B,0))</f>
        <v>455.23382400000008</v>
      </c>
      <c r="AA507" s="10">
        <f>INDEX([1]ratio_ins!Y:Y,MATCH('001_population_health_zone_zs'!$B$2,[1]ratio_ins!$B:$B,0))*$G507*INDEX([1]ratio_ins!$C:$C,MATCH('001_population_health_zone_zs'!$B507,[1]ratio_ins!$B:$B,0))</f>
        <v>227.61691200000004</v>
      </c>
      <c r="AB507" s="11">
        <f>INDEX([1]ratio_ins!Z:Z,MATCH('001_population_health_zone_zs'!$B$2,[1]ratio_ins!$B:$B,0))*$G507*INDEX([1]ratio_ins!$C:$C,MATCH('001_population_health_zone_zs'!$B507,[1]ratio_ins!$B:$B,0))</f>
        <v>2959.0198560000008</v>
      </c>
      <c r="AC507" s="12">
        <f t="shared" si="42"/>
        <v>113808.45600000001</v>
      </c>
      <c r="AD507" s="10">
        <f>INDEX([1]ratio_ins!AA:AA,MATCH('001_population_health_zone_zs'!$B$2,[1]ratio_ins!$B:$B,0))*$G507*INDEX([1]ratio_ins!$D:$D,MATCH('001_population_health_zone_zs'!$B507,[1]ratio_ins!$B:$B,0))</f>
        <v>24677.004239999998</v>
      </c>
      <c r="AE507" s="10">
        <f>INDEX([1]ratio_ins!AB:AB,MATCH('001_population_health_zone_zs'!$B$2,[1]ratio_ins!$B:$B,0))*$G507*INDEX([1]ratio_ins!$D:$D,MATCH('001_population_health_zone_zs'!$B507,[1]ratio_ins!$B:$B,0))</f>
        <v>20329.151112000003</v>
      </c>
      <c r="AF507" s="10">
        <f>INDEX([1]ratio_ins!AC:AC,MATCH('001_population_health_zone_zs'!$B$2,[1]ratio_ins!$B:$B,0))*$G507*INDEX([1]ratio_ins!$D:$D,MATCH('001_population_health_zone_zs'!$B507,[1]ratio_ins!$B:$B,0))</f>
        <v>16098.807527999998</v>
      </c>
      <c r="AG507" s="10">
        <f>INDEX([1]ratio_ins!AD:AD,MATCH('001_population_health_zone_zs'!$B$2,[1]ratio_ins!$B:$B,0))*$G507*INDEX([1]ratio_ins!$D:$D,MATCH('001_population_health_zone_zs'!$B507,[1]ratio_ins!$B:$B,0))</f>
        <v>9753.292152</v>
      </c>
      <c r="AH507" s="10">
        <f>INDEX([1]ratio_ins!AE:AE,MATCH('001_population_health_zone_zs'!$B$2,[1]ratio_ins!$B:$B,0))*$G507*INDEX([1]ratio_ins!$D:$D,MATCH('001_population_health_zone_zs'!$B507,[1]ratio_ins!$B:$B,0))</f>
        <v>5851.9752911999994</v>
      </c>
      <c r="AI507" s="13">
        <f>INDEX([1]ratio_ins!AF:AF,MATCH('001_population_health_zone_zs'!$B$2,[1]ratio_ins!$B:$B,0))*$G507*INDEX([1]ratio_ins!$D:$D,MATCH('001_population_health_zone_zs'!$B507,[1]ratio_ins!$B:$B,0))</f>
        <v>66956.938171200003</v>
      </c>
      <c r="AJ507" s="10">
        <f>INDEX([1]ratio_ins!AG:AG,MATCH('001_population_health_zone_zs'!$B$2,[1]ratio_ins!$B:$B,0))*$G507*INDEX([1]ratio_ins!$D:$D,MATCH('001_population_health_zone_zs'!$B507,[1]ratio_ins!$B:$B,0))</f>
        <v>3901.3168608000001</v>
      </c>
      <c r="AK507" s="10">
        <f>INDEX([1]ratio_ins!AH:AH,MATCH('001_population_health_zone_zs'!$B$2,[1]ratio_ins!$B:$B,0))*$G507*INDEX([1]ratio_ins!$D:$D,MATCH('001_population_health_zone_zs'!$B507,[1]ratio_ins!$B:$B,0))</f>
        <v>8695.7062560000013</v>
      </c>
      <c r="AL507" s="10">
        <f>INDEX([1]ratio_ins!AI:AI,MATCH('001_population_health_zone_zs'!$B$2,[1]ratio_ins!$B:$B,0))*$G507*INDEX([1]ratio_ins!$D:$D,MATCH('001_population_health_zone_zs'!$B507,[1]ratio_ins!$B:$B,0))</f>
        <v>8225.6680800000013</v>
      </c>
      <c r="AM507" s="10">
        <f>INDEX([1]ratio_ins!AJ:AJ,MATCH('001_population_health_zone_zs'!$B$2,[1]ratio_ins!$B:$B,0))*$G507*INDEX([1]ratio_ins!$D:$D,MATCH('001_population_health_zone_zs'!$B507,[1]ratio_ins!$B:$B,0))</f>
        <v>7520.6108160000003</v>
      </c>
      <c r="AN507" s="10">
        <f>INDEX([1]ratio_ins!AK:AK,MATCH('001_population_health_zone_zs'!$B$2,[1]ratio_ins!$B:$B,0))*$G507*INDEX([1]ratio_ins!$D:$D,MATCH('001_population_health_zone_zs'!$B507,[1]ratio_ins!$B:$B,0))</f>
        <v>7050.5726400000003</v>
      </c>
      <c r="AO507" s="10">
        <f>INDEX([1]ratio_ins!AL:AL,MATCH('001_population_health_zone_zs'!$B$2,[1]ratio_ins!$B:$B,0))*$G507*INDEX([1]ratio_ins!$D:$D,MATCH('001_population_health_zone_zs'!$B507,[1]ratio_ins!$B:$B,0))</f>
        <v>5287.9294799999998</v>
      </c>
      <c r="AP507" s="10">
        <f>INDEX([1]ratio_ins!AM:AM,MATCH('001_population_health_zone_zs'!$B$2,[1]ratio_ins!$B:$B,0))*$G507*INDEX([1]ratio_ins!$D:$D,MATCH('001_population_health_zone_zs'!$B507,[1]ratio_ins!$B:$B,0))</f>
        <v>3407.7767759999997</v>
      </c>
      <c r="AQ507" s="10">
        <f>INDEX([1]ratio_ins!AN:AN,MATCH('001_population_health_zone_zs'!$B$2,[1]ratio_ins!$B:$B,0))*$G507*INDEX([1]ratio_ins!$D:$D,MATCH('001_population_health_zone_zs'!$B507,[1]ratio_ins!$B:$B,0))</f>
        <v>2702.7195120000001</v>
      </c>
      <c r="AR507" s="10">
        <f>INDEX([1]ratio_ins!AO:AO,MATCH('001_population_health_zone_zs'!$B$2,[1]ratio_ins!$B:$B,0))*$G507*INDEX([1]ratio_ins!$D:$D,MATCH('001_population_health_zone_zs'!$B507,[1]ratio_ins!$B:$B,0))</f>
        <v>1292.6049840000001</v>
      </c>
      <c r="AS507" s="13">
        <f>INDEX([1]ratio_ins!AP:AP,MATCH('001_population_health_zone_zs'!$B$2,[1]ratio_ins!$B:$B,0))*$G507*INDEX([1]ratio_ins!$D:$D,MATCH('001_population_health_zone_zs'!$B507,[1]ratio_ins!$B:$B,0))</f>
        <v>48084.905404799996</v>
      </c>
      <c r="AT507" s="10">
        <f>INDEX([1]ratio_ins!AQ:AQ,MATCH('001_population_health_zone_zs'!$B$2,[1]ratio_ins!$B:$B,0))*$G507*INDEX([1]ratio_ins!$D:$D,MATCH('001_population_health_zone_zs'!$B507,[1]ratio_ins!$B:$B,0))</f>
        <v>1175.0954399999998</v>
      </c>
      <c r="AU507" s="10">
        <f>INDEX([1]ratio_ins!AR:AR,MATCH('001_population_health_zone_zs'!$B$2,[1]ratio_ins!$B:$B,0))*$G507*INDEX([1]ratio_ins!$D:$D,MATCH('001_population_health_zone_zs'!$B507,[1]ratio_ins!$B:$B,0))</f>
        <v>705.05726400000003</v>
      </c>
      <c r="AV507" s="10">
        <f>INDEX([1]ratio_ins!AS:AS,MATCH('001_population_health_zone_zs'!$B$2,[1]ratio_ins!$B:$B,0))*$G507*INDEX([1]ratio_ins!$D:$D,MATCH('001_population_health_zone_zs'!$B507,[1]ratio_ins!$B:$B,0))</f>
        <v>352.52863200000002</v>
      </c>
      <c r="AW507" s="10">
        <f>INDEX([1]ratio_ins!AT:AT,MATCH('001_population_health_zone_zs'!$B$2,[1]ratio_ins!$B:$B,0))*$G507*INDEX([1]ratio_ins!$D:$D,MATCH('001_population_health_zone_zs'!$B507,[1]ratio_ins!$B:$B,0))</f>
        <v>235.01908800000001</v>
      </c>
      <c r="AX507" s="13">
        <f>INDEX([1]ratio_ins!AU:AU,MATCH('001_population_health_zone_zs'!$B$2,[1]ratio_ins!$B:$B,0))*$G507*INDEX([1]ratio_ins!$D:$D,MATCH('001_population_health_zone_zs'!$B507,[1]ratio_ins!$B:$B,0))</f>
        <v>2467.7004240000001</v>
      </c>
      <c r="AY507" s="14">
        <f t="shared" si="43"/>
        <v>117509.54399999999</v>
      </c>
      <c r="AZ507" s="15">
        <f t="shared" si="44"/>
        <v>231318</v>
      </c>
      <c r="BA507" s="16">
        <v>222547.4698124562</v>
      </c>
      <c r="BB507" s="10">
        <f t="shared" si="45"/>
        <v>49941.556199999999</v>
      </c>
      <c r="BC507" s="17">
        <f t="shared" si="46"/>
        <v>0.21590000000000001</v>
      </c>
      <c r="BD507" s="10">
        <f t="shared" si="47"/>
        <v>47458.126152000012</v>
      </c>
    </row>
    <row r="508" spans="1:56" x14ac:dyDescent="0.25">
      <c r="A508" s="8" t="s">
        <v>1239</v>
      </c>
      <c r="B508" s="8" t="s">
        <v>1240</v>
      </c>
      <c r="C508" s="8" t="s">
        <v>1241</v>
      </c>
      <c r="D508" s="8" t="s">
        <v>1242</v>
      </c>
      <c r="E508" s="8" t="s">
        <v>1252</v>
      </c>
      <c r="F508" s="8" t="s">
        <v>1253</v>
      </c>
      <c r="G508" s="9">
        <v>217671</v>
      </c>
      <c r="H508" s="10">
        <f>INDEX([1]ratio_ins!F:F,MATCH('001_population_health_zone_zs'!$B$2,[1]ratio_ins!$B:$B,0))*$G508*INDEX([1]ratio_ins!$C:$C,MATCH('001_population_health_zone_zs'!$B508,[1]ratio_ins!$B:$B,0))</f>
        <v>22382.673588000001</v>
      </c>
      <c r="I508" s="10">
        <f>INDEX([1]ratio_ins!G:G,MATCH('001_population_health_zone_zs'!$B$2,[1]ratio_ins!$B:$B,0))*$G508*INDEX([1]ratio_ins!$C:$C,MATCH('001_population_health_zone_zs'!$B508,[1]ratio_ins!$B:$B,0))</f>
        <v>18313.096572000002</v>
      </c>
      <c r="J508" s="10">
        <f>INDEX([1]ratio_ins!H:H,MATCH('001_population_health_zone_zs'!$B$2,[1]ratio_ins!$B:$B,0))*$G508*INDEX([1]ratio_ins!$C:$C,MATCH('001_population_health_zone_zs'!$B508,[1]ratio_ins!$B:$B,0))</f>
        <v>14457.707820000003</v>
      </c>
      <c r="K508" s="10">
        <f>INDEX([1]ratio_ins!I:I,MATCH('001_population_health_zone_zs'!$B$2,[1]ratio_ins!$B:$B,0))*$G508*INDEX([1]ratio_ins!$C:$C,MATCH('001_population_health_zone_zs'!$B508,[1]ratio_ins!$B:$B,0))</f>
        <v>8888.8129559999998</v>
      </c>
      <c r="L508" s="10">
        <f>INDEX([1]ratio_ins!J:J,MATCH('001_population_health_zone_zs'!$B$2,[1]ratio_ins!$B:$B,0))*$G508*INDEX([1]ratio_ins!$C:$C,MATCH('001_population_health_zone_zs'!$B508,[1]ratio_ins!$B:$B,0))</f>
        <v>5333.2877736</v>
      </c>
      <c r="M508" s="11">
        <f>INDEX([1]ratio_ins!K:K,MATCH('001_population_health_zone_zs'!$B$2,[1]ratio_ins!$B:$B,0))*$G508*INDEX([1]ratio_ins!$C:$C,MATCH('001_population_health_zone_zs'!$B508,[1]ratio_ins!$B:$B,0))</f>
        <v>60486.765753600004</v>
      </c>
      <c r="N508" s="10">
        <f>INDEX([1]ratio_ins!L:L,MATCH('001_population_health_zone_zs'!$B$2,[1]ratio_ins!$B:$B,0))*$G508*INDEX([1]ratio_ins!$C:$C,MATCH('001_population_health_zone_zs'!$B508,[1]ratio_ins!$B:$B,0))</f>
        <v>3555.5251824000002</v>
      </c>
      <c r="O508" s="10">
        <f>INDEX([1]ratio_ins!M:M,MATCH('001_population_health_zone_zs'!$B$2,[1]ratio_ins!$B:$B,0))*$G508*INDEX([1]ratio_ins!$C:$C,MATCH('001_population_health_zone_zs'!$B508,[1]ratio_ins!$B:$B,0))</f>
        <v>7710.7775040000015</v>
      </c>
      <c r="P508" s="10">
        <f>INDEX([1]ratio_ins!N:N,MATCH('001_population_health_zone_zs'!$B$2,[1]ratio_ins!$B:$B,0))*$G508*INDEX([1]ratio_ins!$C:$C,MATCH('001_population_health_zone_zs'!$B508,[1]ratio_ins!$B:$B,0))</f>
        <v>6961.1185800000003</v>
      </c>
      <c r="Q508" s="10">
        <f>INDEX([1]ratio_ins!O:O,MATCH('001_population_health_zone_zs'!$B$2,[1]ratio_ins!$B:$B,0))*$G508*INDEX([1]ratio_ins!$C:$C,MATCH('001_population_health_zone_zs'!$B508,[1]ratio_ins!$B:$B,0))</f>
        <v>6211.459656</v>
      </c>
      <c r="R508" s="10">
        <f>INDEX([1]ratio_ins!P:P,MATCH('001_population_health_zone_zs'!$B$2,[1]ratio_ins!$B:$B,0))*$G508*INDEX([1]ratio_ins!$C:$C,MATCH('001_population_health_zone_zs'!$B508,[1]ratio_ins!$B:$B,0))</f>
        <v>6104.3655240000016</v>
      </c>
      <c r="S508" s="10">
        <f>INDEX([1]ratio_ins!Q:Q,MATCH('001_population_health_zone_zs'!$B$2,[1]ratio_ins!$B:$B,0))*$G508*INDEX([1]ratio_ins!$C:$C,MATCH('001_population_health_zone_zs'!$B508,[1]ratio_ins!$B:$B,0))</f>
        <v>5140.518336000001</v>
      </c>
      <c r="T508" s="10">
        <f>INDEX([1]ratio_ins!R:R,MATCH('001_population_health_zone_zs'!$B$2,[1]ratio_ins!$B:$B,0))*$G508*INDEX([1]ratio_ins!$C:$C,MATCH('001_population_health_zone_zs'!$B508,[1]ratio_ins!$B:$B,0))</f>
        <v>3641.2004880000004</v>
      </c>
      <c r="U508" s="10">
        <f>INDEX([1]ratio_ins!S:S,MATCH('001_population_health_zone_zs'!$B$2,[1]ratio_ins!$B:$B,0))*$G508*INDEX([1]ratio_ins!$C:$C,MATCH('001_population_health_zone_zs'!$B508,[1]ratio_ins!$B:$B,0))</f>
        <v>2891.541564000001</v>
      </c>
      <c r="V508" s="10">
        <f>INDEX([1]ratio_ins!T:T,MATCH('001_population_health_zone_zs'!$B$2,[1]ratio_ins!$B:$B,0))*$G508*INDEX([1]ratio_ins!$C:$C,MATCH('001_population_health_zone_zs'!$B508,[1]ratio_ins!$B:$B,0))</f>
        <v>1606.4119800000001</v>
      </c>
      <c r="W508" s="11">
        <f>INDEX([1]ratio_ins!U:U,MATCH('001_population_health_zone_zs'!$B$2,[1]ratio_ins!$B:$B,0))*$G508*INDEX([1]ratio_ins!$C:$C,MATCH('001_population_health_zone_zs'!$B508,[1]ratio_ins!$B:$B,0))</f>
        <v>43822.918814400007</v>
      </c>
      <c r="X508" s="10">
        <f>INDEX([1]ratio_ins!V:V,MATCH('001_population_health_zone_zs'!$B$2,[1]ratio_ins!$B:$B,0))*$G508*INDEX([1]ratio_ins!$C:$C,MATCH('001_population_health_zone_zs'!$B508,[1]ratio_ins!$B:$B,0))</f>
        <v>1285.1295840000002</v>
      </c>
      <c r="Y508" s="10">
        <f>INDEX([1]ratio_ins!W:W,MATCH('001_population_health_zone_zs'!$B$2,[1]ratio_ins!$B:$B,0))*$G508*INDEX([1]ratio_ins!$C:$C,MATCH('001_population_health_zone_zs'!$B508,[1]ratio_ins!$B:$B,0))</f>
        <v>856.75305600000002</v>
      </c>
      <c r="Z508" s="10">
        <f>INDEX([1]ratio_ins!X:X,MATCH('001_population_health_zone_zs'!$B$2,[1]ratio_ins!$B:$B,0))*$G508*INDEX([1]ratio_ins!$C:$C,MATCH('001_population_health_zone_zs'!$B508,[1]ratio_ins!$B:$B,0))</f>
        <v>428.37652800000001</v>
      </c>
      <c r="AA508" s="10">
        <f>INDEX([1]ratio_ins!Y:Y,MATCH('001_population_health_zone_zs'!$B$2,[1]ratio_ins!$B:$B,0))*$G508*INDEX([1]ratio_ins!$C:$C,MATCH('001_population_health_zone_zs'!$B508,[1]ratio_ins!$B:$B,0))</f>
        <v>214.188264</v>
      </c>
      <c r="AB508" s="11">
        <f>INDEX([1]ratio_ins!Z:Z,MATCH('001_population_health_zone_zs'!$B$2,[1]ratio_ins!$B:$B,0))*$G508*INDEX([1]ratio_ins!$C:$C,MATCH('001_population_health_zone_zs'!$B508,[1]ratio_ins!$B:$B,0))</f>
        <v>2784.4474320000008</v>
      </c>
      <c r="AC508" s="12">
        <f t="shared" si="42"/>
        <v>107094.13200000001</v>
      </c>
      <c r="AD508" s="10">
        <f>INDEX([1]ratio_ins!AA:AA,MATCH('001_population_health_zone_zs'!$B$2,[1]ratio_ins!$B:$B,0))*$G508*INDEX([1]ratio_ins!$D:$D,MATCH('001_population_health_zone_zs'!$B508,[1]ratio_ins!$B:$B,0))</f>
        <v>23221.14228</v>
      </c>
      <c r="AE508" s="10">
        <f>INDEX([1]ratio_ins!AB:AB,MATCH('001_population_health_zone_zs'!$B$2,[1]ratio_ins!$B:$B,0))*$G508*INDEX([1]ratio_ins!$D:$D,MATCH('001_population_health_zone_zs'!$B508,[1]ratio_ins!$B:$B,0))</f>
        <v>19129.798164000003</v>
      </c>
      <c r="AF508" s="10">
        <f>INDEX([1]ratio_ins!AC:AC,MATCH('001_population_health_zone_zs'!$B$2,[1]ratio_ins!$B:$B,0))*$G508*INDEX([1]ratio_ins!$D:$D,MATCH('001_population_health_zone_zs'!$B508,[1]ratio_ins!$B:$B,0))</f>
        <v>15149.030915999998</v>
      </c>
      <c r="AG508" s="10">
        <f>INDEX([1]ratio_ins!AD:AD,MATCH('001_population_health_zone_zs'!$B$2,[1]ratio_ins!$B:$B,0))*$G508*INDEX([1]ratio_ins!$D:$D,MATCH('001_population_health_zone_zs'!$B508,[1]ratio_ins!$B:$B,0))</f>
        <v>9177.8800439999995</v>
      </c>
      <c r="AH508" s="10">
        <f>INDEX([1]ratio_ins!AE:AE,MATCH('001_population_health_zone_zs'!$B$2,[1]ratio_ins!$B:$B,0))*$G508*INDEX([1]ratio_ins!$D:$D,MATCH('001_population_health_zone_zs'!$B508,[1]ratio_ins!$B:$B,0))</f>
        <v>5506.7280264000001</v>
      </c>
      <c r="AI508" s="13">
        <f>INDEX([1]ratio_ins!AF:AF,MATCH('001_population_health_zone_zs'!$B$2,[1]ratio_ins!$B:$B,0))*$G508*INDEX([1]ratio_ins!$D:$D,MATCH('001_population_health_zone_zs'!$B508,[1]ratio_ins!$B:$B,0))</f>
        <v>63006.699386399996</v>
      </c>
      <c r="AJ508" s="10">
        <f>INDEX([1]ratio_ins!AG:AG,MATCH('001_population_health_zone_zs'!$B$2,[1]ratio_ins!$B:$B,0))*$G508*INDEX([1]ratio_ins!$D:$D,MATCH('001_population_health_zone_zs'!$B508,[1]ratio_ins!$B:$B,0))</f>
        <v>3671.1520175999999</v>
      </c>
      <c r="AK508" s="10">
        <f>INDEX([1]ratio_ins!AH:AH,MATCH('001_population_health_zone_zs'!$B$2,[1]ratio_ins!$B:$B,0))*$G508*INDEX([1]ratio_ins!$D:$D,MATCH('001_population_health_zone_zs'!$B508,[1]ratio_ins!$B:$B,0))</f>
        <v>8182.6882320000013</v>
      </c>
      <c r="AL508" s="10">
        <f>INDEX([1]ratio_ins!AI:AI,MATCH('001_population_health_zone_zs'!$B$2,[1]ratio_ins!$B:$B,0))*$G508*INDEX([1]ratio_ins!$D:$D,MATCH('001_population_health_zone_zs'!$B508,[1]ratio_ins!$B:$B,0))</f>
        <v>7740.3807600000009</v>
      </c>
      <c r="AM508" s="10">
        <f>INDEX([1]ratio_ins!AJ:AJ,MATCH('001_population_health_zone_zs'!$B$2,[1]ratio_ins!$B:$B,0))*$G508*INDEX([1]ratio_ins!$D:$D,MATCH('001_population_health_zone_zs'!$B508,[1]ratio_ins!$B:$B,0))</f>
        <v>7076.9195520000003</v>
      </c>
      <c r="AN508" s="10">
        <f>INDEX([1]ratio_ins!AK:AK,MATCH('001_population_health_zone_zs'!$B$2,[1]ratio_ins!$B:$B,0))*$G508*INDEX([1]ratio_ins!$D:$D,MATCH('001_population_health_zone_zs'!$B508,[1]ratio_ins!$B:$B,0))</f>
        <v>6634.6120799999999</v>
      </c>
      <c r="AO508" s="10">
        <f>INDEX([1]ratio_ins!AL:AL,MATCH('001_population_health_zone_zs'!$B$2,[1]ratio_ins!$B:$B,0))*$G508*INDEX([1]ratio_ins!$D:$D,MATCH('001_population_health_zone_zs'!$B508,[1]ratio_ins!$B:$B,0))</f>
        <v>4975.9590600000001</v>
      </c>
      <c r="AP508" s="10">
        <f>INDEX([1]ratio_ins!AM:AM,MATCH('001_population_health_zone_zs'!$B$2,[1]ratio_ins!$B:$B,0))*$G508*INDEX([1]ratio_ins!$D:$D,MATCH('001_population_health_zone_zs'!$B508,[1]ratio_ins!$B:$B,0))</f>
        <v>3206.7291719999998</v>
      </c>
      <c r="AQ508" s="10">
        <f>INDEX([1]ratio_ins!AN:AN,MATCH('001_population_health_zone_zs'!$B$2,[1]ratio_ins!$B:$B,0))*$G508*INDEX([1]ratio_ins!$D:$D,MATCH('001_population_health_zone_zs'!$B508,[1]ratio_ins!$B:$B,0))</f>
        <v>2543.2679640000001</v>
      </c>
      <c r="AR508" s="10">
        <f>INDEX([1]ratio_ins!AO:AO,MATCH('001_population_health_zone_zs'!$B$2,[1]ratio_ins!$B:$B,0))*$G508*INDEX([1]ratio_ins!$D:$D,MATCH('001_population_health_zone_zs'!$B508,[1]ratio_ins!$B:$B,0))</f>
        <v>1216.3455480000002</v>
      </c>
      <c r="AS508" s="13">
        <f>INDEX([1]ratio_ins!AP:AP,MATCH('001_population_health_zone_zs'!$B$2,[1]ratio_ins!$B:$B,0))*$G508*INDEX([1]ratio_ins!$D:$D,MATCH('001_population_health_zone_zs'!$B508,[1]ratio_ins!$B:$B,0))</f>
        <v>45248.054385600008</v>
      </c>
      <c r="AT508" s="10">
        <f>INDEX([1]ratio_ins!AQ:AQ,MATCH('001_population_health_zone_zs'!$B$2,[1]ratio_ins!$B:$B,0))*$G508*INDEX([1]ratio_ins!$D:$D,MATCH('001_population_health_zone_zs'!$B508,[1]ratio_ins!$B:$B,0))</f>
        <v>1105.7686800000001</v>
      </c>
      <c r="AU508" s="10">
        <f>INDEX([1]ratio_ins!AR:AR,MATCH('001_population_health_zone_zs'!$B$2,[1]ratio_ins!$B:$B,0))*$G508*INDEX([1]ratio_ins!$D:$D,MATCH('001_population_health_zone_zs'!$B508,[1]ratio_ins!$B:$B,0))</f>
        <v>663.46120800000006</v>
      </c>
      <c r="AV508" s="10">
        <f>INDEX([1]ratio_ins!AS:AS,MATCH('001_population_health_zone_zs'!$B$2,[1]ratio_ins!$B:$B,0))*$G508*INDEX([1]ratio_ins!$D:$D,MATCH('001_population_health_zone_zs'!$B508,[1]ratio_ins!$B:$B,0))</f>
        <v>331.73060400000003</v>
      </c>
      <c r="AW508" s="10">
        <f>INDEX([1]ratio_ins!AT:AT,MATCH('001_population_health_zone_zs'!$B$2,[1]ratio_ins!$B:$B,0))*$G508*INDEX([1]ratio_ins!$D:$D,MATCH('001_population_health_zone_zs'!$B508,[1]ratio_ins!$B:$B,0))</f>
        <v>221.15373600000001</v>
      </c>
      <c r="AX508" s="13">
        <f>INDEX([1]ratio_ins!AU:AU,MATCH('001_population_health_zone_zs'!$B$2,[1]ratio_ins!$B:$B,0))*$G508*INDEX([1]ratio_ins!$D:$D,MATCH('001_population_health_zone_zs'!$B508,[1]ratio_ins!$B:$B,0))</f>
        <v>2322.1142279999999</v>
      </c>
      <c r="AY508" s="14">
        <f t="shared" si="43"/>
        <v>110576.868</v>
      </c>
      <c r="AZ508" s="15">
        <f t="shared" si="44"/>
        <v>217671</v>
      </c>
      <c r="BA508" s="16">
        <v>209417.8118851872</v>
      </c>
      <c r="BB508" s="10">
        <f t="shared" si="45"/>
        <v>46995.168900000004</v>
      </c>
      <c r="BC508" s="17">
        <f t="shared" si="46"/>
        <v>0.21590000000000001</v>
      </c>
      <c r="BD508" s="10">
        <f t="shared" si="47"/>
        <v>44658.253044000005</v>
      </c>
    </row>
    <row r="509" spans="1:56" x14ac:dyDescent="0.25">
      <c r="A509" s="8" t="s">
        <v>1239</v>
      </c>
      <c r="B509" s="8" t="s">
        <v>1240</v>
      </c>
      <c r="C509" s="8" t="s">
        <v>1241</v>
      </c>
      <c r="D509" s="8" t="s">
        <v>1242</v>
      </c>
      <c r="E509" s="8" t="s">
        <v>1254</v>
      </c>
      <c r="F509" s="8" t="s">
        <v>1255</v>
      </c>
      <c r="G509" s="9">
        <v>117871</v>
      </c>
      <c r="H509" s="10">
        <f>INDEX([1]ratio_ins!F:F,MATCH('001_population_health_zone_zs'!$B$2,[1]ratio_ins!$B:$B,0))*$G509*INDEX([1]ratio_ins!$C:$C,MATCH('001_population_health_zone_zs'!$B509,[1]ratio_ins!$B:$B,0))</f>
        <v>12120.439188000002</v>
      </c>
      <c r="I509" s="10">
        <f>INDEX([1]ratio_ins!G:G,MATCH('001_population_health_zone_zs'!$B$2,[1]ratio_ins!$B:$B,0))*$G509*INDEX([1]ratio_ins!$C:$C,MATCH('001_population_health_zone_zs'!$B509,[1]ratio_ins!$B:$B,0))</f>
        <v>9916.7229720000014</v>
      </c>
      <c r="J509" s="10">
        <f>INDEX([1]ratio_ins!H:H,MATCH('001_population_health_zone_zs'!$B$2,[1]ratio_ins!$B:$B,0))*$G509*INDEX([1]ratio_ins!$C:$C,MATCH('001_population_health_zone_zs'!$B509,[1]ratio_ins!$B:$B,0))</f>
        <v>7828.9918200000011</v>
      </c>
      <c r="K509" s="10">
        <f>INDEX([1]ratio_ins!I:I,MATCH('001_population_health_zone_zs'!$B$2,[1]ratio_ins!$B:$B,0))*$G509*INDEX([1]ratio_ins!$C:$C,MATCH('001_population_health_zone_zs'!$B509,[1]ratio_ins!$B:$B,0))</f>
        <v>4813.3801560000002</v>
      </c>
      <c r="L509" s="10">
        <f>INDEX([1]ratio_ins!J:J,MATCH('001_population_health_zone_zs'!$B$2,[1]ratio_ins!$B:$B,0))*$G509*INDEX([1]ratio_ins!$C:$C,MATCH('001_population_health_zone_zs'!$B509,[1]ratio_ins!$B:$B,0))</f>
        <v>2888.0280935999999</v>
      </c>
      <c r="M509" s="11">
        <f>INDEX([1]ratio_ins!K:K,MATCH('001_population_health_zone_zs'!$B$2,[1]ratio_ins!$B:$B,0))*$G509*INDEX([1]ratio_ins!$C:$C,MATCH('001_population_health_zone_zs'!$B509,[1]ratio_ins!$B:$B,0))</f>
        <v>32754.182073600005</v>
      </c>
      <c r="N509" s="10">
        <f>INDEX([1]ratio_ins!L:L,MATCH('001_population_health_zone_zs'!$B$2,[1]ratio_ins!$B:$B,0))*$G509*INDEX([1]ratio_ins!$C:$C,MATCH('001_population_health_zone_zs'!$B509,[1]ratio_ins!$B:$B,0))</f>
        <v>1925.3520624000002</v>
      </c>
      <c r="O509" s="10">
        <f>INDEX([1]ratio_ins!M:M,MATCH('001_population_health_zone_zs'!$B$2,[1]ratio_ins!$B:$B,0))*$G509*INDEX([1]ratio_ins!$C:$C,MATCH('001_population_health_zone_zs'!$B509,[1]ratio_ins!$B:$B,0))</f>
        <v>4175.4623040000015</v>
      </c>
      <c r="P509" s="10">
        <f>INDEX([1]ratio_ins!N:N,MATCH('001_population_health_zone_zs'!$B$2,[1]ratio_ins!$B:$B,0))*$G509*INDEX([1]ratio_ins!$C:$C,MATCH('001_population_health_zone_zs'!$B509,[1]ratio_ins!$B:$B,0))</f>
        <v>3769.5145800000009</v>
      </c>
      <c r="Q509" s="10">
        <f>INDEX([1]ratio_ins!O:O,MATCH('001_population_health_zone_zs'!$B$2,[1]ratio_ins!$B:$B,0))*$G509*INDEX([1]ratio_ins!$C:$C,MATCH('001_population_health_zone_zs'!$B509,[1]ratio_ins!$B:$B,0))</f>
        <v>3363.5668559999999</v>
      </c>
      <c r="R509" s="10">
        <f>INDEX([1]ratio_ins!P:P,MATCH('001_population_health_zone_zs'!$B$2,[1]ratio_ins!$B:$B,0))*$G509*INDEX([1]ratio_ins!$C:$C,MATCH('001_population_health_zone_zs'!$B509,[1]ratio_ins!$B:$B,0))</f>
        <v>3305.5743240000002</v>
      </c>
      <c r="S509" s="10">
        <f>INDEX([1]ratio_ins!Q:Q,MATCH('001_population_health_zone_zs'!$B$2,[1]ratio_ins!$B:$B,0))*$G509*INDEX([1]ratio_ins!$C:$C,MATCH('001_population_health_zone_zs'!$B509,[1]ratio_ins!$B:$B,0))</f>
        <v>2783.6415360000001</v>
      </c>
      <c r="T509" s="10">
        <f>INDEX([1]ratio_ins!R:R,MATCH('001_population_health_zone_zs'!$B$2,[1]ratio_ins!$B:$B,0))*$G509*INDEX([1]ratio_ins!$C:$C,MATCH('001_population_health_zone_zs'!$B509,[1]ratio_ins!$B:$B,0))</f>
        <v>1971.7460880000003</v>
      </c>
      <c r="U509" s="10">
        <f>INDEX([1]ratio_ins!S:S,MATCH('001_population_health_zone_zs'!$B$2,[1]ratio_ins!$B:$B,0))*$G509*INDEX([1]ratio_ins!$C:$C,MATCH('001_population_health_zone_zs'!$B509,[1]ratio_ins!$B:$B,0))</f>
        <v>1565.7983640000002</v>
      </c>
      <c r="V509" s="10">
        <f>INDEX([1]ratio_ins!T:T,MATCH('001_population_health_zone_zs'!$B$2,[1]ratio_ins!$B:$B,0))*$G509*INDEX([1]ratio_ins!$C:$C,MATCH('001_population_health_zone_zs'!$B509,[1]ratio_ins!$B:$B,0))</f>
        <v>869.88797999999997</v>
      </c>
      <c r="W509" s="11">
        <f>INDEX([1]ratio_ins!U:U,MATCH('001_population_health_zone_zs'!$B$2,[1]ratio_ins!$B:$B,0))*$G509*INDEX([1]ratio_ins!$C:$C,MATCH('001_population_health_zone_zs'!$B509,[1]ratio_ins!$B:$B,0))</f>
        <v>23730.544094400004</v>
      </c>
      <c r="X509" s="10">
        <f>INDEX([1]ratio_ins!V:V,MATCH('001_population_health_zone_zs'!$B$2,[1]ratio_ins!$B:$B,0))*$G509*INDEX([1]ratio_ins!$C:$C,MATCH('001_population_health_zone_zs'!$B509,[1]ratio_ins!$B:$B,0))</f>
        <v>695.91038400000002</v>
      </c>
      <c r="Y509" s="10">
        <f>INDEX([1]ratio_ins!W:W,MATCH('001_population_health_zone_zs'!$B$2,[1]ratio_ins!$B:$B,0))*$G509*INDEX([1]ratio_ins!$C:$C,MATCH('001_population_health_zone_zs'!$B509,[1]ratio_ins!$B:$B,0))</f>
        <v>463.94025600000009</v>
      </c>
      <c r="Z509" s="10">
        <f>INDEX([1]ratio_ins!X:X,MATCH('001_population_health_zone_zs'!$B$2,[1]ratio_ins!$B:$B,0))*$G509*INDEX([1]ratio_ins!$C:$C,MATCH('001_population_health_zone_zs'!$B509,[1]ratio_ins!$B:$B,0))</f>
        <v>231.97012800000005</v>
      </c>
      <c r="AA509" s="10">
        <f>INDEX([1]ratio_ins!Y:Y,MATCH('001_population_health_zone_zs'!$B$2,[1]ratio_ins!$B:$B,0))*$G509*INDEX([1]ratio_ins!$C:$C,MATCH('001_population_health_zone_zs'!$B509,[1]ratio_ins!$B:$B,0))</f>
        <v>115.98506400000002</v>
      </c>
      <c r="AB509" s="11">
        <f>INDEX([1]ratio_ins!Z:Z,MATCH('001_population_health_zone_zs'!$B$2,[1]ratio_ins!$B:$B,0))*$G509*INDEX([1]ratio_ins!$C:$C,MATCH('001_population_health_zone_zs'!$B509,[1]ratio_ins!$B:$B,0))</f>
        <v>1507.8058320000002</v>
      </c>
      <c r="AC509" s="12">
        <f t="shared" si="42"/>
        <v>57992.532000000007</v>
      </c>
      <c r="AD509" s="10">
        <f>INDEX([1]ratio_ins!AA:AA,MATCH('001_population_health_zone_zs'!$B$2,[1]ratio_ins!$B:$B,0))*$G509*INDEX([1]ratio_ins!$D:$D,MATCH('001_population_health_zone_zs'!$B509,[1]ratio_ins!$B:$B,0))</f>
        <v>12574.478279999999</v>
      </c>
      <c r="AE509" s="10">
        <f>INDEX([1]ratio_ins!AB:AB,MATCH('001_population_health_zone_zs'!$B$2,[1]ratio_ins!$B:$B,0))*$G509*INDEX([1]ratio_ins!$D:$D,MATCH('001_population_health_zone_zs'!$B509,[1]ratio_ins!$B:$B,0))</f>
        <v>10358.974964000001</v>
      </c>
      <c r="AF509" s="10">
        <f>INDEX([1]ratio_ins!AC:AC,MATCH('001_population_health_zone_zs'!$B$2,[1]ratio_ins!$B:$B,0))*$G509*INDEX([1]ratio_ins!$D:$D,MATCH('001_population_health_zone_zs'!$B509,[1]ratio_ins!$B:$B,0))</f>
        <v>8203.3501159999996</v>
      </c>
      <c r="AG509" s="10">
        <f>INDEX([1]ratio_ins!AD:AD,MATCH('001_population_health_zone_zs'!$B$2,[1]ratio_ins!$B:$B,0))*$G509*INDEX([1]ratio_ins!$D:$D,MATCH('001_population_health_zone_zs'!$B509,[1]ratio_ins!$B:$B,0))</f>
        <v>4969.9128439999995</v>
      </c>
      <c r="AH509" s="10">
        <f>INDEX([1]ratio_ins!AE:AE,MATCH('001_population_health_zone_zs'!$B$2,[1]ratio_ins!$B:$B,0))*$G509*INDEX([1]ratio_ins!$D:$D,MATCH('001_population_health_zone_zs'!$B509,[1]ratio_ins!$B:$B,0))</f>
        <v>2981.9477063999998</v>
      </c>
      <c r="AI509" s="13">
        <f>INDEX([1]ratio_ins!AF:AF,MATCH('001_population_health_zone_zs'!$B$2,[1]ratio_ins!$B:$B,0))*$G509*INDEX([1]ratio_ins!$D:$D,MATCH('001_population_health_zone_zs'!$B509,[1]ratio_ins!$B:$B,0))</f>
        <v>34118.7510664</v>
      </c>
      <c r="AJ509" s="10">
        <f>INDEX([1]ratio_ins!AG:AG,MATCH('001_population_health_zone_zs'!$B$2,[1]ratio_ins!$B:$B,0))*$G509*INDEX([1]ratio_ins!$D:$D,MATCH('001_population_health_zone_zs'!$B509,[1]ratio_ins!$B:$B,0))</f>
        <v>1987.9651375999999</v>
      </c>
      <c r="AK509" s="10">
        <f>INDEX([1]ratio_ins!AH:AH,MATCH('001_population_health_zone_zs'!$B$2,[1]ratio_ins!$B:$B,0))*$G509*INDEX([1]ratio_ins!$D:$D,MATCH('001_population_health_zone_zs'!$B509,[1]ratio_ins!$B:$B,0))</f>
        <v>4431.0066320000005</v>
      </c>
      <c r="AL509" s="10">
        <f>INDEX([1]ratio_ins!AI:AI,MATCH('001_population_health_zone_zs'!$B$2,[1]ratio_ins!$B:$B,0))*$G509*INDEX([1]ratio_ins!$D:$D,MATCH('001_population_health_zone_zs'!$B509,[1]ratio_ins!$B:$B,0))</f>
        <v>4191.492760000001</v>
      </c>
      <c r="AM509" s="10">
        <f>INDEX([1]ratio_ins!AJ:AJ,MATCH('001_population_health_zone_zs'!$B$2,[1]ratio_ins!$B:$B,0))*$G509*INDEX([1]ratio_ins!$D:$D,MATCH('001_population_health_zone_zs'!$B509,[1]ratio_ins!$B:$B,0))</f>
        <v>3832.2219520000003</v>
      </c>
      <c r="AN509" s="10">
        <f>INDEX([1]ratio_ins!AK:AK,MATCH('001_population_health_zone_zs'!$B$2,[1]ratio_ins!$B:$B,0))*$G509*INDEX([1]ratio_ins!$D:$D,MATCH('001_population_health_zone_zs'!$B509,[1]ratio_ins!$B:$B,0))</f>
        <v>3592.7080799999999</v>
      </c>
      <c r="AO509" s="10">
        <f>INDEX([1]ratio_ins!AL:AL,MATCH('001_population_health_zone_zs'!$B$2,[1]ratio_ins!$B:$B,0))*$G509*INDEX([1]ratio_ins!$D:$D,MATCH('001_population_health_zone_zs'!$B509,[1]ratio_ins!$B:$B,0))</f>
        <v>2694.5310599999998</v>
      </c>
      <c r="AP509" s="10">
        <f>INDEX([1]ratio_ins!AM:AM,MATCH('001_population_health_zone_zs'!$B$2,[1]ratio_ins!$B:$B,0))*$G509*INDEX([1]ratio_ins!$D:$D,MATCH('001_population_health_zone_zs'!$B509,[1]ratio_ins!$B:$B,0))</f>
        <v>1736.4755719999998</v>
      </c>
      <c r="AQ509" s="10">
        <f>INDEX([1]ratio_ins!AN:AN,MATCH('001_population_health_zone_zs'!$B$2,[1]ratio_ins!$B:$B,0))*$G509*INDEX([1]ratio_ins!$D:$D,MATCH('001_population_health_zone_zs'!$B509,[1]ratio_ins!$B:$B,0))</f>
        <v>1377.2047640000001</v>
      </c>
      <c r="AR509" s="10">
        <f>INDEX([1]ratio_ins!AO:AO,MATCH('001_population_health_zone_zs'!$B$2,[1]ratio_ins!$B:$B,0))*$G509*INDEX([1]ratio_ins!$D:$D,MATCH('001_population_health_zone_zs'!$B509,[1]ratio_ins!$B:$B,0))</f>
        <v>658.66314800000009</v>
      </c>
      <c r="AS509" s="13">
        <f>INDEX([1]ratio_ins!AP:AP,MATCH('001_population_health_zone_zs'!$B$2,[1]ratio_ins!$B:$B,0))*$G509*INDEX([1]ratio_ins!$D:$D,MATCH('001_population_health_zone_zs'!$B509,[1]ratio_ins!$B:$B,0))</f>
        <v>24502.269105600004</v>
      </c>
      <c r="AT509" s="10">
        <f>INDEX([1]ratio_ins!AQ:AQ,MATCH('001_population_health_zone_zs'!$B$2,[1]ratio_ins!$B:$B,0))*$G509*INDEX([1]ratio_ins!$D:$D,MATCH('001_population_health_zone_zs'!$B509,[1]ratio_ins!$B:$B,0))</f>
        <v>598.78467999999998</v>
      </c>
      <c r="AU509" s="10">
        <f>INDEX([1]ratio_ins!AR:AR,MATCH('001_population_health_zone_zs'!$B$2,[1]ratio_ins!$B:$B,0))*$G509*INDEX([1]ratio_ins!$D:$D,MATCH('001_population_health_zone_zs'!$B509,[1]ratio_ins!$B:$B,0))</f>
        <v>359.27080799999999</v>
      </c>
      <c r="AV509" s="10">
        <f>INDEX([1]ratio_ins!AS:AS,MATCH('001_population_health_zone_zs'!$B$2,[1]ratio_ins!$B:$B,0))*$G509*INDEX([1]ratio_ins!$D:$D,MATCH('001_population_health_zone_zs'!$B509,[1]ratio_ins!$B:$B,0))</f>
        <v>179.63540399999999</v>
      </c>
      <c r="AW509" s="10">
        <f>INDEX([1]ratio_ins!AT:AT,MATCH('001_population_health_zone_zs'!$B$2,[1]ratio_ins!$B:$B,0))*$G509*INDEX([1]ratio_ins!$D:$D,MATCH('001_population_health_zone_zs'!$B509,[1]ratio_ins!$B:$B,0))</f>
        <v>119.75693600000001</v>
      </c>
      <c r="AX509" s="13">
        <f>INDEX([1]ratio_ins!AU:AU,MATCH('001_population_health_zone_zs'!$B$2,[1]ratio_ins!$B:$B,0))*$G509*INDEX([1]ratio_ins!$D:$D,MATCH('001_population_health_zone_zs'!$B509,[1]ratio_ins!$B:$B,0))</f>
        <v>1257.4478279999998</v>
      </c>
      <c r="AY509" s="14">
        <f t="shared" si="43"/>
        <v>59878.468000000001</v>
      </c>
      <c r="AZ509" s="15">
        <f t="shared" si="44"/>
        <v>117871</v>
      </c>
      <c r="BA509" s="16">
        <v>113402.06374956972</v>
      </c>
      <c r="BB509" s="10">
        <f t="shared" si="45"/>
        <v>25448.348900000001</v>
      </c>
      <c r="BC509" s="17">
        <f t="shared" si="46"/>
        <v>0.21590000000000001</v>
      </c>
      <c r="BD509" s="10">
        <f t="shared" si="47"/>
        <v>24182.885844</v>
      </c>
    </row>
    <row r="510" spans="1:56" x14ac:dyDescent="0.25">
      <c r="A510" s="8" t="s">
        <v>1239</v>
      </c>
      <c r="B510" s="8" t="s">
        <v>1240</v>
      </c>
      <c r="C510" s="8" t="s">
        <v>1241</v>
      </c>
      <c r="D510" s="8" t="s">
        <v>1242</v>
      </c>
      <c r="E510" s="8" t="s">
        <v>1256</v>
      </c>
      <c r="F510" s="8" t="s">
        <v>1257</v>
      </c>
      <c r="G510" s="9">
        <v>347255</v>
      </c>
      <c r="H510" s="10">
        <f>INDEX([1]ratio_ins!F:F,MATCH('001_population_health_zone_zs'!$B$2,[1]ratio_ins!$B:$B,0))*$G510*INDEX([1]ratio_ins!$C:$C,MATCH('001_population_health_zone_zs'!$B510,[1]ratio_ins!$B:$B,0))</f>
        <v>35707.53714</v>
      </c>
      <c r="I510" s="10">
        <f>INDEX([1]ratio_ins!G:G,MATCH('001_population_health_zone_zs'!$B$2,[1]ratio_ins!$B:$B,0))*$G510*INDEX([1]ratio_ins!$C:$C,MATCH('001_population_health_zone_zs'!$B510,[1]ratio_ins!$B:$B,0))</f>
        <v>29215.257660000003</v>
      </c>
      <c r="J510" s="10">
        <f>INDEX([1]ratio_ins!H:H,MATCH('001_population_health_zone_zs'!$B$2,[1]ratio_ins!$B:$B,0))*$G510*INDEX([1]ratio_ins!$C:$C,MATCH('001_population_health_zone_zs'!$B510,[1]ratio_ins!$B:$B,0))</f>
        <v>23064.677100000004</v>
      </c>
      <c r="K510" s="10">
        <f>INDEX([1]ratio_ins!I:I,MATCH('001_population_health_zone_zs'!$B$2,[1]ratio_ins!$B:$B,0))*$G510*INDEX([1]ratio_ins!$C:$C,MATCH('001_population_health_zone_zs'!$B510,[1]ratio_ins!$B:$B,0))</f>
        <v>14180.505180000002</v>
      </c>
      <c r="L510" s="10">
        <f>INDEX([1]ratio_ins!J:J,MATCH('001_population_health_zone_zs'!$B$2,[1]ratio_ins!$B:$B,0))*$G510*INDEX([1]ratio_ins!$C:$C,MATCH('001_population_health_zone_zs'!$B510,[1]ratio_ins!$B:$B,0))</f>
        <v>8508.3031080000001</v>
      </c>
      <c r="M510" s="11">
        <f>INDEX([1]ratio_ins!K:K,MATCH('001_population_health_zone_zs'!$B$2,[1]ratio_ins!$B:$B,0))*$G510*INDEX([1]ratio_ins!$C:$C,MATCH('001_population_health_zone_zs'!$B510,[1]ratio_ins!$B:$B,0))</f>
        <v>96495.775007999997</v>
      </c>
      <c r="N510" s="10">
        <f>INDEX([1]ratio_ins!L:L,MATCH('001_population_health_zone_zs'!$B$2,[1]ratio_ins!$B:$B,0))*$G510*INDEX([1]ratio_ins!$C:$C,MATCH('001_population_health_zone_zs'!$B510,[1]ratio_ins!$B:$B,0))</f>
        <v>5672.202072000001</v>
      </c>
      <c r="O510" s="10">
        <f>INDEX([1]ratio_ins!M:M,MATCH('001_population_health_zone_zs'!$B$2,[1]ratio_ins!$B:$B,0))*$G510*INDEX([1]ratio_ins!$C:$C,MATCH('001_population_health_zone_zs'!$B510,[1]ratio_ins!$B:$B,0))</f>
        <v>12301.161120000002</v>
      </c>
      <c r="P510" s="10">
        <f>INDEX([1]ratio_ins!N:N,MATCH('001_population_health_zone_zs'!$B$2,[1]ratio_ins!$B:$B,0))*$G510*INDEX([1]ratio_ins!$C:$C,MATCH('001_population_health_zone_zs'!$B510,[1]ratio_ins!$B:$B,0))</f>
        <v>11105.214900000001</v>
      </c>
      <c r="Q510" s="10">
        <f>INDEX([1]ratio_ins!O:O,MATCH('001_population_health_zone_zs'!$B$2,[1]ratio_ins!$B:$B,0))*$G510*INDEX([1]ratio_ins!$C:$C,MATCH('001_population_health_zone_zs'!$B510,[1]ratio_ins!$B:$B,0))</f>
        <v>9909.2686799999992</v>
      </c>
      <c r="R510" s="10">
        <f>INDEX([1]ratio_ins!P:P,MATCH('001_population_health_zone_zs'!$B$2,[1]ratio_ins!$B:$B,0))*$G510*INDEX([1]ratio_ins!$C:$C,MATCH('001_population_health_zone_zs'!$B510,[1]ratio_ins!$B:$B,0))</f>
        <v>9738.4192200000016</v>
      </c>
      <c r="S510" s="10">
        <f>INDEX([1]ratio_ins!Q:Q,MATCH('001_population_health_zone_zs'!$B$2,[1]ratio_ins!$B:$B,0))*$G510*INDEX([1]ratio_ins!$C:$C,MATCH('001_population_health_zone_zs'!$B510,[1]ratio_ins!$B:$B,0))</f>
        <v>8200.774080000001</v>
      </c>
      <c r="T510" s="10">
        <f>INDEX([1]ratio_ins!R:R,MATCH('001_population_health_zone_zs'!$B$2,[1]ratio_ins!$B:$B,0))*$G510*INDEX([1]ratio_ins!$C:$C,MATCH('001_population_health_zone_zs'!$B510,[1]ratio_ins!$B:$B,0))</f>
        <v>5808.8816400000005</v>
      </c>
      <c r="U510" s="10">
        <f>INDEX([1]ratio_ins!S:S,MATCH('001_population_health_zone_zs'!$B$2,[1]ratio_ins!$B:$B,0))*$G510*INDEX([1]ratio_ins!$C:$C,MATCH('001_population_health_zone_zs'!$B510,[1]ratio_ins!$B:$B,0))</f>
        <v>4612.9354200000007</v>
      </c>
      <c r="V510" s="10">
        <f>INDEX([1]ratio_ins!T:T,MATCH('001_population_health_zone_zs'!$B$2,[1]ratio_ins!$B:$B,0))*$G510*INDEX([1]ratio_ins!$C:$C,MATCH('001_population_health_zone_zs'!$B510,[1]ratio_ins!$B:$B,0))</f>
        <v>2562.7419</v>
      </c>
      <c r="W510" s="11">
        <f>INDEX([1]ratio_ins!U:U,MATCH('001_population_health_zone_zs'!$B$2,[1]ratio_ins!$B:$B,0))*$G510*INDEX([1]ratio_ins!$C:$C,MATCH('001_population_health_zone_zs'!$B510,[1]ratio_ins!$B:$B,0))</f>
        <v>69911.599032000013</v>
      </c>
      <c r="X510" s="10">
        <f>INDEX([1]ratio_ins!V:V,MATCH('001_population_health_zone_zs'!$B$2,[1]ratio_ins!$B:$B,0))*$G510*INDEX([1]ratio_ins!$C:$C,MATCH('001_population_health_zone_zs'!$B510,[1]ratio_ins!$B:$B,0))</f>
        <v>2050.1935200000003</v>
      </c>
      <c r="Y510" s="10">
        <f>INDEX([1]ratio_ins!W:W,MATCH('001_population_health_zone_zs'!$B$2,[1]ratio_ins!$B:$B,0))*$G510*INDEX([1]ratio_ins!$C:$C,MATCH('001_population_health_zone_zs'!$B510,[1]ratio_ins!$B:$B,0))</f>
        <v>1366.7956800000002</v>
      </c>
      <c r="Z510" s="10">
        <f>INDEX([1]ratio_ins!X:X,MATCH('001_population_health_zone_zs'!$B$2,[1]ratio_ins!$B:$B,0))*$G510*INDEX([1]ratio_ins!$C:$C,MATCH('001_population_health_zone_zs'!$B510,[1]ratio_ins!$B:$B,0))</f>
        <v>683.39784000000009</v>
      </c>
      <c r="AA510" s="10">
        <f>INDEX([1]ratio_ins!Y:Y,MATCH('001_population_health_zone_zs'!$B$2,[1]ratio_ins!$B:$B,0))*$G510*INDEX([1]ratio_ins!$C:$C,MATCH('001_population_health_zone_zs'!$B510,[1]ratio_ins!$B:$B,0))</f>
        <v>341.69892000000004</v>
      </c>
      <c r="AB510" s="11">
        <f>INDEX([1]ratio_ins!Z:Z,MATCH('001_population_health_zone_zs'!$B$2,[1]ratio_ins!$B:$B,0))*$G510*INDEX([1]ratio_ins!$C:$C,MATCH('001_population_health_zone_zs'!$B510,[1]ratio_ins!$B:$B,0))</f>
        <v>4442.0859600000013</v>
      </c>
      <c r="AC510" s="12">
        <f t="shared" si="42"/>
        <v>170849.46000000002</v>
      </c>
      <c r="AD510" s="10">
        <f>INDEX([1]ratio_ins!AA:AA,MATCH('001_population_health_zone_zs'!$B$2,[1]ratio_ins!$B:$B,0))*$G510*INDEX([1]ratio_ins!$D:$D,MATCH('001_population_health_zone_zs'!$B510,[1]ratio_ins!$B:$B,0))</f>
        <v>37045.163400000005</v>
      </c>
      <c r="AE510" s="10">
        <f>INDEX([1]ratio_ins!AB:AB,MATCH('001_population_health_zone_zs'!$B$2,[1]ratio_ins!$B:$B,0))*$G510*INDEX([1]ratio_ins!$D:$D,MATCH('001_population_health_zone_zs'!$B510,[1]ratio_ins!$B:$B,0))</f>
        <v>30518.158420000003</v>
      </c>
      <c r="AF510" s="10">
        <f>INDEX([1]ratio_ins!AC:AC,MATCH('001_population_health_zone_zs'!$B$2,[1]ratio_ins!$B:$B,0))*$G510*INDEX([1]ratio_ins!$D:$D,MATCH('001_population_health_zone_zs'!$B510,[1]ratio_ins!$B:$B,0))</f>
        <v>24167.558979999998</v>
      </c>
      <c r="AG510" s="10">
        <f>INDEX([1]ratio_ins!AD:AD,MATCH('001_population_health_zone_zs'!$B$2,[1]ratio_ins!$B:$B,0))*$G510*INDEX([1]ratio_ins!$D:$D,MATCH('001_population_health_zone_zs'!$B510,[1]ratio_ins!$B:$B,0))</f>
        <v>14641.659820000001</v>
      </c>
      <c r="AH510" s="10">
        <f>INDEX([1]ratio_ins!AE:AE,MATCH('001_population_health_zone_zs'!$B$2,[1]ratio_ins!$B:$B,0))*$G510*INDEX([1]ratio_ins!$D:$D,MATCH('001_population_health_zone_zs'!$B510,[1]ratio_ins!$B:$B,0))</f>
        <v>8784.995891999999</v>
      </c>
      <c r="AI510" s="13">
        <f>INDEX([1]ratio_ins!AF:AF,MATCH('001_population_health_zone_zs'!$B$2,[1]ratio_ins!$B:$B,0))*$G510*INDEX([1]ratio_ins!$D:$D,MATCH('001_population_health_zone_zs'!$B510,[1]ratio_ins!$B:$B,0))</f>
        <v>100515.87669200001</v>
      </c>
      <c r="AJ510" s="10">
        <f>INDEX([1]ratio_ins!AG:AG,MATCH('001_population_health_zone_zs'!$B$2,[1]ratio_ins!$B:$B,0))*$G510*INDEX([1]ratio_ins!$D:$D,MATCH('001_population_health_zone_zs'!$B510,[1]ratio_ins!$B:$B,0))</f>
        <v>5856.6639279999999</v>
      </c>
      <c r="AK510" s="10">
        <f>INDEX([1]ratio_ins!AH:AH,MATCH('001_population_health_zone_zs'!$B$2,[1]ratio_ins!$B:$B,0))*$G510*INDEX([1]ratio_ins!$D:$D,MATCH('001_population_health_zone_zs'!$B510,[1]ratio_ins!$B:$B,0))</f>
        <v>13054.009960000001</v>
      </c>
      <c r="AL510" s="10">
        <f>INDEX([1]ratio_ins!AI:AI,MATCH('001_population_health_zone_zs'!$B$2,[1]ratio_ins!$B:$B,0))*$G510*INDEX([1]ratio_ins!$D:$D,MATCH('001_population_health_zone_zs'!$B510,[1]ratio_ins!$B:$B,0))</f>
        <v>12348.3878</v>
      </c>
      <c r="AM510" s="10">
        <f>INDEX([1]ratio_ins!AJ:AJ,MATCH('001_population_health_zone_zs'!$B$2,[1]ratio_ins!$B:$B,0))*$G510*INDEX([1]ratio_ins!$D:$D,MATCH('001_population_health_zone_zs'!$B510,[1]ratio_ins!$B:$B,0))</f>
        <v>11289.95456</v>
      </c>
      <c r="AN510" s="10">
        <f>INDEX([1]ratio_ins!AK:AK,MATCH('001_population_health_zone_zs'!$B$2,[1]ratio_ins!$B:$B,0))*$G510*INDEX([1]ratio_ins!$D:$D,MATCH('001_population_health_zone_zs'!$B510,[1]ratio_ins!$B:$B,0))</f>
        <v>10584.332399999999</v>
      </c>
      <c r="AO510" s="10">
        <f>INDEX([1]ratio_ins!AL:AL,MATCH('001_population_health_zone_zs'!$B$2,[1]ratio_ins!$B:$B,0))*$G510*INDEX([1]ratio_ins!$D:$D,MATCH('001_population_health_zone_zs'!$B510,[1]ratio_ins!$B:$B,0))</f>
        <v>7938.2492999999995</v>
      </c>
      <c r="AP510" s="10">
        <f>INDEX([1]ratio_ins!AM:AM,MATCH('001_population_health_zone_zs'!$B$2,[1]ratio_ins!$B:$B,0))*$G510*INDEX([1]ratio_ins!$D:$D,MATCH('001_population_health_zone_zs'!$B510,[1]ratio_ins!$B:$B,0))</f>
        <v>5115.760659999999</v>
      </c>
      <c r="AQ510" s="10">
        <f>INDEX([1]ratio_ins!AN:AN,MATCH('001_population_health_zone_zs'!$B$2,[1]ratio_ins!$B:$B,0))*$G510*INDEX([1]ratio_ins!$D:$D,MATCH('001_population_health_zone_zs'!$B510,[1]ratio_ins!$B:$B,0))</f>
        <v>4057.3274200000001</v>
      </c>
      <c r="AR510" s="10">
        <f>INDEX([1]ratio_ins!AO:AO,MATCH('001_population_health_zone_zs'!$B$2,[1]ratio_ins!$B:$B,0))*$G510*INDEX([1]ratio_ins!$D:$D,MATCH('001_population_health_zone_zs'!$B510,[1]ratio_ins!$B:$B,0))</f>
        <v>1940.4609400000002</v>
      </c>
      <c r="AS510" s="13">
        <f>INDEX([1]ratio_ins!AP:AP,MATCH('001_population_health_zone_zs'!$B$2,[1]ratio_ins!$B:$B,0))*$G510*INDEX([1]ratio_ins!$D:$D,MATCH('001_population_health_zone_zs'!$B510,[1]ratio_ins!$B:$B,0))</f>
        <v>72185.146968000001</v>
      </c>
      <c r="AT510" s="10">
        <f>INDEX([1]ratio_ins!AQ:AQ,MATCH('001_population_health_zone_zs'!$B$2,[1]ratio_ins!$B:$B,0))*$G510*INDEX([1]ratio_ins!$D:$D,MATCH('001_population_health_zone_zs'!$B510,[1]ratio_ins!$B:$B,0))</f>
        <v>1764.0554000000002</v>
      </c>
      <c r="AU510" s="10">
        <f>INDEX([1]ratio_ins!AR:AR,MATCH('001_population_health_zone_zs'!$B$2,[1]ratio_ins!$B:$B,0))*$G510*INDEX([1]ratio_ins!$D:$D,MATCH('001_population_health_zone_zs'!$B510,[1]ratio_ins!$B:$B,0))</f>
        <v>1058.4332400000001</v>
      </c>
      <c r="AV510" s="10">
        <f>INDEX([1]ratio_ins!AS:AS,MATCH('001_population_health_zone_zs'!$B$2,[1]ratio_ins!$B:$B,0))*$G510*INDEX([1]ratio_ins!$D:$D,MATCH('001_population_health_zone_zs'!$B510,[1]ratio_ins!$B:$B,0))</f>
        <v>529.21662000000003</v>
      </c>
      <c r="AW510" s="10">
        <f>INDEX([1]ratio_ins!AT:AT,MATCH('001_population_health_zone_zs'!$B$2,[1]ratio_ins!$B:$B,0))*$G510*INDEX([1]ratio_ins!$D:$D,MATCH('001_population_health_zone_zs'!$B510,[1]ratio_ins!$B:$B,0))</f>
        <v>352.81108</v>
      </c>
      <c r="AX510" s="13">
        <f>INDEX([1]ratio_ins!AU:AU,MATCH('001_population_health_zone_zs'!$B$2,[1]ratio_ins!$B:$B,0))*$G510*INDEX([1]ratio_ins!$D:$D,MATCH('001_population_health_zone_zs'!$B510,[1]ratio_ins!$B:$B,0))</f>
        <v>3704.5163399999997</v>
      </c>
      <c r="AY510" s="14">
        <f t="shared" si="43"/>
        <v>176405.54</v>
      </c>
      <c r="AZ510" s="15">
        <f t="shared" si="44"/>
        <v>347255</v>
      </c>
      <c r="BA510" s="16">
        <v>334088.45444260741</v>
      </c>
      <c r="BB510" s="10">
        <f t="shared" si="45"/>
        <v>74972.354500000001</v>
      </c>
      <c r="BC510" s="17">
        <f t="shared" si="46"/>
        <v>0.21590000000000001</v>
      </c>
      <c r="BD510" s="10">
        <f t="shared" si="47"/>
        <v>71244.224820000018</v>
      </c>
    </row>
    <row r="511" spans="1:56" x14ac:dyDescent="0.25">
      <c r="A511" s="8" t="s">
        <v>1239</v>
      </c>
      <c r="B511" s="8" t="s">
        <v>1240</v>
      </c>
      <c r="C511" s="8" t="s">
        <v>1258</v>
      </c>
      <c r="D511" s="8" t="s">
        <v>1259</v>
      </c>
      <c r="E511" s="8" t="s">
        <v>1258</v>
      </c>
      <c r="F511" s="8" t="s">
        <v>1260</v>
      </c>
      <c r="G511" s="9">
        <v>230813</v>
      </c>
      <c r="H511" s="10">
        <f>INDEX([1]ratio_ins!F:F,MATCH('001_population_health_zone_zs'!$B$2,[1]ratio_ins!$B:$B,0))*$G511*INDEX([1]ratio_ins!$C:$C,MATCH('001_population_health_zone_zs'!$B511,[1]ratio_ins!$B:$B,0))</f>
        <v>23734.039164000002</v>
      </c>
      <c r="I511" s="10">
        <f>INDEX([1]ratio_ins!G:G,MATCH('001_population_health_zone_zs'!$B$2,[1]ratio_ins!$B:$B,0))*$G511*INDEX([1]ratio_ins!$C:$C,MATCH('001_population_health_zone_zs'!$B511,[1]ratio_ins!$B:$B,0))</f>
        <v>19418.759316000003</v>
      </c>
      <c r="J511" s="10">
        <f>INDEX([1]ratio_ins!H:H,MATCH('001_population_health_zone_zs'!$B$2,[1]ratio_ins!$B:$B,0))*$G511*INDEX([1]ratio_ins!$C:$C,MATCH('001_population_health_zone_zs'!$B511,[1]ratio_ins!$B:$B,0))</f>
        <v>15330.599460000001</v>
      </c>
      <c r="K511" s="10">
        <f>INDEX([1]ratio_ins!I:I,MATCH('001_population_health_zone_zs'!$B$2,[1]ratio_ins!$B:$B,0))*$G511*INDEX([1]ratio_ins!$C:$C,MATCH('001_population_health_zone_zs'!$B511,[1]ratio_ins!$B:$B,0))</f>
        <v>9425.4796679999999</v>
      </c>
      <c r="L511" s="10">
        <f>INDEX([1]ratio_ins!J:J,MATCH('001_population_health_zone_zs'!$B$2,[1]ratio_ins!$B:$B,0))*$G511*INDEX([1]ratio_ins!$C:$C,MATCH('001_population_health_zone_zs'!$B511,[1]ratio_ins!$B:$B,0))</f>
        <v>5655.2878008000007</v>
      </c>
      <c r="M511" s="11">
        <f>INDEX([1]ratio_ins!K:K,MATCH('001_population_health_zone_zs'!$B$2,[1]ratio_ins!$B:$B,0))*$G511*INDEX([1]ratio_ins!$C:$C,MATCH('001_population_health_zone_zs'!$B511,[1]ratio_ins!$B:$B,0))</f>
        <v>64138.6857408</v>
      </c>
      <c r="N511" s="10">
        <f>INDEX([1]ratio_ins!L:L,MATCH('001_population_health_zone_zs'!$B$2,[1]ratio_ins!$B:$B,0))*$G511*INDEX([1]ratio_ins!$C:$C,MATCH('001_population_health_zone_zs'!$B511,[1]ratio_ins!$B:$B,0))</f>
        <v>3770.1918672000006</v>
      </c>
      <c r="O511" s="10">
        <f>INDEX([1]ratio_ins!M:M,MATCH('001_population_health_zone_zs'!$B$2,[1]ratio_ins!$B:$B,0))*$G511*INDEX([1]ratio_ins!$C:$C,MATCH('001_population_health_zone_zs'!$B511,[1]ratio_ins!$B:$B,0))</f>
        <v>8176.3197120000023</v>
      </c>
      <c r="P511" s="10">
        <f>INDEX([1]ratio_ins!N:N,MATCH('001_population_health_zone_zs'!$B$2,[1]ratio_ins!$B:$B,0))*$G511*INDEX([1]ratio_ins!$C:$C,MATCH('001_population_health_zone_zs'!$B511,[1]ratio_ins!$B:$B,0))</f>
        <v>7381.3997400000017</v>
      </c>
      <c r="Q511" s="10">
        <f>INDEX([1]ratio_ins!O:O,MATCH('001_population_health_zone_zs'!$B$2,[1]ratio_ins!$B:$B,0))*$G511*INDEX([1]ratio_ins!$C:$C,MATCH('001_population_health_zone_zs'!$B511,[1]ratio_ins!$B:$B,0))</f>
        <v>6586.4797680000001</v>
      </c>
      <c r="R511" s="10">
        <f>INDEX([1]ratio_ins!P:P,MATCH('001_population_health_zone_zs'!$B$2,[1]ratio_ins!$B:$B,0))*$G511*INDEX([1]ratio_ins!$C:$C,MATCH('001_population_health_zone_zs'!$B511,[1]ratio_ins!$B:$B,0))</f>
        <v>6472.9197720000011</v>
      </c>
      <c r="S511" s="10">
        <f>INDEX([1]ratio_ins!Q:Q,MATCH('001_population_health_zone_zs'!$B$2,[1]ratio_ins!$B:$B,0))*$G511*INDEX([1]ratio_ins!$C:$C,MATCH('001_population_health_zone_zs'!$B511,[1]ratio_ins!$B:$B,0))</f>
        <v>5450.8798080000006</v>
      </c>
      <c r="T511" s="10">
        <f>INDEX([1]ratio_ins!R:R,MATCH('001_population_health_zone_zs'!$B$2,[1]ratio_ins!$B:$B,0))*$G511*INDEX([1]ratio_ins!$C:$C,MATCH('001_population_health_zone_zs'!$B511,[1]ratio_ins!$B:$B,0))</f>
        <v>3861.0398640000008</v>
      </c>
      <c r="U511" s="10">
        <f>INDEX([1]ratio_ins!S:S,MATCH('001_population_health_zone_zs'!$B$2,[1]ratio_ins!$B:$B,0))*$G511*INDEX([1]ratio_ins!$C:$C,MATCH('001_population_health_zone_zs'!$B511,[1]ratio_ins!$B:$B,0))</f>
        <v>3066.1198920000006</v>
      </c>
      <c r="V511" s="10">
        <f>INDEX([1]ratio_ins!T:T,MATCH('001_population_health_zone_zs'!$B$2,[1]ratio_ins!$B:$B,0))*$G511*INDEX([1]ratio_ins!$C:$C,MATCH('001_population_health_zone_zs'!$B511,[1]ratio_ins!$B:$B,0))</f>
        <v>1703.39994</v>
      </c>
      <c r="W511" s="11">
        <f>INDEX([1]ratio_ins!U:U,MATCH('001_population_health_zone_zs'!$B$2,[1]ratio_ins!$B:$B,0))*$G511*INDEX([1]ratio_ins!$C:$C,MATCH('001_population_health_zone_zs'!$B511,[1]ratio_ins!$B:$B,0))</f>
        <v>46468.750363200008</v>
      </c>
      <c r="X511" s="10">
        <f>INDEX([1]ratio_ins!V:V,MATCH('001_population_health_zone_zs'!$B$2,[1]ratio_ins!$B:$B,0))*$G511*INDEX([1]ratio_ins!$C:$C,MATCH('001_population_health_zone_zs'!$B511,[1]ratio_ins!$B:$B,0))</f>
        <v>1362.7199520000001</v>
      </c>
      <c r="Y511" s="10">
        <f>INDEX([1]ratio_ins!W:W,MATCH('001_population_health_zone_zs'!$B$2,[1]ratio_ins!$B:$B,0))*$G511*INDEX([1]ratio_ins!$C:$C,MATCH('001_population_health_zone_zs'!$B511,[1]ratio_ins!$B:$B,0))</f>
        <v>908.4799680000001</v>
      </c>
      <c r="Z511" s="10">
        <f>INDEX([1]ratio_ins!X:X,MATCH('001_population_health_zone_zs'!$B$2,[1]ratio_ins!$B:$B,0))*$G511*INDEX([1]ratio_ins!$C:$C,MATCH('001_population_health_zone_zs'!$B511,[1]ratio_ins!$B:$B,0))</f>
        <v>454.23998400000005</v>
      </c>
      <c r="AA511" s="10">
        <f>INDEX([1]ratio_ins!Y:Y,MATCH('001_population_health_zone_zs'!$B$2,[1]ratio_ins!$B:$B,0))*$G511*INDEX([1]ratio_ins!$C:$C,MATCH('001_population_health_zone_zs'!$B511,[1]ratio_ins!$B:$B,0))</f>
        <v>227.11999200000002</v>
      </c>
      <c r="AB511" s="11">
        <f>INDEX([1]ratio_ins!Z:Z,MATCH('001_population_health_zone_zs'!$B$2,[1]ratio_ins!$B:$B,0))*$G511*INDEX([1]ratio_ins!$C:$C,MATCH('001_population_health_zone_zs'!$B511,[1]ratio_ins!$B:$B,0))</f>
        <v>2952.5598960000007</v>
      </c>
      <c r="AC511" s="12">
        <f t="shared" si="42"/>
        <v>113559.99600000001</v>
      </c>
      <c r="AD511" s="10">
        <f>INDEX([1]ratio_ins!AA:AA,MATCH('001_population_health_zone_zs'!$B$2,[1]ratio_ins!$B:$B,0))*$G511*INDEX([1]ratio_ins!$D:$D,MATCH('001_population_health_zone_zs'!$B511,[1]ratio_ins!$B:$B,0))</f>
        <v>24623.130839999998</v>
      </c>
      <c r="AE511" s="10">
        <f>INDEX([1]ratio_ins!AB:AB,MATCH('001_population_health_zone_zs'!$B$2,[1]ratio_ins!$B:$B,0))*$G511*INDEX([1]ratio_ins!$D:$D,MATCH('001_population_health_zone_zs'!$B511,[1]ratio_ins!$B:$B,0))</f>
        <v>20284.769692000002</v>
      </c>
      <c r="AF511" s="10">
        <f>INDEX([1]ratio_ins!AC:AC,MATCH('001_population_health_zone_zs'!$B$2,[1]ratio_ins!$B:$B,0))*$G511*INDEX([1]ratio_ins!$D:$D,MATCH('001_population_health_zone_zs'!$B511,[1]ratio_ins!$B:$B,0))</f>
        <v>16063.661547999998</v>
      </c>
      <c r="AG511" s="10">
        <f>INDEX([1]ratio_ins!AD:AD,MATCH('001_population_health_zone_zs'!$B$2,[1]ratio_ins!$B:$B,0))*$G511*INDEX([1]ratio_ins!$D:$D,MATCH('001_population_health_zone_zs'!$B511,[1]ratio_ins!$B:$B,0))</f>
        <v>9731.9993319999994</v>
      </c>
      <c r="AH511" s="10">
        <f>INDEX([1]ratio_ins!AE:AE,MATCH('001_population_health_zone_zs'!$B$2,[1]ratio_ins!$B:$B,0))*$G511*INDEX([1]ratio_ins!$D:$D,MATCH('001_population_health_zone_zs'!$B511,[1]ratio_ins!$B:$B,0))</f>
        <v>5839.1995992000002</v>
      </c>
      <c r="AI511" s="13">
        <f>INDEX([1]ratio_ins!AF:AF,MATCH('001_population_health_zone_zs'!$B$2,[1]ratio_ins!$B:$B,0))*$G511*INDEX([1]ratio_ins!$D:$D,MATCH('001_population_health_zone_zs'!$B511,[1]ratio_ins!$B:$B,0))</f>
        <v>66810.761679200004</v>
      </c>
      <c r="AJ511" s="10">
        <f>INDEX([1]ratio_ins!AG:AG,MATCH('001_population_health_zone_zs'!$B$2,[1]ratio_ins!$B:$B,0))*$G511*INDEX([1]ratio_ins!$D:$D,MATCH('001_population_health_zone_zs'!$B511,[1]ratio_ins!$B:$B,0))</f>
        <v>3892.7997328000001</v>
      </c>
      <c r="AK511" s="10">
        <f>INDEX([1]ratio_ins!AH:AH,MATCH('001_population_health_zone_zs'!$B$2,[1]ratio_ins!$B:$B,0))*$G511*INDEX([1]ratio_ins!$D:$D,MATCH('001_population_health_zone_zs'!$B511,[1]ratio_ins!$B:$B,0))</f>
        <v>8676.7222960000017</v>
      </c>
      <c r="AL511" s="10">
        <f>INDEX([1]ratio_ins!AI:AI,MATCH('001_population_health_zone_zs'!$B$2,[1]ratio_ins!$B:$B,0))*$G511*INDEX([1]ratio_ins!$D:$D,MATCH('001_population_health_zone_zs'!$B511,[1]ratio_ins!$B:$B,0))</f>
        <v>8207.7102800000011</v>
      </c>
      <c r="AM511" s="10">
        <f>INDEX([1]ratio_ins!AJ:AJ,MATCH('001_population_health_zone_zs'!$B$2,[1]ratio_ins!$B:$B,0))*$G511*INDEX([1]ratio_ins!$D:$D,MATCH('001_population_health_zone_zs'!$B511,[1]ratio_ins!$B:$B,0))</f>
        <v>7504.1922560000003</v>
      </c>
      <c r="AN511" s="10">
        <f>INDEX([1]ratio_ins!AK:AK,MATCH('001_population_health_zone_zs'!$B$2,[1]ratio_ins!$B:$B,0))*$G511*INDEX([1]ratio_ins!$D:$D,MATCH('001_population_health_zone_zs'!$B511,[1]ratio_ins!$B:$B,0))</f>
        <v>7035.1802399999997</v>
      </c>
      <c r="AO511" s="10">
        <f>INDEX([1]ratio_ins!AL:AL,MATCH('001_population_health_zone_zs'!$B$2,[1]ratio_ins!$B:$B,0))*$G511*INDEX([1]ratio_ins!$D:$D,MATCH('001_population_health_zone_zs'!$B511,[1]ratio_ins!$B:$B,0))</f>
        <v>5276.3851799999993</v>
      </c>
      <c r="AP511" s="10">
        <f>INDEX([1]ratio_ins!AM:AM,MATCH('001_population_health_zone_zs'!$B$2,[1]ratio_ins!$B:$B,0))*$G511*INDEX([1]ratio_ins!$D:$D,MATCH('001_population_health_zone_zs'!$B511,[1]ratio_ins!$B:$B,0))</f>
        <v>3400.3371159999997</v>
      </c>
      <c r="AQ511" s="10">
        <f>INDEX([1]ratio_ins!AN:AN,MATCH('001_population_health_zone_zs'!$B$2,[1]ratio_ins!$B:$B,0))*$G511*INDEX([1]ratio_ins!$D:$D,MATCH('001_population_health_zone_zs'!$B511,[1]ratio_ins!$B:$B,0))</f>
        <v>2696.8190919999997</v>
      </c>
      <c r="AR511" s="10">
        <f>INDEX([1]ratio_ins!AO:AO,MATCH('001_population_health_zone_zs'!$B$2,[1]ratio_ins!$B:$B,0))*$G511*INDEX([1]ratio_ins!$D:$D,MATCH('001_population_health_zone_zs'!$B511,[1]ratio_ins!$B:$B,0))</f>
        <v>1289.783044</v>
      </c>
      <c r="AS511" s="13">
        <f>INDEX([1]ratio_ins!AP:AP,MATCH('001_population_health_zone_zs'!$B$2,[1]ratio_ins!$B:$B,0))*$G511*INDEX([1]ratio_ins!$D:$D,MATCH('001_population_health_zone_zs'!$B511,[1]ratio_ins!$B:$B,0))</f>
        <v>47979.929236800002</v>
      </c>
      <c r="AT511" s="10">
        <f>INDEX([1]ratio_ins!AQ:AQ,MATCH('001_population_health_zone_zs'!$B$2,[1]ratio_ins!$B:$B,0))*$G511*INDEX([1]ratio_ins!$D:$D,MATCH('001_population_health_zone_zs'!$B511,[1]ratio_ins!$B:$B,0))</f>
        <v>1172.5300400000001</v>
      </c>
      <c r="AU511" s="10">
        <f>INDEX([1]ratio_ins!AR:AR,MATCH('001_population_health_zone_zs'!$B$2,[1]ratio_ins!$B:$B,0))*$G511*INDEX([1]ratio_ins!$D:$D,MATCH('001_population_health_zone_zs'!$B511,[1]ratio_ins!$B:$B,0))</f>
        <v>703.51802399999997</v>
      </c>
      <c r="AV511" s="10">
        <f>INDEX([1]ratio_ins!AS:AS,MATCH('001_population_health_zone_zs'!$B$2,[1]ratio_ins!$B:$B,0))*$G511*INDEX([1]ratio_ins!$D:$D,MATCH('001_population_health_zone_zs'!$B511,[1]ratio_ins!$B:$B,0))</f>
        <v>351.75901199999998</v>
      </c>
      <c r="AW511" s="10">
        <f>INDEX([1]ratio_ins!AT:AT,MATCH('001_population_health_zone_zs'!$B$2,[1]ratio_ins!$B:$B,0))*$G511*INDEX([1]ratio_ins!$D:$D,MATCH('001_population_health_zone_zs'!$B511,[1]ratio_ins!$B:$B,0))</f>
        <v>234.50600800000001</v>
      </c>
      <c r="AX511" s="13">
        <f>INDEX([1]ratio_ins!AU:AU,MATCH('001_population_health_zone_zs'!$B$2,[1]ratio_ins!$B:$B,0))*$G511*INDEX([1]ratio_ins!$D:$D,MATCH('001_population_health_zone_zs'!$B511,[1]ratio_ins!$B:$B,0))</f>
        <v>2462.3130839999999</v>
      </c>
      <c r="AY511" s="14">
        <f t="shared" si="43"/>
        <v>117253.004</v>
      </c>
      <c r="AZ511" s="15">
        <f t="shared" si="44"/>
        <v>230813</v>
      </c>
      <c r="BA511" s="16">
        <v>222061.70186274927</v>
      </c>
      <c r="BB511" s="10">
        <f t="shared" si="45"/>
        <v>49832.526700000002</v>
      </c>
      <c r="BC511" s="17">
        <f t="shared" si="46"/>
        <v>0.21590000000000001</v>
      </c>
      <c r="BD511" s="10">
        <f t="shared" si="47"/>
        <v>47354.518332</v>
      </c>
    </row>
    <row r="512" spans="1:56" x14ac:dyDescent="0.25">
      <c r="A512" s="8" t="s">
        <v>1239</v>
      </c>
      <c r="B512" s="8" t="s">
        <v>1240</v>
      </c>
      <c r="C512" s="8" t="s">
        <v>1258</v>
      </c>
      <c r="D512" s="8" t="s">
        <v>1259</v>
      </c>
      <c r="E512" s="8" t="s">
        <v>1261</v>
      </c>
      <c r="F512" s="8" t="s">
        <v>1262</v>
      </c>
      <c r="G512" s="9">
        <v>144061</v>
      </c>
      <c r="H512" s="10">
        <f>INDEX([1]ratio_ins!F:F,MATCH('001_population_health_zone_zs'!$B$2,[1]ratio_ins!$B:$B,0))*$G512*INDEX([1]ratio_ins!$C:$C,MATCH('001_population_health_zone_zs'!$B512,[1]ratio_ins!$B:$B,0))</f>
        <v>14813.504508000002</v>
      </c>
      <c r="I512" s="10">
        <f>INDEX([1]ratio_ins!G:G,MATCH('001_population_health_zone_zs'!$B$2,[1]ratio_ins!$B:$B,0))*$G512*INDEX([1]ratio_ins!$C:$C,MATCH('001_population_health_zone_zs'!$B512,[1]ratio_ins!$B:$B,0))</f>
        <v>12120.140052000001</v>
      </c>
      <c r="J512" s="10">
        <f>INDEX([1]ratio_ins!H:H,MATCH('001_population_health_zone_zs'!$B$2,[1]ratio_ins!$B:$B,0))*$G512*INDEX([1]ratio_ins!$C:$C,MATCH('001_population_health_zone_zs'!$B512,[1]ratio_ins!$B:$B,0))</f>
        <v>9568.5316200000016</v>
      </c>
      <c r="K512" s="10">
        <f>INDEX([1]ratio_ins!I:I,MATCH('001_population_health_zone_zs'!$B$2,[1]ratio_ins!$B:$B,0))*$G512*INDEX([1]ratio_ins!$C:$C,MATCH('001_population_health_zone_zs'!$B512,[1]ratio_ins!$B:$B,0))</f>
        <v>5882.8749960000005</v>
      </c>
      <c r="L512" s="10">
        <f>INDEX([1]ratio_ins!J:J,MATCH('001_population_health_zone_zs'!$B$2,[1]ratio_ins!$B:$B,0))*$G512*INDEX([1]ratio_ins!$C:$C,MATCH('001_population_health_zone_zs'!$B512,[1]ratio_ins!$B:$B,0))</f>
        <v>3529.7249976000003</v>
      </c>
      <c r="M512" s="11">
        <f>INDEX([1]ratio_ins!K:K,MATCH('001_population_health_zone_zs'!$B$2,[1]ratio_ins!$B:$B,0))*$G512*INDEX([1]ratio_ins!$C:$C,MATCH('001_population_health_zone_zs'!$B512,[1]ratio_ins!$B:$B,0))</f>
        <v>40031.901177600004</v>
      </c>
      <c r="N512" s="10">
        <f>INDEX([1]ratio_ins!L:L,MATCH('001_population_health_zone_zs'!$B$2,[1]ratio_ins!$B:$B,0))*$G512*INDEX([1]ratio_ins!$C:$C,MATCH('001_population_health_zone_zs'!$B512,[1]ratio_ins!$B:$B,0))</f>
        <v>2353.1499984000002</v>
      </c>
      <c r="O512" s="10">
        <f>INDEX([1]ratio_ins!M:M,MATCH('001_population_health_zone_zs'!$B$2,[1]ratio_ins!$B:$B,0))*$G512*INDEX([1]ratio_ins!$C:$C,MATCH('001_population_health_zone_zs'!$B512,[1]ratio_ins!$B:$B,0))</f>
        <v>5103.2168640000009</v>
      </c>
      <c r="P512" s="10">
        <f>INDEX([1]ratio_ins!N:N,MATCH('001_population_health_zone_zs'!$B$2,[1]ratio_ins!$B:$B,0))*$G512*INDEX([1]ratio_ins!$C:$C,MATCH('001_population_health_zone_zs'!$B512,[1]ratio_ins!$B:$B,0))</f>
        <v>4607.0707800000009</v>
      </c>
      <c r="Q512" s="10">
        <f>INDEX([1]ratio_ins!O:O,MATCH('001_population_health_zone_zs'!$B$2,[1]ratio_ins!$B:$B,0))*$G512*INDEX([1]ratio_ins!$C:$C,MATCH('001_population_health_zone_zs'!$B512,[1]ratio_ins!$B:$B,0))</f>
        <v>4110.924696</v>
      </c>
      <c r="R512" s="10">
        <f>INDEX([1]ratio_ins!P:P,MATCH('001_population_health_zone_zs'!$B$2,[1]ratio_ins!$B:$B,0))*$G512*INDEX([1]ratio_ins!$C:$C,MATCH('001_population_health_zone_zs'!$B512,[1]ratio_ins!$B:$B,0))</f>
        <v>4040.0466840000008</v>
      </c>
      <c r="S512" s="10">
        <f>INDEX([1]ratio_ins!Q:Q,MATCH('001_population_health_zone_zs'!$B$2,[1]ratio_ins!$B:$B,0))*$G512*INDEX([1]ratio_ins!$C:$C,MATCH('001_population_health_zone_zs'!$B512,[1]ratio_ins!$B:$B,0))</f>
        <v>3402.1445760000001</v>
      </c>
      <c r="T512" s="10">
        <f>INDEX([1]ratio_ins!R:R,MATCH('001_population_health_zone_zs'!$B$2,[1]ratio_ins!$B:$B,0))*$G512*INDEX([1]ratio_ins!$C:$C,MATCH('001_population_health_zone_zs'!$B512,[1]ratio_ins!$B:$B,0))</f>
        <v>2409.8524080000007</v>
      </c>
      <c r="U512" s="10">
        <f>INDEX([1]ratio_ins!S:S,MATCH('001_population_health_zone_zs'!$B$2,[1]ratio_ins!$B:$B,0))*$G512*INDEX([1]ratio_ins!$C:$C,MATCH('001_population_health_zone_zs'!$B512,[1]ratio_ins!$B:$B,0))</f>
        <v>1913.7063240000004</v>
      </c>
      <c r="V512" s="10">
        <f>INDEX([1]ratio_ins!T:T,MATCH('001_population_health_zone_zs'!$B$2,[1]ratio_ins!$B:$B,0))*$G512*INDEX([1]ratio_ins!$C:$C,MATCH('001_population_health_zone_zs'!$B512,[1]ratio_ins!$B:$B,0))</f>
        <v>1063.1701800000001</v>
      </c>
      <c r="W512" s="11">
        <f>INDEX([1]ratio_ins!U:U,MATCH('001_population_health_zone_zs'!$B$2,[1]ratio_ins!$B:$B,0))*$G512*INDEX([1]ratio_ins!$C:$C,MATCH('001_population_health_zone_zs'!$B512,[1]ratio_ins!$B:$B,0))</f>
        <v>29003.282510400004</v>
      </c>
      <c r="X512" s="10">
        <f>INDEX([1]ratio_ins!V:V,MATCH('001_population_health_zone_zs'!$B$2,[1]ratio_ins!$B:$B,0))*$G512*INDEX([1]ratio_ins!$C:$C,MATCH('001_population_health_zone_zs'!$B512,[1]ratio_ins!$B:$B,0))</f>
        <v>850.53614400000004</v>
      </c>
      <c r="Y512" s="10">
        <f>INDEX([1]ratio_ins!W:W,MATCH('001_population_health_zone_zs'!$B$2,[1]ratio_ins!$B:$B,0))*$G512*INDEX([1]ratio_ins!$C:$C,MATCH('001_population_health_zone_zs'!$B512,[1]ratio_ins!$B:$B,0))</f>
        <v>567.0240960000001</v>
      </c>
      <c r="Z512" s="10">
        <f>INDEX([1]ratio_ins!X:X,MATCH('001_population_health_zone_zs'!$B$2,[1]ratio_ins!$B:$B,0))*$G512*INDEX([1]ratio_ins!$C:$C,MATCH('001_population_health_zone_zs'!$B512,[1]ratio_ins!$B:$B,0))</f>
        <v>283.51204800000005</v>
      </c>
      <c r="AA512" s="10">
        <f>INDEX([1]ratio_ins!Y:Y,MATCH('001_population_health_zone_zs'!$B$2,[1]ratio_ins!$B:$B,0))*$G512*INDEX([1]ratio_ins!$C:$C,MATCH('001_population_health_zone_zs'!$B512,[1]ratio_ins!$B:$B,0))</f>
        <v>141.75602400000002</v>
      </c>
      <c r="AB512" s="11">
        <f>INDEX([1]ratio_ins!Z:Z,MATCH('001_population_health_zone_zs'!$B$2,[1]ratio_ins!$B:$B,0))*$G512*INDEX([1]ratio_ins!$C:$C,MATCH('001_population_health_zone_zs'!$B512,[1]ratio_ins!$B:$B,0))</f>
        <v>1842.8283120000003</v>
      </c>
      <c r="AC512" s="12">
        <f t="shared" si="42"/>
        <v>70878.012000000002</v>
      </c>
      <c r="AD512" s="10">
        <f>INDEX([1]ratio_ins!AA:AA,MATCH('001_population_health_zone_zs'!$B$2,[1]ratio_ins!$B:$B,0))*$G512*INDEX([1]ratio_ins!$D:$D,MATCH('001_population_health_zone_zs'!$B512,[1]ratio_ins!$B:$B,0))</f>
        <v>15368.427479999998</v>
      </c>
      <c r="AE512" s="10">
        <f>INDEX([1]ratio_ins!AB:AB,MATCH('001_population_health_zone_zs'!$B$2,[1]ratio_ins!$B:$B,0))*$G512*INDEX([1]ratio_ins!$D:$D,MATCH('001_population_health_zone_zs'!$B512,[1]ratio_ins!$B:$B,0))</f>
        <v>12660.656924000003</v>
      </c>
      <c r="AF512" s="10">
        <f>INDEX([1]ratio_ins!AC:AC,MATCH('001_population_health_zone_zs'!$B$2,[1]ratio_ins!$B:$B,0))*$G512*INDEX([1]ratio_ins!$D:$D,MATCH('001_population_health_zone_zs'!$B512,[1]ratio_ins!$B:$B,0))</f>
        <v>10026.069355999998</v>
      </c>
      <c r="AG512" s="10">
        <f>INDEX([1]ratio_ins!AD:AD,MATCH('001_population_health_zone_zs'!$B$2,[1]ratio_ins!$B:$B,0))*$G512*INDEX([1]ratio_ins!$D:$D,MATCH('001_population_health_zone_zs'!$B512,[1]ratio_ins!$B:$B,0))</f>
        <v>6074.1880040000005</v>
      </c>
      <c r="AH512" s="10">
        <f>INDEX([1]ratio_ins!AE:AE,MATCH('001_population_health_zone_zs'!$B$2,[1]ratio_ins!$B:$B,0))*$G512*INDEX([1]ratio_ins!$D:$D,MATCH('001_population_health_zone_zs'!$B512,[1]ratio_ins!$B:$B,0))</f>
        <v>3644.5128024000001</v>
      </c>
      <c r="AI512" s="13">
        <f>INDEX([1]ratio_ins!AF:AF,MATCH('001_population_health_zone_zs'!$B$2,[1]ratio_ins!$B:$B,0))*$G512*INDEX([1]ratio_ins!$D:$D,MATCH('001_population_health_zone_zs'!$B512,[1]ratio_ins!$B:$B,0))</f>
        <v>41699.666562399994</v>
      </c>
      <c r="AJ512" s="10">
        <f>INDEX([1]ratio_ins!AG:AG,MATCH('001_population_health_zone_zs'!$B$2,[1]ratio_ins!$B:$B,0))*$G512*INDEX([1]ratio_ins!$D:$D,MATCH('001_population_health_zone_zs'!$B512,[1]ratio_ins!$B:$B,0))</f>
        <v>2429.6752016</v>
      </c>
      <c r="AK512" s="10">
        <f>INDEX([1]ratio_ins!AH:AH,MATCH('001_population_health_zone_zs'!$B$2,[1]ratio_ins!$B:$B,0))*$G512*INDEX([1]ratio_ins!$D:$D,MATCH('001_population_health_zone_zs'!$B512,[1]ratio_ins!$B:$B,0))</f>
        <v>5415.5411120000008</v>
      </c>
      <c r="AL512" s="10">
        <f>INDEX([1]ratio_ins!AI:AI,MATCH('001_population_health_zone_zs'!$B$2,[1]ratio_ins!$B:$B,0))*$G512*INDEX([1]ratio_ins!$D:$D,MATCH('001_population_health_zone_zs'!$B512,[1]ratio_ins!$B:$B,0))</f>
        <v>5122.8091600000007</v>
      </c>
      <c r="AM512" s="10">
        <f>INDEX([1]ratio_ins!AJ:AJ,MATCH('001_population_health_zone_zs'!$B$2,[1]ratio_ins!$B:$B,0))*$G512*INDEX([1]ratio_ins!$D:$D,MATCH('001_population_health_zone_zs'!$B512,[1]ratio_ins!$B:$B,0))</f>
        <v>4683.7112320000006</v>
      </c>
      <c r="AN512" s="10">
        <f>INDEX([1]ratio_ins!AK:AK,MATCH('001_population_health_zone_zs'!$B$2,[1]ratio_ins!$B:$B,0))*$G512*INDEX([1]ratio_ins!$D:$D,MATCH('001_population_health_zone_zs'!$B512,[1]ratio_ins!$B:$B,0))</f>
        <v>4390.9792799999996</v>
      </c>
      <c r="AO512" s="10">
        <f>INDEX([1]ratio_ins!AL:AL,MATCH('001_population_health_zone_zs'!$B$2,[1]ratio_ins!$B:$B,0))*$G512*INDEX([1]ratio_ins!$D:$D,MATCH('001_population_health_zone_zs'!$B512,[1]ratio_ins!$B:$B,0))</f>
        <v>3293.2344600000001</v>
      </c>
      <c r="AP512" s="10">
        <f>INDEX([1]ratio_ins!AM:AM,MATCH('001_population_health_zone_zs'!$B$2,[1]ratio_ins!$B:$B,0))*$G512*INDEX([1]ratio_ins!$D:$D,MATCH('001_population_health_zone_zs'!$B512,[1]ratio_ins!$B:$B,0))</f>
        <v>2122.3066519999998</v>
      </c>
      <c r="AQ512" s="10">
        <f>INDEX([1]ratio_ins!AN:AN,MATCH('001_population_health_zone_zs'!$B$2,[1]ratio_ins!$B:$B,0))*$G512*INDEX([1]ratio_ins!$D:$D,MATCH('001_population_health_zone_zs'!$B512,[1]ratio_ins!$B:$B,0))</f>
        <v>1683.2087239999998</v>
      </c>
      <c r="AR512" s="10">
        <f>INDEX([1]ratio_ins!AO:AO,MATCH('001_population_health_zone_zs'!$B$2,[1]ratio_ins!$B:$B,0))*$G512*INDEX([1]ratio_ins!$D:$D,MATCH('001_population_health_zone_zs'!$B512,[1]ratio_ins!$B:$B,0))</f>
        <v>805.01286800000003</v>
      </c>
      <c r="AS512" s="13">
        <f>INDEX([1]ratio_ins!AP:AP,MATCH('001_population_health_zone_zs'!$B$2,[1]ratio_ins!$B:$B,0))*$G512*INDEX([1]ratio_ins!$D:$D,MATCH('001_population_health_zone_zs'!$B512,[1]ratio_ins!$B:$B,0))</f>
        <v>29946.478689600001</v>
      </c>
      <c r="AT512" s="10">
        <f>INDEX([1]ratio_ins!AQ:AQ,MATCH('001_population_health_zone_zs'!$B$2,[1]ratio_ins!$B:$B,0))*$G512*INDEX([1]ratio_ins!$D:$D,MATCH('001_population_health_zone_zs'!$B512,[1]ratio_ins!$B:$B,0))</f>
        <v>731.82988000000012</v>
      </c>
      <c r="AU512" s="10">
        <f>INDEX([1]ratio_ins!AR:AR,MATCH('001_population_health_zone_zs'!$B$2,[1]ratio_ins!$B:$B,0))*$G512*INDEX([1]ratio_ins!$D:$D,MATCH('001_population_health_zone_zs'!$B512,[1]ratio_ins!$B:$B,0))</f>
        <v>439.09792800000002</v>
      </c>
      <c r="AV512" s="10">
        <f>INDEX([1]ratio_ins!AS:AS,MATCH('001_population_health_zone_zs'!$B$2,[1]ratio_ins!$B:$B,0))*$G512*INDEX([1]ratio_ins!$D:$D,MATCH('001_population_health_zone_zs'!$B512,[1]ratio_ins!$B:$B,0))</f>
        <v>219.54896400000001</v>
      </c>
      <c r="AW512" s="10">
        <f>INDEX([1]ratio_ins!AT:AT,MATCH('001_population_health_zone_zs'!$B$2,[1]ratio_ins!$B:$B,0))*$G512*INDEX([1]ratio_ins!$D:$D,MATCH('001_population_health_zone_zs'!$B512,[1]ratio_ins!$B:$B,0))</f>
        <v>146.36597600000002</v>
      </c>
      <c r="AX512" s="13">
        <f>INDEX([1]ratio_ins!AU:AU,MATCH('001_population_health_zone_zs'!$B$2,[1]ratio_ins!$B:$B,0))*$G512*INDEX([1]ratio_ins!$D:$D,MATCH('001_population_health_zone_zs'!$B512,[1]ratio_ins!$B:$B,0))</f>
        <v>1536.8427479999998</v>
      </c>
      <c r="AY512" s="14">
        <f t="shared" si="43"/>
        <v>73182.987999999983</v>
      </c>
      <c r="AZ512" s="15">
        <f t="shared" si="44"/>
        <v>144061</v>
      </c>
      <c r="BA512" s="16">
        <v>138599.34235100643</v>
      </c>
      <c r="BB512" s="10">
        <f t="shared" si="45"/>
        <v>31102.769899999999</v>
      </c>
      <c r="BC512" s="17">
        <f t="shared" si="46"/>
        <v>0.21590000000000001</v>
      </c>
      <c r="BD512" s="10">
        <f t="shared" si="47"/>
        <v>29556.131004000003</v>
      </c>
    </row>
    <row r="513" spans="1:56" x14ac:dyDescent="0.25">
      <c r="A513" s="8" t="s">
        <v>1239</v>
      </c>
      <c r="B513" s="8" t="s">
        <v>1240</v>
      </c>
      <c r="C513" s="8" t="s">
        <v>1263</v>
      </c>
      <c r="D513" s="8" t="s">
        <v>1264</v>
      </c>
      <c r="E513" s="8" t="s">
        <v>1265</v>
      </c>
      <c r="F513" s="8" t="s">
        <v>1266</v>
      </c>
      <c r="G513" s="9">
        <v>148436</v>
      </c>
      <c r="H513" s="10">
        <f>INDEX([1]ratio_ins!F:F,MATCH('001_population_health_zone_zs'!$B$2,[1]ratio_ins!$B:$B,0))*$G513*INDEX([1]ratio_ins!$C:$C,MATCH('001_population_health_zone_zs'!$B513,[1]ratio_ins!$B:$B,0))</f>
        <v>15263.377008000001</v>
      </c>
      <c r="I513" s="10">
        <f>INDEX([1]ratio_ins!G:G,MATCH('001_population_health_zone_zs'!$B$2,[1]ratio_ins!$B:$B,0))*$G513*INDEX([1]ratio_ins!$C:$C,MATCH('001_population_health_zone_zs'!$B513,[1]ratio_ins!$B:$B,0))</f>
        <v>12488.217552000002</v>
      </c>
      <c r="J513" s="10">
        <f>INDEX([1]ratio_ins!H:H,MATCH('001_population_health_zone_zs'!$B$2,[1]ratio_ins!$B:$B,0))*$G513*INDEX([1]ratio_ins!$C:$C,MATCH('001_population_health_zone_zs'!$B513,[1]ratio_ins!$B:$B,0))</f>
        <v>9859.1191200000012</v>
      </c>
      <c r="K513" s="10">
        <f>INDEX([1]ratio_ins!I:I,MATCH('001_population_health_zone_zs'!$B$2,[1]ratio_ins!$B:$B,0))*$G513*INDEX([1]ratio_ins!$C:$C,MATCH('001_population_health_zone_zs'!$B513,[1]ratio_ins!$B:$B,0))</f>
        <v>6061.5324960000007</v>
      </c>
      <c r="L513" s="10">
        <f>INDEX([1]ratio_ins!J:J,MATCH('001_population_health_zone_zs'!$B$2,[1]ratio_ins!$B:$B,0))*$G513*INDEX([1]ratio_ins!$C:$C,MATCH('001_population_health_zone_zs'!$B513,[1]ratio_ins!$B:$B,0))</f>
        <v>3636.9194976000003</v>
      </c>
      <c r="M513" s="11">
        <f>INDEX([1]ratio_ins!K:K,MATCH('001_population_health_zone_zs'!$B$2,[1]ratio_ins!$B:$B,0))*$G513*INDEX([1]ratio_ins!$C:$C,MATCH('001_population_health_zone_zs'!$B513,[1]ratio_ins!$B:$B,0))</f>
        <v>41247.633177600001</v>
      </c>
      <c r="N513" s="10">
        <f>INDEX([1]ratio_ins!L:L,MATCH('001_population_health_zone_zs'!$B$2,[1]ratio_ins!$B:$B,0))*$G513*INDEX([1]ratio_ins!$C:$C,MATCH('001_population_health_zone_zs'!$B513,[1]ratio_ins!$B:$B,0))</f>
        <v>2424.6129984000004</v>
      </c>
      <c r="O513" s="10">
        <f>INDEX([1]ratio_ins!M:M,MATCH('001_population_health_zone_zs'!$B$2,[1]ratio_ins!$B:$B,0))*$G513*INDEX([1]ratio_ins!$C:$C,MATCH('001_population_health_zone_zs'!$B513,[1]ratio_ins!$B:$B,0))</f>
        <v>5258.1968640000014</v>
      </c>
      <c r="P513" s="10">
        <f>INDEX([1]ratio_ins!N:N,MATCH('001_population_health_zone_zs'!$B$2,[1]ratio_ins!$B:$B,0))*$G513*INDEX([1]ratio_ins!$C:$C,MATCH('001_population_health_zone_zs'!$B513,[1]ratio_ins!$B:$B,0))</f>
        <v>4746.9832800000004</v>
      </c>
      <c r="Q513" s="10">
        <f>INDEX([1]ratio_ins!O:O,MATCH('001_population_health_zone_zs'!$B$2,[1]ratio_ins!$B:$B,0))*$G513*INDEX([1]ratio_ins!$C:$C,MATCH('001_population_health_zone_zs'!$B513,[1]ratio_ins!$B:$B,0))</f>
        <v>4235.7696959999994</v>
      </c>
      <c r="R513" s="10">
        <f>INDEX([1]ratio_ins!P:P,MATCH('001_population_health_zone_zs'!$B$2,[1]ratio_ins!$B:$B,0))*$G513*INDEX([1]ratio_ins!$C:$C,MATCH('001_population_health_zone_zs'!$B513,[1]ratio_ins!$B:$B,0))</f>
        <v>4162.7391840000009</v>
      </c>
      <c r="S513" s="10">
        <f>INDEX([1]ratio_ins!Q:Q,MATCH('001_population_health_zone_zs'!$B$2,[1]ratio_ins!$B:$B,0))*$G513*INDEX([1]ratio_ins!$C:$C,MATCH('001_population_health_zone_zs'!$B513,[1]ratio_ins!$B:$B,0))</f>
        <v>3505.4645760000003</v>
      </c>
      <c r="T513" s="10">
        <f>INDEX([1]ratio_ins!R:R,MATCH('001_population_health_zone_zs'!$B$2,[1]ratio_ins!$B:$B,0))*$G513*INDEX([1]ratio_ins!$C:$C,MATCH('001_population_health_zone_zs'!$B513,[1]ratio_ins!$B:$B,0))</f>
        <v>2483.0374080000006</v>
      </c>
      <c r="U513" s="10">
        <f>INDEX([1]ratio_ins!S:S,MATCH('001_population_health_zone_zs'!$B$2,[1]ratio_ins!$B:$B,0))*$G513*INDEX([1]ratio_ins!$C:$C,MATCH('001_population_health_zone_zs'!$B513,[1]ratio_ins!$B:$B,0))</f>
        <v>1971.8238240000003</v>
      </c>
      <c r="V513" s="10">
        <f>INDEX([1]ratio_ins!T:T,MATCH('001_population_health_zone_zs'!$B$2,[1]ratio_ins!$B:$B,0))*$G513*INDEX([1]ratio_ins!$C:$C,MATCH('001_population_health_zone_zs'!$B513,[1]ratio_ins!$B:$B,0))</f>
        <v>1095.45768</v>
      </c>
      <c r="W513" s="11">
        <f>INDEX([1]ratio_ins!U:U,MATCH('001_population_health_zone_zs'!$B$2,[1]ratio_ins!$B:$B,0))*$G513*INDEX([1]ratio_ins!$C:$C,MATCH('001_population_health_zone_zs'!$B513,[1]ratio_ins!$B:$B,0))</f>
        <v>29884.085510400004</v>
      </c>
      <c r="X513" s="10">
        <f>INDEX([1]ratio_ins!V:V,MATCH('001_population_health_zone_zs'!$B$2,[1]ratio_ins!$B:$B,0))*$G513*INDEX([1]ratio_ins!$C:$C,MATCH('001_population_health_zone_zs'!$B513,[1]ratio_ins!$B:$B,0))</f>
        <v>876.36614400000008</v>
      </c>
      <c r="Y513" s="10">
        <f>INDEX([1]ratio_ins!W:W,MATCH('001_population_health_zone_zs'!$B$2,[1]ratio_ins!$B:$B,0))*$G513*INDEX([1]ratio_ins!$C:$C,MATCH('001_population_health_zone_zs'!$B513,[1]ratio_ins!$B:$B,0))</f>
        <v>584.24409600000013</v>
      </c>
      <c r="Z513" s="10">
        <f>INDEX([1]ratio_ins!X:X,MATCH('001_population_health_zone_zs'!$B$2,[1]ratio_ins!$B:$B,0))*$G513*INDEX([1]ratio_ins!$C:$C,MATCH('001_population_health_zone_zs'!$B513,[1]ratio_ins!$B:$B,0))</f>
        <v>292.12204800000006</v>
      </c>
      <c r="AA513" s="10">
        <f>INDEX([1]ratio_ins!Y:Y,MATCH('001_population_health_zone_zs'!$B$2,[1]ratio_ins!$B:$B,0))*$G513*INDEX([1]ratio_ins!$C:$C,MATCH('001_population_health_zone_zs'!$B513,[1]ratio_ins!$B:$B,0))</f>
        <v>146.06102400000003</v>
      </c>
      <c r="AB513" s="11">
        <f>INDEX([1]ratio_ins!Z:Z,MATCH('001_population_health_zone_zs'!$B$2,[1]ratio_ins!$B:$B,0))*$G513*INDEX([1]ratio_ins!$C:$C,MATCH('001_population_health_zone_zs'!$B513,[1]ratio_ins!$B:$B,0))</f>
        <v>1898.7933120000002</v>
      </c>
      <c r="AC513" s="12">
        <f t="shared" si="42"/>
        <v>73030.512000000002</v>
      </c>
      <c r="AD513" s="10">
        <f>INDEX([1]ratio_ins!AA:AA,MATCH('001_population_health_zone_zs'!$B$2,[1]ratio_ins!$B:$B,0))*$G513*INDEX([1]ratio_ins!$D:$D,MATCH('001_population_health_zone_zs'!$B513,[1]ratio_ins!$B:$B,0))</f>
        <v>15835.152479999999</v>
      </c>
      <c r="AE513" s="10">
        <f>INDEX([1]ratio_ins!AB:AB,MATCH('001_population_health_zone_zs'!$B$2,[1]ratio_ins!$B:$B,0))*$G513*INDEX([1]ratio_ins!$D:$D,MATCH('001_population_health_zone_zs'!$B513,[1]ratio_ins!$B:$B,0))</f>
        <v>13045.149424000001</v>
      </c>
      <c r="AF513" s="10">
        <f>INDEX([1]ratio_ins!AC:AC,MATCH('001_population_health_zone_zs'!$B$2,[1]ratio_ins!$B:$B,0))*$G513*INDEX([1]ratio_ins!$D:$D,MATCH('001_population_health_zone_zs'!$B513,[1]ratio_ins!$B:$B,0))</f>
        <v>10330.551855999998</v>
      </c>
      <c r="AG513" s="10">
        <f>INDEX([1]ratio_ins!AD:AD,MATCH('001_population_health_zone_zs'!$B$2,[1]ratio_ins!$B:$B,0))*$G513*INDEX([1]ratio_ins!$D:$D,MATCH('001_population_health_zone_zs'!$B513,[1]ratio_ins!$B:$B,0))</f>
        <v>6258.6555040000003</v>
      </c>
      <c r="AH513" s="10">
        <f>INDEX([1]ratio_ins!AE:AE,MATCH('001_population_health_zone_zs'!$B$2,[1]ratio_ins!$B:$B,0))*$G513*INDEX([1]ratio_ins!$D:$D,MATCH('001_population_health_zone_zs'!$B513,[1]ratio_ins!$B:$B,0))</f>
        <v>3755.1933024</v>
      </c>
      <c r="AI513" s="13">
        <f>INDEX([1]ratio_ins!AF:AF,MATCH('001_population_health_zone_zs'!$B$2,[1]ratio_ins!$B:$B,0))*$G513*INDEX([1]ratio_ins!$D:$D,MATCH('001_population_health_zone_zs'!$B513,[1]ratio_ins!$B:$B,0))</f>
        <v>42966.047062399994</v>
      </c>
      <c r="AJ513" s="10">
        <f>INDEX([1]ratio_ins!AG:AG,MATCH('001_population_health_zone_zs'!$B$2,[1]ratio_ins!$B:$B,0))*$G513*INDEX([1]ratio_ins!$D:$D,MATCH('001_population_health_zone_zs'!$B513,[1]ratio_ins!$B:$B,0))</f>
        <v>2503.4622016000003</v>
      </c>
      <c r="AK513" s="10">
        <f>INDEX([1]ratio_ins!AH:AH,MATCH('001_population_health_zone_zs'!$B$2,[1]ratio_ins!$B:$B,0))*$G513*INDEX([1]ratio_ins!$D:$D,MATCH('001_population_health_zone_zs'!$B513,[1]ratio_ins!$B:$B,0))</f>
        <v>5580.0061120000009</v>
      </c>
      <c r="AL513" s="10">
        <f>INDEX([1]ratio_ins!AI:AI,MATCH('001_population_health_zone_zs'!$B$2,[1]ratio_ins!$B:$B,0))*$G513*INDEX([1]ratio_ins!$D:$D,MATCH('001_population_health_zone_zs'!$B513,[1]ratio_ins!$B:$B,0))</f>
        <v>5278.3841600000005</v>
      </c>
      <c r="AM513" s="10">
        <f>INDEX([1]ratio_ins!AJ:AJ,MATCH('001_population_health_zone_zs'!$B$2,[1]ratio_ins!$B:$B,0))*$G513*INDEX([1]ratio_ins!$D:$D,MATCH('001_population_health_zone_zs'!$B513,[1]ratio_ins!$B:$B,0))</f>
        <v>4825.9512320000003</v>
      </c>
      <c r="AN513" s="10">
        <f>INDEX([1]ratio_ins!AK:AK,MATCH('001_population_health_zone_zs'!$B$2,[1]ratio_ins!$B:$B,0))*$G513*INDEX([1]ratio_ins!$D:$D,MATCH('001_population_health_zone_zs'!$B513,[1]ratio_ins!$B:$B,0))</f>
        <v>4524.3292799999999</v>
      </c>
      <c r="AO513" s="10">
        <f>INDEX([1]ratio_ins!AL:AL,MATCH('001_population_health_zone_zs'!$B$2,[1]ratio_ins!$B:$B,0))*$G513*INDEX([1]ratio_ins!$D:$D,MATCH('001_population_health_zone_zs'!$B513,[1]ratio_ins!$B:$B,0))</f>
        <v>3393.2469599999999</v>
      </c>
      <c r="AP513" s="10">
        <f>INDEX([1]ratio_ins!AM:AM,MATCH('001_population_health_zone_zs'!$B$2,[1]ratio_ins!$B:$B,0))*$G513*INDEX([1]ratio_ins!$D:$D,MATCH('001_population_health_zone_zs'!$B513,[1]ratio_ins!$B:$B,0))</f>
        <v>2186.7591519999996</v>
      </c>
      <c r="AQ513" s="10">
        <f>INDEX([1]ratio_ins!AN:AN,MATCH('001_population_health_zone_zs'!$B$2,[1]ratio_ins!$B:$B,0))*$G513*INDEX([1]ratio_ins!$D:$D,MATCH('001_population_health_zone_zs'!$B513,[1]ratio_ins!$B:$B,0))</f>
        <v>1734.3262239999999</v>
      </c>
      <c r="AR513" s="10">
        <f>INDEX([1]ratio_ins!AO:AO,MATCH('001_population_health_zone_zs'!$B$2,[1]ratio_ins!$B:$B,0))*$G513*INDEX([1]ratio_ins!$D:$D,MATCH('001_population_health_zone_zs'!$B513,[1]ratio_ins!$B:$B,0))</f>
        <v>829.46036800000002</v>
      </c>
      <c r="AS513" s="13">
        <f>INDEX([1]ratio_ins!AP:AP,MATCH('001_population_health_zone_zs'!$B$2,[1]ratio_ins!$B:$B,0))*$G513*INDEX([1]ratio_ins!$D:$D,MATCH('001_population_health_zone_zs'!$B513,[1]ratio_ins!$B:$B,0))</f>
        <v>30855.925689600001</v>
      </c>
      <c r="AT513" s="10">
        <f>INDEX([1]ratio_ins!AQ:AQ,MATCH('001_population_health_zone_zs'!$B$2,[1]ratio_ins!$B:$B,0))*$G513*INDEX([1]ratio_ins!$D:$D,MATCH('001_population_health_zone_zs'!$B513,[1]ratio_ins!$B:$B,0))</f>
        <v>754.05488000000003</v>
      </c>
      <c r="AU513" s="10">
        <f>INDEX([1]ratio_ins!AR:AR,MATCH('001_population_health_zone_zs'!$B$2,[1]ratio_ins!$B:$B,0))*$G513*INDEX([1]ratio_ins!$D:$D,MATCH('001_population_health_zone_zs'!$B513,[1]ratio_ins!$B:$B,0))</f>
        <v>452.432928</v>
      </c>
      <c r="AV513" s="10">
        <f>INDEX([1]ratio_ins!AS:AS,MATCH('001_population_health_zone_zs'!$B$2,[1]ratio_ins!$B:$B,0))*$G513*INDEX([1]ratio_ins!$D:$D,MATCH('001_population_health_zone_zs'!$B513,[1]ratio_ins!$B:$B,0))</f>
        <v>226.216464</v>
      </c>
      <c r="AW513" s="10">
        <f>INDEX([1]ratio_ins!AT:AT,MATCH('001_population_health_zone_zs'!$B$2,[1]ratio_ins!$B:$B,0))*$G513*INDEX([1]ratio_ins!$D:$D,MATCH('001_population_health_zone_zs'!$B513,[1]ratio_ins!$B:$B,0))</f>
        <v>150.81097600000001</v>
      </c>
      <c r="AX513" s="13">
        <f>INDEX([1]ratio_ins!AU:AU,MATCH('001_population_health_zone_zs'!$B$2,[1]ratio_ins!$B:$B,0))*$G513*INDEX([1]ratio_ins!$D:$D,MATCH('001_population_health_zone_zs'!$B513,[1]ratio_ins!$B:$B,0))</f>
        <v>1583.5152479999997</v>
      </c>
      <c r="AY513" s="14">
        <f t="shared" si="43"/>
        <v>75405.487999999998</v>
      </c>
      <c r="AZ513" s="15">
        <f t="shared" si="44"/>
        <v>148436</v>
      </c>
      <c r="BA513" s="16">
        <v>142808.04205539377</v>
      </c>
      <c r="BB513" s="10">
        <f t="shared" si="45"/>
        <v>32047.332400000003</v>
      </c>
      <c r="BC513" s="17">
        <f t="shared" si="46"/>
        <v>0.21590000000000001</v>
      </c>
      <c r="BD513" s="10">
        <f t="shared" si="47"/>
        <v>30453.723504000005</v>
      </c>
    </row>
    <row r="514" spans="1:56" x14ac:dyDescent="0.25">
      <c r="A514" s="8" t="s">
        <v>1239</v>
      </c>
      <c r="B514" s="8" t="s">
        <v>1240</v>
      </c>
      <c r="C514" s="8" t="s">
        <v>1263</v>
      </c>
      <c r="D514" s="8" t="s">
        <v>1264</v>
      </c>
      <c r="E514" s="8" t="s">
        <v>1263</v>
      </c>
      <c r="F514" s="8" t="s">
        <v>1267</v>
      </c>
      <c r="G514" s="9">
        <v>168665</v>
      </c>
      <c r="H514" s="10">
        <f>INDEX([1]ratio_ins!F:F,MATCH('001_population_health_zone_zs'!$B$2,[1]ratio_ins!$B:$B,0))*$G514*INDEX([1]ratio_ins!$C:$C,MATCH('001_population_health_zone_zs'!$B514,[1]ratio_ins!$B:$B,0))</f>
        <v>17343.484620000003</v>
      </c>
      <c r="I514" s="10">
        <f>INDEX([1]ratio_ins!G:G,MATCH('001_population_health_zone_zs'!$B$2,[1]ratio_ins!$B:$B,0))*$G514*INDEX([1]ratio_ins!$C:$C,MATCH('001_population_health_zone_zs'!$B514,[1]ratio_ins!$B:$B,0))</f>
        <v>14190.123780000004</v>
      </c>
      <c r="J514" s="10">
        <f>INDEX([1]ratio_ins!H:H,MATCH('001_population_health_zone_zs'!$B$2,[1]ratio_ins!$B:$B,0))*$G514*INDEX([1]ratio_ins!$C:$C,MATCH('001_population_health_zone_zs'!$B514,[1]ratio_ins!$B:$B,0))</f>
        <v>11202.729300000003</v>
      </c>
      <c r="K514" s="10">
        <f>INDEX([1]ratio_ins!I:I,MATCH('001_population_health_zone_zs'!$B$2,[1]ratio_ins!$B:$B,0))*$G514*INDEX([1]ratio_ins!$C:$C,MATCH('001_population_health_zone_zs'!$B514,[1]ratio_ins!$B:$B,0))</f>
        <v>6887.6039400000018</v>
      </c>
      <c r="L514" s="10">
        <f>INDEX([1]ratio_ins!J:J,MATCH('001_population_health_zone_zs'!$B$2,[1]ratio_ins!$B:$B,0))*$G514*INDEX([1]ratio_ins!$C:$C,MATCH('001_population_health_zone_zs'!$B514,[1]ratio_ins!$B:$B,0))</f>
        <v>4132.5623640000003</v>
      </c>
      <c r="M514" s="11">
        <f>INDEX([1]ratio_ins!K:K,MATCH('001_population_health_zone_zs'!$B$2,[1]ratio_ins!$B:$B,0))*$G514*INDEX([1]ratio_ins!$C:$C,MATCH('001_population_health_zone_zs'!$B514,[1]ratio_ins!$B:$B,0))</f>
        <v>46868.900064000001</v>
      </c>
      <c r="N514" s="10">
        <f>INDEX([1]ratio_ins!L:L,MATCH('001_population_health_zone_zs'!$B$2,[1]ratio_ins!$B:$B,0))*$G514*INDEX([1]ratio_ins!$C:$C,MATCH('001_population_health_zone_zs'!$B514,[1]ratio_ins!$B:$B,0))</f>
        <v>2755.0415760000001</v>
      </c>
      <c r="O514" s="10">
        <f>INDEX([1]ratio_ins!M:M,MATCH('001_population_health_zone_zs'!$B$2,[1]ratio_ins!$B:$B,0))*$G514*INDEX([1]ratio_ins!$C:$C,MATCH('001_population_health_zone_zs'!$B514,[1]ratio_ins!$B:$B,0))</f>
        <v>5974.7889600000008</v>
      </c>
      <c r="P514" s="10">
        <f>INDEX([1]ratio_ins!N:N,MATCH('001_population_health_zone_zs'!$B$2,[1]ratio_ins!$B:$B,0))*$G514*INDEX([1]ratio_ins!$C:$C,MATCH('001_population_health_zone_zs'!$B514,[1]ratio_ins!$B:$B,0))</f>
        <v>5393.9067000000005</v>
      </c>
      <c r="Q514" s="10">
        <f>INDEX([1]ratio_ins!O:O,MATCH('001_population_health_zone_zs'!$B$2,[1]ratio_ins!$B:$B,0))*$G514*INDEX([1]ratio_ins!$C:$C,MATCH('001_population_health_zone_zs'!$B514,[1]ratio_ins!$B:$B,0))</f>
        <v>4813.0244400000001</v>
      </c>
      <c r="R514" s="10">
        <f>INDEX([1]ratio_ins!P:P,MATCH('001_population_health_zone_zs'!$B$2,[1]ratio_ins!$B:$B,0))*$G514*INDEX([1]ratio_ins!$C:$C,MATCH('001_population_health_zone_zs'!$B514,[1]ratio_ins!$B:$B,0))</f>
        <v>4730.0412600000009</v>
      </c>
      <c r="S514" s="10">
        <f>INDEX([1]ratio_ins!Q:Q,MATCH('001_population_health_zone_zs'!$B$2,[1]ratio_ins!$B:$B,0))*$G514*INDEX([1]ratio_ins!$C:$C,MATCH('001_population_health_zone_zs'!$B514,[1]ratio_ins!$B:$B,0))</f>
        <v>3983.1926400000002</v>
      </c>
      <c r="T514" s="10">
        <f>INDEX([1]ratio_ins!R:R,MATCH('001_population_health_zone_zs'!$B$2,[1]ratio_ins!$B:$B,0))*$G514*INDEX([1]ratio_ins!$C:$C,MATCH('001_population_health_zone_zs'!$B514,[1]ratio_ins!$B:$B,0))</f>
        <v>2821.4281200000005</v>
      </c>
      <c r="U514" s="10">
        <f>INDEX([1]ratio_ins!S:S,MATCH('001_population_health_zone_zs'!$B$2,[1]ratio_ins!$B:$B,0))*$G514*INDEX([1]ratio_ins!$C:$C,MATCH('001_population_health_zone_zs'!$B514,[1]ratio_ins!$B:$B,0))</f>
        <v>2240.5458600000006</v>
      </c>
      <c r="V514" s="10">
        <f>INDEX([1]ratio_ins!T:T,MATCH('001_population_health_zone_zs'!$B$2,[1]ratio_ins!$B:$B,0))*$G514*INDEX([1]ratio_ins!$C:$C,MATCH('001_population_health_zone_zs'!$B514,[1]ratio_ins!$B:$B,0))</f>
        <v>1244.7477000000001</v>
      </c>
      <c r="W514" s="11">
        <f>INDEX([1]ratio_ins!U:U,MATCH('001_population_health_zone_zs'!$B$2,[1]ratio_ins!$B:$B,0))*$G514*INDEX([1]ratio_ins!$C:$C,MATCH('001_population_health_zone_zs'!$B514,[1]ratio_ins!$B:$B,0))</f>
        <v>33956.717256000011</v>
      </c>
      <c r="X514" s="10">
        <f>INDEX([1]ratio_ins!V:V,MATCH('001_population_health_zone_zs'!$B$2,[1]ratio_ins!$B:$B,0))*$G514*INDEX([1]ratio_ins!$C:$C,MATCH('001_population_health_zone_zs'!$B514,[1]ratio_ins!$B:$B,0))</f>
        <v>995.79816000000005</v>
      </c>
      <c r="Y514" s="10">
        <f>INDEX([1]ratio_ins!W:W,MATCH('001_population_health_zone_zs'!$B$2,[1]ratio_ins!$B:$B,0))*$G514*INDEX([1]ratio_ins!$C:$C,MATCH('001_population_health_zone_zs'!$B514,[1]ratio_ins!$B:$B,0))</f>
        <v>663.86544000000004</v>
      </c>
      <c r="Z514" s="10">
        <f>INDEX([1]ratio_ins!X:X,MATCH('001_population_health_zone_zs'!$B$2,[1]ratio_ins!$B:$B,0))*$G514*INDEX([1]ratio_ins!$C:$C,MATCH('001_population_health_zone_zs'!$B514,[1]ratio_ins!$B:$B,0))</f>
        <v>331.93272000000002</v>
      </c>
      <c r="AA514" s="10">
        <f>INDEX([1]ratio_ins!Y:Y,MATCH('001_population_health_zone_zs'!$B$2,[1]ratio_ins!$B:$B,0))*$G514*INDEX([1]ratio_ins!$C:$C,MATCH('001_population_health_zone_zs'!$B514,[1]ratio_ins!$B:$B,0))</f>
        <v>165.96636000000001</v>
      </c>
      <c r="AB514" s="11">
        <f>INDEX([1]ratio_ins!Z:Z,MATCH('001_population_health_zone_zs'!$B$2,[1]ratio_ins!$B:$B,0))*$G514*INDEX([1]ratio_ins!$C:$C,MATCH('001_population_health_zone_zs'!$B514,[1]ratio_ins!$B:$B,0))</f>
        <v>2157.56268</v>
      </c>
      <c r="AC514" s="12">
        <f t="shared" si="42"/>
        <v>82983.180000000022</v>
      </c>
      <c r="AD514" s="10">
        <f>INDEX([1]ratio_ins!AA:AA,MATCH('001_population_health_zone_zs'!$B$2,[1]ratio_ins!$B:$B,0))*$G514*INDEX([1]ratio_ins!$D:$D,MATCH('001_population_health_zone_zs'!$B514,[1]ratio_ins!$B:$B,0))</f>
        <v>17993.182199999999</v>
      </c>
      <c r="AE514" s="10">
        <f>INDEX([1]ratio_ins!AB:AB,MATCH('001_population_health_zone_zs'!$B$2,[1]ratio_ins!$B:$B,0))*$G514*INDEX([1]ratio_ins!$D:$D,MATCH('001_population_health_zone_zs'!$B514,[1]ratio_ins!$B:$B,0))</f>
        <v>14822.954860000002</v>
      </c>
      <c r="AF514" s="10">
        <f>INDEX([1]ratio_ins!AC:AC,MATCH('001_population_health_zone_zs'!$B$2,[1]ratio_ins!$B:$B,0))*$G514*INDEX([1]ratio_ins!$D:$D,MATCH('001_population_health_zone_zs'!$B514,[1]ratio_ins!$B:$B,0))</f>
        <v>11738.409339999998</v>
      </c>
      <c r="AG514" s="10">
        <f>INDEX([1]ratio_ins!AD:AD,MATCH('001_population_health_zone_zs'!$B$2,[1]ratio_ins!$B:$B,0))*$G514*INDEX([1]ratio_ins!$D:$D,MATCH('001_population_health_zone_zs'!$B514,[1]ratio_ins!$B:$B,0))</f>
        <v>7111.5910600000007</v>
      </c>
      <c r="AH514" s="10">
        <f>INDEX([1]ratio_ins!AE:AE,MATCH('001_population_health_zone_zs'!$B$2,[1]ratio_ins!$B:$B,0))*$G514*INDEX([1]ratio_ins!$D:$D,MATCH('001_population_health_zone_zs'!$B514,[1]ratio_ins!$B:$B,0))</f>
        <v>4266.9546360000004</v>
      </c>
      <c r="AI514" s="13">
        <f>INDEX([1]ratio_ins!AF:AF,MATCH('001_population_health_zone_zs'!$B$2,[1]ratio_ins!$B:$B,0))*$G514*INDEX([1]ratio_ins!$D:$D,MATCH('001_population_health_zone_zs'!$B514,[1]ratio_ins!$B:$B,0))</f>
        <v>48821.501036000001</v>
      </c>
      <c r="AJ514" s="10">
        <f>INDEX([1]ratio_ins!AG:AG,MATCH('001_population_health_zone_zs'!$B$2,[1]ratio_ins!$B:$B,0))*$G514*INDEX([1]ratio_ins!$D:$D,MATCH('001_population_health_zone_zs'!$B514,[1]ratio_ins!$B:$B,0))</f>
        <v>2844.6364239999998</v>
      </c>
      <c r="AK514" s="10">
        <f>INDEX([1]ratio_ins!AH:AH,MATCH('001_population_health_zone_zs'!$B$2,[1]ratio_ins!$B:$B,0))*$G514*INDEX([1]ratio_ins!$D:$D,MATCH('001_population_health_zone_zs'!$B514,[1]ratio_ins!$B:$B,0))</f>
        <v>6340.4546800000007</v>
      </c>
      <c r="AL514" s="10">
        <f>INDEX([1]ratio_ins!AI:AI,MATCH('001_population_health_zone_zs'!$B$2,[1]ratio_ins!$B:$B,0))*$G514*INDEX([1]ratio_ins!$D:$D,MATCH('001_population_health_zone_zs'!$B514,[1]ratio_ins!$B:$B,0))</f>
        <v>5997.7274000000007</v>
      </c>
      <c r="AM514" s="10">
        <f>INDEX([1]ratio_ins!AJ:AJ,MATCH('001_population_health_zone_zs'!$B$2,[1]ratio_ins!$B:$B,0))*$G514*INDEX([1]ratio_ins!$D:$D,MATCH('001_population_health_zone_zs'!$B514,[1]ratio_ins!$B:$B,0))</f>
        <v>5483.6364800000001</v>
      </c>
      <c r="AN514" s="10">
        <f>INDEX([1]ratio_ins!AK:AK,MATCH('001_population_health_zone_zs'!$B$2,[1]ratio_ins!$B:$B,0))*$G514*INDEX([1]ratio_ins!$D:$D,MATCH('001_population_health_zone_zs'!$B514,[1]ratio_ins!$B:$B,0))</f>
        <v>5140.9092000000001</v>
      </c>
      <c r="AO514" s="10">
        <f>INDEX([1]ratio_ins!AL:AL,MATCH('001_population_health_zone_zs'!$B$2,[1]ratio_ins!$B:$B,0))*$G514*INDEX([1]ratio_ins!$D:$D,MATCH('001_population_health_zone_zs'!$B514,[1]ratio_ins!$B:$B,0))</f>
        <v>3855.6818999999996</v>
      </c>
      <c r="AP514" s="10">
        <f>INDEX([1]ratio_ins!AM:AM,MATCH('001_population_health_zone_zs'!$B$2,[1]ratio_ins!$B:$B,0))*$G514*INDEX([1]ratio_ins!$D:$D,MATCH('001_population_health_zone_zs'!$B514,[1]ratio_ins!$B:$B,0))</f>
        <v>2484.7727799999998</v>
      </c>
      <c r="AQ514" s="10">
        <f>INDEX([1]ratio_ins!AN:AN,MATCH('001_population_health_zone_zs'!$B$2,[1]ratio_ins!$B:$B,0))*$G514*INDEX([1]ratio_ins!$D:$D,MATCH('001_population_health_zone_zs'!$B514,[1]ratio_ins!$B:$B,0))</f>
        <v>1970.6818600000001</v>
      </c>
      <c r="AR514" s="10">
        <f>INDEX([1]ratio_ins!AO:AO,MATCH('001_population_health_zone_zs'!$B$2,[1]ratio_ins!$B:$B,0))*$G514*INDEX([1]ratio_ins!$D:$D,MATCH('001_population_health_zone_zs'!$B514,[1]ratio_ins!$B:$B,0))</f>
        <v>942.50002000000018</v>
      </c>
      <c r="AS514" s="13">
        <f>INDEX([1]ratio_ins!AP:AP,MATCH('001_population_health_zone_zs'!$B$2,[1]ratio_ins!$B:$B,0))*$G514*INDEX([1]ratio_ins!$D:$D,MATCH('001_population_health_zone_zs'!$B514,[1]ratio_ins!$B:$B,0))</f>
        <v>35061.000744000004</v>
      </c>
      <c r="AT514" s="10">
        <f>INDEX([1]ratio_ins!AQ:AQ,MATCH('001_population_health_zone_zs'!$B$2,[1]ratio_ins!$B:$B,0))*$G514*INDEX([1]ratio_ins!$D:$D,MATCH('001_population_health_zone_zs'!$B514,[1]ratio_ins!$B:$B,0))</f>
        <v>856.81820000000005</v>
      </c>
      <c r="AU514" s="10">
        <f>INDEX([1]ratio_ins!AR:AR,MATCH('001_population_health_zone_zs'!$B$2,[1]ratio_ins!$B:$B,0))*$G514*INDEX([1]ratio_ins!$D:$D,MATCH('001_population_health_zone_zs'!$B514,[1]ratio_ins!$B:$B,0))</f>
        <v>514.09091999999998</v>
      </c>
      <c r="AV514" s="10">
        <f>INDEX([1]ratio_ins!AS:AS,MATCH('001_population_health_zone_zs'!$B$2,[1]ratio_ins!$B:$B,0))*$G514*INDEX([1]ratio_ins!$D:$D,MATCH('001_population_health_zone_zs'!$B514,[1]ratio_ins!$B:$B,0))</f>
        <v>257.04545999999999</v>
      </c>
      <c r="AW514" s="10">
        <f>INDEX([1]ratio_ins!AT:AT,MATCH('001_population_health_zone_zs'!$B$2,[1]ratio_ins!$B:$B,0))*$G514*INDEX([1]ratio_ins!$D:$D,MATCH('001_population_health_zone_zs'!$B514,[1]ratio_ins!$B:$B,0))</f>
        <v>171.36364</v>
      </c>
      <c r="AX514" s="13">
        <f>INDEX([1]ratio_ins!AU:AU,MATCH('001_population_health_zone_zs'!$B$2,[1]ratio_ins!$B:$B,0))*$G514*INDEX([1]ratio_ins!$D:$D,MATCH('001_population_health_zone_zs'!$B514,[1]ratio_ins!$B:$B,0))</f>
        <v>1799.3182199999999</v>
      </c>
      <c r="AY514" s="14">
        <f t="shared" si="43"/>
        <v>85681.82</v>
      </c>
      <c r="AZ514" s="15">
        <f t="shared" si="44"/>
        <v>168665.00000000003</v>
      </c>
      <c r="BA514" s="16">
        <v>162269.70067740907</v>
      </c>
      <c r="BB514" s="10">
        <f t="shared" si="45"/>
        <v>36414.773499999996</v>
      </c>
      <c r="BC514" s="17">
        <f t="shared" si="46"/>
        <v>0.21589999999999998</v>
      </c>
      <c r="BD514" s="10">
        <f t="shared" si="47"/>
        <v>34603.98606000001</v>
      </c>
    </row>
    <row r="515" spans="1:56" x14ac:dyDescent="0.25">
      <c r="A515" s="8" t="s">
        <v>1239</v>
      </c>
      <c r="B515" s="8" t="s">
        <v>1240</v>
      </c>
      <c r="C515" s="8" t="s">
        <v>1263</v>
      </c>
      <c r="D515" s="8" t="s">
        <v>1264</v>
      </c>
      <c r="E515" s="8" t="s">
        <v>1268</v>
      </c>
      <c r="F515" s="8" t="s">
        <v>1269</v>
      </c>
      <c r="G515" s="9">
        <v>177527</v>
      </c>
      <c r="H515" s="10">
        <f>INDEX([1]ratio_ins!F:F,MATCH('001_population_health_zone_zs'!$B$2,[1]ratio_ins!$B:$B,0))*$G515*INDEX([1]ratio_ins!$C:$C,MATCH('001_population_health_zone_zs'!$B515,[1]ratio_ins!$B:$B,0))</f>
        <v>18254.746356</v>
      </c>
      <c r="I515" s="10">
        <f>INDEX([1]ratio_ins!G:G,MATCH('001_population_health_zone_zs'!$B$2,[1]ratio_ins!$B:$B,0))*$G515*INDEX([1]ratio_ins!$C:$C,MATCH('001_population_health_zone_zs'!$B515,[1]ratio_ins!$B:$B,0))</f>
        <v>14935.701564000003</v>
      </c>
      <c r="J515" s="10">
        <f>INDEX([1]ratio_ins!H:H,MATCH('001_population_health_zone_zs'!$B$2,[1]ratio_ins!$B:$B,0))*$G515*INDEX([1]ratio_ins!$C:$C,MATCH('001_population_health_zone_zs'!$B515,[1]ratio_ins!$B:$B,0))</f>
        <v>11791.343340000001</v>
      </c>
      <c r="K515" s="10">
        <f>INDEX([1]ratio_ins!I:I,MATCH('001_population_health_zone_zs'!$B$2,[1]ratio_ins!$B:$B,0))*$G515*INDEX([1]ratio_ins!$C:$C,MATCH('001_population_health_zone_zs'!$B515,[1]ratio_ins!$B:$B,0))</f>
        <v>7249.492572000001</v>
      </c>
      <c r="L515" s="10">
        <f>INDEX([1]ratio_ins!J:J,MATCH('001_population_health_zone_zs'!$B$2,[1]ratio_ins!$B:$B,0))*$G515*INDEX([1]ratio_ins!$C:$C,MATCH('001_population_health_zone_zs'!$B515,[1]ratio_ins!$B:$B,0))</f>
        <v>4349.6955432000004</v>
      </c>
      <c r="M515" s="11">
        <f>INDEX([1]ratio_ins!K:K,MATCH('001_population_health_zone_zs'!$B$2,[1]ratio_ins!$B:$B,0))*$G515*INDEX([1]ratio_ins!$C:$C,MATCH('001_population_health_zone_zs'!$B515,[1]ratio_ins!$B:$B,0))</f>
        <v>49331.486803200001</v>
      </c>
      <c r="N515" s="10">
        <f>INDEX([1]ratio_ins!L:L,MATCH('001_population_health_zone_zs'!$B$2,[1]ratio_ins!$B:$B,0))*$G515*INDEX([1]ratio_ins!$C:$C,MATCH('001_population_health_zone_zs'!$B515,[1]ratio_ins!$B:$B,0))</f>
        <v>2899.7970288000001</v>
      </c>
      <c r="O515" s="10">
        <f>INDEX([1]ratio_ins!M:M,MATCH('001_population_health_zone_zs'!$B$2,[1]ratio_ins!$B:$B,0))*$G515*INDEX([1]ratio_ins!$C:$C,MATCH('001_population_health_zone_zs'!$B515,[1]ratio_ins!$B:$B,0))</f>
        <v>6288.716448000001</v>
      </c>
      <c r="P515" s="10">
        <f>INDEX([1]ratio_ins!N:N,MATCH('001_population_health_zone_zs'!$B$2,[1]ratio_ins!$B:$B,0))*$G515*INDEX([1]ratio_ins!$C:$C,MATCH('001_population_health_zone_zs'!$B515,[1]ratio_ins!$B:$B,0))</f>
        <v>5677.3134600000012</v>
      </c>
      <c r="Q515" s="10">
        <f>INDEX([1]ratio_ins!O:O,MATCH('001_population_health_zone_zs'!$B$2,[1]ratio_ins!$B:$B,0))*$G515*INDEX([1]ratio_ins!$C:$C,MATCH('001_population_health_zone_zs'!$B515,[1]ratio_ins!$B:$B,0))</f>
        <v>5065.9104719999996</v>
      </c>
      <c r="R515" s="10">
        <f>INDEX([1]ratio_ins!P:P,MATCH('001_population_health_zone_zs'!$B$2,[1]ratio_ins!$B:$B,0))*$G515*INDEX([1]ratio_ins!$C:$C,MATCH('001_population_health_zone_zs'!$B515,[1]ratio_ins!$B:$B,0))</f>
        <v>4978.5671880000009</v>
      </c>
      <c r="S515" s="10">
        <f>INDEX([1]ratio_ins!Q:Q,MATCH('001_population_health_zone_zs'!$B$2,[1]ratio_ins!$B:$B,0))*$G515*INDEX([1]ratio_ins!$C:$C,MATCH('001_population_health_zone_zs'!$B515,[1]ratio_ins!$B:$B,0))</f>
        <v>4192.477632000001</v>
      </c>
      <c r="T515" s="10">
        <f>INDEX([1]ratio_ins!R:R,MATCH('001_population_health_zone_zs'!$B$2,[1]ratio_ins!$B:$B,0))*$G515*INDEX([1]ratio_ins!$C:$C,MATCH('001_population_health_zone_zs'!$B515,[1]ratio_ins!$B:$B,0))</f>
        <v>2969.6716560000004</v>
      </c>
      <c r="U515" s="10">
        <f>INDEX([1]ratio_ins!S:S,MATCH('001_population_health_zone_zs'!$B$2,[1]ratio_ins!$B:$B,0))*$G515*INDEX([1]ratio_ins!$C:$C,MATCH('001_population_health_zone_zs'!$B515,[1]ratio_ins!$B:$B,0))</f>
        <v>2358.2686680000002</v>
      </c>
      <c r="V515" s="10">
        <f>INDEX([1]ratio_ins!T:T,MATCH('001_population_health_zone_zs'!$B$2,[1]ratio_ins!$B:$B,0))*$G515*INDEX([1]ratio_ins!$C:$C,MATCH('001_population_health_zone_zs'!$B515,[1]ratio_ins!$B:$B,0))</f>
        <v>1310.1492599999999</v>
      </c>
      <c r="W515" s="11">
        <f>INDEX([1]ratio_ins!U:U,MATCH('001_population_health_zone_zs'!$B$2,[1]ratio_ins!$B:$B,0))*$G515*INDEX([1]ratio_ins!$C:$C,MATCH('001_population_health_zone_zs'!$B515,[1]ratio_ins!$B:$B,0))</f>
        <v>35740.871812800004</v>
      </c>
      <c r="X515" s="10">
        <f>INDEX([1]ratio_ins!V:V,MATCH('001_population_health_zone_zs'!$B$2,[1]ratio_ins!$B:$B,0))*$G515*INDEX([1]ratio_ins!$C:$C,MATCH('001_population_health_zone_zs'!$B515,[1]ratio_ins!$B:$B,0))</f>
        <v>1048.1194080000002</v>
      </c>
      <c r="Y515" s="10">
        <f>INDEX([1]ratio_ins!W:W,MATCH('001_population_health_zone_zs'!$B$2,[1]ratio_ins!$B:$B,0))*$G515*INDEX([1]ratio_ins!$C:$C,MATCH('001_population_health_zone_zs'!$B515,[1]ratio_ins!$B:$B,0))</f>
        <v>698.74627200000009</v>
      </c>
      <c r="Z515" s="10">
        <f>INDEX([1]ratio_ins!X:X,MATCH('001_population_health_zone_zs'!$B$2,[1]ratio_ins!$B:$B,0))*$G515*INDEX([1]ratio_ins!$C:$C,MATCH('001_population_health_zone_zs'!$B515,[1]ratio_ins!$B:$B,0))</f>
        <v>349.37313600000004</v>
      </c>
      <c r="AA515" s="10">
        <f>INDEX([1]ratio_ins!Y:Y,MATCH('001_population_health_zone_zs'!$B$2,[1]ratio_ins!$B:$B,0))*$G515*INDEX([1]ratio_ins!$C:$C,MATCH('001_population_health_zone_zs'!$B515,[1]ratio_ins!$B:$B,0))</f>
        <v>174.68656800000002</v>
      </c>
      <c r="AB515" s="11">
        <f>INDEX([1]ratio_ins!Z:Z,MATCH('001_population_health_zone_zs'!$B$2,[1]ratio_ins!$B:$B,0))*$G515*INDEX([1]ratio_ins!$C:$C,MATCH('001_population_health_zone_zs'!$B515,[1]ratio_ins!$B:$B,0))</f>
        <v>2270.9253840000001</v>
      </c>
      <c r="AC515" s="12">
        <f t="shared" ref="AC515:AC520" si="48">M515+W515+AB515</f>
        <v>87343.284000000014</v>
      </c>
      <c r="AD515" s="10">
        <f>INDEX([1]ratio_ins!AA:AA,MATCH('001_population_health_zone_zs'!$B$2,[1]ratio_ins!$B:$B,0))*$G515*INDEX([1]ratio_ins!$D:$D,MATCH('001_population_health_zone_zs'!$B515,[1]ratio_ins!$B:$B,0))</f>
        <v>18938.58036</v>
      </c>
      <c r="AE515" s="10">
        <f>INDEX([1]ratio_ins!AB:AB,MATCH('001_population_health_zone_zs'!$B$2,[1]ratio_ins!$B:$B,0))*$G515*INDEX([1]ratio_ins!$D:$D,MATCH('001_population_health_zone_zs'!$B515,[1]ratio_ins!$B:$B,0))</f>
        <v>15601.782868000002</v>
      </c>
      <c r="AF515" s="10">
        <f>INDEX([1]ratio_ins!AC:AC,MATCH('001_population_health_zone_zs'!$B$2,[1]ratio_ins!$B:$B,0))*$G515*INDEX([1]ratio_ins!$D:$D,MATCH('001_population_health_zone_zs'!$B515,[1]ratio_ins!$B:$B,0))</f>
        <v>12355.169091999998</v>
      </c>
      <c r="AG515" s="10">
        <f>INDEX([1]ratio_ins!AD:AD,MATCH('001_population_health_zone_zs'!$B$2,[1]ratio_ins!$B:$B,0))*$G515*INDEX([1]ratio_ins!$D:$D,MATCH('001_population_health_zone_zs'!$B515,[1]ratio_ins!$B:$B,0))</f>
        <v>7485.2484279999999</v>
      </c>
      <c r="AH515" s="10">
        <f>INDEX([1]ratio_ins!AE:AE,MATCH('001_population_health_zone_zs'!$B$2,[1]ratio_ins!$B:$B,0))*$G515*INDEX([1]ratio_ins!$D:$D,MATCH('001_population_health_zone_zs'!$B515,[1]ratio_ins!$B:$B,0))</f>
        <v>4491.1490567999999</v>
      </c>
      <c r="AI515" s="13">
        <f>INDEX([1]ratio_ins!AF:AF,MATCH('001_population_health_zone_zs'!$B$2,[1]ratio_ins!$B:$B,0))*$G515*INDEX([1]ratio_ins!$D:$D,MATCH('001_population_health_zone_zs'!$B515,[1]ratio_ins!$B:$B,0))</f>
        <v>51386.681376799999</v>
      </c>
      <c r="AJ515" s="10">
        <f>INDEX([1]ratio_ins!AG:AG,MATCH('001_population_health_zone_zs'!$B$2,[1]ratio_ins!$B:$B,0))*$G515*INDEX([1]ratio_ins!$D:$D,MATCH('001_population_health_zone_zs'!$B515,[1]ratio_ins!$B:$B,0))</f>
        <v>2994.0993712</v>
      </c>
      <c r="AK515" s="10">
        <f>INDEX([1]ratio_ins!AH:AH,MATCH('001_population_health_zone_zs'!$B$2,[1]ratio_ins!$B:$B,0))*$G515*INDEX([1]ratio_ins!$D:$D,MATCH('001_population_health_zone_zs'!$B515,[1]ratio_ins!$B:$B,0))</f>
        <v>6673.5949840000012</v>
      </c>
      <c r="AL515" s="10">
        <f>INDEX([1]ratio_ins!AI:AI,MATCH('001_population_health_zone_zs'!$B$2,[1]ratio_ins!$B:$B,0))*$G515*INDEX([1]ratio_ins!$D:$D,MATCH('001_population_health_zone_zs'!$B515,[1]ratio_ins!$B:$B,0))</f>
        <v>6312.8601200000003</v>
      </c>
      <c r="AM515" s="10">
        <f>INDEX([1]ratio_ins!AJ:AJ,MATCH('001_population_health_zone_zs'!$B$2,[1]ratio_ins!$B:$B,0))*$G515*INDEX([1]ratio_ins!$D:$D,MATCH('001_population_health_zone_zs'!$B515,[1]ratio_ins!$B:$B,0))</f>
        <v>5771.7578240000003</v>
      </c>
      <c r="AN515" s="10">
        <f>INDEX([1]ratio_ins!AK:AK,MATCH('001_population_health_zone_zs'!$B$2,[1]ratio_ins!$B:$B,0))*$G515*INDEX([1]ratio_ins!$D:$D,MATCH('001_population_health_zone_zs'!$B515,[1]ratio_ins!$B:$B,0))</f>
        <v>5411.0229599999993</v>
      </c>
      <c r="AO515" s="10">
        <f>INDEX([1]ratio_ins!AL:AL,MATCH('001_population_health_zone_zs'!$B$2,[1]ratio_ins!$B:$B,0))*$G515*INDEX([1]ratio_ins!$D:$D,MATCH('001_population_health_zone_zs'!$B515,[1]ratio_ins!$B:$B,0))</f>
        <v>4058.2672200000002</v>
      </c>
      <c r="AP515" s="10">
        <f>INDEX([1]ratio_ins!AM:AM,MATCH('001_population_health_zone_zs'!$B$2,[1]ratio_ins!$B:$B,0))*$G515*INDEX([1]ratio_ins!$D:$D,MATCH('001_population_health_zone_zs'!$B515,[1]ratio_ins!$B:$B,0))</f>
        <v>2615.3277639999997</v>
      </c>
      <c r="AQ515" s="10">
        <f>INDEX([1]ratio_ins!AN:AN,MATCH('001_population_health_zone_zs'!$B$2,[1]ratio_ins!$B:$B,0))*$G515*INDEX([1]ratio_ins!$D:$D,MATCH('001_population_health_zone_zs'!$B515,[1]ratio_ins!$B:$B,0))</f>
        <v>2074.2254680000001</v>
      </c>
      <c r="AR515" s="10">
        <f>INDEX([1]ratio_ins!AO:AO,MATCH('001_population_health_zone_zs'!$B$2,[1]ratio_ins!$B:$B,0))*$G515*INDEX([1]ratio_ins!$D:$D,MATCH('001_population_health_zone_zs'!$B515,[1]ratio_ins!$B:$B,0))</f>
        <v>992.02087600000016</v>
      </c>
      <c r="AS515" s="13">
        <f>INDEX([1]ratio_ins!AP:AP,MATCH('001_population_health_zone_zs'!$B$2,[1]ratio_ins!$B:$B,0))*$G515*INDEX([1]ratio_ins!$D:$D,MATCH('001_population_health_zone_zs'!$B515,[1]ratio_ins!$B:$B,0))</f>
        <v>36903.176587200003</v>
      </c>
      <c r="AT515" s="10">
        <f>INDEX([1]ratio_ins!AQ:AQ,MATCH('001_population_health_zone_zs'!$B$2,[1]ratio_ins!$B:$B,0))*$G515*INDEX([1]ratio_ins!$D:$D,MATCH('001_population_health_zone_zs'!$B515,[1]ratio_ins!$B:$B,0))</f>
        <v>901.83716000000004</v>
      </c>
      <c r="AU515" s="10">
        <f>INDEX([1]ratio_ins!AR:AR,MATCH('001_population_health_zone_zs'!$B$2,[1]ratio_ins!$B:$B,0))*$G515*INDEX([1]ratio_ins!$D:$D,MATCH('001_population_health_zone_zs'!$B515,[1]ratio_ins!$B:$B,0))</f>
        <v>541.10229600000002</v>
      </c>
      <c r="AV515" s="10">
        <f>INDEX([1]ratio_ins!AS:AS,MATCH('001_population_health_zone_zs'!$B$2,[1]ratio_ins!$B:$B,0))*$G515*INDEX([1]ratio_ins!$D:$D,MATCH('001_population_health_zone_zs'!$B515,[1]ratio_ins!$B:$B,0))</f>
        <v>270.55114800000001</v>
      </c>
      <c r="AW515" s="10">
        <f>INDEX([1]ratio_ins!AT:AT,MATCH('001_population_health_zone_zs'!$B$2,[1]ratio_ins!$B:$B,0))*$G515*INDEX([1]ratio_ins!$D:$D,MATCH('001_population_health_zone_zs'!$B515,[1]ratio_ins!$B:$B,0))</f>
        <v>180.36743200000001</v>
      </c>
      <c r="AX515" s="13">
        <f>INDEX([1]ratio_ins!AU:AU,MATCH('001_population_health_zone_zs'!$B$2,[1]ratio_ins!$B:$B,0))*$G515*INDEX([1]ratio_ins!$D:$D,MATCH('001_population_health_zone_zs'!$B515,[1]ratio_ins!$B:$B,0))</f>
        <v>1893.8580359999999</v>
      </c>
      <c r="AY515" s="14">
        <f t="shared" ref="AY515:AY520" si="49">AI515+AS515+AX515</f>
        <v>90183.716</v>
      </c>
      <c r="AZ515" s="15">
        <f t="shared" ref="AZ515:AZ520" si="50">AC515+AY515</f>
        <v>177527</v>
      </c>
      <c r="BA515" s="16">
        <v>170796.16582011472</v>
      </c>
      <c r="BB515" s="10">
        <f t="shared" ref="BB515:BB520" si="51">SUM(AH515,AJ515,AK515:AP515)</f>
        <v>38328.079300000005</v>
      </c>
      <c r="BC515" s="17">
        <f t="shared" ref="BC515:BC520" si="52">BB515/G515</f>
        <v>0.21590000000000004</v>
      </c>
      <c r="BD515" s="10">
        <f t="shared" ref="BD515:BD520" si="53">SUM(L515,N515:T515)</f>
        <v>36422.149428000004</v>
      </c>
    </row>
    <row r="516" spans="1:56" x14ac:dyDescent="0.25">
      <c r="A516" s="8" t="s">
        <v>1239</v>
      </c>
      <c r="B516" s="8" t="s">
        <v>1240</v>
      </c>
      <c r="C516" s="8" t="s">
        <v>1270</v>
      </c>
      <c r="D516" s="8" t="s">
        <v>1271</v>
      </c>
      <c r="E516" s="8" t="s">
        <v>1272</v>
      </c>
      <c r="F516" s="8" t="s">
        <v>1273</v>
      </c>
      <c r="G516" s="9">
        <v>161478</v>
      </c>
      <c r="H516" s="10">
        <f>INDEX([1]ratio_ins!F:F,MATCH('001_population_health_zone_zs'!$B$2,[1]ratio_ins!$B:$B,0))*$G516*INDEX([1]ratio_ins!$C:$C,MATCH('001_population_health_zone_zs'!$B516,[1]ratio_ins!$B:$B,0))</f>
        <v>16604.459784000002</v>
      </c>
      <c r="I516" s="10">
        <f>INDEX([1]ratio_ins!G:G,MATCH('001_population_health_zone_zs'!$B$2,[1]ratio_ins!$B:$B,0))*$G516*INDEX([1]ratio_ins!$C:$C,MATCH('001_population_health_zone_zs'!$B516,[1]ratio_ins!$B:$B,0))</f>
        <v>13585.467096000002</v>
      </c>
      <c r="J516" s="10">
        <f>INDEX([1]ratio_ins!H:H,MATCH('001_population_health_zone_zs'!$B$2,[1]ratio_ins!$B:$B,0))*$G516*INDEX([1]ratio_ins!$C:$C,MATCH('001_population_health_zone_zs'!$B516,[1]ratio_ins!$B:$B,0))</f>
        <v>10725.368760000003</v>
      </c>
      <c r="K516" s="10">
        <f>INDEX([1]ratio_ins!I:I,MATCH('001_population_health_zone_zs'!$B$2,[1]ratio_ins!$B:$B,0))*$G516*INDEX([1]ratio_ins!$C:$C,MATCH('001_population_health_zone_zs'!$B516,[1]ratio_ins!$B:$B,0))</f>
        <v>6594.115608000001</v>
      </c>
      <c r="L516" s="10">
        <f>INDEX([1]ratio_ins!J:J,MATCH('001_population_health_zone_zs'!$B$2,[1]ratio_ins!$B:$B,0))*$G516*INDEX([1]ratio_ins!$C:$C,MATCH('001_population_health_zone_zs'!$B516,[1]ratio_ins!$B:$B,0))</f>
        <v>3956.4693648000002</v>
      </c>
      <c r="M516" s="11">
        <f>INDEX([1]ratio_ins!K:K,MATCH('001_population_health_zone_zs'!$B$2,[1]ratio_ins!$B:$B,0))*$G516*INDEX([1]ratio_ins!$C:$C,MATCH('001_population_health_zone_zs'!$B516,[1]ratio_ins!$B:$B,0))</f>
        <v>44871.7650048</v>
      </c>
      <c r="N516" s="10">
        <f>INDEX([1]ratio_ins!L:L,MATCH('001_population_health_zone_zs'!$B$2,[1]ratio_ins!$B:$B,0))*$G516*INDEX([1]ratio_ins!$C:$C,MATCH('001_population_health_zone_zs'!$B516,[1]ratio_ins!$B:$B,0))</f>
        <v>2637.6462432000003</v>
      </c>
      <c r="O516" s="10">
        <f>INDEX([1]ratio_ins!M:M,MATCH('001_population_health_zone_zs'!$B$2,[1]ratio_ins!$B:$B,0))*$G516*INDEX([1]ratio_ins!$C:$C,MATCH('001_population_health_zone_zs'!$B516,[1]ratio_ins!$B:$B,0))</f>
        <v>5720.1966720000009</v>
      </c>
      <c r="P516" s="10">
        <f>INDEX([1]ratio_ins!N:N,MATCH('001_population_health_zone_zs'!$B$2,[1]ratio_ins!$B:$B,0))*$G516*INDEX([1]ratio_ins!$C:$C,MATCH('001_population_health_zone_zs'!$B516,[1]ratio_ins!$B:$B,0))</f>
        <v>5164.0664400000005</v>
      </c>
      <c r="Q516" s="10">
        <f>INDEX([1]ratio_ins!O:O,MATCH('001_population_health_zone_zs'!$B$2,[1]ratio_ins!$B:$B,0))*$G516*INDEX([1]ratio_ins!$C:$C,MATCH('001_population_health_zone_zs'!$B516,[1]ratio_ins!$B:$B,0))</f>
        <v>4607.9362080000001</v>
      </c>
      <c r="R516" s="10">
        <f>INDEX([1]ratio_ins!P:P,MATCH('001_population_health_zone_zs'!$B$2,[1]ratio_ins!$B:$B,0))*$G516*INDEX([1]ratio_ins!$C:$C,MATCH('001_population_health_zone_zs'!$B516,[1]ratio_ins!$B:$B,0))</f>
        <v>4528.4890320000013</v>
      </c>
      <c r="S516" s="10">
        <f>INDEX([1]ratio_ins!Q:Q,MATCH('001_population_health_zone_zs'!$B$2,[1]ratio_ins!$B:$B,0))*$G516*INDEX([1]ratio_ins!$C:$C,MATCH('001_population_health_zone_zs'!$B516,[1]ratio_ins!$B:$B,0))</f>
        <v>3813.4644480000006</v>
      </c>
      <c r="T516" s="10">
        <f>INDEX([1]ratio_ins!R:R,MATCH('001_population_health_zone_zs'!$B$2,[1]ratio_ins!$B:$B,0))*$G516*INDEX([1]ratio_ins!$C:$C,MATCH('001_population_health_zone_zs'!$B516,[1]ratio_ins!$B:$B,0))</f>
        <v>2701.2039840000007</v>
      </c>
      <c r="U516" s="10">
        <f>INDEX([1]ratio_ins!S:S,MATCH('001_population_health_zone_zs'!$B$2,[1]ratio_ins!$B:$B,0))*$G516*INDEX([1]ratio_ins!$C:$C,MATCH('001_population_health_zone_zs'!$B516,[1]ratio_ins!$B:$B,0))</f>
        <v>2145.0737520000007</v>
      </c>
      <c r="V516" s="10">
        <f>INDEX([1]ratio_ins!T:T,MATCH('001_population_health_zone_zs'!$B$2,[1]ratio_ins!$B:$B,0))*$G516*INDEX([1]ratio_ins!$C:$C,MATCH('001_population_health_zone_zs'!$B516,[1]ratio_ins!$B:$B,0))</f>
        <v>1191.7076400000001</v>
      </c>
      <c r="W516" s="11">
        <f>INDEX([1]ratio_ins!U:U,MATCH('001_population_health_zone_zs'!$B$2,[1]ratio_ins!$B:$B,0))*$G516*INDEX([1]ratio_ins!$C:$C,MATCH('001_population_health_zone_zs'!$B516,[1]ratio_ins!$B:$B,0))</f>
        <v>32509.784419200005</v>
      </c>
      <c r="X516" s="10">
        <f>INDEX([1]ratio_ins!V:V,MATCH('001_population_health_zone_zs'!$B$2,[1]ratio_ins!$B:$B,0))*$G516*INDEX([1]ratio_ins!$C:$C,MATCH('001_population_health_zone_zs'!$B516,[1]ratio_ins!$B:$B,0))</f>
        <v>953.36611200000016</v>
      </c>
      <c r="Y516" s="10">
        <f>INDEX([1]ratio_ins!W:W,MATCH('001_population_health_zone_zs'!$B$2,[1]ratio_ins!$B:$B,0))*$G516*INDEX([1]ratio_ins!$C:$C,MATCH('001_population_health_zone_zs'!$B516,[1]ratio_ins!$B:$B,0))</f>
        <v>635.5774080000001</v>
      </c>
      <c r="Z516" s="10">
        <f>INDEX([1]ratio_ins!X:X,MATCH('001_population_health_zone_zs'!$B$2,[1]ratio_ins!$B:$B,0))*$G516*INDEX([1]ratio_ins!$C:$C,MATCH('001_population_health_zone_zs'!$B516,[1]ratio_ins!$B:$B,0))</f>
        <v>317.78870400000005</v>
      </c>
      <c r="AA516" s="10">
        <f>INDEX([1]ratio_ins!Y:Y,MATCH('001_population_health_zone_zs'!$B$2,[1]ratio_ins!$B:$B,0))*$G516*INDEX([1]ratio_ins!$C:$C,MATCH('001_population_health_zone_zs'!$B516,[1]ratio_ins!$B:$B,0))</f>
        <v>158.89435200000003</v>
      </c>
      <c r="AB516" s="11">
        <f>INDEX([1]ratio_ins!Z:Z,MATCH('001_population_health_zone_zs'!$B$2,[1]ratio_ins!$B:$B,0))*$G516*INDEX([1]ratio_ins!$C:$C,MATCH('001_population_health_zone_zs'!$B516,[1]ratio_ins!$B:$B,0))</f>
        <v>2065.6265760000006</v>
      </c>
      <c r="AC516" s="12">
        <f t="shared" si="48"/>
        <v>79447.175999999992</v>
      </c>
      <c r="AD516" s="10">
        <f>INDEX([1]ratio_ins!AA:AA,MATCH('001_population_health_zone_zs'!$B$2,[1]ratio_ins!$B:$B,0))*$G516*INDEX([1]ratio_ins!$D:$D,MATCH('001_population_health_zone_zs'!$B516,[1]ratio_ins!$B:$B,0))</f>
        <v>17226.473039999997</v>
      </c>
      <c r="AE516" s="10">
        <f>INDEX([1]ratio_ins!AB:AB,MATCH('001_population_health_zone_zs'!$B$2,[1]ratio_ins!$B:$B,0))*$G516*INDEX([1]ratio_ins!$D:$D,MATCH('001_population_health_zone_zs'!$B516,[1]ratio_ins!$B:$B,0))</f>
        <v>14191.332552000002</v>
      </c>
      <c r="AF516" s="10">
        <f>INDEX([1]ratio_ins!AC:AC,MATCH('001_population_health_zone_zs'!$B$2,[1]ratio_ins!$B:$B,0))*$G516*INDEX([1]ratio_ins!$D:$D,MATCH('001_population_health_zone_zs'!$B516,[1]ratio_ins!$B:$B,0))</f>
        <v>11238.222887999998</v>
      </c>
      <c r="AG516" s="10">
        <f>INDEX([1]ratio_ins!AD:AD,MATCH('001_population_health_zone_zs'!$B$2,[1]ratio_ins!$B:$B,0))*$G516*INDEX([1]ratio_ins!$D:$D,MATCH('001_population_health_zone_zs'!$B516,[1]ratio_ins!$B:$B,0))</f>
        <v>6808.5583920000008</v>
      </c>
      <c r="AH516" s="10">
        <f>INDEX([1]ratio_ins!AE:AE,MATCH('001_population_health_zone_zs'!$B$2,[1]ratio_ins!$B:$B,0))*$G516*INDEX([1]ratio_ins!$D:$D,MATCH('001_population_health_zone_zs'!$B516,[1]ratio_ins!$B:$B,0))</f>
        <v>4085.1350351999995</v>
      </c>
      <c r="AI516" s="13">
        <f>INDEX([1]ratio_ins!AF:AF,MATCH('001_population_health_zone_zs'!$B$2,[1]ratio_ins!$B:$B,0))*$G516*INDEX([1]ratio_ins!$D:$D,MATCH('001_population_health_zone_zs'!$B516,[1]ratio_ins!$B:$B,0))</f>
        <v>46741.163515199994</v>
      </c>
      <c r="AJ516" s="10">
        <f>INDEX([1]ratio_ins!AG:AG,MATCH('001_population_health_zone_zs'!$B$2,[1]ratio_ins!$B:$B,0))*$G516*INDEX([1]ratio_ins!$D:$D,MATCH('001_population_health_zone_zs'!$B516,[1]ratio_ins!$B:$B,0))</f>
        <v>2723.4233568</v>
      </c>
      <c r="AK516" s="10">
        <f>INDEX([1]ratio_ins!AH:AH,MATCH('001_population_health_zone_zs'!$B$2,[1]ratio_ins!$B:$B,0))*$G516*INDEX([1]ratio_ins!$D:$D,MATCH('001_population_health_zone_zs'!$B516,[1]ratio_ins!$B:$B,0))</f>
        <v>6070.2809760000009</v>
      </c>
      <c r="AL516" s="10">
        <f>INDEX([1]ratio_ins!AI:AI,MATCH('001_population_health_zone_zs'!$B$2,[1]ratio_ins!$B:$B,0))*$G516*INDEX([1]ratio_ins!$D:$D,MATCH('001_population_health_zone_zs'!$B516,[1]ratio_ins!$B:$B,0))</f>
        <v>5742.1576800000003</v>
      </c>
      <c r="AM516" s="10">
        <f>INDEX([1]ratio_ins!AJ:AJ,MATCH('001_population_health_zone_zs'!$B$2,[1]ratio_ins!$B:$B,0))*$G516*INDEX([1]ratio_ins!$D:$D,MATCH('001_population_health_zone_zs'!$B516,[1]ratio_ins!$B:$B,0))</f>
        <v>5249.9727360000006</v>
      </c>
      <c r="AN516" s="10">
        <f>INDEX([1]ratio_ins!AK:AK,MATCH('001_population_health_zone_zs'!$B$2,[1]ratio_ins!$B:$B,0))*$G516*INDEX([1]ratio_ins!$D:$D,MATCH('001_population_health_zone_zs'!$B516,[1]ratio_ins!$B:$B,0))</f>
        <v>4921.84944</v>
      </c>
      <c r="AO516" s="10">
        <f>INDEX([1]ratio_ins!AL:AL,MATCH('001_population_health_zone_zs'!$B$2,[1]ratio_ins!$B:$B,0))*$G516*INDEX([1]ratio_ins!$D:$D,MATCH('001_population_health_zone_zs'!$B516,[1]ratio_ins!$B:$B,0))</f>
        <v>3691.3870799999995</v>
      </c>
      <c r="AP516" s="10">
        <f>INDEX([1]ratio_ins!AM:AM,MATCH('001_population_health_zone_zs'!$B$2,[1]ratio_ins!$B:$B,0))*$G516*INDEX([1]ratio_ins!$D:$D,MATCH('001_population_health_zone_zs'!$B516,[1]ratio_ins!$B:$B,0))</f>
        <v>2378.893896</v>
      </c>
      <c r="AQ516" s="10">
        <f>INDEX([1]ratio_ins!AN:AN,MATCH('001_population_health_zone_zs'!$B$2,[1]ratio_ins!$B:$B,0))*$G516*INDEX([1]ratio_ins!$D:$D,MATCH('001_population_health_zone_zs'!$B516,[1]ratio_ins!$B:$B,0))</f>
        <v>1886.7089520000002</v>
      </c>
      <c r="AR516" s="10">
        <f>INDEX([1]ratio_ins!AO:AO,MATCH('001_population_health_zone_zs'!$B$2,[1]ratio_ins!$B:$B,0))*$G516*INDEX([1]ratio_ins!$D:$D,MATCH('001_population_health_zone_zs'!$B516,[1]ratio_ins!$B:$B,0))</f>
        <v>902.33906400000012</v>
      </c>
      <c r="AS516" s="13">
        <f>INDEX([1]ratio_ins!AP:AP,MATCH('001_population_health_zone_zs'!$B$2,[1]ratio_ins!$B:$B,0))*$G516*INDEX([1]ratio_ins!$D:$D,MATCH('001_population_health_zone_zs'!$B516,[1]ratio_ins!$B:$B,0))</f>
        <v>33567.013180800001</v>
      </c>
      <c r="AT516" s="10">
        <f>INDEX([1]ratio_ins!AQ:AQ,MATCH('001_population_health_zone_zs'!$B$2,[1]ratio_ins!$B:$B,0))*$G516*INDEX([1]ratio_ins!$D:$D,MATCH('001_population_health_zone_zs'!$B516,[1]ratio_ins!$B:$B,0))</f>
        <v>820.30823999999996</v>
      </c>
      <c r="AU516" s="10">
        <f>INDEX([1]ratio_ins!AR:AR,MATCH('001_population_health_zone_zs'!$B$2,[1]ratio_ins!$B:$B,0))*$G516*INDEX([1]ratio_ins!$D:$D,MATCH('001_population_health_zone_zs'!$B516,[1]ratio_ins!$B:$B,0))</f>
        <v>492.18494400000003</v>
      </c>
      <c r="AV516" s="10">
        <f>INDEX([1]ratio_ins!AS:AS,MATCH('001_population_health_zone_zs'!$B$2,[1]ratio_ins!$B:$B,0))*$G516*INDEX([1]ratio_ins!$D:$D,MATCH('001_population_health_zone_zs'!$B516,[1]ratio_ins!$B:$B,0))</f>
        <v>246.09247200000001</v>
      </c>
      <c r="AW516" s="10">
        <f>INDEX([1]ratio_ins!AT:AT,MATCH('001_population_health_zone_zs'!$B$2,[1]ratio_ins!$B:$B,0))*$G516*INDEX([1]ratio_ins!$D:$D,MATCH('001_population_health_zone_zs'!$B516,[1]ratio_ins!$B:$B,0))</f>
        <v>164.06164800000002</v>
      </c>
      <c r="AX516" s="13">
        <f>INDEX([1]ratio_ins!AU:AU,MATCH('001_population_health_zone_zs'!$B$2,[1]ratio_ins!$B:$B,0))*$G516*INDEX([1]ratio_ins!$D:$D,MATCH('001_population_health_zone_zs'!$B516,[1]ratio_ins!$B:$B,0))</f>
        <v>1722.6473039999998</v>
      </c>
      <c r="AY516" s="14">
        <f t="shared" si="49"/>
        <v>82030.823999999993</v>
      </c>
      <c r="AZ516" s="15">
        <f t="shared" si="50"/>
        <v>161478</v>
      </c>
      <c r="BA516" s="16">
        <v>155355.24255252056</v>
      </c>
      <c r="BB516" s="10">
        <f t="shared" si="51"/>
        <v>34863.100200000001</v>
      </c>
      <c r="BC516" s="17">
        <f t="shared" si="52"/>
        <v>0.21590000000000001</v>
      </c>
      <c r="BD516" s="10">
        <f t="shared" si="53"/>
        <v>33129.472392000003</v>
      </c>
    </row>
    <row r="517" spans="1:56" x14ac:dyDescent="0.25">
      <c r="A517" s="8" t="s">
        <v>1239</v>
      </c>
      <c r="B517" s="8" t="s">
        <v>1240</v>
      </c>
      <c r="C517" s="8" t="s">
        <v>1270</v>
      </c>
      <c r="D517" s="8" t="s">
        <v>1271</v>
      </c>
      <c r="E517" s="8" t="s">
        <v>1274</v>
      </c>
      <c r="F517" s="8" t="s">
        <v>1275</v>
      </c>
      <c r="G517" s="9">
        <v>140018</v>
      </c>
      <c r="H517" s="10">
        <f>INDEX([1]ratio_ins!F:F,MATCH('001_population_health_zone_zs'!$B$2,[1]ratio_ins!$B:$B,0))*$G517*INDEX([1]ratio_ins!$C:$C,MATCH('001_population_health_zone_zs'!$B517,[1]ratio_ins!$B:$B,0))</f>
        <v>14397.770904000001</v>
      </c>
      <c r="I517" s="10">
        <f>INDEX([1]ratio_ins!G:G,MATCH('001_population_health_zone_zs'!$B$2,[1]ratio_ins!$B:$B,0))*$G517*INDEX([1]ratio_ins!$C:$C,MATCH('001_population_health_zone_zs'!$B517,[1]ratio_ins!$B:$B,0))</f>
        <v>11779.994376000002</v>
      </c>
      <c r="J517" s="10">
        <f>INDEX([1]ratio_ins!H:H,MATCH('001_population_health_zone_zs'!$B$2,[1]ratio_ins!$B:$B,0))*$G517*INDEX([1]ratio_ins!$C:$C,MATCH('001_population_health_zone_zs'!$B517,[1]ratio_ins!$B:$B,0))</f>
        <v>9299.9955600000012</v>
      </c>
      <c r="K517" s="10">
        <f>INDEX([1]ratio_ins!I:I,MATCH('001_population_health_zone_zs'!$B$2,[1]ratio_ins!$B:$B,0))*$G517*INDEX([1]ratio_ins!$C:$C,MATCH('001_population_health_zone_zs'!$B517,[1]ratio_ins!$B:$B,0))</f>
        <v>5717.7750480000004</v>
      </c>
      <c r="L517" s="10">
        <f>INDEX([1]ratio_ins!J:J,MATCH('001_population_health_zone_zs'!$B$2,[1]ratio_ins!$B:$B,0))*$G517*INDEX([1]ratio_ins!$C:$C,MATCH('001_population_health_zone_zs'!$B517,[1]ratio_ins!$B:$B,0))</f>
        <v>3430.6650288000001</v>
      </c>
      <c r="M517" s="11">
        <f>INDEX([1]ratio_ins!K:K,MATCH('001_population_health_zone_zs'!$B$2,[1]ratio_ins!$B:$B,0))*$G517*INDEX([1]ratio_ins!$C:$C,MATCH('001_population_health_zone_zs'!$B517,[1]ratio_ins!$B:$B,0))</f>
        <v>38908.425868800005</v>
      </c>
      <c r="N517" s="10">
        <f>INDEX([1]ratio_ins!L:L,MATCH('001_population_health_zone_zs'!$B$2,[1]ratio_ins!$B:$B,0))*$G517*INDEX([1]ratio_ins!$C:$C,MATCH('001_population_health_zone_zs'!$B517,[1]ratio_ins!$B:$B,0))</f>
        <v>2287.1100192000004</v>
      </c>
      <c r="O517" s="10">
        <f>INDEX([1]ratio_ins!M:M,MATCH('001_population_health_zone_zs'!$B$2,[1]ratio_ins!$B:$B,0))*$G517*INDEX([1]ratio_ins!$C:$C,MATCH('001_population_health_zone_zs'!$B517,[1]ratio_ins!$B:$B,0))</f>
        <v>4959.9976320000005</v>
      </c>
      <c r="P517" s="10">
        <f>INDEX([1]ratio_ins!N:N,MATCH('001_population_health_zone_zs'!$B$2,[1]ratio_ins!$B:$B,0))*$G517*INDEX([1]ratio_ins!$C:$C,MATCH('001_population_health_zone_zs'!$B517,[1]ratio_ins!$B:$B,0))</f>
        <v>4477.7756400000007</v>
      </c>
      <c r="Q517" s="10">
        <f>INDEX([1]ratio_ins!O:O,MATCH('001_population_health_zone_zs'!$B$2,[1]ratio_ins!$B:$B,0))*$G517*INDEX([1]ratio_ins!$C:$C,MATCH('001_population_health_zone_zs'!$B517,[1]ratio_ins!$B:$B,0))</f>
        <v>3995.5536480000005</v>
      </c>
      <c r="R517" s="10">
        <f>INDEX([1]ratio_ins!P:P,MATCH('001_population_health_zone_zs'!$B$2,[1]ratio_ins!$B:$B,0))*$G517*INDEX([1]ratio_ins!$C:$C,MATCH('001_population_health_zone_zs'!$B517,[1]ratio_ins!$B:$B,0))</f>
        <v>3926.6647920000005</v>
      </c>
      <c r="S517" s="10">
        <f>INDEX([1]ratio_ins!Q:Q,MATCH('001_population_health_zone_zs'!$B$2,[1]ratio_ins!$B:$B,0))*$G517*INDEX([1]ratio_ins!$C:$C,MATCH('001_population_health_zone_zs'!$B517,[1]ratio_ins!$B:$B,0))</f>
        <v>3306.6650880000007</v>
      </c>
      <c r="T517" s="10">
        <f>INDEX([1]ratio_ins!R:R,MATCH('001_population_health_zone_zs'!$B$2,[1]ratio_ins!$B:$B,0))*$G517*INDEX([1]ratio_ins!$C:$C,MATCH('001_population_health_zone_zs'!$B517,[1]ratio_ins!$B:$B,0))</f>
        <v>2342.2211040000002</v>
      </c>
      <c r="U517" s="10">
        <f>INDEX([1]ratio_ins!S:S,MATCH('001_population_health_zone_zs'!$B$2,[1]ratio_ins!$B:$B,0))*$G517*INDEX([1]ratio_ins!$C:$C,MATCH('001_population_health_zone_zs'!$B517,[1]ratio_ins!$B:$B,0))</f>
        <v>1859.9991120000004</v>
      </c>
      <c r="V517" s="10">
        <f>INDEX([1]ratio_ins!T:T,MATCH('001_population_health_zone_zs'!$B$2,[1]ratio_ins!$B:$B,0))*$G517*INDEX([1]ratio_ins!$C:$C,MATCH('001_population_health_zone_zs'!$B517,[1]ratio_ins!$B:$B,0))</f>
        <v>1033.33284</v>
      </c>
      <c r="W517" s="11">
        <f>INDEX([1]ratio_ins!U:U,MATCH('001_population_health_zone_zs'!$B$2,[1]ratio_ins!$B:$B,0))*$G517*INDEX([1]ratio_ins!$C:$C,MATCH('001_population_health_zone_zs'!$B517,[1]ratio_ins!$B:$B,0))</f>
        <v>28189.319875200006</v>
      </c>
      <c r="X517" s="10">
        <f>INDEX([1]ratio_ins!V:V,MATCH('001_population_health_zone_zs'!$B$2,[1]ratio_ins!$B:$B,0))*$G517*INDEX([1]ratio_ins!$C:$C,MATCH('001_population_health_zone_zs'!$B517,[1]ratio_ins!$B:$B,0))</f>
        <v>826.66627200000016</v>
      </c>
      <c r="Y517" s="10">
        <f>INDEX([1]ratio_ins!W:W,MATCH('001_population_health_zone_zs'!$B$2,[1]ratio_ins!$B:$B,0))*$G517*INDEX([1]ratio_ins!$C:$C,MATCH('001_population_health_zone_zs'!$B517,[1]ratio_ins!$B:$B,0))</f>
        <v>551.11084800000003</v>
      </c>
      <c r="Z517" s="10">
        <f>INDEX([1]ratio_ins!X:X,MATCH('001_population_health_zone_zs'!$B$2,[1]ratio_ins!$B:$B,0))*$G517*INDEX([1]ratio_ins!$C:$C,MATCH('001_population_health_zone_zs'!$B517,[1]ratio_ins!$B:$B,0))</f>
        <v>275.55542400000002</v>
      </c>
      <c r="AA517" s="10">
        <f>INDEX([1]ratio_ins!Y:Y,MATCH('001_population_health_zone_zs'!$B$2,[1]ratio_ins!$B:$B,0))*$G517*INDEX([1]ratio_ins!$C:$C,MATCH('001_population_health_zone_zs'!$B517,[1]ratio_ins!$B:$B,0))</f>
        <v>137.77771200000001</v>
      </c>
      <c r="AB517" s="11">
        <f>INDEX([1]ratio_ins!Z:Z,MATCH('001_population_health_zone_zs'!$B$2,[1]ratio_ins!$B:$B,0))*$G517*INDEX([1]ratio_ins!$C:$C,MATCH('001_population_health_zone_zs'!$B517,[1]ratio_ins!$B:$B,0))</f>
        <v>1791.1102560000004</v>
      </c>
      <c r="AC517" s="12">
        <f t="shared" si="48"/>
        <v>68888.856000000014</v>
      </c>
      <c r="AD517" s="10">
        <f>INDEX([1]ratio_ins!AA:AA,MATCH('001_population_health_zone_zs'!$B$2,[1]ratio_ins!$B:$B,0))*$G517*INDEX([1]ratio_ins!$D:$D,MATCH('001_population_health_zone_zs'!$B517,[1]ratio_ins!$B:$B,0))</f>
        <v>14937.12024</v>
      </c>
      <c r="AE517" s="10">
        <f>INDEX([1]ratio_ins!AB:AB,MATCH('001_population_health_zone_zs'!$B$2,[1]ratio_ins!$B:$B,0))*$G517*INDEX([1]ratio_ins!$D:$D,MATCH('001_population_health_zone_zs'!$B517,[1]ratio_ins!$B:$B,0))</f>
        <v>12305.341912000002</v>
      </c>
      <c r="AF517" s="10">
        <f>INDEX([1]ratio_ins!AC:AC,MATCH('001_population_health_zone_zs'!$B$2,[1]ratio_ins!$B:$B,0))*$G517*INDEX([1]ratio_ins!$D:$D,MATCH('001_population_health_zone_zs'!$B517,[1]ratio_ins!$B:$B,0))</f>
        <v>9744.6927279999982</v>
      </c>
      <c r="AG517" s="10">
        <f>INDEX([1]ratio_ins!AD:AD,MATCH('001_population_health_zone_zs'!$B$2,[1]ratio_ins!$B:$B,0))*$G517*INDEX([1]ratio_ins!$D:$D,MATCH('001_population_health_zone_zs'!$B517,[1]ratio_ins!$B:$B,0))</f>
        <v>5903.7189520000002</v>
      </c>
      <c r="AH517" s="10">
        <f>INDEX([1]ratio_ins!AE:AE,MATCH('001_population_health_zone_zs'!$B$2,[1]ratio_ins!$B:$B,0))*$G517*INDEX([1]ratio_ins!$D:$D,MATCH('001_population_health_zone_zs'!$B517,[1]ratio_ins!$B:$B,0))</f>
        <v>3542.2313712</v>
      </c>
      <c r="AI517" s="13">
        <f>INDEX([1]ratio_ins!AF:AF,MATCH('001_population_health_zone_zs'!$B$2,[1]ratio_ins!$B:$B,0))*$G517*INDEX([1]ratio_ins!$D:$D,MATCH('001_population_health_zone_zs'!$B517,[1]ratio_ins!$B:$B,0))</f>
        <v>40529.386251199998</v>
      </c>
      <c r="AJ517" s="10">
        <f>INDEX([1]ratio_ins!AG:AG,MATCH('001_population_health_zone_zs'!$B$2,[1]ratio_ins!$B:$B,0))*$G517*INDEX([1]ratio_ins!$D:$D,MATCH('001_population_health_zone_zs'!$B517,[1]ratio_ins!$B:$B,0))</f>
        <v>2361.4875808000002</v>
      </c>
      <c r="AK517" s="10">
        <f>INDEX([1]ratio_ins!AH:AH,MATCH('001_population_health_zone_zs'!$B$2,[1]ratio_ins!$B:$B,0))*$G517*INDEX([1]ratio_ins!$D:$D,MATCH('001_population_health_zone_zs'!$B517,[1]ratio_ins!$B:$B,0))</f>
        <v>5263.5566560000016</v>
      </c>
      <c r="AL517" s="10">
        <f>INDEX([1]ratio_ins!AI:AI,MATCH('001_population_health_zone_zs'!$B$2,[1]ratio_ins!$B:$B,0))*$G517*INDEX([1]ratio_ins!$D:$D,MATCH('001_population_health_zone_zs'!$B517,[1]ratio_ins!$B:$B,0))</f>
        <v>4979.0400799999998</v>
      </c>
      <c r="AM517" s="10">
        <f>INDEX([1]ratio_ins!AJ:AJ,MATCH('001_population_health_zone_zs'!$B$2,[1]ratio_ins!$B:$B,0))*$G517*INDEX([1]ratio_ins!$D:$D,MATCH('001_population_health_zone_zs'!$B517,[1]ratio_ins!$B:$B,0))</f>
        <v>4552.2652159999998</v>
      </c>
      <c r="AN517" s="10">
        <f>INDEX([1]ratio_ins!AK:AK,MATCH('001_population_health_zone_zs'!$B$2,[1]ratio_ins!$B:$B,0))*$G517*INDEX([1]ratio_ins!$D:$D,MATCH('001_population_health_zone_zs'!$B517,[1]ratio_ins!$B:$B,0))</f>
        <v>4267.7486399999998</v>
      </c>
      <c r="AO517" s="10">
        <f>INDEX([1]ratio_ins!AL:AL,MATCH('001_population_health_zone_zs'!$B$2,[1]ratio_ins!$B:$B,0))*$G517*INDEX([1]ratio_ins!$D:$D,MATCH('001_population_health_zone_zs'!$B517,[1]ratio_ins!$B:$B,0))</f>
        <v>3200.8114799999998</v>
      </c>
      <c r="AP517" s="10">
        <f>INDEX([1]ratio_ins!AM:AM,MATCH('001_population_health_zone_zs'!$B$2,[1]ratio_ins!$B:$B,0))*$G517*INDEX([1]ratio_ins!$D:$D,MATCH('001_population_health_zone_zs'!$B517,[1]ratio_ins!$B:$B,0))</f>
        <v>2062.7451759999999</v>
      </c>
      <c r="AQ517" s="10">
        <f>INDEX([1]ratio_ins!AN:AN,MATCH('001_population_health_zone_zs'!$B$2,[1]ratio_ins!$B:$B,0))*$G517*INDEX([1]ratio_ins!$D:$D,MATCH('001_population_health_zone_zs'!$B517,[1]ratio_ins!$B:$B,0))</f>
        <v>1635.9703119999999</v>
      </c>
      <c r="AR517" s="10">
        <f>INDEX([1]ratio_ins!AO:AO,MATCH('001_population_health_zone_zs'!$B$2,[1]ratio_ins!$B:$B,0))*$G517*INDEX([1]ratio_ins!$D:$D,MATCH('001_population_health_zone_zs'!$B517,[1]ratio_ins!$B:$B,0))</f>
        <v>782.42058400000008</v>
      </c>
      <c r="AS517" s="13">
        <f>INDEX([1]ratio_ins!AP:AP,MATCH('001_population_health_zone_zs'!$B$2,[1]ratio_ins!$B:$B,0))*$G517*INDEX([1]ratio_ins!$D:$D,MATCH('001_population_health_zone_zs'!$B517,[1]ratio_ins!$B:$B,0))</f>
        <v>29106.045724800002</v>
      </c>
      <c r="AT517" s="10">
        <f>INDEX([1]ratio_ins!AQ:AQ,MATCH('001_population_health_zone_zs'!$B$2,[1]ratio_ins!$B:$B,0))*$G517*INDEX([1]ratio_ins!$D:$D,MATCH('001_population_health_zone_zs'!$B517,[1]ratio_ins!$B:$B,0))</f>
        <v>711.29144000000008</v>
      </c>
      <c r="AU517" s="10">
        <f>INDEX([1]ratio_ins!AR:AR,MATCH('001_population_health_zone_zs'!$B$2,[1]ratio_ins!$B:$B,0))*$G517*INDEX([1]ratio_ins!$D:$D,MATCH('001_population_health_zone_zs'!$B517,[1]ratio_ins!$B:$B,0))</f>
        <v>426.77486400000004</v>
      </c>
      <c r="AV517" s="10">
        <f>INDEX([1]ratio_ins!AS:AS,MATCH('001_population_health_zone_zs'!$B$2,[1]ratio_ins!$B:$B,0))*$G517*INDEX([1]ratio_ins!$D:$D,MATCH('001_population_health_zone_zs'!$B517,[1]ratio_ins!$B:$B,0))</f>
        <v>213.38743200000002</v>
      </c>
      <c r="AW517" s="10">
        <f>INDEX([1]ratio_ins!AT:AT,MATCH('001_population_health_zone_zs'!$B$2,[1]ratio_ins!$B:$B,0))*$G517*INDEX([1]ratio_ins!$D:$D,MATCH('001_population_health_zone_zs'!$B517,[1]ratio_ins!$B:$B,0))</f>
        <v>142.25828799999999</v>
      </c>
      <c r="AX517" s="13">
        <f>INDEX([1]ratio_ins!AU:AU,MATCH('001_population_health_zone_zs'!$B$2,[1]ratio_ins!$B:$B,0))*$G517*INDEX([1]ratio_ins!$D:$D,MATCH('001_population_health_zone_zs'!$B517,[1]ratio_ins!$B:$B,0))</f>
        <v>1493.7120239999999</v>
      </c>
      <c r="AY517" s="14">
        <f t="shared" si="49"/>
        <v>71129.143999999986</v>
      </c>
      <c r="AZ517" s="15">
        <f t="shared" si="50"/>
        <v>140018</v>
      </c>
      <c r="BA517" s="16">
        <v>134709.33117413381</v>
      </c>
      <c r="BB517" s="10">
        <f t="shared" si="51"/>
        <v>30229.886200000001</v>
      </c>
      <c r="BC517" s="17">
        <f t="shared" si="52"/>
        <v>0.21590000000000001</v>
      </c>
      <c r="BD517" s="10">
        <f t="shared" si="53"/>
        <v>28726.652952000004</v>
      </c>
    </row>
    <row r="518" spans="1:56" x14ac:dyDescent="0.25">
      <c r="A518" s="8" t="s">
        <v>1239</v>
      </c>
      <c r="B518" s="8" t="s">
        <v>1240</v>
      </c>
      <c r="C518" s="8" t="s">
        <v>1270</v>
      </c>
      <c r="D518" s="8" t="s">
        <v>1271</v>
      </c>
      <c r="E518" s="8" t="s">
        <v>1276</v>
      </c>
      <c r="F518" s="8" t="s">
        <v>1277</v>
      </c>
      <c r="G518" s="9">
        <v>138712</v>
      </c>
      <c r="H518" s="10">
        <f>INDEX([1]ratio_ins!F:F,MATCH('001_population_health_zone_zs'!$B$2,[1]ratio_ins!$B:$B,0))*$G518*INDEX([1]ratio_ins!$C:$C,MATCH('001_population_health_zone_zs'!$B518,[1]ratio_ins!$B:$B,0))</f>
        <v>14263.477536</v>
      </c>
      <c r="I518" s="10">
        <f>INDEX([1]ratio_ins!G:G,MATCH('001_population_health_zone_zs'!$B$2,[1]ratio_ins!$B:$B,0))*$G518*INDEX([1]ratio_ins!$C:$C,MATCH('001_population_health_zone_zs'!$B518,[1]ratio_ins!$B:$B,0))</f>
        <v>11670.117984000002</v>
      </c>
      <c r="J518" s="10">
        <f>INDEX([1]ratio_ins!H:H,MATCH('001_population_health_zone_zs'!$B$2,[1]ratio_ins!$B:$B,0))*$G518*INDEX([1]ratio_ins!$C:$C,MATCH('001_population_health_zone_zs'!$B518,[1]ratio_ins!$B:$B,0))</f>
        <v>9213.2510400000028</v>
      </c>
      <c r="K518" s="10">
        <f>INDEX([1]ratio_ins!I:I,MATCH('001_population_health_zone_zs'!$B$2,[1]ratio_ins!$B:$B,0))*$G518*INDEX([1]ratio_ins!$C:$C,MATCH('001_population_health_zone_zs'!$B518,[1]ratio_ins!$B:$B,0))</f>
        <v>5664.4432320000014</v>
      </c>
      <c r="L518" s="10">
        <f>INDEX([1]ratio_ins!J:J,MATCH('001_population_health_zone_zs'!$B$2,[1]ratio_ins!$B:$B,0))*$G518*INDEX([1]ratio_ins!$C:$C,MATCH('001_population_health_zone_zs'!$B518,[1]ratio_ins!$B:$B,0))</f>
        <v>3398.6659392000001</v>
      </c>
      <c r="M518" s="11">
        <f>INDEX([1]ratio_ins!K:K,MATCH('001_population_health_zone_zs'!$B$2,[1]ratio_ins!$B:$B,0))*$G518*INDEX([1]ratio_ins!$C:$C,MATCH('001_population_health_zone_zs'!$B518,[1]ratio_ins!$B:$B,0))</f>
        <v>38545.512499199998</v>
      </c>
      <c r="N518" s="10">
        <f>INDEX([1]ratio_ins!L:L,MATCH('001_population_health_zone_zs'!$B$2,[1]ratio_ins!$B:$B,0))*$G518*INDEX([1]ratio_ins!$C:$C,MATCH('001_population_health_zone_zs'!$B518,[1]ratio_ins!$B:$B,0))</f>
        <v>2265.7772928000004</v>
      </c>
      <c r="O518" s="10">
        <f>INDEX([1]ratio_ins!M:M,MATCH('001_population_health_zone_zs'!$B$2,[1]ratio_ins!$B:$B,0))*$G518*INDEX([1]ratio_ins!$C:$C,MATCH('001_population_health_zone_zs'!$B518,[1]ratio_ins!$B:$B,0))</f>
        <v>4913.7338880000007</v>
      </c>
      <c r="P518" s="10">
        <f>INDEX([1]ratio_ins!N:N,MATCH('001_population_health_zone_zs'!$B$2,[1]ratio_ins!$B:$B,0))*$G518*INDEX([1]ratio_ins!$C:$C,MATCH('001_population_health_zone_zs'!$B518,[1]ratio_ins!$B:$B,0))</f>
        <v>4436.0097600000008</v>
      </c>
      <c r="Q518" s="10">
        <f>INDEX([1]ratio_ins!O:O,MATCH('001_population_health_zone_zs'!$B$2,[1]ratio_ins!$B:$B,0))*$G518*INDEX([1]ratio_ins!$C:$C,MATCH('001_population_health_zone_zs'!$B518,[1]ratio_ins!$B:$B,0))</f>
        <v>3958.2856320000001</v>
      </c>
      <c r="R518" s="10">
        <f>INDEX([1]ratio_ins!P:P,MATCH('001_population_health_zone_zs'!$B$2,[1]ratio_ins!$B:$B,0))*$G518*INDEX([1]ratio_ins!$C:$C,MATCH('001_population_health_zone_zs'!$B518,[1]ratio_ins!$B:$B,0))</f>
        <v>3890.0393280000003</v>
      </c>
      <c r="S518" s="10">
        <f>INDEX([1]ratio_ins!Q:Q,MATCH('001_population_health_zone_zs'!$B$2,[1]ratio_ins!$B:$B,0))*$G518*INDEX([1]ratio_ins!$C:$C,MATCH('001_population_health_zone_zs'!$B518,[1]ratio_ins!$B:$B,0))</f>
        <v>3275.8225920000004</v>
      </c>
      <c r="T518" s="10">
        <f>INDEX([1]ratio_ins!R:R,MATCH('001_population_health_zone_zs'!$B$2,[1]ratio_ins!$B:$B,0))*$G518*INDEX([1]ratio_ins!$C:$C,MATCH('001_population_health_zone_zs'!$B518,[1]ratio_ins!$B:$B,0))</f>
        <v>2320.3743360000003</v>
      </c>
      <c r="U518" s="10">
        <f>INDEX([1]ratio_ins!S:S,MATCH('001_population_health_zone_zs'!$B$2,[1]ratio_ins!$B:$B,0))*$G518*INDEX([1]ratio_ins!$C:$C,MATCH('001_population_health_zone_zs'!$B518,[1]ratio_ins!$B:$B,0))</f>
        <v>1842.6502080000005</v>
      </c>
      <c r="V518" s="10">
        <f>INDEX([1]ratio_ins!T:T,MATCH('001_population_health_zone_zs'!$B$2,[1]ratio_ins!$B:$B,0))*$G518*INDEX([1]ratio_ins!$C:$C,MATCH('001_population_health_zone_zs'!$B518,[1]ratio_ins!$B:$B,0))</f>
        <v>1023.69456</v>
      </c>
      <c r="W518" s="11">
        <f>INDEX([1]ratio_ins!U:U,MATCH('001_population_health_zone_zs'!$B$2,[1]ratio_ins!$B:$B,0))*$G518*INDEX([1]ratio_ins!$C:$C,MATCH('001_population_health_zone_zs'!$B518,[1]ratio_ins!$B:$B,0))</f>
        <v>27926.387596800003</v>
      </c>
      <c r="X518" s="10">
        <f>INDEX([1]ratio_ins!V:V,MATCH('001_population_health_zone_zs'!$B$2,[1]ratio_ins!$B:$B,0))*$G518*INDEX([1]ratio_ins!$C:$C,MATCH('001_population_health_zone_zs'!$B518,[1]ratio_ins!$B:$B,0))</f>
        <v>818.95564800000011</v>
      </c>
      <c r="Y518" s="10">
        <f>INDEX([1]ratio_ins!W:W,MATCH('001_population_health_zone_zs'!$B$2,[1]ratio_ins!$B:$B,0))*$G518*INDEX([1]ratio_ins!$C:$C,MATCH('001_population_health_zone_zs'!$B518,[1]ratio_ins!$B:$B,0))</f>
        <v>545.97043199999996</v>
      </c>
      <c r="Z518" s="10">
        <f>INDEX([1]ratio_ins!X:X,MATCH('001_population_health_zone_zs'!$B$2,[1]ratio_ins!$B:$B,0))*$G518*INDEX([1]ratio_ins!$C:$C,MATCH('001_population_health_zone_zs'!$B518,[1]ratio_ins!$B:$B,0))</f>
        <v>272.98521599999998</v>
      </c>
      <c r="AA518" s="10">
        <f>INDEX([1]ratio_ins!Y:Y,MATCH('001_population_health_zone_zs'!$B$2,[1]ratio_ins!$B:$B,0))*$G518*INDEX([1]ratio_ins!$C:$C,MATCH('001_population_health_zone_zs'!$B518,[1]ratio_ins!$B:$B,0))</f>
        <v>136.49260799999999</v>
      </c>
      <c r="AB518" s="11">
        <f>INDEX([1]ratio_ins!Z:Z,MATCH('001_population_health_zone_zs'!$B$2,[1]ratio_ins!$B:$B,0))*$G518*INDEX([1]ratio_ins!$C:$C,MATCH('001_population_health_zone_zs'!$B518,[1]ratio_ins!$B:$B,0))</f>
        <v>1774.4039040000002</v>
      </c>
      <c r="AC518" s="12">
        <f t="shared" si="48"/>
        <v>68246.304000000004</v>
      </c>
      <c r="AD518" s="10">
        <f>INDEX([1]ratio_ins!AA:AA,MATCH('001_population_health_zone_zs'!$B$2,[1]ratio_ins!$B:$B,0))*$G518*INDEX([1]ratio_ins!$D:$D,MATCH('001_population_health_zone_zs'!$B518,[1]ratio_ins!$B:$B,0))</f>
        <v>14797.79616</v>
      </c>
      <c r="AE518" s="10">
        <f>INDEX([1]ratio_ins!AB:AB,MATCH('001_population_health_zone_zs'!$B$2,[1]ratio_ins!$B:$B,0))*$G518*INDEX([1]ratio_ins!$D:$D,MATCH('001_population_health_zone_zs'!$B518,[1]ratio_ins!$B:$B,0))</f>
        <v>12190.565408000002</v>
      </c>
      <c r="AF518" s="10">
        <f>INDEX([1]ratio_ins!AC:AC,MATCH('001_population_health_zone_zs'!$B$2,[1]ratio_ins!$B:$B,0))*$G518*INDEX([1]ratio_ins!$D:$D,MATCH('001_population_health_zone_zs'!$B518,[1]ratio_ins!$B:$B,0))</f>
        <v>9653.8003519999984</v>
      </c>
      <c r="AG518" s="10">
        <f>INDEX([1]ratio_ins!AD:AD,MATCH('001_population_health_zone_zs'!$B$2,[1]ratio_ins!$B:$B,0))*$G518*INDEX([1]ratio_ins!$D:$D,MATCH('001_population_health_zone_zs'!$B518,[1]ratio_ins!$B:$B,0))</f>
        <v>5848.6527680000008</v>
      </c>
      <c r="AH518" s="10">
        <f>INDEX([1]ratio_ins!AE:AE,MATCH('001_population_health_zone_zs'!$B$2,[1]ratio_ins!$B:$B,0))*$G518*INDEX([1]ratio_ins!$D:$D,MATCH('001_population_health_zone_zs'!$B518,[1]ratio_ins!$B:$B,0))</f>
        <v>3509.1916607999997</v>
      </c>
      <c r="AI518" s="13">
        <f>INDEX([1]ratio_ins!AF:AF,MATCH('001_population_health_zone_zs'!$B$2,[1]ratio_ins!$B:$B,0))*$G518*INDEX([1]ratio_ins!$D:$D,MATCH('001_population_health_zone_zs'!$B518,[1]ratio_ins!$B:$B,0))</f>
        <v>40151.353580799994</v>
      </c>
      <c r="AJ518" s="10">
        <f>INDEX([1]ratio_ins!AG:AG,MATCH('001_population_health_zone_zs'!$B$2,[1]ratio_ins!$B:$B,0))*$G518*INDEX([1]ratio_ins!$D:$D,MATCH('001_population_health_zone_zs'!$B518,[1]ratio_ins!$B:$B,0))</f>
        <v>2339.4611072000002</v>
      </c>
      <c r="AK518" s="10">
        <f>INDEX([1]ratio_ins!AH:AH,MATCH('001_population_health_zone_zs'!$B$2,[1]ratio_ins!$B:$B,0))*$G518*INDEX([1]ratio_ins!$D:$D,MATCH('001_population_health_zone_zs'!$B518,[1]ratio_ins!$B:$B,0))</f>
        <v>5214.4615040000008</v>
      </c>
      <c r="AL518" s="10">
        <f>INDEX([1]ratio_ins!AI:AI,MATCH('001_population_health_zone_zs'!$B$2,[1]ratio_ins!$B:$B,0))*$G518*INDEX([1]ratio_ins!$D:$D,MATCH('001_population_health_zone_zs'!$B518,[1]ratio_ins!$B:$B,0))</f>
        <v>4932.59872</v>
      </c>
      <c r="AM518" s="10">
        <f>INDEX([1]ratio_ins!AJ:AJ,MATCH('001_population_health_zone_zs'!$B$2,[1]ratio_ins!$B:$B,0))*$G518*INDEX([1]ratio_ins!$D:$D,MATCH('001_population_health_zone_zs'!$B518,[1]ratio_ins!$B:$B,0))</f>
        <v>4509.8045439999996</v>
      </c>
      <c r="AN518" s="10">
        <f>INDEX([1]ratio_ins!AK:AK,MATCH('001_population_health_zone_zs'!$B$2,[1]ratio_ins!$B:$B,0))*$G518*INDEX([1]ratio_ins!$D:$D,MATCH('001_population_health_zone_zs'!$B518,[1]ratio_ins!$B:$B,0))</f>
        <v>4227.9417599999997</v>
      </c>
      <c r="AO518" s="10">
        <f>INDEX([1]ratio_ins!AL:AL,MATCH('001_population_health_zone_zs'!$B$2,[1]ratio_ins!$B:$B,0))*$G518*INDEX([1]ratio_ins!$D:$D,MATCH('001_population_health_zone_zs'!$B518,[1]ratio_ins!$B:$B,0))</f>
        <v>3170.9563200000002</v>
      </c>
      <c r="AP518" s="10">
        <f>INDEX([1]ratio_ins!AM:AM,MATCH('001_population_health_zone_zs'!$B$2,[1]ratio_ins!$B:$B,0))*$G518*INDEX([1]ratio_ins!$D:$D,MATCH('001_population_health_zone_zs'!$B518,[1]ratio_ins!$B:$B,0))</f>
        <v>2043.5051839999999</v>
      </c>
      <c r="AQ518" s="10">
        <f>INDEX([1]ratio_ins!AN:AN,MATCH('001_population_health_zone_zs'!$B$2,[1]ratio_ins!$B:$B,0))*$G518*INDEX([1]ratio_ins!$D:$D,MATCH('001_population_health_zone_zs'!$B518,[1]ratio_ins!$B:$B,0))</f>
        <v>1620.711008</v>
      </c>
      <c r="AR518" s="10">
        <f>INDEX([1]ratio_ins!AO:AO,MATCH('001_population_health_zone_zs'!$B$2,[1]ratio_ins!$B:$B,0))*$G518*INDEX([1]ratio_ins!$D:$D,MATCH('001_population_health_zone_zs'!$B518,[1]ratio_ins!$B:$B,0))</f>
        <v>775.12265600000012</v>
      </c>
      <c r="AS518" s="13">
        <f>INDEX([1]ratio_ins!AP:AP,MATCH('001_population_health_zone_zs'!$B$2,[1]ratio_ins!$B:$B,0))*$G518*INDEX([1]ratio_ins!$D:$D,MATCH('001_population_health_zone_zs'!$B518,[1]ratio_ins!$B:$B,0))</f>
        <v>28834.562803200002</v>
      </c>
      <c r="AT518" s="10">
        <f>INDEX([1]ratio_ins!AQ:AQ,MATCH('001_population_health_zone_zs'!$B$2,[1]ratio_ins!$B:$B,0))*$G518*INDEX([1]ratio_ins!$D:$D,MATCH('001_population_health_zone_zs'!$B518,[1]ratio_ins!$B:$B,0))</f>
        <v>704.65696000000003</v>
      </c>
      <c r="AU518" s="10">
        <f>INDEX([1]ratio_ins!AR:AR,MATCH('001_population_health_zone_zs'!$B$2,[1]ratio_ins!$B:$B,0))*$G518*INDEX([1]ratio_ins!$D:$D,MATCH('001_population_health_zone_zs'!$B518,[1]ratio_ins!$B:$B,0))</f>
        <v>422.79417600000005</v>
      </c>
      <c r="AV518" s="10">
        <f>INDEX([1]ratio_ins!AS:AS,MATCH('001_population_health_zone_zs'!$B$2,[1]ratio_ins!$B:$B,0))*$G518*INDEX([1]ratio_ins!$D:$D,MATCH('001_population_health_zone_zs'!$B518,[1]ratio_ins!$B:$B,0))</f>
        <v>211.39708800000002</v>
      </c>
      <c r="AW518" s="10">
        <f>INDEX([1]ratio_ins!AT:AT,MATCH('001_population_health_zone_zs'!$B$2,[1]ratio_ins!$B:$B,0))*$G518*INDEX([1]ratio_ins!$D:$D,MATCH('001_population_health_zone_zs'!$B518,[1]ratio_ins!$B:$B,0))</f>
        <v>140.93139199999999</v>
      </c>
      <c r="AX518" s="13">
        <f>INDEX([1]ratio_ins!AU:AU,MATCH('001_population_health_zone_zs'!$B$2,[1]ratio_ins!$B:$B,0))*$G518*INDEX([1]ratio_ins!$D:$D,MATCH('001_population_health_zone_zs'!$B518,[1]ratio_ins!$B:$B,0))</f>
        <v>1479.7796159999998</v>
      </c>
      <c r="AY518" s="14">
        <f t="shared" si="49"/>
        <v>70465.695999999996</v>
      </c>
      <c r="AZ518" s="15">
        <f t="shared" si="50"/>
        <v>138712</v>
      </c>
      <c r="BA518" s="16">
        <v>133453.14144431855</v>
      </c>
      <c r="BB518" s="10">
        <f t="shared" si="51"/>
        <v>29947.920800000004</v>
      </c>
      <c r="BC518" s="17">
        <f t="shared" si="52"/>
        <v>0.21590000000000004</v>
      </c>
      <c r="BD518" s="10">
        <f t="shared" si="53"/>
        <v>28458.708768</v>
      </c>
    </row>
    <row r="519" spans="1:56" x14ac:dyDescent="0.25">
      <c r="A519" s="8" t="s">
        <v>1239</v>
      </c>
      <c r="B519" s="8" t="s">
        <v>1240</v>
      </c>
      <c r="C519" s="8" t="s">
        <v>1270</v>
      </c>
      <c r="D519" s="8" t="s">
        <v>1271</v>
      </c>
      <c r="E519" s="8" t="s">
        <v>1270</v>
      </c>
      <c r="F519" s="8" t="s">
        <v>1278</v>
      </c>
      <c r="G519" s="9">
        <v>192288</v>
      </c>
      <c r="H519" s="10">
        <f>INDEX([1]ratio_ins!F:F,MATCH('001_population_health_zone_zs'!$B$2,[1]ratio_ins!$B:$B,0))*$G519*INDEX([1]ratio_ins!$C:$C,MATCH('001_population_health_zone_zs'!$B519,[1]ratio_ins!$B:$B,0))</f>
        <v>19772.590464000001</v>
      </c>
      <c r="I519" s="10">
        <f>INDEX([1]ratio_ins!G:G,MATCH('001_population_health_zone_zs'!$B$2,[1]ratio_ins!$B:$B,0))*$G519*INDEX([1]ratio_ins!$C:$C,MATCH('001_population_health_zone_zs'!$B519,[1]ratio_ins!$B:$B,0))</f>
        <v>16177.574016</v>
      </c>
      <c r="J519" s="10">
        <f>INDEX([1]ratio_ins!H:H,MATCH('001_population_health_zone_zs'!$B$2,[1]ratio_ins!$B:$B,0))*$G519*INDEX([1]ratio_ins!$C:$C,MATCH('001_population_health_zone_zs'!$B519,[1]ratio_ins!$B:$B,0))</f>
        <v>12771.768960000001</v>
      </c>
      <c r="K519" s="10">
        <f>INDEX([1]ratio_ins!I:I,MATCH('001_population_health_zone_zs'!$B$2,[1]ratio_ins!$B:$B,0))*$G519*INDEX([1]ratio_ins!$C:$C,MATCH('001_population_health_zone_zs'!$B519,[1]ratio_ins!$B:$B,0))</f>
        <v>7852.2727680000007</v>
      </c>
      <c r="L519" s="10">
        <f>INDEX([1]ratio_ins!J:J,MATCH('001_population_health_zone_zs'!$B$2,[1]ratio_ins!$B:$B,0))*$G519*INDEX([1]ratio_ins!$C:$C,MATCH('001_population_health_zone_zs'!$B519,[1]ratio_ins!$B:$B,0))</f>
        <v>4711.3636608000006</v>
      </c>
      <c r="M519" s="11">
        <f>INDEX([1]ratio_ins!K:K,MATCH('001_population_health_zone_zs'!$B$2,[1]ratio_ins!$B:$B,0))*$G519*INDEX([1]ratio_ins!$C:$C,MATCH('001_population_health_zone_zs'!$B519,[1]ratio_ins!$B:$B,0))</f>
        <v>53433.297100800002</v>
      </c>
      <c r="N519" s="10">
        <f>INDEX([1]ratio_ins!L:L,MATCH('001_population_health_zone_zs'!$B$2,[1]ratio_ins!$B:$B,0))*$G519*INDEX([1]ratio_ins!$C:$C,MATCH('001_population_health_zone_zs'!$B519,[1]ratio_ins!$B:$B,0))</f>
        <v>3140.9091072000001</v>
      </c>
      <c r="O519" s="10">
        <f>INDEX([1]ratio_ins!M:M,MATCH('001_population_health_zone_zs'!$B$2,[1]ratio_ins!$B:$B,0))*$G519*INDEX([1]ratio_ins!$C:$C,MATCH('001_population_health_zone_zs'!$B519,[1]ratio_ins!$B:$B,0))</f>
        <v>6811.6101120000012</v>
      </c>
      <c r="P519" s="10">
        <f>INDEX([1]ratio_ins!N:N,MATCH('001_population_health_zone_zs'!$B$2,[1]ratio_ins!$B:$B,0))*$G519*INDEX([1]ratio_ins!$C:$C,MATCH('001_population_health_zone_zs'!$B519,[1]ratio_ins!$B:$B,0))</f>
        <v>6149.3702400000011</v>
      </c>
      <c r="Q519" s="10">
        <f>INDEX([1]ratio_ins!O:O,MATCH('001_population_health_zone_zs'!$B$2,[1]ratio_ins!$B:$B,0))*$G519*INDEX([1]ratio_ins!$C:$C,MATCH('001_population_health_zone_zs'!$B519,[1]ratio_ins!$B:$B,0))</f>
        <v>5487.1303680000001</v>
      </c>
      <c r="R519" s="10">
        <f>INDEX([1]ratio_ins!P:P,MATCH('001_population_health_zone_zs'!$B$2,[1]ratio_ins!$B:$B,0))*$G519*INDEX([1]ratio_ins!$C:$C,MATCH('001_population_health_zone_zs'!$B519,[1]ratio_ins!$B:$B,0))</f>
        <v>5392.5246720000014</v>
      </c>
      <c r="S519" s="10">
        <f>INDEX([1]ratio_ins!Q:Q,MATCH('001_population_health_zone_zs'!$B$2,[1]ratio_ins!$B:$B,0))*$G519*INDEX([1]ratio_ins!$C:$C,MATCH('001_population_health_zone_zs'!$B519,[1]ratio_ins!$B:$B,0))</f>
        <v>4541.0734080000011</v>
      </c>
      <c r="T519" s="10">
        <f>INDEX([1]ratio_ins!R:R,MATCH('001_population_health_zone_zs'!$B$2,[1]ratio_ins!$B:$B,0))*$G519*INDEX([1]ratio_ins!$C:$C,MATCH('001_population_health_zone_zs'!$B519,[1]ratio_ins!$B:$B,0))</f>
        <v>3216.5936640000004</v>
      </c>
      <c r="U519" s="10">
        <f>INDEX([1]ratio_ins!S:S,MATCH('001_population_health_zone_zs'!$B$2,[1]ratio_ins!$B:$B,0))*$G519*INDEX([1]ratio_ins!$C:$C,MATCH('001_population_health_zone_zs'!$B519,[1]ratio_ins!$B:$B,0))</f>
        <v>2554.3537920000008</v>
      </c>
      <c r="V519" s="10">
        <f>INDEX([1]ratio_ins!T:T,MATCH('001_population_health_zone_zs'!$B$2,[1]ratio_ins!$B:$B,0))*$G519*INDEX([1]ratio_ins!$C:$C,MATCH('001_population_health_zone_zs'!$B519,[1]ratio_ins!$B:$B,0))</f>
        <v>1419.0854400000001</v>
      </c>
      <c r="W519" s="11">
        <f>INDEX([1]ratio_ins!U:U,MATCH('001_population_health_zone_zs'!$B$2,[1]ratio_ins!$B:$B,0))*$G519*INDEX([1]ratio_ins!$C:$C,MATCH('001_population_health_zone_zs'!$B519,[1]ratio_ins!$B:$B,0))</f>
        <v>38712.650803199998</v>
      </c>
      <c r="X519" s="10">
        <f>INDEX([1]ratio_ins!V:V,MATCH('001_population_health_zone_zs'!$B$2,[1]ratio_ins!$B:$B,0))*$G519*INDEX([1]ratio_ins!$C:$C,MATCH('001_population_health_zone_zs'!$B519,[1]ratio_ins!$B:$B,0))</f>
        <v>1135.2683520000003</v>
      </c>
      <c r="Y519" s="10">
        <f>INDEX([1]ratio_ins!W:W,MATCH('001_population_health_zone_zs'!$B$2,[1]ratio_ins!$B:$B,0))*$G519*INDEX([1]ratio_ins!$C:$C,MATCH('001_population_health_zone_zs'!$B519,[1]ratio_ins!$B:$B,0))</f>
        <v>756.84556800000007</v>
      </c>
      <c r="Z519" s="10">
        <f>INDEX([1]ratio_ins!X:X,MATCH('001_population_health_zone_zs'!$B$2,[1]ratio_ins!$B:$B,0))*$G519*INDEX([1]ratio_ins!$C:$C,MATCH('001_population_health_zone_zs'!$B519,[1]ratio_ins!$B:$B,0))</f>
        <v>378.42278400000004</v>
      </c>
      <c r="AA519" s="10">
        <f>INDEX([1]ratio_ins!Y:Y,MATCH('001_population_health_zone_zs'!$B$2,[1]ratio_ins!$B:$B,0))*$G519*INDEX([1]ratio_ins!$C:$C,MATCH('001_population_health_zone_zs'!$B519,[1]ratio_ins!$B:$B,0))</f>
        <v>189.21139200000002</v>
      </c>
      <c r="AB519" s="11">
        <f>INDEX([1]ratio_ins!Z:Z,MATCH('001_population_health_zone_zs'!$B$2,[1]ratio_ins!$B:$B,0))*$G519*INDEX([1]ratio_ins!$C:$C,MATCH('001_population_health_zone_zs'!$B519,[1]ratio_ins!$B:$B,0))</f>
        <v>2459.7480960000003</v>
      </c>
      <c r="AC519" s="12">
        <f t="shared" si="48"/>
        <v>94605.695999999996</v>
      </c>
      <c r="AD519" s="10">
        <f>INDEX([1]ratio_ins!AA:AA,MATCH('001_population_health_zone_zs'!$B$2,[1]ratio_ins!$B:$B,0))*$G519*INDEX([1]ratio_ins!$D:$D,MATCH('001_population_health_zone_zs'!$B519,[1]ratio_ins!$B:$B,0))</f>
        <v>20513.283839999996</v>
      </c>
      <c r="AE519" s="10">
        <f>INDEX([1]ratio_ins!AB:AB,MATCH('001_population_health_zone_zs'!$B$2,[1]ratio_ins!$B:$B,0))*$G519*INDEX([1]ratio_ins!$D:$D,MATCH('001_population_health_zone_zs'!$B519,[1]ratio_ins!$B:$B,0))</f>
        <v>16899.038592000001</v>
      </c>
      <c r="AF519" s="10">
        <f>INDEX([1]ratio_ins!AC:AC,MATCH('001_population_health_zone_zs'!$B$2,[1]ratio_ins!$B:$B,0))*$G519*INDEX([1]ratio_ins!$D:$D,MATCH('001_population_health_zone_zs'!$B519,[1]ratio_ins!$B:$B,0))</f>
        <v>13382.475648</v>
      </c>
      <c r="AG519" s="10">
        <f>INDEX([1]ratio_ins!AD:AD,MATCH('001_population_health_zone_zs'!$B$2,[1]ratio_ins!$B:$B,0))*$G519*INDEX([1]ratio_ins!$D:$D,MATCH('001_population_health_zone_zs'!$B519,[1]ratio_ins!$B:$B,0))</f>
        <v>8107.6312320000006</v>
      </c>
      <c r="AH519" s="10">
        <f>INDEX([1]ratio_ins!AE:AE,MATCH('001_population_health_zone_zs'!$B$2,[1]ratio_ins!$B:$B,0))*$G519*INDEX([1]ratio_ins!$D:$D,MATCH('001_population_health_zone_zs'!$B519,[1]ratio_ins!$B:$B,0))</f>
        <v>4864.5787392000002</v>
      </c>
      <c r="AI519" s="13">
        <f>INDEX([1]ratio_ins!AF:AF,MATCH('001_population_health_zone_zs'!$B$2,[1]ratio_ins!$B:$B,0))*$G519*INDEX([1]ratio_ins!$D:$D,MATCH('001_population_health_zone_zs'!$B519,[1]ratio_ins!$B:$B,0))</f>
        <v>55659.376819199999</v>
      </c>
      <c r="AJ519" s="10">
        <f>INDEX([1]ratio_ins!AG:AG,MATCH('001_population_health_zone_zs'!$B$2,[1]ratio_ins!$B:$B,0))*$G519*INDEX([1]ratio_ins!$D:$D,MATCH('001_population_health_zone_zs'!$B519,[1]ratio_ins!$B:$B,0))</f>
        <v>3243.0524928</v>
      </c>
      <c r="AK519" s="10">
        <f>INDEX([1]ratio_ins!AH:AH,MATCH('001_population_health_zone_zs'!$B$2,[1]ratio_ins!$B:$B,0))*$G519*INDEX([1]ratio_ins!$D:$D,MATCH('001_population_health_zone_zs'!$B519,[1]ratio_ins!$B:$B,0))</f>
        <v>7228.4904960000013</v>
      </c>
      <c r="AL519" s="10">
        <f>INDEX([1]ratio_ins!AI:AI,MATCH('001_population_health_zone_zs'!$B$2,[1]ratio_ins!$B:$B,0))*$G519*INDEX([1]ratio_ins!$D:$D,MATCH('001_population_health_zone_zs'!$B519,[1]ratio_ins!$B:$B,0))</f>
        <v>6837.7612800000006</v>
      </c>
      <c r="AM519" s="10">
        <f>INDEX([1]ratio_ins!AJ:AJ,MATCH('001_population_health_zone_zs'!$B$2,[1]ratio_ins!$B:$B,0))*$G519*INDEX([1]ratio_ins!$D:$D,MATCH('001_population_health_zone_zs'!$B519,[1]ratio_ins!$B:$B,0))</f>
        <v>6251.6674560000001</v>
      </c>
      <c r="AN519" s="10">
        <f>INDEX([1]ratio_ins!AK:AK,MATCH('001_population_health_zone_zs'!$B$2,[1]ratio_ins!$B:$B,0))*$G519*INDEX([1]ratio_ins!$D:$D,MATCH('001_population_health_zone_zs'!$B519,[1]ratio_ins!$B:$B,0))</f>
        <v>5860.9382399999995</v>
      </c>
      <c r="AO519" s="10">
        <f>INDEX([1]ratio_ins!AL:AL,MATCH('001_population_health_zone_zs'!$B$2,[1]ratio_ins!$B:$B,0))*$G519*INDEX([1]ratio_ins!$D:$D,MATCH('001_population_health_zone_zs'!$B519,[1]ratio_ins!$B:$B,0))</f>
        <v>4395.7036799999996</v>
      </c>
      <c r="AP519" s="10">
        <f>INDEX([1]ratio_ins!AM:AM,MATCH('001_population_health_zone_zs'!$B$2,[1]ratio_ins!$B:$B,0))*$G519*INDEX([1]ratio_ins!$D:$D,MATCH('001_population_health_zone_zs'!$B519,[1]ratio_ins!$B:$B,0))</f>
        <v>2832.7868159999998</v>
      </c>
      <c r="AQ519" s="10">
        <f>INDEX([1]ratio_ins!AN:AN,MATCH('001_population_health_zone_zs'!$B$2,[1]ratio_ins!$B:$B,0))*$G519*INDEX([1]ratio_ins!$D:$D,MATCH('001_population_health_zone_zs'!$B519,[1]ratio_ins!$B:$B,0))</f>
        <v>2246.6929919999998</v>
      </c>
      <c r="AR519" s="10">
        <f>INDEX([1]ratio_ins!AO:AO,MATCH('001_population_health_zone_zs'!$B$2,[1]ratio_ins!$B:$B,0))*$G519*INDEX([1]ratio_ins!$D:$D,MATCH('001_population_health_zone_zs'!$B519,[1]ratio_ins!$B:$B,0))</f>
        <v>1074.5053440000002</v>
      </c>
      <c r="AS519" s="13">
        <f>INDEX([1]ratio_ins!AP:AP,MATCH('001_population_health_zone_zs'!$B$2,[1]ratio_ins!$B:$B,0))*$G519*INDEX([1]ratio_ins!$D:$D,MATCH('001_population_health_zone_zs'!$B519,[1]ratio_ins!$B:$B,0))</f>
        <v>39971.598796799997</v>
      </c>
      <c r="AT519" s="10">
        <f>INDEX([1]ratio_ins!AQ:AQ,MATCH('001_population_health_zone_zs'!$B$2,[1]ratio_ins!$B:$B,0))*$G519*INDEX([1]ratio_ins!$D:$D,MATCH('001_population_health_zone_zs'!$B519,[1]ratio_ins!$B:$B,0))</f>
        <v>976.82304000000011</v>
      </c>
      <c r="AU519" s="10">
        <f>INDEX([1]ratio_ins!AR:AR,MATCH('001_population_health_zone_zs'!$B$2,[1]ratio_ins!$B:$B,0))*$G519*INDEX([1]ratio_ins!$D:$D,MATCH('001_population_health_zone_zs'!$B519,[1]ratio_ins!$B:$B,0))</f>
        <v>586.09382400000004</v>
      </c>
      <c r="AV519" s="10">
        <f>INDEX([1]ratio_ins!AS:AS,MATCH('001_population_health_zone_zs'!$B$2,[1]ratio_ins!$B:$B,0))*$G519*INDEX([1]ratio_ins!$D:$D,MATCH('001_population_health_zone_zs'!$B519,[1]ratio_ins!$B:$B,0))</f>
        <v>293.04691200000002</v>
      </c>
      <c r="AW519" s="10">
        <f>INDEX([1]ratio_ins!AT:AT,MATCH('001_population_health_zone_zs'!$B$2,[1]ratio_ins!$B:$B,0))*$G519*INDEX([1]ratio_ins!$D:$D,MATCH('001_population_health_zone_zs'!$B519,[1]ratio_ins!$B:$B,0))</f>
        <v>195.364608</v>
      </c>
      <c r="AX519" s="13">
        <f>INDEX([1]ratio_ins!AU:AU,MATCH('001_population_health_zone_zs'!$B$2,[1]ratio_ins!$B:$B,0))*$G519*INDEX([1]ratio_ins!$D:$D,MATCH('001_population_health_zone_zs'!$B519,[1]ratio_ins!$B:$B,0))</f>
        <v>2051.3283839999999</v>
      </c>
      <c r="AY519" s="14">
        <f t="shared" si="49"/>
        <v>97682.303999999989</v>
      </c>
      <c r="AZ519" s="15">
        <f t="shared" si="50"/>
        <v>192288</v>
      </c>
      <c r="BA519" s="16">
        <v>184997.91670645023</v>
      </c>
      <c r="BB519" s="10">
        <f t="shared" si="51"/>
        <v>41514.979200000002</v>
      </c>
      <c r="BC519" s="17">
        <f t="shared" si="52"/>
        <v>0.21590000000000001</v>
      </c>
      <c r="BD519" s="10">
        <f t="shared" si="53"/>
        <v>39450.575232000003</v>
      </c>
    </row>
    <row r="520" spans="1:56" x14ac:dyDescent="0.25">
      <c r="A520" s="8" t="s">
        <v>1239</v>
      </c>
      <c r="B520" s="8" t="s">
        <v>1240</v>
      </c>
      <c r="C520" s="8" t="s">
        <v>1279</v>
      </c>
      <c r="D520" s="8" t="s">
        <v>1280</v>
      </c>
      <c r="E520" s="8" t="s">
        <v>1279</v>
      </c>
      <c r="F520" s="8" t="s">
        <v>1281</v>
      </c>
      <c r="G520" s="9">
        <v>138894</v>
      </c>
      <c r="H520" s="10">
        <f>INDEX([1]ratio_ins!F:F,MATCH('001_population_health_zone_zs'!$B$2,[1]ratio_ins!$B:$B,0))*$G520*INDEX([1]ratio_ins!$C:$C,MATCH('001_population_health_zone_zs'!$B520,[1]ratio_ins!$B:$B,0))</f>
        <v>14282.192231999999</v>
      </c>
      <c r="I520" s="10">
        <f>INDEX([1]ratio_ins!G:G,MATCH('001_population_health_zone_zs'!$B$2,[1]ratio_ins!$B:$B,0))*$G520*INDEX([1]ratio_ins!$C:$C,MATCH('001_population_health_zone_zs'!$B520,[1]ratio_ins!$B:$B,0))</f>
        <v>11685.430008000003</v>
      </c>
      <c r="J520" s="10">
        <f>INDEX([1]ratio_ins!H:H,MATCH('001_population_health_zone_zs'!$B$2,[1]ratio_ins!$B:$B,0))*$G520*INDEX([1]ratio_ins!$C:$C,MATCH('001_population_health_zone_zs'!$B520,[1]ratio_ins!$B:$B,0))</f>
        <v>9225.3394800000024</v>
      </c>
      <c r="K520" s="10">
        <f>INDEX([1]ratio_ins!I:I,MATCH('001_population_health_zone_zs'!$B$2,[1]ratio_ins!$B:$B,0))*$G520*INDEX([1]ratio_ins!$C:$C,MATCH('001_population_health_zone_zs'!$B520,[1]ratio_ins!$B:$B,0))</f>
        <v>5671.8753840000008</v>
      </c>
      <c r="L520" s="10">
        <f>INDEX([1]ratio_ins!J:J,MATCH('001_population_health_zone_zs'!$B$2,[1]ratio_ins!$B:$B,0))*$G520*INDEX([1]ratio_ins!$C:$C,MATCH('001_population_health_zone_zs'!$B520,[1]ratio_ins!$B:$B,0))</f>
        <v>3403.1252304000004</v>
      </c>
      <c r="M520" s="11">
        <f>INDEX([1]ratio_ins!K:K,MATCH('001_population_health_zone_zs'!$B$2,[1]ratio_ins!$B:$B,0))*$G520*INDEX([1]ratio_ins!$C:$C,MATCH('001_population_health_zone_zs'!$B520,[1]ratio_ins!$B:$B,0))</f>
        <v>38596.086950400007</v>
      </c>
      <c r="N520" s="10">
        <f>INDEX([1]ratio_ins!L:L,MATCH('001_population_health_zone_zs'!$B$2,[1]ratio_ins!$B:$B,0))*$G520*INDEX([1]ratio_ins!$C:$C,MATCH('001_population_health_zone_zs'!$B520,[1]ratio_ins!$B:$B,0))</f>
        <v>2268.7501536000004</v>
      </c>
      <c r="O520" s="10">
        <f>INDEX([1]ratio_ins!M:M,MATCH('001_population_health_zone_zs'!$B$2,[1]ratio_ins!$B:$B,0))*$G520*INDEX([1]ratio_ins!$C:$C,MATCH('001_population_health_zone_zs'!$B520,[1]ratio_ins!$B:$B,0))</f>
        <v>4920.1810560000004</v>
      </c>
      <c r="P520" s="10">
        <f>INDEX([1]ratio_ins!N:N,MATCH('001_population_health_zone_zs'!$B$2,[1]ratio_ins!$B:$B,0))*$G520*INDEX([1]ratio_ins!$C:$C,MATCH('001_population_health_zone_zs'!$B520,[1]ratio_ins!$B:$B,0))</f>
        <v>4441.8301200000005</v>
      </c>
      <c r="Q520" s="10">
        <f>INDEX([1]ratio_ins!O:O,MATCH('001_population_health_zone_zs'!$B$2,[1]ratio_ins!$B:$B,0))*$G520*INDEX([1]ratio_ins!$C:$C,MATCH('001_population_health_zone_zs'!$B520,[1]ratio_ins!$B:$B,0))</f>
        <v>3963.4791840000003</v>
      </c>
      <c r="R520" s="10">
        <f>INDEX([1]ratio_ins!P:P,MATCH('001_population_health_zone_zs'!$B$2,[1]ratio_ins!$B:$B,0))*$G520*INDEX([1]ratio_ins!$C:$C,MATCH('001_population_health_zone_zs'!$B520,[1]ratio_ins!$B:$B,0))</f>
        <v>3895.1433360000005</v>
      </c>
      <c r="S520" s="10">
        <f>INDEX([1]ratio_ins!Q:Q,MATCH('001_population_health_zone_zs'!$B$2,[1]ratio_ins!$B:$B,0))*$G520*INDEX([1]ratio_ins!$C:$C,MATCH('001_population_health_zone_zs'!$B520,[1]ratio_ins!$B:$B,0))</f>
        <v>3280.1207040000004</v>
      </c>
      <c r="T520" s="10">
        <f>INDEX([1]ratio_ins!R:R,MATCH('001_population_health_zone_zs'!$B$2,[1]ratio_ins!$B:$B,0))*$G520*INDEX([1]ratio_ins!$C:$C,MATCH('001_population_health_zone_zs'!$B520,[1]ratio_ins!$B:$B,0))</f>
        <v>2323.4188320000007</v>
      </c>
      <c r="U520" s="10">
        <f>INDEX([1]ratio_ins!S:S,MATCH('001_population_health_zone_zs'!$B$2,[1]ratio_ins!$B:$B,0))*$G520*INDEX([1]ratio_ins!$C:$C,MATCH('001_population_health_zone_zs'!$B520,[1]ratio_ins!$B:$B,0))</f>
        <v>1845.0678960000005</v>
      </c>
      <c r="V520" s="10">
        <f>INDEX([1]ratio_ins!T:T,MATCH('001_population_health_zone_zs'!$B$2,[1]ratio_ins!$B:$B,0))*$G520*INDEX([1]ratio_ins!$C:$C,MATCH('001_population_health_zone_zs'!$B520,[1]ratio_ins!$B:$B,0))</f>
        <v>1025.03772</v>
      </c>
      <c r="W520" s="11">
        <f>INDEX([1]ratio_ins!U:U,MATCH('001_population_health_zone_zs'!$B$2,[1]ratio_ins!$B:$B,0))*$G520*INDEX([1]ratio_ins!$C:$C,MATCH('001_population_health_zone_zs'!$B520,[1]ratio_ins!$B:$B,0))</f>
        <v>27963.029001600004</v>
      </c>
      <c r="X520" s="10">
        <f>INDEX([1]ratio_ins!V:V,MATCH('001_population_health_zone_zs'!$B$2,[1]ratio_ins!$B:$B,0))*$G520*INDEX([1]ratio_ins!$C:$C,MATCH('001_population_health_zone_zs'!$B520,[1]ratio_ins!$B:$B,0))</f>
        <v>820.0301760000001</v>
      </c>
      <c r="Y520" s="10">
        <f>INDEX([1]ratio_ins!W:W,MATCH('001_population_health_zone_zs'!$B$2,[1]ratio_ins!$B:$B,0))*$G520*INDEX([1]ratio_ins!$C:$C,MATCH('001_population_health_zone_zs'!$B520,[1]ratio_ins!$B:$B,0))</f>
        <v>546.6867840000001</v>
      </c>
      <c r="Z520" s="10">
        <f>INDEX([1]ratio_ins!X:X,MATCH('001_population_health_zone_zs'!$B$2,[1]ratio_ins!$B:$B,0))*$G520*INDEX([1]ratio_ins!$C:$C,MATCH('001_population_health_zone_zs'!$B520,[1]ratio_ins!$B:$B,0))</f>
        <v>273.34339200000005</v>
      </c>
      <c r="AA520" s="10">
        <f>INDEX([1]ratio_ins!Y:Y,MATCH('001_population_health_zone_zs'!$B$2,[1]ratio_ins!$B:$B,0))*$G520*INDEX([1]ratio_ins!$C:$C,MATCH('001_population_health_zone_zs'!$B520,[1]ratio_ins!$B:$B,0))</f>
        <v>136.67169600000003</v>
      </c>
      <c r="AB520" s="11">
        <f>INDEX([1]ratio_ins!Z:Z,MATCH('001_population_health_zone_zs'!$B$2,[1]ratio_ins!$B:$B,0))*$G520*INDEX([1]ratio_ins!$C:$C,MATCH('001_population_health_zone_zs'!$B520,[1]ratio_ins!$B:$B,0))</f>
        <v>1776.7320480000003</v>
      </c>
      <c r="AC520" s="12">
        <f t="shared" si="48"/>
        <v>68335.848000000013</v>
      </c>
      <c r="AD520" s="10">
        <f>INDEX([1]ratio_ins!AA:AA,MATCH('001_population_health_zone_zs'!$B$2,[1]ratio_ins!$B:$B,0))*$G520*INDEX([1]ratio_ins!$D:$D,MATCH('001_population_health_zone_zs'!$B520,[1]ratio_ins!$B:$B,0))</f>
        <v>14817.21192</v>
      </c>
      <c r="AE520" s="10">
        <f>INDEX([1]ratio_ins!AB:AB,MATCH('001_population_health_zone_zs'!$B$2,[1]ratio_ins!$B:$B,0))*$G520*INDEX([1]ratio_ins!$D:$D,MATCH('001_population_health_zone_zs'!$B520,[1]ratio_ins!$B:$B,0))</f>
        <v>12206.560296</v>
      </c>
      <c r="AF520" s="10">
        <f>INDEX([1]ratio_ins!AC:AC,MATCH('001_population_health_zone_zs'!$B$2,[1]ratio_ins!$B:$B,0))*$G520*INDEX([1]ratio_ins!$D:$D,MATCH('001_population_health_zone_zs'!$B520,[1]ratio_ins!$B:$B,0))</f>
        <v>9666.4668239999992</v>
      </c>
      <c r="AG520" s="10">
        <f>INDEX([1]ratio_ins!AD:AD,MATCH('001_population_health_zone_zs'!$B$2,[1]ratio_ins!$B:$B,0))*$G520*INDEX([1]ratio_ins!$D:$D,MATCH('001_population_health_zone_zs'!$B520,[1]ratio_ins!$B:$B,0))</f>
        <v>5856.3266160000003</v>
      </c>
      <c r="AH520" s="10">
        <f>INDEX([1]ratio_ins!AE:AE,MATCH('001_population_health_zone_zs'!$B$2,[1]ratio_ins!$B:$B,0))*$G520*INDEX([1]ratio_ins!$D:$D,MATCH('001_population_health_zone_zs'!$B520,[1]ratio_ins!$B:$B,0))</f>
        <v>3513.7959695999998</v>
      </c>
      <c r="AI520" s="13">
        <f>INDEX([1]ratio_ins!AF:AF,MATCH('001_population_health_zone_zs'!$B$2,[1]ratio_ins!$B:$B,0))*$G520*INDEX([1]ratio_ins!$D:$D,MATCH('001_population_health_zone_zs'!$B520,[1]ratio_ins!$B:$B,0))</f>
        <v>40204.035009600004</v>
      </c>
      <c r="AJ520" s="10">
        <f>INDEX([1]ratio_ins!AG:AG,MATCH('001_population_health_zone_zs'!$B$2,[1]ratio_ins!$B:$B,0))*$G520*INDEX([1]ratio_ins!$D:$D,MATCH('001_population_health_zone_zs'!$B520,[1]ratio_ins!$B:$B,0))</f>
        <v>2342.5306464000005</v>
      </c>
      <c r="AK520" s="10">
        <f>INDEX([1]ratio_ins!AH:AH,MATCH('001_population_health_zone_zs'!$B$2,[1]ratio_ins!$B:$B,0))*$G520*INDEX([1]ratio_ins!$D:$D,MATCH('001_population_health_zone_zs'!$B520,[1]ratio_ins!$B:$B,0))</f>
        <v>5221.3032480000002</v>
      </c>
      <c r="AL520" s="10">
        <f>INDEX([1]ratio_ins!AI:AI,MATCH('001_population_health_zone_zs'!$B$2,[1]ratio_ins!$B:$B,0))*$G520*INDEX([1]ratio_ins!$D:$D,MATCH('001_population_health_zone_zs'!$B520,[1]ratio_ins!$B:$B,0))</f>
        <v>4939.0706400000008</v>
      </c>
      <c r="AM520" s="10">
        <f>INDEX([1]ratio_ins!AJ:AJ,MATCH('001_population_health_zone_zs'!$B$2,[1]ratio_ins!$B:$B,0))*$G520*INDEX([1]ratio_ins!$D:$D,MATCH('001_population_health_zone_zs'!$B520,[1]ratio_ins!$B:$B,0))</f>
        <v>4515.7217280000004</v>
      </c>
      <c r="AN520" s="10">
        <f>INDEX([1]ratio_ins!AK:AK,MATCH('001_population_health_zone_zs'!$B$2,[1]ratio_ins!$B:$B,0))*$G520*INDEX([1]ratio_ins!$D:$D,MATCH('001_population_health_zone_zs'!$B520,[1]ratio_ins!$B:$B,0))</f>
        <v>4233.4891200000002</v>
      </c>
      <c r="AO520" s="10">
        <f>INDEX([1]ratio_ins!AL:AL,MATCH('001_population_health_zone_zs'!$B$2,[1]ratio_ins!$B:$B,0))*$G520*INDEX([1]ratio_ins!$D:$D,MATCH('001_population_health_zone_zs'!$B520,[1]ratio_ins!$B:$B,0))</f>
        <v>3175.1168399999997</v>
      </c>
      <c r="AP520" s="10">
        <f>INDEX([1]ratio_ins!AM:AM,MATCH('001_population_health_zone_zs'!$B$2,[1]ratio_ins!$B:$B,0))*$G520*INDEX([1]ratio_ins!$D:$D,MATCH('001_population_health_zone_zs'!$B520,[1]ratio_ins!$B:$B,0))</f>
        <v>2046.186408</v>
      </c>
      <c r="AQ520" s="10">
        <f>INDEX([1]ratio_ins!AN:AN,MATCH('001_population_health_zone_zs'!$B$2,[1]ratio_ins!$B:$B,0))*$G520*INDEX([1]ratio_ins!$D:$D,MATCH('001_population_health_zone_zs'!$B520,[1]ratio_ins!$B:$B,0))</f>
        <v>1622.8374959999999</v>
      </c>
      <c r="AR520" s="10">
        <f>INDEX([1]ratio_ins!AO:AO,MATCH('001_population_health_zone_zs'!$B$2,[1]ratio_ins!$B:$B,0))*$G520*INDEX([1]ratio_ins!$D:$D,MATCH('001_population_health_zone_zs'!$B520,[1]ratio_ins!$B:$B,0))</f>
        <v>776.13967200000002</v>
      </c>
      <c r="AS520" s="13">
        <f>INDEX([1]ratio_ins!AP:AP,MATCH('001_population_health_zone_zs'!$B$2,[1]ratio_ins!$B:$B,0))*$G520*INDEX([1]ratio_ins!$D:$D,MATCH('001_population_health_zone_zs'!$B520,[1]ratio_ins!$B:$B,0))</f>
        <v>28872.395798400001</v>
      </c>
      <c r="AT520" s="10">
        <f>INDEX([1]ratio_ins!AQ:AQ,MATCH('001_population_health_zone_zs'!$B$2,[1]ratio_ins!$B:$B,0))*$G520*INDEX([1]ratio_ins!$D:$D,MATCH('001_population_health_zone_zs'!$B520,[1]ratio_ins!$B:$B,0))</f>
        <v>705.58152000000007</v>
      </c>
      <c r="AU520" s="10">
        <f>INDEX([1]ratio_ins!AR:AR,MATCH('001_population_health_zone_zs'!$B$2,[1]ratio_ins!$B:$B,0))*$G520*INDEX([1]ratio_ins!$D:$D,MATCH('001_population_health_zone_zs'!$B520,[1]ratio_ins!$B:$B,0))</f>
        <v>423.34891200000004</v>
      </c>
      <c r="AV520" s="10">
        <f>INDEX([1]ratio_ins!AS:AS,MATCH('001_population_health_zone_zs'!$B$2,[1]ratio_ins!$B:$B,0))*$G520*INDEX([1]ratio_ins!$D:$D,MATCH('001_population_health_zone_zs'!$B520,[1]ratio_ins!$B:$B,0))</f>
        <v>211.67445600000002</v>
      </c>
      <c r="AW520" s="10">
        <f>INDEX([1]ratio_ins!AT:AT,MATCH('001_population_health_zone_zs'!$B$2,[1]ratio_ins!$B:$B,0))*$G520*INDEX([1]ratio_ins!$D:$D,MATCH('001_population_health_zone_zs'!$B520,[1]ratio_ins!$B:$B,0))</f>
        <v>141.11630400000001</v>
      </c>
      <c r="AX520" s="13">
        <f>INDEX([1]ratio_ins!AU:AU,MATCH('001_population_health_zone_zs'!$B$2,[1]ratio_ins!$B:$B,0))*$G520*INDEX([1]ratio_ins!$D:$D,MATCH('001_population_health_zone_zs'!$B520,[1]ratio_ins!$B:$B,0))</f>
        <v>1481.721192</v>
      </c>
      <c r="AY520" s="14">
        <f t="shared" si="49"/>
        <v>70558.152000000002</v>
      </c>
      <c r="AZ520" s="15">
        <f t="shared" si="50"/>
        <v>138894</v>
      </c>
      <c r="BA520" s="16">
        <v>133627.95602494554</v>
      </c>
      <c r="BB520" s="10">
        <f t="shared" si="51"/>
        <v>29987.214600000003</v>
      </c>
      <c r="BC520" s="17">
        <f t="shared" si="52"/>
        <v>0.21590000000000001</v>
      </c>
      <c r="BD520" s="10">
        <f t="shared" si="53"/>
        <v>28496.048616000004</v>
      </c>
    </row>
    <row r="522" spans="1:56" x14ac:dyDescent="0.25">
      <c r="G522" s="10"/>
    </row>
    <row r="527" spans="1:56" x14ac:dyDescent="0.25">
      <c r="H527" s="10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001_population_health_zone_zs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Tshiamala</dc:creator>
  <cp:lastModifiedBy>Francesco Checchi</cp:lastModifiedBy>
  <dcterms:created xsi:type="dcterms:W3CDTF">2024-12-09T15:53:14Z</dcterms:created>
  <dcterms:modified xsi:type="dcterms:W3CDTF">2026-05-22T00:28:06Z</dcterms:modified>
</cp:coreProperties>
</file>